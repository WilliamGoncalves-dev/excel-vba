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f10c28e1fedeb25/Desktop/eU/SEMENTES/1 - Concluídos/Lafaete - Gestão de Faturamento/"/>
    </mc:Choice>
  </mc:AlternateContent>
  <xr:revisionPtr revIDLastSave="2" documentId="10_ncr:8000_{AB1ED703-E455-4684-9D91-F0DE967F6343}" xr6:coauthVersionLast="47" xr6:coauthVersionMax="47" xr10:uidLastSave="{F16A5D85-BE31-484D-8CF9-08F39537A1EB}"/>
  <bookViews>
    <workbookView xWindow="28680" yWindow="-90" windowWidth="29040" windowHeight="15720" tabRatio="906" xr2:uid="{00000000-000D-0000-FFFF-FFFF00000000}"/>
  </bookViews>
  <sheets>
    <sheet name="Tributação fora do Municipio" sheetId="1" r:id="rId1"/>
    <sheet name="ORDEM DE VENDA" sheetId="23" r:id="rId2"/>
    <sheet name="ESTRUTURA" sheetId="26" r:id="rId3"/>
    <sheet name="RETENÇÃO I.R" sheetId="22" state="hidden" r:id="rId4"/>
    <sheet name="CLIENTES" sheetId="21" r:id="rId5"/>
    <sheet name="ISS" sheetId="24" r:id="rId6"/>
    <sheet name="SERVIÇOS" sheetId="19" r:id="rId7"/>
    <sheet name="SITES" sheetId="20" r:id="rId8"/>
    <sheet name="E-MAIL" sheetId="25" r:id="rId9"/>
    <sheet name="COTAÇÕES" sheetId="29" r:id="rId10"/>
    <sheet name="RESUMO" sheetId="28" r:id="rId11"/>
    <sheet name="GPT cache" sheetId="27" state="veryHidden" r:id="rId12"/>
  </sheets>
  <functionGroups builtInGroupCount="19"/>
  <definedNames>
    <definedName name="_xlnm._FilterDatabase" localSheetId="4" hidden="1">CLIENTES!$A$1:$O$7326</definedName>
    <definedName name="_xlnm._FilterDatabase" localSheetId="9" hidden="1">COTAÇÕES!$A$1:$L$1020</definedName>
    <definedName name="_xlnm._FilterDatabase" localSheetId="8" hidden="1">'E-MAIL'!$A$1:$D$1114</definedName>
    <definedName name="_Hlk156215807" localSheetId="2">ESTRUTURA!#REF!</definedName>
    <definedName name="_xlnm.Print_Area" localSheetId="0">'Tributação fora do Municipio'!$B$1:$Q$38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5" i="20" l="1" a="1"/>
  <c r="I15" i="20" s="1"/>
  <c r="W28" i="22"/>
  <c r="V28" i="22"/>
  <c r="W27" i="22"/>
  <c r="V27" i="22"/>
  <c r="W26" i="22"/>
  <c r="V26" i="22"/>
  <c r="W25" i="22"/>
  <c r="V25" i="22"/>
  <c r="J19" i="22"/>
  <c r="I19" i="22"/>
  <c r="H19" i="22"/>
  <c r="J18" i="22"/>
  <c r="I18" i="22"/>
  <c r="J17" i="22"/>
  <c r="I17" i="22"/>
  <c r="J15" i="22"/>
  <c r="I15" i="22"/>
  <c r="J14" i="22"/>
  <c r="I14" i="22"/>
  <c r="D14" i="22"/>
  <c r="D13" i="22"/>
  <c r="D12" i="22"/>
  <c r="H11" i="22"/>
  <c r="D11" i="22"/>
  <c r="D9" i="22"/>
  <c r="D8" i="22"/>
  <c r="D6" i="22"/>
  <c r="J5" i="22"/>
  <c r="K5" i="22" s="1"/>
  <c r="K3" i="22"/>
  <c r="C1" i="26"/>
  <c r="V28" i="1"/>
  <c r="U28" i="1"/>
  <c r="V27" i="1"/>
  <c r="U27" i="1"/>
  <c r="V26" i="1"/>
  <c r="U26" i="1"/>
  <c r="V25" i="1"/>
  <c r="U25" i="1"/>
  <c r="I17" i="1"/>
  <c r="C12" i="1"/>
  <c r="H11" i="1"/>
  <c r="D6" i="1"/>
  <c r="D9" i="1" s="1"/>
  <c r="I5" i="1"/>
  <c r="H10" i="22" s="1"/>
  <c r="H5" i="1"/>
  <c r="H19" i="1" s="1"/>
  <c r="I4" i="1"/>
  <c r="O5" i="1" l="1"/>
  <c r="K3" i="1"/>
  <c r="D12" i="1"/>
  <c r="J18" i="1" s="1"/>
  <c r="H12" i="1"/>
  <c r="I12" i="1"/>
  <c r="B2" i="26" s="1"/>
  <c r="M5" i="22"/>
  <c r="L5" i="22"/>
  <c r="N5" i="22"/>
  <c r="J5" i="1"/>
  <c r="D13" i="1" s="1"/>
  <c r="I12" i="22"/>
  <c r="C2" i="26"/>
  <c r="D2" i="26"/>
  <c r="D11" i="1"/>
  <c r="J17" i="1" s="1"/>
  <c r="D8" i="1"/>
  <c r="I14" i="1"/>
  <c r="J14" i="1" s="1"/>
  <c r="I15" i="1"/>
  <c r="J15" i="1" s="1"/>
  <c r="H10" i="1"/>
  <c r="I18" i="1"/>
  <c r="N5" i="1" l="1"/>
  <c r="K5" i="1"/>
  <c r="D14" i="1"/>
  <c r="E2" i="26" s="1"/>
  <c r="M5" i="1"/>
  <c r="L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<sst xmlns="http://schemas.openxmlformats.org/spreadsheetml/2006/main" count="76360" uniqueCount="10010">
  <si>
    <t>INSS</t>
  </si>
  <si>
    <t>ISS</t>
  </si>
  <si>
    <t>Locação</t>
  </si>
  <si>
    <t>Serviço</t>
  </si>
  <si>
    <t>VALOR NOTA</t>
  </si>
  <si>
    <t>IR</t>
  </si>
  <si>
    <t>21/01 a 20/02 TRATOR SOBRE ESTEIRAS 19.000KG(LTE29)</t>
  </si>
  <si>
    <t>LOCAÇÃO</t>
  </si>
  <si>
    <t>SERVIÇO</t>
  </si>
  <si>
    <t>LOCACACAO DO(S) EQUIPAMENTO(S) ABAIXO REFERENTE O PERÍODO DE 00/00/18 a 00/00/18 
C.: ??? - Nro uncio: ????
PEDIDO:  ????</t>
  </si>
  <si>
    <t>NOVO MODELO</t>
  </si>
  <si>
    <t>RETENÇÕES</t>
  </si>
  <si>
    <t>PIS - COFINS - CSLL</t>
  </si>
  <si>
    <t>MOBILIZAÇÃO MUCK</t>
  </si>
  <si>
    <t>MOBILIZAÇÃO CARRETA</t>
  </si>
  <si>
    <t>MONTAGEM</t>
  </si>
  <si>
    <t>VALOR POR ATIVIDADE</t>
  </si>
  <si>
    <t>MODELO DE RETENÇÕES E OBSERVAÇÕES NOTA</t>
  </si>
  <si>
    <t>VALOR LIQUIDO NOTA</t>
  </si>
  <si>
    <t>preencher somente os campos em cinza.</t>
  </si>
  <si>
    <t>COBRANÇA REF. A MOBILIZAÇÃO DE CONTAINER E MONTAGEM - CONTRATO SERVIÇO: 8????? - OBRA: ???????
PEDIDO: ?????? - Nº DOC. COBRANÇA: ???
OBRA: ????
VENCIMENTO: 00/00/00 
MODALIDADE PGTO: CREDITO CONTA CORRENTE 
    BANCO SANTANDER 
    AGÊNCIA: 3036 
    C/C: 130045755</t>
  </si>
  <si>
    <t>EQUIPAMENTO</t>
  </si>
  <si>
    <t>Retenção Sobre 35% - Serviço</t>
  </si>
  <si>
    <t>Instrução Normativa 971 - SEÇÃO V - ART. 121</t>
  </si>
  <si>
    <t>BASE RETENÇÕES</t>
  </si>
  <si>
    <t>Redução da base de cálculo do INSS, aplicado de acordo com art. 118  – inciso II – letra b da IN 2110/2022</t>
  </si>
  <si>
    <t xml:space="preserve">DESMOBILIZACAO COM CAMINHAO MUNCK - VALOR REFERENTE A PRESTAÇÃO DE SERVIÇO COM CAMINHÃO MUNCK PARA DESMOBILIZACAO CONFORME CONTRATO: </t>
  </si>
  <si>
    <t xml:space="preserve">MOBILIZACAO COM CAMINHAO MUNCK - VALOR REFERENTE A PRESTAÇÃO DE SERVIÇO COM CAMINHÃO MUNCK PARA MOBILIZAÇÃO CONFORME CONTRATO: </t>
  </si>
  <si>
    <t xml:space="preserve">MOBILIZACAO COM CARRETA - VALOR REFERENTE A PRESTAÇÃO DE SERVIÇO COM CARRETA PARA MOBILIZAÇÃO CONFORME CONTRATO: </t>
  </si>
  <si>
    <t xml:space="preserve">DESMOBILIZACAO COM CARRETA - VALOR REFERENTE A PRESTAÇÃO DE SERVIÇO COM CARRETA PARA DESMOBILIZAÇÃO CONFORME CONTRATO: </t>
  </si>
  <si>
    <t>CONTRATO</t>
  </si>
  <si>
    <t>BR - BRASIL</t>
  </si>
  <si>
    <t>VENCIMENTO</t>
  </si>
  <si>
    <t>OBSERVAÇÃO</t>
  </si>
  <si>
    <t>DESCRIÇÃO NF</t>
  </si>
  <si>
    <t xml:space="preserve">MOBILIZACAO &amp; DESMOBILIZACAO COM CAMINHAO MUNCK - VALOR REFERENTE A PRESTAÇÃO DE SERVIÇO COM CAMINHÃO MUNCK PARA MOBILIZAÇÃO &amp; DESMOBILIZACAO CONFORME CONTRATO: </t>
  </si>
  <si>
    <t xml:space="preserve">MONTAGEM &amp; MOBILIZAÇÃO - VALOR REFERENTE A PRESTAÇÃO DE SERVIÇO COM CAMINHÃO MUNCK PARA MONTAGEM &amp; MOBILIZAÇÃO CONFORME CONTRATO: </t>
  </si>
  <si>
    <t>BASE CÁLC. INSS</t>
  </si>
  <si>
    <t xml:space="preserve">MONTAGEM - VALOR REFERENTE A PRESTAÇÃO DE SERVIÇO PARA MONTAGEM CONFORME CONTRATO: </t>
  </si>
  <si>
    <t xml:space="preserve">DESMONTAGEM - VALOR REFERENTE A PRESTAÇÃO DE SERVIÇO PARA DESMONTAGEM CONFORME CONTRATO: </t>
  </si>
  <si>
    <t>SITES</t>
  </si>
  <si>
    <t>BELO HORIZONTE</t>
  </si>
  <si>
    <t>CONTAGEM</t>
  </si>
  <si>
    <t>P E L - RONDONIA</t>
  </si>
  <si>
    <t>SÃO LUIS/MA</t>
  </si>
  <si>
    <t>PARAUAPEBAS/PA</t>
  </si>
  <si>
    <t>MIRASSOL/SP</t>
  </si>
  <si>
    <t>DUQUE DE CAXIAS/RJ</t>
  </si>
  <si>
    <t>JABOATÃO DOS GUARARAPES/PE</t>
  </si>
  <si>
    <t>IMPERATRIZ/ MA</t>
  </si>
  <si>
    <t>COTIA/SP</t>
  </si>
  <si>
    <t>SÃO JOÃO DA BARRA/RJ</t>
  </si>
  <si>
    <t>PORTO VELHO/ RO</t>
  </si>
  <si>
    <t>SALVADOR</t>
  </si>
  <si>
    <t>ALUGA LOGO - BH</t>
  </si>
  <si>
    <t>RIBEIRÃO PRETO/SP</t>
  </si>
  <si>
    <t>SITE</t>
  </si>
  <si>
    <t>CIDADE</t>
  </si>
  <si>
    <t>LINK</t>
  </si>
  <si>
    <t>USUARIO</t>
  </si>
  <si>
    <t>SENHA</t>
  </si>
  <si>
    <t>RAZAO SOCIAL</t>
  </si>
  <si>
    <t>USUÁRIO</t>
  </si>
  <si>
    <t xml:space="preserve">MOBILIZACAO COM TRUCK - VALOR REFERENTE A PRESTAÇÃO DE SERVIÇO COM TRUCK PARA MOBILIZAÇÃO CONFORME CONTRATO: </t>
  </si>
  <si>
    <t xml:space="preserve">DESMOBILIZACAO COM TRUCK - VALOR REFERENTE A PRESTAÇÃO DE SERVIÇO COM TRUCK PARA DESMOBILIZAÇÃO CONFORME CONTRATO: </t>
  </si>
  <si>
    <t xml:space="preserve">MONTAGEM &amp; DESMOBILIZAÇÃO - VALOR REFERENTE A PRESTAÇÃO DE SERVIÇO COM CAMINHÃO MUNCK PARA MONTAGEM &amp; DESMOBILIZAÇÃO CONFORME CONTRATO: </t>
  </si>
  <si>
    <t xml:space="preserve">DESMONTAGEM &amp; MOBILIZAÇÃO - VALOR REFERENTE A PRESTAÇÃO DE SERVIÇO COM CAMINHÃO MUNCK PARA DESMONTAGEM &amp; MOBILIZAÇÃO CONFORME CONTRATO: </t>
  </si>
  <si>
    <t>ENDEREÇO</t>
  </si>
  <si>
    <t xml:space="preserve">MOBILIZACAO &amp; DESMOBILIZACAO COM CAMINHAO CARRETA - VALOR REFERENTE A PRESTAÇÃO DE SERVIÇO COM CARRETA PARA MOBILIZAÇÃO &amp; DESMOBILIZACAO CONFORME CONTRATO: </t>
  </si>
  <si>
    <t xml:space="preserve">MOBILIZACAO &amp; DESMOBILIZACAO COM TRUCK - VALOR REFERENTE A PRESTAÇÃO DE SERVIÇO COM TRUCK MOBILIZAÇÃO &amp; DESMOBILIZACAO CONFORME CONTRATO: </t>
  </si>
  <si>
    <t>MOB</t>
  </si>
  <si>
    <t>DESMOB</t>
  </si>
  <si>
    <t>MONTA</t>
  </si>
  <si>
    <t>DESMON</t>
  </si>
  <si>
    <t>X</t>
  </si>
  <si>
    <t xml:space="preserve">MONTAGEM &amp; MOBILIZAÇÃO - VALOR REFERENTE A PRESTAÇÃO DE SERVIÇO COM CARRETA PARA MONTAGEM &amp; MOBILIZAÇÃO CONFORME CONTRATO: </t>
  </si>
  <si>
    <t xml:space="preserve">MONTAGEM &amp; MOBILIZAÇÃO - VALOR REFERENTE A PRESTAÇÃO DE SERVIÇO COM TRUCK PARA MONTAGEM &amp; MOBILIZAÇÃO CONFORME CONTRATO: </t>
  </si>
  <si>
    <t xml:space="preserve">MONTAGEM &amp; DESMOBILIZAÇÃO - VALOR REFERENTE A PRESTAÇÃO DE SERVIÇO COM CARRETA PARA MONTAGEM &amp; DESMOBILIZAÇÃO CONFORME CONTRATO: </t>
  </si>
  <si>
    <t xml:space="preserve">MONTAGEM &amp; DESMOBILIZAÇÃO - VALOR REFERENTE A PRESTAÇÃO DE SERVIÇO COM TRUCK PARA MONTAGEM &amp; DESMOBILIZAÇÃO CONFORME CONTRATO: </t>
  </si>
  <si>
    <t xml:space="preserve">DESMONTAGEM &amp; DESMOBILIZAÇÃO - VALOR REFERENTE A PRESTAÇÃO DE SERVIÇO COM CAMINHÃO MUNCK PARA DESMONTAGEM &amp; DESMOBILIZAÇÃO CONFORME CONTRATO: </t>
  </si>
  <si>
    <t xml:space="preserve">DESMONTAGEM &amp; DESMOBILIZAÇÃO - VALOR REFERENTE A PRESTAÇÃO DE SERVIÇO COM CARRETA PARA DESMONTAGEM &amp; DESMOBILIZAÇÃO CONFORME CONTRATO: </t>
  </si>
  <si>
    <t xml:space="preserve">DESMONTAGEM &amp; DESMOBILIZAÇÃO - VALOR REFERENTE A PRESTAÇÃO DE SERVIÇO COM TRUCK PARA DESMONTAGEM &amp; DESMOBILIZAÇÃO CONFORME CONTRATO: </t>
  </si>
  <si>
    <t>EQUIP. DEDUÇÃO INSS</t>
  </si>
  <si>
    <t>Nº Contrato</t>
  </si>
  <si>
    <t>Cond Pagto</t>
  </si>
  <si>
    <t>Nome Cliente</t>
  </si>
  <si>
    <t>Nº Oportunidade</t>
  </si>
  <si>
    <t>Cliente</t>
  </si>
  <si>
    <t>Categoria</t>
  </si>
  <si>
    <t>Site</t>
  </si>
  <si>
    <t>Nome</t>
  </si>
  <si>
    <t>Nome End Documento</t>
  </si>
  <si>
    <t>Tipo Contrato</t>
  </si>
  <si>
    <t>Descrição</t>
  </si>
  <si>
    <t>Status</t>
  </si>
  <si>
    <t>Medição</t>
  </si>
  <si>
    <t>THIAGO CESAR TOFANELLI</t>
  </si>
  <si>
    <t>60 DIAS - 1x</t>
  </si>
  <si>
    <t>CONSTRUCAO CIVIL</t>
  </si>
  <si>
    <t>THAYNA IZABELLA NEVES</t>
  </si>
  <si>
    <t>Á VISTA</t>
  </si>
  <si>
    <t>COMERCIO</t>
  </si>
  <si>
    <t>ALBERTO ANTONIO DA SILVA</t>
  </si>
  <si>
    <t>30 DIAS - 1x</t>
  </si>
  <si>
    <t>SIDERURGIA</t>
  </si>
  <si>
    <t>LUCIENE RABELO DOS SANTOS</t>
  </si>
  <si>
    <t>45 DIAS - 1x</t>
  </si>
  <si>
    <t>COMUNICACAO E TECNOLOGIA</t>
  </si>
  <si>
    <t>Faturamento Direto</t>
  </si>
  <si>
    <t>GISLENE RABELO DOS SANTOS</t>
  </si>
  <si>
    <t>PESSOA FISICA</t>
  </si>
  <si>
    <t>THAIS LYDIANE SILVA GONCALVES</t>
  </si>
  <si>
    <t>18 DIAS - 1x</t>
  </si>
  <si>
    <t>Cliente Potencial</t>
  </si>
  <si>
    <t>INDUSTRIA</t>
  </si>
  <si>
    <t>KATIA MARIA SILVA</t>
  </si>
  <si>
    <t>Ativo</t>
  </si>
  <si>
    <t>AILTON ADRIANO SILVA</t>
  </si>
  <si>
    <t>MINERACAO</t>
  </si>
  <si>
    <t>FELIPE HELBERT GOUVEIA VERAS</t>
  </si>
  <si>
    <t>NATHALIA NEVES SOARES</t>
  </si>
  <si>
    <t>SAUDE</t>
  </si>
  <si>
    <t>TRANSPORTE</t>
  </si>
  <si>
    <t>LUIZ FERNANDO ROSA CARVALHO COSTA</t>
  </si>
  <si>
    <t>ENERGIA</t>
  </si>
  <si>
    <t>BETHANIA OLIVEIRA DO NASCIMENTO</t>
  </si>
  <si>
    <t>CLAUDIO MARCELO ALVES</t>
  </si>
  <si>
    <t>WESLEY SILVA SANTOS</t>
  </si>
  <si>
    <t>FATURAMENTO</t>
  </si>
  <si>
    <t>05 DIAS - 1x</t>
  </si>
  <si>
    <t>28 DIAS - 1x</t>
  </si>
  <si>
    <t>ORGAO PUBLICO</t>
  </si>
  <si>
    <t>GESTAO DE RESIDUOS</t>
  </si>
  <si>
    <t>10 DIAS - 1x</t>
  </si>
  <si>
    <t>AMANDA DOS SANTOS SILVA</t>
  </si>
  <si>
    <t>FIXO DIA 5</t>
  </si>
  <si>
    <t>FIXO DIA 05</t>
  </si>
  <si>
    <t>21 DIAS - 1x</t>
  </si>
  <si>
    <t>CARLOS RAFAEL ZORZATE</t>
  </si>
  <si>
    <t>CARLOS</t>
  </si>
  <si>
    <t>KATHLEEN MENEZES XAVIER</t>
  </si>
  <si>
    <t>SETOR AGRICOLA</t>
  </si>
  <si>
    <t>ITABIRA</t>
  </si>
  <si>
    <t>NOVA LIMA</t>
  </si>
  <si>
    <t>MARCELO LUIZ BORGES SILVA</t>
  </si>
  <si>
    <t>15 DIAS - 1x</t>
  </si>
  <si>
    <t>MIRIALLY NAIR AGOSTINHO BARBOSA</t>
  </si>
  <si>
    <t>OURO PRETO</t>
  </si>
  <si>
    <t>20 DIAS - 1x</t>
  </si>
  <si>
    <t>CAROLINA PINHEIRO DE PIRES</t>
  </si>
  <si>
    <t>SETOR IMOBILIARIO</t>
  </si>
  <si>
    <t>NILTON CEZAR DA SILVA</t>
  </si>
  <si>
    <t>EVENTOS</t>
  </si>
  <si>
    <t>ROMARA AMANDA ALVES FERREIRA SANTOS</t>
  </si>
  <si>
    <t>À Vista</t>
  </si>
  <si>
    <t>BETIM</t>
  </si>
  <si>
    <t>FIXO DIA 10</t>
  </si>
  <si>
    <t>JAIBA</t>
  </si>
  <si>
    <t>MARIANA</t>
  </si>
  <si>
    <t>BEATRIZ DE JESUS SANTANA</t>
  </si>
  <si>
    <t>IPATINGA</t>
  </si>
  <si>
    <t>35 DIAS - 1x</t>
  </si>
  <si>
    <t>EDUCACAO</t>
  </si>
  <si>
    <t>ELIVAN VIEIRA DOS SANTOS</t>
  </si>
  <si>
    <t>25 DIAS - 1x</t>
  </si>
  <si>
    <t>64 DIAS - 1x</t>
  </si>
  <si>
    <t>SAÚDE</t>
  </si>
  <si>
    <t>BRUMADINHO</t>
  </si>
  <si>
    <t>OURO BRANCO</t>
  </si>
  <si>
    <t>OLEO E GAS</t>
  </si>
  <si>
    <t>90 DIAS - 1x</t>
  </si>
  <si>
    <t>SABARA</t>
  </si>
  <si>
    <t>OF6167-2021</t>
  </si>
  <si>
    <t>HELENA DO NASCIMENTO LIMA</t>
  </si>
  <si>
    <t>PG ANTECIPADO</t>
  </si>
  <si>
    <t>30/60</t>
  </si>
  <si>
    <t>30/60 DIAS - 2x</t>
  </si>
  <si>
    <t>CONGONHAS</t>
  </si>
  <si>
    <t>PINDAMONHANGABA</t>
  </si>
  <si>
    <t>14 DIAS- 1x</t>
  </si>
  <si>
    <t>30 Dias Líquido</t>
  </si>
  <si>
    <t>SHEILA CORREIA DE OLIVEIRA</t>
  </si>
  <si>
    <t>COBRANÇA</t>
  </si>
  <si>
    <t>HUGO MACHADO</t>
  </si>
  <si>
    <t>ITABIRITO</t>
  </si>
  <si>
    <t>CLAUDIA DOS SANTOS OLIVEIRA</t>
  </si>
  <si>
    <t>BARAO DE COCAIS</t>
  </si>
  <si>
    <t>SAO PAULO</t>
  </si>
  <si>
    <t>CANAA DOS CARAJAS</t>
  </si>
  <si>
    <t>ITATIAIUCU</t>
  </si>
  <si>
    <t>IPOJUCA</t>
  </si>
  <si>
    <t>REGISLAINE SOUZA CARRANCA FERREIRA DE ABREU</t>
  </si>
  <si>
    <t>ARCOS</t>
  </si>
  <si>
    <t>GABRIELA TAMARA DE ANDRADE SANTOS</t>
  </si>
  <si>
    <t>RECIFE</t>
  </si>
  <si>
    <t>ENT+30</t>
  </si>
  <si>
    <t>ENT+30 DIAS - 2x</t>
  </si>
  <si>
    <t>07 DIAS - 1x</t>
  </si>
  <si>
    <t>RIO DE JANEIRO</t>
  </si>
  <si>
    <t>DIVINOPOLIS</t>
  </si>
  <si>
    <t>70 DIAS - 1x</t>
  </si>
  <si>
    <t>FIXO DIA 30</t>
  </si>
  <si>
    <t>UBERABA</t>
  </si>
  <si>
    <t>RAYRA MARIA VICTORIA MAGALHAES DE LIMA</t>
  </si>
  <si>
    <t>RAFAELY EMANUELLE SILVA</t>
  </si>
  <si>
    <t>06 DIAS - 1x</t>
  </si>
  <si>
    <t>INDAIATUBA</t>
  </si>
  <si>
    <t>CAMPINAS</t>
  </si>
  <si>
    <t>04 DIAS - 1x</t>
  </si>
  <si>
    <t>OSASCO</t>
  </si>
  <si>
    <t>74 DIAS - 1x</t>
  </si>
  <si>
    <t>SANTA LUZIA</t>
  </si>
  <si>
    <t>JECEABA</t>
  </si>
  <si>
    <t>FIXO DIA 20</t>
  </si>
  <si>
    <t>PARACATU</t>
  </si>
  <si>
    <t>CAMPO GRANDE</t>
  </si>
  <si>
    <t>ALIMENTACAO</t>
  </si>
  <si>
    <t>BARUERI</t>
  </si>
  <si>
    <t>SANTOS</t>
  </si>
  <si>
    <t>Rodrigo de Paula Machado Chaves</t>
  </si>
  <si>
    <t>20 Dias Líquido</t>
  </si>
  <si>
    <t>JOAO PESSOA</t>
  </si>
  <si>
    <t>ENTRADA 50%+30DIAS</t>
  </si>
  <si>
    <t>ENTRADA 50%+30DIAS - 2x</t>
  </si>
  <si>
    <t>BONIFICACAO</t>
  </si>
  <si>
    <t>EVANDRO NERES DIAS</t>
  </si>
  <si>
    <t>VESPASIANO</t>
  </si>
  <si>
    <t>50% ANT/50% A VISTA</t>
  </si>
  <si>
    <t>50% ANT/50% A VISTA 2x</t>
  </si>
  <si>
    <t>30% ANTECIP +70% 2X</t>
  </si>
  <si>
    <t>30% ANTECIP +70% 2x</t>
  </si>
  <si>
    <t>LAGOA SANTA</t>
  </si>
  <si>
    <t>CUBATAO</t>
  </si>
  <si>
    <t>GUARULHOS</t>
  </si>
  <si>
    <t>FIXO DIA 15</t>
  </si>
  <si>
    <t>JEFERSON NOVAIS DE SOUZA</t>
  </si>
  <si>
    <t>LAJEADO</t>
  </si>
  <si>
    <t>PIRASSUNUNGA</t>
  </si>
  <si>
    <t>PEDRO LEOPOLDO</t>
  </si>
  <si>
    <t>40 DIAS - 1x</t>
  </si>
  <si>
    <t>SIDNEI CASTELLO JUNIOR</t>
  </si>
  <si>
    <t>RUDNEY LUIS ALVES ROCHA</t>
  </si>
  <si>
    <t>DIAMANTINA</t>
  </si>
  <si>
    <t>NICOLE PIRES SILVA</t>
  </si>
  <si>
    <t>Liberado</t>
  </si>
  <si>
    <t>ENT 50% 72/32 3X</t>
  </si>
  <si>
    <t>PERMUTA</t>
  </si>
  <si>
    <t>0/152/188</t>
  </si>
  <si>
    <t>0/152/188 DIAS - 3x</t>
  </si>
  <si>
    <t>30/60/90/120</t>
  </si>
  <si>
    <t>30/60/90/120 DIAS - 4x</t>
  </si>
  <si>
    <t>NATALIA ROSA PINHEIRO</t>
  </si>
  <si>
    <t>ROSALIA RODRIGUES DA LUZ SOUZA</t>
  </si>
  <si>
    <t>RODRIGO GOMES VAZ</t>
  </si>
  <si>
    <t>FABRICIO DE OLIVEIRA CASTRO</t>
  </si>
  <si>
    <t>FIXO DIA 25</t>
  </si>
  <si>
    <t>DIEMES STEFANY PEREIRA LEITE</t>
  </si>
  <si>
    <t>TIAGO JUNIO TEIXEIRA MOUTINHO</t>
  </si>
  <si>
    <t>CLIENTE</t>
  </si>
  <si>
    <t xml:space="preserve">MOBILIZACAO COM CAMINHAO MUNCK, CARRETA &amp; TRUCK - VALOR REFERENTE A PRESTAÇÃO DE SERVIÇO COM CAMINHÃO MUNCK, CARRETA &amp; TRUCK PARA MOBILIZAÇÃO CONFORME CONTRATO: </t>
  </si>
  <si>
    <t xml:space="preserve"> </t>
  </si>
  <si>
    <t>AV. ARTUR BERNARDES, 01</t>
  </si>
  <si>
    <t>36555000 - ERVALIA</t>
  </si>
  <si>
    <t>MG</t>
  </si>
  <si>
    <t>COM RETENÇÃO I.R</t>
  </si>
  <si>
    <t>LÍDER DE MONTAGEM - VALOR REFERENTE AO SERVIÇO DE LIDER DE MONTAGEM PARA SUPERVISIONAR MONTAGEM DOS MÓDULOS DE CONTAINER</t>
  </si>
  <si>
    <t>Coordenador</t>
  </si>
  <si>
    <t>Nome Coordenador</t>
  </si>
  <si>
    <t>EDUARDO</t>
  </si>
  <si>
    <t>DIEGO</t>
  </si>
  <si>
    <t>FLAVIO</t>
  </si>
  <si>
    <t>Tatiana</t>
  </si>
  <si>
    <t>DANIEL</t>
  </si>
  <si>
    <t>LEANDRO</t>
  </si>
  <si>
    <t>ENVIO NF</t>
  </si>
  <si>
    <t>MARCIO</t>
  </si>
  <si>
    <t>CARLOS HENRIQUE</t>
  </si>
  <si>
    <t>NF 01</t>
  </si>
  <si>
    <t>RENATA</t>
  </si>
  <si>
    <t>WANDERSON</t>
  </si>
  <si>
    <t>RIO PIRACICABA</t>
  </si>
  <si>
    <t>ANDERSON</t>
  </si>
  <si>
    <t>PIRACICABA</t>
  </si>
  <si>
    <t>JAIRO</t>
  </si>
  <si>
    <t>CAMILA</t>
  </si>
  <si>
    <t>FERNANDO</t>
  </si>
  <si>
    <t>ITAGUAI</t>
  </si>
  <si>
    <t>ANDRE</t>
  </si>
  <si>
    <t>RIO DAS OSTRAS</t>
  </si>
  <si>
    <t>BALDIM</t>
  </si>
  <si>
    <t>MARCOS</t>
  </si>
  <si>
    <t>NF</t>
  </si>
  <si>
    <t>RAFAEL</t>
  </si>
  <si>
    <t>BRUNO</t>
  </si>
  <si>
    <t>CINTIA</t>
  </si>
  <si>
    <t>PARAUAPEBAS</t>
  </si>
  <si>
    <t>ROGERIO</t>
  </si>
  <si>
    <t>jailton quintino</t>
  </si>
  <si>
    <t>JEFERSON</t>
  </si>
  <si>
    <t>CARIACICA</t>
  </si>
  <si>
    <t>Andre</t>
  </si>
  <si>
    <t>GUSTAVO</t>
  </si>
  <si>
    <t>CAMILA OLIVEIRA</t>
  </si>
  <si>
    <t>RODRIGO</t>
  </si>
  <si>
    <t>ANDRE FUGITA</t>
  </si>
  <si>
    <t>ITABORAI</t>
  </si>
  <si>
    <t>DUQUE DE CAXIAS</t>
  </si>
  <si>
    <t>GODOFREDO VIANA</t>
  </si>
  <si>
    <t>Anderson</t>
  </si>
  <si>
    <t>HELIO</t>
  </si>
  <si>
    <t>SANDRO</t>
  </si>
  <si>
    <t>CLAUDIO</t>
  </si>
  <si>
    <t>ADRIANA</t>
  </si>
  <si>
    <t>MARABA</t>
  </si>
  <si>
    <t>MARIA JOSE</t>
  </si>
  <si>
    <t>JULIANA</t>
  </si>
  <si>
    <t>BELO VALE</t>
  </si>
  <si>
    <t>BARRA LONGA</t>
  </si>
  <si>
    <t>ENVIO DE NF</t>
  </si>
  <si>
    <t>AIMORES</t>
  </si>
  <si>
    <t>Felipe de Azevedo Pereira</t>
  </si>
  <si>
    <t>PORTO VELHO</t>
  </si>
  <si>
    <t>Ricardo</t>
  </si>
  <si>
    <t>Renan</t>
  </si>
  <si>
    <t>THIAGO</t>
  </si>
  <si>
    <t>Fabrício</t>
  </si>
  <si>
    <t>Rafael</t>
  </si>
  <si>
    <t>NF 02</t>
  </si>
  <si>
    <t>SANTA BARBARA</t>
  </si>
  <si>
    <t>JOSE CARLOS</t>
  </si>
  <si>
    <t>HUGO</t>
  </si>
  <si>
    <t>Jadson Mendonca Palheta</t>
  </si>
  <si>
    <t>ALEXANDRE GILL</t>
  </si>
  <si>
    <t>SAO LUIS</t>
  </si>
  <si>
    <t>Magno Junior</t>
  </si>
  <si>
    <t>Thalyta Cavalcanti</t>
  </si>
  <si>
    <t>Felipe</t>
  </si>
  <si>
    <t>Ana</t>
  </si>
  <si>
    <t>Paulo</t>
  </si>
  <si>
    <t>JOAO MONLEVADE</t>
  </si>
  <si>
    <t>Marcus Vinícius</t>
  </si>
  <si>
    <t>ALESSANDRA</t>
  </si>
  <si>
    <t>ESCADA</t>
  </si>
  <si>
    <t>Alexandre</t>
  </si>
  <si>
    <t>Raimundo</t>
  </si>
  <si>
    <t>Maria Julia Andrade Silva</t>
  </si>
  <si>
    <t>CAIO</t>
  </si>
  <si>
    <t>Daniel</t>
  </si>
  <si>
    <t>ITU</t>
  </si>
  <si>
    <t>CATAS ALTAS</t>
  </si>
  <si>
    <t>Evelyn</t>
  </si>
  <si>
    <t>JOSE EDEILSON</t>
  </si>
  <si>
    <t>MAGE</t>
  </si>
  <si>
    <t>LUIZ FERNANDO R. DOS SANTOS</t>
  </si>
  <si>
    <t>Juliana</t>
  </si>
  <si>
    <t>ARACRUZ</t>
  </si>
  <si>
    <t>GUSTAVO BEMFICA SURETTE</t>
  </si>
  <si>
    <t>Gustavo Caetano de Ávila</t>
  </si>
  <si>
    <t>JUNDIAI</t>
  </si>
  <si>
    <t>EZEQUIEL FRANCA</t>
  </si>
  <si>
    <t>Beibiane Lima Bita</t>
  </si>
  <si>
    <t>Everton Chrysler de Oliveira Assis</t>
  </si>
  <si>
    <t>Diego Crasque Fabres</t>
  </si>
  <si>
    <t>RODRIGO LIMA</t>
  </si>
  <si>
    <t>RHAQUEL SILVA</t>
  </si>
  <si>
    <t>ELAINE</t>
  </si>
  <si>
    <t>Kamilla Gomes Cardoso Rosa</t>
  </si>
  <si>
    <t>PAOLA SODRE</t>
  </si>
  <si>
    <t>COTIA</t>
  </si>
  <si>
    <t>Fábio de Sousa Costa</t>
  </si>
  <si>
    <t>GUAPIMIRIM</t>
  </si>
  <si>
    <t>JULIA</t>
  </si>
  <si>
    <t>Rodolfo Santos</t>
  </si>
  <si>
    <t>Gabriel Gerhard</t>
  </si>
  <si>
    <t>NOTA FISCAL</t>
  </si>
  <si>
    <t>SANTANA DE PARNAIBA</t>
  </si>
  <si>
    <t>JESSICA</t>
  </si>
  <si>
    <t>Christian Gomes</t>
  </si>
  <si>
    <t>PAULO HENRIQUE</t>
  </si>
  <si>
    <t>ESTEVAN</t>
  </si>
  <si>
    <t>TIMOTEO</t>
  </si>
  <si>
    <t>Geraldo Magela de Andrade</t>
  </si>
  <si>
    <t>GUSTAVO TEIXEIRA</t>
  </si>
  <si>
    <t>Dyellen</t>
  </si>
  <si>
    <t>Ivanilda</t>
  </si>
  <si>
    <t>ALINE LUANA</t>
  </si>
  <si>
    <t>Rubens</t>
  </si>
  <si>
    <t>COSME HERCULANO</t>
  </si>
  <si>
    <t>Carlos Henrique</t>
  </si>
  <si>
    <t>João Carlos Albuquerque</t>
  </si>
  <si>
    <t>ALINE SODRÉ</t>
  </si>
  <si>
    <t>MARINA</t>
  </si>
  <si>
    <t>THALIA CORREIA</t>
  </si>
  <si>
    <t>MAGNO FABIANO</t>
  </si>
  <si>
    <t>Renan Barroso Soares</t>
  </si>
  <si>
    <t>Heloisa Vale</t>
  </si>
  <si>
    <t>Rosa Magda de Brito Albuquerque</t>
  </si>
  <si>
    <t>Wesley do Canto Souza</t>
  </si>
  <si>
    <t>ELIEZER</t>
  </si>
  <si>
    <t>MARIANA MUNIZ</t>
  </si>
  <si>
    <t>Caíque Gomes Mendonça</t>
  </si>
  <si>
    <t>André Juvenal Pereira</t>
  </si>
  <si>
    <t>MIGUEL CARVALHO</t>
  </si>
  <si>
    <t>RUSSEL ALVES GAMA</t>
  </si>
  <si>
    <t>Vinicius Gabriel Costa</t>
  </si>
  <si>
    <t>DANIEL FERNANDES</t>
  </si>
  <si>
    <t>Claudio Sales</t>
  </si>
  <si>
    <t>Wagner Costa</t>
  </si>
  <si>
    <t>SUZANO</t>
  </si>
  <si>
    <t>Ligia Maria Regilio de Souza</t>
  </si>
  <si>
    <t>LIZY</t>
  </si>
  <si>
    <t>CLEIDIANE</t>
  </si>
  <si>
    <t>Camila Souza</t>
  </si>
  <si>
    <t>Rodrigo Bruno Malaquias</t>
  </si>
  <si>
    <t>Jonathas Andrade</t>
  </si>
  <si>
    <t>Cleidiane Gomes Mendes</t>
  </si>
  <si>
    <t>Geraldo Claret Rios Araujo</t>
  </si>
  <si>
    <t>ARACATUBA</t>
  </si>
  <si>
    <t>Thomas Rhans</t>
  </si>
  <si>
    <t>Raísa Ferraz</t>
  </si>
  <si>
    <t>FABIO SILVEIRA SANTOS</t>
  </si>
  <si>
    <t>Marcos Jaster</t>
  </si>
  <si>
    <t>Ana Luiza Tavares</t>
  </si>
  <si>
    <t>anderson matos</t>
  </si>
  <si>
    <t>Francisco das chagas</t>
  </si>
  <si>
    <t>Deivison Silva</t>
  </si>
  <si>
    <t>Cesar</t>
  </si>
  <si>
    <t>Natália Maluf</t>
  </si>
  <si>
    <t>Alanna Rodrigues</t>
  </si>
  <si>
    <t>MARCOS JUNIOR</t>
  </si>
  <si>
    <t>ANDRE RIBEIRO</t>
  </si>
  <si>
    <t>Paulo BARBOSA</t>
  </si>
  <si>
    <t>Júnio M. Aquino</t>
  </si>
  <si>
    <t>Leandro Pena</t>
  </si>
  <si>
    <t>Bruna Donatelli</t>
  </si>
  <si>
    <t>Pedro Guilherme Alves de Faria</t>
  </si>
  <si>
    <t>aqui é a Natasha da JRJ engenharia</t>
  </si>
  <si>
    <t>BRUNO FLORENCIO</t>
  </si>
  <si>
    <t>Carlos Alfredo Poli</t>
  </si>
  <si>
    <t>Rubens Roberto Porcina</t>
  </si>
  <si>
    <t>Geraldo Mesquita</t>
  </si>
  <si>
    <t>Geraldo</t>
  </si>
  <si>
    <t>Marluce Fonseca</t>
  </si>
  <si>
    <t>Nathalia M. Barisson</t>
  </si>
  <si>
    <t>SUELLEN APL</t>
  </si>
  <si>
    <t>WESLEY QUEIROZ ARAÚJO</t>
  </si>
  <si>
    <t>TACIANA</t>
  </si>
  <si>
    <t>ROGERIO ROBSON DA SILVA JUNIOR</t>
  </si>
  <si>
    <t>ALICE VERNEQUE</t>
  </si>
  <si>
    <t>Luis Gustavo Felix da Rocha</t>
  </si>
  <si>
    <t>Tatiane Amaral</t>
  </si>
  <si>
    <t>JOÃO SOARES BARCELOS SOARES FILHO</t>
  </si>
  <si>
    <t>JÚNIO MACIEL DE AQUINO</t>
  </si>
  <si>
    <t>RENATO OLIVEIRA</t>
  </si>
  <si>
    <t>Elaine de Souza Fernandes</t>
  </si>
  <si>
    <t>KAREN MEDEIROS</t>
  </si>
  <si>
    <t>Nilo</t>
  </si>
  <si>
    <t>Markilma Almeida</t>
  </si>
  <si>
    <t>Fernando Caxias Kmiecik</t>
  </si>
  <si>
    <t>Elton Porto</t>
  </si>
  <si>
    <t>REBEKA SOUSA</t>
  </si>
  <si>
    <t>Suellen Shuaba</t>
  </si>
  <si>
    <t>Renne Muniz</t>
  </si>
  <si>
    <t>Gabrielle de Almeida Mendes</t>
  </si>
  <si>
    <t>TATHIANA DOS SANTOS</t>
  </si>
  <si>
    <t>Eduarda Carvalho</t>
  </si>
  <si>
    <t>ALEXANDRE DOS SANTOS</t>
  </si>
  <si>
    <t>GLEICE PAIXÃO</t>
  </si>
  <si>
    <t>claudia moraes duarte</t>
  </si>
  <si>
    <t>HAISLAN</t>
  </si>
  <si>
    <t>Rogério Machado</t>
  </si>
  <si>
    <t>FRANCISCO CABRAL</t>
  </si>
  <si>
    <t>Lidianni Roberta Sales Santos</t>
  </si>
  <si>
    <t>FELIPE COCCO</t>
  </si>
  <si>
    <t>ARLLISSON DIEGO</t>
  </si>
  <si>
    <t>Fernanda Cristina Santos Brito</t>
  </si>
  <si>
    <t>Kesley Caldeira</t>
  </si>
  <si>
    <t>ROGER DIAS</t>
  </si>
  <si>
    <t>Amanda Halfeld</t>
  </si>
  <si>
    <t>BIANCA CATANHEDE</t>
  </si>
  <si>
    <t>Bruna Pacheco</t>
  </si>
  <si>
    <t>Luiz Motta</t>
  </si>
  <si>
    <t>Ronaldo Amorim Santos</t>
  </si>
  <si>
    <t>ELIAS</t>
  </si>
  <si>
    <t>MILENA GONÇALVES</t>
  </si>
  <si>
    <t>Andrea Moura</t>
  </si>
  <si>
    <t>REJANE REZENDE MATOS</t>
  </si>
  <si>
    <t>Rodrigo</t>
  </si>
  <si>
    <t>Felipe Silveira do Amaral Fonseca</t>
  </si>
  <si>
    <t>Gislaine Assis</t>
  </si>
  <si>
    <t>CAIO FRANÇA</t>
  </si>
  <si>
    <t>Luigi</t>
  </si>
  <si>
    <t>DAYANNA DAMASCENO</t>
  </si>
  <si>
    <t>GIOVANA MORALLI</t>
  </si>
  <si>
    <t>ROZE ALENCAR</t>
  </si>
  <si>
    <t>PATRIC MONTEIRO</t>
  </si>
  <si>
    <t>PEDRO OLIVEIRA</t>
  </si>
  <si>
    <t>Nicolle</t>
  </si>
  <si>
    <t>LUAN FERREIRA</t>
  </si>
  <si>
    <t>KAREN OLIVEIRA</t>
  </si>
  <si>
    <t>Mauricio Ber</t>
  </si>
  <si>
    <t>Angela Carolina Leal Murta</t>
  </si>
  <si>
    <t>KEVIN</t>
  </si>
  <si>
    <t>Lucas Fonseca Rodrigues Pereira</t>
  </si>
  <si>
    <t>FABIO ZENI</t>
  </si>
  <si>
    <t>Janaina Pereira</t>
  </si>
  <si>
    <t>Huglecia Lima</t>
  </si>
  <si>
    <t>Vanessa Gomes</t>
  </si>
  <si>
    <t>Marcio Meireles de Castro</t>
  </si>
  <si>
    <t>Junior Duarte</t>
  </si>
  <si>
    <t>ELIANE</t>
  </si>
  <si>
    <t>Henrique de Souza Fontes e Silva</t>
  </si>
  <si>
    <t>ALBERTO DOS SANTOS</t>
  </si>
  <si>
    <t>Luan Aurelio dos Santos Souza</t>
  </si>
  <si>
    <t>GABRIEL PALOCO</t>
  </si>
  <si>
    <t>Samuel Galdino</t>
  </si>
  <si>
    <t>Sabrina Garcia</t>
  </si>
  <si>
    <t>FELIPE RONCETE</t>
  </si>
  <si>
    <t>JOSE REINALDO FERNANDES</t>
  </si>
  <si>
    <t>GUSTAVO AVELAR</t>
  </si>
  <si>
    <t>Ederson Gomes Tiburcio</t>
  </si>
  <si>
    <t>Geandro Amancio da Silva</t>
  </si>
  <si>
    <t>Bruna Maria de Melo Bizarro</t>
  </si>
  <si>
    <t>Luís Sobreira</t>
  </si>
  <si>
    <t>Esdras</t>
  </si>
  <si>
    <t>André Luiz Corrêa Santos Paiva</t>
  </si>
  <si>
    <t>Matheus Yan Teodoro Gonçalves</t>
  </si>
  <si>
    <t>AILTON COSTA</t>
  </si>
  <si>
    <t>MARTA</t>
  </si>
  <si>
    <t>MARCO AURELIO SILVA DE JESUS</t>
  </si>
  <si>
    <t>Jaqueline Vischi</t>
  </si>
  <si>
    <t>CAMILA MARINHO</t>
  </si>
  <si>
    <t>MESSIAS</t>
  </si>
  <si>
    <t>Renato Silva de Mendonça</t>
  </si>
  <si>
    <t>Augusto Cesar Ribeiro de Oliveira</t>
  </si>
  <si>
    <t>Jhepherson</t>
  </si>
  <si>
    <t>Thaise Alves Cabral</t>
  </si>
  <si>
    <t>DAYANE TALITA</t>
  </si>
  <si>
    <t>FABIANA PATRICIA</t>
  </si>
  <si>
    <t>Eliomar Borges</t>
  </si>
  <si>
    <t>Joana Melillo</t>
  </si>
  <si>
    <t>Thiago Rodrigues do Nascimento</t>
  </si>
  <si>
    <t>JUNIA SALES</t>
  </si>
  <si>
    <t>Eugênio Pacelli Reis Riani</t>
  </si>
  <si>
    <t>SHEILA SILVA</t>
  </si>
  <si>
    <t>HUGO BEZERRA</t>
  </si>
  <si>
    <t>Katiane Campos da silva</t>
  </si>
  <si>
    <t>MARCOS.</t>
  </si>
  <si>
    <t>ANA SIQUEIRA</t>
  </si>
  <si>
    <t>Cláudio Henrique da F. Santos</t>
  </si>
  <si>
    <t>Cantidio Trindade</t>
  </si>
  <si>
    <t>Clara Sousa</t>
  </si>
  <si>
    <t>ERICK BENICIO</t>
  </si>
  <si>
    <t>Leandro Freitas</t>
  </si>
  <si>
    <t>David Santos</t>
  </si>
  <si>
    <t>Elaíne Nagle Alves da Rocha</t>
  </si>
  <si>
    <t>Erci Nogueira Duarte</t>
  </si>
  <si>
    <t>RAFAEL PADELA</t>
  </si>
  <si>
    <t>LARISSA EDUARDA</t>
  </si>
  <si>
    <t>RAQUEL VIEIRA</t>
  </si>
  <si>
    <t>Weslei</t>
  </si>
  <si>
    <t>CARLOS MEDEIROS</t>
  </si>
  <si>
    <t>WESLEY CASSIMIRO</t>
  </si>
  <si>
    <t>Pedro Coutinho</t>
  </si>
  <si>
    <t>GOIANO</t>
  </si>
  <si>
    <t>Cleide Carneiro</t>
  </si>
  <si>
    <t>ANDRÉ KREMER DE LEMOS</t>
  </si>
  <si>
    <t>DENISE RIOS</t>
  </si>
  <si>
    <t>Hugo Machado</t>
  </si>
  <si>
    <t>Danielle</t>
  </si>
  <si>
    <t>Thiago Escórcio</t>
  </si>
  <si>
    <t>ENIO SILVA</t>
  </si>
  <si>
    <t>João Alves de Lima Neto</t>
  </si>
  <si>
    <t>TIAGO ZAEYEN</t>
  </si>
  <si>
    <t>Lohaini Ystefanic</t>
  </si>
  <si>
    <t>Evilasio Nogueira</t>
  </si>
  <si>
    <t>RODRIGO AMANTINO</t>
  </si>
  <si>
    <t>WELERSON</t>
  </si>
  <si>
    <t>Thiago Tornai Tella</t>
  </si>
  <si>
    <t>FABRICIO</t>
  </si>
  <si>
    <t>Herbert Leandro Soares</t>
  </si>
  <si>
    <t>Lizeth Zúñiga</t>
  </si>
  <si>
    <t>Alexandre Crosara</t>
  </si>
  <si>
    <t>Ilma Teixeira</t>
  </si>
  <si>
    <t>Cássio Cabral</t>
  </si>
  <si>
    <t>Dayane de Almeida Correa</t>
  </si>
  <si>
    <t>Mauricio Rangel</t>
  </si>
  <si>
    <t>CAMILA FERREIRA DOS SANTOS</t>
  </si>
  <si>
    <t>IRIS FERREIRA</t>
  </si>
  <si>
    <t>Mauricio Alves da Silva</t>
  </si>
  <si>
    <t>Alessandro</t>
  </si>
  <si>
    <t>Renan Franco Santana</t>
  </si>
  <si>
    <t>RAMON FERREIRA</t>
  </si>
  <si>
    <t>Lauro Tavares</t>
  </si>
  <si>
    <t>Jhonatan Araujo de Melo</t>
  </si>
  <si>
    <t>Roberto Martins Alencar</t>
  </si>
  <si>
    <t>Adriel Ribeiro</t>
  </si>
  <si>
    <t>Fabricio Francisco</t>
  </si>
  <si>
    <t>André Luiz Fialho Romeiro</t>
  </si>
  <si>
    <t>Celso Ricardo Dos Santos Borges</t>
  </si>
  <si>
    <t>Wallsup</t>
  </si>
  <si>
    <t>LUCAS ALMEIDA</t>
  </si>
  <si>
    <t>Leandro Silva</t>
  </si>
  <si>
    <t>AMADEU FERREIRA CHAVES FILHO</t>
  </si>
  <si>
    <t>Fábio Fernandes Vieira</t>
  </si>
  <si>
    <t>Maria Eduarda Pimentel</t>
  </si>
  <si>
    <t>Guttenberg</t>
  </si>
  <si>
    <t>Bianca Cristina</t>
  </si>
  <si>
    <t>Vanessa Bezerra</t>
  </si>
  <si>
    <t>Denise Rodrigues</t>
  </si>
  <si>
    <t>AYSLAN DE JESUS</t>
  </si>
  <si>
    <t>João Paulo Cotta</t>
  </si>
  <si>
    <t>Elisangela Lima</t>
  </si>
  <si>
    <t>Carlos Ribeiro</t>
  </si>
  <si>
    <t>LIVIA ESTEVAM TOBIAS</t>
  </si>
  <si>
    <t>Matheus Lima</t>
  </si>
  <si>
    <t>Ana Flavia Mandarino</t>
  </si>
  <si>
    <t>CARLOS MEDEIROS MONTANARI</t>
  </si>
  <si>
    <t>Kelly Diniz</t>
  </si>
  <si>
    <t>Sarah Lelis Strauch</t>
  </si>
  <si>
    <t>Henrique Ambrus</t>
  </si>
  <si>
    <t>SETE LAGOAS</t>
  </si>
  <si>
    <t>ROBSON SANTANA</t>
  </si>
  <si>
    <t>Daniel Coelho Alves</t>
  </si>
  <si>
    <t>José Carlos Filho</t>
  </si>
  <si>
    <t>Gabriel Costa</t>
  </si>
  <si>
    <t>Ernane de Medeiros</t>
  </si>
  <si>
    <t>ADELAIDE RECHE</t>
  </si>
  <si>
    <t>Kelcio Antonio Leite Costa</t>
  </si>
  <si>
    <t>Marcelo Lopes</t>
  </si>
  <si>
    <t>BRUNO LAGE</t>
  </si>
  <si>
    <t>Daiana Cristina dos Santos</t>
  </si>
  <si>
    <t>TIAGO DUARTE NOGUEIRA</t>
  </si>
  <si>
    <t>ANDREA ANTONACCI</t>
  </si>
  <si>
    <t>RAFAEL CAMILO LAGE</t>
  </si>
  <si>
    <t>REJANE FROIS</t>
  </si>
  <si>
    <t>Ademir Rodrigues dos Santos</t>
  </si>
  <si>
    <t>Márcio Fonseca</t>
  </si>
  <si>
    <t>Riveli</t>
  </si>
  <si>
    <t>Cláudio ferreira</t>
  </si>
  <si>
    <t>Denilson</t>
  </si>
  <si>
    <t>Sergio Amorim</t>
  </si>
  <si>
    <t>Rafael Brito</t>
  </si>
  <si>
    <t>ISAC</t>
  </si>
  <si>
    <t>FERNANDO DE SOUSA</t>
  </si>
  <si>
    <t>Mauro Grigorio</t>
  </si>
  <si>
    <t>RENATA BARROS</t>
  </si>
  <si>
    <t>CRISTIANE BOTA MARQUES</t>
  </si>
  <si>
    <t>LUANA ASSIS</t>
  </si>
  <si>
    <t>LUCIANO NASCIMENTO</t>
  </si>
  <si>
    <t>CAIO DUTRA</t>
  </si>
  <si>
    <t>HENRIQUE BARBOSA</t>
  </si>
  <si>
    <t>Daniel Toscani</t>
  </si>
  <si>
    <t>Geilson</t>
  </si>
  <si>
    <t>Daniele Teixeira Guimarães</t>
  </si>
  <si>
    <t>DELIO</t>
  </si>
  <si>
    <t>Márcia Rodrigues</t>
  </si>
  <si>
    <t>ESTEVAO</t>
  </si>
  <si>
    <t>Glaucia</t>
  </si>
  <si>
    <t>ISAAC PHELIPE</t>
  </si>
  <si>
    <t>Aíne Luiza</t>
  </si>
  <si>
    <t>ROQUE JOSE BATISTA DA SILVA</t>
  </si>
  <si>
    <t>IBIRITE</t>
  </si>
  <si>
    <t>Emanoel</t>
  </si>
  <si>
    <t>JOSE LOPES DUTRA</t>
  </si>
  <si>
    <t>Fernanda Melo Martins</t>
  </si>
  <si>
    <t>ADILER RODRIGUES</t>
  </si>
  <si>
    <t>CIDA PAIS</t>
  </si>
  <si>
    <t>Muniz de Carvalho</t>
  </si>
  <si>
    <t>Dani Vieira</t>
  </si>
  <si>
    <t>WILSON MACIEL</t>
  </si>
  <si>
    <t>Wladmir Panelli</t>
  </si>
  <si>
    <t>Carolina Haubrich</t>
  </si>
  <si>
    <t>JOSI BANHOS</t>
  </si>
  <si>
    <t>Vanessa Reis Alves</t>
  </si>
  <si>
    <t>JACY JR.</t>
  </si>
  <si>
    <t>Élida Lima</t>
  </si>
  <si>
    <t>Geovane Marcelo Pinheiro da Silva</t>
  </si>
  <si>
    <t>Lidiane Faria Caetano Pereira</t>
  </si>
  <si>
    <t>IGOR HIDALGO</t>
  </si>
  <si>
    <t>JUSTINO</t>
  </si>
  <si>
    <t>EWERTON JUNIOR</t>
  </si>
  <si>
    <t>RUDIVAL JUNIOR</t>
  </si>
  <si>
    <t>Tamires</t>
  </si>
  <si>
    <t>VICTOR NAHUM</t>
  </si>
  <si>
    <t>Alexandre Pinto Coelho Maciel dos Santos</t>
  </si>
  <si>
    <t>ESTEFANY SOUZA</t>
  </si>
  <si>
    <t>Fernando Almeida</t>
  </si>
  <si>
    <t>Anderson A. Macagnan</t>
  </si>
  <si>
    <t>Fernando Alves de Lima</t>
  </si>
  <si>
    <t>Raquel Lopes</t>
  </si>
  <si>
    <t>Ailton Aparecido dos Santos</t>
  </si>
  <si>
    <t>Micaela Santos</t>
  </si>
  <si>
    <t>Rosney</t>
  </si>
  <si>
    <t>CHALES ARAGÃO</t>
  </si>
  <si>
    <t>MARCELINA</t>
  </si>
  <si>
    <t>Renato Mota</t>
  </si>
  <si>
    <t>TALITA MIRANDA</t>
  </si>
  <si>
    <t>Emerson Lucindo da Silva</t>
  </si>
  <si>
    <t>Vanessa Passos Ferreira</t>
  </si>
  <si>
    <t>PORTAL COMPRASNET</t>
  </si>
  <si>
    <t>Maria Queiros</t>
  </si>
  <si>
    <t>Lincoln Nogueira</t>
  </si>
  <si>
    <t>RODRIGO MOTTA</t>
  </si>
  <si>
    <t>Deborah</t>
  </si>
  <si>
    <t>José Aparecido Gonçalves</t>
  </si>
  <si>
    <t>ROGERIO PIVA</t>
  </si>
  <si>
    <t>DIEGO ARAUJO</t>
  </si>
  <si>
    <t>Emerson Leite</t>
  </si>
  <si>
    <t>Marcos</t>
  </si>
  <si>
    <t>FERNANDO CAMARGO</t>
  </si>
  <si>
    <t>Maria Clara de Oliveira Avila</t>
  </si>
  <si>
    <t>Ana Carolina Trento</t>
  </si>
  <si>
    <t>sandro</t>
  </si>
  <si>
    <t>Allas Marreiros Silva</t>
  </si>
  <si>
    <t>Douglas Engelbert Hilbert</t>
  </si>
  <si>
    <t>JORGE EDUARDO</t>
  </si>
  <si>
    <t>PATRICIA LOPES FURTADO</t>
  </si>
  <si>
    <t>COEMA</t>
  </si>
  <si>
    <t>Valeska Gomes</t>
  </si>
  <si>
    <t>Sara Reichert</t>
  </si>
  <si>
    <t>MARCELO AUGUSTO ATAÍDE</t>
  </si>
  <si>
    <t>Meirison Gomes</t>
  </si>
  <si>
    <t>Renato Martins Araujo</t>
  </si>
  <si>
    <t>RENATA VIEGAS</t>
  </si>
  <si>
    <t>Rafael Sangiacomo</t>
  </si>
  <si>
    <t>Fagner Nunes</t>
  </si>
  <si>
    <t>Andressa S. de Sousa</t>
  </si>
  <si>
    <t>Oberto Júnior</t>
  </si>
  <si>
    <t>Giovana Muniz de Carvalho</t>
  </si>
  <si>
    <t>DOUGLAS SOUZA</t>
  </si>
  <si>
    <t>Rayssa Fonseca</t>
  </si>
  <si>
    <t>VANUSA</t>
  </si>
  <si>
    <t>Kleber Mourão</t>
  </si>
  <si>
    <t>Aryele Paiva</t>
  </si>
  <si>
    <t>tarcilio campos vitorino</t>
  </si>
  <si>
    <t>GLEISON GUSTODIO MIRANDA</t>
  </si>
  <si>
    <t>Pedro Saldanha</t>
  </si>
  <si>
    <t>WASLEY</t>
  </si>
  <si>
    <t>Fatima Souza Matias</t>
  </si>
  <si>
    <t>Gustavo</t>
  </si>
  <si>
    <t>Rafaela Pereira Moço</t>
  </si>
  <si>
    <t>GIORGIO</t>
  </si>
  <si>
    <t>Leon Markman</t>
  </si>
  <si>
    <t>Pedro Pacheco</t>
  </si>
  <si>
    <t>Matheus Reis</t>
  </si>
  <si>
    <t>Wesley</t>
  </si>
  <si>
    <t>Richard Vieira</t>
  </si>
  <si>
    <t>Gabrielle Vitorino Souza Ramos</t>
  </si>
  <si>
    <t>Edimilson do Nascimento</t>
  </si>
  <si>
    <t>Maísa Stefany S. Ramos</t>
  </si>
  <si>
    <t>FREDERICO CONE</t>
  </si>
  <si>
    <t>Flávia de Paula</t>
  </si>
  <si>
    <t>André Pires</t>
  </si>
  <si>
    <t>WILSON</t>
  </si>
  <si>
    <t>GILMAR</t>
  </si>
  <si>
    <t>OTO</t>
  </si>
  <si>
    <t>Mayara Almeida</t>
  </si>
  <si>
    <t>Wanderley José Siqueira</t>
  </si>
  <si>
    <t>Barbara Afonso</t>
  </si>
  <si>
    <t>LUCAS MARTINS</t>
  </si>
  <si>
    <t>MARCOS SOUZA</t>
  </si>
  <si>
    <t>AGNALDO CUNHA</t>
  </si>
  <si>
    <t>Levi Santana</t>
  </si>
  <si>
    <t>Gisele</t>
  </si>
  <si>
    <t>RAFAEL CUNHA GONÇALVES</t>
  </si>
  <si>
    <t>Pedro</t>
  </si>
  <si>
    <t>Reinaldo Alves Toledo</t>
  </si>
  <si>
    <t>LUIS SOARES</t>
  </si>
  <si>
    <t>Evandro Mathias</t>
  </si>
  <si>
    <t>JANAINA MATIAS</t>
  </si>
  <si>
    <t>Fernando Augusto Afonso Junior</t>
  </si>
  <si>
    <t>ELIDA DORNELES MATOS</t>
  </si>
  <si>
    <t>Rafael Caetano</t>
  </si>
  <si>
    <t>WILLIAN ALVES DA SILVA</t>
  </si>
  <si>
    <t>Thalita</t>
  </si>
  <si>
    <t>Viviani Carmen Utuari Corrêa</t>
  </si>
  <si>
    <t>WELBER EDGAR GOMES DA SILVA</t>
  </si>
  <si>
    <t>Leonira Campos</t>
  </si>
  <si>
    <t>CARLOS AUGUSTO CEZNE</t>
  </si>
  <si>
    <t>Dulce Márcia Ribeiro</t>
  </si>
  <si>
    <t>WENDERSON</t>
  </si>
  <si>
    <t>Gláucia Procópio</t>
  </si>
  <si>
    <t>da Silva Palmeiras, Faglany</t>
  </si>
  <si>
    <t>HILDO RAMOS NETO</t>
  </si>
  <si>
    <t>MAURÍCIO JUNIOR</t>
  </si>
  <si>
    <t>ANDREZZA   ALVES</t>
  </si>
  <si>
    <t>Jan Brainer</t>
  </si>
  <si>
    <t>Guilherme Chaves</t>
  </si>
  <si>
    <t>AYALA CRUZ</t>
  </si>
  <si>
    <t>SABRINA</t>
  </si>
  <si>
    <t>Bruno Henrique Mendes</t>
  </si>
  <si>
    <t>MARCIEL</t>
  </si>
  <si>
    <t>ARISTEU</t>
  </si>
  <si>
    <t>Nihad Nail Atwa Othman</t>
  </si>
  <si>
    <t>Michelle Marques</t>
  </si>
  <si>
    <t>Karina Salgado</t>
  </si>
  <si>
    <t>Marcellus Bitencourt Firmo</t>
  </si>
  <si>
    <t>Felipe Marzullo</t>
  </si>
  <si>
    <t>SABRINA ELIAS</t>
  </si>
  <si>
    <t>LETICIA TEIXEIRA</t>
  </si>
  <si>
    <t>Daniel Pagoto</t>
  </si>
  <si>
    <t>Marcelo Toyoshima Hirata</t>
  </si>
  <si>
    <t>FELLIPE ALMEIDA MEDEIROS</t>
  </si>
  <si>
    <t>MIRIAM FREITAS NOGUEIRA ANASTÁCIO</t>
  </si>
  <si>
    <t>ERNALDO</t>
  </si>
  <si>
    <t>Nathalia Eneas Gomes Silva</t>
  </si>
  <si>
    <t>THAYANE MAYARA BALDANSI</t>
  </si>
  <si>
    <t>Lucas Gabriel</t>
  </si>
  <si>
    <t>MARINA MARTINS</t>
  </si>
  <si>
    <t>Felipe Camargo</t>
  </si>
  <si>
    <t>Rafael William Belini</t>
  </si>
  <si>
    <t>Tifany S. Rezende</t>
  </si>
  <si>
    <t>Jeferson Alves</t>
  </si>
  <si>
    <t>Marília Lopes</t>
  </si>
  <si>
    <t>Flávio Nascimento</t>
  </si>
  <si>
    <t>Mary Schmidt</t>
  </si>
  <si>
    <t>GIOVANA MELO</t>
  </si>
  <si>
    <t>José Antonio Miranda Júnior</t>
  </si>
  <si>
    <t>Gustavo Brandão</t>
  </si>
  <si>
    <t>ANANDDA FORTUNA</t>
  </si>
  <si>
    <t>Lucas Medeiros</t>
  </si>
  <si>
    <t>Leonardo Pinheiro</t>
  </si>
  <si>
    <t>JESSICA DUARTE</t>
  </si>
  <si>
    <t>Bruno Dalmarco</t>
  </si>
  <si>
    <t>Vitor Ferreira</t>
  </si>
  <si>
    <t>MARIA ANTONIA</t>
  </si>
  <si>
    <t>Osvaldo Pedro</t>
  </si>
  <si>
    <t>Fernando Bueno</t>
  </si>
  <si>
    <t>Eduardo Lucas Sousa Pinto Coelho</t>
  </si>
  <si>
    <t>Raimundo Dias</t>
  </si>
  <si>
    <t>Harley Santos</t>
  </si>
  <si>
    <t>Gustavo Oliveira</t>
  </si>
  <si>
    <t>Paula Padilha</t>
  </si>
  <si>
    <t>TATIELLY DA SILVA BENTO MARTINS</t>
  </si>
  <si>
    <t>DIOGO COLLADO</t>
  </si>
  <si>
    <t>Roberta Alcoforado</t>
  </si>
  <si>
    <t>Rodrigo Da Silva Ferreira lima</t>
  </si>
  <si>
    <t>Cristiano Bechi Rodrigues</t>
  </si>
  <si>
    <t>CAROLINA</t>
  </si>
  <si>
    <t>Ricardo Henrique Xavier Paula</t>
  </si>
  <si>
    <t>FÁBIO LAMBERTUCCI</t>
  </si>
  <si>
    <t>Naza Siprianni</t>
  </si>
  <si>
    <t>Ana Cristina Zacarias</t>
  </si>
  <si>
    <t>JOAO PEDRO</t>
  </si>
  <si>
    <t>José Ismar</t>
  </si>
  <si>
    <t>Rafael Corrêa</t>
  </si>
  <si>
    <t>Pedro Naza</t>
  </si>
  <si>
    <t>Sandro Lopes</t>
  </si>
  <si>
    <t>BERILO</t>
  </si>
  <si>
    <t>Pedro Túlio Jota</t>
  </si>
  <si>
    <t>BELO ORIENTE</t>
  </si>
  <si>
    <t>DALVA</t>
  </si>
  <si>
    <t>LUAN</t>
  </si>
  <si>
    <t>Fernando</t>
  </si>
  <si>
    <t>FELIPE CAMARGO</t>
  </si>
  <si>
    <t>Raphael</t>
  </si>
  <si>
    <t>Eduardo</t>
  </si>
  <si>
    <t>JAMILE MEDEIROS</t>
  </si>
  <si>
    <t>Rafael Lourenco Roberto Santos</t>
  </si>
  <si>
    <t>MACEIO</t>
  </si>
  <si>
    <t>Juan</t>
  </si>
  <si>
    <t>Matheus</t>
  </si>
  <si>
    <t>Brenda</t>
  </si>
  <si>
    <t>NAZA</t>
  </si>
  <si>
    <t>JAMILE ESQUIVEL</t>
  </si>
  <si>
    <t>CATANDUVA</t>
  </si>
  <si>
    <t>MATEUS OLIVEIRA</t>
  </si>
  <si>
    <t>MAYRA GABRIELA NUNES ALVES</t>
  </si>
  <si>
    <t>Lilian Sinara Gomes Campos</t>
  </si>
  <si>
    <t>CESAR</t>
  </si>
  <si>
    <t>Edivaldo</t>
  </si>
  <si>
    <t>Camila</t>
  </si>
  <si>
    <t>SANTOS DUMONT</t>
  </si>
  <si>
    <t>ANTONIO DIAS</t>
  </si>
  <si>
    <t>Compras</t>
  </si>
  <si>
    <t>Camila Dos Santos Kowalsky</t>
  </si>
  <si>
    <t>JOSE SOUSA</t>
  </si>
  <si>
    <t>ANDRÉ LUIZ</t>
  </si>
  <si>
    <t>FINANCEIRO</t>
  </si>
  <si>
    <t>HUGO SERGIO ZULIANI RECIFE</t>
  </si>
  <si>
    <t>NOVA SERRANA</t>
  </si>
  <si>
    <t>Kenedy Junior Quimelo</t>
  </si>
  <si>
    <t>André</t>
  </si>
  <si>
    <t>Eloise</t>
  </si>
  <si>
    <t>Daniel Augusto de Souza Barbosa</t>
  </si>
  <si>
    <t>MOGI DAS CRUZES</t>
  </si>
  <si>
    <t>Financeiro</t>
  </si>
  <si>
    <t>GUSTAVO AMARAL</t>
  </si>
  <si>
    <t>Wonler Souza</t>
  </si>
  <si>
    <t>EMBU DAS ARTES</t>
  </si>
  <si>
    <t>SOROCABA</t>
  </si>
  <si>
    <t>Danillo Jose de Barros Veras Porto</t>
  </si>
  <si>
    <t>RIBEIRAO DAS NEVES</t>
  </si>
  <si>
    <t>Alexandre Augusto Fogaça Tavares</t>
  </si>
  <si>
    <t>Rodrigo A. Corrêa</t>
  </si>
  <si>
    <t>JUSSARA SANTOS</t>
  </si>
  <si>
    <t>MARCOS DANIEL</t>
  </si>
  <si>
    <t>ELIESER</t>
  </si>
  <si>
    <t>NF 03</t>
  </si>
  <si>
    <t>ESMERALDAS</t>
  </si>
  <si>
    <t>TAPIRA</t>
  </si>
  <si>
    <t>SAVIO GRIPP</t>
  </si>
  <si>
    <t>POMPEU</t>
  </si>
  <si>
    <t>Luciano</t>
  </si>
  <si>
    <t>SARZEDO</t>
  </si>
  <si>
    <t>Joyce C. Z. Busnardo</t>
  </si>
  <si>
    <t>MARCELO AMARAL</t>
  </si>
  <si>
    <t>MIRASSOL</t>
  </si>
  <si>
    <t>CELSO</t>
  </si>
  <si>
    <t>ENVIO NF - DILSON</t>
  </si>
  <si>
    <t>EDUARDO MARTIM</t>
  </si>
  <si>
    <t>Wilkerson</t>
  </si>
  <si>
    <t>ERICA</t>
  </si>
  <si>
    <t>CAETE</t>
  </si>
  <si>
    <t>CAMACARI</t>
  </si>
  <si>
    <t>HUGO SERGIO</t>
  </si>
  <si>
    <t>Valéria</t>
  </si>
  <si>
    <t>Elias Cunha</t>
  </si>
  <si>
    <t>CAJOBI</t>
  </si>
  <si>
    <t>DELANIA RODRIGUES</t>
  </si>
  <si>
    <t>Rafael C Figueiredo</t>
  </si>
  <si>
    <t>JAIRO SIQUEIRA</t>
  </si>
  <si>
    <t>RHUAN ARAUJO</t>
  </si>
  <si>
    <t>VAGNER</t>
  </si>
  <si>
    <t>ROOSEVELT TEIXEIRA PAMPLONA</t>
  </si>
  <si>
    <t>ALEXIA RESENDE MORESCO</t>
  </si>
  <si>
    <t>THIAGO AUGUSTO EVANGELISTA</t>
  </si>
  <si>
    <t>NF 04</t>
  </si>
  <si>
    <t>Thalyta</t>
  </si>
  <si>
    <t>ENVIO NF - Ricardo</t>
  </si>
  <si>
    <t>ENVIO NF - MUSSALEN</t>
  </si>
  <si>
    <t>DIEGO LUIZ FONZARA</t>
  </si>
  <si>
    <t>Envio de notas fiscais</t>
  </si>
  <si>
    <t>Nathalia Aparecida Trabulsi Ribeiro</t>
  </si>
  <si>
    <t>OV</t>
  </si>
  <si>
    <t>Valor Bruto/Moeda</t>
  </si>
  <si>
    <t>Serviço Total Faturado</t>
  </si>
  <si>
    <t>Notas da OV</t>
  </si>
  <si>
    <t>Nº Ordem</t>
  </si>
  <si>
    <t>Descr Material Vendas</t>
  </si>
  <si>
    <t>Status Ordem</t>
  </si>
  <si>
    <t>Endereço de Entrega</t>
  </si>
  <si>
    <t>SAO JOAO DA BARRA</t>
  </si>
  <si>
    <t>RONDONIA</t>
  </si>
  <si>
    <t>PARAUPEBAS</t>
  </si>
  <si>
    <t>IMPERTRIZ</t>
  </si>
  <si>
    <t>JABOATAO DOS GUARARAPES</t>
  </si>
  <si>
    <t>RIBEIRAO PRETO</t>
  </si>
  <si>
    <t>**</t>
  </si>
  <si>
    <t>SAO JOSE DO RIO PRETO</t>
  </si>
  <si>
    <t>PATOS DE MINAS</t>
  </si>
  <si>
    <t>POMPEIA</t>
  </si>
  <si>
    <t>PRADOPOLIS</t>
  </si>
  <si>
    <t>PRESIDENTE PRUDENTE</t>
  </si>
  <si>
    <t>QUIRINOPOLIS</t>
  </si>
  <si>
    <t>BAURU</t>
  </si>
  <si>
    <t>BAIXO GUANDU</t>
  </si>
  <si>
    <t>COLATINA</t>
  </si>
  <si>
    <t>LINHARES</t>
  </si>
  <si>
    <t>APARECIDA DE GOIANIA</t>
  </si>
  <si>
    <t>SANTA INES</t>
  </si>
  <si>
    <t>BELA VISTA DE MINAS</t>
  </si>
  <si>
    <t>CONCEICAO DO MATO DENTRO</t>
  </si>
  <si>
    <t>CONCEICAO DO PARA</t>
  </si>
  <si>
    <t>CONFINS</t>
  </si>
  <si>
    <t>CONSELHEIRO LAFAIETE</t>
  </si>
  <si>
    <t>DESTERRO DE ENTRE RIOS</t>
  </si>
  <si>
    <t>ERVALIA</t>
  </si>
  <si>
    <t>FLORESTAL</t>
  </si>
  <si>
    <t>IJACI</t>
  </si>
  <si>
    <t>ITAMONTE</t>
  </si>
  <si>
    <t>ITUTINGA</t>
  </si>
  <si>
    <t>LAGOA DA PRATA</t>
  </si>
  <si>
    <t>MUTUM</t>
  </si>
  <si>
    <t>PASSA TEMPO</t>
  </si>
  <si>
    <t>PASSOS</t>
  </si>
  <si>
    <t>PRESIDENTE JUSCELINO</t>
  </si>
  <si>
    <t>RAPOSOS</t>
  </si>
  <si>
    <t>RESPLENDOR</t>
  </si>
  <si>
    <t>SAO GONCALO DO RIO ABAIXO</t>
  </si>
  <si>
    <t>SAO JOAQUIM DE BICAS</t>
  </si>
  <si>
    <t>SAO SEBASTIAO DO ANTA</t>
  </si>
  <si>
    <t>TAIOBEIRAS</t>
  </si>
  <si>
    <t>VICOSA</t>
  </si>
  <si>
    <t>IGARASSU</t>
  </si>
  <si>
    <t>COLOMBO</t>
  </si>
  <si>
    <t>PORTO ALEGRE</t>
  </si>
  <si>
    <t>ATIBAIA</t>
  </si>
  <si>
    <t>JARINU</t>
  </si>
  <si>
    <t>SERTAOZINHO</t>
  </si>
  <si>
    <t>ID Cliente</t>
  </si>
  <si>
    <t>ID Pessoa</t>
  </si>
  <si>
    <t>E-Mail</t>
  </si>
  <si>
    <t>Categoria do Cliente</t>
  </si>
  <si>
    <t>CÓD. CLIENTE</t>
  </si>
  <si>
    <t>Fabiola Menezes</t>
  </si>
  <si>
    <t>SILVANA GARCIA</t>
  </si>
  <si>
    <t>LUCIENE MIRANDA</t>
  </si>
  <si>
    <t>CREDITO</t>
  </si>
  <si>
    <t>Marcio Aguillar</t>
  </si>
  <si>
    <t>Clara Ribeiro</t>
  </si>
  <si>
    <t>BRUNO HENRIQUE VELOSO</t>
  </si>
  <si>
    <t>MAUREEN LEIRIA</t>
  </si>
  <si>
    <t>Natália Dutra de Fáveri</t>
  </si>
  <si>
    <t>CICERO SOUZA</t>
  </si>
  <si>
    <t>NF´S</t>
  </si>
  <si>
    <t>GEISA</t>
  </si>
  <si>
    <t>Naligia Correia Sousa</t>
  </si>
  <si>
    <t>ELIZEO</t>
  </si>
  <si>
    <t>Marcelo Cardeliquio Jordão</t>
  </si>
  <si>
    <t>Antônio Otávio de Paiva Borges</t>
  </si>
  <si>
    <t>Gyovanna Nunes de Souza</t>
  </si>
  <si>
    <t>MÁRCIO</t>
  </si>
  <si>
    <t>Leonardo Wah</t>
  </si>
  <si>
    <t>Tarcisio pedro</t>
  </si>
  <si>
    <t>ANA LUIZA LUCIANO MARQUES</t>
  </si>
  <si>
    <t>ENVIO DE TODAS AS NOTAS</t>
  </si>
  <si>
    <t>Rafael Matos</t>
  </si>
  <si>
    <t>PRISCILA R2T</t>
  </si>
  <si>
    <t>MARCO LUIZ</t>
  </si>
  <si>
    <t>Edinor</t>
  </si>
  <si>
    <t>LUCIENE OLIVEIRA</t>
  </si>
  <si>
    <t>Lady Alexandra Díaz</t>
  </si>
  <si>
    <t>Guilherme Breda</t>
  </si>
  <si>
    <t>Hugo</t>
  </si>
  <si>
    <t>Vitor Soares</t>
  </si>
  <si>
    <t>WENYSON CORREA REIS</t>
  </si>
  <si>
    <t>monica azevedo botelho</t>
  </si>
  <si>
    <t>Pedro Chaves</t>
  </si>
  <si>
    <t>Thiago Borges Melo</t>
  </si>
  <si>
    <t>LUCAS MORAIS ANTUNES</t>
  </si>
  <si>
    <t>IVO PEREIRA</t>
  </si>
  <si>
    <t>FABIANO M. CELESTINO</t>
  </si>
  <si>
    <t>Nattalia Pereira</t>
  </si>
  <si>
    <t>Patricia Lucchesi de Aguiar Santos</t>
  </si>
  <si>
    <t>ARIEL BIZARRA</t>
  </si>
  <si>
    <t>THIAGO CARVALHO</t>
  </si>
  <si>
    <t>ALEXANDRE MELO</t>
  </si>
  <si>
    <t>Dayana Menezes Lourenço</t>
  </si>
  <si>
    <t>ELIOENAY</t>
  </si>
  <si>
    <t>André Coleone</t>
  </si>
  <si>
    <t>Cilene</t>
  </si>
  <si>
    <t>MARCELO JEUNON DE BARROS</t>
  </si>
  <si>
    <t>GRAZEILE</t>
  </si>
  <si>
    <t>AUCIMAR DE JESUS DOS SANTOS</t>
  </si>
  <si>
    <t>Deise Paes</t>
  </si>
  <si>
    <t>RAFAEL RANGEL</t>
  </si>
  <si>
    <t>Carla da Silva Gomes</t>
  </si>
  <si>
    <t>RODOLFO MENDONÇA</t>
  </si>
  <si>
    <t>Junior Ferraz da Silva</t>
  </si>
  <si>
    <t>RAFAELA RANGEL</t>
  </si>
  <si>
    <t>Raíssa Rodrigues</t>
  </si>
  <si>
    <t>Angeli Maria Dos Santos</t>
  </si>
  <si>
    <t>Álvaro Oliveira</t>
  </si>
  <si>
    <t>Wagner Andrade</t>
  </si>
  <si>
    <t>Vinicius Alves Braganca</t>
  </si>
  <si>
    <t>Washington</t>
  </si>
  <si>
    <t>PAUL</t>
  </si>
  <si>
    <t>MATHEUS FERNANDES</t>
  </si>
  <si>
    <t>Alencar Vieira</t>
  </si>
  <si>
    <t>LUCIANA HERGO DELFINO</t>
  </si>
  <si>
    <t>Guilherme Homero</t>
  </si>
  <si>
    <t>Nathan Kampim Cofler</t>
  </si>
  <si>
    <t>PEDRO HENRIQUE SILVA</t>
  </si>
  <si>
    <t>Eduardo Martim</t>
  </si>
  <si>
    <t>AFRANIO FILHO</t>
  </si>
  <si>
    <t>Ronaldo de Souza Perdigão</t>
  </si>
  <si>
    <t>CREDITO E COBRANÇA</t>
  </si>
  <si>
    <t>Aline Gomes da Cruz</t>
  </si>
  <si>
    <t>Geovane Souza Alves</t>
  </si>
  <si>
    <t>IAGO</t>
  </si>
  <si>
    <t>ENVION DE NF</t>
  </si>
  <si>
    <t>João Nicácio</t>
  </si>
  <si>
    <t>CLEBER</t>
  </si>
  <si>
    <t>Wellyngton</t>
  </si>
  <si>
    <t>Dardane</t>
  </si>
  <si>
    <t>GIVANILDO MEDEIROS DO NASCIMENTO</t>
  </si>
  <si>
    <t>Anilton Mauri Rampinelli</t>
  </si>
  <si>
    <t>Paula</t>
  </si>
  <si>
    <t>MAURICIO PINHEIRO MARTINS</t>
  </si>
  <si>
    <t>Fernanda Nadotti</t>
  </si>
  <si>
    <t>MARCELO DELA TORRE NAPOLITANO</t>
  </si>
  <si>
    <t>Suene Maria</t>
  </si>
  <si>
    <t>cezar ramos</t>
  </si>
  <si>
    <t>IVANIL OLIVEIRA DOS SANTOS</t>
  </si>
  <si>
    <t>Murillo Barrios</t>
  </si>
  <si>
    <t>WELLINGTON UCHOA</t>
  </si>
  <si>
    <t>TIAGO DE LUCA</t>
  </si>
  <si>
    <t>EDVINEIA ALVES REIS</t>
  </si>
  <si>
    <t>Gislaine Santos Meireles</t>
  </si>
  <si>
    <t>Sandro Alberto</t>
  </si>
  <si>
    <t>Ivanilda Pratka</t>
  </si>
  <si>
    <t>Gabriel Barbosa Pimentel</t>
  </si>
  <si>
    <t>WESLEY FERNANDES</t>
  </si>
  <si>
    <t>Sabrina Suélen Sales</t>
  </si>
  <si>
    <t>RONI</t>
  </si>
  <si>
    <t>Cleber</t>
  </si>
  <si>
    <t>FRANCISCO ALEXANDRIA</t>
  </si>
  <si>
    <t>LEONARDO BABOSA</t>
  </si>
  <si>
    <t>ALINE ABREU</t>
  </si>
  <si>
    <t>Liliane Isabela Palhares</t>
  </si>
  <si>
    <t>Bruna Backes</t>
  </si>
  <si>
    <t>Moacyr</t>
  </si>
  <si>
    <t>Daniel De Freitas Reghini</t>
  </si>
  <si>
    <t>Beatriz Felix da Silva</t>
  </si>
  <si>
    <t>Alexandro Oliveira</t>
  </si>
  <si>
    <t>José Carlos Serpa</t>
  </si>
  <si>
    <t>Manoel Moura de Melo</t>
  </si>
  <si>
    <t>sergio rodrigues de sousa</t>
  </si>
  <si>
    <t>Nahana Marinho</t>
  </si>
  <si>
    <t>LEILIANE SOUZA</t>
  </si>
  <si>
    <t>Cristiane de Macedo</t>
  </si>
  <si>
    <t>Nathan</t>
  </si>
  <si>
    <t>WAMDERSON</t>
  </si>
  <si>
    <t>Ademilson Brito</t>
  </si>
  <si>
    <t>João Edvaldo Borges</t>
  </si>
  <si>
    <t>Reginaldo Alves Cardoso</t>
  </si>
  <si>
    <t>Aricelia Oliveira dos Santos</t>
  </si>
  <si>
    <t>Reginaldo Cirino da Silva</t>
  </si>
  <si>
    <t>RENATO BRITO</t>
  </si>
  <si>
    <t>Ana Paola Martini Viana</t>
  </si>
  <si>
    <t>Gilson</t>
  </si>
  <si>
    <t>Mauro Pinto Barbalho</t>
  </si>
  <si>
    <t>JOAO BITTENCOURT</t>
  </si>
  <si>
    <t>Eryk Moura</t>
  </si>
  <si>
    <t>Pâmela</t>
  </si>
  <si>
    <t>NEWTON DOS SANTOS</t>
  </si>
  <si>
    <t>MARIANE ZANI MINUCCI</t>
  </si>
  <si>
    <t>Marcelo Napolitano</t>
  </si>
  <si>
    <t>Sibele Campos</t>
  </si>
  <si>
    <t>Lucas Parreira</t>
  </si>
  <si>
    <t>Ariana Mendes Sousa</t>
  </si>
  <si>
    <t>RODOLFO RABELO</t>
  </si>
  <si>
    <t>Christiano</t>
  </si>
  <si>
    <t>Valter</t>
  </si>
  <si>
    <t>celma</t>
  </si>
  <si>
    <t>Felipe Cunha</t>
  </si>
  <si>
    <t>ADILSON VIEIRA</t>
  </si>
  <si>
    <t>Jailson Barrocas</t>
  </si>
  <si>
    <t>FISCAL</t>
  </si>
  <si>
    <t>TIAGO VALERIO</t>
  </si>
  <si>
    <t>Mayza</t>
  </si>
  <si>
    <t>Lucas Lopes</t>
  </si>
  <si>
    <t>DAIANE MIRANDA DA SILVA</t>
  </si>
  <si>
    <t>JEREMIAS CASSIO COELHO</t>
  </si>
  <si>
    <t>BRUNA CANDIDA DOS SANTOS</t>
  </si>
  <si>
    <t>Ivaneide Santos</t>
  </si>
  <si>
    <t>Kenner Moura</t>
  </si>
  <si>
    <t>tatiane espinola</t>
  </si>
  <si>
    <t>Nicanor Sanches</t>
  </si>
  <si>
    <t>CAMILA HENRIQUES SANABIO</t>
  </si>
  <si>
    <t>SUPRIMENTOS - COBRANÇA</t>
  </si>
  <si>
    <t>Saulo Cotta</t>
  </si>
  <si>
    <t>Paulo Barbosa</t>
  </si>
  <si>
    <t>CONVITE CONSÓRCIO ENGEFORM</t>
  </si>
  <si>
    <t>RONAN GUSTAVO SILVA ALVES</t>
  </si>
  <si>
    <t>VANESSA FARIA GRISOLIA</t>
  </si>
  <si>
    <t>CGLC</t>
  </si>
  <si>
    <t>Egon</t>
  </si>
  <si>
    <t>Thiago José Silva</t>
  </si>
  <si>
    <t>Cesar Mucciolo Guizelini</t>
  </si>
  <si>
    <t>preciso de orçamento de locação</t>
  </si>
  <si>
    <t>Augusto Fuhrman Baron</t>
  </si>
  <si>
    <t>Fabio Aronne</t>
  </si>
  <si>
    <t>Nalígia Sousa</t>
  </si>
  <si>
    <t>FHELIPE OLIVEIRA</t>
  </si>
  <si>
    <t>Aliny da Rocha Bertoldo Tenor</t>
  </si>
  <si>
    <t>Edmilson Supelete</t>
  </si>
  <si>
    <t>Nathalia Pelati Teixeira</t>
  </si>
  <si>
    <t>Julio Cesar Killer</t>
  </si>
  <si>
    <t>JAELCE</t>
  </si>
  <si>
    <t>Bruna Fogaça</t>
  </si>
  <si>
    <t>ANTONIO OTAVIO DE PAIVA BORGES</t>
  </si>
  <si>
    <t>GISELI BATISTA FACUNDES FABRES</t>
  </si>
  <si>
    <t>Joyce Romano</t>
  </si>
  <si>
    <t>LUIZ INACIO CORREIA</t>
  </si>
  <si>
    <t>KATIA SODEXO</t>
  </si>
  <si>
    <t>Marcelli</t>
  </si>
  <si>
    <t>Saulo Couto de Castro</t>
  </si>
  <si>
    <t>Ricardo Scarpellini</t>
  </si>
  <si>
    <t>Wilson Fioresi</t>
  </si>
  <si>
    <t>Rafael Augusto Lanza Ramos</t>
  </si>
  <si>
    <t>Luiza</t>
  </si>
  <si>
    <t>João Carlos</t>
  </si>
  <si>
    <t>Isabela Luz</t>
  </si>
  <si>
    <t>LUANA AVELINO</t>
  </si>
  <si>
    <t>AFRANIO RAFAEL RODRIGUES FILHO</t>
  </si>
  <si>
    <t>PEDRO MAIA</t>
  </si>
  <si>
    <t>PAULO HENRIQUE SALES</t>
  </si>
  <si>
    <t>ENVI ONF - CAIQUE</t>
  </si>
  <si>
    <t>ENVIO NF - DEIVIDY</t>
  </si>
  <si>
    <t>MILENE</t>
  </si>
  <si>
    <t>douglas</t>
  </si>
  <si>
    <t>Victor Pontual</t>
  </si>
  <si>
    <t>Cayque Demarqui</t>
  </si>
  <si>
    <t>ANDRÉ ZANIN</t>
  </si>
  <si>
    <t>jonatas</t>
  </si>
  <si>
    <t>JULIANA FREITAS</t>
  </si>
  <si>
    <t>ALESSANDRO CORREIA</t>
  </si>
  <si>
    <t>SUELLEN SHUABA</t>
  </si>
  <si>
    <t>EDERME VERAS</t>
  </si>
  <si>
    <t>LOURDIMAR SOUSA</t>
  </si>
  <si>
    <t>Lais De Estefani</t>
  </si>
  <si>
    <t>Régis Portela</t>
  </si>
  <si>
    <t>Lucas Santos Figueirôa</t>
  </si>
  <si>
    <t>Taina</t>
  </si>
  <si>
    <t>JEFFERSON BEM</t>
  </si>
  <si>
    <t>Alexandre Carlos Souza</t>
  </si>
  <si>
    <t>LILIANA</t>
  </si>
  <si>
    <t>Rosaria Magalhães</t>
  </si>
  <si>
    <t>ROBERTO BACELLAR</t>
  </si>
  <si>
    <t>Felipe Neuenschwander</t>
  </si>
  <si>
    <t>Rafael Lopes</t>
  </si>
  <si>
    <t>Darlan Henrique Möller Penedo</t>
  </si>
  <si>
    <t>LILIANE MONTEIRO</t>
  </si>
  <si>
    <t>JOSE MORAES</t>
  </si>
  <si>
    <t>FLAVIO AROUCHE</t>
  </si>
  <si>
    <t>Onivaldo Ferreira Coutinho</t>
  </si>
  <si>
    <t>Mathias Soares</t>
  </si>
  <si>
    <t>TIENE VIEIRA DE OLIVEIRA</t>
  </si>
  <si>
    <t>Pietro</t>
  </si>
  <si>
    <t>SEBASTIÃO HENRIQUE DA SILVA</t>
  </si>
  <si>
    <t>Thayna</t>
  </si>
  <si>
    <t>Devis Aparecido Santos Silva</t>
  </si>
  <si>
    <t>Marina tavares cardoso</t>
  </si>
  <si>
    <t>Flávia Gomes</t>
  </si>
  <si>
    <t>Deusdedit Ribeiro Alves</t>
  </si>
  <si>
    <t>Gabriel Soares</t>
  </si>
  <si>
    <t>Claudio José Alcântara Pinto</t>
  </si>
  <si>
    <t>LUCAS BARBOSA</t>
  </si>
  <si>
    <r>
      <t> </t>
    </r>
    <r>
      <rPr>
        <b/>
        <sz val="11"/>
        <color rgb="FF000000"/>
        <rFont val="Century Gothic"/>
        <family val="2"/>
      </rPr>
      <t>Nro Nota</t>
    </r>
  </si>
  <si>
    <t>Dt. Venc.</t>
  </si>
  <si>
    <t>Vlr Líquido</t>
  </si>
  <si>
    <t xml:space="preserve">         </t>
  </si>
  <si>
    <t>{"hash":"2ea66b905628a14241bbd2743563b5958cde7476bd5862c2a90989f6e7195991","version":1,"value":"[[\"Hi! How can I assist you today?\"]]"}</t>
  </si>
  <si>
    <t>{"hash":"b68a999b1e4a7eaad2b94947bfb17f6d17d3c8ea7fb1f8c4287f6e1f0de32ffa","version":1,"value":"[[\"The Rise and Fall of the Roman Empire: A Comprehensive Guide\"]]"}</t>
  </si>
  <si>
    <t>{"hash":"308de97662f320902b073861265f372f7e1f34d0f04400ab24416af304e0117f","version":1,"value":"[[\"Top tips for finding the best wedding photography services\"]]"}</t>
  </si>
  <si>
    <t>{"hash":"da44cd7a8f70d379478596256df74f2c6fbbbf287eea4503646b8492aefda489","version":1,"value":"[[\"Authentic Italian Cuisine: Discover the Best Italian Food\"]]"}</t>
  </si>
  <si>
    <t>{"hash":"ad913742410c2f1b65e14bf765e36c23859c0df9746528f63e006f67027bafc7","version":1,"value":"[[\"Best VPN Software for Secure and Private Internet Browsing\"]]"}</t>
  </si>
  <si>
    <t>POJUCA</t>
  </si>
  <si>
    <t>HAMILTON LEITE ROCHA</t>
  </si>
  <si>
    <t>APARECIDA DO TABOADO</t>
  </si>
  <si>
    <t>11 DIAS - 1x</t>
  </si>
  <si>
    <t>PAULISTA</t>
  </si>
  <si>
    <t>RAFAELA LUIZA ALVES DA SILVA ASSIS</t>
  </si>
  <si>
    <t>LINCOLN JUSTINIANO CANGUSSU</t>
  </si>
  <si>
    <t>ANA CAROLINA APARECIDA SILVA DA MATA</t>
  </si>
  <si>
    <t>MICHELE PAULA BEZERRA DA CRUZ</t>
  </si>
  <si>
    <t>LILIAN VIEIRA BARBOSA</t>
  </si>
  <si>
    <t>ISAAC ROBERTO SANTOS ARAUJO</t>
  </si>
  <si>
    <t>JARDEL TEIXEIRA DE OLIVEIRA</t>
  </si>
  <si>
    <t>LOURENCA DE LIMA E REIS</t>
  </si>
  <si>
    <t>JOSE VALDIR DIVINO</t>
  </si>
  <si>
    <t>RIO VERDE</t>
  </si>
  <si>
    <t>JEISIANY DE SOUZA CLEMENTE SILVA</t>
  </si>
  <si>
    <t>Planejado</t>
  </si>
  <si>
    <t>0/30</t>
  </si>
  <si>
    <t>0/30 DIAS - 2x</t>
  </si>
  <si>
    <t>0/18</t>
  </si>
  <si>
    <t>0/18 DIAS - 2x</t>
  </si>
  <si>
    <t>02 DIAS - 1x</t>
  </si>
  <si>
    <t>ANGRA DOS REIS</t>
  </si>
  <si>
    <t xml:space="preserve"> PG ANTECIPADO</t>
  </si>
  <si>
    <t>BELO JARDIM</t>
  </si>
  <si>
    <t>08 DIAS - 1x</t>
  </si>
  <si>
    <t>31 DIAS - 1x</t>
  </si>
  <si>
    <t>OLIMPIA</t>
  </si>
  <si>
    <t>CAJAMAR</t>
  </si>
  <si>
    <t>MARA ROSA</t>
  </si>
  <si>
    <t>10 Dias Líquido</t>
  </si>
  <si>
    <t>11/26/57</t>
  </si>
  <si>
    <t>VALPARAISO</t>
  </si>
  <si>
    <t>AMERICO BRASILIENSE</t>
  </si>
  <si>
    <t>CAMPOS DOS GOYTACAZES</t>
  </si>
  <si>
    <t>CONCEICAO DO JACUIPE</t>
  </si>
  <si>
    <t>OLINDA</t>
  </si>
  <si>
    <t>BI SMART</t>
  </si>
  <si>
    <t>DESCRIÇÃO</t>
  </si>
  <si>
    <t>VALOR TOTAL</t>
  </si>
  <si>
    <t>VALOR LÍQUIDO</t>
  </si>
  <si>
    <t>FILIAL</t>
  </si>
  <si>
    <t>PROCESSADO EM</t>
  </si>
  <si>
    <t>EXPORTAR RELATÓRIO</t>
  </si>
  <si>
    <t>Cotação de venda</t>
  </si>
  <si>
    <t>ITAPISSUMA</t>
  </si>
  <si>
    <t>ID OPERAÇÃO</t>
  </si>
  <si>
    <t>AGUA CLARA</t>
  </si>
  <si>
    <t>NOVA PALMEIRA</t>
  </si>
  <si>
    <t>TAMANDARE</t>
  </si>
  <si>
    <t>PARAISO DAS AGUAS</t>
  </si>
  <si>
    <t>CANDEIAS DO JAMARI</t>
  </si>
  <si>
    <t>SAO JOAO DE MERITI</t>
  </si>
  <si>
    <t>LUDMILA LANA DA SILVA</t>
  </si>
  <si>
    <t>VITORIA DE SANTO ANTAO</t>
  </si>
  <si>
    <t xml:space="preserve">DESMONTAGEM &amp; MOBILIZAÇÃO - VALOR REFERENTE A PRESTAÇÃO DE SERVIÇO COM CAMINHÃO CARRETA PARA DESMONTAGEM &amp; MOBILIZAÇÃO CONFORME CONTRATO: </t>
  </si>
  <si>
    <t xml:space="preserve">DESMONTAGEM &amp; MOBILIZAÇÃO - VALOR REFERENTE A PRESTAÇÃO DE SERVIÇO COM CAMINHÃO TRUCK PARA DESMONTAGEM &amp; MOBILIZAÇÃO CONFORME CONTRATO: </t>
  </si>
  <si>
    <t>LUCAS DO RIO VERDE</t>
  </si>
  <si>
    <t>MARCOS AURELIO NASCIMENTO SOUSA</t>
  </si>
  <si>
    <t>THIAGO HINERY FERREIRA DE CARVALHO</t>
  </si>
  <si>
    <t>DANIELA APARECIDA DE BRITO</t>
  </si>
  <si>
    <t>VITORIA</t>
  </si>
  <si>
    <t>LUCIANO MATOSO DUARTE</t>
  </si>
  <si>
    <t>TORITAMA</t>
  </si>
  <si>
    <t>MONTAGEM COM UTILIZACAO DE MUNCK - VALOR REFERENTE A PRESTAÇÃO DE SERVIÇO COM CAMINHÃO MUNCK PARA MONTAGEM CONFORME CONTRATO:</t>
  </si>
  <si>
    <t>PAULINIA</t>
  </si>
  <si>
    <t>ALCANTARA</t>
  </si>
  <si>
    <t>ARUJA</t>
  </si>
  <si>
    <t>SANTANA DO MATOS</t>
  </si>
  <si>
    <t>JI-PARANA</t>
  </si>
  <si>
    <t>NAZARENO</t>
  </si>
  <si>
    <t>GOIANA</t>
  </si>
  <si>
    <t>Entregue</t>
  </si>
  <si>
    <t>DESMOBILIZACAO COM CAMINHAO MUNCK</t>
  </si>
  <si>
    <t>MOBILIZACAO COM CAMINHAO MUNCK</t>
  </si>
  <si>
    <t>CABO DE SANTO AGOSTINHO</t>
  </si>
  <si>
    <t>Oportunidade</t>
  </si>
  <si>
    <t>SERRA</t>
  </si>
  <si>
    <t>MONTAGEM COM UTILIZACAO DE MUNCK</t>
  </si>
  <si>
    <t>GILBERTO ANGELO PANDIM, 41-99_x000D_
CENTRO_x000D_
15133-066_x000D_
MIRASSOL_x000D_
SP_x000D_
BR - BRASIL</t>
  </si>
  <si>
    <t>SERVICO DE MOBILIZACAO COM TRUCK</t>
  </si>
  <si>
    <t>SERVICO DE LIDER DE MONTAGEM</t>
  </si>
  <si>
    <t>EST ITAPEVA AO BAIRRO TAQUARI, S/N_x000D_
CXPST 25_x000D_
DO TAQUARI_x000D_
18400970_x000D_
ITAPEVA_x000D_
SP_x000D_
BR - BRASIL</t>
  </si>
  <si>
    <t>ITAPEVA</t>
  </si>
  <si>
    <t>SEM CONTRATO ASSINADO 22/09/23</t>
  </si>
  <si>
    <t>FAZ PARANA CURRAL VELHO E OUTRAS,SN_x000D_
ZONA RURAL_x000D_
39663000_x000D_
VEREDINHA_x000D_
MG_x000D_
BR - BRASIL</t>
  </si>
  <si>
    <t>VEREDINHA</t>
  </si>
  <si>
    <t>EST AMENDOEIRAS,_x000D_
QUADRA15 LOTE 37_x000D_
CHACARAS RIO-PETROPOLIS_x000D_
25243420_x000D_
DUQUE DE CAXIAS_x000D_
RJ_x000D_
BR - BRA</t>
  </si>
  <si>
    <t>Av. João XXIII, s/n_x000D_
SANTA CRUZ_x000D_
23560-352_x000D_
RIO DE JANEIRO_x000D_
RJ_x000D_
BR - BRASIL</t>
  </si>
  <si>
    <t>Sem pedido ou contrato assinado para faturamento. 18/12/23</t>
  </si>
  <si>
    <t>Av. João XXIII, s/n_x000D_
TERNIUM_x000D_
Santa Cruz_x000D_
23560-352_x000D_
RIO DE JANEIRO_x000D_
RJ_x000D_
BR - BRASIL</t>
  </si>
  <si>
    <t>R BEIJA-FLOR, 30_x000D_
LOJA 2_x000D_
LOJA 2NOVO HORIZONTE_x000D_
29163307_x000D_
SERRA_x000D_
ES_x000D_
BR - BRASIL</t>
  </si>
  <si>
    <t>Verificar com a Jeisy. Sem pedido anexado.</t>
  </si>
  <si>
    <t>RUA DONA BELA, SN_x000D_
GLEBA 5-A2_x000D_
TRES PONTES_x000D_
24809-230_x000D_
ITABORAI_x000D_
RJ_x000D_
BR - BRASIL</t>
  </si>
  <si>
    <t>MOBILIZACAO COM CARRETA</t>
  </si>
  <si>
    <t>Golfo de Coronation S/N_x000D_
Ponta de Campina_x000D_
58310-000_x000D_
CABEDELO_x000D_
PB_x000D_
BR - BRASIL</t>
  </si>
  <si>
    <t>CABEDELO</t>
  </si>
  <si>
    <t>DESMONTAGEM</t>
  </si>
  <si>
    <t>NÃO HÁ PENDENCIAS - DESMOB PARCIAL JÁ FATURADA</t>
  </si>
  <si>
    <t>FAZENDA SACO DANTAS, S/N_x000D_
DISTRITO INDUSTRIAL_x000D_
PORTO DO ACU_x000D_
28200000_x000D_
SAO JOAO DA BARRA_x000D_
RJ_x000D_
BR - B</t>
  </si>
  <si>
    <t>VENDAS</t>
  </si>
  <si>
    <t>AVENIDA RAIMUNDO CANTUARIA_x000D_
LAGOA_x000D_
78910790_x000D_
PORTO VELHO_x000D_
RO_x000D_
BR - BRASIL</t>
  </si>
  <si>
    <t>CONCORDIA</t>
  </si>
  <si>
    <t>JANDIRA</t>
  </si>
  <si>
    <t>RESENDE</t>
  </si>
  <si>
    <t>Finalizado</t>
  </si>
  <si>
    <t>DEIVISON RODRIGUES ACACIO</t>
  </si>
  <si>
    <t>03 DIAS - 1x</t>
  </si>
  <si>
    <t>26 DIAS - 1x</t>
  </si>
  <si>
    <t>RODRIGO FERNANDES LINHARES</t>
  </si>
  <si>
    <t>ENTRADA+15/15/30</t>
  </si>
  <si>
    <t>ENTRADA+15/15/30 DIAS - 4x</t>
  </si>
  <si>
    <t>WILSON MIRANDA DE JESUS</t>
  </si>
  <si>
    <t>0/30/60/90/120/150</t>
  </si>
  <si>
    <t>0/30/60/90/120/150 DIAS - 6x</t>
  </si>
  <si>
    <t>MAYCO RIBEIRO DA LUZ</t>
  </si>
  <si>
    <t>0/20</t>
  </si>
  <si>
    <t>0/20 DIAS - 2x</t>
  </si>
  <si>
    <t>FIXO DIA 17</t>
  </si>
  <si>
    <t>GABRIEL ARAUJO ALVES</t>
  </si>
  <si>
    <t>10/35 - 2x</t>
  </si>
  <si>
    <t>30/60/90</t>
  </si>
  <si>
    <t>30/60/90 DIAS - 3x</t>
  </si>
  <si>
    <t>12 DIAS - 1x</t>
  </si>
  <si>
    <t>22 DIAS - 1x</t>
  </si>
  <si>
    <t>15/45/75 - 3X</t>
  </si>
  <si>
    <t>ENTRADA+30</t>
  </si>
  <si>
    <t>Entrada+30 dias - 2x</t>
  </si>
  <si>
    <t>LIGIA MENEZES SANTOS SUMI</t>
  </si>
  <si>
    <t>BRUNO CARLOS DE LIMA</t>
  </si>
  <si>
    <t>ENTRADA  + 20 DIAS</t>
  </si>
  <si>
    <t>ENTRADA + 20 DIAS</t>
  </si>
  <si>
    <t>CARTAO DE CREDITO 10</t>
  </si>
  <si>
    <t>CARTAO DE CREDITO 10X</t>
  </si>
  <si>
    <t>FIXO DIA 18</t>
  </si>
  <si>
    <t>COMODATO</t>
  </si>
  <si>
    <t>24 DIAS - 1x</t>
  </si>
  <si>
    <t xml:space="preserve">TENTATIVA DE MOBILIZACAO COM CAMINHAO MUNCK - VALOR REFERENTE A PRESTAÇÃO DE SERVIÇO COM CAMINHÃO MUNCK PARA MOBILIZAÇÃO CONFORME CONTRATO: </t>
  </si>
  <si>
    <t>Vlr Bruto</t>
  </si>
  <si>
    <t>CABREUVA</t>
  </si>
  <si>
    <t>Nº Cotação</t>
  </si>
  <si>
    <t>Cód Cliente</t>
  </si>
  <si>
    <t>Estado</t>
  </si>
  <si>
    <t>Nome Empresa</t>
  </si>
  <si>
    <t>Descrição Cond Pgto</t>
  </si>
  <si>
    <t>Valor Líq Total/Base</t>
  </si>
  <si>
    <t>Criado</t>
  </si>
  <si>
    <t>Fechado</t>
  </si>
  <si>
    <t>Ganho</t>
  </si>
  <si>
    <t>ENTRADA + 30/60</t>
  </si>
  <si>
    <t>ENTRADA + 30/60 DIAS - 3x</t>
  </si>
  <si>
    <t>ENT+15 DIAS - 2X</t>
  </si>
  <si>
    <t>0/30/60/90/120</t>
  </si>
  <si>
    <t>0/30/60/90/120 DIAS - 5x</t>
  </si>
  <si>
    <t>Planejada</t>
  </si>
  <si>
    <t>Rejeitada</t>
  </si>
  <si>
    <t>ENTRADA+ 30/60/90</t>
  </si>
  <si>
    <t>ENTRADA+ 30/60/90 DIAS - 4x</t>
  </si>
  <si>
    <t>0/30/60</t>
  </si>
  <si>
    <t>0/30/60 - 3x</t>
  </si>
  <si>
    <t>ENT 20% 30/60/90</t>
  </si>
  <si>
    <t>ENT 20% 30/60/90 DIAS - 4x</t>
  </si>
  <si>
    <t>Revisado</t>
  </si>
  <si>
    <t>0(35%)/45(65%)</t>
  </si>
  <si>
    <t>0(35%)/45(65%) DIAS - 2x</t>
  </si>
  <si>
    <t>ENTRADA 20%+30DIAS</t>
  </si>
  <si>
    <t>ENTRADA 20%+30DIAS - 2x</t>
  </si>
  <si>
    <t>ENT 40% 30/60/90 4X</t>
  </si>
  <si>
    <t>0/30/60 (50/25/25%)</t>
  </si>
  <si>
    <t>0/30/60 (50/25/25%) - 3x</t>
  </si>
  <si>
    <t>Perda</t>
  </si>
  <si>
    <t>0/30/60 (30/35/35%)</t>
  </si>
  <si>
    <t>0/30/60 (30/35/35%) - 3x</t>
  </si>
  <si>
    <t>ENT 50%/30/60/90/120</t>
  </si>
  <si>
    <t>ENT 50%/30/60/90/120 DIAS - 5x</t>
  </si>
  <si>
    <t>120 DIAS - 1X</t>
  </si>
  <si>
    <t>ENTRADA + 10X CARTÃO</t>
  </si>
  <si>
    <t>30/60/90/120/150</t>
  </si>
  <si>
    <t>30/60/90/120/150 DIAS - 5x</t>
  </si>
  <si>
    <t>0/30/45</t>
  </si>
  <si>
    <t>0/30/45 DIAS - 3x</t>
  </si>
  <si>
    <t>ENT+30/45</t>
  </si>
  <si>
    <t>ENT+30/45 DIAS - 3x</t>
  </si>
  <si>
    <t>ENT+20/30</t>
  </si>
  <si>
    <t>ENT+20/30 DIAS - 3x</t>
  </si>
  <si>
    <t>30/45</t>
  </si>
  <si>
    <t>30/45 DIAS - 2x</t>
  </si>
  <si>
    <t>0/15/30</t>
  </si>
  <si>
    <t>0/15/30 DIAS - 3x</t>
  </si>
  <si>
    <t>ENT+7 PARCELAS</t>
  </si>
  <si>
    <t>0/30/60/90/120/150/180/210 DIAS - 8x</t>
  </si>
  <si>
    <t>0/15/30/60</t>
  </si>
  <si>
    <t>0/15/30/60 DIAS - 4x</t>
  </si>
  <si>
    <t>06/31 DIAS - 2x</t>
  </si>
  <si>
    <t>13 DIAS - 1x</t>
  </si>
  <si>
    <t>0/14</t>
  </si>
  <si>
    <t>0/14 - 2x</t>
  </si>
  <si>
    <t>ENTRADA+10X CARTÃO</t>
  </si>
  <si>
    <t>ENTRADA+30/60/90/120/150/180/210/240/270/300</t>
  </si>
  <si>
    <t>0/30/60/90</t>
  </si>
  <si>
    <t>0/30/60/90 DIAS - 4x</t>
  </si>
  <si>
    <t>30/60/90/120.../300</t>
  </si>
  <si>
    <t>30/60/90/120/150/180/210/240/270/300 DIAS - 10x</t>
  </si>
  <si>
    <t>ENT/ 28X</t>
  </si>
  <si>
    <t>5/30/60/90 - 28x</t>
  </si>
  <si>
    <t>80% ANTECIPADO / 20%A VISTA</t>
  </si>
  <si>
    <t>0/30/60 (35/35/30%)</t>
  </si>
  <si>
    <t>0/30/60 (35/35/30%) - 3x</t>
  </si>
  <si>
    <t>30/45/60/75</t>
  </si>
  <si>
    <t>30/45/60/75 DIAS - 4x</t>
  </si>
  <si>
    <t>BOLETO</t>
  </si>
  <si>
    <t>ENT 5X CARTAO CRED</t>
  </si>
  <si>
    <t>ENTRADA 5X CARTAO CREDITO - 6x</t>
  </si>
  <si>
    <t>ENT 30/60/90/120 10X</t>
  </si>
  <si>
    <t>0/30/60/90/120/150/180/210/240/270 DIAS - 10x</t>
  </si>
  <si>
    <t>0/30/60 (35/45/20%)</t>
  </si>
  <si>
    <t>0/30/60 (35/45/20%) - 3X</t>
  </si>
  <si>
    <t>CARTAO DE CREDITO 5X</t>
  </si>
  <si>
    <t>07/30/45/75</t>
  </si>
  <si>
    <t>07/30/45/75 DIAS - 4x</t>
  </si>
  <si>
    <t>CARTAO DE CREDITO 3X</t>
  </si>
  <si>
    <t>15/45</t>
  </si>
  <si>
    <t>15/45 DIAS - 2x</t>
  </si>
  <si>
    <t>30/60 (20%/80%)</t>
  </si>
  <si>
    <t>30/60 (20%/80%) DIAS - 2x</t>
  </si>
  <si>
    <t>DAIANE JANUARIA PEREIRA</t>
  </si>
  <si>
    <t>GUAPIACU</t>
  </si>
  <si>
    <t>EMBU-GUACU</t>
  </si>
  <si>
    <t>LOCACAO</t>
  </si>
  <si>
    <t>BARRA MANSA</t>
  </si>
  <si>
    <t>CAXAMBU</t>
  </si>
  <si>
    <t xml:space="preserve">MOBILIZACAO COM MUNCK + TRUCK - VALOR REFERENTE A PRESTAÇÃO DE SERVIÇO COM MUNCK + TRUCK PARA MOBILIZAÇÃO CONFORME CONTRATO: </t>
  </si>
  <si>
    <t>0/30 (10/90%)</t>
  </si>
  <si>
    <t>0/30 (10/90%) DIAS - 2x</t>
  </si>
  <si>
    <t>DESMOBILIZACAO COM CARRETA</t>
  </si>
  <si>
    <t>MOBILIZACAO COM TRUCK</t>
  </si>
  <si>
    <t>DESMOBILIZACAO COM TRUCK</t>
  </si>
  <si>
    <t>DESMOB + MOBILIZACAO COM CAMINHAO MUNCK</t>
  </si>
  <si>
    <t>DESMOB + MOBILIZACAO COM TRUCK</t>
  </si>
  <si>
    <t>DESMOB + MOBILIZACAO COM CARRETA</t>
  </si>
  <si>
    <t>SERVICO DE DESMOBILIZACAO COM TRUCK</t>
  </si>
  <si>
    <t>MOBILIZACAO &amp; DESMOBILIZACAO COM CAMINHAO MUNCK</t>
  </si>
  <si>
    <t>MOBILIZACAO COM CAMINHAO MUNCK + MONTAGEM</t>
  </si>
  <si>
    <t>MONT + MOBILIZACAO COM CAMINHAO MUNCK</t>
  </si>
  <si>
    <t>AV BARAO DE OLIVEIRA CASTRO 60_x000D_
JARDIM BOTANICO_x000D_
22460280_x000D_
RIO DE JANEIRO_x000D_
RJ_x000D_
BR - BRASIL</t>
  </si>
  <si>
    <t>RUA BARAO DE MURIBECA_x000D_
VAZEA_x000D_
50741080_x000D_
RECIFE_x000D_
PE_x000D_
BR - BRAZIL</t>
  </si>
  <si>
    <t>FAZ CAPANEMA SN_x000D_
MINA CAPANEMA N 0_x000D_
SAO BARTOLOMEU_x000D_
35400000_x000D_
OURO PRETO_x000D_
MG_x000D_
BR - BRAZIL</t>
  </si>
  <si>
    <t>RUA DADY_x000D_
JARDIM EMILIA_x000D_
07432575_x000D_
ARUJA_x000D_
SP_x000D_
BR - BRAZIL</t>
  </si>
  <si>
    <t>MATEUS LEME</t>
  </si>
  <si>
    <t>VOLTA REDONDA</t>
  </si>
  <si>
    <t>MOB + DESMOBILIZACAO COM CAMINHAO MUNCK</t>
  </si>
  <si>
    <t>FATURAR DESMOB PARCIAL (SÉRIE 19101)</t>
  </si>
  <si>
    <t>CAMBUCI</t>
  </si>
  <si>
    <t>R BARAO DE OLIVEIRA CASTRO_x000D_
JARDIM BOTANICO_x000D_
22460280_x000D_
RIO DE JANEIRO_x000D_
RJ_x000D_
BR - BRAZIL</t>
  </si>
  <si>
    <t xml:space="preserve">DESMOBILIZACAO COM MUNCK + CARRETA - VALOR REFERENTE A PRESTAÇÃO DE SERVIÇO COM MUNCK + CARRETA PARA DESMOBILIZAÇÃO CONFORME CONTRATO: </t>
  </si>
  <si>
    <t>DESMOBILIZACAO COM CAMINHAO MUNCK + CARRETA</t>
  </si>
  <si>
    <t>EST CANAL DO SAO FRANCISCO_x000D_
SANTA CRUZ_x000D_
23565230_x000D_
RIO DE JANEIRO_x000D_
RJ_x000D_
BR - BRAZIL</t>
  </si>
  <si>
    <t>FIXO DIA 4</t>
  </si>
  <si>
    <t>FIXO DIA 04</t>
  </si>
  <si>
    <t>VARGINHA</t>
  </si>
  <si>
    <t>Contrato será depósito todo dia 10 do mês._x000D_
Considerar montagem e acoplamento de 3 módulos T14/0 pé direito 3 metros, colocação de cobertura dos módulos e acessos dos mesmo, repassado ao cliente uma prévia de 7 dias uteis de montagem._x000D_
 Deverá ocorrer o acoplamento junto a Solution para entrada de equipamentos de cozinha._x000D_
Reunião feita 11/02 com alinhamento de escopo.</t>
  </si>
  <si>
    <t>Rodovia Br-040, Km 476, s/n_x000D_
Zona rural_x000D_
Zona Rural_x000D_
35702-372_x000D_
SETE LAGOAS_x000D_
MG_x000D_
BR - BRASIL</t>
  </si>
  <si>
    <t>PIEDADE</t>
  </si>
  <si>
    <t>R JARDIM BOTANICO,660_x000D_
JARDIM BOTANICO_x000D_
22461002_x000D_
RIO DE JANEIRO_x000D_
RJ_x000D_
BR - BRASIL</t>
  </si>
  <si>
    <t>ENT(30%) 30/60/90</t>
  </si>
  <si>
    <t>ENT(30%) 30/60/90(70%) DIAS - 4x</t>
  </si>
  <si>
    <t>VIA MANOEL JACINTO COELHO JUNIOR_x000D_
QUINTAS COLONIAIS_x000D_
32044460_x000D_
CONTAGEM_x000D_
MG_x000D_
BR - BRAZIL</t>
  </si>
  <si>
    <t>RUA POMPILIO DE ALBUQUERQUE, 79_x000D_
ENCANTADO_x000D_
20745125_x000D_
RIO DE JANEIRO_x000D_
RJ_x000D_
BR - BRASIL</t>
  </si>
  <si>
    <t>Rod. Gov. Mário Covas, sn_x000D_
Km 517_x000D_
ITAORNA_x000D_
23948-000_x000D_
ANGRA DOS REIS_x000D_
RJ_x000D_
BR - BRASIL</t>
  </si>
  <si>
    <t>PC 2V3Z30-OSE-0021-R00</t>
  </si>
  <si>
    <t>ROD BR 324. KM 536, S/N_x000D_
ZONA RURAL_x000D_
44.245-000_x000D_
CONCEICAO DO JACUIPE_x000D_
BA_x000D_
BR - BRASIL</t>
  </si>
  <si>
    <t>ROD HELIO SMIDT, SN_x000D_
LADO OPOSTO DO PÁTIO DA GUARUCOOP -_x000D_
CUMBICA_x000D_
07190100_x000D_
GUARULHOS_x000D_
SP_x000D_
BR - BRA</t>
  </si>
  <si>
    <t>RUA AYMORE MOREIRA_x000D_
TROBOGY_x000D_
41745028_x000D_
SALVADOR_x000D_
BA_x000D_
BR - BRAZIL</t>
  </si>
  <si>
    <t>RUA PROFESSOR JOSE VIEIRA MENDONCA_x000D_
ENGENHONOGUEIRA_x000D_
31310260_x000D_
BELO HORIZONTE_x000D_
MG_x000D_
BR - BRAZIL</t>
  </si>
  <si>
    <t>IGARAPE</t>
  </si>
  <si>
    <t>AV JOAO XXIII, SN_x000D_
SANTA CRUZ_x000D_
21000000_x000D_
RIO DE JANEIRO_x000D_
RJ_x000D_
BR - BRASIL</t>
  </si>
  <si>
    <t>AV PORTUGAL , 110_x000D_
PAYSANDU_x000D_
52010010_x000D_
RECIFE_x000D_
PE_x000D_
BR - BRASIL</t>
  </si>
  <si>
    <t>SERVICO DE MOBILIZACAO COM TRUCK + MONTAGEM</t>
  </si>
  <si>
    <t>5ºQ - FALTA ADITIVO DE DESMOB</t>
  </si>
  <si>
    <t>PO: 45971 Instituição: 329 - QI Sociedade de Crédito Direto Agência: 0001   Conta: 4550469-2 CNPJ: 24.013.278/0001-61</t>
  </si>
  <si>
    <t>3ºQ - ERRO DE KM NEGATIVO</t>
  </si>
  <si>
    <t>SÉRIE 20092</t>
  </si>
  <si>
    <t>MOBILIZACAO COM CARRETA + TRUCK</t>
  </si>
  <si>
    <t xml:space="preserve">MOBILIZACAO COM CARRETA + TRUCK - VALOR REFERENTE A PRESTAÇÃO DE SERVIÇO COM CARRETA + TRUCK PARA MOBILIZAÇÃO CONFORME CONTRATO: </t>
  </si>
  <si>
    <t>PC 52045</t>
  </si>
  <si>
    <t>MOBILIZACAO COM MUNCK + TRUCK</t>
  </si>
  <si>
    <t>MOBILIZACAO COM CAMINHAO MUNCK + TRUCK</t>
  </si>
  <si>
    <t>SÉRIES: 35106, 13694, 26378, 27908, 31998, 35113</t>
  </si>
  <si>
    <t>5ºQ - FALTA NÚMERO DA PO FALTA ADITIVO DE MOB CONTRATO ANEXADOS NA ABA GERAL - INFORMAR Nº PO NA NF
POI202402220002</t>
  </si>
  <si>
    <t>CNO: 90.009.83691/73</t>
  </si>
  <si>
    <t>MOBILIZACAO COM CAMINHAO MUNCK + TODOS</t>
  </si>
  <si>
    <t xml:space="preserve">MONTAGEM &amp; MOBILIZAÇÃO, DESMONTAGEM &amp; DESMOBILIZAÇÃO - VALOR REFERENTE A PRESTAÇÃO DE SERVIÇO COM CAMINHÃO MUNCK PARA MONTAGEM &amp; MOBILIZAÇÃO, DESMONTAGEM &amp; DESMOBILIZAÇÃO CONFORME CONTRATO: </t>
  </si>
  <si>
    <t>SAO JOAQUIM DA BARRA</t>
  </si>
  <si>
    <t>Pedido de Compra 4501860339</t>
  </si>
  <si>
    <t>Nº Oportunidade 44653</t>
  </si>
  <si>
    <t>SERTÃOZINHO/SP</t>
  </si>
  <si>
    <t>Nº Oportunidade 45550</t>
  </si>
  <si>
    <t>AFL 2123</t>
  </si>
  <si>
    <t>50% ANTECIPADO+ 50% A PRAZO</t>
  </si>
  <si>
    <t>CNO- 90.013.43832/75</t>
  </si>
  <si>
    <t>MINA CAPANEMA_x000D_
ZONA RURAL_x000D_
35450-000_x000D_
ITABIRITO_x000D_
MG_x000D_
BR - BRASIL</t>
  </si>
  <si>
    <t>CNO 90.016.85995/78</t>
  </si>
  <si>
    <t>VALE TIMBOPEBA_x000D_
ZONA RURAL_x000D_
35420000_x000D_
MARIANA_x000D_
MG_x000D_
BR - BRASIL</t>
  </si>
  <si>
    <t>CNO: 90.009.83691/73_x000D_
10/10/2023 (Thais) - Alterado para faturamento direto. Email em anexo com autorização.</t>
  </si>
  <si>
    <t>Contrato: 25284 _x000D_
* Série/Modelo: 276461-6 / 5109_x000D_
* Contato no local: Debora 31 9665-4064</t>
  </si>
  <si>
    <t>RODOVIA MG155, S/N_x000D_
KM 6_x000D_
COLONIA SANTA ISABEL_x000D_
32641055_x000D_
BETIM_x000D_
MG_x000D_
BR - BRASIL</t>
  </si>
  <si>
    <t>ESTRADA DA ALDEINHA 407_x000D_
GALPAO 2_x000D_
ALPHAVILLE EMPRESARIAL_x000D_
06465100_x000D_
BARUERI_x000D_
SP_x000D_
BR - BRASIL</t>
  </si>
  <si>
    <t>AV CECI, 1649_x000D_
BLOCO 1_x000D_
TAMBORE_x000D_
06460120_x000D_
BARUERI_x000D_
SP_x000D_
BR - BRASIL</t>
  </si>
  <si>
    <t>NOVA ODESSA</t>
  </si>
  <si>
    <t>AV DAS AMERICAS 19019_x000D_
SALA: 399G E 301A_x000D_
RECREIO DOS BANDEIRANTES_x000D_
22790703_x000D_
RIO DE JANEIRO_x000D_
RJ_x000D_
BR</t>
  </si>
  <si>
    <t>PEDIDO DE COMPRA LOCAÇÃO: 006293_x000D_
PEDIDO DE COMPRA SERVIÇO: 006292</t>
  </si>
  <si>
    <t>ROD BR 262 KM 3 SN 2501_x000D_
ANEL RODOVIARIO CELSO MELLO AZEVEDO_x000D_
ANEL RODOVIARIO CELSO MELLO AZEVEDO_x000D_
3</t>
  </si>
  <si>
    <t>PENDENTE CONTRATO ASSINADO PARA FATURAMENTO.</t>
  </si>
  <si>
    <t>ROD BR 222 KM 145_x000D_
FAZENDA BELA VISTA N 10_x000D_
ZONA RURAL_x000D_
65930000_x000D_
ACAILANDIA_x000D_
MA_x000D_
BR - BRAZIL</t>
  </si>
  <si>
    <t>ACAILANDIA</t>
  </si>
  <si>
    <t>RUA FRANCISCO DE SOUZA MELLO_x000D_
CORDOVIL_x000D_
21010410_x000D_
RIO DE JANEIRO_x000D_
RJ_x000D_
BR - BRAZIL</t>
  </si>
  <si>
    <t>RUA JOSE DE HOLANDA, SN_x000D_
CRUZ DE REBOUCAS_x000D_
53635085_x000D_
IGARASSU_x000D_
PE_x000D_
BR - BRASIL</t>
  </si>
  <si>
    <t>FAZENDA SAO JOAO_x000D_
UFV SAO JOAO N SN_x000D_
ESTRADA BREJO GRANDE_x000D_
28093000_x000D_
CAMPOS DOS GOYTACAZES_x000D_
RJ_x000D_
BR -</t>
  </si>
  <si>
    <t>VIA EXPRESSA DE CONTAGEM, 3850_x000D_
CINCAO_x000D_
33700485_x000D_
CONTAGEM_x000D_
MG_x000D_
BR - BRASIL</t>
  </si>
  <si>
    <t xml:space="preserve">AV PERO VAZ DE CAMINHA N 0_x000D_
OBRA 181 USIMINAS PORTARIA 3_x000D_
BOM RETIRO_x000D_
35160-238_x000D_
IPATINGA_x000D_
MG_x000D_
BR - </t>
  </si>
  <si>
    <t>AVENIDA ATHOS DUBOC FIGUEIRA_x000D_
JARDIM VITORIA_x000D_
27944747_x000D_
MACAE_x000D_
RJ_x000D_
BR - BRAZIL</t>
  </si>
  <si>
    <t>MACAE</t>
  </si>
  <si>
    <t>FAZENDA SACO DANTAS_x000D_
DISTRITO INDUSTRIAL N SN_x000D_
PORTO DO ACU_x000D_
28200000_x000D_
SAO JOAO DA BARRA_x000D_
RJ_x000D_
BR - B</t>
  </si>
  <si>
    <t>BLUMENAU</t>
  </si>
  <si>
    <t>PRACA SAO JOAO BATISTA_x000D_
LETREITO EU AMO SJB N SN_x000D_
CENTRO_x000D_
28200000_x000D_
SAO JOAO DA BARRA_x000D_
RJ_x000D_
BR - BRAZ</t>
  </si>
  <si>
    <t>AV TUCUNARE_x000D_
TAMBORE_x000D_
06460935_x000D_
BARUERI_x000D_
SP_x000D_
BR - BRAZIL</t>
  </si>
  <si>
    <t>FATURAR DESMONTAGEM - FECHADO - CONTRATO ASSINADO</t>
  </si>
  <si>
    <t>PEDIDO de Compra-8817001865 FATURAR DESMOB (TOTAL) - FECHADO - LIBERAÇÃO DIRETORIA</t>
  </si>
  <si>
    <t>FATURAR DESMOB (TOTAL) - FECHADO - 1º ADITIVO ASSINADO</t>
  </si>
  <si>
    <t>FATURAR DESMOB (TOTAL) - ABERTO - 2° ADITIVO ASSINADO</t>
  </si>
  <si>
    <t xml:space="preserve">PC 1295 - Obra: 507C - Viva Vida Igarassu - Construção É INDISPENSÁVEL PARA FIM DE PAGAMENTO O ENVIO DO XML/DANFE PARA O E-MAIL
XML.SERVICE@DIRECIONAL.COM.BR FATURAR MOB + DESMOB (TOTAL) - FECHADO - LIBERAÇÃO DIRETORIA </t>
  </si>
  <si>
    <t>O Nº DO PEDIDO 1744  DEVE OBRIGATORIAMENTE CONSTAR NO CORPO DA NOTA FISCAL. ENVIAR XML E DANFE DA NFE PARA: NFE@SUDESTE.COM.BR FATURAR DESMOB PARCIAL (SÉRIES 30119, 31007, 26083, 23742) - FECHADO - 6º ADITIVO ASSINADO</t>
  </si>
  <si>
    <t>3ºQ - PENDENTE ENCERRAMENTO DOS BENS - FALTA CONTRATO</t>
  </si>
  <si>
    <t>Pedido de Compra 4500844355</t>
  </si>
  <si>
    <t>CONTRATO ALEATÓRIO 1</t>
  </si>
  <si>
    <t>CONTRATO ALEATÓRIO 2</t>
  </si>
  <si>
    <t>CONTRATO ALEATÓRIO 3</t>
  </si>
  <si>
    <t>CONTRATO ALEATÓRIO 4</t>
  </si>
  <si>
    <t>CONTRATO ALEATÓRIO 5</t>
  </si>
  <si>
    <t>CONTRATO ALEATÓRIO 6</t>
  </si>
  <si>
    <t>CONTRATO ALEATÓRIO 7</t>
  </si>
  <si>
    <t>CONTRATO ALEATÓRIO 8</t>
  </si>
  <si>
    <t>CONTRATO ALEATÓRIO 9</t>
  </si>
  <si>
    <t>CONTRATO ALEATÓRIO 10</t>
  </si>
  <si>
    <t>CONTRATO ALEATÓRIO 11</t>
  </si>
  <si>
    <t>CONTRATO ALEATÓRIO 12</t>
  </si>
  <si>
    <t>CONTRATO ALEATÓRIO 13</t>
  </si>
  <si>
    <t>CONTRATO ALEATÓRIO 14</t>
  </si>
  <si>
    <t>CONTRATO ALEATÓRIO 15</t>
  </si>
  <si>
    <t>CONTRATO ALEATÓRIO 16</t>
  </si>
  <si>
    <t>CONTRATO ALEATÓRIO 17</t>
  </si>
  <si>
    <t>CONTRATO ALEATÓRIO 18</t>
  </si>
  <si>
    <t>CONTRATO ALEATÓRIO 19</t>
  </si>
  <si>
    <t>CONTRATO ALEATÓRIO 20</t>
  </si>
  <si>
    <t>CONTRATO ALEATÓRIO 21</t>
  </si>
  <si>
    <t>CONTRATO ALEATÓRIO 22</t>
  </si>
  <si>
    <t>CONTRATO ALEATÓRIO 23</t>
  </si>
  <si>
    <t>CONTRATO ALEATÓRIO 24</t>
  </si>
  <si>
    <t>CONTRATO ALEATÓRIO 25</t>
  </si>
  <si>
    <t>CONTRATO ALEATÓRIO 26</t>
  </si>
  <si>
    <t>CONTRATO ALEATÓRIO 27</t>
  </si>
  <si>
    <t>CONTRATO ALEATÓRIO 28</t>
  </si>
  <si>
    <t>CONTRATO ALEATÓRIO 29</t>
  </si>
  <si>
    <t>CONTRATO ALEATÓRIO 30</t>
  </si>
  <si>
    <t>CONTRATO ALEATÓRIO 31</t>
  </si>
  <si>
    <t>CONTRATO ALEATÓRIO 32</t>
  </si>
  <si>
    <t>CONTRATO ALEATÓRIO 33</t>
  </si>
  <si>
    <t>CONTRATO ALEATÓRIO 34</t>
  </si>
  <si>
    <t>CONTRATO ALEATÓRIO 35</t>
  </si>
  <si>
    <t>CONTRATO ALEATÓRIO 36</t>
  </si>
  <si>
    <t>CONTRATO ALEATÓRIO 37</t>
  </si>
  <si>
    <t>CONTRATO ALEATÓRIO 38</t>
  </si>
  <si>
    <t>CONTRATO ALEATÓRIO 39</t>
  </si>
  <si>
    <t>CONTRATO ALEATÓRIO 40</t>
  </si>
  <si>
    <t>CONTRATO ALEATÓRIO 41</t>
  </si>
  <si>
    <t>CONTRATO ALEATÓRIO 42</t>
  </si>
  <si>
    <t>CONTRATO ALEATÓRIO 43</t>
  </si>
  <si>
    <t>CONTRATO ALEATÓRIO 44</t>
  </si>
  <si>
    <t>CONTRATO ALEATÓRIO 45</t>
  </si>
  <si>
    <t>CONTRATO ALEATÓRIO 46</t>
  </si>
  <si>
    <t>CONTRATO ALEATÓRIO 47</t>
  </si>
  <si>
    <t>CONTRATO ALEATÓRIO 48</t>
  </si>
  <si>
    <t>CONTRATO ALEATÓRIO 49</t>
  </si>
  <si>
    <t>CONTRATO ALEATÓRIO 50</t>
  </si>
  <si>
    <t>CONTRATO ALEATÓRIO 51</t>
  </si>
  <si>
    <t>CONTRATO ALEATÓRIO 52</t>
  </si>
  <si>
    <t>ALEATÓRIO 1</t>
  </si>
  <si>
    <t>ALEATÓRIO 2</t>
  </si>
  <si>
    <t>ALEATÓRIO 3</t>
  </si>
  <si>
    <t>ALEATÓRIO 4</t>
  </si>
  <si>
    <t>ALEATÓRIO 5</t>
  </si>
  <si>
    <t>ALEATÓRIO 6</t>
  </si>
  <si>
    <t>ALEATÓRIO 7</t>
  </si>
  <si>
    <t>ALEATÓRIO 8</t>
  </si>
  <si>
    <t>ALEATÓRIO 9</t>
  </si>
  <si>
    <t>ALEATÓRIO 10</t>
  </si>
  <si>
    <t>ALEATÓRIO 11</t>
  </si>
  <si>
    <t>ALEATÓRIO 12</t>
  </si>
  <si>
    <t>ALEATÓRIO 13</t>
  </si>
  <si>
    <t>ALEATÓRIO 14</t>
  </si>
  <si>
    <t>ALEATÓRIO 15</t>
  </si>
  <si>
    <t>ALEATÓRIO 16</t>
  </si>
  <si>
    <t>ALEATÓRIO 17</t>
  </si>
  <si>
    <t>ALEATÓRIO 18</t>
  </si>
  <si>
    <t>ALEATÓRIO 19</t>
  </si>
  <si>
    <t>ALEATÓRIO 20</t>
  </si>
  <si>
    <t>ALEATÓRIO 21</t>
  </si>
  <si>
    <t>ALEATÓRIO 22</t>
  </si>
  <si>
    <t>ALEATÓRIO 23</t>
  </si>
  <si>
    <t>ALEATÓRIO 24</t>
  </si>
  <si>
    <t>ALEATÓRIO 25</t>
  </si>
  <si>
    <t>ALEATÓRIO 26</t>
  </si>
  <si>
    <t>ALEATÓRIO 27</t>
  </si>
  <si>
    <t>ALEATÓRIO 28</t>
  </si>
  <si>
    <t>ALEATÓRIO 29</t>
  </si>
  <si>
    <t>ALEATÓRIO 30</t>
  </si>
  <si>
    <t>ALEATÓRIO 31</t>
  </si>
  <si>
    <t>ALEATÓRIO 32</t>
  </si>
  <si>
    <t>ALEATÓRIO 33</t>
  </si>
  <si>
    <t>ALEATÓRIO 34</t>
  </si>
  <si>
    <t>ALEATÓRIO 35</t>
  </si>
  <si>
    <t>ALEATÓRIO 36</t>
  </si>
  <si>
    <t>ALEATÓRIO 37</t>
  </si>
  <si>
    <t>ALEATÓRIO 38</t>
  </si>
  <si>
    <t>ALEATÓRIO 39</t>
  </si>
  <si>
    <t>ALEATÓRIO 40</t>
  </si>
  <si>
    <t>ALEATÓRIO 41</t>
  </si>
  <si>
    <t>ALEATÓRIO 42</t>
  </si>
  <si>
    <t>ALEATÓRIO 43</t>
  </si>
  <si>
    <t>ALEATÓRIO 44</t>
  </si>
  <si>
    <t>ALEATÓRIO 45</t>
  </si>
  <si>
    <t>ALEATÓRIO 46</t>
  </si>
  <si>
    <t>ALEATÓRIO 47</t>
  </si>
  <si>
    <t>ALEATÓRIO 48</t>
  </si>
  <si>
    <t>ALEATÓRIO 49</t>
  </si>
  <si>
    <t>ALEATÓRIO 50</t>
  </si>
  <si>
    <t>ALEATÓRIO 51</t>
  </si>
  <si>
    <t>ALEATÓRIO 52</t>
  </si>
  <si>
    <t>ALEATÓRIO 53</t>
  </si>
  <si>
    <t>ALEATÓRIO 54</t>
  </si>
  <si>
    <t>ALEATÓRIO 55</t>
  </si>
  <si>
    <t>ALEATÓRIO 56</t>
  </si>
  <si>
    <t>ALEATÓRIO 57</t>
  </si>
  <si>
    <t>ALEATÓRIO 58</t>
  </si>
  <si>
    <t>ALEATÓRIO 59</t>
  </si>
  <si>
    <t>ALEATÓRIO 60</t>
  </si>
  <si>
    <t>ALEATÓRIO 61</t>
  </si>
  <si>
    <t>ALEATÓRIO 62</t>
  </si>
  <si>
    <t>ALEATÓRIO 63</t>
  </si>
  <si>
    <t>ALEATÓRIO 64</t>
  </si>
  <si>
    <t>ALEATÓRIO 65</t>
  </si>
  <si>
    <t>ALEATÓRIO 66</t>
  </si>
  <si>
    <t>ALEATÓRIO 67</t>
  </si>
  <si>
    <t>ALEATÓRIO 68</t>
  </si>
  <si>
    <t>ALEATÓRIO 69</t>
  </si>
  <si>
    <t>ALEATÓRIO 70</t>
  </si>
  <si>
    <t>ALEATÓRIO 71</t>
  </si>
  <si>
    <t>ALEATÓRIO 72</t>
  </si>
  <si>
    <t>ALEATÓRIO 73</t>
  </si>
  <si>
    <t>ALEATÓRIO 74</t>
  </si>
  <si>
    <t>ALEATÓRIO 75</t>
  </si>
  <si>
    <t>ALEATÓRIO 76</t>
  </si>
  <si>
    <t>ALEATÓRIO 77</t>
  </si>
  <si>
    <t>ALEATÓRIO 78</t>
  </si>
  <si>
    <t>ALEATÓRIO 79</t>
  </si>
  <si>
    <t>ALEATÓRIO 80</t>
  </si>
  <si>
    <t>ALEATÓRIO 81</t>
  </si>
  <si>
    <t>ALEATÓRIO 82</t>
  </si>
  <si>
    <t>ALEATÓRIO 83</t>
  </si>
  <si>
    <t>ALEATÓRIO 84</t>
  </si>
  <si>
    <t>ALEATÓRIO 85</t>
  </si>
  <si>
    <t>ALEATÓRIO 86</t>
  </si>
  <si>
    <t>ALEATÓRIO 87</t>
  </si>
  <si>
    <t>ALEATÓRIO 88</t>
  </si>
  <si>
    <t>ALEATÓRIO 89</t>
  </si>
  <si>
    <t>ALEATÓRIO 90</t>
  </si>
  <si>
    <t>ALEATÓRIO 91</t>
  </si>
  <si>
    <t>ALEATÓRIO 92</t>
  </si>
  <si>
    <t>ALEATÓRIO 93</t>
  </si>
  <si>
    <t>ALEATÓRIO 94</t>
  </si>
  <si>
    <t>ALEATÓRIO 95</t>
  </si>
  <si>
    <t>ALEATÓRIO 96</t>
  </si>
  <si>
    <t>ALEATÓRIO 97</t>
  </si>
  <si>
    <t>ALEATÓRIO 98</t>
  </si>
  <si>
    <t>ALEATÓRIO 99</t>
  </si>
  <si>
    <t>ALEATÓRIO 100</t>
  </si>
  <si>
    <t>ALEATÓRIO 101</t>
  </si>
  <si>
    <t>ALEATÓRIO 102</t>
  </si>
  <si>
    <t>ALEATÓRIO 103</t>
  </si>
  <si>
    <t>ALEATÓRIO 104</t>
  </si>
  <si>
    <t>ALEATÓRIO 105</t>
  </si>
  <si>
    <t>ALEATÓRIO 106</t>
  </si>
  <si>
    <t>ALEATÓRIO 107</t>
  </si>
  <si>
    <t>ALEATÓRIO 108</t>
  </si>
  <si>
    <t>ALEATÓRIO 109</t>
  </si>
  <si>
    <t>ALEATÓRIO 110</t>
  </si>
  <si>
    <t>ALEATÓRIO 111</t>
  </si>
  <si>
    <t>ALEATÓRIO 112</t>
  </si>
  <si>
    <t>ALEATÓRIO 113</t>
  </si>
  <si>
    <t>ALEATÓRIO 114</t>
  </si>
  <si>
    <t>ALEATÓRIO 115</t>
  </si>
  <si>
    <t>ALEATÓRIO 116</t>
  </si>
  <si>
    <t>ALEATÓRIO 117</t>
  </si>
  <si>
    <t>ALEATÓRIO 118</t>
  </si>
  <si>
    <t>ALEATÓRIO 119</t>
  </si>
  <si>
    <t>ALEATÓRIO 120</t>
  </si>
  <si>
    <t>ALEATÓRIO 121</t>
  </si>
  <si>
    <t>ALEATÓRIO 122</t>
  </si>
  <si>
    <t>ALEATÓRIO 123</t>
  </si>
  <si>
    <t>ALEATÓRIO 124</t>
  </si>
  <si>
    <t>ALEATÓRIO 125</t>
  </si>
  <si>
    <t>ALEATÓRIO 126</t>
  </si>
  <si>
    <t>ALEATÓRIO 127</t>
  </si>
  <si>
    <t>ALEATÓRIO 128</t>
  </si>
  <si>
    <t>ALEATÓRIO 129</t>
  </si>
  <si>
    <t>ALEATÓRIO 130</t>
  </si>
  <si>
    <t>ALEATÓRIO 131</t>
  </si>
  <si>
    <t>ALEATÓRIO 132</t>
  </si>
  <si>
    <t>ALEATÓRIO 133</t>
  </si>
  <si>
    <t>ALEATÓRIO 134</t>
  </si>
  <si>
    <t>ALEATÓRIO 135</t>
  </si>
  <si>
    <t>ALEATÓRIO 136</t>
  </si>
  <si>
    <t>ALEATÓRIO 137</t>
  </si>
  <si>
    <t>ALEATÓRIO 138</t>
  </si>
  <si>
    <t>ALEATÓRIO 139</t>
  </si>
  <si>
    <t>ALEATÓRIO 140</t>
  </si>
  <si>
    <t>ALEATÓRIO 141</t>
  </si>
  <si>
    <t>ALEATÓRIO 142</t>
  </si>
  <si>
    <t>ALEATÓRIO 143</t>
  </si>
  <si>
    <t>ALEATÓRIO 144</t>
  </si>
  <si>
    <t>ALEATÓRIO 145</t>
  </si>
  <si>
    <t>ALEATÓRIO 146</t>
  </si>
  <si>
    <t>ALEATÓRIO 147</t>
  </si>
  <si>
    <t>ALEATÓRIO 148</t>
  </si>
  <si>
    <t>ALEATÓRIO 149</t>
  </si>
  <si>
    <t>ALEATÓRIO 150</t>
  </si>
  <si>
    <t>ALEATÓRIO 151</t>
  </si>
  <si>
    <t>ALEATÓRIO 152</t>
  </si>
  <si>
    <t>ALEATÓRIO 153</t>
  </si>
  <si>
    <t>ALEATÓRIO 154</t>
  </si>
  <si>
    <t>ALEATÓRIO 155</t>
  </si>
  <si>
    <t>ALEATÓRIO 156</t>
  </si>
  <si>
    <t>ALEATÓRIO 157</t>
  </si>
  <si>
    <t>ALEATÓRIO 158</t>
  </si>
  <si>
    <t>ALEATÓRIO 159</t>
  </si>
  <si>
    <t>ALEATÓRIO 160</t>
  </si>
  <si>
    <t>ALEATÓRIO 161</t>
  </si>
  <si>
    <t>ALEATÓRIO 162</t>
  </si>
  <si>
    <t>ALEATÓRIO 163</t>
  </si>
  <si>
    <t>ALEATÓRIO 164</t>
  </si>
  <si>
    <t>ALEATÓRIO 165</t>
  </si>
  <si>
    <t>ALEATÓRIO 166</t>
  </si>
  <si>
    <t>ALEATÓRIO 167</t>
  </si>
  <si>
    <t>ALEATÓRIO 168</t>
  </si>
  <si>
    <t>ALEATÓRIO 169</t>
  </si>
  <si>
    <t>ALEATÓRIO 170</t>
  </si>
  <si>
    <t>ALEATÓRIO 171</t>
  </si>
  <si>
    <t>ALEATÓRIO 172</t>
  </si>
  <si>
    <t>ALEATÓRIO 173</t>
  </si>
  <si>
    <t>ALEATÓRIO 174</t>
  </si>
  <si>
    <t>ALEATÓRIO 175</t>
  </si>
  <si>
    <t>ALEATÓRIO 176</t>
  </si>
  <si>
    <t>ALEATÓRIO 177</t>
  </si>
  <si>
    <t>ALEATÓRIO 178</t>
  </si>
  <si>
    <t>ALEATÓRIO 179</t>
  </si>
  <si>
    <t>ALEATÓRIO 180</t>
  </si>
  <si>
    <t>ALEATÓRIO 181</t>
  </si>
  <si>
    <t>ALEATÓRIO 182</t>
  </si>
  <si>
    <t>ALEATÓRIO 183</t>
  </si>
  <si>
    <t>ALEATÓRIO 184</t>
  </si>
  <si>
    <t>ALEATÓRIO 185</t>
  </si>
  <si>
    <t>ALEATÓRIO 186</t>
  </si>
  <si>
    <t>ALEATÓRIO 187</t>
  </si>
  <si>
    <t>ALEATÓRIO 188</t>
  </si>
  <si>
    <t>ALEATÓRIO 189</t>
  </si>
  <si>
    <t>ALEATÓRIO 190</t>
  </si>
  <si>
    <t>ALEATÓRIO 191</t>
  </si>
  <si>
    <t>ALEATÓRIO 192</t>
  </si>
  <si>
    <t>ALEATÓRIO 193</t>
  </si>
  <si>
    <t>ALEATÓRIO 194</t>
  </si>
  <si>
    <t>ALEATÓRIO 195</t>
  </si>
  <si>
    <t>ALEATÓRIO 196</t>
  </si>
  <si>
    <t>ALEATÓRIO 197</t>
  </si>
  <si>
    <t>ALEATÓRIO 198</t>
  </si>
  <si>
    <t>ALEATÓRIO 199</t>
  </si>
  <si>
    <t>ALEATÓRIO 200</t>
  </si>
  <si>
    <t>ALEATÓRIO 201</t>
  </si>
  <si>
    <t>ALEATÓRIO 202</t>
  </si>
  <si>
    <t>ALEATÓRIO 203</t>
  </si>
  <si>
    <t>ALEATÓRIO 204</t>
  </si>
  <si>
    <t>ALEATÓRIO 205</t>
  </si>
  <si>
    <t>ALEATÓRIO 206</t>
  </si>
  <si>
    <t>ALEATÓRIO 207</t>
  </si>
  <si>
    <t>ALEATÓRIO 208</t>
  </si>
  <si>
    <t>ALEATÓRIO 209</t>
  </si>
  <si>
    <t>ALEATÓRIO 210</t>
  </si>
  <si>
    <t>ALEATÓRIO 211</t>
  </si>
  <si>
    <t>ALEATÓRIO 212</t>
  </si>
  <si>
    <t>ALEATÓRIO 213</t>
  </si>
  <si>
    <t>ALEATÓRIO 214</t>
  </si>
  <si>
    <t>ALEATÓRIO 215</t>
  </si>
  <si>
    <t>ALEATÓRIO 216</t>
  </si>
  <si>
    <t>ALEATÓRIO 217</t>
  </si>
  <si>
    <t>ALEATÓRIO 218</t>
  </si>
  <si>
    <t>ALEATÓRIO 219</t>
  </si>
  <si>
    <t>ALEATÓRIO 220</t>
  </si>
  <si>
    <t>ALEATÓRIO 221</t>
  </si>
  <si>
    <t>ALEATÓRIO 222</t>
  </si>
  <si>
    <t>ALEATÓRIO 223</t>
  </si>
  <si>
    <t>ALEATÓRIO 224</t>
  </si>
  <si>
    <t>ALEATÓRIO 225</t>
  </si>
  <si>
    <t>ALEATÓRIO 226</t>
  </si>
  <si>
    <t>ALEATÓRIO 227</t>
  </si>
  <si>
    <t>ALEATÓRIO 228</t>
  </si>
  <si>
    <t>ALEATÓRIO 229</t>
  </si>
  <si>
    <t>ALEATÓRIO 230</t>
  </si>
  <si>
    <t>ALEATÓRIO 231</t>
  </si>
  <si>
    <t>ALEATÓRIO 232</t>
  </si>
  <si>
    <t>ALEATÓRIO 233</t>
  </si>
  <si>
    <t>ALEATÓRIO 234</t>
  </si>
  <si>
    <t>ALEATÓRIO 235</t>
  </si>
  <si>
    <t>ALEATÓRIO 236</t>
  </si>
  <si>
    <t>ALEATÓRIO 237</t>
  </si>
  <si>
    <t>ALEATÓRIO 238</t>
  </si>
  <si>
    <t>ALEATÓRIO 239</t>
  </si>
  <si>
    <t>ALEATÓRIO 240</t>
  </si>
  <si>
    <t>ALEATÓRIO 241</t>
  </si>
  <si>
    <t>ALEATÓRIO 242</t>
  </si>
  <si>
    <t>ALEATÓRIO 243</t>
  </si>
  <si>
    <t>ALEATÓRIO 244</t>
  </si>
  <si>
    <t>ALEATÓRIO 245</t>
  </si>
  <si>
    <t>ALEATÓRIO 246</t>
  </si>
  <si>
    <t>ALEATÓRIO 247</t>
  </si>
  <si>
    <t>ALEATÓRIO 248</t>
  </si>
  <si>
    <t>ALEATÓRIO 249</t>
  </si>
  <si>
    <t>ALEATÓRIO 250</t>
  </si>
  <si>
    <t>ALEATÓRIO 251</t>
  </si>
  <si>
    <t>ALEATÓRIO 252</t>
  </si>
  <si>
    <t>ALEATÓRIO 253</t>
  </si>
  <si>
    <t>ALEATÓRIO 254</t>
  </si>
  <si>
    <t>ALEATÓRIO 255</t>
  </si>
  <si>
    <t>ALEATÓRIO 256</t>
  </si>
  <si>
    <t>ALEATÓRIO 257</t>
  </si>
  <si>
    <t>ALEATÓRIO 258</t>
  </si>
  <si>
    <t>ALEATÓRIO 259</t>
  </si>
  <si>
    <t>ALEATÓRIO 260</t>
  </si>
  <si>
    <t>ALEATÓRIO 261</t>
  </si>
  <si>
    <t>ALEATÓRIO 262</t>
  </si>
  <si>
    <t>ALEATÓRIO 263</t>
  </si>
  <si>
    <t>ALEATÓRIO 264</t>
  </si>
  <si>
    <t>ALEATÓRIO 265</t>
  </si>
  <si>
    <t>ALEATÓRIO 266</t>
  </si>
  <si>
    <t>ALEATÓRIO 267</t>
  </si>
  <si>
    <t>ALEATÓRIO 268</t>
  </si>
  <si>
    <t>ALEATÓRIO 269</t>
  </si>
  <si>
    <t>ALEATÓRIO 270</t>
  </si>
  <si>
    <t>ALEATÓRIO 271</t>
  </si>
  <si>
    <t>ALEATÓRIO 272</t>
  </si>
  <si>
    <t>ALEATÓRIO 273</t>
  </si>
  <si>
    <t>ALEATÓRIO 274</t>
  </si>
  <si>
    <t>ALEATÓRIO 275</t>
  </si>
  <si>
    <t>ALEATÓRIO 276</t>
  </si>
  <si>
    <t>ALEATÓRIO 277</t>
  </si>
  <si>
    <t>ALEATÓRIO 278</t>
  </si>
  <si>
    <t>ALEATÓRIO 279</t>
  </si>
  <si>
    <t>ALEATÓRIO 280</t>
  </si>
  <si>
    <t>ALEATÓRIO 281</t>
  </si>
  <si>
    <t>ALEATÓRIO 282</t>
  </si>
  <si>
    <t>ALEATÓRIO 283</t>
  </si>
  <si>
    <t>ALEATÓRIO 284</t>
  </si>
  <si>
    <t>ALEATÓRIO 285</t>
  </si>
  <si>
    <t>ALEATÓRIO 286</t>
  </si>
  <si>
    <t>ALEATÓRIO 287</t>
  </si>
  <si>
    <t>ALEATÓRIO 288</t>
  </si>
  <si>
    <t>ALEATÓRIO 289</t>
  </si>
  <si>
    <t>ALEATÓRIO 290</t>
  </si>
  <si>
    <t>ALEATÓRIO 291</t>
  </si>
  <si>
    <t>ALEATÓRIO 292</t>
  </si>
  <si>
    <t>ALEATÓRIO 293</t>
  </si>
  <si>
    <t>ALEATÓRIO 294</t>
  </si>
  <si>
    <t>ALEATÓRIO 295</t>
  </si>
  <si>
    <t>ALEATÓRIO 296</t>
  </si>
  <si>
    <t>ALEATÓRIO 297</t>
  </si>
  <si>
    <t>ALEATÓRIO 298</t>
  </si>
  <si>
    <t>ALEATÓRIO 299</t>
  </si>
  <si>
    <t>ALEATÓRIO 300</t>
  </si>
  <si>
    <t>ALEATÓRIO 301</t>
  </si>
  <si>
    <t>ALEATÓRIO 302</t>
  </si>
  <si>
    <t>ALEATÓRIO 303</t>
  </si>
  <si>
    <t>ALEATÓRIO 304</t>
  </si>
  <si>
    <t>ALEATÓRIO 305</t>
  </si>
  <si>
    <t>ALEATÓRIO 306</t>
  </si>
  <si>
    <t>ALEATÓRIO 307</t>
  </si>
  <si>
    <t>ALEATÓRIO 308</t>
  </si>
  <si>
    <t>ALEATÓRIO 309</t>
  </si>
  <si>
    <t>ALEATÓRIO 310</t>
  </si>
  <si>
    <t>ALEATÓRIO 311</t>
  </si>
  <si>
    <t>ALEATÓRIO 312</t>
  </si>
  <si>
    <t>ALEATÓRIO 313</t>
  </si>
  <si>
    <t>ALEATÓRIO 314</t>
  </si>
  <si>
    <t>ALEATÓRIO 315</t>
  </si>
  <si>
    <t>ALEATÓRIO 316</t>
  </si>
  <si>
    <t>ALEATÓRIO 317</t>
  </si>
  <si>
    <t>ALEATÓRIO 318</t>
  </si>
  <si>
    <t>ALEATÓRIO 319</t>
  </si>
  <si>
    <t>ALEATÓRIO 320</t>
  </si>
  <si>
    <t>ALEATÓRIO 321</t>
  </si>
  <si>
    <t>ALEATÓRIO 322</t>
  </si>
  <si>
    <t>ALEATÓRIO 323</t>
  </si>
  <si>
    <t>ALEATÓRIO 324</t>
  </si>
  <si>
    <t>ALEATÓRIO 325</t>
  </si>
  <si>
    <t>ALEATÓRIO 326</t>
  </si>
  <si>
    <t>ALEATÓRIO 327</t>
  </si>
  <si>
    <t>ALEATÓRIO 328</t>
  </si>
  <si>
    <t>ALEATÓRIO 329</t>
  </si>
  <si>
    <t>ALEATÓRIO 330</t>
  </si>
  <si>
    <t>ALEATÓRIO 331</t>
  </si>
  <si>
    <t>ALEATÓRIO 332</t>
  </si>
  <si>
    <t>ALEATÓRIO 333</t>
  </si>
  <si>
    <t>ALEATÓRIO 334</t>
  </si>
  <si>
    <t>ALEATÓRIO 335</t>
  </si>
  <si>
    <t>ALEATÓRIO 336</t>
  </si>
  <si>
    <t>ALEATÓRIO 337</t>
  </si>
  <si>
    <t>ALEATÓRIO 338</t>
  </si>
  <si>
    <t>ALEATÓRIO 339</t>
  </si>
  <si>
    <t>ALEATÓRIO 340</t>
  </si>
  <si>
    <t>ALEATÓRIO 341</t>
  </si>
  <si>
    <t>ALEATÓRIO 342</t>
  </si>
  <si>
    <t>ALEATÓRIO 343</t>
  </si>
  <si>
    <t>ALEATÓRIO 344</t>
  </si>
  <si>
    <t>ALEATÓRIO 345</t>
  </si>
  <si>
    <t>ALEATÓRIO 346</t>
  </si>
  <si>
    <t>ALEATÓRIO 347</t>
  </si>
  <si>
    <t>ALEATÓRIO 348</t>
  </si>
  <si>
    <t>ALEATÓRIO 349</t>
  </si>
  <si>
    <t>ALEATÓRIO 350</t>
  </si>
  <si>
    <t>ALEATÓRIO 351</t>
  </si>
  <si>
    <t>ALEATÓRIO 352</t>
  </si>
  <si>
    <t>ALEATÓRIO 353</t>
  </si>
  <si>
    <t>ALEATÓRIO 354</t>
  </si>
  <si>
    <t>ALEATÓRIO 355</t>
  </si>
  <si>
    <t>ALEATÓRIO 356</t>
  </si>
  <si>
    <t>ALEATÓRIO 357</t>
  </si>
  <si>
    <t>ALEATÓRIO 358</t>
  </si>
  <si>
    <t>ALEATÓRIO 359</t>
  </si>
  <si>
    <t>ALEATÓRIO 360</t>
  </si>
  <si>
    <t>ALEATÓRIO 361</t>
  </si>
  <si>
    <t>ALEATÓRIO 362</t>
  </si>
  <si>
    <t>ALEATÓRIO 363</t>
  </si>
  <si>
    <t>ALEATÓRIO 364</t>
  </si>
  <si>
    <t>ALEATÓRIO 365</t>
  </si>
  <si>
    <t>ALEATÓRIO 366</t>
  </si>
  <si>
    <t>ALEATÓRIO 367</t>
  </si>
  <si>
    <t>ALEATÓRIO 368</t>
  </si>
  <si>
    <t>ALEATÓRIO 369</t>
  </si>
  <si>
    <t>ALEATÓRIO 370</t>
  </si>
  <si>
    <t>ALEATÓRIO 371</t>
  </si>
  <si>
    <t>ALEATÓRIO 372</t>
  </si>
  <si>
    <t>ALEATÓRIO 373</t>
  </si>
  <si>
    <t>ALEATÓRIO 374</t>
  </si>
  <si>
    <t>ALEATÓRIO 375</t>
  </si>
  <si>
    <t>ALEATÓRIO 376</t>
  </si>
  <si>
    <t>ALEATÓRIO 377</t>
  </si>
  <si>
    <t>ALEATÓRIO 378</t>
  </si>
  <si>
    <t>ALEATÓRIO 379</t>
  </si>
  <si>
    <t>ALEATÓRIO 380</t>
  </si>
  <si>
    <t>ALEATÓRIO 381</t>
  </si>
  <si>
    <t>ALEATÓRIO 382</t>
  </si>
  <si>
    <t>ALEATÓRIO 383</t>
  </si>
  <si>
    <t>ALEATÓRIO 384</t>
  </si>
  <si>
    <t>ALEATÓRIO 385</t>
  </si>
  <si>
    <t>ALEATÓRIO 386</t>
  </si>
  <si>
    <t>ALEATÓRIO 387</t>
  </si>
  <si>
    <t>ALEATÓRIO 388</t>
  </si>
  <si>
    <t>ALEATÓRIO 389</t>
  </si>
  <si>
    <t>ALEATÓRIO 390</t>
  </si>
  <si>
    <t>ALEATÓRIO 391</t>
  </si>
  <si>
    <t>ALEATÓRIO 392</t>
  </si>
  <si>
    <t>ALEATÓRIO 393</t>
  </si>
  <si>
    <t>ALEATÓRIO 394</t>
  </si>
  <si>
    <t>ALEATÓRIO 395</t>
  </si>
  <si>
    <t>ALEATÓRIO 396</t>
  </si>
  <si>
    <t>ALEATÓRIO 397</t>
  </si>
  <si>
    <t>ALEATÓRIO 398</t>
  </si>
  <si>
    <t>ALEATÓRIO 399</t>
  </si>
  <si>
    <t>ALEATÓRIO 400</t>
  </si>
  <si>
    <t>ALEATÓRIO 401</t>
  </si>
  <si>
    <t>ALEATÓRIO 402</t>
  </si>
  <si>
    <t>ALEATÓRIO 403</t>
  </si>
  <si>
    <t>ALEATÓRIO 404</t>
  </si>
  <si>
    <t>ALEATÓRIO 405</t>
  </si>
  <si>
    <t>ALEATÓRIO 406</t>
  </si>
  <si>
    <t>ALEATÓRIO 407</t>
  </si>
  <si>
    <t>ALEATÓRIO 408</t>
  </si>
  <si>
    <t>ALEATÓRIO 409</t>
  </si>
  <si>
    <t>ALEATÓRIO 410</t>
  </si>
  <si>
    <t>ALEATÓRIO 411</t>
  </si>
  <si>
    <t>ALEATÓRIO 412</t>
  </si>
  <si>
    <t>ALEATÓRIO 413</t>
  </si>
  <si>
    <t>ALEATÓRIO 414</t>
  </si>
  <si>
    <t>ALEATÓRIO 415</t>
  </si>
  <si>
    <t>ALEATÓRIO 416</t>
  </si>
  <si>
    <t>ALEATÓRIO 417</t>
  </si>
  <si>
    <t>ALEATÓRIO 418</t>
  </si>
  <si>
    <t>ALEATÓRIO 419</t>
  </si>
  <si>
    <t>ALEATÓRIO 420</t>
  </si>
  <si>
    <t>ALEATÓRIO 421</t>
  </si>
  <si>
    <t>ALEATÓRIO 422</t>
  </si>
  <si>
    <t>ALEATÓRIO 423</t>
  </si>
  <si>
    <t>ALEATÓRIO 424</t>
  </si>
  <si>
    <t>ALEATÓRIO 425</t>
  </si>
  <si>
    <t>ALEATÓRIO 426</t>
  </si>
  <si>
    <t>ALEATÓRIO 427</t>
  </si>
  <si>
    <t>ALEATÓRIO 428</t>
  </si>
  <si>
    <t>ALEATÓRIO 429</t>
  </si>
  <si>
    <t>ALEATÓRIO 430</t>
  </si>
  <si>
    <t>ALEATÓRIO 431</t>
  </si>
  <si>
    <t>ALEATÓRIO 432</t>
  </si>
  <si>
    <t>ALEATÓRIO 433</t>
  </si>
  <si>
    <t>ALEATÓRIO 434</t>
  </si>
  <si>
    <t>ALEATÓRIO 435</t>
  </si>
  <si>
    <t>ALEATÓRIO 436</t>
  </si>
  <si>
    <t>ALEATÓRIO 437</t>
  </si>
  <si>
    <t>ALEATÓRIO 438</t>
  </si>
  <si>
    <t>ALEATÓRIO 439</t>
  </si>
  <si>
    <t>ALEATÓRIO 440</t>
  </si>
  <si>
    <t>ALEATÓRIO 441</t>
  </si>
  <si>
    <t>ALEATÓRIO 442</t>
  </si>
  <si>
    <t>ALEATÓRIO 443</t>
  </si>
  <si>
    <t>ALEATÓRIO 444</t>
  </si>
  <si>
    <t>ALEATÓRIO 445</t>
  </si>
  <si>
    <t>ALEATÓRIO 446</t>
  </si>
  <si>
    <t>ALEATÓRIO 447</t>
  </si>
  <si>
    <t>ALEATÓRIO 448</t>
  </si>
  <si>
    <t>ALEATÓRIO 449</t>
  </si>
  <si>
    <t>ALEATÓRIO 450</t>
  </si>
  <si>
    <t>ALEATÓRIO 451</t>
  </si>
  <si>
    <t>ALEATÓRIO 452</t>
  </si>
  <si>
    <t>ALEATÓRIO 453</t>
  </si>
  <si>
    <t>ALEATÓRIO 454</t>
  </si>
  <si>
    <t>ALEATÓRIO 455</t>
  </si>
  <si>
    <t>ALEATÓRIO 456</t>
  </si>
  <si>
    <t>ALEATÓRIO 457</t>
  </si>
  <si>
    <t>ALEATÓRIO 458</t>
  </si>
  <si>
    <t>ALEATÓRIO 459</t>
  </si>
  <si>
    <t>ALEATÓRIO 460</t>
  </si>
  <si>
    <t>ALEATÓRIO 461</t>
  </si>
  <si>
    <t>ALEATÓRIO 462</t>
  </si>
  <si>
    <t>ALEATÓRIO 463</t>
  </si>
  <si>
    <t>ALEATÓRIO 464</t>
  </si>
  <si>
    <t>ALEATÓRIO 465</t>
  </si>
  <si>
    <t>ALEATÓRIO 466</t>
  </si>
  <si>
    <t>ALEATÓRIO 467</t>
  </si>
  <si>
    <t>ALEATÓRIO 468</t>
  </si>
  <si>
    <t>ALEATÓRIO 469</t>
  </si>
  <si>
    <t>ALEATÓRIO 470</t>
  </si>
  <si>
    <t>ALEATÓRIO 471</t>
  </si>
  <si>
    <t>ALEATÓRIO 472</t>
  </si>
  <si>
    <t>ALEATÓRIO 473</t>
  </si>
  <si>
    <t>ALEATÓRIO 474</t>
  </si>
  <si>
    <t>ALEATÓRIO 475</t>
  </si>
  <si>
    <t>ALEATÓRIO 476</t>
  </si>
  <si>
    <t>ALEATÓRIO 477</t>
  </si>
  <si>
    <t>ALEATÓRIO 478</t>
  </si>
  <si>
    <t>ALEATÓRIO 479</t>
  </si>
  <si>
    <t>ALEATÓRIO 480</t>
  </si>
  <si>
    <t>ALEATÓRIO 481</t>
  </si>
  <si>
    <t>ALEATÓRIO 482</t>
  </si>
  <si>
    <t>ALEATÓRIO 483</t>
  </si>
  <si>
    <t>ALEATÓRIO 484</t>
  </si>
  <si>
    <t>ALEATÓRIO 485</t>
  </si>
  <si>
    <t>ALEATÓRIO 486</t>
  </si>
  <si>
    <t>ALEATÓRIO 487</t>
  </si>
  <si>
    <t>ALEATÓRIO 488</t>
  </si>
  <si>
    <t>ALEATÓRIO 489</t>
  </si>
  <si>
    <t>ALEATÓRIO 490</t>
  </si>
  <si>
    <t>ALEATÓRIO 491</t>
  </si>
  <si>
    <t>ALEATÓRIO 492</t>
  </si>
  <si>
    <t>ALEATÓRIO 493</t>
  </si>
  <si>
    <t>ALEATÓRIO 494</t>
  </si>
  <si>
    <t>ALEATÓRIO 495</t>
  </si>
  <si>
    <t>ALEATÓRIO 496</t>
  </si>
  <si>
    <t>ALEATÓRIO 497</t>
  </si>
  <si>
    <t>ALEATÓRIO 498</t>
  </si>
  <si>
    <t>ALEATÓRIO 499</t>
  </si>
  <si>
    <t>ALEATÓRIO 500</t>
  </si>
  <si>
    <t>ALEATÓRIO 501</t>
  </si>
  <si>
    <t>ALEATÓRIO 502</t>
  </si>
  <si>
    <t>ALEATÓRIO 503</t>
  </si>
  <si>
    <t>ALEATÓRIO 504</t>
  </si>
  <si>
    <t>ALEATÓRIO 505</t>
  </si>
  <si>
    <t>ALEATÓRIO 506</t>
  </si>
  <si>
    <t>ALEATÓRIO 507</t>
  </si>
  <si>
    <t>ALEATÓRIO 508</t>
  </si>
  <si>
    <t>ALEATÓRIO 509</t>
  </si>
  <si>
    <t>ALEATÓRIO 510</t>
  </si>
  <si>
    <t>ALEATÓRIO 511</t>
  </si>
  <si>
    <t>ALEATÓRIO 512</t>
  </si>
  <si>
    <t>ALEATÓRIO 513</t>
  </si>
  <si>
    <t>ALEATÓRIO 514</t>
  </si>
  <si>
    <t>ALEATÓRIO 515</t>
  </si>
  <si>
    <t>ALEATÓRIO 516</t>
  </si>
  <si>
    <t>ALEATÓRIO 517</t>
  </si>
  <si>
    <t>ALEATÓRIO 518</t>
  </si>
  <si>
    <t>ALEATÓRIO 519</t>
  </si>
  <si>
    <t>ALEATÓRIO 520</t>
  </si>
  <si>
    <t>ALEATÓRIO 521</t>
  </si>
  <si>
    <t>ALEATÓRIO 522</t>
  </si>
  <si>
    <t>ALEATÓRIO 523</t>
  </si>
  <si>
    <t>ALEATÓRIO 524</t>
  </si>
  <si>
    <t>ALEATÓRIO 525</t>
  </si>
  <si>
    <t>ALEATÓRIO 526</t>
  </si>
  <si>
    <t>ALEATÓRIO 527</t>
  </si>
  <si>
    <t>ALEATÓRIO 528</t>
  </si>
  <si>
    <t>ALEATÓRIO 529</t>
  </si>
  <si>
    <t>ALEATÓRIO 530</t>
  </si>
  <si>
    <t>ALEATÓRIO 531</t>
  </si>
  <si>
    <t>ALEATÓRIO 532</t>
  </si>
  <si>
    <t>ALEATÓRIO 533</t>
  </si>
  <si>
    <t>ALEATÓRIO 534</t>
  </si>
  <si>
    <t>ALEATÓRIO 535</t>
  </si>
  <si>
    <t>ALEATÓRIO 536</t>
  </si>
  <si>
    <t>ALEATÓRIO 537</t>
  </si>
  <si>
    <t>ALEATÓRIO 538</t>
  </si>
  <si>
    <t>ALEATÓRIO 539</t>
  </si>
  <si>
    <t>ALEATÓRIO 540</t>
  </si>
  <si>
    <t>ALEATÓRIO 541</t>
  </si>
  <si>
    <t>ALEATÓRIO 542</t>
  </si>
  <si>
    <t>ALEATÓRIO 543</t>
  </si>
  <si>
    <t>ALEATÓRIO 544</t>
  </si>
  <si>
    <t>ALEATÓRIO 545</t>
  </si>
  <si>
    <t>ALEATÓRIO 546</t>
  </si>
  <si>
    <t>ALEATÓRIO 547</t>
  </si>
  <si>
    <t>ALEATÓRIO 548</t>
  </si>
  <si>
    <t>ALEATÓRIO 549</t>
  </si>
  <si>
    <t>ALEATÓRIO 550</t>
  </si>
  <si>
    <t>ALEATÓRIO 551</t>
  </si>
  <si>
    <t>ALEATÓRIO 552</t>
  </si>
  <si>
    <t>ALEATÓRIO 553</t>
  </si>
  <si>
    <t>ALEATÓRIO 554</t>
  </si>
  <si>
    <t>ALEATÓRIO 555</t>
  </si>
  <si>
    <t>ALEATÓRIO 556</t>
  </si>
  <si>
    <t>ALEATÓRIO 557</t>
  </si>
  <si>
    <t>ALEATÓRIO 558</t>
  </si>
  <si>
    <t>ALEATÓRIO 559</t>
  </si>
  <si>
    <t>ALEATÓRIO 560</t>
  </si>
  <si>
    <t>ALEATÓRIO 561</t>
  </si>
  <si>
    <t>ALEATÓRIO 562</t>
  </si>
  <si>
    <t>ALEATÓRIO 563</t>
  </si>
  <si>
    <t>ALEATÓRIO 564</t>
  </si>
  <si>
    <t>ALEATÓRIO 565</t>
  </si>
  <si>
    <t>ALEATÓRIO 566</t>
  </si>
  <si>
    <t>ALEATÓRIO 567</t>
  </si>
  <si>
    <t>ALEATÓRIO 568</t>
  </si>
  <si>
    <t>ALEATÓRIO 569</t>
  </si>
  <si>
    <t>ALEATÓRIO 570</t>
  </si>
  <si>
    <t>ALEATÓRIO 571</t>
  </si>
  <si>
    <t>ALEATÓRIO 572</t>
  </si>
  <si>
    <t>ALEATÓRIO 573</t>
  </si>
  <si>
    <t>ALEATÓRIO 574</t>
  </si>
  <si>
    <t>ALEATÓRIO 575</t>
  </si>
  <si>
    <t>ALEATÓRIO 576</t>
  </si>
  <si>
    <t>ALEATÓRIO 577</t>
  </si>
  <si>
    <t>ALEATÓRIO 578</t>
  </si>
  <si>
    <t>ALEATÓRIO 579</t>
  </si>
  <si>
    <t>ALEATÓRIO 580</t>
  </si>
  <si>
    <t>ALEATÓRIO 581</t>
  </si>
  <si>
    <t>ALEATÓRIO 582</t>
  </si>
  <si>
    <t>ALEATÓRIO 583</t>
  </si>
  <si>
    <t>ALEATÓRIO 584</t>
  </si>
  <si>
    <t>ALEATÓRIO 585</t>
  </si>
  <si>
    <t>ALEATÓRIO 586</t>
  </si>
  <si>
    <t>ALEATÓRIO 587</t>
  </si>
  <si>
    <t>ALEATÓRIO 588</t>
  </si>
  <si>
    <t>ALEATÓRIO 589</t>
  </si>
  <si>
    <t>ALEATÓRIO 590</t>
  </si>
  <si>
    <t>ALEATÓRIO 591</t>
  </si>
  <si>
    <t>ALEATÓRIO 592</t>
  </si>
  <si>
    <t>ALEATÓRIO 593</t>
  </si>
  <si>
    <t>ALEATÓRIO 594</t>
  </si>
  <si>
    <t>ALEATÓRIO 595</t>
  </si>
  <si>
    <t>ALEATÓRIO 596</t>
  </si>
  <si>
    <t>ALEATÓRIO 597</t>
  </si>
  <si>
    <t>ALEATÓRIO 598</t>
  </si>
  <si>
    <t>ALEATÓRIO 599</t>
  </si>
  <si>
    <t>ALEATÓRIO 600</t>
  </si>
  <si>
    <t>ALEATÓRIO 601</t>
  </si>
  <si>
    <t>ALEATÓRIO 602</t>
  </si>
  <si>
    <t>ALEATÓRIO 603</t>
  </si>
  <si>
    <t>ALEATÓRIO 604</t>
  </si>
  <si>
    <t>ALEATÓRIO 605</t>
  </si>
  <si>
    <t>ALEATÓRIO 606</t>
  </si>
  <si>
    <t>ALEATÓRIO 607</t>
  </si>
  <si>
    <t>ALEATÓRIO 608</t>
  </si>
  <si>
    <t>ALEATÓRIO 609</t>
  </si>
  <si>
    <t>ALEATÓRIO 610</t>
  </si>
  <si>
    <t>ALEATÓRIO 611</t>
  </si>
  <si>
    <t>ALEATÓRIO 612</t>
  </si>
  <si>
    <t>ALEATÓRIO 613</t>
  </si>
  <si>
    <t>ALEATÓRIO 614</t>
  </si>
  <si>
    <t>ALEATÓRIO 615</t>
  </si>
  <si>
    <t>ALEATÓRIO 616</t>
  </si>
  <si>
    <t>ALEATÓRIO 617</t>
  </si>
  <si>
    <t>ALEATÓRIO 618</t>
  </si>
  <si>
    <t>ALEATÓRIO 619</t>
  </si>
  <si>
    <t>ALEATÓRIO 620</t>
  </si>
  <si>
    <t>ALEATÓRIO 621</t>
  </si>
  <si>
    <t>ALEATÓRIO 622</t>
  </si>
  <si>
    <t>ALEATÓRIO 623</t>
  </si>
  <si>
    <t>ALEATÓRIO 624</t>
  </si>
  <si>
    <t>ALEATÓRIO 625</t>
  </si>
  <si>
    <t>ALEATÓRIO 626</t>
  </si>
  <si>
    <t>ALEATÓRIO 627</t>
  </si>
  <si>
    <t>ALEATÓRIO 628</t>
  </si>
  <si>
    <t>ALEATÓRIO 629</t>
  </si>
  <si>
    <t>ALEATÓRIO 630</t>
  </si>
  <si>
    <t>ALEATÓRIO 631</t>
  </si>
  <si>
    <t>ALEATÓRIO 632</t>
  </si>
  <si>
    <t>ALEATÓRIO 633</t>
  </si>
  <si>
    <t>ALEATÓRIO 634</t>
  </si>
  <si>
    <t>ALEATÓRIO 635</t>
  </si>
  <si>
    <t>ALEATÓRIO 636</t>
  </si>
  <si>
    <t>ALEATÓRIO 637</t>
  </si>
  <si>
    <t>ALEATÓRIO 638</t>
  </si>
  <si>
    <t>ALEATÓRIO 639</t>
  </si>
  <si>
    <t>ALEATÓRIO 640</t>
  </si>
  <si>
    <t>ALEATÓRIO 641</t>
  </si>
  <si>
    <t>ALEATÓRIO 642</t>
  </si>
  <si>
    <t>ALEATÓRIO 643</t>
  </si>
  <si>
    <t>ALEATÓRIO 644</t>
  </si>
  <si>
    <t>ALEATÓRIO 645</t>
  </si>
  <si>
    <t>ALEATÓRIO 646</t>
  </si>
  <si>
    <t>ALEATÓRIO 647</t>
  </si>
  <si>
    <t>ALEATÓRIO 648</t>
  </si>
  <si>
    <t>ALEATÓRIO 649</t>
  </si>
  <si>
    <t>ALEATÓRIO 650</t>
  </si>
  <si>
    <t>ALEATÓRIO 651</t>
  </si>
  <si>
    <t>ALEATÓRIO 652</t>
  </si>
  <si>
    <t>ALEATÓRIO 653</t>
  </si>
  <si>
    <t>ALEATÓRIO 654</t>
  </si>
  <si>
    <t>ALEATÓRIO 655</t>
  </si>
  <si>
    <t>ALEATÓRIO 656</t>
  </si>
  <si>
    <t>ALEATÓRIO 657</t>
  </si>
  <si>
    <t>ALEATÓRIO 658</t>
  </si>
  <si>
    <t>ALEATÓRIO 659</t>
  </si>
  <si>
    <t>ALEATÓRIO 660</t>
  </si>
  <si>
    <t>ALEATÓRIO 661</t>
  </si>
  <si>
    <t>ALEATÓRIO 662</t>
  </si>
  <si>
    <t>ALEATÓRIO 663</t>
  </si>
  <si>
    <t>ALEATÓRIO 664</t>
  </si>
  <si>
    <t>ALEATÓRIO 665</t>
  </si>
  <si>
    <t>ALEATÓRIO 666</t>
  </si>
  <si>
    <t>ALEATÓRIO 667</t>
  </si>
  <si>
    <t>ALEATÓRIO 668</t>
  </si>
  <si>
    <t>ALEATÓRIO 669</t>
  </si>
  <si>
    <t>ALEATÓRIO 670</t>
  </si>
  <si>
    <t>ALEATÓRIO 671</t>
  </si>
  <si>
    <t>ALEATÓRIO 672</t>
  </si>
  <si>
    <t>ALEATÓRIO 673</t>
  </si>
  <si>
    <t>ALEATÓRIO 674</t>
  </si>
  <si>
    <t>ALEATÓRIO 675</t>
  </si>
  <si>
    <t>ALEATÓRIO 676</t>
  </si>
  <si>
    <t>ALEATÓRIO 677</t>
  </si>
  <si>
    <t>ALEATÓRIO 678</t>
  </si>
  <si>
    <t>ALEATÓRIO 679</t>
  </si>
  <si>
    <t>ALEATÓRIO 680</t>
  </si>
  <si>
    <t>ALEATÓRIO 681</t>
  </si>
  <si>
    <t>ALEATÓRIO 682</t>
  </si>
  <si>
    <t>ALEATÓRIO 683</t>
  </si>
  <si>
    <t>ALEATÓRIO 684</t>
  </si>
  <si>
    <t>ALEATÓRIO 685</t>
  </si>
  <si>
    <t>ALEATÓRIO 686</t>
  </si>
  <si>
    <t>ALEATÓRIO 687</t>
  </si>
  <si>
    <t>ALEATÓRIO 688</t>
  </si>
  <si>
    <t>ALEATÓRIO 689</t>
  </si>
  <si>
    <t>ALEATÓRIO 690</t>
  </si>
  <si>
    <t>ALEATÓRIO 691</t>
  </si>
  <si>
    <t>ALEATÓRIO 692</t>
  </si>
  <si>
    <t>ALEATÓRIO 693</t>
  </si>
  <si>
    <t>ALEATÓRIO 694</t>
  </si>
  <si>
    <t>ALEATÓRIO 695</t>
  </si>
  <si>
    <t>ALEATÓRIO 696</t>
  </si>
  <si>
    <t>ALEATÓRIO 697</t>
  </si>
  <si>
    <t>ALEATÓRIO 698</t>
  </si>
  <si>
    <t>ALEATÓRIO 699</t>
  </si>
  <si>
    <t>ALEATÓRIO 700</t>
  </si>
  <si>
    <t>ALEATÓRIO 701</t>
  </si>
  <si>
    <t>ALEATÓRIO 702</t>
  </si>
  <si>
    <t>ALEATÓRIO 703</t>
  </si>
  <si>
    <t>ALEATÓRIO 704</t>
  </si>
  <si>
    <t>ALEATÓRIO 705</t>
  </si>
  <si>
    <t>ALEATÓRIO 706</t>
  </si>
  <si>
    <t>ALEATÓRIO 707</t>
  </si>
  <si>
    <t>ALEATÓRIO 708</t>
  </si>
  <si>
    <t>ALEATÓRIO 709</t>
  </si>
  <si>
    <t>ALEATÓRIO 710</t>
  </si>
  <si>
    <t>ALEATÓRIO 711</t>
  </si>
  <si>
    <t>ALEATÓRIO 712</t>
  </si>
  <si>
    <t>ALEATÓRIO 713</t>
  </si>
  <si>
    <t>ALEATÓRIO 714</t>
  </si>
  <si>
    <t>ALEATÓRIO 715</t>
  </si>
  <si>
    <t>ALEATÓRIO 716</t>
  </si>
  <si>
    <t>ALEATÓRIO 717</t>
  </si>
  <si>
    <t>ALEATÓRIO 718</t>
  </si>
  <si>
    <t>ALEATÓRIO 719</t>
  </si>
  <si>
    <t>ALEATÓRIO 720</t>
  </si>
  <si>
    <t>ALEATÓRIO 721</t>
  </si>
  <si>
    <t>ALEATÓRIO 722</t>
  </si>
  <si>
    <t>ALEATÓRIO 723</t>
  </si>
  <si>
    <t>ALEATÓRIO 724</t>
  </si>
  <si>
    <t>ALEATÓRIO 725</t>
  </si>
  <si>
    <t>ALEATÓRIO 726</t>
  </si>
  <si>
    <t>ALEATÓRIO 727</t>
  </si>
  <si>
    <t>ALEATÓRIO 728</t>
  </si>
  <si>
    <t>ALEATÓRIO 729</t>
  </si>
  <si>
    <t>ALEATÓRIO 730</t>
  </si>
  <si>
    <t>ALEATÓRIO 731</t>
  </si>
  <si>
    <t>ALEATÓRIO 732</t>
  </si>
  <si>
    <t>ALEATÓRIO 733</t>
  </si>
  <si>
    <t>ALEATÓRIO 734</t>
  </si>
  <si>
    <t>ALEATÓRIO 735</t>
  </si>
  <si>
    <t>ALEATÓRIO 736</t>
  </si>
  <si>
    <t>ALEATÓRIO 737</t>
  </si>
  <si>
    <t>ALEATÓRIO 738</t>
  </si>
  <si>
    <t>ALEATÓRIO 739</t>
  </si>
  <si>
    <t>ALEATÓRIO 740</t>
  </si>
  <si>
    <t>ALEATÓRIO 741</t>
  </si>
  <si>
    <t>ALEATÓRIO 742</t>
  </si>
  <si>
    <t>ALEATÓRIO 743</t>
  </si>
  <si>
    <t>ALEATÓRIO 744</t>
  </si>
  <si>
    <t>ALEATÓRIO 745</t>
  </si>
  <si>
    <t>ALEATÓRIO 746</t>
  </si>
  <si>
    <t>ALEATÓRIO 747</t>
  </si>
  <si>
    <t>ALEATÓRIO 748</t>
  </si>
  <si>
    <t>ALEATÓRIO 749</t>
  </si>
  <si>
    <t>ALEATÓRIO 750</t>
  </si>
  <si>
    <t>ALEATÓRIO 751</t>
  </si>
  <si>
    <t>ALEATÓRIO 752</t>
  </si>
  <si>
    <t>ALEATÓRIO 753</t>
  </si>
  <si>
    <t>ALEATÓRIO 754</t>
  </si>
  <si>
    <t>ALEATÓRIO 755</t>
  </si>
  <si>
    <t>ALEATÓRIO 756</t>
  </si>
  <si>
    <t>ALEATÓRIO 757</t>
  </si>
  <si>
    <t>ALEATÓRIO 758</t>
  </si>
  <si>
    <t>ALEATÓRIO 759</t>
  </si>
  <si>
    <t>ALEATÓRIO 760</t>
  </si>
  <si>
    <t>ALEATÓRIO 761</t>
  </si>
  <si>
    <t>ALEATÓRIO 762</t>
  </si>
  <si>
    <t>ALEATÓRIO 763</t>
  </si>
  <si>
    <t>ALEATÓRIO 764</t>
  </si>
  <si>
    <t>ALEATÓRIO 765</t>
  </si>
  <si>
    <t>ALEATÓRIO 766</t>
  </si>
  <si>
    <t>ALEATÓRIO 767</t>
  </si>
  <si>
    <t>ALEATÓRIO 768</t>
  </si>
  <si>
    <t>ALEATÓRIO 769</t>
  </si>
  <si>
    <t>ALEATÓRIO 770</t>
  </si>
  <si>
    <t>ALEATÓRIO 771</t>
  </si>
  <si>
    <t>ALEATÓRIO 772</t>
  </si>
  <si>
    <t>ALEATÓRIO 773</t>
  </si>
  <si>
    <t>ALEATÓRIO 774</t>
  </si>
  <si>
    <t>ALEATÓRIO 775</t>
  </si>
  <si>
    <t>ALEATÓRIO 776</t>
  </si>
  <si>
    <t>ALEATÓRIO 777</t>
  </si>
  <si>
    <t>ALEATÓRIO 778</t>
  </si>
  <si>
    <t>ALEATÓRIO 779</t>
  </si>
  <si>
    <t>ALEATÓRIO 780</t>
  </si>
  <si>
    <t>ALEATÓRIO 781</t>
  </si>
  <si>
    <t>ALEATÓRIO 782</t>
  </si>
  <si>
    <t>ALEATÓRIO 783</t>
  </si>
  <si>
    <t>ALEATÓRIO 784</t>
  </si>
  <si>
    <t>ALEATÓRIO 785</t>
  </si>
  <si>
    <t>ALEATÓRIO 786</t>
  </si>
  <si>
    <t>ALEATÓRIO 787</t>
  </si>
  <si>
    <t>ALEATÓRIO 788</t>
  </si>
  <si>
    <t>ALEATÓRIO 789</t>
  </si>
  <si>
    <t>ALEATÓRIO 790</t>
  </si>
  <si>
    <t>ALEATÓRIO 791</t>
  </si>
  <si>
    <t>ALEATÓRIO 792</t>
  </si>
  <si>
    <t>ALEATÓRIO 793</t>
  </si>
  <si>
    <t>ALEATÓRIO 794</t>
  </si>
  <si>
    <t>ALEATÓRIO 795</t>
  </si>
  <si>
    <t>ALEATÓRIO 796</t>
  </si>
  <si>
    <t>ALEATÓRIO 797</t>
  </si>
  <si>
    <t>ALEATÓRIO 798</t>
  </si>
  <si>
    <t>ALEATÓRIO 799</t>
  </si>
  <si>
    <t>ALEATÓRIO 800</t>
  </si>
  <si>
    <t>ALEATÓRIO 801</t>
  </si>
  <si>
    <t>ALEATÓRIO 802</t>
  </si>
  <si>
    <t>ALEATÓRIO 803</t>
  </si>
  <si>
    <t>ALEATÓRIO 804</t>
  </si>
  <si>
    <t>ALEATÓRIO 805</t>
  </si>
  <si>
    <t>ALEATÓRIO 806</t>
  </si>
  <si>
    <t>ALEATÓRIO 807</t>
  </si>
  <si>
    <t>ALEATÓRIO 808</t>
  </si>
  <si>
    <t>ALEATÓRIO 809</t>
  </si>
  <si>
    <t>ALEATÓRIO 810</t>
  </si>
  <si>
    <t>ALEATÓRIO 811</t>
  </si>
  <si>
    <t>ALEATÓRIO 812</t>
  </si>
  <si>
    <t>ALEATÓRIO 813</t>
  </si>
  <si>
    <t>ALEATÓRIO 814</t>
  </si>
  <si>
    <t>ALEATÓRIO 815</t>
  </si>
  <si>
    <t>ALEATÓRIO 816</t>
  </si>
  <si>
    <t>ALEATÓRIO 817</t>
  </si>
  <si>
    <t>ALEATÓRIO 818</t>
  </si>
  <si>
    <t>ALEATÓRIO 819</t>
  </si>
  <si>
    <t>ALEATÓRIO 820</t>
  </si>
  <si>
    <t>ALEATÓRIO 821</t>
  </si>
  <si>
    <t>ALEATÓRIO 822</t>
  </si>
  <si>
    <t>ALEATÓRIO 823</t>
  </si>
  <si>
    <t>ALEATÓRIO 824</t>
  </si>
  <si>
    <t>ALEATÓRIO 825</t>
  </si>
  <si>
    <t>ALEATÓRIO 826</t>
  </si>
  <si>
    <t>ALEATÓRIO 827</t>
  </si>
  <si>
    <t>ALEATÓRIO 828</t>
  </si>
  <si>
    <t>ALEATÓRIO 829</t>
  </si>
  <si>
    <t>ALEATÓRIO 830</t>
  </si>
  <si>
    <t>ALEATÓRIO 831</t>
  </si>
  <si>
    <t>ALEATÓRIO 832</t>
  </si>
  <si>
    <t>ALEATÓRIO 833</t>
  </si>
  <si>
    <t>ALEATÓRIO 834</t>
  </si>
  <si>
    <t>ALEATÓRIO 835</t>
  </si>
  <si>
    <t>ALEATÓRIO 836</t>
  </si>
  <si>
    <t>ALEATÓRIO 837</t>
  </si>
  <si>
    <t>ALEATÓRIO 838</t>
  </si>
  <si>
    <t>ALEATÓRIO 839</t>
  </si>
  <si>
    <t>ALEATÓRIO 840</t>
  </si>
  <si>
    <t>ALEATÓRIO 841</t>
  </si>
  <si>
    <t>ALEATÓRIO 842</t>
  </si>
  <si>
    <t>ALEATÓRIO 843</t>
  </si>
  <si>
    <t>ALEATÓRIO 844</t>
  </si>
  <si>
    <t>ALEATÓRIO 845</t>
  </si>
  <si>
    <t>ALEATÓRIO 846</t>
  </si>
  <si>
    <t>ALEATÓRIO 847</t>
  </si>
  <si>
    <t>ALEATÓRIO 848</t>
  </si>
  <si>
    <t>ALEATÓRIO 849</t>
  </si>
  <si>
    <t>ALEATÓRIO 850</t>
  </si>
  <si>
    <t>ALEATÓRIO 851</t>
  </si>
  <si>
    <t>ALEATÓRIO 852</t>
  </si>
  <si>
    <t>ALEATÓRIO 853</t>
  </si>
  <si>
    <t>ALEATÓRIO 854</t>
  </si>
  <si>
    <t>ALEATÓRIO 855</t>
  </si>
  <si>
    <t>ALEATÓRIO 856</t>
  </si>
  <si>
    <t>ALEATÓRIO 857</t>
  </si>
  <si>
    <t>ALEATÓRIO 858</t>
  </si>
  <si>
    <t>ALEATÓRIO 859</t>
  </si>
  <si>
    <t>ALEATÓRIO 860</t>
  </si>
  <si>
    <t>ALEATÓRIO 861</t>
  </si>
  <si>
    <t>ALEATÓRIO 862</t>
  </si>
  <si>
    <t>ALEATÓRIO 863</t>
  </si>
  <si>
    <t>ALEATÓRIO 864</t>
  </si>
  <si>
    <t>ALEATÓRIO 865</t>
  </si>
  <si>
    <t>ALEATÓRIO 866</t>
  </si>
  <si>
    <t>ALEATÓRIO 867</t>
  </si>
  <si>
    <t>ALEATÓRIO 868</t>
  </si>
  <si>
    <t>ALEATÓRIO 869</t>
  </si>
  <si>
    <t>ALEATÓRIO 870</t>
  </si>
  <si>
    <t>ALEATÓRIO 871</t>
  </si>
  <si>
    <t>ALEATÓRIO 872</t>
  </si>
  <si>
    <t>ALEATÓRIO 873</t>
  </si>
  <si>
    <t>ALEATÓRIO 874</t>
  </si>
  <si>
    <t>ALEATÓRIO 875</t>
  </si>
  <si>
    <t>ALEATÓRIO 876</t>
  </si>
  <si>
    <t>ALEATÓRIO 877</t>
  </si>
  <si>
    <t>ALEATÓRIO 878</t>
  </si>
  <si>
    <t>ALEATÓRIO 879</t>
  </si>
  <si>
    <t>ALEATÓRIO 880</t>
  </si>
  <si>
    <t>ALEATÓRIO 881</t>
  </si>
  <si>
    <t>ALEATÓRIO 882</t>
  </si>
  <si>
    <t>ALEATÓRIO 883</t>
  </si>
  <si>
    <t>ALEATÓRIO 884</t>
  </si>
  <si>
    <t>ALEATÓRIO 885</t>
  </si>
  <si>
    <t>ALEATÓRIO 886</t>
  </si>
  <si>
    <t>ALEATÓRIO 887</t>
  </si>
  <si>
    <t>ALEATÓRIO 888</t>
  </si>
  <si>
    <t>ALEATÓRIO 889</t>
  </si>
  <si>
    <t>ALEATÓRIO 890</t>
  </si>
  <si>
    <t>ALEATÓRIO 891</t>
  </si>
  <si>
    <t>ALEATÓRIO 892</t>
  </si>
  <si>
    <t>ALEATÓRIO 893</t>
  </si>
  <si>
    <t>ALEATÓRIO 894</t>
  </si>
  <si>
    <t>ALEATÓRIO 895</t>
  </si>
  <si>
    <t>ALEATÓRIO 896</t>
  </si>
  <si>
    <t>ALEATÓRIO 897</t>
  </si>
  <si>
    <t>ALEATÓRIO 898</t>
  </si>
  <si>
    <t>ALEATÓRIO 899</t>
  </si>
  <si>
    <t>ALEATÓRIO 900</t>
  </si>
  <si>
    <t>ALEATÓRIO 901</t>
  </si>
  <si>
    <t>ALEATÓRIO 902</t>
  </si>
  <si>
    <t>ALEATÓRIO 903</t>
  </si>
  <si>
    <t>ALEATÓRIO 904</t>
  </si>
  <si>
    <t>ALEATÓRIO 905</t>
  </si>
  <si>
    <t>ALEATÓRIO 906</t>
  </si>
  <si>
    <t>ALEATÓRIO 907</t>
  </si>
  <si>
    <t>ALEATÓRIO 908</t>
  </si>
  <si>
    <t>ALEATÓRIO 909</t>
  </si>
  <si>
    <t>ALEATÓRIO 910</t>
  </si>
  <si>
    <t>ALEATÓRIO 911</t>
  </si>
  <si>
    <t>ALEATÓRIO 912</t>
  </si>
  <si>
    <t>ALEATÓRIO 913</t>
  </si>
  <si>
    <t>ALEATÓRIO 914</t>
  </si>
  <si>
    <t>ALEATÓRIO 915</t>
  </si>
  <si>
    <t>ALEATÓRIO 916</t>
  </si>
  <si>
    <t>ALEATÓRIO 917</t>
  </si>
  <si>
    <t>ALEATÓRIO 918</t>
  </si>
  <si>
    <t>ALEATÓRIO 919</t>
  </si>
  <si>
    <t>ALEATÓRIO 920</t>
  </si>
  <si>
    <t>ALEATÓRIO 921</t>
  </si>
  <si>
    <t>ALEATÓRIO 922</t>
  </si>
  <si>
    <t>ALEATÓRIO 923</t>
  </si>
  <si>
    <t>ALEATÓRIO 924</t>
  </si>
  <si>
    <t>ALEATÓRIO 925</t>
  </si>
  <si>
    <t>ALEATÓRIO 926</t>
  </si>
  <si>
    <t>ALEATÓRIO 927</t>
  </si>
  <si>
    <t>ALEATÓRIO 928</t>
  </si>
  <si>
    <t>ALEATÓRIO 929</t>
  </si>
  <si>
    <t>ALEATÓRIO 930</t>
  </si>
  <si>
    <t>ALEATÓRIO 931</t>
  </si>
  <si>
    <t>ALEATÓRIO 932</t>
  </si>
  <si>
    <t>ALEATÓRIO 933</t>
  </si>
  <si>
    <t>ALEATÓRIO 934</t>
  </si>
  <si>
    <t>ALEATÓRIO 935</t>
  </si>
  <si>
    <t>ALEATÓRIO 936</t>
  </si>
  <si>
    <t>ALEATÓRIO 937</t>
  </si>
  <si>
    <t>ALEATÓRIO 938</t>
  </si>
  <si>
    <t>ALEATÓRIO 939</t>
  </si>
  <si>
    <t>ALEATÓRIO 940</t>
  </si>
  <si>
    <t>ALEATÓRIO 941</t>
  </si>
  <si>
    <t>ALEATÓRIO 942</t>
  </si>
  <si>
    <t>ALEATÓRIO 943</t>
  </si>
  <si>
    <t>ALEATÓRIO 944</t>
  </si>
  <si>
    <t>ALEATÓRIO 945</t>
  </si>
  <si>
    <t>ALEATÓRIO 946</t>
  </si>
  <si>
    <t>ALEATÓRIO 947</t>
  </si>
  <si>
    <t>ALEATÓRIO 948</t>
  </si>
  <si>
    <t>ALEATÓRIO 949</t>
  </si>
  <si>
    <t>ALEATÓRIO 950</t>
  </si>
  <si>
    <t>ALEATÓRIO 951</t>
  </si>
  <si>
    <t>ALEATÓRIO 952</t>
  </si>
  <si>
    <t>ALEATÓRIO 953</t>
  </si>
  <si>
    <t>ALEATÓRIO 954</t>
  </si>
  <si>
    <t>ALEATÓRIO 955</t>
  </si>
  <si>
    <t>ALEATÓRIO 956</t>
  </si>
  <si>
    <t>ALEATÓRIO 957</t>
  </si>
  <si>
    <t>ALEATÓRIO 958</t>
  </si>
  <si>
    <t>ALEATÓRIO 959</t>
  </si>
  <si>
    <t>ALEATÓRIO 960</t>
  </si>
  <si>
    <t>ALEATÓRIO 961</t>
  </si>
  <si>
    <t>ALEATÓRIO 962</t>
  </si>
  <si>
    <t>ALEATÓRIO 963</t>
  </si>
  <si>
    <t>ALEATÓRIO 964</t>
  </si>
  <si>
    <t>ALEATÓRIO 965</t>
  </si>
  <si>
    <t>ALEATÓRIO 966</t>
  </si>
  <si>
    <t>ALEATÓRIO 967</t>
  </si>
  <si>
    <t>ALEATÓRIO 968</t>
  </si>
  <si>
    <t>ALEATÓRIO 969</t>
  </si>
  <si>
    <t>ALEATÓRIO 970</t>
  </si>
  <si>
    <t>ALEATÓRIO 971</t>
  </si>
  <si>
    <t>ALEATÓRIO 972</t>
  </si>
  <si>
    <t>ALEATÓRIO 973</t>
  </si>
  <si>
    <t>ALEATÓRIO 974</t>
  </si>
  <si>
    <t>ALEATÓRIO 975</t>
  </si>
  <si>
    <t>ALEATÓRIO 976</t>
  </si>
  <si>
    <t>ALEATÓRIO 977</t>
  </si>
  <si>
    <t>ALEATÓRIO 978</t>
  </si>
  <si>
    <t>ALEATÓRIO 979</t>
  </si>
  <si>
    <t>ALEATÓRIO 980</t>
  </si>
  <si>
    <t>ALEATÓRIO 981</t>
  </si>
  <si>
    <t>ALEATÓRIO 982</t>
  </si>
  <si>
    <t>ALEATÓRIO 983</t>
  </si>
  <si>
    <t>ALEATÓRIO 984</t>
  </si>
  <si>
    <t>ALEATÓRIO 985</t>
  </si>
  <si>
    <t>ALEATÓRIO 986</t>
  </si>
  <si>
    <t>ALEATÓRIO 987</t>
  </si>
  <si>
    <t>ALEATÓRIO 988</t>
  </si>
  <si>
    <t>ALEATÓRIO 989</t>
  </si>
  <si>
    <t>ALEATÓRIO 990</t>
  </si>
  <si>
    <t>ALEATÓRIO 991</t>
  </si>
  <si>
    <t>ALEATÓRIO 992</t>
  </si>
  <si>
    <t>ALEATÓRIO 993</t>
  </si>
  <si>
    <t>ALEATÓRIO 994</t>
  </si>
  <si>
    <t>ALEATÓRIO 995</t>
  </si>
  <si>
    <t>ALEATÓRIO 996</t>
  </si>
  <si>
    <t>ALEATÓRIO 997</t>
  </si>
  <si>
    <t>ALEATÓRIO 998</t>
  </si>
  <si>
    <t>ALEATÓRIO 999</t>
  </si>
  <si>
    <t>ALEATÓRIO 1000</t>
  </si>
  <si>
    <t>ALEATÓRIO 1001</t>
  </si>
  <si>
    <t>ALEATÓRIO 1002</t>
  </si>
  <si>
    <t>ALEATÓRIO 1003</t>
  </si>
  <si>
    <t>ALEATÓRIO 1004</t>
  </si>
  <si>
    <t>ALEATÓRIO 1005</t>
  </si>
  <si>
    <t>ALEATÓRIO 1006</t>
  </si>
  <si>
    <t>ALEATÓRIO 1007</t>
  </si>
  <si>
    <t>ALEATÓRIO 1008</t>
  </si>
  <si>
    <t>ALEATÓRIO 1009</t>
  </si>
  <si>
    <t>ALEATÓRIO 1010</t>
  </si>
  <si>
    <t>ALEATÓRIO 1011</t>
  </si>
  <si>
    <t>ALEATÓRIO 1012</t>
  </si>
  <si>
    <t>ALEATÓRIO 1013</t>
  </si>
  <si>
    <t>ALEATÓRIO 1014</t>
  </si>
  <si>
    <t>ALEATÓRIO 1015</t>
  </si>
  <si>
    <t>ALEATÓRIO 1016</t>
  </si>
  <si>
    <t>ALEATÓRIO 1017</t>
  </si>
  <si>
    <t>ALEATÓRIO 1018</t>
  </si>
  <si>
    <t>ALEATÓRIO 1019</t>
  </si>
  <si>
    <t>ALEATÓRIO 1020</t>
  </si>
  <si>
    <t>ALEATÓRIO 1021</t>
  </si>
  <si>
    <t>ALEATÓRIO 1022</t>
  </si>
  <si>
    <t>ALEATÓRIO 1023</t>
  </si>
  <si>
    <t>ALEATÓRIO 1024</t>
  </si>
  <si>
    <t>ALEATÓRIO 1025</t>
  </si>
  <si>
    <t>ALEATÓRIO 1026</t>
  </si>
  <si>
    <t>ALEATÓRIO 1027</t>
  </si>
  <si>
    <t>ALEATÓRIO 1028</t>
  </si>
  <si>
    <t>ALEATÓRIO 1029</t>
  </si>
  <si>
    <t>ALEATÓRIO 1030</t>
  </si>
  <si>
    <t>ALEATÓRIO 1031</t>
  </si>
  <si>
    <t>ALEATÓRIO 1032</t>
  </si>
  <si>
    <t>ALEATÓRIO 1033</t>
  </si>
  <si>
    <t>ALEATÓRIO 1034</t>
  </si>
  <si>
    <t>ALEATÓRIO 1035</t>
  </si>
  <si>
    <t>ALEATÓRIO 1036</t>
  </si>
  <si>
    <t>ALEATÓRIO 1037</t>
  </si>
  <si>
    <t>ALEATÓRIO 1038</t>
  </si>
  <si>
    <t>ALEATÓRIO 1039</t>
  </si>
  <si>
    <t>ALEATÓRIO 1040</t>
  </si>
  <si>
    <t>ALEATÓRIO 1041</t>
  </si>
  <si>
    <t>ALEATÓRIO 1042</t>
  </si>
  <si>
    <t>ALEATÓRIO 1043</t>
  </si>
  <si>
    <t>ALEATÓRIO 1044</t>
  </si>
  <si>
    <t>ALEATÓRIO 1045</t>
  </si>
  <si>
    <t>ALEATÓRIO 1046</t>
  </si>
  <si>
    <t>ALEATÓRIO 1047</t>
  </si>
  <si>
    <t>ALEATÓRIO 1048</t>
  </si>
  <si>
    <t>ALEATÓRIO 1049</t>
  </si>
  <si>
    <t>ALEATÓRIO 1050</t>
  </si>
  <si>
    <t>ALEATÓRIO 1051</t>
  </si>
  <si>
    <t>ALEATÓRIO 1052</t>
  </si>
  <si>
    <t>ALEATÓRIO 1053</t>
  </si>
  <si>
    <t>ALEATÓRIO 1054</t>
  </si>
  <si>
    <t>ALEATÓRIO 1055</t>
  </si>
  <si>
    <t>ALEATÓRIO 1056</t>
  </si>
  <si>
    <t>ALEATÓRIO 1057</t>
  </si>
  <si>
    <t>ALEATÓRIO 1058</t>
  </si>
  <si>
    <t>ALEATÓRIO 1059</t>
  </si>
  <si>
    <t>ALEATÓRIO 1060</t>
  </si>
  <si>
    <t>ALEATÓRIO 1061</t>
  </si>
  <si>
    <t>ALEATÓRIO 1062</t>
  </si>
  <si>
    <t>ALEATÓRIO 1063</t>
  </si>
  <si>
    <t>ALEATÓRIO 1064</t>
  </si>
  <si>
    <t>ALEATÓRIO 1065</t>
  </si>
  <si>
    <t>ALEATÓRIO 1066</t>
  </si>
  <si>
    <t>ALEATÓRIO 1067</t>
  </si>
  <si>
    <t>ALEATÓRIO 1068</t>
  </si>
  <si>
    <t>ALEATÓRIO 1069</t>
  </si>
  <si>
    <t>ALEATÓRIO 1070</t>
  </si>
  <si>
    <t>ALEATÓRIO 1071</t>
  </si>
  <si>
    <t>ALEATÓRIO 1072</t>
  </si>
  <si>
    <t>ALEATÓRIO 1073</t>
  </si>
  <si>
    <t>ALEATÓRIO 1074</t>
  </si>
  <si>
    <t>ALEATÓRIO 1075</t>
  </si>
  <si>
    <t>ALEATÓRIO 1076</t>
  </si>
  <si>
    <t>ALEATÓRIO 1077</t>
  </si>
  <si>
    <t>ALEATÓRIO 1078</t>
  </si>
  <si>
    <t>ALEATÓRIO 1079</t>
  </si>
  <si>
    <t>ALEATÓRIO 1080</t>
  </si>
  <si>
    <t>ALEATÓRIO 1081</t>
  </si>
  <si>
    <t>ALEATÓRIO 1082</t>
  </si>
  <si>
    <t>ALEATÓRIO 1083</t>
  </si>
  <si>
    <t>ALEATÓRIO 1084</t>
  </si>
  <si>
    <t>ALEATÓRIO 1085</t>
  </si>
  <si>
    <t>ALEATÓRIO 1086</t>
  </si>
  <si>
    <t>ALEATÓRIO 1087</t>
  </si>
  <si>
    <t>ALEATÓRIO 1088</t>
  </si>
  <si>
    <t>ALEATÓRIO 1089</t>
  </si>
  <si>
    <t>ALEATÓRIO 1090</t>
  </si>
  <si>
    <t>ALEATÓRIO 1091</t>
  </si>
  <si>
    <t>ALEATÓRIO 1092</t>
  </si>
  <si>
    <t>ALEATÓRIO 1093</t>
  </si>
  <si>
    <t>ALEATÓRIO 1094</t>
  </si>
  <si>
    <t>ALEATÓRIO 1095</t>
  </si>
  <si>
    <t>ALEATÓRIO 1096</t>
  </si>
  <si>
    <t>ALEATÓRIO 1097</t>
  </si>
  <si>
    <t>ALEATÓRIO 1098</t>
  </si>
  <si>
    <t>ALEATÓRIO 1099</t>
  </si>
  <si>
    <t>ALEATÓRIO 1100</t>
  </si>
  <si>
    <t>ALEATÓRIO 1101</t>
  </si>
  <si>
    <t>ALEATÓRIO 1102</t>
  </si>
  <si>
    <t>ALEATÓRIO 1103</t>
  </si>
  <si>
    <t>ALEATÓRIO 1104</t>
  </si>
  <si>
    <t>ALEATÓRIO 1105</t>
  </si>
  <si>
    <t>ALEATÓRIO 1106</t>
  </si>
  <si>
    <t>ALEATÓRIO 1107</t>
  </si>
  <si>
    <t>ALEATÓRIO 1108</t>
  </si>
  <si>
    <t>ALEATÓRIO 1109</t>
  </si>
  <si>
    <t>ALEATÓRIO 1110</t>
  </si>
  <si>
    <t>ALEATÓRIO 1111</t>
  </si>
  <si>
    <t>ALEATÓRIO 1112</t>
  </si>
  <si>
    <t>ALEATÓRIO 1113</t>
  </si>
  <si>
    <t>ALEATÓRIO 1114</t>
  </si>
  <si>
    <t>ALEATÓRIO 1115</t>
  </si>
  <si>
    <t>ALEATÓRIO 1116</t>
  </si>
  <si>
    <t>ALEATÓRIO 1117</t>
  </si>
  <si>
    <t>ALEATÓRIO 1118</t>
  </si>
  <si>
    <t>ALEATÓRIO 1119</t>
  </si>
  <si>
    <t>ALEATÓRIO 1120</t>
  </si>
  <si>
    <t>ALEATÓRIO 1121</t>
  </si>
  <si>
    <t>ALEATÓRIO 1122</t>
  </si>
  <si>
    <t>ALEATÓRIO 1123</t>
  </si>
  <si>
    <t>ALEATÓRIO 1124</t>
  </si>
  <si>
    <t>ALEATÓRIO 1125</t>
  </si>
  <si>
    <t>ALEATÓRIO 1126</t>
  </si>
  <si>
    <t>ALEATÓRIO 1127</t>
  </si>
  <si>
    <t>ALEATÓRIO 1128</t>
  </si>
  <si>
    <t>ALEATÓRIO 1129</t>
  </si>
  <si>
    <t>ALEATÓRIO 1130</t>
  </si>
  <si>
    <t>ALEATÓRIO 1131</t>
  </si>
  <si>
    <t>ALEATÓRIO 1132</t>
  </si>
  <si>
    <t>ALEATÓRIO 1133</t>
  </si>
  <si>
    <t>ALEATÓRIO 1134</t>
  </si>
  <si>
    <t>ALEATÓRIO 1135</t>
  </si>
  <si>
    <t>ALEATÓRIO 1136</t>
  </si>
  <si>
    <t>ALEATÓRIO 1137</t>
  </si>
  <si>
    <t>ALEATÓRIO 1138</t>
  </si>
  <si>
    <t>ALEATÓRIO 1139</t>
  </si>
  <si>
    <t>ALEATÓRIO 1140</t>
  </si>
  <si>
    <t>ALEATÓRIO 1141</t>
  </si>
  <si>
    <t>ALEATÓRIO 1142</t>
  </si>
  <si>
    <t>ALEATÓRIO 1143</t>
  </si>
  <si>
    <t>ALEATÓRIO 1144</t>
  </si>
  <si>
    <t>ALEATÓRIO 1145</t>
  </si>
  <si>
    <t>ALEATÓRIO 1146</t>
  </si>
  <si>
    <t>ALEATÓRIO 1147</t>
  </si>
  <si>
    <t>ALEATÓRIO 1148</t>
  </si>
  <si>
    <t>ALEATÓRIO 1149</t>
  </si>
  <si>
    <t>ALEATÓRIO 1150</t>
  </si>
  <si>
    <t>ALEATÓRIO 1151</t>
  </si>
  <si>
    <t>ALEATÓRIO 1152</t>
  </si>
  <si>
    <t>ALEATÓRIO 1153</t>
  </si>
  <si>
    <t>ALEATÓRIO 1154</t>
  </si>
  <si>
    <t>ALEATÓRIO 1155</t>
  </si>
  <si>
    <t>ALEATÓRIO 1156</t>
  </si>
  <si>
    <t>ALEATÓRIO 1157</t>
  </si>
  <si>
    <t>ALEATÓRIO 1158</t>
  </si>
  <si>
    <t>ALEATÓRIO 1159</t>
  </si>
  <si>
    <t>ALEATÓRIO 1160</t>
  </si>
  <si>
    <t>ALEATÓRIO 1161</t>
  </si>
  <si>
    <t>ALEATÓRIO 1162</t>
  </si>
  <si>
    <t>ALEATÓRIO 1163</t>
  </si>
  <si>
    <t>ALEATÓRIO 1164</t>
  </si>
  <si>
    <t>ALEATÓRIO 1165</t>
  </si>
  <si>
    <t>ALEATÓRIO 1166</t>
  </si>
  <si>
    <t>ALEATÓRIO 1167</t>
  </si>
  <si>
    <t>ALEATÓRIO 1168</t>
  </si>
  <si>
    <t>ALEATÓRIO 1169</t>
  </si>
  <si>
    <t>ALEATÓRIO 1170</t>
  </si>
  <si>
    <t>ALEATÓRIO 1171</t>
  </si>
  <si>
    <t>ALEATÓRIO 1172</t>
  </si>
  <si>
    <t>ALEATÓRIO 1173</t>
  </si>
  <si>
    <t>ALEATÓRIO 1174</t>
  </si>
  <si>
    <t>ALEATÓRIO 1175</t>
  </si>
  <si>
    <t>ALEATÓRIO 1176</t>
  </si>
  <si>
    <t>ALEATÓRIO 1177</t>
  </si>
  <si>
    <t>ALEATÓRIO 1178</t>
  </si>
  <si>
    <t>ALEATÓRIO 1179</t>
  </si>
  <si>
    <t>ALEATÓRIO 1180</t>
  </si>
  <si>
    <t>ALEATÓRIO 1181</t>
  </si>
  <si>
    <t>ALEATÓRIO 1182</t>
  </si>
  <si>
    <t>ALEATÓRIO 1183</t>
  </si>
  <si>
    <t>ALEATÓRIO 1184</t>
  </si>
  <si>
    <t>ALEATÓRIO 1185</t>
  </si>
  <si>
    <t>ALEATÓRIO 1186</t>
  </si>
  <si>
    <t>ALEATÓRIO 1187</t>
  </si>
  <si>
    <t>ALEATÓRIO 1188</t>
  </si>
  <si>
    <t>ALEATÓRIO 1189</t>
  </si>
  <si>
    <t>ALEATÓRIO 1190</t>
  </si>
  <si>
    <t>ALEATÓRIO 1191</t>
  </si>
  <si>
    <t>ALEATÓRIO 1192</t>
  </si>
  <si>
    <t>ALEATÓRIO 1193</t>
  </si>
  <si>
    <t>ALEATÓRIO 1194</t>
  </si>
  <si>
    <t>ALEATÓRIO 1195</t>
  </si>
  <si>
    <t>ALEATÓRIO 1196</t>
  </si>
  <si>
    <t>ALEATÓRIO 1197</t>
  </si>
  <si>
    <t>ALEATÓRIO 1198</t>
  </si>
  <si>
    <t>ALEATÓRIO 1199</t>
  </si>
  <si>
    <t>ALEATÓRIO 1200</t>
  </si>
  <si>
    <t>ALEATÓRIO 1201</t>
  </si>
  <si>
    <t>ALEATÓRIO 1202</t>
  </si>
  <si>
    <t>ALEATÓRIO 1203</t>
  </si>
  <si>
    <t>ALEATÓRIO 1204</t>
  </si>
  <si>
    <t>ALEATÓRIO 1205</t>
  </si>
  <si>
    <t>ALEATÓRIO 1206</t>
  </si>
  <si>
    <t>ALEATÓRIO 1207</t>
  </si>
  <si>
    <t>ALEATÓRIO 1208</t>
  </si>
  <si>
    <t>ALEATÓRIO 1209</t>
  </si>
  <si>
    <t>ALEATÓRIO 1210</t>
  </si>
  <si>
    <t>ALEATÓRIO 1211</t>
  </si>
  <si>
    <t>ALEATÓRIO 1212</t>
  </si>
  <si>
    <t>ALEATÓRIO 1213</t>
  </si>
  <si>
    <t>ALEATÓRIO 1214</t>
  </si>
  <si>
    <t>ALEATÓRIO 1215</t>
  </si>
  <si>
    <t>ALEATÓRIO 1216</t>
  </si>
  <si>
    <t>ALEATÓRIO 1217</t>
  </si>
  <si>
    <t>ALEATÓRIO 1218</t>
  </si>
  <si>
    <t>ALEATÓRIO 1219</t>
  </si>
  <si>
    <t>ALEATÓRIO 1220</t>
  </si>
  <si>
    <t>ALEATÓRIO 1221</t>
  </si>
  <si>
    <t>ALEATÓRIO 1222</t>
  </si>
  <si>
    <t>ALEATÓRIO 1223</t>
  </si>
  <si>
    <t>ALEATÓRIO 1224</t>
  </si>
  <si>
    <t>ALEATÓRIO 1225</t>
  </si>
  <si>
    <t>ALEATÓRIO 1226</t>
  </si>
  <si>
    <t>ALEATÓRIO 1227</t>
  </si>
  <si>
    <t>ALEATÓRIO 1228</t>
  </si>
  <si>
    <t>ALEATÓRIO 1229</t>
  </si>
  <si>
    <t>ALEATÓRIO 1230</t>
  </si>
  <si>
    <t>ALEATÓRIO 1231</t>
  </si>
  <si>
    <t>ALEATÓRIO 1232</t>
  </si>
  <si>
    <t>ALEATÓRIO 1233</t>
  </si>
  <si>
    <t>ALEATÓRIO 1234</t>
  </si>
  <si>
    <t>ALEATÓRIO 1235</t>
  </si>
  <si>
    <t>ALEATÓRIO 1236</t>
  </si>
  <si>
    <t>ALEATÓRIO 1237</t>
  </si>
  <si>
    <t>ALEATÓRIO 1238</t>
  </si>
  <si>
    <t>ALEATÓRIO 1239</t>
  </si>
  <si>
    <t>ALEATÓRIO 1240</t>
  </si>
  <si>
    <t>ALEATÓRIO 1241</t>
  </si>
  <si>
    <t>ALEATÓRIO 1242</t>
  </si>
  <si>
    <t>ALEATÓRIO 1243</t>
  </si>
  <si>
    <t>ALEATÓRIO 1244</t>
  </si>
  <si>
    <t>ALEATÓRIO 1245</t>
  </si>
  <si>
    <t>ALEATÓRIO 1246</t>
  </si>
  <si>
    <t>ALEATÓRIO 1247</t>
  </si>
  <si>
    <t>ALEATÓRIO 1248</t>
  </si>
  <si>
    <t>ALEATÓRIO 1249</t>
  </si>
  <si>
    <t>ALEATÓRIO 1250</t>
  </si>
  <si>
    <t>ALEATÓRIO 1251</t>
  </si>
  <si>
    <t>ALEATÓRIO 1252</t>
  </si>
  <si>
    <t>ALEATÓRIO 1253</t>
  </si>
  <si>
    <t>ALEATÓRIO 1254</t>
  </si>
  <si>
    <t>ALEATÓRIO 1255</t>
  </si>
  <si>
    <t>ALEATÓRIO 1256</t>
  </si>
  <si>
    <t>ALEATÓRIO 1257</t>
  </si>
  <si>
    <t>ALEATÓRIO 1258</t>
  </si>
  <si>
    <t>ALEATÓRIO 1259</t>
  </si>
  <si>
    <t>ALEATÓRIO 1260</t>
  </si>
  <si>
    <t>ALEATÓRIO 1261</t>
  </si>
  <si>
    <t>ALEATÓRIO 1262</t>
  </si>
  <si>
    <t>ALEATÓRIO 1263</t>
  </si>
  <si>
    <t>ALEATÓRIO 1264</t>
  </si>
  <si>
    <t>ALEATÓRIO 1265</t>
  </si>
  <si>
    <t>ALEATÓRIO 1266</t>
  </si>
  <si>
    <t>ALEATÓRIO 1267</t>
  </si>
  <si>
    <t>ALEATÓRIO 1268</t>
  </si>
  <si>
    <t>ALEATÓRIO 1269</t>
  </si>
  <si>
    <t>ALEATÓRIO 1270</t>
  </si>
  <si>
    <t>ALEATÓRIO 1271</t>
  </si>
  <si>
    <t>ALEATÓRIO 1272</t>
  </si>
  <si>
    <t>ALEATÓRIO 1273</t>
  </si>
  <si>
    <t>ALEATÓRIO 1274</t>
  </si>
  <si>
    <t>ALEATÓRIO 1275</t>
  </si>
  <si>
    <t>ALEATÓRIO 1276</t>
  </si>
  <si>
    <t>ALEATÓRIO 1277</t>
  </si>
  <si>
    <t>ALEATÓRIO 1278</t>
  </si>
  <si>
    <t>ALEATÓRIO 1279</t>
  </si>
  <si>
    <t>ALEATÓRIO 1280</t>
  </si>
  <si>
    <t>ALEATÓRIO 1281</t>
  </si>
  <si>
    <t>ALEATÓRIO 1282</t>
  </si>
  <si>
    <t>ALEATÓRIO 1283</t>
  </si>
  <si>
    <t>ALEATÓRIO 1284</t>
  </si>
  <si>
    <t>ALEATÓRIO 1285</t>
  </si>
  <si>
    <t>ALEATÓRIO 1286</t>
  </si>
  <si>
    <t>ALEATÓRIO 1287</t>
  </si>
  <si>
    <t>ALEATÓRIO 1288</t>
  </si>
  <si>
    <t>ALEATÓRIO 1289</t>
  </si>
  <si>
    <t>ALEATÓRIO 1290</t>
  </si>
  <si>
    <t>ALEATÓRIO 1291</t>
  </si>
  <si>
    <t>ALEATÓRIO 1292</t>
  </si>
  <si>
    <t>ALEATÓRIO 1293</t>
  </si>
  <si>
    <t>ALEATÓRIO 1294</t>
  </si>
  <si>
    <t>ALEATÓRIO 1295</t>
  </si>
  <si>
    <t>ALEATÓRIO 1296</t>
  </si>
  <si>
    <t>ALEATÓRIO 1297</t>
  </si>
  <si>
    <t>ALEATÓRIO 1298</t>
  </si>
  <si>
    <t>ALEATÓRIO 1299</t>
  </si>
  <si>
    <t>ALEATÓRIO 1300</t>
  </si>
  <si>
    <t>ALEATÓRIO 1301</t>
  </si>
  <si>
    <t>ALEATÓRIO 1302</t>
  </si>
  <si>
    <t>ALEATÓRIO 1303</t>
  </si>
  <si>
    <t>ALEATÓRIO 1304</t>
  </si>
  <si>
    <t>ALEATÓRIO 1305</t>
  </si>
  <si>
    <t>ALEATÓRIO 1306</t>
  </si>
  <si>
    <t>ALEATÓRIO 1307</t>
  </si>
  <si>
    <t>ALEATÓRIO 1308</t>
  </si>
  <si>
    <t>ALEATÓRIO 1309</t>
  </si>
  <si>
    <t>ALEATÓRIO 1310</t>
  </si>
  <si>
    <t>ALEATÓRIO 1311</t>
  </si>
  <si>
    <t>ALEATÓRIO 1312</t>
  </si>
  <si>
    <t>ALEATÓRIO 1313</t>
  </si>
  <si>
    <t>ALEATÓRIO 1314</t>
  </si>
  <si>
    <t>ALEATÓRIO 1315</t>
  </si>
  <si>
    <t>ALEATÓRIO 1316</t>
  </si>
  <si>
    <t>ALEATÓRIO 1317</t>
  </si>
  <si>
    <t>ALEATÓRIO 1318</t>
  </si>
  <si>
    <t>ALEATÓRIO 1319</t>
  </si>
  <si>
    <t>ALEATÓRIO 1320</t>
  </si>
  <si>
    <t>ALEATÓRIO 1321</t>
  </si>
  <si>
    <t>ALEATÓRIO 1322</t>
  </si>
  <si>
    <t>ALEATÓRIO 1323</t>
  </si>
  <si>
    <t>ALEATÓRIO 1324</t>
  </si>
  <si>
    <t>ALEATÓRIO 1325</t>
  </si>
  <si>
    <t>ALEATÓRIO 1326</t>
  </si>
  <si>
    <t>ALEATÓRIO 1327</t>
  </si>
  <si>
    <t>ALEATÓRIO 1328</t>
  </si>
  <si>
    <t>ALEATÓRIO 1329</t>
  </si>
  <si>
    <t>ALEATÓRIO 1330</t>
  </si>
  <si>
    <t>ALEATÓRIO 1331</t>
  </si>
  <si>
    <t>ALEATÓRIO 1332</t>
  </si>
  <si>
    <t>ALEATÓRIO 1333</t>
  </si>
  <si>
    <t>ALEATÓRIO 1334</t>
  </si>
  <si>
    <t>ALEATÓRIO 1335</t>
  </si>
  <si>
    <t>ALEATÓRIO 1336</t>
  </si>
  <si>
    <t>ALEATÓRIO 1337</t>
  </si>
  <si>
    <t>ALEATÓRIO 1338</t>
  </si>
  <si>
    <t>ALEATÓRIO 1339</t>
  </si>
  <si>
    <t>ALEATÓRIO 1340</t>
  </si>
  <si>
    <t>ALEATÓRIO 1341</t>
  </si>
  <si>
    <t>ALEATÓRIO 1342</t>
  </si>
  <si>
    <t>ALEATÓRIO 1343</t>
  </si>
  <si>
    <t>ALEATÓRIO 1344</t>
  </si>
  <si>
    <t>ALEATÓRIO 1345</t>
  </si>
  <si>
    <t>ALEATÓRIO 1346</t>
  </si>
  <si>
    <t>ALEATÓRIO 1347</t>
  </si>
  <si>
    <t>ALEATÓRIO 1348</t>
  </si>
  <si>
    <t>ALEATÓRIO 1349</t>
  </si>
  <si>
    <t>ALEATÓRIO 1350</t>
  </si>
  <si>
    <t>ALEATÓRIO 1351</t>
  </si>
  <si>
    <t>ALEATÓRIO 1352</t>
  </si>
  <si>
    <t>ALEATÓRIO 1353</t>
  </si>
  <si>
    <t>ALEATÓRIO 1354</t>
  </si>
  <si>
    <t>ALEATÓRIO 1355</t>
  </si>
  <si>
    <t>ALEATÓRIO 1356</t>
  </si>
  <si>
    <t>ALEATÓRIO 1357</t>
  </si>
  <si>
    <t>ALEATÓRIO 1358</t>
  </si>
  <si>
    <t>ALEATÓRIO 1359</t>
  </si>
  <si>
    <t>ALEATÓRIO 1360</t>
  </si>
  <si>
    <t>ALEATÓRIO 1361</t>
  </si>
  <si>
    <t>ALEATÓRIO 1362</t>
  </si>
  <si>
    <t>ALEATÓRIO 1363</t>
  </si>
  <si>
    <t>ALEATÓRIO 1364</t>
  </si>
  <si>
    <t>ALEATÓRIO 1365</t>
  </si>
  <si>
    <t>ALEATÓRIO 1366</t>
  </si>
  <si>
    <t>ALEATÓRIO 1367</t>
  </si>
  <si>
    <t>ALEATÓRIO 1368</t>
  </si>
  <si>
    <t>ALEATÓRIO 1369</t>
  </si>
  <si>
    <t>ALEATÓRIO 1370</t>
  </si>
  <si>
    <t>ALEATÓRIO 1371</t>
  </si>
  <si>
    <t>ALEATÓRIO 1372</t>
  </si>
  <si>
    <t>ALEATÓRIO 1373</t>
  </si>
  <si>
    <t>ALEATÓRIO 1374</t>
  </si>
  <si>
    <t>ALEATÓRIO 1375</t>
  </si>
  <si>
    <t>ALEATÓRIO 1376</t>
  </si>
  <si>
    <t>ALEATÓRIO 1377</t>
  </si>
  <si>
    <t>ALEATÓRIO 1378</t>
  </si>
  <si>
    <t>ALEATÓRIO 1379</t>
  </si>
  <si>
    <t>ALEATÓRIO 1380</t>
  </si>
  <si>
    <t>ALEATÓRIO 1381</t>
  </si>
  <si>
    <t>ALEATÓRIO 1382</t>
  </si>
  <si>
    <t>ALEATÓRIO 1383</t>
  </si>
  <si>
    <t>ALEATÓRIO 1384</t>
  </si>
  <si>
    <t>ALEATÓRIO 1385</t>
  </si>
  <si>
    <t>ALEATÓRIO 1386</t>
  </si>
  <si>
    <t>ALEATÓRIO 1387</t>
  </si>
  <si>
    <t>ALEATÓRIO 1388</t>
  </si>
  <si>
    <t>ALEATÓRIO 1389</t>
  </si>
  <si>
    <t>ALEATÓRIO 1390</t>
  </si>
  <si>
    <t>ALEATÓRIO 1391</t>
  </si>
  <si>
    <t>ALEATÓRIO 1392</t>
  </si>
  <si>
    <t>ALEATÓRIO 1393</t>
  </si>
  <si>
    <t>ALEATÓRIO 1394</t>
  </si>
  <si>
    <t>ALEATÓRIO 1395</t>
  </si>
  <si>
    <t>ALEATÓRIO 1396</t>
  </si>
  <si>
    <t>ALEATÓRIO 1397</t>
  </si>
  <si>
    <t>ALEATÓRIO 1398</t>
  </si>
  <si>
    <t>ALEATÓRIO 1399</t>
  </si>
  <si>
    <t>ALEATÓRIO 1400</t>
  </si>
  <si>
    <t>ALEATÓRIO 1401</t>
  </si>
  <si>
    <t>ALEATÓRIO 1402</t>
  </si>
  <si>
    <t>ALEATÓRIO 1403</t>
  </si>
  <si>
    <t>ALEATÓRIO 1404</t>
  </si>
  <si>
    <t>ALEATÓRIO 1405</t>
  </si>
  <si>
    <t>ALEATÓRIO 1406</t>
  </si>
  <si>
    <t>ALEATÓRIO 1407</t>
  </si>
  <si>
    <t>ALEATÓRIO 1408</t>
  </si>
  <si>
    <t>ALEATÓRIO 1409</t>
  </si>
  <si>
    <t>ALEATÓRIO 1410</t>
  </si>
  <si>
    <t>ALEATÓRIO 1411</t>
  </si>
  <si>
    <t>ALEATÓRIO 1412</t>
  </si>
  <si>
    <t>ALEATÓRIO 1413</t>
  </si>
  <si>
    <t>ALEATÓRIO 1414</t>
  </si>
  <si>
    <t>ALEATÓRIO 1415</t>
  </si>
  <si>
    <t>ALEATÓRIO 1416</t>
  </si>
  <si>
    <t>ALEATÓRIO 1417</t>
  </si>
  <si>
    <t>ALEATÓRIO 1418</t>
  </si>
  <si>
    <t>ALEATÓRIO 1419</t>
  </si>
  <si>
    <t>ALEATÓRIO 1420</t>
  </si>
  <si>
    <t>ALEATÓRIO 1421</t>
  </si>
  <si>
    <t>ALEATÓRIO 1422</t>
  </si>
  <si>
    <t>ALEATÓRIO 1423</t>
  </si>
  <si>
    <t>ALEATÓRIO 1424</t>
  </si>
  <si>
    <t>ALEATÓRIO 1425</t>
  </si>
  <si>
    <t>ALEATÓRIO 1426</t>
  </si>
  <si>
    <t>ALEATÓRIO 1427</t>
  </si>
  <si>
    <t>ALEATÓRIO 1428</t>
  </si>
  <si>
    <t>ALEATÓRIO 1429</t>
  </si>
  <si>
    <t>ALEATÓRIO 1430</t>
  </si>
  <si>
    <t>ALEATÓRIO 1431</t>
  </si>
  <si>
    <t>ALEATÓRIO 1432</t>
  </si>
  <si>
    <t>ALEATÓRIO 1433</t>
  </si>
  <si>
    <t>ALEATÓRIO 1434</t>
  </si>
  <si>
    <t>ALEATÓRIO 1435</t>
  </si>
  <si>
    <t>ALEATÓRIO 1436</t>
  </si>
  <si>
    <t>ALEATÓRIO 1437</t>
  </si>
  <si>
    <t>ALEATÓRIO 1438</t>
  </si>
  <si>
    <t>ALEATÓRIO 1439</t>
  </si>
  <si>
    <t>ALEATÓRIO 1440</t>
  </si>
  <si>
    <t>ALEATÓRIO 1441</t>
  </si>
  <si>
    <t>ALEATÓRIO 1442</t>
  </si>
  <si>
    <t>ALEATÓRIO 1443</t>
  </si>
  <si>
    <t>ALEATÓRIO 1444</t>
  </si>
  <si>
    <t>ALEATÓRIO 1445</t>
  </si>
  <si>
    <t>ALEATÓRIO 1446</t>
  </si>
  <si>
    <t>ALEATÓRIO 1447</t>
  </si>
  <si>
    <t>ALEATÓRIO 1448</t>
  </si>
  <si>
    <t>ALEATÓRIO 1449</t>
  </si>
  <si>
    <t>ALEATÓRIO 1450</t>
  </si>
  <si>
    <t>ALEATÓRIO 1451</t>
  </si>
  <si>
    <t>ALEATÓRIO 1452</t>
  </si>
  <si>
    <t>ALEATÓRIO 1453</t>
  </si>
  <si>
    <t>ALEATÓRIO 1454</t>
  </si>
  <si>
    <t>ALEATÓRIO 1455</t>
  </si>
  <si>
    <t>ALEATÓRIO 1456</t>
  </si>
  <si>
    <t>ALEATÓRIO 1457</t>
  </si>
  <si>
    <t>ALEATÓRIO 1458</t>
  </si>
  <si>
    <t>ALEATÓRIO 1459</t>
  </si>
  <si>
    <t>ALEATÓRIO 1460</t>
  </si>
  <si>
    <t>ALEATÓRIO 1461</t>
  </si>
  <si>
    <t>ALEATÓRIO 1462</t>
  </si>
  <si>
    <t>ALEATÓRIO 1463</t>
  </si>
  <si>
    <t>ALEATÓRIO 1464</t>
  </si>
  <si>
    <t>ALEATÓRIO 1465</t>
  </si>
  <si>
    <t>ALEATÓRIO 1466</t>
  </si>
  <si>
    <t>ALEATÓRIO 1467</t>
  </si>
  <si>
    <t>ALEATÓRIO 1468</t>
  </si>
  <si>
    <t>ALEATÓRIO 1469</t>
  </si>
  <si>
    <t>ALEATÓRIO 1470</t>
  </si>
  <si>
    <t>ALEATÓRIO 1471</t>
  </si>
  <si>
    <t>ALEATÓRIO 1472</t>
  </si>
  <si>
    <t>ALEATÓRIO 1473</t>
  </si>
  <si>
    <t>ALEATÓRIO 1474</t>
  </si>
  <si>
    <t>ALEATÓRIO 1475</t>
  </si>
  <si>
    <t>ALEATÓRIO 1476</t>
  </si>
  <si>
    <t>ALEATÓRIO 1477</t>
  </si>
  <si>
    <t>ALEATÓRIO 1478</t>
  </si>
  <si>
    <t>ALEATÓRIO 1479</t>
  </si>
  <si>
    <t>ALEATÓRIO 1480</t>
  </si>
  <si>
    <t>ALEATÓRIO 1481</t>
  </si>
  <si>
    <t>ALEATÓRIO 1482</t>
  </si>
  <si>
    <t>ALEATÓRIO 1483</t>
  </si>
  <si>
    <t>ALEATÓRIO 1484</t>
  </si>
  <si>
    <t>ALEATÓRIO 1485</t>
  </si>
  <si>
    <t>ALEATÓRIO 1486</t>
  </si>
  <si>
    <t>ALEATÓRIO 1487</t>
  </si>
  <si>
    <t>ALEATÓRIO 1488</t>
  </si>
  <si>
    <t>ALEATÓRIO 1489</t>
  </si>
  <si>
    <t>ALEATÓRIO 1490</t>
  </si>
  <si>
    <t>ALEATÓRIO 1491</t>
  </si>
  <si>
    <t>ALEATÓRIO 1492</t>
  </si>
  <si>
    <t>ALEATÓRIO 1493</t>
  </si>
  <si>
    <t>ALEATÓRIO 1494</t>
  </si>
  <si>
    <t>ALEATÓRIO 1495</t>
  </si>
  <si>
    <t>ALEATÓRIO 1496</t>
  </si>
  <si>
    <t>ALEATÓRIO 1497</t>
  </si>
  <si>
    <t>ALEATÓRIO 1498</t>
  </si>
  <si>
    <t>ALEATÓRIO 1499</t>
  </si>
  <si>
    <t>ALEATÓRIO 1500</t>
  </si>
  <si>
    <t>ALEATÓRIO 1501</t>
  </si>
  <si>
    <t>ALEATÓRIO 1502</t>
  </si>
  <si>
    <t>ALEATÓRIO 1503</t>
  </si>
  <si>
    <t>ALEATÓRIO 1504</t>
  </si>
  <si>
    <t>ALEATÓRIO 1505</t>
  </si>
  <si>
    <t>ALEATÓRIO 1506</t>
  </si>
  <si>
    <t>ALEATÓRIO 1507</t>
  </si>
  <si>
    <t>ALEATÓRIO 1508</t>
  </si>
  <si>
    <t>ALEATÓRIO 1509</t>
  </si>
  <si>
    <t>ALEATÓRIO 1510</t>
  </si>
  <si>
    <t>ALEATÓRIO 1511</t>
  </si>
  <si>
    <t>ALEATÓRIO 1512</t>
  </si>
  <si>
    <t>ALEATÓRIO 1513</t>
  </si>
  <si>
    <t>ALEATÓRIO 1514</t>
  </si>
  <si>
    <t>ALEATÓRIO 1515</t>
  </si>
  <si>
    <t>ALEATÓRIO 1516</t>
  </si>
  <si>
    <t>ALEATÓRIO 1517</t>
  </si>
  <si>
    <t>ALEATÓRIO 1518</t>
  </si>
  <si>
    <t>ALEATÓRIO 1519</t>
  </si>
  <si>
    <t>ALEATÓRIO 1520</t>
  </si>
  <si>
    <t>ALEATÓRIO 1521</t>
  </si>
  <si>
    <t>ALEATÓRIO 1522</t>
  </si>
  <si>
    <t>ALEATÓRIO 1523</t>
  </si>
  <si>
    <t>ALEATÓRIO 1524</t>
  </si>
  <si>
    <t>ALEATÓRIO 1525</t>
  </si>
  <si>
    <t>ALEATÓRIO 1526</t>
  </si>
  <si>
    <t>ALEATÓRIO 1527</t>
  </si>
  <si>
    <t>ALEATÓRIO 1528</t>
  </si>
  <si>
    <t>ALEATÓRIO 1529</t>
  </si>
  <si>
    <t>ALEATÓRIO 1530</t>
  </si>
  <si>
    <t>ALEATÓRIO 1531</t>
  </si>
  <si>
    <t>ALEATÓRIO 1532</t>
  </si>
  <si>
    <t>ALEATÓRIO 1533</t>
  </si>
  <si>
    <t>ALEATÓRIO 1534</t>
  </si>
  <si>
    <t>ALEATÓRIO 1535</t>
  </si>
  <si>
    <t>ALEATÓRIO 1536</t>
  </si>
  <si>
    <t>ALEATÓRIO 1537</t>
  </si>
  <si>
    <t>ALEATÓRIO 1538</t>
  </si>
  <si>
    <t>ALEATÓRIO 1539</t>
  </si>
  <si>
    <t>ALEATÓRIO 1540</t>
  </si>
  <si>
    <t>ALEATÓRIO 1541</t>
  </si>
  <si>
    <t>ALEATÓRIO 1542</t>
  </si>
  <si>
    <t>ALEATÓRIO 1543</t>
  </si>
  <si>
    <t>ALEATÓRIO 1544</t>
  </si>
  <si>
    <t>ALEATÓRIO 1545</t>
  </si>
  <si>
    <t>ALEATÓRIO 1546</t>
  </si>
  <si>
    <t>ALEATÓRIO 1547</t>
  </si>
  <si>
    <t>ALEATÓRIO 1548</t>
  </si>
  <si>
    <t>ALEATÓRIO 1549</t>
  </si>
  <si>
    <t>ALEATÓRIO 1550</t>
  </si>
  <si>
    <t>ALEATÓRIO 1551</t>
  </si>
  <si>
    <t>ALEATÓRIO 1552</t>
  </si>
  <si>
    <t>ALEATÓRIO 1553</t>
  </si>
  <si>
    <t>ALEATÓRIO 1554</t>
  </si>
  <si>
    <t>ALEATÓRIO 1555</t>
  </si>
  <si>
    <t>ALEATÓRIO 1556</t>
  </si>
  <si>
    <t>ALEATÓRIO 1557</t>
  </si>
  <si>
    <t>ALEATÓRIO 1558</t>
  </si>
  <si>
    <t>ALEATÓRIO 1559</t>
  </si>
  <si>
    <t>ALEATÓRIO 1560</t>
  </si>
  <si>
    <t>ALEATÓRIO 1561</t>
  </si>
  <si>
    <t>ALEATÓRIO 1562</t>
  </si>
  <si>
    <t>ALEATÓRIO 1563</t>
  </si>
  <si>
    <t>ALEATÓRIO 1564</t>
  </si>
  <si>
    <t>ALEATÓRIO 1565</t>
  </si>
  <si>
    <t>ALEATÓRIO 1566</t>
  </si>
  <si>
    <t>ALEATÓRIO 1567</t>
  </si>
  <si>
    <t>ALEATÓRIO 1568</t>
  </si>
  <si>
    <t>ALEATÓRIO 1569</t>
  </si>
  <si>
    <t>ALEATÓRIO 1570</t>
  </si>
  <si>
    <t>ALEATÓRIO 1571</t>
  </si>
  <si>
    <t>ALEATÓRIO 1572</t>
  </si>
  <si>
    <t>ALEATÓRIO 1573</t>
  </si>
  <si>
    <t>ALEATÓRIO 1574</t>
  </si>
  <si>
    <t>ALEATÓRIO 1575</t>
  </si>
  <si>
    <t>ALEATÓRIO 1576</t>
  </si>
  <si>
    <t>ALEATÓRIO 1577</t>
  </si>
  <si>
    <t>ALEATÓRIO 1578</t>
  </si>
  <si>
    <t>ALEATÓRIO 1579</t>
  </si>
  <si>
    <t>ALEATÓRIO 1580</t>
  </si>
  <si>
    <t>ALEATÓRIO 1581</t>
  </si>
  <si>
    <t>ALEATÓRIO 1582</t>
  </si>
  <si>
    <t>ALEATÓRIO 1583</t>
  </si>
  <si>
    <t>ALEATÓRIO 1584</t>
  </si>
  <si>
    <t>ALEATÓRIO 1585</t>
  </si>
  <si>
    <t>ALEATÓRIO 1586</t>
  </si>
  <si>
    <t>ALEATÓRIO 1587</t>
  </si>
  <si>
    <t>ALEATÓRIO 1588</t>
  </si>
  <si>
    <t>ALEATÓRIO 1589</t>
  </si>
  <si>
    <t>ALEATÓRIO 1590</t>
  </si>
  <si>
    <t>ALEATÓRIO 1591</t>
  </si>
  <si>
    <t>ALEATÓRIO 1592</t>
  </si>
  <si>
    <t>ALEATÓRIO 1593</t>
  </si>
  <si>
    <t>ALEATÓRIO 1594</t>
  </si>
  <si>
    <t>ALEATÓRIO 1595</t>
  </si>
  <si>
    <t>ALEATÓRIO 1596</t>
  </si>
  <si>
    <t>ALEATÓRIO 1597</t>
  </si>
  <si>
    <t>ALEATÓRIO 1598</t>
  </si>
  <si>
    <t>ALEATÓRIO 1599</t>
  </si>
  <si>
    <t>ALEATÓRIO 1600</t>
  </si>
  <si>
    <t>ALEATÓRIO 1601</t>
  </si>
  <si>
    <t>ALEATÓRIO 1602</t>
  </si>
  <si>
    <t>ALEATÓRIO 1603</t>
  </si>
  <si>
    <t>ALEATÓRIO 1604</t>
  </si>
  <si>
    <t>ALEATÓRIO 1605</t>
  </si>
  <si>
    <t>ALEATÓRIO 1606</t>
  </si>
  <si>
    <t>ALEATÓRIO 1607</t>
  </si>
  <si>
    <t>ALEATÓRIO 1608</t>
  </si>
  <si>
    <t>ALEATÓRIO 1609</t>
  </si>
  <si>
    <t>ALEATÓRIO 1610</t>
  </si>
  <si>
    <t>ALEATÓRIO 1611</t>
  </si>
  <si>
    <t>ALEATÓRIO 1612</t>
  </si>
  <si>
    <t>ALEATÓRIO 1613</t>
  </si>
  <si>
    <t>ALEATÓRIO 1614</t>
  </si>
  <si>
    <t>ALEATÓRIO 1615</t>
  </si>
  <si>
    <t>ALEATÓRIO 1616</t>
  </si>
  <si>
    <t>ALEATÓRIO 1617</t>
  </si>
  <si>
    <t>ALEATÓRIO 1618</t>
  </si>
  <si>
    <t>ALEATÓRIO 1619</t>
  </si>
  <si>
    <t>ALEATÓRIO 1620</t>
  </si>
  <si>
    <t>ALEATÓRIO 1621</t>
  </si>
  <si>
    <t>ALEATÓRIO 1622</t>
  </si>
  <si>
    <t>ALEATÓRIO 1623</t>
  </si>
  <si>
    <t>ALEATÓRIO 1624</t>
  </si>
  <si>
    <t>ALEATÓRIO 1625</t>
  </si>
  <si>
    <t>ALEATÓRIO 1626</t>
  </si>
  <si>
    <t>ALEATÓRIO 1627</t>
  </si>
  <si>
    <t>ALEATÓRIO 1628</t>
  </si>
  <si>
    <t>ALEATÓRIO 1629</t>
  </si>
  <si>
    <t>ALEATÓRIO 1630</t>
  </si>
  <si>
    <t>ALEATÓRIO 1631</t>
  </si>
  <si>
    <t>ALEATÓRIO 1632</t>
  </si>
  <si>
    <t>ALEATÓRIO 1633</t>
  </si>
  <si>
    <t>ALEATÓRIO 1634</t>
  </si>
  <si>
    <t>ALEATÓRIO 1635</t>
  </si>
  <si>
    <t>ALEATÓRIO 1636</t>
  </si>
  <si>
    <t>ALEATÓRIO 1637</t>
  </si>
  <si>
    <t>ALEATÓRIO 1638</t>
  </si>
  <si>
    <t>ALEATÓRIO 1639</t>
  </si>
  <si>
    <t>ALEATÓRIO 1640</t>
  </si>
  <si>
    <t>ALEATÓRIO 1641</t>
  </si>
  <si>
    <t>ALEATÓRIO 1642</t>
  </si>
  <si>
    <t>ALEATÓRIO 1643</t>
  </si>
  <si>
    <t>ALEATÓRIO 1644</t>
  </si>
  <si>
    <t>ALEATÓRIO 1645</t>
  </si>
  <si>
    <t>ALEATÓRIO 1646</t>
  </si>
  <si>
    <t>ALEATÓRIO 1647</t>
  </si>
  <si>
    <t>ALEATÓRIO 1648</t>
  </si>
  <si>
    <t>ALEATÓRIO 1649</t>
  </si>
  <si>
    <t>ALEATÓRIO 1650</t>
  </si>
  <si>
    <t>ALEATÓRIO 1651</t>
  </si>
  <si>
    <t>ALEATÓRIO 1652</t>
  </si>
  <si>
    <t>ALEATÓRIO 1653</t>
  </si>
  <si>
    <t>ALEATÓRIO 1654</t>
  </si>
  <si>
    <t>ALEATÓRIO 1655</t>
  </si>
  <si>
    <t>ALEATÓRIO 1656</t>
  </si>
  <si>
    <t>ALEATÓRIO 1657</t>
  </si>
  <si>
    <t>ALEATÓRIO 1658</t>
  </si>
  <si>
    <t>ALEATÓRIO 1659</t>
  </si>
  <si>
    <t>ALEATÓRIO 1660</t>
  </si>
  <si>
    <t>ALEATÓRIO 1661</t>
  </si>
  <si>
    <t>ALEATÓRIO 1662</t>
  </si>
  <si>
    <t>ALEATÓRIO 1663</t>
  </si>
  <si>
    <t>ALEATÓRIO 1664</t>
  </si>
  <si>
    <t>ALEATÓRIO 1665</t>
  </si>
  <si>
    <t>ALEATÓRIO 1666</t>
  </si>
  <si>
    <t>ALEATÓRIO 1667</t>
  </si>
  <si>
    <t>ALEATÓRIO 1668</t>
  </si>
  <si>
    <t>ALEATÓRIO 1669</t>
  </si>
  <si>
    <t>ALEATÓRIO 1670</t>
  </si>
  <si>
    <t>ALEATÓRIO 1671</t>
  </si>
  <si>
    <t>ALEATÓRIO 1672</t>
  </si>
  <si>
    <t>ALEATÓRIO 1673</t>
  </si>
  <si>
    <t>ALEATÓRIO 1674</t>
  </si>
  <si>
    <t>ALEATÓRIO 1675</t>
  </si>
  <si>
    <t>ALEATÓRIO 1676</t>
  </si>
  <si>
    <t>ALEATÓRIO 1677</t>
  </si>
  <si>
    <t>ALEATÓRIO 1678</t>
  </si>
  <si>
    <t>ALEATÓRIO 1679</t>
  </si>
  <si>
    <t>ALEATÓRIO 1680</t>
  </si>
  <si>
    <t>ALEATÓRIO 1681</t>
  </si>
  <si>
    <t>ALEATÓRIO 1682</t>
  </si>
  <si>
    <t>ALEATÓRIO 1683</t>
  </si>
  <si>
    <t>ALEATÓRIO 1684</t>
  </si>
  <si>
    <t>ALEATÓRIO 1685</t>
  </si>
  <si>
    <t>ALEATÓRIO 1686</t>
  </si>
  <si>
    <t>ALEATÓRIO 1687</t>
  </si>
  <si>
    <t>ALEATÓRIO 1688</t>
  </si>
  <si>
    <t>ALEATÓRIO 1689</t>
  </si>
  <si>
    <t>ALEATÓRIO 1690</t>
  </si>
  <si>
    <t>ALEATÓRIO 1691</t>
  </si>
  <si>
    <t>ALEATÓRIO 1692</t>
  </si>
  <si>
    <t>ALEATÓRIO 1693</t>
  </si>
  <si>
    <t>ALEATÓRIO 1694</t>
  </si>
  <si>
    <t>ALEATÓRIO 1695</t>
  </si>
  <si>
    <t>ALEATÓRIO 1696</t>
  </si>
  <si>
    <t>ALEATÓRIO 1697</t>
  </si>
  <si>
    <t>ALEATÓRIO 1698</t>
  </si>
  <si>
    <t>ALEATÓRIO 1699</t>
  </si>
  <si>
    <t>ALEATÓRIO 1700</t>
  </si>
  <si>
    <t>ALEATÓRIO 1701</t>
  </si>
  <si>
    <t>ALEATÓRIO 1702</t>
  </si>
  <si>
    <t>ALEATÓRIO 1703</t>
  </si>
  <si>
    <t>ALEATÓRIO 1704</t>
  </si>
  <si>
    <t>ALEATÓRIO 1705</t>
  </si>
  <si>
    <t>ALEATÓRIO 1706</t>
  </si>
  <si>
    <t>ALEATÓRIO 1707</t>
  </si>
  <si>
    <t>ALEATÓRIO 1708</t>
  </si>
  <si>
    <t>ALEATÓRIO 1709</t>
  </si>
  <si>
    <t>ALEATÓRIO 1710</t>
  </si>
  <si>
    <t>ALEATÓRIO 1711</t>
  </si>
  <si>
    <t>ALEATÓRIO 1712</t>
  </si>
  <si>
    <t>ALEATÓRIO 1713</t>
  </si>
  <si>
    <t>ALEATÓRIO 1714</t>
  </si>
  <si>
    <t>ALEATÓRIO 1715</t>
  </si>
  <si>
    <t>ALEATÓRIO 1716</t>
  </si>
  <si>
    <t>ALEATÓRIO 1717</t>
  </si>
  <si>
    <t>ALEATÓRIO 1718</t>
  </si>
  <si>
    <t>ALEATÓRIO 1719</t>
  </si>
  <si>
    <t>ALEATÓRIO 1720</t>
  </si>
  <si>
    <t>ALEATÓRIO 1721</t>
  </si>
  <si>
    <t>ALEATÓRIO 1722</t>
  </si>
  <si>
    <t>ALEATÓRIO 1723</t>
  </si>
  <si>
    <t>ALEATÓRIO 1724</t>
  </si>
  <si>
    <t>ALEATÓRIO 1725</t>
  </si>
  <si>
    <t>ALEATÓRIO 1726</t>
  </si>
  <si>
    <t>ALEATÓRIO 1727</t>
  </si>
  <si>
    <t>ALEATÓRIO 1728</t>
  </si>
  <si>
    <t>ALEATÓRIO 1729</t>
  </si>
  <si>
    <t>ALEATÓRIO 1730</t>
  </si>
  <si>
    <t>ALEATÓRIO 1731</t>
  </si>
  <si>
    <t>ALEATÓRIO 1732</t>
  </si>
  <si>
    <t>ALEATÓRIO 1733</t>
  </si>
  <si>
    <t>ALEATÓRIO 1734</t>
  </si>
  <si>
    <t>ALEATÓRIO 1735</t>
  </si>
  <si>
    <t>ALEATÓRIO 1736</t>
  </si>
  <si>
    <t>ALEATÓRIO 1737</t>
  </si>
  <si>
    <t>ALEATÓRIO 1738</t>
  </si>
  <si>
    <t>ALEATÓRIO 1739</t>
  </si>
  <si>
    <t>ALEATÓRIO 1740</t>
  </si>
  <si>
    <t>ALEATÓRIO 1741</t>
  </si>
  <si>
    <t>ALEATÓRIO 1742</t>
  </si>
  <si>
    <t>ALEATÓRIO 1743</t>
  </si>
  <si>
    <t>ALEATÓRIO 1744</t>
  </si>
  <si>
    <t>ALEATÓRIO 1745</t>
  </si>
  <si>
    <t>ALEATÓRIO 1746</t>
  </si>
  <si>
    <t>ALEATÓRIO 1747</t>
  </si>
  <si>
    <t>ALEATÓRIO 1748</t>
  </si>
  <si>
    <t>ALEATÓRIO 1749</t>
  </si>
  <si>
    <t>ALEATÓRIO 1750</t>
  </si>
  <si>
    <t>ALEATÓRIO 1751</t>
  </si>
  <si>
    <t>ALEATÓRIO 1752</t>
  </si>
  <si>
    <t>ALEATÓRIO 1753</t>
  </si>
  <si>
    <t>ALEATÓRIO 1754</t>
  </si>
  <si>
    <t>ALEATÓRIO 1755</t>
  </si>
  <si>
    <t>ALEATÓRIO 1756</t>
  </si>
  <si>
    <t>ALEATÓRIO 1757</t>
  </si>
  <si>
    <t>ALEATÓRIO 1758</t>
  </si>
  <si>
    <t>ALEATÓRIO 1759</t>
  </si>
  <si>
    <t>ALEATÓRIO 1760</t>
  </si>
  <si>
    <t>ALEATÓRIO 1761</t>
  </si>
  <si>
    <t>ALEATÓRIO 1762</t>
  </si>
  <si>
    <t>ALEATÓRIO 1763</t>
  </si>
  <si>
    <t>ALEATÓRIO 1764</t>
  </si>
  <si>
    <t>ALEATÓRIO 1765</t>
  </si>
  <si>
    <t>ALEATÓRIO 1766</t>
  </si>
  <si>
    <t>ALEATÓRIO 1767</t>
  </si>
  <si>
    <t>ALEATÓRIO 1768</t>
  </si>
  <si>
    <t>ALEATÓRIO 1769</t>
  </si>
  <si>
    <t>ALEATÓRIO 1770</t>
  </si>
  <si>
    <t>ALEATÓRIO 1771</t>
  </si>
  <si>
    <t>ALEATÓRIO 1772</t>
  </si>
  <si>
    <t>ALEATÓRIO 1773</t>
  </si>
  <si>
    <t>ALEATÓRIO 1774</t>
  </si>
  <si>
    <t>ALEATÓRIO 1775</t>
  </si>
  <si>
    <t>ALEATÓRIO 1776</t>
  </si>
  <si>
    <t>ALEATÓRIO 1777</t>
  </si>
  <si>
    <t>ALEATÓRIO 1778</t>
  </si>
  <si>
    <t>ALEATÓRIO 1779</t>
  </si>
  <si>
    <t>ALEATÓRIO 1780</t>
  </si>
  <si>
    <t>ALEATÓRIO 1781</t>
  </si>
  <si>
    <t>ALEATÓRIO 1782</t>
  </si>
  <si>
    <t>ALEATÓRIO 1783</t>
  </si>
  <si>
    <t>ALEATÓRIO 1784</t>
  </si>
  <si>
    <t>ALEATÓRIO 1785</t>
  </si>
  <si>
    <t>ALEATÓRIO 1786</t>
  </si>
  <si>
    <t>ALEATÓRIO 1787</t>
  </si>
  <si>
    <t>ALEATÓRIO 1788</t>
  </si>
  <si>
    <t>ALEATÓRIO 1789</t>
  </si>
  <si>
    <t>ALEATÓRIO 1790</t>
  </si>
  <si>
    <t>ALEATÓRIO 1791</t>
  </si>
  <si>
    <t>ALEATÓRIO 1792</t>
  </si>
  <si>
    <t>ALEATÓRIO 1793</t>
  </si>
  <si>
    <t>ALEATÓRIO 1794</t>
  </si>
  <si>
    <t>ALEATÓRIO 1795</t>
  </si>
  <si>
    <t>ALEATÓRIO 1796</t>
  </si>
  <si>
    <t>ALEATÓRIO 1797</t>
  </si>
  <si>
    <t>ALEATÓRIO 1798</t>
  </si>
  <si>
    <t>ALEATÓRIO 1799</t>
  </si>
  <si>
    <t>ALEATÓRIO 1800</t>
  </si>
  <si>
    <t>ALEATÓRIO 1801</t>
  </si>
  <si>
    <t>ALEATÓRIO 1802</t>
  </si>
  <si>
    <t>ALEATÓRIO 1803</t>
  </si>
  <si>
    <t>ALEATÓRIO 1804</t>
  </si>
  <si>
    <t>ALEATÓRIO 1805</t>
  </si>
  <si>
    <t>ALEATÓRIO 1806</t>
  </si>
  <si>
    <t>ALEATÓRIO 1807</t>
  </si>
  <si>
    <t>ALEATÓRIO 1808</t>
  </si>
  <si>
    <t>ALEATÓRIO 1809</t>
  </si>
  <si>
    <t>ALEATÓRIO 1810</t>
  </si>
  <si>
    <t>ALEATÓRIO 1811</t>
  </si>
  <si>
    <t>ALEATÓRIO 1812</t>
  </si>
  <si>
    <t>ALEATÓRIO 1813</t>
  </si>
  <si>
    <t>ALEATÓRIO 1814</t>
  </si>
  <si>
    <t>ALEATÓRIO 1815</t>
  </si>
  <si>
    <t>ALEATÓRIO 1816</t>
  </si>
  <si>
    <t>ALEATÓRIO 1817</t>
  </si>
  <si>
    <t>ALEATÓRIO 1818</t>
  </si>
  <si>
    <t>ALEATÓRIO 1819</t>
  </si>
  <si>
    <t>ALEATÓRIO 1820</t>
  </si>
  <si>
    <t>ALEATÓRIO 1821</t>
  </si>
  <si>
    <t>ALEATÓRIO 1822</t>
  </si>
  <si>
    <t>ALEATÓRIO 1823</t>
  </si>
  <si>
    <t>ALEATÓRIO 1824</t>
  </si>
  <si>
    <t>ALEATÓRIO 1825</t>
  </si>
  <si>
    <t>ALEATÓRIO 1826</t>
  </si>
  <si>
    <t>ALEATÓRIO 1827</t>
  </si>
  <si>
    <t>ALEATÓRIO 1828</t>
  </si>
  <si>
    <t>ALEATÓRIO 1829</t>
  </si>
  <si>
    <t>ALEATÓRIO 1830</t>
  </si>
  <si>
    <t>ALEATÓRIO 1831</t>
  </si>
  <si>
    <t>ALEATÓRIO 1832</t>
  </si>
  <si>
    <t>ALEATÓRIO 1833</t>
  </si>
  <si>
    <t>ALEATÓRIO 1834</t>
  </si>
  <si>
    <t>ALEATÓRIO 1835</t>
  </si>
  <si>
    <t>ALEATÓRIO 1836</t>
  </si>
  <si>
    <t>ALEATÓRIO 1837</t>
  </si>
  <si>
    <t>ALEATÓRIO 1838</t>
  </si>
  <si>
    <t>ALEATÓRIO 1839</t>
  </si>
  <si>
    <t>ALEATÓRIO 1840</t>
  </si>
  <si>
    <t>ALEATÓRIO 1841</t>
  </si>
  <si>
    <t>ALEATÓRIO 1842</t>
  </si>
  <si>
    <t>ALEATÓRIO 1843</t>
  </si>
  <si>
    <t>ALEATÓRIO 1844</t>
  </si>
  <si>
    <t>ALEATÓRIO 1845</t>
  </si>
  <si>
    <t>ALEATÓRIO 1846</t>
  </si>
  <si>
    <t>ALEATÓRIO 1847</t>
  </si>
  <si>
    <t>ALEATÓRIO 1848</t>
  </si>
  <si>
    <t>ALEATÓRIO 1849</t>
  </si>
  <si>
    <t>ALEATÓRIO 1850</t>
  </si>
  <si>
    <t>ALEATÓRIO 1851</t>
  </si>
  <si>
    <t>ALEATÓRIO 1852</t>
  </si>
  <si>
    <t>ALEATÓRIO 1853</t>
  </si>
  <si>
    <t>ALEATÓRIO 1854</t>
  </si>
  <si>
    <t>ALEATÓRIO 1855</t>
  </si>
  <si>
    <t>ALEATÓRIO 1856</t>
  </si>
  <si>
    <t>ALEATÓRIO 1857</t>
  </si>
  <si>
    <t>ALEATÓRIO 1858</t>
  </si>
  <si>
    <t>ALEATÓRIO 1859</t>
  </si>
  <si>
    <t>ALEATÓRIO 1860</t>
  </si>
  <si>
    <t>ALEATÓRIO 1861</t>
  </si>
  <si>
    <t>ALEATÓRIO 1862</t>
  </si>
  <si>
    <t>ALEATÓRIO 1863</t>
  </si>
  <si>
    <t>ALEATÓRIO 1864</t>
  </si>
  <si>
    <t>ALEATÓRIO 1865</t>
  </si>
  <si>
    <t>ALEATÓRIO 1866</t>
  </si>
  <si>
    <t>ALEATÓRIO 1867</t>
  </si>
  <si>
    <t>ALEATÓRIO 1868</t>
  </si>
  <si>
    <t>ALEATÓRIO 1869</t>
  </si>
  <si>
    <t>ALEATÓRIO 1870</t>
  </si>
  <si>
    <t>ALEATÓRIO 1871</t>
  </si>
  <si>
    <t>ALEATÓRIO 1872</t>
  </si>
  <si>
    <t>ALEATÓRIO 1873</t>
  </si>
  <si>
    <t>ALEATÓRIO 1874</t>
  </si>
  <si>
    <t>ALEATÓRIO 1875</t>
  </si>
  <si>
    <t>ALEATÓRIO 1876</t>
  </si>
  <si>
    <t>ALEATÓRIO 1877</t>
  </si>
  <si>
    <t>ALEATÓRIO 1878</t>
  </si>
  <si>
    <t>ALEATÓRIO 1879</t>
  </si>
  <si>
    <t>ALEATÓRIO 1880</t>
  </si>
  <si>
    <t>ALEATÓRIO 1881</t>
  </si>
  <si>
    <t>ALEATÓRIO 1882</t>
  </si>
  <si>
    <t>ALEATÓRIO 1883</t>
  </si>
  <si>
    <t>ALEATÓRIO 1884</t>
  </si>
  <si>
    <t>ALEATÓRIO 1885</t>
  </si>
  <si>
    <t>ALEATÓRIO 1886</t>
  </si>
  <si>
    <t>ALEATÓRIO 1887</t>
  </si>
  <si>
    <t>ALEATÓRIO 1888</t>
  </si>
  <si>
    <t>ALEATÓRIO 1889</t>
  </si>
  <si>
    <t>ALEATÓRIO 1890</t>
  </si>
  <si>
    <t>ALEATÓRIO 1891</t>
  </si>
  <si>
    <t>ALEATÓRIO 1892</t>
  </si>
  <si>
    <t>ALEATÓRIO 1893</t>
  </si>
  <si>
    <t>ALEATÓRIO 1894</t>
  </si>
  <si>
    <t>ALEATÓRIO 1895</t>
  </si>
  <si>
    <t>ALEATÓRIO 1896</t>
  </si>
  <si>
    <t>ALEATÓRIO 1897</t>
  </si>
  <si>
    <t>ALEATÓRIO 1898</t>
  </si>
  <si>
    <t>ALEATÓRIO 1899</t>
  </si>
  <si>
    <t>ALEATÓRIO 1900</t>
  </si>
  <si>
    <t>ALEATÓRIO 1901</t>
  </si>
  <si>
    <t>ALEATÓRIO 1902</t>
  </si>
  <si>
    <t>ALEATÓRIO 1903</t>
  </si>
  <si>
    <t>ALEATÓRIO 1904</t>
  </si>
  <si>
    <t>ALEATÓRIO 1905</t>
  </si>
  <si>
    <t>ALEATÓRIO 1906</t>
  </si>
  <si>
    <t>ALEATÓRIO 1907</t>
  </si>
  <si>
    <t>ALEATÓRIO 1908</t>
  </si>
  <si>
    <t>ALEATÓRIO 1909</t>
  </si>
  <si>
    <t>ALEATÓRIO 1910</t>
  </si>
  <si>
    <t>ALEATÓRIO 1911</t>
  </si>
  <si>
    <t>ALEATÓRIO 1912</t>
  </si>
  <si>
    <t>ALEATÓRIO 1913</t>
  </si>
  <si>
    <t>ALEATÓRIO 1914</t>
  </si>
  <si>
    <t>ALEATÓRIO 1915</t>
  </si>
  <si>
    <t>ALEATÓRIO 1916</t>
  </si>
  <si>
    <t>ALEATÓRIO 1917</t>
  </si>
  <si>
    <t>ALEATÓRIO 1918</t>
  </si>
  <si>
    <t>ALEATÓRIO 1919</t>
  </si>
  <si>
    <t>ALEATÓRIO 1920</t>
  </si>
  <si>
    <t>ALEATÓRIO 1921</t>
  </si>
  <si>
    <t>ALEATÓRIO 1922</t>
  </si>
  <si>
    <t>ALEATÓRIO 1923</t>
  </si>
  <si>
    <t>ALEATÓRIO 1924</t>
  </si>
  <si>
    <t>ALEATÓRIO 1925</t>
  </si>
  <si>
    <t>ALEATÓRIO 1926</t>
  </si>
  <si>
    <t>ALEATÓRIO 1927</t>
  </si>
  <si>
    <t>ALEATÓRIO 1928</t>
  </si>
  <si>
    <t>ALEATÓRIO 1929</t>
  </si>
  <si>
    <t>ALEATÓRIO 1930</t>
  </si>
  <si>
    <t>ALEATÓRIO 1931</t>
  </si>
  <si>
    <t>ALEATÓRIO 1932</t>
  </si>
  <si>
    <t>ALEATÓRIO 1933</t>
  </si>
  <si>
    <t>ALEATÓRIO 1934</t>
  </si>
  <si>
    <t>ALEATÓRIO 1935</t>
  </si>
  <si>
    <t>ALEATÓRIO 1936</t>
  </si>
  <si>
    <t>ALEATÓRIO 1937</t>
  </si>
  <si>
    <t>ALEATÓRIO 1938</t>
  </si>
  <si>
    <t>ALEATÓRIO 1939</t>
  </si>
  <si>
    <t>ALEATÓRIO 1940</t>
  </si>
  <si>
    <t>ALEATÓRIO 1941</t>
  </si>
  <si>
    <t>ALEATÓRIO 1942</t>
  </si>
  <si>
    <t>ALEATÓRIO 1943</t>
  </si>
  <si>
    <t>ALEATÓRIO 1944</t>
  </si>
  <si>
    <t>ALEATÓRIO 1945</t>
  </si>
  <si>
    <t>ALEATÓRIO 1946</t>
  </si>
  <si>
    <t>ALEATÓRIO 1947</t>
  </si>
  <si>
    <t>ALEATÓRIO 1948</t>
  </si>
  <si>
    <t>ALEATÓRIO 1949</t>
  </si>
  <si>
    <t>ALEATÓRIO 1950</t>
  </si>
  <si>
    <t>ALEATÓRIO 1951</t>
  </si>
  <si>
    <t>ALEATÓRIO 1952</t>
  </si>
  <si>
    <t>ALEATÓRIO 1953</t>
  </si>
  <si>
    <t>ALEATÓRIO 1954</t>
  </si>
  <si>
    <t>ALEATÓRIO 1955</t>
  </si>
  <si>
    <t>ALEATÓRIO 1956</t>
  </si>
  <si>
    <t>ALEATÓRIO 1957</t>
  </si>
  <si>
    <t>ALEATÓRIO 1958</t>
  </si>
  <si>
    <t>ALEATÓRIO 1959</t>
  </si>
  <si>
    <t>ALEATÓRIO 1960</t>
  </si>
  <si>
    <t>ALEATÓRIO 1961</t>
  </si>
  <si>
    <t>ALEATÓRIO 1962</t>
  </si>
  <si>
    <t>ALEATÓRIO 1963</t>
  </si>
  <si>
    <t>ALEATÓRIO 1964</t>
  </si>
  <si>
    <t>ALEATÓRIO 1965</t>
  </si>
  <si>
    <t>ALEATÓRIO 1966</t>
  </si>
  <si>
    <t>ALEATÓRIO 1967</t>
  </si>
  <si>
    <t>ALEATÓRIO 1968</t>
  </si>
  <si>
    <t>ALEATÓRIO 1969</t>
  </si>
  <si>
    <t>ALEATÓRIO 1970</t>
  </si>
  <si>
    <t>ALEATÓRIO 1971</t>
  </si>
  <si>
    <t>ALEATÓRIO 1972</t>
  </si>
  <si>
    <t>ALEATÓRIO 1973</t>
  </si>
  <si>
    <t>ALEATÓRIO 1974</t>
  </si>
  <si>
    <t>ALEATÓRIO 1975</t>
  </si>
  <si>
    <t>ALEATÓRIO 1976</t>
  </si>
  <si>
    <t>ALEATÓRIO 1977</t>
  </si>
  <si>
    <t>ALEATÓRIO 1978</t>
  </si>
  <si>
    <t>ALEATÓRIO 1979</t>
  </si>
  <si>
    <t>ALEATÓRIO 1980</t>
  </si>
  <si>
    <t>ALEATÓRIO 1981</t>
  </si>
  <si>
    <t>ALEATÓRIO 1982</t>
  </si>
  <si>
    <t>ALEATÓRIO 1983</t>
  </si>
  <si>
    <t>ALEATÓRIO 1984</t>
  </si>
  <si>
    <t>ALEATÓRIO 1985</t>
  </si>
  <si>
    <t>ALEATÓRIO 1986</t>
  </si>
  <si>
    <t>ALEATÓRIO 1987</t>
  </si>
  <si>
    <t>ALEATÓRIO 1988</t>
  </si>
  <si>
    <t>ALEATÓRIO 1989</t>
  </si>
  <si>
    <t>ALEATÓRIO 1990</t>
  </si>
  <si>
    <t>ALEATÓRIO 1991</t>
  </si>
  <si>
    <t>ALEATÓRIO 1992</t>
  </si>
  <si>
    <t>ALEATÓRIO 1993</t>
  </si>
  <si>
    <t>ALEATÓRIO 1994</t>
  </si>
  <si>
    <t>ALEATÓRIO 1995</t>
  </si>
  <si>
    <t>ALEATÓRIO 1996</t>
  </si>
  <si>
    <t>ALEATÓRIO 1997</t>
  </si>
  <si>
    <t>ALEATÓRIO 1998</t>
  </si>
  <si>
    <t>ALEATÓRIO 1999</t>
  </si>
  <si>
    <t>ALEATÓRIO 2000</t>
  </si>
  <si>
    <t>ALEATÓRIO 2001</t>
  </si>
  <si>
    <t>ALEATÓRIO 2002</t>
  </si>
  <si>
    <t>ALEATÓRIO 2003</t>
  </si>
  <si>
    <t>ALEATÓRIO 2004</t>
  </si>
  <si>
    <t>ALEATÓRIO 2005</t>
  </si>
  <si>
    <t>ALEATÓRIO 2006</t>
  </si>
  <si>
    <t>ALEATÓRIO 2007</t>
  </si>
  <si>
    <t>ALEATÓRIO 2008</t>
  </si>
  <si>
    <t>ALEATÓRIO 2009</t>
  </si>
  <si>
    <t>ALEATÓRIO 2010</t>
  </si>
  <si>
    <t>ALEATÓRIO 2011</t>
  </si>
  <si>
    <t>ALEATÓRIO 2012</t>
  </si>
  <si>
    <t>ALEATÓRIO 2013</t>
  </si>
  <si>
    <t>ALEATÓRIO 2014</t>
  </si>
  <si>
    <t>ALEATÓRIO 2015</t>
  </si>
  <si>
    <t>ALEATÓRIO 2016</t>
  </si>
  <si>
    <t>ALEATÓRIO 2017</t>
  </si>
  <si>
    <t>ALEATÓRIO 2018</t>
  </si>
  <si>
    <t>ALEATÓRIO 2019</t>
  </si>
  <si>
    <t>ALEATÓRIO 2020</t>
  </si>
  <si>
    <t>ALEATÓRIO 2021</t>
  </si>
  <si>
    <t>ALEATÓRIO 2022</t>
  </si>
  <si>
    <t>ALEATÓRIO 2023</t>
  </si>
  <si>
    <t>ALEATÓRIO 2024</t>
  </si>
  <si>
    <t>ALEATÓRIO 2025</t>
  </si>
  <si>
    <t>ALEATÓRIO 2026</t>
  </si>
  <si>
    <t>ALEATÓRIO 2027</t>
  </si>
  <si>
    <t>ALEATÓRIO 2028</t>
  </si>
  <si>
    <t>ALEATÓRIO 2029</t>
  </si>
  <si>
    <t>ALEATÓRIO 2030</t>
  </si>
  <si>
    <t>ALEATÓRIO 2031</t>
  </si>
  <si>
    <t>ALEATÓRIO 2032</t>
  </si>
  <si>
    <t>ALEATÓRIO 2033</t>
  </si>
  <si>
    <t>ALEATÓRIO 2034</t>
  </si>
  <si>
    <t>ALEATÓRIO 2035</t>
  </si>
  <si>
    <t>ALEATÓRIO 2036</t>
  </si>
  <si>
    <t>ALEATÓRIO 2037</t>
  </si>
  <si>
    <t>ALEATÓRIO 2038</t>
  </si>
  <si>
    <t>ALEATÓRIO 2039</t>
  </si>
  <si>
    <t>ALEATÓRIO 2040</t>
  </si>
  <si>
    <t>ALEATÓRIO 2041</t>
  </si>
  <si>
    <t>ALEATÓRIO 2042</t>
  </si>
  <si>
    <t>ALEATÓRIO 2043</t>
  </si>
  <si>
    <t>ALEATÓRIO 2044</t>
  </si>
  <si>
    <t>ALEATÓRIO 2045</t>
  </si>
  <si>
    <t>ALEATÓRIO 2046</t>
  </si>
  <si>
    <t>ALEATÓRIO 2047</t>
  </si>
  <si>
    <t>ALEATÓRIO 2048</t>
  </si>
  <si>
    <t>ALEATÓRIO 2049</t>
  </si>
  <si>
    <t>ALEATÓRIO 2050</t>
  </si>
  <si>
    <t>ALEATÓRIO 2051</t>
  </si>
  <si>
    <t>ALEATÓRIO 2052</t>
  </si>
  <si>
    <t>ALEATÓRIO 2053</t>
  </si>
  <si>
    <t>ALEATÓRIO 2054</t>
  </si>
  <si>
    <t>ALEATÓRIO 2055</t>
  </si>
  <si>
    <t>ALEATÓRIO 2056</t>
  </si>
  <si>
    <t>ALEATÓRIO 2057</t>
  </si>
  <si>
    <t>ALEATÓRIO 2058</t>
  </si>
  <si>
    <t>ALEATÓRIO 2059</t>
  </si>
  <si>
    <t>ALEATÓRIO 2060</t>
  </si>
  <si>
    <t>ALEATÓRIO 2061</t>
  </si>
  <si>
    <t>ALEATÓRIO 2062</t>
  </si>
  <si>
    <t>ALEATÓRIO 2063</t>
  </si>
  <si>
    <t>ALEATÓRIO 2064</t>
  </si>
  <si>
    <t>ALEATÓRIO 2065</t>
  </si>
  <si>
    <t>ALEATÓRIO 2066</t>
  </si>
  <si>
    <t>ALEATÓRIO 2067</t>
  </si>
  <si>
    <t>ALEATÓRIO 2068</t>
  </si>
  <si>
    <t>ALEATÓRIO 2069</t>
  </si>
  <si>
    <t>ALEATÓRIO 2070</t>
  </si>
  <si>
    <t>ALEATÓRIO 2071</t>
  </si>
  <si>
    <t>ALEATÓRIO 2072</t>
  </si>
  <si>
    <t>ALEATÓRIO 2073</t>
  </si>
  <si>
    <t>ALEATÓRIO 2074</t>
  </si>
  <si>
    <t>ALEATÓRIO 2075</t>
  </si>
  <si>
    <t>ALEATÓRIO 2076</t>
  </si>
  <si>
    <t>ALEATÓRIO 2077</t>
  </si>
  <si>
    <t>ALEATÓRIO 2078</t>
  </si>
  <si>
    <t>ALEATÓRIO 2079</t>
  </si>
  <si>
    <t>ALEATÓRIO 2080</t>
  </si>
  <si>
    <t>ALEATÓRIO 2081</t>
  </si>
  <si>
    <t>ALEATÓRIO 2082</t>
  </si>
  <si>
    <t>ALEATÓRIO 2083</t>
  </si>
  <si>
    <t>ALEATÓRIO 2084</t>
  </si>
  <si>
    <t>ALEATÓRIO 2085</t>
  </si>
  <si>
    <t>ALEATÓRIO 2086</t>
  </si>
  <si>
    <t>ALEATÓRIO 2087</t>
  </si>
  <si>
    <t>ALEATÓRIO 2088</t>
  </si>
  <si>
    <t>ALEATÓRIO 2089</t>
  </si>
  <si>
    <t>ALEATÓRIO 2090</t>
  </si>
  <si>
    <t>ALEATÓRIO 2091</t>
  </si>
  <si>
    <t>ALEATÓRIO 2092</t>
  </si>
  <si>
    <t>ALEATÓRIO 2093</t>
  </si>
  <si>
    <t>ALEATÓRIO 2094</t>
  </si>
  <si>
    <t>ALEATÓRIO 2095</t>
  </si>
  <si>
    <t>ALEATÓRIO 2096</t>
  </si>
  <si>
    <t>ALEATÓRIO 2097</t>
  </si>
  <si>
    <t>ALEATÓRIO 2098</t>
  </si>
  <si>
    <t>ALEATÓRIO 2099</t>
  </si>
  <si>
    <t>ALEATÓRIO 2100</t>
  </si>
  <si>
    <t>ALEATÓRIO 2101</t>
  </si>
  <si>
    <t>ALEATÓRIO 2102</t>
  </si>
  <si>
    <t>ALEATÓRIO 2103</t>
  </si>
  <si>
    <t>ALEATÓRIO 2104</t>
  </si>
  <si>
    <t>ALEATÓRIO 2105</t>
  </si>
  <si>
    <t>ALEATÓRIO 2106</t>
  </si>
  <si>
    <t>ALEATÓRIO 2107</t>
  </si>
  <si>
    <t>ALEATÓRIO 2108</t>
  </si>
  <si>
    <t>ALEATÓRIO 2109</t>
  </si>
  <si>
    <t>ALEATÓRIO 2110</t>
  </si>
  <si>
    <t>ALEATÓRIO 2111</t>
  </si>
  <si>
    <t>ALEATÓRIO 2112</t>
  </si>
  <si>
    <t>ALEATÓRIO 2113</t>
  </si>
  <si>
    <t>ALEATÓRIO 2114</t>
  </si>
  <si>
    <t>ALEATÓRIO 2115</t>
  </si>
  <si>
    <t>ALEATÓRIO 2116</t>
  </si>
  <si>
    <t>ALEATÓRIO 2117</t>
  </si>
  <si>
    <t>ALEATÓRIO 2118</t>
  </si>
  <si>
    <t>ALEATÓRIO 2119</t>
  </si>
  <si>
    <t>ALEATÓRIO 2120</t>
  </si>
  <si>
    <t>ALEATÓRIO 2121</t>
  </si>
  <si>
    <t>ALEATÓRIO 2122</t>
  </si>
  <si>
    <t>ALEATÓRIO 2123</t>
  </si>
  <si>
    <t>ALEATÓRIO 2124</t>
  </si>
  <si>
    <t>ALEATÓRIO 2125</t>
  </si>
  <si>
    <t>ALEATÓRIO 2126</t>
  </si>
  <si>
    <t>ALEATÓRIO 2127</t>
  </si>
  <si>
    <t>ALEATÓRIO 2128</t>
  </si>
  <si>
    <t>ALEATÓRIO 2129</t>
  </si>
  <si>
    <t>ALEATÓRIO 2130</t>
  </si>
  <si>
    <t>ALEATÓRIO 2131</t>
  </si>
  <si>
    <t>ALEATÓRIO 2132</t>
  </si>
  <si>
    <t>ALEATÓRIO 2133</t>
  </si>
  <si>
    <t>ALEATÓRIO 2134</t>
  </si>
  <si>
    <t>ALEATÓRIO 2135</t>
  </si>
  <si>
    <t>ALEATÓRIO 2136</t>
  </si>
  <si>
    <t>ALEATÓRIO 2137</t>
  </si>
  <si>
    <t>ALEATÓRIO 2138</t>
  </si>
  <si>
    <t>ALEATÓRIO 2139</t>
  </si>
  <si>
    <t>ALEATÓRIO 2140</t>
  </si>
  <si>
    <t>ALEATÓRIO 2141</t>
  </si>
  <si>
    <t>ALEATÓRIO 2142</t>
  </si>
  <si>
    <t>ALEATÓRIO 2143</t>
  </si>
  <si>
    <t>ALEATÓRIO 2144</t>
  </si>
  <si>
    <t>ALEATÓRIO 2145</t>
  </si>
  <si>
    <t>ALEATÓRIO 2146</t>
  </si>
  <si>
    <t>ALEATÓRIO 2147</t>
  </si>
  <si>
    <t>ALEATÓRIO 2148</t>
  </si>
  <si>
    <t>ALEATÓRIO 2149</t>
  </si>
  <si>
    <t>ALEATÓRIO 2150</t>
  </si>
  <si>
    <t>ALEATÓRIO 2151</t>
  </si>
  <si>
    <t>ALEATÓRIO 2152</t>
  </si>
  <si>
    <t>ALEATÓRIO 2153</t>
  </si>
  <si>
    <t>ALEATÓRIO 2154</t>
  </si>
  <si>
    <t>ALEATÓRIO 2155</t>
  </si>
  <si>
    <t>ALEATÓRIO 2156</t>
  </si>
  <si>
    <t>ALEATÓRIO 2157</t>
  </si>
  <si>
    <t>ALEATÓRIO 2158</t>
  </si>
  <si>
    <t>ALEATÓRIO 2159</t>
  </si>
  <si>
    <t>ALEATÓRIO 2160</t>
  </si>
  <si>
    <t>ALEATÓRIO 2161</t>
  </si>
  <si>
    <t>ALEATÓRIO 2162</t>
  </si>
  <si>
    <t>ALEATÓRIO 2163</t>
  </si>
  <si>
    <t>ALEATÓRIO 2164</t>
  </si>
  <si>
    <t>ALEATÓRIO 2165</t>
  </si>
  <si>
    <t>ALEATÓRIO 2166</t>
  </si>
  <si>
    <t>ALEATÓRIO 2167</t>
  </si>
  <si>
    <t>ALEATÓRIO 2168</t>
  </si>
  <si>
    <t>ALEATÓRIO 2169</t>
  </si>
  <si>
    <t>ALEATÓRIO 2170</t>
  </si>
  <si>
    <t>ALEATÓRIO 2171</t>
  </si>
  <si>
    <t>ALEATÓRIO 2172</t>
  </si>
  <si>
    <t>ALEATÓRIO 2173</t>
  </si>
  <si>
    <t>ALEATÓRIO 2174</t>
  </si>
  <si>
    <t>ALEATÓRIO 2175</t>
  </si>
  <si>
    <t>ALEATÓRIO 2176</t>
  </si>
  <si>
    <t>ALEATÓRIO 2177</t>
  </si>
  <si>
    <t>ALEATÓRIO 2178</t>
  </si>
  <si>
    <t>ALEATÓRIO 2179</t>
  </si>
  <si>
    <t>ALEATÓRIO 2180</t>
  </si>
  <si>
    <t>ALEATÓRIO 2181</t>
  </si>
  <si>
    <t>ALEATÓRIO 2182</t>
  </si>
  <si>
    <t>ALEATÓRIO 2183</t>
  </si>
  <si>
    <t>ALEATÓRIO 2184</t>
  </si>
  <si>
    <t>ALEATÓRIO 2185</t>
  </si>
  <si>
    <t>ALEATÓRIO 2186</t>
  </si>
  <si>
    <t>ALEATÓRIO 2187</t>
  </si>
  <si>
    <t>ALEATÓRIO 2188</t>
  </si>
  <si>
    <t>ALEATÓRIO 2189</t>
  </si>
  <si>
    <t>ALEATÓRIO 2190</t>
  </si>
  <si>
    <t>ALEATÓRIO 2191</t>
  </si>
  <si>
    <t>ALEATÓRIO 2192</t>
  </si>
  <si>
    <t>ALEATÓRIO 2193</t>
  </si>
  <si>
    <t>ALEATÓRIO 2194</t>
  </si>
  <si>
    <t>ALEATÓRIO 2195</t>
  </si>
  <si>
    <t>ALEATÓRIO 2196</t>
  </si>
  <si>
    <t>ALEATÓRIO 2197</t>
  </si>
  <si>
    <t>ALEATÓRIO 2198</t>
  </si>
  <si>
    <t>ALEATÓRIO 2199</t>
  </si>
  <si>
    <t>ALEATÓRIO 2200</t>
  </si>
  <si>
    <t>ALEATÓRIO 2201</t>
  </si>
  <si>
    <t>ALEATÓRIO 2202</t>
  </si>
  <si>
    <t>ALEATÓRIO 2203</t>
  </si>
  <si>
    <t>ALEATÓRIO 2204</t>
  </si>
  <si>
    <t>ALEATÓRIO 2205</t>
  </si>
  <si>
    <t>ALEATÓRIO 2206</t>
  </si>
  <si>
    <t>ALEATÓRIO 2207</t>
  </si>
  <si>
    <t>ALEATÓRIO 2208</t>
  </si>
  <si>
    <t>ALEATÓRIO 2209</t>
  </si>
  <si>
    <t>ALEATÓRIO 2210</t>
  </si>
  <si>
    <t>ALEATÓRIO 2211</t>
  </si>
  <si>
    <t>ALEATÓRIO 2212</t>
  </si>
  <si>
    <t>ALEATÓRIO 2213</t>
  </si>
  <si>
    <t>ALEATÓRIO 2214</t>
  </si>
  <si>
    <t>ALEATÓRIO 2215</t>
  </si>
  <si>
    <t>ALEATÓRIO 2216</t>
  </si>
  <si>
    <t>ALEATÓRIO 2217</t>
  </si>
  <si>
    <t>ALEATÓRIO 2218</t>
  </si>
  <si>
    <t>ALEATÓRIO 2219</t>
  </si>
  <si>
    <t>ALEATÓRIO 2220</t>
  </si>
  <si>
    <t>ALEATÓRIO 2221</t>
  </si>
  <si>
    <t>ALEATÓRIO 2222</t>
  </si>
  <si>
    <t>ALEATÓRIO 2223</t>
  </si>
  <si>
    <t>ALEATÓRIO 2224</t>
  </si>
  <si>
    <t>ALEATÓRIO 2225</t>
  </si>
  <si>
    <t>ALEATÓRIO 2226</t>
  </si>
  <si>
    <t>ALEATÓRIO 2227</t>
  </si>
  <si>
    <t>ALEATÓRIO 2228</t>
  </si>
  <si>
    <t>ALEATÓRIO 2229</t>
  </si>
  <si>
    <t>ALEATÓRIO 2230</t>
  </si>
  <si>
    <t>ALEATÓRIO 2231</t>
  </si>
  <si>
    <t>ALEATÓRIO 2232</t>
  </si>
  <si>
    <t>ALEATÓRIO 2233</t>
  </si>
  <si>
    <t>ALEATÓRIO 2234</t>
  </si>
  <si>
    <t>ALEATÓRIO 2235</t>
  </si>
  <si>
    <t>ALEATÓRIO 2236</t>
  </si>
  <si>
    <t>ALEATÓRIO 2237</t>
  </si>
  <si>
    <t>ALEATÓRIO 2238</t>
  </si>
  <si>
    <t>ALEATÓRIO 2239</t>
  </si>
  <si>
    <t>ALEATÓRIO 2240</t>
  </si>
  <si>
    <t>ALEATÓRIO 2241</t>
  </si>
  <si>
    <t>ALEATÓRIO 2242</t>
  </si>
  <si>
    <t>ALEATÓRIO 2243</t>
  </si>
  <si>
    <t>ALEATÓRIO 2244</t>
  </si>
  <si>
    <t>ALEATÓRIO 2245</t>
  </si>
  <si>
    <t>ALEATÓRIO 2246</t>
  </si>
  <si>
    <t>ALEATÓRIO 2247</t>
  </si>
  <si>
    <t>ALEATÓRIO 2248</t>
  </si>
  <si>
    <t>ALEATÓRIO 2249</t>
  </si>
  <si>
    <t>ALEATÓRIO 2250</t>
  </si>
  <si>
    <t>ALEATÓRIO 2251</t>
  </si>
  <si>
    <t>ALEATÓRIO 2252</t>
  </si>
  <si>
    <t>ALEATÓRIO 2253</t>
  </si>
  <si>
    <t>ALEATÓRIO 2254</t>
  </si>
  <si>
    <t>ALEATÓRIO 2255</t>
  </si>
  <si>
    <t>ALEATÓRIO 2256</t>
  </si>
  <si>
    <t>ALEATÓRIO 2257</t>
  </si>
  <si>
    <t>ALEATÓRIO 2258</t>
  </si>
  <si>
    <t>ALEATÓRIO 2259</t>
  </si>
  <si>
    <t>ALEATÓRIO 2260</t>
  </si>
  <si>
    <t>ALEATÓRIO 2261</t>
  </si>
  <si>
    <t>ALEATÓRIO 2262</t>
  </si>
  <si>
    <t>ALEATÓRIO 2263</t>
  </si>
  <si>
    <t>ALEATÓRIO 2264</t>
  </si>
  <si>
    <t>ALEATÓRIO 2265</t>
  </si>
  <si>
    <t>ALEATÓRIO 2266</t>
  </si>
  <si>
    <t>ALEATÓRIO 2267</t>
  </si>
  <si>
    <t>ALEATÓRIO 2268</t>
  </si>
  <si>
    <t>ALEATÓRIO 2269</t>
  </si>
  <si>
    <t>ALEATÓRIO 2270</t>
  </si>
  <si>
    <t>ALEATÓRIO 2271</t>
  </si>
  <si>
    <t>ALEATÓRIO 2272</t>
  </si>
  <si>
    <t>ALEATÓRIO 2273</t>
  </si>
  <si>
    <t>ALEATÓRIO 2274</t>
  </si>
  <si>
    <t>ALEATÓRIO 2275</t>
  </si>
  <si>
    <t>ALEATÓRIO 2276</t>
  </si>
  <si>
    <t>ALEATÓRIO 2277</t>
  </si>
  <si>
    <t>ALEATÓRIO 2278</t>
  </si>
  <si>
    <t>ALEATÓRIO 2279</t>
  </si>
  <si>
    <t>ALEATÓRIO 2280</t>
  </si>
  <si>
    <t>ALEATÓRIO 2281</t>
  </si>
  <si>
    <t>ALEATÓRIO 2282</t>
  </si>
  <si>
    <t>ALEATÓRIO 2283</t>
  </si>
  <si>
    <t>ALEATÓRIO 2284</t>
  </si>
  <si>
    <t>ALEATÓRIO 2285</t>
  </si>
  <si>
    <t>ALEATÓRIO 2286</t>
  </si>
  <si>
    <t>ALEATÓRIO 2287</t>
  </si>
  <si>
    <t>ALEATÓRIO 2288</t>
  </si>
  <si>
    <t>ALEATÓRIO 2289</t>
  </si>
  <si>
    <t>ALEATÓRIO 2290</t>
  </si>
  <si>
    <t>ALEATÓRIO 2291</t>
  </si>
  <si>
    <t>ALEATÓRIO 2292</t>
  </si>
  <si>
    <t>ALEATÓRIO 2293</t>
  </si>
  <si>
    <t>ALEATÓRIO 2294</t>
  </si>
  <si>
    <t>ALEATÓRIO 2295</t>
  </si>
  <si>
    <t>ALEATÓRIO 2296</t>
  </si>
  <si>
    <t>ALEATÓRIO 2297</t>
  </si>
  <si>
    <t>ALEATÓRIO 2298</t>
  </si>
  <si>
    <t>ALEATÓRIO 2299</t>
  </si>
  <si>
    <t>ALEATÓRIO 2300</t>
  </si>
  <si>
    <t>ALEATÓRIO 2301</t>
  </si>
  <si>
    <t>ALEATÓRIO 2302</t>
  </si>
  <si>
    <t>ALEATÓRIO 2303</t>
  </si>
  <si>
    <t>ALEATÓRIO 2304</t>
  </si>
  <si>
    <t>ALEATÓRIO 2305</t>
  </si>
  <si>
    <t>ALEATÓRIO 2306</t>
  </si>
  <si>
    <t>ALEATÓRIO 2307</t>
  </si>
  <si>
    <t>ALEATÓRIO 2308</t>
  </si>
  <si>
    <t>ALEATÓRIO 2309</t>
  </si>
  <si>
    <t>ALEATÓRIO 2310</t>
  </si>
  <si>
    <t>ALEATÓRIO 2311</t>
  </si>
  <si>
    <t>ALEATÓRIO 2312</t>
  </si>
  <si>
    <t>ALEATÓRIO 2313</t>
  </si>
  <si>
    <t>ALEATÓRIO 2314</t>
  </si>
  <si>
    <t>ALEATÓRIO 2315</t>
  </si>
  <si>
    <t>ALEATÓRIO 2316</t>
  </si>
  <si>
    <t>ALEATÓRIO 2317</t>
  </si>
  <si>
    <t>ALEATÓRIO 2318</t>
  </si>
  <si>
    <t>ALEATÓRIO 2319</t>
  </si>
  <si>
    <t>ALEATÓRIO 2320</t>
  </si>
  <si>
    <t>ALEATÓRIO 2321</t>
  </si>
  <si>
    <t>ALEATÓRIO 2322</t>
  </si>
  <si>
    <t>ALEATÓRIO 2323</t>
  </si>
  <si>
    <t>ALEATÓRIO 2324</t>
  </si>
  <si>
    <t>ALEATÓRIO 2325</t>
  </si>
  <si>
    <t>ALEATÓRIO 2326</t>
  </si>
  <si>
    <t>ALEATÓRIO 2327</t>
  </si>
  <si>
    <t>ALEATÓRIO 2328</t>
  </si>
  <si>
    <t>ALEATÓRIO 2329</t>
  </si>
  <si>
    <t>ALEATÓRIO 2330</t>
  </si>
  <si>
    <t>ALEATÓRIO 2331</t>
  </si>
  <si>
    <t>ALEATÓRIO 2332</t>
  </si>
  <si>
    <t>ALEATÓRIO 2333</t>
  </si>
  <si>
    <t>ALEATÓRIO 2334</t>
  </si>
  <si>
    <t>ALEATÓRIO 2335</t>
  </si>
  <si>
    <t>ALEATÓRIO 2336</t>
  </si>
  <si>
    <t>ALEATÓRIO 2337</t>
  </si>
  <si>
    <t>ALEATÓRIO 2338</t>
  </si>
  <si>
    <t>ALEATÓRIO 2339</t>
  </si>
  <si>
    <t>ALEATÓRIO 2340</t>
  </si>
  <si>
    <t>ALEATÓRIO 2341</t>
  </si>
  <si>
    <t>ALEATÓRIO 2342</t>
  </si>
  <si>
    <t>ALEATÓRIO 2343</t>
  </si>
  <si>
    <t>ALEATÓRIO 2344</t>
  </si>
  <si>
    <t>ALEATÓRIO 2345</t>
  </si>
  <si>
    <t>ALEATÓRIO 2346</t>
  </si>
  <si>
    <t>ALEATÓRIO 2347</t>
  </si>
  <si>
    <t>ALEATÓRIO 2348</t>
  </si>
  <si>
    <t>ALEATÓRIO 2349</t>
  </si>
  <si>
    <t>ALEATÓRIO 2350</t>
  </si>
  <si>
    <t>ALEATÓRIO 2351</t>
  </si>
  <si>
    <t>ALEATÓRIO 2352</t>
  </si>
  <si>
    <t>ALEATÓRIO 2353</t>
  </si>
  <si>
    <t>ALEATÓRIO 2354</t>
  </si>
  <si>
    <t>ALEATÓRIO 2355</t>
  </si>
  <si>
    <t>ALEATÓRIO 2356</t>
  </si>
  <si>
    <t>ALEATÓRIO 2357</t>
  </si>
  <si>
    <t>ALEATÓRIO 2358</t>
  </si>
  <si>
    <t>ALEATÓRIO 2359</t>
  </si>
  <si>
    <t>ALEATÓRIO 2360</t>
  </si>
  <si>
    <t>ALEATÓRIO 2361</t>
  </si>
  <si>
    <t>ALEATÓRIO 2362</t>
  </si>
  <si>
    <t>ALEATÓRIO 2363</t>
  </si>
  <si>
    <t>ALEATÓRIO 2364</t>
  </si>
  <si>
    <t>ALEATÓRIO 2365</t>
  </si>
  <si>
    <t>ALEATÓRIO 2366</t>
  </si>
  <si>
    <t>ALEATÓRIO 2367</t>
  </si>
  <si>
    <t>ALEATÓRIO 2368</t>
  </si>
  <si>
    <t>ALEATÓRIO 2369</t>
  </si>
  <si>
    <t>ALEATÓRIO 2370</t>
  </si>
  <si>
    <t>ALEATÓRIO 2371</t>
  </si>
  <si>
    <t>ALEATÓRIO 2372</t>
  </si>
  <si>
    <t>ALEATÓRIO 2373</t>
  </si>
  <si>
    <t>ALEATÓRIO 2374</t>
  </si>
  <si>
    <t>ALEATÓRIO 2375</t>
  </si>
  <si>
    <t>ALEATÓRIO 2376</t>
  </si>
  <si>
    <t>ALEATÓRIO 2377</t>
  </si>
  <si>
    <t>ALEATÓRIO 2378</t>
  </si>
  <si>
    <t>ALEATÓRIO 2379</t>
  </si>
  <si>
    <t>ALEATÓRIO 2380</t>
  </si>
  <si>
    <t>ALEATÓRIO 2381</t>
  </si>
  <si>
    <t>ALEATÓRIO 2382</t>
  </si>
  <si>
    <t>ALEATÓRIO 2383</t>
  </si>
  <si>
    <t>ALEATÓRIO 2384</t>
  </si>
  <si>
    <t>ALEATÓRIO 2385</t>
  </si>
  <si>
    <t>ALEATÓRIO 2386</t>
  </si>
  <si>
    <t>ALEATÓRIO 2387</t>
  </si>
  <si>
    <t>ALEATÓRIO 2388</t>
  </si>
  <si>
    <t>ALEATÓRIO 2389</t>
  </si>
  <si>
    <t>ALEATÓRIO 2390</t>
  </si>
  <si>
    <t>ALEATÓRIO 2391</t>
  </si>
  <si>
    <t>ALEATÓRIO 2392</t>
  </si>
  <si>
    <t>ALEATÓRIO 2393</t>
  </si>
  <si>
    <t>ALEATÓRIO 2394</t>
  </si>
  <si>
    <t>ALEATÓRIO 2395</t>
  </si>
  <si>
    <t>ALEATÓRIO 2396</t>
  </si>
  <si>
    <t>ALEATÓRIO 2397</t>
  </si>
  <si>
    <t>ALEATÓRIO 2398</t>
  </si>
  <si>
    <t>ALEATÓRIO 2399</t>
  </si>
  <si>
    <t>ALEATÓRIO 2400</t>
  </si>
  <si>
    <t>ALEATÓRIO 2401</t>
  </si>
  <si>
    <t>ALEATÓRIO 2402</t>
  </si>
  <si>
    <t>ALEATÓRIO 2403</t>
  </si>
  <si>
    <t>ALEATÓRIO 2404</t>
  </si>
  <si>
    <t>ALEATÓRIO 2405</t>
  </si>
  <si>
    <t>ALEATÓRIO 2406</t>
  </si>
  <si>
    <t>ALEATÓRIO 2407</t>
  </si>
  <si>
    <t>ALEATÓRIO 2408</t>
  </si>
  <si>
    <t>ALEATÓRIO 2409</t>
  </si>
  <si>
    <t>ALEATÓRIO 2410</t>
  </si>
  <si>
    <t>ALEATÓRIO 2411</t>
  </si>
  <si>
    <t>ALEATÓRIO 2412</t>
  </si>
  <si>
    <t>ALEATÓRIO 2413</t>
  </si>
  <si>
    <t>ALEATÓRIO 2414</t>
  </si>
  <si>
    <t>ALEATÓRIO 2415</t>
  </si>
  <si>
    <t>ALEATÓRIO 2416</t>
  </si>
  <si>
    <t>ALEATÓRIO 2417</t>
  </si>
  <si>
    <t>ALEATÓRIO 2418</t>
  </si>
  <si>
    <t>ALEATÓRIO 2419</t>
  </si>
  <si>
    <t>ALEATÓRIO 2420</t>
  </si>
  <si>
    <t>ALEATÓRIO 2421</t>
  </si>
  <si>
    <t>ALEATÓRIO 2422</t>
  </si>
  <si>
    <t>ALEATÓRIO 2423</t>
  </si>
  <si>
    <t>ALEATÓRIO 2424</t>
  </si>
  <si>
    <t>ALEATÓRIO 2425</t>
  </si>
  <si>
    <t>ALEATÓRIO 2426</t>
  </si>
  <si>
    <t>ALEATÓRIO 2427</t>
  </si>
  <si>
    <t>ALEATÓRIO 2428</t>
  </si>
  <si>
    <t>ALEATÓRIO 2429</t>
  </si>
  <si>
    <t>ALEATÓRIO 2430</t>
  </si>
  <si>
    <t>ALEATÓRIO 2431</t>
  </si>
  <si>
    <t>ALEATÓRIO 2432</t>
  </si>
  <si>
    <t>ALEATÓRIO 2433</t>
  </si>
  <si>
    <t>ALEATÓRIO 2434</t>
  </si>
  <si>
    <t>ALEATÓRIO 2435</t>
  </si>
  <si>
    <t>ALEATÓRIO 2436</t>
  </si>
  <si>
    <t>ALEATÓRIO 2437</t>
  </si>
  <si>
    <t>ALEATÓRIO 2438</t>
  </si>
  <si>
    <t>ALEATÓRIO 2439</t>
  </si>
  <si>
    <t>ALEATÓRIO 2440</t>
  </si>
  <si>
    <t>ALEATÓRIO 2441</t>
  </si>
  <si>
    <t>ALEATÓRIO 2442</t>
  </si>
  <si>
    <t>ALEATÓRIO 2443</t>
  </si>
  <si>
    <t>ALEATÓRIO 2444</t>
  </si>
  <si>
    <t>ALEATÓRIO 2445</t>
  </si>
  <si>
    <t>ALEATÓRIO 2446</t>
  </si>
  <si>
    <t>ALEATÓRIO 2447</t>
  </si>
  <si>
    <t>ALEATÓRIO 2448</t>
  </si>
  <si>
    <t>ALEATÓRIO 2449</t>
  </si>
  <si>
    <t>ALEATÓRIO 2450</t>
  </si>
  <si>
    <t>ALEATÓRIO 2451</t>
  </si>
  <si>
    <t>ALEATÓRIO 2452</t>
  </si>
  <si>
    <t>ALEATÓRIO 2453</t>
  </si>
  <si>
    <t>ALEATÓRIO 2454</t>
  </si>
  <si>
    <t>ALEATÓRIO 2455</t>
  </si>
  <si>
    <t>ALEATÓRIO 2456</t>
  </si>
  <si>
    <t>ALEATÓRIO 2457</t>
  </si>
  <si>
    <t>ALEATÓRIO 2458</t>
  </si>
  <si>
    <t>ALEATÓRIO 2459</t>
  </si>
  <si>
    <t>ALEATÓRIO 2460</t>
  </si>
  <si>
    <t>ALEATÓRIO 2461</t>
  </si>
  <si>
    <t>ALEATÓRIO 2462</t>
  </si>
  <si>
    <t>ALEATÓRIO 2463</t>
  </si>
  <si>
    <t>ALEATÓRIO 2464</t>
  </si>
  <si>
    <t>ALEATÓRIO 2465</t>
  </si>
  <si>
    <t>ALEATÓRIO 2466</t>
  </si>
  <si>
    <t>ALEATÓRIO 2467</t>
  </si>
  <si>
    <t>ALEATÓRIO 2468</t>
  </si>
  <si>
    <t>ALEATÓRIO 2469</t>
  </si>
  <si>
    <t>ALEATÓRIO 2470</t>
  </si>
  <si>
    <t>ALEATÓRIO 2471</t>
  </si>
  <si>
    <t>ALEATÓRIO 2472</t>
  </si>
  <si>
    <t>ALEATÓRIO 2473</t>
  </si>
  <si>
    <t>ALEATÓRIO 2474</t>
  </si>
  <si>
    <t>ALEATÓRIO 2475</t>
  </si>
  <si>
    <t>ALEATÓRIO 2476</t>
  </si>
  <si>
    <t>ALEATÓRIO 2477</t>
  </si>
  <si>
    <t>ALEATÓRIO 2478</t>
  </si>
  <si>
    <t>ALEATÓRIO 2479</t>
  </si>
  <si>
    <t>ALEATÓRIO 2480</t>
  </si>
  <si>
    <t>ALEATÓRIO 2481</t>
  </si>
  <si>
    <t>ALEATÓRIO 2482</t>
  </si>
  <si>
    <t>ALEATÓRIO 2483</t>
  </si>
  <si>
    <t>ALEATÓRIO 2484</t>
  </si>
  <si>
    <t>ALEATÓRIO 2485</t>
  </si>
  <si>
    <t>ALEATÓRIO 2486</t>
  </si>
  <si>
    <t>ALEATÓRIO 2487</t>
  </si>
  <si>
    <t>ALEATÓRIO 2488</t>
  </si>
  <si>
    <t>ALEATÓRIO 2489</t>
  </si>
  <si>
    <t>ALEATÓRIO 2490</t>
  </si>
  <si>
    <t>ALEATÓRIO 2491</t>
  </si>
  <si>
    <t>ALEATÓRIO 2492</t>
  </si>
  <si>
    <t>ALEATÓRIO 2493</t>
  </si>
  <si>
    <t>ALEATÓRIO 2494</t>
  </si>
  <si>
    <t>ALEATÓRIO 2495</t>
  </si>
  <si>
    <t>ALEATÓRIO 2496</t>
  </si>
  <si>
    <t>ALEATÓRIO 2497</t>
  </si>
  <si>
    <t>ALEATÓRIO 2498</t>
  </si>
  <si>
    <t>ALEATÓRIO 2499</t>
  </si>
  <si>
    <t>ALEATÓRIO 2500</t>
  </si>
  <si>
    <t>ALEATÓRIO 2501</t>
  </si>
  <si>
    <t>ALEATÓRIO 2502</t>
  </si>
  <si>
    <t>ALEATÓRIO 2503</t>
  </si>
  <si>
    <t>ALEATÓRIO 2504</t>
  </si>
  <si>
    <t>ALEATÓRIO 2505</t>
  </si>
  <si>
    <t>ALEATÓRIO 2506</t>
  </si>
  <si>
    <t>ALEATÓRIO 2507</t>
  </si>
  <si>
    <t>ALEATÓRIO 2508</t>
  </si>
  <si>
    <t>ALEATÓRIO 2509</t>
  </si>
  <si>
    <t>ALEATÓRIO 2510</t>
  </si>
  <si>
    <t>ALEATÓRIO 2511</t>
  </si>
  <si>
    <t>ALEATÓRIO 2512</t>
  </si>
  <si>
    <t>ALEATÓRIO 2513</t>
  </si>
  <si>
    <t>ALEATÓRIO 2514</t>
  </si>
  <si>
    <t>ALEATÓRIO 2515</t>
  </si>
  <si>
    <t>ALEATÓRIO 2516</t>
  </si>
  <si>
    <t>ALEATÓRIO 2517</t>
  </si>
  <si>
    <t>ALEATÓRIO 2518</t>
  </si>
  <si>
    <t>ALEATÓRIO 2519</t>
  </si>
  <si>
    <t>ALEATÓRIO 2520</t>
  </si>
  <si>
    <t>ALEATÓRIO 2521</t>
  </si>
  <si>
    <t>ALEATÓRIO 2522</t>
  </si>
  <si>
    <t>ALEATÓRIO 2523</t>
  </si>
  <si>
    <t>ALEATÓRIO 2524</t>
  </si>
  <si>
    <t>ALEATÓRIO 2525</t>
  </si>
  <si>
    <t>ALEATÓRIO 2526</t>
  </si>
  <si>
    <t>ALEATÓRIO 2527</t>
  </si>
  <si>
    <t>ALEATÓRIO 2528</t>
  </si>
  <si>
    <t>ALEATÓRIO 2529</t>
  </si>
  <si>
    <t>ALEATÓRIO 2530</t>
  </si>
  <si>
    <t>ALEATÓRIO 2531</t>
  </si>
  <si>
    <t>ALEATÓRIO 2532</t>
  </si>
  <si>
    <t>ALEATÓRIO 2533</t>
  </si>
  <si>
    <t>ALEATÓRIO 2534</t>
  </si>
  <si>
    <t>ALEATÓRIO 2535</t>
  </si>
  <si>
    <t>ALEATÓRIO 2536</t>
  </si>
  <si>
    <t>ALEATÓRIO 2537</t>
  </si>
  <si>
    <t>ALEATÓRIO 2538</t>
  </si>
  <si>
    <t>ALEATÓRIO 2539</t>
  </si>
  <si>
    <t>ALEATÓRIO 2540</t>
  </si>
  <si>
    <t>ALEATÓRIO 2541</t>
  </si>
  <si>
    <t>ALEATÓRIO 2542</t>
  </si>
  <si>
    <t>ALEATÓRIO 2543</t>
  </si>
  <si>
    <t>ALEATÓRIO 2544</t>
  </si>
  <si>
    <t>ALEATÓRIO 2545</t>
  </si>
  <si>
    <t>ALEATÓRIO 2546</t>
  </si>
  <si>
    <t>ALEATÓRIO 2547</t>
  </si>
  <si>
    <t>ALEATÓRIO 2548</t>
  </si>
  <si>
    <t>ALEATÓRIO 2549</t>
  </si>
  <si>
    <t>ALEATÓRIO 2550</t>
  </si>
  <si>
    <t>ALEATÓRIO 2551</t>
  </si>
  <si>
    <t>ALEATÓRIO 2552</t>
  </si>
  <si>
    <t>ALEATÓRIO 2553</t>
  </si>
  <si>
    <t>ALEATÓRIO 2554</t>
  </si>
  <si>
    <t>ALEATÓRIO 2555</t>
  </si>
  <si>
    <t>ALEATÓRIO 2556</t>
  </si>
  <si>
    <t>ALEATÓRIO 2557</t>
  </si>
  <si>
    <t>ALEATÓRIO 2558</t>
  </si>
  <si>
    <t>ALEATÓRIO 2559</t>
  </si>
  <si>
    <t>ALEATÓRIO 2560</t>
  </si>
  <si>
    <t>ALEATÓRIO 2561</t>
  </si>
  <si>
    <t>ALEATÓRIO 2562</t>
  </si>
  <si>
    <t>ALEATÓRIO 2563</t>
  </si>
  <si>
    <t>ALEATÓRIO 2564</t>
  </si>
  <si>
    <t>ALEATÓRIO 2565</t>
  </si>
  <si>
    <t>ALEATÓRIO 2566</t>
  </si>
  <si>
    <t>ALEATÓRIO 2567</t>
  </si>
  <si>
    <t>ALEATÓRIO 2568</t>
  </si>
  <si>
    <t>ALEATÓRIO 2569</t>
  </si>
  <si>
    <t>ALEATÓRIO 2570</t>
  </si>
  <si>
    <t>ALEATÓRIO 2571</t>
  </si>
  <si>
    <t>ALEATÓRIO 2572</t>
  </si>
  <si>
    <t>ALEATÓRIO 2573</t>
  </si>
  <si>
    <t>ALEATÓRIO 2574</t>
  </si>
  <si>
    <t>ALEATÓRIO 2575</t>
  </si>
  <si>
    <t>ALEATÓRIO 2576</t>
  </si>
  <si>
    <t>ALEATÓRIO 2577</t>
  </si>
  <si>
    <t>ALEATÓRIO 2578</t>
  </si>
  <si>
    <t>ALEATÓRIO 2579</t>
  </si>
  <si>
    <t>ALEATÓRIO 2580</t>
  </si>
  <si>
    <t>ALEATÓRIO 2581</t>
  </si>
  <si>
    <t>ALEATÓRIO 2582</t>
  </si>
  <si>
    <t>ALEATÓRIO 2583</t>
  </si>
  <si>
    <t>ALEATÓRIO 2584</t>
  </si>
  <si>
    <t>ALEATÓRIO 2585</t>
  </si>
  <si>
    <t>ALEATÓRIO 2586</t>
  </si>
  <si>
    <t>ALEATÓRIO 2587</t>
  </si>
  <si>
    <t>ALEATÓRIO 2588</t>
  </si>
  <si>
    <t>ALEATÓRIO 2589</t>
  </si>
  <si>
    <t>ALEATÓRIO 2590</t>
  </si>
  <si>
    <t>ALEATÓRIO 2591</t>
  </si>
  <si>
    <t>ALEATÓRIO 2592</t>
  </si>
  <si>
    <t>ALEATÓRIO 2593</t>
  </si>
  <si>
    <t>ALEATÓRIO 2594</t>
  </si>
  <si>
    <t>ALEATÓRIO 2595</t>
  </si>
  <si>
    <t>ALEATÓRIO 2596</t>
  </si>
  <si>
    <t>ALEATÓRIO 2597</t>
  </si>
  <si>
    <t>ALEATÓRIO 2598</t>
  </si>
  <si>
    <t>ALEATÓRIO 2599</t>
  </si>
  <si>
    <t>ALEATÓRIO 2600</t>
  </si>
  <si>
    <t>ALEATÓRIO 2601</t>
  </si>
  <si>
    <t>ALEATÓRIO 2602</t>
  </si>
  <si>
    <t>ALEATÓRIO 2603</t>
  </si>
  <si>
    <t>ALEATÓRIO 2604</t>
  </si>
  <si>
    <t>ALEATÓRIO 2605</t>
  </si>
  <si>
    <t>ALEATÓRIO 2606</t>
  </si>
  <si>
    <t>ALEATÓRIO 2607</t>
  </si>
  <si>
    <t>ALEATÓRIO 2608</t>
  </si>
  <si>
    <t>ALEATÓRIO 2609</t>
  </si>
  <si>
    <t>ALEATÓRIO 2610</t>
  </si>
  <si>
    <t>ALEATÓRIO 2611</t>
  </si>
  <si>
    <t>ALEATÓRIO 2612</t>
  </si>
  <si>
    <t>ALEATÓRIO 2613</t>
  </si>
  <si>
    <t>ALEATÓRIO 2614</t>
  </si>
  <si>
    <t>ALEATÓRIO 2615</t>
  </si>
  <si>
    <t>ALEATÓRIO 2616</t>
  </si>
  <si>
    <t>ALEATÓRIO 2617</t>
  </si>
  <si>
    <t>ALEATÓRIO 2618</t>
  </si>
  <si>
    <t>ALEATÓRIO 2619</t>
  </si>
  <si>
    <t>ALEATÓRIO 2620</t>
  </si>
  <si>
    <t>ALEATÓRIO 2621</t>
  </si>
  <si>
    <t>ALEATÓRIO 2622</t>
  </si>
  <si>
    <t>ALEATÓRIO 2623</t>
  </si>
  <si>
    <t>ALEATÓRIO 2624</t>
  </si>
  <si>
    <t>ALEATÓRIO 2625</t>
  </si>
  <si>
    <t>ALEATÓRIO 2626</t>
  </si>
  <si>
    <t>ALEATÓRIO 2627</t>
  </si>
  <si>
    <t>ALEATÓRIO 2628</t>
  </si>
  <si>
    <t>ALEATÓRIO 2629</t>
  </si>
  <si>
    <t>ALEATÓRIO 2630</t>
  </si>
  <si>
    <t>ALEATÓRIO 2631</t>
  </si>
  <si>
    <t>ALEATÓRIO 2632</t>
  </si>
  <si>
    <t>ALEATÓRIO 2633</t>
  </si>
  <si>
    <t>ALEATÓRIO 2634</t>
  </si>
  <si>
    <t>ALEATÓRIO 2635</t>
  </si>
  <si>
    <t>ALEATÓRIO 2636</t>
  </si>
  <si>
    <t>ALEATÓRIO 2637</t>
  </si>
  <si>
    <t>ALEATÓRIO 2638</t>
  </si>
  <si>
    <t>ALEATÓRIO 2639</t>
  </si>
  <si>
    <t>ALEATÓRIO 2640</t>
  </si>
  <si>
    <t>ALEATÓRIO 2641</t>
  </si>
  <si>
    <t>ALEATÓRIO 2642</t>
  </si>
  <si>
    <t>ALEATÓRIO 2643</t>
  </si>
  <si>
    <t>ALEATÓRIO 2644</t>
  </si>
  <si>
    <t>ALEATÓRIO 2645</t>
  </si>
  <si>
    <t>ALEATÓRIO 2646</t>
  </si>
  <si>
    <t>ALEATÓRIO 2647</t>
  </si>
  <si>
    <t>ALEATÓRIO 2648</t>
  </si>
  <si>
    <t>ALEATÓRIO 2649</t>
  </si>
  <si>
    <t>ALEATÓRIO 2650</t>
  </si>
  <si>
    <t>ALEATÓRIO 2651</t>
  </si>
  <si>
    <t>ALEATÓRIO 2652</t>
  </si>
  <si>
    <t>ALEATÓRIO 2653</t>
  </si>
  <si>
    <t>ALEATÓRIO 2654</t>
  </si>
  <si>
    <t>ALEATÓRIO 2655</t>
  </si>
  <si>
    <t>ALEATÓRIO 2656</t>
  </si>
  <si>
    <t>ALEATÓRIO 2657</t>
  </si>
  <si>
    <t>ALEATÓRIO 2658</t>
  </si>
  <si>
    <t>ALEATÓRIO 2659</t>
  </si>
  <si>
    <t>ALEATÓRIO 2660</t>
  </si>
  <si>
    <t>ALEATÓRIO 2661</t>
  </si>
  <si>
    <t>ALEATÓRIO 2662</t>
  </si>
  <si>
    <t>ALEATÓRIO 2663</t>
  </si>
  <si>
    <t>ALEATÓRIO 2664</t>
  </si>
  <si>
    <t>ALEATÓRIO 2665</t>
  </si>
  <si>
    <t>ALEATÓRIO 2666</t>
  </si>
  <si>
    <t>ALEATÓRIO 2667</t>
  </si>
  <si>
    <t>ALEATÓRIO 2668</t>
  </si>
  <si>
    <t>ALEATÓRIO 2669</t>
  </si>
  <si>
    <t>ALEATÓRIO 2670</t>
  </si>
  <si>
    <t>ALEATÓRIO 2671</t>
  </si>
  <si>
    <t>ALEATÓRIO 2672</t>
  </si>
  <si>
    <t>ALEATÓRIO 2673</t>
  </si>
  <si>
    <t>ALEATÓRIO 2674</t>
  </si>
  <si>
    <t>ALEATÓRIO 2675</t>
  </si>
  <si>
    <t>ALEATÓRIO 2676</t>
  </si>
  <si>
    <t>ALEATÓRIO 2677</t>
  </si>
  <si>
    <t>ALEATÓRIO 2678</t>
  </si>
  <si>
    <t>ALEATÓRIO 2679</t>
  </si>
  <si>
    <t>ALEATÓRIO 2680</t>
  </si>
  <si>
    <t>ALEATÓRIO 2681</t>
  </si>
  <si>
    <t>ALEATÓRIO 2682</t>
  </si>
  <si>
    <t>ALEATÓRIO 2683</t>
  </si>
  <si>
    <t>ALEATÓRIO 2684</t>
  </si>
  <si>
    <t>ALEATÓRIO 2685</t>
  </si>
  <si>
    <t>ALEATÓRIO 2686</t>
  </si>
  <si>
    <t>ALEATÓRIO 2687</t>
  </si>
  <si>
    <t>ALEATÓRIO 2688</t>
  </si>
  <si>
    <t>ALEATÓRIO 2689</t>
  </si>
  <si>
    <t>ALEATÓRIO 2690</t>
  </si>
  <si>
    <t>ALEATÓRIO 2691</t>
  </si>
  <si>
    <t>ALEATÓRIO 2692</t>
  </si>
  <si>
    <t>ALEATÓRIO 2693</t>
  </si>
  <si>
    <t>ALEATÓRIO 2694</t>
  </si>
  <si>
    <t>ALEATÓRIO 2695</t>
  </si>
  <si>
    <t>ALEATÓRIO 2696</t>
  </si>
  <si>
    <t>ALEATÓRIO 2697</t>
  </si>
  <si>
    <t>ALEATÓRIO 2698</t>
  </si>
  <si>
    <t>ALEATÓRIO 2699</t>
  </si>
  <si>
    <t>ALEATÓRIO 2700</t>
  </si>
  <si>
    <t>ALEATÓRIO 2701</t>
  </si>
  <si>
    <t>ALEATÓRIO 2702</t>
  </si>
  <si>
    <t>ALEATÓRIO 2703</t>
  </si>
  <si>
    <t>ALEATÓRIO 2704</t>
  </si>
  <si>
    <t>ALEATÓRIO 2705</t>
  </si>
  <si>
    <t>ALEATÓRIO 2706</t>
  </si>
  <si>
    <t>ALEATÓRIO 2707</t>
  </si>
  <si>
    <t>ALEATÓRIO 2708</t>
  </si>
  <si>
    <t>ALEATÓRIO 2709</t>
  </si>
  <si>
    <t>ALEATÓRIO 2710</t>
  </si>
  <si>
    <t>ALEATÓRIO 2711</t>
  </si>
  <si>
    <t>ALEATÓRIO 2712</t>
  </si>
  <si>
    <t>ALEATÓRIO 2713</t>
  </si>
  <si>
    <t>ALEATÓRIO 2714</t>
  </si>
  <si>
    <t>ALEATÓRIO 2715</t>
  </si>
  <si>
    <t>ALEATÓRIO 2716</t>
  </si>
  <si>
    <t>ALEATÓRIO 2717</t>
  </si>
  <si>
    <t>ALEATÓRIO 2718</t>
  </si>
  <si>
    <t>ALEATÓRIO 2719</t>
  </si>
  <si>
    <t>ALEATÓRIO 2720</t>
  </si>
  <si>
    <t>ALEATÓRIO 2721</t>
  </si>
  <si>
    <t>ALEATÓRIO 2722</t>
  </si>
  <si>
    <t>ALEATÓRIO 2723</t>
  </si>
  <si>
    <t>ALEATÓRIO 2724</t>
  </si>
  <si>
    <t>ALEATÓRIO 2725</t>
  </si>
  <si>
    <t>ALEATÓRIO 2726</t>
  </si>
  <si>
    <t>ALEATÓRIO 2727</t>
  </si>
  <si>
    <t>ALEATÓRIO 2728</t>
  </si>
  <si>
    <t>ALEATÓRIO 2729</t>
  </si>
  <si>
    <t>ALEATÓRIO 2730</t>
  </si>
  <si>
    <t>ALEATÓRIO 2731</t>
  </si>
  <si>
    <t>ALEATÓRIO 2732</t>
  </si>
  <si>
    <t>ALEATÓRIO 2733</t>
  </si>
  <si>
    <t>ALEATÓRIO 2734</t>
  </si>
  <si>
    <t>ALEATÓRIO 2735</t>
  </si>
  <si>
    <t>ALEATÓRIO 2736</t>
  </si>
  <si>
    <t>ALEATÓRIO 2737</t>
  </si>
  <si>
    <t>ALEATÓRIO 2738</t>
  </si>
  <si>
    <t>ALEATÓRIO 2739</t>
  </si>
  <si>
    <t>ALEATÓRIO 2740</t>
  </si>
  <si>
    <t>ALEATÓRIO 2741</t>
  </si>
  <si>
    <t>ALEATÓRIO 2742</t>
  </si>
  <si>
    <t>ALEATÓRIO 2743</t>
  </si>
  <si>
    <t>ALEATÓRIO 2744</t>
  </si>
  <si>
    <t>ALEATÓRIO 2745</t>
  </si>
  <si>
    <t>ALEATÓRIO 2746</t>
  </si>
  <si>
    <t>ALEATÓRIO 2747</t>
  </si>
  <si>
    <t>ALEATÓRIO 2748</t>
  </si>
  <si>
    <t>ALEATÓRIO 2749</t>
  </si>
  <si>
    <t>ALEATÓRIO 2750</t>
  </si>
  <si>
    <t>ALEATÓRIO 2751</t>
  </si>
  <si>
    <t>ALEATÓRIO 2752</t>
  </si>
  <si>
    <t>ALEATÓRIO 2753</t>
  </si>
  <si>
    <t>ALEATÓRIO 2754</t>
  </si>
  <si>
    <t>ALEATÓRIO 2755</t>
  </si>
  <si>
    <t>ALEATÓRIO 2756</t>
  </si>
  <si>
    <t>ALEATÓRIO 2757</t>
  </si>
  <si>
    <t>ALEATÓRIO 2758</t>
  </si>
  <si>
    <t>ALEATÓRIO 2759</t>
  </si>
  <si>
    <t>ALEATÓRIO 2760</t>
  </si>
  <si>
    <t>ALEATÓRIO 2761</t>
  </si>
  <si>
    <t>ALEATÓRIO 2762</t>
  </si>
  <si>
    <t>ALEATÓRIO 2763</t>
  </si>
  <si>
    <t>ALEATÓRIO 2764</t>
  </si>
  <si>
    <t>ALEATÓRIO 2765</t>
  </si>
  <si>
    <t>ALEATÓRIO 2766</t>
  </si>
  <si>
    <t>ALEATÓRIO 2767</t>
  </si>
  <si>
    <t>ALEATÓRIO 2768</t>
  </si>
  <si>
    <t>ALEATÓRIO 2769</t>
  </si>
  <si>
    <t>ALEATÓRIO 2770</t>
  </si>
  <si>
    <t>ALEATÓRIO 2771</t>
  </si>
  <si>
    <t>ALEATÓRIO 2772</t>
  </si>
  <si>
    <t>ALEATÓRIO 2773</t>
  </si>
  <si>
    <t>ALEATÓRIO 2774</t>
  </si>
  <si>
    <t>ALEATÓRIO 2775</t>
  </si>
  <si>
    <t>ALEATÓRIO 2776</t>
  </si>
  <si>
    <t>ALEATÓRIO 2777</t>
  </si>
  <si>
    <t>ALEATÓRIO 2778</t>
  </si>
  <si>
    <t>ALEATÓRIO 2779</t>
  </si>
  <si>
    <t>ALEATÓRIO 2780</t>
  </si>
  <si>
    <t>ALEATÓRIO 2781</t>
  </si>
  <si>
    <t>ALEATÓRIO 2782</t>
  </si>
  <si>
    <t>ALEATÓRIO 2783</t>
  </si>
  <si>
    <t>ALEATÓRIO 2784</t>
  </si>
  <si>
    <t>ALEATÓRIO 2785</t>
  </si>
  <si>
    <t>ALEATÓRIO 2786</t>
  </si>
  <si>
    <t>ALEATÓRIO 2787</t>
  </si>
  <si>
    <t>ALEATÓRIO 2788</t>
  </si>
  <si>
    <t>ALEATÓRIO 2789</t>
  </si>
  <si>
    <t>ALEATÓRIO 2790</t>
  </si>
  <si>
    <t>ALEATÓRIO 2791</t>
  </si>
  <si>
    <t>ALEATÓRIO 2792</t>
  </si>
  <si>
    <t>ALEATÓRIO 2793</t>
  </si>
  <si>
    <t>ALEATÓRIO 2794</t>
  </si>
  <si>
    <t>ALEATÓRIO 2795</t>
  </si>
  <si>
    <t>ALEATÓRIO 2796</t>
  </si>
  <si>
    <t>ALEATÓRIO 2797</t>
  </si>
  <si>
    <t>ALEATÓRIO 2798</t>
  </si>
  <si>
    <t>ALEATÓRIO 2799</t>
  </si>
  <si>
    <t>ALEATÓRIO 2800</t>
  </si>
  <si>
    <t>ALEATÓRIO 2801</t>
  </si>
  <si>
    <t>ALEATÓRIO 2802</t>
  </si>
  <si>
    <t>ALEATÓRIO 2803</t>
  </si>
  <si>
    <t>ALEATÓRIO 2804</t>
  </si>
  <si>
    <t>ALEATÓRIO 2805</t>
  </si>
  <si>
    <t>ALEATÓRIO 2806</t>
  </si>
  <si>
    <t>ALEATÓRIO 2807</t>
  </si>
  <si>
    <t>ALEATÓRIO 2808</t>
  </si>
  <si>
    <t>ALEATÓRIO 2809</t>
  </si>
  <si>
    <t>ALEATÓRIO 2810</t>
  </si>
  <si>
    <t>ALEATÓRIO 2811</t>
  </si>
  <si>
    <t>ALEATÓRIO 2812</t>
  </si>
  <si>
    <t>ALEATÓRIO 2813</t>
  </si>
  <si>
    <t>ALEATÓRIO 2814</t>
  </si>
  <si>
    <t>ALEATÓRIO 2815</t>
  </si>
  <si>
    <t>ALEATÓRIO 2816</t>
  </si>
  <si>
    <t>ALEATÓRIO 2817</t>
  </si>
  <si>
    <t>ALEATÓRIO 2818</t>
  </si>
  <si>
    <t>ALEATÓRIO 2819</t>
  </si>
  <si>
    <t>ALEATÓRIO 2820</t>
  </si>
  <si>
    <t>ALEATÓRIO 2821</t>
  </si>
  <si>
    <t>ALEATÓRIO 2822</t>
  </si>
  <si>
    <t>ALEATÓRIO 2823</t>
  </si>
  <si>
    <t>ALEATÓRIO 2824</t>
  </si>
  <si>
    <t>ALEATÓRIO 2825</t>
  </si>
  <si>
    <t>ALEATÓRIO 2826</t>
  </si>
  <si>
    <t>ALEATÓRIO 2827</t>
  </si>
  <si>
    <t>ALEATÓRIO 2828</t>
  </si>
  <si>
    <t>ALEATÓRIO 2829</t>
  </si>
  <si>
    <t>ALEATÓRIO 2830</t>
  </si>
  <si>
    <t>ALEATÓRIO 2831</t>
  </si>
  <si>
    <t>ALEATÓRIO 2832</t>
  </si>
  <si>
    <t>ALEATÓRIO 2833</t>
  </si>
  <si>
    <t>ALEATÓRIO 2834</t>
  </si>
  <si>
    <t>ALEATÓRIO 2835</t>
  </si>
  <si>
    <t>ALEATÓRIO 2836</t>
  </si>
  <si>
    <t>ALEATÓRIO 2837</t>
  </si>
  <si>
    <t>ALEATÓRIO 2838</t>
  </si>
  <si>
    <t>ALEATÓRIO 2839</t>
  </si>
  <si>
    <t>ALEATÓRIO 2840</t>
  </si>
  <si>
    <t>ALEATÓRIO 2841</t>
  </si>
  <si>
    <t>ALEATÓRIO 2842</t>
  </si>
  <si>
    <t>ALEATÓRIO 2843</t>
  </si>
  <si>
    <t>ALEATÓRIO 2844</t>
  </si>
  <si>
    <t>ALEATÓRIO 2845</t>
  </si>
  <si>
    <t>ALEATÓRIO 2846</t>
  </si>
  <si>
    <t>ALEATÓRIO 2847</t>
  </si>
  <si>
    <t>ALEATÓRIO 2848</t>
  </si>
  <si>
    <t>ALEATÓRIO 2849</t>
  </si>
  <si>
    <t>ALEATÓRIO 2850</t>
  </si>
  <si>
    <t>ALEATÓRIO 2851</t>
  </si>
  <si>
    <t>ALEATÓRIO 2852</t>
  </si>
  <si>
    <t>ALEATÓRIO 2853</t>
  </si>
  <si>
    <t>ALEATÓRIO 2854</t>
  </si>
  <si>
    <t>ALEATÓRIO 2855</t>
  </si>
  <si>
    <t>ALEATÓRIO 2856</t>
  </si>
  <si>
    <t>ALEATÓRIO 2857</t>
  </si>
  <si>
    <t>ALEATÓRIO 2858</t>
  </si>
  <si>
    <t>ALEATÓRIO 2859</t>
  </si>
  <si>
    <t>ALEATÓRIO 2860</t>
  </si>
  <si>
    <t>ALEATÓRIO 2861</t>
  </si>
  <si>
    <t>ALEATÓRIO 2862</t>
  </si>
  <si>
    <t>ALEATÓRIO 2863</t>
  </si>
  <si>
    <t>ALEATÓRIO 2864</t>
  </si>
  <si>
    <t>ALEATÓRIO 2865</t>
  </si>
  <si>
    <t>ALEATÓRIO 2866</t>
  </si>
  <si>
    <t>ALEATÓRIO 2867</t>
  </si>
  <si>
    <t>ALEATÓRIO 2868</t>
  </si>
  <si>
    <t>ALEATÓRIO 2869</t>
  </si>
  <si>
    <t>ALEATÓRIO 2870</t>
  </si>
  <si>
    <t>ALEATÓRIO 2871</t>
  </si>
  <si>
    <t>ALEATÓRIO 2872</t>
  </si>
  <si>
    <t>ALEATÓRIO 2873</t>
  </si>
  <si>
    <t>ALEATÓRIO 2874</t>
  </si>
  <si>
    <t>ALEATÓRIO 2875</t>
  </si>
  <si>
    <t>ALEATÓRIO 2876</t>
  </si>
  <si>
    <t>ALEATÓRIO 2877</t>
  </si>
  <si>
    <t>ALEATÓRIO 2878</t>
  </si>
  <si>
    <t>ALEATÓRIO 2879</t>
  </si>
  <si>
    <t>ALEATÓRIO 2880</t>
  </si>
  <si>
    <t>ALEATÓRIO 2881</t>
  </si>
  <si>
    <t>ALEATÓRIO 2882</t>
  </si>
  <si>
    <t>ALEATÓRIO 2883</t>
  </si>
  <si>
    <t>ALEATÓRIO 2884</t>
  </si>
  <si>
    <t>ALEATÓRIO 2885</t>
  </si>
  <si>
    <t>ALEATÓRIO 2886</t>
  </si>
  <si>
    <t>ALEATÓRIO 2887</t>
  </si>
  <si>
    <t>ALEATÓRIO 2888</t>
  </si>
  <si>
    <t>ALEATÓRIO 2889</t>
  </si>
  <si>
    <t>ALEATÓRIO 2890</t>
  </si>
  <si>
    <t>ALEATÓRIO 2891</t>
  </si>
  <si>
    <t>ALEATÓRIO 2892</t>
  </si>
  <si>
    <t>ALEATÓRIO 2893</t>
  </si>
  <si>
    <t>ALEATÓRIO 2894</t>
  </si>
  <si>
    <t>ALEATÓRIO 2895</t>
  </si>
  <si>
    <t>ALEATÓRIO 2896</t>
  </si>
  <si>
    <t>ALEATÓRIO 2897</t>
  </si>
  <si>
    <t>ALEATÓRIO 2898</t>
  </si>
  <si>
    <t>ALEATÓRIO 2899</t>
  </si>
  <si>
    <t>ALEATÓRIO 2900</t>
  </si>
  <si>
    <t>ALEATÓRIO 2901</t>
  </si>
  <si>
    <t>ALEATÓRIO 2902</t>
  </si>
  <si>
    <t>ALEATÓRIO 2903</t>
  </si>
  <si>
    <t>ALEATÓRIO 2904</t>
  </si>
  <si>
    <t>ALEATÓRIO 2905</t>
  </si>
  <si>
    <t>ALEATÓRIO 2906</t>
  </si>
  <si>
    <t>ALEATÓRIO 2907</t>
  </si>
  <si>
    <t>ALEATÓRIO 2908</t>
  </si>
  <si>
    <t>ALEATÓRIO 2909</t>
  </si>
  <si>
    <t>ALEATÓRIO 2910</t>
  </si>
  <si>
    <t>ALEATÓRIO 2911</t>
  </si>
  <si>
    <t>ALEATÓRIO 2912</t>
  </si>
  <si>
    <t>ALEATÓRIO 2913</t>
  </si>
  <si>
    <t>ALEATÓRIO 2914</t>
  </si>
  <si>
    <t>ALEATÓRIO 2915</t>
  </si>
  <si>
    <t>ALEATÓRIO 2916</t>
  </si>
  <si>
    <t>ALEATÓRIO 2917</t>
  </si>
  <si>
    <t>ALEATÓRIO 2918</t>
  </si>
  <si>
    <t>ALEATÓRIO 2919</t>
  </si>
  <si>
    <t>ALEATÓRIO 2920</t>
  </si>
  <si>
    <t>ALEATÓRIO 2921</t>
  </si>
  <si>
    <t>ALEATÓRIO 2922</t>
  </si>
  <si>
    <t>ALEATÓRIO 2923</t>
  </si>
  <si>
    <t>ALEATÓRIO 2924</t>
  </si>
  <si>
    <t>ALEATÓRIO 2925</t>
  </si>
  <si>
    <t>ALEATÓRIO 2926</t>
  </si>
  <si>
    <t>ALEATÓRIO 2927</t>
  </si>
  <si>
    <t>ALEATÓRIO 2928</t>
  </si>
  <si>
    <t>ALEATÓRIO 2929</t>
  </si>
  <si>
    <t>ALEATÓRIO 2930</t>
  </si>
  <si>
    <t>ALEATÓRIO 2931</t>
  </si>
  <si>
    <t>ALEATÓRIO 2932</t>
  </si>
  <si>
    <t>ALEATÓRIO 2933</t>
  </si>
  <si>
    <t>ALEATÓRIO 2934</t>
  </si>
  <si>
    <t>ALEATÓRIO 2935</t>
  </si>
  <si>
    <t>ALEATÓRIO 2936</t>
  </si>
  <si>
    <t>ALEATÓRIO 2937</t>
  </si>
  <si>
    <t>ALEATÓRIO 2938</t>
  </si>
  <si>
    <t>ALEATÓRIO 2939</t>
  </si>
  <si>
    <t>ALEATÓRIO 2940</t>
  </si>
  <si>
    <t>ALEATÓRIO 2941</t>
  </si>
  <si>
    <t>ALEATÓRIO 2942</t>
  </si>
  <si>
    <t>ALEATÓRIO 2943</t>
  </si>
  <si>
    <t>ALEATÓRIO 2944</t>
  </si>
  <si>
    <t>ALEATÓRIO 2945</t>
  </si>
  <si>
    <t>ALEATÓRIO 2946</t>
  </si>
  <si>
    <t>ALEATÓRIO 2947</t>
  </si>
  <si>
    <t>ALEATÓRIO 2948</t>
  </si>
  <si>
    <t>ALEATÓRIO 2949</t>
  </si>
  <si>
    <t>ALEATÓRIO 2950</t>
  </si>
  <si>
    <t>ALEATÓRIO 2951</t>
  </si>
  <si>
    <t>ALEATÓRIO 2952</t>
  </si>
  <si>
    <t>ALEATÓRIO 2953</t>
  </si>
  <si>
    <t>ALEATÓRIO 2954</t>
  </si>
  <si>
    <t>ALEATÓRIO 2955</t>
  </si>
  <si>
    <t>ALEATÓRIO 2956</t>
  </si>
  <si>
    <t>ALEATÓRIO 2957</t>
  </si>
  <si>
    <t>ALEATÓRIO 2958</t>
  </si>
  <si>
    <t>ALEATÓRIO 2959</t>
  </si>
  <si>
    <t>ALEATÓRIO 2960</t>
  </si>
  <si>
    <t>ALEATÓRIO 2961</t>
  </si>
  <si>
    <t>ALEATÓRIO 2962</t>
  </si>
  <si>
    <t>ALEATÓRIO 2963</t>
  </si>
  <si>
    <t>ALEATÓRIO 2964</t>
  </si>
  <si>
    <t>ALEATÓRIO 2965</t>
  </si>
  <si>
    <t>ALEATÓRIO 2966</t>
  </si>
  <si>
    <t>ALEATÓRIO 2967</t>
  </si>
  <si>
    <t>ALEATÓRIO 2968</t>
  </si>
  <si>
    <t>ALEATÓRIO 2969</t>
  </si>
  <si>
    <t>ALEATÓRIO 2970</t>
  </si>
  <si>
    <t>ALEATÓRIO 2971</t>
  </si>
  <si>
    <t>ALEATÓRIO 2972</t>
  </si>
  <si>
    <t>ALEATÓRIO 2973</t>
  </si>
  <si>
    <t>ALEATÓRIO 2974</t>
  </si>
  <si>
    <t>ALEATÓRIO 2975</t>
  </si>
  <si>
    <t>ALEATÓRIO 2976</t>
  </si>
  <si>
    <t>ALEATÓRIO 2977</t>
  </si>
  <si>
    <t>ALEATÓRIO 2978</t>
  </si>
  <si>
    <t>ALEATÓRIO 2979</t>
  </si>
  <si>
    <t>ALEATÓRIO 2980</t>
  </si>
  <si>
    <t>ALEATÓRIO 2981</t>
  </si>
  <si>
    <t>ALEATÓRIO 2982</t>
  </si>
  <si>
    <t>ALEATÓRIO 2983</t>
  </si>
  <si>
    <t>ALEATÓRIO 2984</t>
  </si>
  <si>
    <t>ALEATÓRIO 2985</t>
  </si>
  <si>
    <t>ALEATÓRIO 2986</t>
  </si>
  <si>
    <t>ALEATÓRIO 2987</t>
  </si>
  <si>
    <t>ALEATÓRIO 2988</t>
  </si>
  <si>
    <t>ALEATÓRIO 2989</t>
  </si>
  <si>
    <t>ALEATÓRIO 2990</t>
  </si>
  <si>
    <t>ALEATÓRIO 2991</t>
  </si>
  <si>
    <t>ALEATÓRIO 2992</t>
  </si>
  <si>
    <t>ALEATÓRIO 2993</t>
  </si>
  <si>
    <t>ALEATÓRIO 2994</t>
  </si>
  <si>
    <t>ALEATÓRIO 2995</t>
  </si>
  <si>
    <t>ALEATÓRIO 2996</t>
  </si>
  <si>
    <t>ALEATÓRIO 2997</t>
  </si>
  <si>
    <t>ALEATÓRIO 2998</t>
  </si>
  <si>
    <t>ALEATÓRIO 2999</t>
  </si>
  <si>
    <t>ALEATÓRIO 3000</t>
  </si>
  <si>
    <t>ALEATÓRIO 3001</t>
  </si>
  <si>
    <t>ALEATÓRIO 3002</t>
  </si>
  <si>
    <t>ALEATÓRIO 3003</t>
  </si>
  <si>
    <t>ALEATÓRIO 3004</t>
  </si>
  <si>
    <t>ALEATÓRIO 3005</t>
  </si>
  <si>
    <t>ALEATÓRIO 3006</t>
  </si>
  <si>
    <t>ALEATÓRIO 3007</t>
  </si>
  <si>
    <t>ALEATÓRIO 3008</t>
  </si>
  <si>
    <t>ALEATÓRIO 3009</t>
  </si>
  <si>
    <t>ALEATÓRIO 3010</t>
  </si>
  <si>
    <t>ALEATÓRIO 3011</t>
  </si>
  <si>
    <t>ALEATÓRIO 3012</t>
  </si>
  <si>
    <t>ALEATÓRIO 3013</t>
  </si>
  <si>
    <t>ALEATÓRIO 3014</t>
  </si>
  <si>
    <t>ALEATÓRIO 3015</t>
  </si>
  <si>
    <t>ALEATÓRIO 3016</t>
  </si>
  <si>
    <t>ALEATÓRIO 3017</t>
  </si>
  <si>
    <t>ALEATÓRIO 3018</t>
  </si>
  <si>
    <t>ALEATÓRIO 3019</t>
  </si>
  <si>
    <t>ALEATÓRIO 3020</t>
  </si>
  <si>
    <t>ALEATÓRIO 3021</t>
  </si>
  <si>
    <t>ALEATÓRIO 3022</t>
  </si>
  <si>
    <t>ALEATÓRIO 3023</t>
  </si>
  <si>
    <t>ALEATÓRIO 3024</t>
  </si>
  <si>
    <t>ALEATÓRIO 3025</t>
  </si>
  <si>
    <t>ALEATÓRIO 3026</t>
  </si>
  <si>
    <t>ALEATÓRIO 3027</t>
  </si>
  <si>
    <t>ALEATÓRIO 3028</t>
  </si>
  <si>
    <t>ALEATÓRIO 3029</t>
  </si>
  <si>
    <t>ALEATÓRIO 3030</t>
  </si>
  <si>
    <t>ALEATÓRIO 3031</t>
  </si>
  <si>
    <t>ALEATÓRIO 3032</t>
  </si>
  <si>
    <t>ALEATÓRIO 3033</t>
  </si>
  <si>
    <t>ALEATÓRIO 3034</t>
  </si>
  <si>
    <t>ALEATÓRIO 3035</t>
  </si>
  <si>
    <t>ALEATÓRIO 3036</t>
  </si>
  <si>
    <t>ALEATÓRIO 3037</t>
  </si>
  <si>
    <t>ALEATÓRIO 3038</t>
  </si>
  <si>
    <t>ALEATÓRIO 3039</t>
  </si>
  <si>
    <t>ALEATÓRIO 3040</t>
  </si>
  <si>
    <t>ALEATÓRIO 3041</t>
  </si>
  <si>
    <t>ALEATÓRIO 3042</t>
  </si>
  <si>
    <t>ALEATÓRIO 3043</t>
  </si>
  <si>
    <t>ALEATÓRIO 3044</t>
  </si>
  <si>
    <t>ALEATÓRIO 3045</t>
  </si>
  <si>
    <t>ALEATÓRIO 3046</t>
  </si>
  <si>
    <t>ALEATÓRIO 3047</t>
  </si>
  <si>
    <t>ALEATÓRIO 3048</t>
  </si>
  <si>
    <t>ALEATÓRIO 3049</t>
  </si>
  <si>
    <t>ALEATÓRIO 3050</t>
  </si>
  <si>
    <t>ALEATÓRIO 3051</t>
  </si>
  <si>
    <t>ALEATÓRIO 3052</t>
  </si>
  <si>
    <t>ALEATÓRIO 3053</t>
  </si>
  <si>
    <t>ALEATÓRIO 3054</t>
  </si>
  <si>
    <t>ALEATÓRIO 3055</t>
  </si>
  <si>
    <t>ALEATÓRIO 3056</t>
  </si>
  <si>
    <t>ALEATÓRIO 3057</t>
  </si>
  <si>
    <t>ALEATÓRIO 3058</t>
  </si>
  <si>
    <t>ALEATÓRIO 3059</t>
  </si>
  <si>
    <t>ALEATÓRIO 3060</t>
  </si>
  <si>
    <t>ALEATÓRIO 3061</t>
  </si>
  <si>
    <t>ALEATÓRIO 3062</t>
  </si>
  <si>
    <t>ALEATÓRIO 3063</t>
  </si>
  <si>
    <t>ALEATÓRIO 3064</t>
  </si>
  <si>
    <t>ALEATÓRIO 3065</t>
  </si>
  <si>
    <t>ALEATÓRIO 3066</t>
  </si>
  <si>
    <t>ALEATÓRIO 3067</t>
  </si>
  <si>
    <t>ALEATÓRIO 3068</t>
  </si>
  <si>
    <t>ALEATÓRIO 3069</t>
  </si>
  <si>
    <t>ALEATÓRIO 3070</t>
  </si>
  <si>
    <t>ALEATÓRIO 3071</t>
  </si>
  <si>
    <t>ALEATÓRIO 3072</t>
  </si>
  <si>
    <t>ALEATÓRIO 3073</t>
  </si>
  <si>
    <t>ALEATÓRIO 3074</t>
  </si>
  <si>
    <t>ALEATÓRIO 3075</t>
  </si>
  <si>
    <t>ALEATÓRIO 3076</t>
  </si>
  <si>
    <t>ALEATÓRIO 3077</t>
  </si>
  <si>
    <t>ALEATÓRIO 3078</t>
  </si>
  <si>
    <t>ALEATÓRIO 3079</t>
  </si>
  <si>
    <t>ALEATÓRIO 3080</t>
  </si>
  <si>
    <t>ALEATÓRIO 3081</t>
  </si>
  <si>
    <t>ALEATÓRIO 3082</t>
  </si>
  <si>
    <t>ALEATÓRIO 3083</t>
  </si>
  <si>
    <t>ALEATÓRIO 3084</t>
  </si>
  <si>
    <t>ALEATÓRIO 3085</t>
  </si>
  <si>
    <t>ALEATÓRIO 3086</t>
  </si>
  <si>
    <t>ALEATÓRIO 3087</t>
  </si>
  <si>
    <t>ALEATÓRIO 3088</t>
  </si>
  <si>
    <t>ALEATÓRIO 3089</t>
  </si>
  <si>
    <t>ALEATÓRIO 3090</t>
  </si>
  <si>
    <t>ALEATÓRIO 3091</t>
  </si>
  <si>
    <t>ALEATÓRIO 3092</t>
  </si>
  <si>
    <t>ALEATÓRIO 3093</t>
  </si>
  <si>
    <t>ALEATÓRIO 3094</t>
  </si>
  <si>
    <t>ALEATÓRIO 3095</t>
  </si>
  <si>
    <t>ALEATÓRIO 3096</t>
  </si>
  <si>
    <t>ALEATÓRIO 3097</t>
  </si>
  <si>
    <t>ALEATÓRIO 3098</t>
  </si>
  <si>
    <t>ALEATÓRIO 3099</t>
  </si>
  <si>
    <t>ALEATÓRIO 3100</t>
  </si>
  <si>
    <t>ALEATÓRIO 3101</t>
  </si>
  <si>
    <t>ALEATÓRIO 3102</t>
  </si>
  <si>
    <t>ALEATÓRIO 3103</t>
  </si>
  <si>
    <t>ALEATÓRIO 3104</t>
  </si>
  <si>
    <t>ALEATÓRIO 3105</t>
  </si>
  <si>
    <t>ALEATÓRIO 3106</t>
  </si>
  <si>
    <t>ALEATÓRIO 3107</t>
  </si>
  <si>
    <t>ALEATÓRIO 3108</t>
  </si>
  <si>
    <t>ALEATÓRIO 3109</t>
  </si>
  <si>
    <t>ALEATÓRIO 3110</t>
  </si>
  <si>
    <t>ALEATÓRIO 3111</t>
  </si>
  <si>
    <t>ALEATÓRIO 3112</t>
  </si>
  <si>
    <t>ALEATÓRIO 3113</t>
  </si>
  <si>
    <t>ALEATÓRIO 3114</t>
  </si>
  <si>
    <t>ALEATÓRIO 3115</t>
  </si>
  <si>
    <t>ALEATÓRIO 3116</t>
  </si>
  <si>
    <t>ALEATÓRIO 3117</t>
  </si>
  <si>
    <t>ALEATÓRIO 3118</t>
  </si>
  <si>
    <t>ALEATÓRIO 3119</t>
  </si>
  <si>
    <t>ALEATÓRIO 3120</t>
  </si>
  <si>
    <t>ALEATÓRIO 3121</t>
  </si>
  <si>
    <t>ALEATÓRIO 3122</t>
  </si>
  <si>
    <t>ALEATÓRIO 3123</t>
  </si>
  <si>
    <t>ALEATÓRIO 3124</t>
  </si>
  <si>
    <t>ALEATÓRIO 3125</t>
  </si>
  <si>
    <t>ALEATÓRIO 3126</t>
  </si>
  <si>
    <t>ALEATÓRIO 3127</t>
  </si>
  <si>
    <t>ALEATÓRIO 3128</t>
  </si>
  <si>
    <t>ALEATÓRIO 3129</t>
  </si>
  <si>
    <t>ALEATÓRIO 3130</t>
  </si>
  <si>
    <t>ALEATÓRIO 3131</t>
  </si>
  <si>
    <t>ALEATÓRIO 3132</t>
  </si>
  <si>
    <t>ALEATÓRIO 3133</t>
  </si>
  <si>
    <t>ALEATÓRIO 3134</t>
  </si>
  <si>
    <t>ALEATÓRIO 3135</t>
  </si>
  <si>
    <t>ALEATÓRIO 3136</t>
  </si>
  <si>
    <t>ALEATÓRIO 3137</t>
  </si>
  <si>
    <t>ALEATÓRIO 3138</t>
  </si>
  <si>
    <t>ALEATÓRIO 3139</t>
  </si>
  <si>
    <t>ALEATÓRIO 3140</t>
  </si>
  <si>
    <t>ALEATÓRIO 3141</t>
  </si>
  <si>
    <t>ALEATÓRIO 3142</t>
  </si>
  <si>
    <t>ALEATÓRIO 3143</t>
  </si>
  <si>
    <t>ALEATÓRIO 3144</t>
  </si>
  <si>
    <t>ALEATÓRIO 3145</t>
  </si>
  <si>
    <t>ALEATÓRIO 3146</t>
  </si>
  <si>
    <t>ALEATÓRIO 3147</t>
  </si>
  <si>
    <t>ALEATÓRIO 3148</t>
  </si>
  <si>
    <t>ALEATÓRIO 3149</t>
  </si>
  <si>
    <t>ALEATÓRIO 3150</t>
  </si>
  <si>
    <t>ALEATÓRIO 3151</t>
  </si>
  <si>
    <t>ALEATÓRIO 3152</t>
  </si>
  <si>
    <t>ALEATÓRIO 3153</t>
  </si>
  <si>
    <t>ALEATÓRIO 3154</t>
  </si>
  <si>
    <t>ALEATÓRIO 3155</t>
  </si>
  <si>
    <t>ALEATÓRIO 3156</t>
  </si>
  <si>
    <t>ALEATÓRIO 3157</t>
  </si>
  <si>
    <t>ALEATÓRIO 3158</t>
  </si>
  <si>
    <t>ALEATÓRIO 3159</t>
  </si>
  <si>
    <t>ALEATÓRIO 3160</t>
  </si>
  <si>
    <t>ALEATÓRIO 3161</t>
  </si>
  <si>
    <t>ALEATÓRIO 3162</t>
  </si>
  <si>
    <t>ALEATÓRIO 3163</t>
  </si>
  <si>
    <t>ALEATÓRIO 3164</t>
  </si>
  <si>
    <t>ALEATÓRIO 3165</t>
  </si>
  <si>
    <t>ALEATÓRIO 3166</t>
  </si>
  <si>
    <t>ALEATÓRIO 3167</t>
  </si>
  <si>
    <t>ALEATÓRIO 3168</t>
  </si>
  <si>
    <t>ALEATÓRIO 3169</t>
  </si>
  <si>
    <t>ALEATÓRIO 3170</t>
  </si>
  <si>
    <t>ALEATÓRIO 3171</t>
  </si>
  <si>
    <t>ALEATÓRIO 3172</t>
  </si>
  <si>
    <t>ALEATÓRIO 3173</t>
  </si>
  <si>
    <t>ALEATÓRIO 3174</t>
  </si>
  <si>
    <t>ALEATÓRIO 3175</t>
  </si>
  <si>
    <t>ALEATÓRIO 3176</t>
  </si>
  <si>
    <t>ALEATÓRIO 3177</t>
  </si>
  <si>
    <t>ALEATÓRIO 3178</t>
  </si>
  <si>
    <t>ALEATÓRIO 3179</t>
  </si>
  <si>
    <t>ALEATÓRIO 3180</t>
  </si>
  <si>
    <t>ALEATÓRIO 3181</t>
  </si>
  <si>
    <t>ALEATÓRIO 3182</t>
  </si>
  <si>
    <t>ALEATÓRIO 3183</t>
  </si>
  <si>
    <t>ALEATÓRIO 3184</t>
  </si>
  <si>
    <t>ALEATÓRIO 3185</t>
  </si>
  <si>
    <t>ALEATÓRIO 3186</t>
  </si>
  <si>
    <t>ALEATÓRIO 3187</t>
  </si>
  <si>
    <t>ALEATÓRIO 3188</t>
  </si>
  <si>
    <t>ALEATÓRIO 3189</t>
  </si>
  <si>
    <t>ALEATÓRIO 3190</t>
  </si>
  <si>
    <t>ALEATÓRIO 3191</t>
  </si>
  <si>
    <t>ALEATÓRIO 3192</t>
  </si>
  <si>
    <t>ALEATÓRIO 3193</t>
  </si>
  <si>
    <t>ALEATÓRIO 3194</t>
  </si>
  <si>
    <t>ALEATÓRIO 3195</t>
  </si>
  <si>
    <t>ALEATÓRIO 3196</t>
  </si>
  <si>
    <t>ALEATÓRIO 3197</t>
  </si>
  <si>
    <t>ALEATÓRIO 3198</t>
  </si>
  <si>
    <t>ALEATÓRIO 3199</t>
  </si>
  <si>
    <t>ALEATÓRIO 3200</t>
  </si>
  <si>
    <t>ALEATÓRIO 3201</t>
  </si>
  <si>
    <t>ALEATÓRIO 3202</t>
  </si>
  <si>
    <t>ALEATÓRIO 3203</t>
  </si>
  <si>
    <t>ALEATÓRIO 3204</t>
  </si>
  <si>
    <t>ALEATÓRIO 3205</t>
  </si>
  <si>
    <t>ALEATÓRIO 3206</t>
  </si>
  <si>
    <t>ALEATÓRIO 3207</t>
  </si>
  <si>
    <t>ALEATÓRIO 3208</t>
  </si>
  <si>
    <t>ALEATÓRIO 3209</t>
  </si>
  <si>
    <t>ALEATÓRIO 3210</t>
  </si>
  <si>
    <t>ALEATÓRIO 3211</t>
  </si>
  <si>
    <t>ALEATÓRIO 3212</t>
  </si>
  <si>
    <t>ALEATÓRIO 3213</t>
  </si>
  <si>
    <t>ALEATÓRIO 3214</t>
  </si>
  <si>
    <t>ALEATÓRIO 3215</t>
  </si>
  <si>
    <t>ALEATÓRIO 3216</t>
  </si>
  <si>
    <t>ALEATÓRIO 3217</t>
  </si>
  <si>
    <t>ALEATÓRIO 3218</t>
  </si>
  <si>
    <t>ALEATÓRIO 3219</t>
  </si>
  <si>
    <t>ALEATÓRIO 3220</t>
  </si>
  <si>
    <t>ALEATÓRIO 3221</t>
  </si>
  <si>
    <t>ALEATÓRIO 3222</t>
  </si>
  <si>
    <t>ALEATÓRIO 3223</t>
  </si>
  <si>
    <t>ALEATÓRIO 3224</t>
  </si>
  <si>
    <t>ALEATÓRIO 3225</t>
  </si>
  <si>
    <t>ALEATÓRIO 3226</t>
  </si>
  <si>
    <t>ALEATÓRIO 3227</t>
  </si>
  <si>
    <t>ALEATÓRIO 3228</t>
  </si>
  <si>
    <t>ALEATÓRIO 3229</t>
  </si>
  <si>
    <t>ALEATÓRIO 3230</t>
  </si>
  <si>
    <t>ALEATÓRIO 3231</t>
  </si>
  <si>
    <t>ALEATÓRIO 3232</t>
  </si>
  <si>
    <t>ALEATÓRIO 3233</t>
  </si>
  <si>
    <t>ALEATÓRIO 3234</t>
  </si>
  <si>
    <t>ALEATÓRIO 3235</t>
  </si>
  <si>
    <t>ALEATÓRIO 3236</t>
  </si>
  <si>
    <t>ALEATÓRIO 3237</t>
  </si>
  <si>
    <t>ALEATÓRIO 3238</t>
  </si>
  <si>
    <t>ALEATÓRIO 3239</t>
  </si>
  <si>
    <t>ALEATÓRIO 3240</t>
  </si>
  <si>
    <t>ALEATÓRIO 3241</t>
  </si>
  <si>
    <t>ALEATÓRIO 3242</t>
  </si>
  <si>
    <t>ALEATÓRIO 3243</t>
  </si>
  <si>
    <t>ALEATÓRIO 3244</t>
  </si>
  <si>
    <t>ALEATÓRIO 3245</t>
  </si>
  <si>
    <t>ALEATÓRIO 3246</t>
  </si>
  <si>
    <t>ALEATÓRIO 3247</t>
  </si>
  <si>
    <t>ALEATÓRIO 3248</t>
  </si>
  <si>
    <t>ALEATÓRIO 3249</t>
  </si>
  <si>
    <t>ALEATÓRIO 3250</t>
  </si>
  <si>
    <t>ALEATÓRIO 3251</t>
  </si>
  <si>
    <t>ALEATÓRIO 3252</t>
  </si>
  <si>
    <t>ALEATÓRIO 3253</t>
  </si>
  <si>
    <t>ALEATÓRIO 3254</t>
  </si>
  <si>
    <t>ALEATÓRIO 3255</t>
  </si>
  <si>
    <t>ALEATÓRIO 3256</t>
  </si>
  <si>
    <t>ALEATÓRIO 3257</t>
  </si>
  <si>
    <t>ALEATÓRIO 3258</t>
  </si>
  <si>
    <t>ALEATÓRIO 3259</t>
  </si>
  <si>
    <t>ALEATÓRIO 3260</t>
  </si>
  <si>
    <t>ALEATÓRIO 3261</t>
  </si>
  <si>
    <t>ALEATÓRIO 3262</t>
  </si>
  <si>
    <t>ALEATÓRIO 3263</t>
  </si>
  <si>
    <t>ALEATÓRIO 3264</t>
  </si>
  <si>
    <t>ALEATÓRIO 3265</t>
  </si>
  <si>
    <t>ALEATÓRIO 3266</t>
  </si>
  <si>
    <t>ALEATÓRIO 3267</t>
  </si>
  <si>
    <t>ALEATÓRIO 3268</t>
  </si>
  <si>
    <t>ALEATÓRIO 3269</t>
  </si>
  <si>
    <t>ALEATÓRIO 3270</t>
  </si>
  <si>
    <t>ALEATÓRIO 3271</t>
  </si>
  <si>
    <t>ALEATÓRIO 3272</t>
  </si>
  <si>
    <t>ALEATÓRIO 3273</t>
  </si>
  <si>
    <t>ALEATÓRIO 3274</t>
  </si>
  <si>
    <t>ALEATÓRIO 3275</t>
  </si>
  <si>
    <t>ALEATÓRIO 3276</t>
  </si>
  <si>
    <t>ALEATÓRIO 3277</t>
  </si>
  <si>
    <t>ALEATÓRIO 3278</t>
  </si>
  <si>
    <t>ALEATÓRIO 3279</t>
  </si>
  <si>
    <t>ALEATÓRIO 3280</t>
  </si>
  <si>
    <t>ALEATÓRIO 3281</t>
  </si>
  <si>
    <t>ALEATÓRIO 3282</t>
  </si>
  <si>
    <t>ALEATÓRIO 3283</t>
  </si>
  <si>
    <t>ALEATÓRIO 3284</t>
  </si>
  <si>
    <t>ALEATÓRIO 3285</t>
  </si>
  <si>
    <t>ALEATÓRIO 3286</t>
  </si>
  <si>
    <t>ALEATÓRIO 3287</t>
  </si>
  <si>
    <t>ALEATÓRIO 3288</t>
  </si>
  <si>
    <t>ALEATÓRIO 3289</t>
  </si>
  <si>
    <t>ALEATÓRIO 3290</t>
  </si>
  <si>
    <t>ALEATÓRIO 3291</t>
  </si>
  <si>
    <t>ALEATÓRIO 3292</t>
  </si>
  <si>
    <t>ALEATÓRIO 3293</t>
  </si>
  <si>
    <t>ALEATÓRIO 3294</t>
  </si>
  <si>
    <t>ALEATÓRIO 3295</t>
  </si>
  <si>
    <t>ALEATÓRIO 3296</t>
  </si>
  <si>
    <t>ALEATÓRIO 3297</t>
  </si>
  <si>
    <t>ALEATÓRIO 3298</t>
  </si>
  <si>
    <t>ALEATÓRIO 3299</t>
  </si>
  <si>
    <t>ALEATÓRIO 3300</t>
  </si>
  <si>
    <t>ALEATÓRIO 3301</t>
  </si>
  <si>
    <t>ALEATÓRIO 3302</t>
  </si>
  <si>
    <t>ALEATÓRIO 3303</t>
  </si>
  <si>
    <t>ALEATÓRIO 3304</t>
  </si>
  <si>
    <t>ALEATÓRIO 3305</t>
  </si>
  <si>
    <t>ALEATÓRIO 3306</t>
  </si>
  <si>
    <t>ALEATÓRIO 3307</t>
  </si>
  <si>
    <t>ALEATÓRIO 3308</t>
  </si>
  <si>
    <t>ALEATÓRIO 3309</t>
  </si>
  <si>
    <t>ALEATÓRIO 3310</t>
  </si>
  <si>
    <t>ALEATÓRIO 3311</t>
  </si>
  <si>
    <t>ALEATÓRIO 3312</t>
  </si>
  <si>
    <t>ALEATÓRIO 3313</t>
  </si>
  <si>
    <t>ALEATÓRIO 3314</t>
  </si>
  <si>
    <t>ALEATÓRIO 3315</t>
  </si>
  <si>
    <t>ALEATÓRIO 3316</t>
  </si>
  <si>
    <t>ALEATÓRIO 3317</t>
  </si>
  <si>
    <t>ALEATÓRIO 3318</t>
  </si>
  <si>
    <t>ALEATÓRIO 3319</t>
  </si>
  <si>
    <t>ALEATÓRIO 3320</t>
  </si>
  <si>
    <t>ALEATÓRIO 3321</t>
  </si>
  <si>
    <t>ALEATÓRIO 3322</t>
  </si>
  <si>
    <t>ALEATÓRIO 3323</t>
  </si>
  <si>
    <t>ALEATÓRIO 3324</t>
  </si>
  <si>
    <t>ALEATÓRIO 3325</t>
  </si>
  <si>
    <t>ALEATÓRIO 3326</t>
  </si>
  <si>
    <t>ALEATÓRIO 3327</t>
  </si>
  <si>
    <t>ALEATÓRIO 3328</t>
  </si>
  <si>
    <t>ALEATÓRIO 3329</t>
  </si>
  <si>
    <t>ALEATÓRIO 3330</t>
  </si>
  <si>
    <t>ALEATÓRIO 3331</t>
  </si>
  <si>
    <t>ALEATÓRIO 3332</t>
  </si>
  <si>
    <t>ALEATÓRIO 3333</t>
  </si>
  <si>
    <t>ALEATÓRIO 3334</t>
  </si>
  <si>
    <t>ALEATÓRIO 3335</t>
  </si>
  <si>
    <t>ALEATÓRIO 3336</t>
  </si>
  <si>
    <t>ALEATÓRIO 3337</t>
  </si>
  <si>
    <t>ALEATÓRIO 3338</t>
  </si>
  <si>
    <t>ALEATÓRIO 3339</t>
  </si>
  <si>
    <t>ALEATÓRIO 3340</t>
  </si>
  <si>
    <t>ALEATÓRIO 3341</t>
  </si>
  <si>
    <t>ALEATÓRIO 3342</t>
  </si>
  <si>
    <t>ALEATÓRIO 3343</t>
  </si>
  <si>
    <t>ALEATÓRIO 3344</t>
  </si>
  <si>
    <t>ALEATÓRIO 3345</t>
  </si>
  <si>
    <t>ALEATÓRIO 3346</t>
  </si>
  <si>
    <t>ALEATÓRIO 3347</t>
  </si>
  <si>
    <t>ALEATÓRIO 3348</t>
  </si>
  <si>
    <t>ALEATÓRIO 3349</t>
  </si>
  <si>
    <t>ALEATÓRIO 3350</t>
  </si>
  <si>
    <t>ALEATÓRIO 3351</t>
  </si>
  <si>
    <t>ALEATÓRIO 3352</t>
  </si>
  <si>
    <t>ALEATÓRIO 3353</t>
  </si>
  <si>
    <t>ALEATÓRIO 3354</t>
  </si>
  <si>
    <t>ALEATÓRIO 3355</t>
  </si>
  <si>
    <t>ALEATÓRIO 3356</t>
  </si>
  <si>
    <t>ALEATÓRIO 3357</t>
  </si>
  <si>
    <t>ALEATÓRIO 3358</t>
  </si>
  <si>
    <t>ALEATÓRIO 3359</t>
  </si>
  <si>
    <t>ALEATÓRIO 3360</t>
  </si>
  <si>
    <t>ALEATÓRIO 3361</t>
  </si>
  <si>
    <t>ALEATÓRIO 3362</t>
  </si>
  <si>
    <t>ALEATÓRIO 3363</t>
  </si>
  <si>
    <t>ALEATÓRIO 3364</t>
  </si>
  <si>
    <t>ALEATÓRIO 3365</t>
  </si>
  <si>
    <t>ALEATÓRIO 3366</t>
  </si>
  <si>
    <t>ALEATÓRIO 3367</t>
  </si>
  <si>
    <t>ALEATÓRIO 3368</t>
  </si>
  <si>
    <t>ALEATÓRIO 3369</t>
  </si>
  <si>
    <t>ALEATÓRIO 3370</t>
  </si>
  <si>
    <t>ALEATÓRIO 3371</t>
  </si>
  <si>
    <t>ALEATÓRIO 3372</t>
  </si>
  <si>
    <t>ALEATÓRIO 3373</t>
  </si>
  <si>
    <t>ALEATÓRIO 3374</t>
  </si>
  <si>
    <t>ALEATÓRIO 3375</t>
  </si>
  <si>
    <t>ALEATÓRIO 3376</t>
  </si>
  <si>
    <t>ALEATÓRIO 3377</t>
  </si>
  <si>
    <t>ALEATÓRIO 3378</t>
  </si>
  <si>
    <t>ALEATÓRIO 3379</t>
  </si>
  <si>
    <t>ALEATÓRIO 3380</t>
  </si>
  <si>
    <t>ALEATÓRIO 3381</t>
  </si>
  <si>
    <t>ALEATÓRIO 3382</t>
  </si>
  <si>
    <t>ALEATÓRIO 3383</t>
  </si>
  <si>
    <t>ALEATÓRIO 3384</t>
  </si>
  <si>
    <t>ALEATÓRIO 3385</t>
  </si>
  <si>
    <t>ALEATÓRIO 3386</t>
  </si>
  <si>
    <t>ALEATÓRIO 3387</t>
  </si>
  <si>
    <t>ALEATÓRIO 3388</t>
  </si>
  <si>
    <t>ALEATÓRIO 3389</t>
  </si>
  <si>
    <t>ALEATÓRIO 3390</t>
  </si>
  <si>
    <t>ALEATÓRIO 3391</t>
  </si>
  <si>
    <t>ALEATÓRIO 3392</t>
  </si>
  <si>
    <t>ALEATÓRIO 3393</t>
  </si>
  <si>
    <t>ALEATÓRIO 3394</t>
  </si>
  <si>
    <t>ALEATÓRIO 3395</t>
  </si>
  <si>
    <t>ALEATÓRIO 3396</t>
  </si>
  <si>
    <t>ALEATÓRIO 3397</t>
  </si>
  <si>
    <t>ALEATÓRIO 3398</t>
  </si>
  <si>
    <t>ALEATÓRIO 3399</t>
  </si>
  <si>
    <t>ALEATÓRIO 3400</t>
  </si>
  <si>
    <t>ALEATÓRIO 3401</t>
  </si>
  <si>
    <t>ALEATÓRIO 3402</t>
  </si>
  <si>
    <t>ALEATÓRIO 3403</t>
  </si>
  <si>
    <t>ALEATÓRIO 3404</t>
  </si>
  <si>
    <t>ALEATÓRIO 3405</t>
  </si>
  <si>
    <t>ALEATÓRIO 3406</t>
  </si>
  <si>
    <t>ALEATÓRIO 3407</t>
  </si>
  <si>
    <t>ALEATÓRIO 3408</t>
  </si>
  <si>
    <t>ALEATÓRIO 3409</t>
  </si>
  <si>
    <t>ALEATÓRIO 3410</t>
  </si>
  <si>
    <t>ALEATÓRIO 3411</t>
  </si>
  <si>
    <t>ALEATÓRIO 3412</t>
  </si>
  <si>
    <t>ALEATÓRIO 3413</t>
  </si>
  <si>
    <t>ALEATÓRIO 3414</t>
  </si>
  <si>
    <t>ALEATÓRIO 3415</t>
  </si>
  <si>
    <t>ALEATÓRIO 3416</t>
  </si>
  <si>
    <t>ALEATÓRIO 3417</t>
  </si>
  <si>
    <t>ALEATÓRIO 3418</t>
  </si>
  <si>
    <t>ALEATÓRIO 3419</t>
  </si>
  <si>
    <t>ALEATÓRIO 3420</t>
  </si>
  <si>
    <t>ALEATÓRIO 3421</t>
  </si>
  <si>
    <t>ALEATÓRIO 3422</t>
  </si>
  <si>
    <t>ALEATÓRIO 3423</t>
  </si>
  <si>
    <t>ALEATÓRIO 3424</t>
  </si>
  <si>
    <t>ALEATÓRIO 3425</t>
  </si>
  <si>
    <t>ALEATÓRIO 3426</t>
  </si>
  <si>
    <t>ALEATÓRIO 3427</t>
  </si>
  <si>
    <t>ALEATÓRIO 3428</t>
  </si>
  <si>
    <t>ALEATÓRIO 3429</t>
  </si>
  <si>
    <t>ALEATÓRIO 3430</t>
  </si>
  <si>
    <t>ALEATÓRIO 3431</t>
  </si>
  <si>
    <t>ALEATÓRIO 3432</t>
  </si>
  <si>
    <t>ALEATÓRIO 3433</t>
  </si>
  <si>
    <t>ALEATÓRIO 3434</t>
  </si>
  <si>
    <t>ALEATÓRIO 3435</t>
  </si>
  <si>
    <t>ALEATÓRIO 3436</t>
  </si>
  <si>
    <t>ALEATÓRIO 3437</t>
  </si>
  <si>
    <t>ALEATÓRIO 3438</t>
  </si>
  <si>
    <t>ALEATÓRIO 3439</t>
  </si>
  <si>
    <t>ALEATÓRIO 3440</t>
  </si>
  <si>
    <t>ALEATÓRIO 3441</t>
  </si>
  <si>
    <t>ALEATÓRIO 3442</t>
  </si>
  <si>
    <t>ALEATÓRIO 3443</t>
  </si>
  <si>
    <t>ALEATÓRIO 3444</t>
  </si>
  <si>
    <t>ALEATÓRIO 3445</t>
  </si>
  <si>
    <t>ALEATÓRIO 3446</t>
  </si>
  <si>
    <t>ALEATÓRIO 3447</t>
  </si>
  <si>
    <t>ALEATÓRIO 3448</t>
  </si>
  <si>
    <t>ALEATÓRIO 3449</t>
  </si>
  <si>
    <t>ALEATÓRIO 3450</t>
  </si>
  <si>
    <t>ALEATÓRIO 3451</t>
  </si>
  <si>
    <t>ALEATÓRIO 3452</t>
  </si>
  <si>
    <t>ALEATÓRIO 3453</t>
  </si>
  <si>
    <t>ALEATÓRIO 3454</t>
  </si>
  <si>
    <t>ALEATÓRIO 3455</t>
  </si>
  <si>
    <t>ALEATÓRIO 3456</t>
  </si>
  <si>
    <t>ALEATÓRIO 3457</t>
  </si>
  <si>
    <t>ALEATÓRIO 3458</t>
  </si>
  <si>
    <t>ALEATÓRIO 3459</t>
  </si>
  <si>
    <t>ALEATÓRIO 3460</t>
  </si>
  <si>
    <t>ALEATÓRIO 3461</t>
  </si>
  <si>
    <t>ALEATÓRIO 3462</t>
  </si>
  <si>
    <t>ALEATÓRIO 3463</t>
  </si>
  <si>
    <t>ALEATÓRIO 3464</t>
  </si>
  <si>
    <t>ALEATÓRIO 3465</t>
  </si>
  <si>
    <t>ALEATÓRIO 3466</t>
  </si>
  <si>
    <t>ALEATÓRIO 3467</t>
  </si>
  <si>
    <t>ALEATÓRIO 3468</t>
  </si>
  <si>
    <t>ALEATÓRIO 3469</t>
  </si>
  <si>
    <t>ALEATÓRIO 3470</t>
  </si>
  <si>
    <t>ALEATÓRIO 3471</t>
  </si>
  <si>
    <t>ALEATÓRIO 3472</t>
  </si>
  <si>
    <t>ALEATÓRIO 3473</t>
  </si>
  <si>
    <t>ALEATÓRIO 3474</t>
  </si>
  <si>
    <t>ALEATÓRIO 3475</t>
  </si>
  <si>
    <t>ALEATÓRIO 3476</t>
  </si>
  <si>
    <t>ALEATÓRIO 3477</t>
  </si>
  <si>
    <t>ALEATÓRIO 3478</t>
  </si>
  <si>
    <t>ALEATÓRIO 3479</t>
  </si>
  <si>
    <t>ALEATÓRIO 3480</t>
  </si>
  <si>
    <t>ALEATÓRIO 3481</t>
  </si>
  <si>
    <t>ALEATÓRIO 3482</t>
  </si>
  <si>
    <t>ALEATÓRIO 3483</t>
  </si>
  <si>
    <t>ALEATÓRIO 3484</t>
  </si>
  <si>
    <t>ALEATÓRIO 3485</t>
  </si>
  <si>
    <t>ALEATÓRIO 3486</t>
  </si>
  <si>
    <t>ALEATÓRIO 3487</t>
  </si>
  <si>
    <t>ALEATÓRIO 3488</t>
  </si>
  <si>
    <t>ALEATÓRIO 3489</t>
  </si>
  <si>
    <t>ALEATÓRIO 3490</t>
  </si>
  <si>
    <t>ALEATÓRIO 3491</t>
  </si>
  <si>
    <t>ALEATÓRIO 3492</t>
  </si>
  <si>
    <t>ALEATÓRIO 3493</t>
  </si>
  <si>
    <t>ALEATÓRIO 3494</t>
  </si>
  <si>
    <t>ALEATÓRIO 3495</t>
  </si>
  <si>
    <t>ALEATÓRIO 3496</t>
  </si>
  <si>
    <t>ALEATÓRIO 3497</t>
  </si>
  <si>
    <t>ALEATÓRIO 3498</t>
  </si>
  <si>
    <t>ALEATÓRIO 3499</t>
  </si>
  <si>
    <t>ALEATÓRIO 3500</t>
  </si>
  <si>
    <t>ALEATÓRIO 3501</t>
  </si>
  <si>
    <t>ALEATÓRIO 3502</t>
  </si>
  <si>
    <t>ALEATÓRIO 3503</t>
  </si>
  <si>
    <t>ALEATÓRIO 3504</t>
  </si>
  <si>
    <t>ALEATÓRIO 3505</t>
  </si>
  <si>
    <t>ALEATÓRIO 3506</t>
  </si>
  <si>
    <t>ALEATÓRIO 3507</t>
  </si>
  <si>
    <t>ALEATÓRIO 3508</t>
  </si>
  <si>
    <t>ALEATÓRIO 3509</t>
  </si>
  <si>
    <t>ALEATÓRIO 3510</t>
  </si>
  <si>
    <t>ALEATÓRIO 3511</t>
  </si>
  <si>
    <t>ALEATÓRIO 3512</t>
  </si>
  <si>
    <t>ALEATÓRIO 3513</t>
  </si>
  <si>
    <t>ALEATÓRIO 3514</t>
  </si>
  <si>
    <t>ALEATÓRIO 3515</t>
  </si>
  <si>
    <t>ALEATÓRIO 3516</t>
  </si>
  <si>
    <t>ALEATÓRIO 3517</t>
  </si>
  <si>
    <t>ALEATÓRIO 3518</t>
  </si>
  <si>
    <t>ALEATÓRIO 3519</t>
  </si>
  <si>
    <t>ALEATÓRIO 3520</t>
  </si>
  <si>
    <t>ALEATÓRIO 3521</t>
  </si>
  <si>
    <t>ALEATÓRIO 3522</t>
  </si>
  <si>
    <t>ALEATÓRIO 3523</t>
  </si>
  <si>
    <t>ALEATÓRIO 3524</t>
  </si>
  <si>
    <t>ALEATÓRIO 3525</t>
  </si>
  <si>
    <t>ALEATÓRIO 3526</t>
  </si>
  <si>
    <t>ALEATÓRIO 3527</t>
  </si>
  <si>
    <t>ALEATÓRIO 3528</t>
  </si>
  <si>
    <t>ALEATÓRIO 3529</t>
  </si>
  <si>
    <t>ALEATÓRIO 3530</t>
  </si>
  <si>
    <t>ALEATÓRIO 3531</t>
  </si>
  <si>
    <t>ALEATÓRIO 3532</t>
  </si>
  <si>
    <t>ALEATÓRIO 3533</t>
  </si>
  <si>
    <t>ALEATÓRIO 3534</t>
  </si>
  <si>
    <t>ALEATÓRIO 3535</t>
  </si>
  <si>
    <t>ALEATÓRIO 3536</t>
  </si>
  <si>
    <t>ALEATÓRIO 3537</t>
  </si>
  <si>
    <t>ALEATÓRIO 3538</t>
  </si>
  <si>
    <t>ALEATÓRIO 3539</t>
  </si>
  <si>
    <t>ALEATÓRIO 3540</t>
  </si>
  <si>
    <t>ALEATÓRIO 3541</t>
  </si>
  <si>
    <t>ALEATÓRIO 3542</t>
  </si>
  <si>
    <t>ALEATÓRIO 3543</t>
  </si>
  <si>
    <t>ALEATÓRIO 3544</t>
  </si>
  <si>
    <t>ALEATÓRIO 3545</t>
  </si>
  <si>
    <t>ALEATÓRIO 3546</t>
  </si>
  <si>
    <t>ALEATÓRIO 3547</t>
  </si>
  <si>
    <t>ALEATÓRIO 3548</t>
  </si>
  <si>
    <t>ALEATÓRIO 3549</t>
  </si>
  <si>
    <t>ALEATÓRIO 3550</t>
  </si>
  <si>
    <t>ALEATÓRIO 3551</t>
  </si>
  <si>
    <t>ALEATÓRIO 3552</t>
  </si>
  <si>
    <t>ALEATÓRIO 3553</t>
  </si>
  <si>
    <t>ALEATÓRIO 3554</t>
  </si>
  <si>
    <t>ALEATÓRIO 3555</t>
  </si>
  <si>
    <t>ALEATÓRIO 3556</t>
  </si>
  <si>
    <t>ALEATÓRIO 3557</t>
  </si>
  <si>
    <t>ALEATÓRIO 3558</t>
  </si>
  <si>
    <t>ALEATÓRIO 3559</t>
  </si>
  <si>
    <t>ALEATÓRIO 3560</t>
  </si>
  <si>
    <t>ALEATÓRIO 3561</t>
  </si>
  <si>
    <t>ALEATÓRIO 3562</t>
  </si>
  <si>
    <t>ALEATÓRIO 3563</t>
  </si>
  <si>
    <t>ALEATÓRIO 3564</t>
  </si>
  <si>
    <t>ALEATÓRIO 3565</t>
  </si>
  <si>
    <t>ALEATÓRIO 3566</t>
  </si>
  <si>
    <t>ALEATÓRIO 3567</t>
  </si>
  <si>
    <t>ALEATÓRIO 3568</t>
  </si>
  <si>
    <t>ALEATÓRIO 3569</t>
  </si>
  <si>
    <t>ALEATÓRIO 3570</t>
  </si>
  <si>
    <t>ALEATÓRIO 3571</t>
  </si>
  <si>
    <t>ALEATÓRIO 3572</t>
  </si>
  <si>
    <t>ALEATÓRIO 3573</t>
  </si>
  <si>
    <t>ALEATÓRIO 3574</t>
  </si>
  <si>
    <t>ALEATÓRIO 3575</t>
  </si>
  <si>
    <t>ALEATÓRIO 3576</t>
  </si>
  <si>
    <t>ALEATÓRIO 3577</t>
  </si>
  <si>
    <t>ALEATÓRIO 3578</t>
  </si>
  <si>
    <t>ALEATÓRIO 3579</t>
  </si>
  <si>
    <t>ALEATÓRIO 3580</t>
  </si>
  <si>
    <t>ALEATÓRIO 3581</t>
  </si>
  <si>
    <t>ALEATÓRIO 3582</t>
  </si>
  <si>
    <t>ALEATÓRIO 3583</t>
  </si>
  <si>
    <t>ALEATÓRIO 3584</t>
  </si>
  <si>
    <t>ALEATÓRIO 3585</t>
  </si>
  <si>
    <t>ALEATÓRIO 3586</t>
  </si>
  <si>
    <t>ALEATÓRIO 3587</t>
  </si>
  <si>
    <t>ALEATÓRIO 3588</t>
  </si>
  <si>
    <t>ALEATÓRIO 3589</t>
  </si>
  <si>
    <t>ALEATÓRIO 3590</t>
  </si>
  <si>
    <t>ALEATÓRIO 3591</t>
  </si>
  <si>
    <t>ALEATÓRIO 3592</t>
  </si>
  <si>
    <t>ALEATÓRIO 3593</t>
  </si>
  <si>
    <t>ALEATÓRIO 3594</t>
  </si>
  <si>
    <t>ALEATÓRIO 3595</t>
  </si>
  <si>
    <t>ALEATÓRIO 3596</t>
  </si>
  <si>
    <t>ALEATÓRIO 3597</t>
  </si>
  <si>
    <t>ALEATÓRIO 3598</t>
  </si>
  <si>
    <t>ALEATÓRIO 3599</t>
  </si>
  <si>
    <t>ALEATÓRIO 3600</t>
  </si>
  <si>
    <t>ALEATÓRIO 3601</t>
  </si>
  <si>
    <t>ALEATÓRIO 3602</t>
  </si>
  <si>
    <t>ALEATÓRIO 3603</t>
  </si>
  <si>
    <t>ALEATÓRIO 3604</t>
  </si>
  <si>
    <t>ALEATÓRIO 3605</t>
  </si>
  <si>
    <t>ALEATÓRIO 3606</t>
  </si>
  <si>
    <t>ALEATÓRIO 3607</t>
  </si>
  <si>
    <t>ALEATÓRIO 3608</t>
  </si>
  <si>
    <t>ALEATÓRIO 3609</t>
  </si>
  <si>
    <t>ALEATÓRIO 3610</t>
  </si>
  <si>
    <t>ALEATÓRIO 3611</t>
  </si>
  <si>
    <t>ALEATÓRIO 3612</t>
  </si>
  <si>
    <t>ALEATÓRIO 3613</t>
  </si>
  <si>
    <t>ALEATÓRIO 3614</t>
  </si>
  <si>
    <t>ALEATÓRIO 3615</t>
  </si>
  <si>
    <t>ALEATÓRIO 3616</t>
  </si>
  <si>
    <t>ALEATÓRIO 3617</t>
  </si>
  <si>
    <t>ALEATÓRIO 3618</t>
  </si>
  <si>
    <t>ALEATÓRIO 3619</t>
  </si>
  <si>
    <t>ALEATÓRIO 3620</t>
  </si>
  <si>
    <t>ALEATÓRIO 3621</t>
  </si>
  <si>
    <t>ALEATÓRIO 3622</t>
  </si>
  <si>
    <t>ALEATÓRIO 3623</t>
  </si>
  <si>
    <t>ALEATÓRIO 3624</t>
  </si>
  <si>
    <t>ALEATÓRIO 3625</t>
  </si>
  <si>
    <t>ALEATÓRIO 3626</t>
  </si>
  <si>
    <t>ALEATÓRIO 3627</t>
  </si>
  <si>
    <t>ALEATÓRIO 3628</t>
  </si>
  <si>
    <t>ALEATÓRIO 3629</t>
  </si>
  <si>
    <t>ALEATÓRIO 3630</t>
  </si>
  <si>
    <t>ALEATÓRIO 3631</t>
  </si>
  <si>
    <t>ALEATÓRIO 3632</t>
  </si>
  <si>
    <t>ALEATÓRIO 3633</t>
  </si>
  <si>
    <t>ALEATÓRIO 3634</t>
  </si>
  <si>
    <t>ALEATÓRIO 3635</t>
  </si>
  <si>
    <t>ALEATÓRIO 3636</t>
  </si>
  <si>
    <t>ALEATÓRIO 3637</t>
  </si>
  <si>
    <t>ALEATÓRIO 3638</t>
  </si>
  <si>
    <t>ALEATÓRIO 3639</t>
  </si>
  <si>
    <t>ALEATÓRIO 3640</t>
  </si>
  <si>
    <t>ALEATÓRIO 3641</t>
  </si>
  <si>
    <t>ALEATÓRIO 3642</t>
  </si>
  <si>
    <t>ALEATÓRIO 3643</t>
  </si>
  <si>
    <t>ALEATÓRIO 3644</t>
  </si>
  <si>
    <t>ALEATÓRIO 3645</t>
  </si>
  <si>
    <t>ALEATÓRIO 3646</t>
  </si>
  <si>
    <t>ALEATÓRIO 3647</t>
  </si>
  <si>
    <t>ALEATÓRIO 3648</t>
  </si>
  <si>
    <t>ALEATÓRIO 3649</t>
  </si>
  <si>
    <t>ALEATÓRIO 3650</t>
  </si>
  <si>
    <t>ALEATÓRIO 3651</t>
  </si>
  <si>
    <t>ALEATÓRIO 3652</t>
  </si>
  <si>
    <t>ALEATÓRIO 3653</t>
  </si>
  <si>
    <t>ALEATÓRIO 3654</t>
  </si>
  <si>
    <t>ALEATÓRIO 3655</t>
  </si>
  <si>
    <t>ALEATÓRIO 3656</t>
  </si>
  <si>
    <t>ALEATÓRIO 3657</t>
  </si>
  <si>
    <t>ALEATÓRIO 3658</t>
  </si>
  <si>
    <t>ALEATÓRIO 3659</t>
  </si>
  <si>
    <t>ALEATÓRIO 3660</t>
  </si>
  <si>
    <t>ALEATÓRIO 3661</t>
  </si>
  <si>
    <t>ALEATÓRIO 3662</t>
  </si>
  <si>
    <t>ALEATÓRIO 3663</t>
  </si>
  <si>
    <t>ALEATÓRIO 3664</t>
  </si>
  <si>
    <t>ALEATÓRIO 3665</t>
  </si>
  <si>
    <t>ALEATÓRIO 3666</t>
  </si>
  <si>
    <t>ALEATÓRIO 3667</t>
  </si>
  <si>
    <t>ALEATÓRIO 3668</t>
  </si>
  <si>
    <t>ALEATÓRIO 3669</t>
  </si>
  <si>
    <t>ALEATÓRIO 3670</t>
  </si>
  <si>
    <t>ALEATÓRIO 3671</t>
  </si>
  <si>
    <t>ALEATÓRIO 3672</t>
  </si>
  <si>
    <t>ALEATÓRIO 3673</t>
  </si>
  <si>
    <t>ALEATÓRIO 3674</t>
  </si>
  <si>
    <t>ALEATÓRIO 3675</t>
  </si>
  <si>
    <t>ALEATÓRIO 3676</t>
  </si>
  <si>
    <t>ALEATÓRIO 3677</t>
  </si>
  <si>
    <t>ALEATÓRIO 3678</t>
  </si>
  <si>
    <t>ALEATÓRIO 3679</t>
  </si>
  <si>
    <t>ALEATÓRIO 3680</t>
  </si>
  <si>
    <t>ALEATÓRIO 3681</t>
  </si>
  <si>
    <t>ALEATÓRIO 3682</t>
  </si>
  <si>
    <t>ALEATÓRIO 3683</t>
  </si>
  <si>
    <t>ALEATÓRIO 3684</t>
  </si>
  <si>
    <t>ALEATÓRIO 3685</t>
  </si>
  <si>
    <t>ALEATÓRIO 3686</t>
  </si>
  <si>
    <t>ALEATÓRIO 3687</t>
  </si>
  <si>
    <t>ALEATÓRIO 3688</t>
  </si>
  <si>
    <t>ALEATÓRIO 3689</t>
  </si>
  <si>
    <t>ALEATÓRIO 3690</t>
  </si>
  <si>
    <t>ALEATÓRIO 3691</t>
  </si>
  <si>
    <t>ALEATÓRIO 3692</t>
  </si>
  <si>
    <t>ALEATÓRIO 3693</t>
  </si>
  <si>
    <t>ALEATÓRIO 3694</t>
  </si>
  <si>
    <t>ALEATÓRIO 3695</t>
  </si>
  <si>
    <t>ALEATÓRIO 3696</t>
  </si>
  <si>
    <t>ALEATÓRIO 3697</t>
  </si>
  <si>
    <t>ALEATÓRIO 3698</t>
  </si>
  <si>
    <t>ALEATÓRIO 3699</t>
  </si>
  <si>
    <t>ALEATÓRIO 3700</t>
  </si>
  <si>
    <t>ALEATÓRIO 3701</t>
  </si>
  <si>
    <t>ALEATÓRIO 3702</t>
  </si>
  <si>
    <t>ALEATÓRIO 3703</t>
  </si>
  <si>
    <t>ALEATÓRIO 3704</t>
  </si>
  <si>
    <t>ALEATÓRIO 3705</t>
  </si>
  <si>
    <t>ALEATÓRIO 3706</t>
  </si>
  <si>
    <t>ALEATÓRIO 3707</t>
  </si>
  <si>
    <t>ALEATÓRIO 3708</t>
  </si>
  <si>
    <t>ALEATÓRIO 3709</t>
  </si>
  <si>
    <t>ALEATÓRIO 3710</t>
  </si>
  <si>
    <t>ALEATÓRIO 3711</t>
  </si>
  <si>
    <t>ALEATÓRIO 3712</t>
  </si>
  <si>
    <t>ALEATÓRIO 3713</t>
  </si>
  <si>
    <t>ALEATÓRIO 3714</t>
  </si>
  <si>
    <t>ALEATÓRIO 3715</t>
  </si>
  <si>
    <t>ALEATÓRIO 3716</t>
  </si>
  <si>
    <t>ALEATÓRIO 3717</t>
  </si>
  <si>
    <t>ALEATÓRIO 3718</t>
  </si>
  <si>
    <t>ALEATÓRIO 3719</t>
  </si>
  <si>
    <t>ALEATÓRIO 3720</t>
  </si>
  <si>
    <t>ALEATÓRIO 3721</t>
  </si>
  <si>
    <t>ALEATÓRIO 3722</t>
  </si>
  <si>
    <t>ALEATÓRIO 3723</t>
  </si>
  <si>
    <t>ALEATÓRIO 3724</t>
  </si>
  <si>
    <t>ALEATÓRIO 3725</t>
  </si>
  <si>
    <t>ALEATÓRIO 3726</t>
  </si>
  <si>
    <t>ALEATÓRIO 3727</t>
  </si>
  <si>
    <t>ALEATÓRIO 3728</t>
  </si>
  <si>
    <t>ALEATÓRIO 3729</t>
  </si>
  <si>
    <t>ALEATÓRIO 3730</t>
  </si>
  <si>
    <t>ALEATÓRIO 3731</t>
  </si>
  <si>
    <t>ALEATÓRIO 3732</t>
  </si>
  <si>
    <t>ALEATÓRIO 3733</t>
  </si>
  <si>
    <t>ALEATÓRIO 3734</t>
  </si>
  <si>
    <t>ALEATÓRIO 3735</t>
  </si>
  <si>
    <t>ALEATÓRIO 3736</t>
  </si>
  <si>
    <t>ALEATÓRIO 3737</t>
  </si>
  <si>
    <t>ALEATÓRIO 3738</t>
  </si>
  <si>
    <t>ALEATÓRIO 3739</t>
  </si>
  <si>
    <t>ALEATÓRIO 3740</t>
  </si>
  <si>
    <t>ALEATÓRIO 3741</t>
  </si>
  <si>
    <t>ALEATÓRIO 3742</t>
  </si>
  <si>
    <t>ALEATÓRIO 3743</t>
  </si>
  <si>
    <t>ALEATÓRIO 3744</t>
  </si>
  <si>
    <t>ALEATÓRIO 3745</t>
  </si>
  <si>
    <t>ALEATÓRIO 3746</t>
  </si>
  <si>
    <t>ALEATÓRIO 3747</t>
  </si>
  <si>
    <t>ALEATÓRIO 3748</t>
  </si>
  <si>
    <t>ALEATÓRIO 3749</t>
  </si>
  <si>
    <t>ALEATÓRIO 3750</t>
  </si>
  <si>
    <t>ALEATÓRIO 3751</t>
  </si>
  <si>
    <t>ALEATÓRIO 3752</t>
  </si>
  <si>
    <t>ALEATÓRIO 3753</t>
  </si>
  <si>
    <t>ALEATÓRIO 3754</t>
  </si>
  <si>
    <t>ALEATÓRIO 3755</t>
  </si>
  <si>
    <t>ALEATÓRIO 3756</t>
  </si>
  <si>
    <t>ALEATÓRIO 3757</t>
  </si>
  <si>
    <t>ALEATÓRIO 3758</t>
  </si>
  <si>
    <t>ALEATÓRIO 3759</t>
  </si>
  <si>
    <t>ALEATÓRIO 3760</t>
  </si>
  <si>
    <t>ALEATÓRIO 3761</t>
  </si>
  <si>
    <t>ALEATÓRIO 3762</t>
  </si>
  <si>
    <t>ALEATÓRIO 3763</t>
  </si>
  <si>
    <t>ALEATÓRIO 3764</t>
  </si>
  <si>
    <t>ALEATÓRIO 3765</t>
  </si>
  <si>
    <t>ALEATÓRIO 3766</t>
  </si>
  <si>
    <t>ALEATÓRIO 3767</t>
  </si>
  <si>
    <t>ALEATÓRIO 3768</t>
  </si>
  <si>
    <t>ALEATÓRIO 3769</t>
  </si>
  <si>
    <t>ALEATÓRIO 3770</t>
  </si>
  <si>
    <t>ALEATÓRIO 3771</t>
  </si>
  <si>
    <t>ALEATÓRIO 3772</t>
  </si>
  <si>
    <t>ALEATÓRIO 3773</t>
  </si>
  <si>
    <t>ALEATÓRIO 3774</t>
  </si>
  <si>
    <t>ALEATÓRIO 3775</t>
  </si>
  <si>
    <t>ALEATÓRIO 3776</t>
  </si>
  <si>
    <t>ALEATÓRIO 3777</t>
  </si>
  <si>
    <t>ALEATÓRIO 3778</t>
  </si>
  <si>
    <t>ALEATÓRIO 3779</t>
  </si>
  <si>
    <t>ALEATÓRIO 3780</t>
  </si>
  <si>
    <t>ALEATÓRIO 3781</t>
  </si>
  <si>
    <t>ALEATÓRIO 3782</t>
  </si>
  <si>
    <t>ALEATÓRIO 3783</t>
  </si>
  <si>
    <t>ALEATÓRIO 3784</t>
  </si>
  <si>
    <t>ALEATÓRIO 3785</t>
  </si>
  <si>
    <t>ALEATÓRIO 3786</t>
  </si>
  <si>
    <t>ALEATÓRIO 3787</t>
  </si>
  <si>
    <t>ALEATÓRIO 3788</t>
  </si>
  <si>
    <t>ALEATÓRIO 3789</t>
  </si>
  <si>
    <t>ALEATÓRIO 3790</t>
  </si>
  <si>
    <t>ALEATÓRIO 3791</t>
  </si>
  <si>
    <t>ALEATÓRIO 3792</t>
  </si>
  <si>
    <t>ALEATÓRIO 3793</t>
  </si>
  <si>
    <t>ALEATÓRIO 3794</t>
  </si>
  <si>
    <t>ALEATÓRIO 3795</t>
  </si>
  <si>
    <t>ALEATÓRIO 3796</t>
  </si>
  <si>
    <t>ALEATÓRIO 3797</t>
  </si>
  <si>
    <t>ALEATÓRIO 3798</t>
  </si>
  <si>
    <t>ALEATÓRIO 3799</t>
  </si>
  <si>
    <t>ALEATÓRIO 3800</t>
  </si>
  <si>
    <t>ALEATÓRIO 3801</t>
  </si>
  <si>
    <t>ALEATÓRIO 3802</t>
  </si>
  <si>
    <t>ALEATÓRIO 3803</t>
  </si>
  <si>
    <t>ALEATÓRIO 3804</t>
  </si>
  <si>
    <t>ALEATÓRIO 3805</t>
  </si>
  <si>
    <t>ALEATÓRIO 3806</t>
  </si>
  <si>
    <t>ALEATÓRIO 3807</t>
  </si>
  <si>
    <t>ALEATÓRIO 3808</t>
  </si>
  <si>
    <t>ALEATÓRIO 3809</t>
  </si>
  <si>
    <t>ALEATÓRIO 3810</t>
  </si>
  <si>
    <t>ALEATÓRIO 3811</t>
  </si>
  <si>
    <t>ALEATÓRIO 3812</t>
  </si>
  <si>
    <t>ALEATÓRIO 3813</t>
  </si>
  <si>
    <t>ALEATÓRIO 3814</t>
  </si>
  <si>
    <t>ALEATÓRIO 3815</t>
  </si>
  <si>
    <t>ALEATÓRIO 3816</t>
  </si>
  <si>
    <t>ALEATÓRIO 3817</t>
  </si>
  <si>
    <t>ALEATÓRIO 3818</t>
  </si>
  <si>
    <t>ALEATÓRIO 3819</t>
  </si>
  <si>
    <t>ALEATÓRIO 3820</t>
  </si>
  <si>
    <t>ALEATÓRIO 3821</t>
  </si>
  <si>
    <t>ALEATÓRIO 3822</t>
  </si>
  <si>
    <t>ALEATÓRIO 3823</t>
  </si>
  <si>
    <t>ALEATÓRIO 3824</t>
  </si>
  <si>
    <t>ALEATÓRIO 3825</t>
  </si>
  <si>
    <t>ALEATÓRIO 3826</t>
  </si>
  <si>
    <t>ALEATÓRIO 3827</t>
  </si>
  <si>
    <t>ALEATÓRIO 3828</t>
  </si>
  <si>
    <t>ALEATÓRIO 3829</t>
  </si>
  <si>
    <t>ALEATÓRIO 3830</t>
  </si>
  <si>
    <t>ALEATÓRIO 3831</t>
  </si>
  <si>
    <t>ALEATÓRIO 3832</t>
  </si>
  <si>
    <t>ALEATÓRIO 3833</t>
  </si>
  <si>
    <t>ALEATÓRIO 3834</t>
  </si>
  <si>
    <t>ALEATÓRIO 3835</t>
  </si>
  <si>
    <t>ALEATÓRIO 3836</t>
  </si>
  <si>
    <t>ALEATÓRIO 3837</t>
  </si>
  <si>
    <t>ALEATÓRIO 3838</t>
  </si>
  <si>
    <t>ALEATÓRIO 3839</t>
  </si>
  <si>
    <t>ALEATÓRIO 3840</t>
  </si>
  <si>
    <t>ALEATÓRIO 3841</t>
  </si>
  <si>
    <t>ALEATÓRIO 3842</t>
  </si>
  <si>
    <t>ALEATÓRIO 3843</t>
  </si>
  <si>
    <t>ALEATÓRIO 3844</t>
  </si>
  <si>
    <t>ALEATÓRIO 3845</t>
  </si>
  <si>
    <t>ALEATÓRIO 3846</t>
  </si>
  <si>
    <t>ALEATÓRIO 3847</t>
  </si>
  <si>
    <t>ALEATÓRIO 3848</t>
  </si>
  <si>
    <t>ALEATÓRIO 3849</t>
  </si>
  <si>
    <t>ALEATÓRIO 3850</t>
  </si>
  <si>
    <t>ALEATÓRIO 3851</t>
  </si>
  <si>
    <t>ALEATÓRIO 3852</t>
  </si>
  <si>
    <t>ALEATÓRIO 3853</t>
  </si>
  <si>
    <t>ALEATÓRIO 3854</t>
  </si>
  <si>
    <t>ALEATÓRIO 3855</t>
  </si>
  <si>
    <t>ALEATÓRIO 3856</t>
  </si>
  <si>
    <t>ALEATÓRIO 3857</t>
  </si>
  <si>
    <t>ALEATÓRIO 3858</t>
  </si>
  <si>
    <t>ALEATÓRIO 3859</t>
  </si>
  <si>
    <t>ALEATÓRIO 3860</t>
  </si>
  <si>
    <t>ALEATÓRIO 3861</t>
  </si>
  <si>
    <t>ALEATÓRIO 3862</t>
  </si>
  <si>
    <t>ALEATÓRIO 3863</t>
  </si>
  <si>
    <t>ALEATÓRIO 3864</t>
  </si>
  <si>
    <t>ALEATÓRIO 3865</t>
  </si>
  <si>
    <t>ALEATÓRIO 3866</t>
  </si>
  <si>
    <t>ALEATÓRIO 3867</t>
  </si>
  <si>
    <t>ALEATÓRIO 3868</t>
  </si>
  <si>
    <t>ALEATÓRIO 3869</t>
  </si>
  <si>
    <t>ALEATÓRIO 3870</t>
  </si>
  <si>
    <t>ALEATÓRIO 3871</t>
  </si>
  <si>
    <t>ALEATÓRIO 3872</t>
  </si>
  <si>
    <t>ALEATÓRIO 3873</t>
  </si>
  <si>
    <t>ALEATÓRIO 3874</t>
  </si>
  <si>
    <t>ALEATÓRIO 3875</t>
  </si>
  <si>
    <t>ALEATÓRIO 3876</t>
  </si>
  <si>
    <t>ALEATÓRIO 3877</t>
  </si>
  <si>
    <t>ALEATÓRIO 3878</t>
  </si>
  <si>
    <t>ALEATÓRIO 3879</t>
  </si>
  <si>
    <t>ALEATÓRIO 3880</t>
  </si>
  <si>
    <t>ALEATÓRIO 3881</t>
  </si>
  <si>
    <t>ALEATÓRIO 3882</t>
  </si>
  <si>
    <t>ALEATÓRIO 3883</t>
  </si>
  <si>
    <t>ALEATÓRIO 3884</t>
  </si>
  <si>
    <t>ALEATÓRIO 3885</t>
  </si>
  <si>
    <t>ALEATÓRIO 3886</t>
  </si>
  <si>
    <t>ALEATÓRIO 3887</t>
  </si>
  <si>
    <t>ALEATÓRIO 3888</t>
  </si>
  <si>
    <t>ALEATÓRIO 3889</t>
  </si>
  <si>
    <t>ALEATÓRIO 3890</t>
  </si>
  <si>
    <t>ALEATÓRIO 3891</t>
  </si>
  <si>
    <t>ALEATÓRIO 3892</t>
  </si>
  <si>
    <t>ALEATÓRIO 3893</t>
  </si>
  <si>
    <t>ALEATÓRIO 3894</t>
  </si>
  <si>
    <t>ALEATÓRIO 3895</t>
  </si>
  <si>
    <t>ALEATÓRIO 3896</t>
  </si>
  <si>
    <t>ALEATÓRIO 3897</t>
  </si>
  <si>
    <t>ALEATÓRIO 3898</t>
  </si>
  <si>
    <t>ALEATÓRIO 3899</t>
  </si>
  <si>
    <t>ALEATÓRIO 3900</t>
  </si>
  <si>
    <t>ALEATÓRIO 3901</t>
  </si>
  <si>
    <t>ALEATÓRIO 3902</t>
  </si>
  <si>
    <t>ALEATÓRIO 3903</t>
  </si>
  <si>
    <t>ALEATÓRIO 3904</t>
  </si>
  <si>
    <t>ALEATÓRIO 3905</t>
  </si>
  <si>
    <t>ALEATÓRIO 3906</t>
  </si>
  <si>
    <t>ALEATÓRIO 3907</t>
  </si>
  <si>
    <t>ALEATÓRIO 3908</t>
  </si>
  <si>
    <t>ALEATÓRIO 3909</t>
  </si>
  <si>
    <t>ALEATÓRIO 3910</t>
  </si>
  <si>
    <t>ALEATÓRIO 3911</t>
  </si>
  <si>
    <t>ALEATÓRIO 3912</t>
  </si>
  <si>
    <t>ALEATÓRIO 3913</t>
  </si>
  <si>
    <t>ALEATÓRIO 3914</t>
  </si>
  <si>
    <t>ALEATÓRIO 3915</t>
  </si>
  <si>
    <t>ALEATÓRIO 3916</t>
  </si>
  <si>
    <t>ALEATÓRIO 3917</t>
  </si>
  <si>
    <t>ALEATÓRIO 3918</t>
  </si>
  <si>
    <t>ALEATÓRIO 3919</t>
  </si>
  <si>
    <t>ALEATÓRIO 3920</t>
  </si>
  <si>
    <t>ALEATÓRIO 3921</t>
  </si>
  <si>
    <t>ALEATÓRIO 3922</t>
  </si>
  <si>
    <t>ALEATÓRIO 3923</t>
  </si>
  <si>
    <t>ALEATÓRIO 3924</t>
  </si>
  <si>
    <t>ALEATÓRIO 3925</t>
  </si>
  <si>
    <t>ALEATÓRIO 3926</t>
  </si>
  <si>
    <t>ALEATÓRIO 3927</t>
  </si>
  <si>
    <t>ALEATÓRIO 3928</t>
  </si>
  <si>
    <t>ALEATÓRIO 3929</t>
  </si>
  <si>
    <t>ALEATÓRIO 3930</t>
  </si>
  <si>
    <t>ALEATÓRIO 3931</t>
  </si>
  <si>
    <t>ALEATÓRIO 3932</t>
  </si>
  <si>
    <t>ALEATÓRIO 3933</t>
  </si>
  <si>
    <t>ALEATÓRIO 3934</t>
  </si>
  <si>
    <t>ALEATÓRIO 3935</t>
  </si>
  <si>
    <t>ALEATÓRIO 3936</t>
  </si>
  <si>
    <t>ALEATÓRIO 3937</t>
  </si>
  <si>
    <t>ALEATÓRIO 3938</t>
  </si>
  <si>
    <t>ALEATÓRIO 3939</t>
  </si>
  <si>
    <t>ALEATÓRIO 3940</t>
  </si>
  <si>
    <t>ALEATÓRIO 3941</t>
  </si>
  <si>
    <t>ALEATÓRIO 3942</t>
  </si>
  <si>
    <t>ALEATÓRIO 3943</t>
  </si>
  <si>
    <t>ALEATÓRIO 3944</t>
  </si>
  <si>
    <t>ALEATÓRIO 3945</t>
  </si>
  <si>
    <t>ALEATÓRIO 3946</t>
  </si>
  <si>
    <t>ALEATÓRIO 3947</t>
  </si>
  <si>
    <t>ALEATÓRIO 3948</t>
  </si>
  <si>
    <t>ALEATÓRIO 3949</t>
  </si>
  <si>
    <t>ALEATÓRIO 3950</t>
  </si>
  <si>
    <t>ALEATÓRIO 3951</t>
  </si>
  <si>
    <t>ALEATÓRIO 3952</t>
  </si>
  <si>
    <t>ALEATÓRIO 3953</t>
  </si>
  <si>
    <t>ALEATÓRIO 3954</t>
  </si>
  <si>
    <t>ALEATÓRIO 3955</t>
  </si>
  <si>
    <t>ALEATÓRIO 3956</t>
  </si>
  <si>
    <t>ALEATÓRIO 3957</t>
  </si>
  <si>
    <t>ALEATÓRIO 3958</t>
  </si>
  <si>
    <t>ALEATÓRIO 3959</t>
  </si>
  <si>
    <t>ALEATÓRIO 3960</t>
  </si>
  <si>
    <t>ALEATÓRIO 3961</t>
  </si>
  <si>
    <t>ALEATÓRIO 3962</t>
  </si>
  <si>
    <t>ALEATÓRIO 3963</t>
  </si>
  <si>
    <t>ALEATÓRIO 3964</t>
  </si>
  <si>
    <t>ALEATÓRIO 3965</t>
  </si>
  <si>
    <t>ALEATÓRIO 3966</t>
  </si>
  <si>
    <t>ALEATÓRIO 3967</t>
  </si>
  <si>
    <t>ALEATÓRIO 3968</t>
  </si>
  <si>
    <t>ALEATÓRIO 3969</t>
  </si>
  <si>
    <t>ALEATÓRIO 3970</t>
  </si>
  <si>
    <t>ALEATÓRIO 3971</t>
  </si>
  <si>
    <t>ALEATÓRIO 3972</t>
  </si>
  <si>
    <t>ALEATÓRIO 3973</t>
  </si>
  <si>
    <t>ALEATÓRIO 3974</t>
  </si>
  <si>
    <t>ALEATÓRIO 3975</t>
  </si>
  <si>
    <t>ALEATÓRIO 3976</t>
  </si>
  <si>
    <t>ALEATÓRIO 3977</t>
  </si>
  <si>
    <t>ALEATÓRIO 3978</t>
  </si>
  <si>
    <t>ALEATÓRIO 3979</t>
  </si>
  <si>
    <t>ALEATÓRIO 3980</t>
  </si>
  <si>
    <t>ALEATÓRIO 3981</t>
  </si>
  <si>
    <t>ALEATÓRIO 3982</t>
  </si>
  <si>
    <t>ALEATÓRIO 3983</t>
  </si>
  <si>
    <t>ALEATÓRIO 3984</t>
  </si>
  <si>
    <t>ALEATÓRIO 3985</t>
  </si>
  <si>
    <t>ALEATÓRIO 3986</t>
  </si>
  <si>
    <t>ALEATÓRIO 3987</t>
  </si>
  <si>
    <t>ALEATÓRIO 3988</t>
  </si>
  <si>
    <t>ALEATÓRIO 3989</t>
  </si>
  <si>
    <t>ALEATÓRIO 3990</t>
  </si>
  <si>
    <t>ALEATÓRIO 3991</t>
  </si>
  <si>
    <t>ALEATÓRIO 3992</t>
  </si>
  <si>
    <t>ALEATÓRIO 3993</t>
  </si>
  <si>
    <t>ALEATÓRIO 3994</t>
  </si>
  <si>
    <t>ALEATÓRIO 3995</t>
  </si>
  <si>
    <t>ALEATÓRIO 3996</t>
  </si>
  <si>
    <t>ALEATÓRIO 3997</t>
  </si>
  <si>
    <t>ALEATÓRIO 3998</t>
  </si>
  <si>
    <t>ALEATÓRIO 3999</t>
  </si>
  <si>
    <t>ALEATÓRIO 4000</t>
  </si>
  <si>
    <t>ALEATÓRIO 4001</t>
  </si>
  <si>
    <t>ALEATÓRIO 4002</t>
  </si>
  <si>
    <t>ALEATÓRIO 4003</t>
  </si>
  <si>
    <t>ALEATÓRIO 4004</t>
  </si>
  <si>
    <t>ALEATÓRIO 4005</t>
  </si>
  <si>
    <t>ALEATÓRIO 4006</t>
  </si>
  <si>
    <t>ALEATÓRIO 4007</t>
  </si>
  <si>
    <t>ALEATÓRIO 4008</t>
  </si>
  <si>
    <t>ALEATÓRIO 4009</t>
  </si>
  <si>
    <t>ALEATÓRIO 4010</t>
  </si>
  <si>
    <t>ALEATÓRIO 4011</t>
  </si>
  <si>
    <t>ALEATÓRIO 4012</t>
  </si>
  <si>
    <t>ALEATÓRIO 4013</t>
  </si>
  <si>
    <t>ALEATÓRIO 4014</t>
  </si>
  <si>
    <t>ALEATÓRIO 4015</t>
  </si>
  <si>
    <t>ALEATÓRIO 4016</t>
  </si>
  <si>
    <t>ALEATÓRIO 4017</t>
  </si>
  <si>
    <t>ALEATÓRIO 4018</t>
  </si>
  <si>
    <t>ALEATÓRIO 4019</t>
  </si>
  <si>
    <t>ALEATÓRIO 4020</t>
  </si>
  <si>
    <t>ALEATÓRIO 4021</t>
  </si>
  <si>
    <t>ALEATÓRIO 4022</t>
  </si>
  <si>
    <t>ALEATÓRIO 4023</t>
  </si>
  <si>
    <t>ALEATÓRIO 4024</t>
  </si>
  <si>
    <t>ALEATÓRIO 4025</t>
  </si>
  <si>
    <t>ALEATÓRIO 4026</t>
  </si>
  <si>
    <t>ALEATÓRIO 4027</t>
  </si>
  <si>
    <t>ALEATÓRIO 4028</t>
  </si>
  <si>
    <t>ALEATÓRIO 4029</t>
  </si>
  <si>
    <t>ALEATÓRIO 4030</t>
  </si>
  <si>
    <t>ALEATÓRIO 4031</t>
  </si>
  <si>
    <t>ALEATÓRIO 4032</t>
  </si>
  <si>
    <t>ALEATÓRIO 4033</t>
  </si>
  <si>
    <t>ALEATÓRIO 4034</t>
  </si>
  <si>
    <t>ALEATÓRIO 4035</t>
  </si>
  <si>
    <t>ALEATÓRIO 4036</t>
  </si>
  <si>
    <t>ALEATÓRIO 4037</t>
  </si>
  <si>
    <t>ALEATÓRIO 4038</t>
  </si>
  <si>
    <t>ALEATÓRIO 4039</t>
  </si>
  <si>
    <t>ALEATÓRIO 4040</t>
  </si>
  <si>
    <t>ALEATÓRIO 4041</t>
  </si>
  <si>
    <t>ALEATÓRIO 4042</t>
  </si>
  <si>
    <t>ALEATÓRIO 4043</t>
  </si>
  <si>
    <t>ALEATÓRIO 4044</t>
  </si>
  <si>
    <t>ALEATÓRIO 4045</t>
  </si>
  <si>
    <t>ALEATÓRIO 4046</t>
  </si>
  <si>
    <t>ALEATÓRIO 4047</t>
  </si>
  <si>
    <t>ALEATÓRIO 4048</t>
  </si>
  <si>
    <t>ALEATÓRIO 4049</t>
  </si>
  <si>
    <t>ALEATÓRIO 4050</t>
  </si>
  <si>
    <t>ALEATÓRIO 4051</t>
  </si>
  <si>
    <t>ALEATÓRIO 4052</t>
  </si>
  <si>
    <t>ALEATÓRIO 4053</t>
  </si>
  <si>
    <t>ALEATÓRIO 4054</t>
  </si>
  <si>
    <t>ALEATÓRIO 4055</t>
  </si>
  <si>
    <t>ALEATÓRIO 4056</t>
  </si>
  <si>
    <t>ALEATÓRIO 4057</t>
  </si>
  <si>
    <t>ALEATÓRIO 4058</t>
  </si>
  <si>
    <t>ALEATÓRIO 4059</t>
  </si>
  <si>
    <t>ALEATÓRIO 4060</t>
  </si>
  <si>
    <t>ALEATÓRIO 4061</t>
  </si>
  <si>
    <t>ALEATÓRIO 4062</t>
  </si>
  <si>
    <t>ALEATÓRIO 4063</t>
  </si>
  <si>
    <t>ALEATÓRIO 4064</t>
  </si>
  <si>
    <t>ALEATÓRIO 4065</t>
  </si>
  <si>
    <t>ALEATÓRIO 4066</t>
  </si>
  <si>
    <t>ALEATÓRIO 4067</t>
  </si>
  <si>
    <t>ALEATÓRIO 4068</t>
  </si>
  <si>
    <t>ALEATÓRIO 4069</t>
  </si>
  <si>
    <t>ALEATÓRIO 4070</t>
  </si>
  <si>
    <t>ALEATÓRIO 4071</t>
  </si>
  <si>
    <t>ALEATÓRIO 4072</t>
  </si>
  <si>
    <t>ALEATÓRIO 4073</t>
  </si>
  <si>
    <t>ALEATÓRIO 4074</t>
  </si>
  <si>
    <t>ALEATÓRIO 4075</t>
  </si>
  <si>
    <t>ALEATÓRIO 4076</t>
  </si>
  <si>
    <t>ALEATÓRIO 4077</t>
  </si>
  <si>
    <t>ALEATÓRIO 4078</t>
  </si>
  <si>
    <t>ALEATÓRIO 4079</t>
  </si>
  <si>
    <t>ALEATÓRIO 4080</t>
  </si>
  <si>
    <t>ALEATÓRIO 4081</t>
  </si>
  <si>
    <t>ALEATÓRIO 4082</t>
  </si>
  <si>
    <t>ALEATÓRIO 4083</t>
  </si>
  <si>
    <t>ALEATÓRIO 4084</t>
  </si>
  <si>
    <t>ALEATÓRIO 4085</t>
  </si>
  <si>
    <t>ALEATÓRIO 4086</t>
  </si>
  <si>
    <t>ALEATÓRIO 4087</t>
  </si>
  <si>
    <t>ALEATÓRIO 4088</t>
  </si>
  <si>
    <t>ALEATÓRIO 4089</t>
  </si>
  <si>
    <t>ALEATÓRIO 4090</t>
  </si>
  <si>
    <t>ALEATÓRIO 4091</t>
  </si>
  <si>
    <t>ALEATÓRIO 4092</t>
  </si>
  <si>
    <t>ALEATÓRIO 4093</t>
  </si>
  <si>
    <t>ALEATÓRIO 4094</t>
  </si>
  <si>
    <t>ALEATÓRIO 4095</t>
  </si>
  <si>
    <t>ALEATÓRIO 4096</t>
  </si>
  <si>
    <t>ALEATÓRIO 4097</t>
  </si>
  <si>
    <t>ALEATÓRIO 4098</t>
  </si>
  <si>
    <t>ALEATÓRIO 4099</t>
  </si>
  <si>
    <t>ALEATÓRIO 4100</t>
  </si>
  <si>
    <t>ALEATÓRIO 4101</t>
  </si>
  <si>
    <t>ALEATÓRIO 4102</t>
  </si>
  <si>
    <t>ALEATÓRIO 4103</t>
  </si>
  <si>
    <t>ALEATÓRIO 4104</t>
  </si>
  <si>
    <t>ALEATÓRIO 4105</t>
  </si>
  <si>
    <t>ALEATÓRIO 4106</t>
  </si>
  <si>
    <t>ALEATÓRIO 4107</t>
  </si>
  <si>
    <t>ALEATÓRIO 4108</t>
  </si>
  <si>
    <t>ALEATÓRIO 4109</t>
  </si>
  <si>
    <t>ALEATÓRIO 4110</t>
  </si>
  <si>
    <t>ALEATÓRIO 4111</t>
  </si>
  <si>
    <t>ALEATÓRIO 4112</t>
  </si>
  <si>
    <t>ALEATÓRIO 4113</t>
  </si>
  <si>
    <t>ALEATÓRIO 4114</t>
  </si>
  <si>
    <t>ALEATÓRIO 4115</t>
  </si>
  <si>
    <t>ALEATÓRIO 4116</t>
  </si>
  <si>
    <t>ALEATÓRIO 4117</t>
  </si>
  <si>
    <t>ALEATÓRIO 4118</t>
  </si>
  <si>
    <t>ALEATÓRIO 4119</t>
  </si>
  <si>
    <t>ALEATÓRIO 4120</t>
  </si>
  <si>
    <t>ALEATÓRIO 4121</t>
  </si>
  <si>
    <t>ALEATÓRIO 4122</t>
  </si>
  <si>
    <t>ALEATÓRIO 4123</t>
  </si>
  <si>
    <t>ALEATÓRIO 4124</t>
  </si>
  <si>
    <t>ALEATÓRIO 4125</t>
  </si>
  <si>
    <t>ALEATÓRIO 4126</t>
  </si>
  <si>
    <t>ALEATÓRIO 4127</t>
  </si>
  <si>
    <t>ALEATÓRIO 4128</t>
  </si>
  <si>
    <t>ALEATÓRIO 4129</t>
  </si>
  <si>
    <t>ALEATÓRIO 4130</t>
  </si>
  <si>
    <t>ALEATÓRIO 4131</t>
  </si>
  <si>
    <t>ALEATÓRIO 4132</t>
  </si>
  <si>
    <t>ALEATÓRIO 4133</t>
  </si>
  <si>
    <t>ALEATÓRIO 4134</t>
  </si>
  <si>
    <t>ALEATÓRIO 4135</t>
  </si>
  <si>
    <t>ALEATÓRIO 4136</t>
  </si>
  <si>
    <t>ALEATÓRIO 4137</t>
  </si>
  <si>
    <t>ALEATÓRIO 4138</t>
  </si>
  <si>
    <t>ALEATÓRIO 4139</t>
  </si>
  <si>
    <t>ALEATÓRIO 4140</t>
  </si>
  <si>
    <t>ALEATÓRIO 4141</t>
  </si>
  <si>
    <t>ALEATÓRIO 4142</t>
  </si>
  <si>
    <t>ALEATÓRIO 4143</t>
  </si>
  <si>
    <t>ALEATÓRIO 4144</t>
  </si>
  <si>
    <t>ALEATÓRIO 4145</t>
  </si>
  <si>
    <t>ALEATÓRIO 4146</t>
  </si>
  <si>
    <t>ALEATÓRIO 4147</t>
  </si>
  <si>
    <t>ALEATÓRIO 4148</t>
  </si>
  <si>
    <t>ALEATÓRIO 4149</t>
  </si>
  <si>
    <t>ALEATÓRIO 4150</t>
  </si>
  <si>
    <t>ALEATÓRIO 4151</t>
  </si>
  <si>
    <t>ALEATÓRIO 4152</t>
  </si>
  <si>
    <t>ALEATÓRIO 4153</t>
  </si>
  <si>
    <t>ALEATÓRIO 4154</t>
  </si>
  <si>
    <t>ALEATÓRIO 4155</t>
  </si>
  <si>
    <t>ALEATÓRIO 4156</t>
  </si>
  <si>
    <t>ALEATÓRIO 4157</t>
  </si>
  <si>
    <t>ALEATÓRIO 4158</t>
  </si>
  <si>
    <t>ALEATÓRIO 4159</t>
  </si>
  <si>
    <t>ALEATÓRIO 4160</t>
  </si>
  <si>
    <t>ALEATÓRIO 4161</t>
  </si>
  <si>
    <t>ALEATÓRIO 4162</t>
  </si>
  <si>
    <t>ALEATÓRIO 4163</t>
  </si>
  <si>
    <t>ALEATÓRIO 4164</t>
  </si>
  <si>
    <t>ALEATÓRIO 4165</t>
  </si>
  <si>
    <t>ALEATÓRIO 4166</t>
  </si>
  <si>
    <t>ALEATÓRIO 4167</t>
  </si>
  <si>
    <t>ALEATÓRIO 4168</t>
  </si>
  <si>
    <t>ALEATÓRIO 4169</t>
  </si>
  <si>
    <t>ALEATÓRIO 4170</t>
  </si>
  <si>
    <t>ALEATÓRIO 4171</t>
  </si>
  <si>
    <t>ALEATÓRIO 4172</t>
  </si>
  <si>
    <t>ALEATÓRIO 4173</t>
  </si>
  <si>
    <t>ALEATÓRIO 4174</t>
  </si>
  <si>
    <t>ALEATÓRIO 4175</t>
  </si>
  <si>
    <t>ALEATÓRIO 4176</t>
  </si>
  <si>
    <t>ALEATÓRIO 4177</t>
  </si>
  <si>
    <t>ALEATÓRIO 4178</t>
  </si>
  <si>
    <t>ALEATÓRIO 4179</t>
  </si>
  <si>
    <t>ALEATÓRIO 4180</t>
  </si>
  <si>
    <t>ALEATÓRIO 4181</t>
  </si>
  <si>
    <t>ALEATÓRIO 4182</t>
  </si>
  <si>
    <t>ALEATÓRIO 4183</t>
  </si>
  <si>
    <t>ALEATÓRIO 4184</t>
  </si>
  <si>
    <t>ALEATÓRIO 4185</t>
  </si>
  <si>
    <t>ALEATÓRIO 4186</t>
  </si>
  <si>
    <t>ALEATÓRIO 4187</t>
  </si>
  <si>
    <t>ALEATÓRIO 4188</t>
  </si>
  <si>
    <t>ALEATÓRIO 4189</t>
  </si>
  <si>
    <t>ALEATÓRIO 4190</t>
  </si>
  <si>
    <t>ALEATÓRIO 4191</t>
  </si>
  <si>
    <t>ALEATÓRIO 4192</t>
  </si>
  <si>
    <t>ALEATÓRIO 4193</t>
  </si>
  <si>
    <t>ALEATÓRIO 4194</t>
  </si>
  <si>
    <t>ALEATÓRIO 4195</t>
  </si>
  <si>
    <t>ALEATÓRIO 4196</t>
  </si>
  <si>
    <t>ALEATÓRIO 4197</t>
  </si>
  <si>
    <t>ALEATÓRIO 4198</t>
  </si>
  <si>
    <t>ALEATÓRIO 4199</t>
  </si>
  <si>
    <t>ALEATÓRIO 4200</t>
  </si>
  <si>
    <t>ALEATÓRIO 4201</t>
  </si>
  <si>
    <t>ALEATÓRIO 4202</t>
  </si>
  <si>
    <t>ALEATÓRIO 4203</t>
  </si>
  <si>
    <t>ALEATÓRIO 4204</t>
  </si>
  <si>
    <t>ALEATÓRIO 4205</t>
  </si>
  <si>
    <t>ALEATÓRIO 4206</t>
  </si>
  <si>
    <t>ALEATÓRIO 4207</t>
  </si>
  <si>
    <t>ALEATÓRIO 4208</t>
  </si>
  <si>
    <t>ALEATÓRIO 4209</t>
  </si>
  <si>
    <t>ALEATÓRIO 4210</t>
  </si>
  <si>
    <t>ALEATÓRIO 4211</t>
  </si>
  <si>
    <t>ALEATÓRIO 4212</t>
  </si>
  <si>
    <t>ALEATÓRIO 4213</t>
  </si>
  <si>
    <t>ALEATÓRIO 4214</t>
  </si>
  <si>
    <t>ALEATÓRIO 4215</t>
  </si>
  <si>
    <t>ALEATÓRIO 4216</t>
  </si>
  <si>
    <t>ALEATÓRIO 4217</t>
  </si>
  <si>
    <t>ALEATÓRIO 4218</t>
  </si>
  <si>
    <t>ALEATÓRIO 4219</t>
  </si>
  <si>
    <t>ALEATÓRIO 4220</t>
  </si>
  <si>
    <t>ALEATÓRIO 4221</t>
  </si>
  <si>
    <t>ALEATÓRIO 4222</t>
  </si>
  <si>
    <t>ALEATÓRIO 4223</t>
  </si>
  <si>
    <t>ALEATÓRIO 4224</t>
  </si>
  <si>
    <t>ALEATÓRIO 4225</t>
  </si>
  <si>
    <t>ALEATÓRIO 4226</t>
  </si>
  <si>
    <t>ALEATÓRIO 4227</t>
  </si>
  <si>
    <t>ALEATÓRIO 4228</t>
  </si>
  <si>
    <t>ALEATÓRIO 4229</t>
  </si>
  <si>
    <t>ALEATÓRIO 4230</t>
  </si>
  <si>
    <t>ALEATÓRIO 4231</t>
  </si>
  <si>
    <t>ALEATÓRIO 4232</t>
  </si>
  <si>
    <t>ALEATÓRIO 4233</t>
  </si>
  <si>
    <t>ALEATÓRIO 4234</t>
  </si>
  <si>
    <t>ALEATÓRIO 4235</t>
  </si>
  <si>
    <t>ALEATÓRIO 4236</t>
  </si>
  <si>
    <t>ALEATÓRIO 4237</t>
  </si>
  <si>
    <t>ALEATÓRIO 4238</t>
  </si>
  <si>
    <t>ALEATÓRIO 4239</t>
  </si>
  <si>
    <t>ALEATÓRIO 4240</t>
  </si>
  <si>
    <t>ALEATÓRIO 4241</t>
  </si>
  <si>
    <t>ALEATÓRIO 4242</t>
  </si>
  <si>
    <t>ALEATÓRIO 4243</t>
  </si>
  <si>
    <t>ALEATÓRIO 4244</t>
  </si>
  <si>
    <t>ALEATÓRIO 4245</t>
  </si>
  <si>
    <t>ALEATÓRIO 4246</t>
  </si>
  <si>
    <t>ALEATÓRIO 4247</t>
  </si>
  <si>
    <t>ALEATÓRIO 4248</t>
  </si>
  <si>
    <t>ALEATÓRIO 4249</t>
  </si>
  <si>
    <t>ALEATÓRIO 4250</t>
  </si>
  <si>
    <t>ALEATÓRIO 4251</t>
  </si>
  <si>
    <t>ALEATÓRIO 4252</t>
  </si>
  <si>
    <t>ALEATÓRIO 4253</t>
  </si>
  <si>
    <t>ALEATÓRIO 4254</t>
  </si>
  <si>
    <t>ALEATÓRIO 4255</t>
  </si>
  <si>
    <t>ALEATÓRIO 4256</t>
  </si>
  <si>
    <t>ALEATÓRIO 4257</t>
  </si>
  <si>
    <t>ALEATÓRIO 4258</t>
  </si>
  <si>
    <t>ALEATÓRIO 4259</t>
  </si>
  <si>
    <t>ALEATÓRIO 4260</t>
  </si>
  <si>
    <t>ALEATÓRIO 4261</t>
  </si>
  <si>
    <t>ALEATÓRIO 4262</t>
  </si>
  <si>
    <t>ALEATÓRIO 4263</t>
  </si>
  <si>
    <t>ALEATÓRIO 4264</t>
  </si>
  <si>
    <t>ALEATÓRIO 4265</t>
  </si>
  <si>
    <t>ALEATÓRIO 4266</t>
  </si>
  <si>
    <t>ALEATÓRIO 4267</t>
  </si>
  <si>
    <t>ALEATÓRIO 4268</t>
  </si>
  <si>
    <t>ALEATÓRIO 4269</t>
  </si>
  <si>
    <t>ALEATÓRIO 4270</t>
  </si>
  <si>
    <t>ALEATÓRIO 4271</t>
  </si>
  <si>
    <t>ALEATÓRIO 4272</t>
  </si>
  <si>
    <t>ALEATÓRIO 4273</t>
  </si>
  <si>
    <t>ALEATÓRIO 4274</t>
  </si>
  <si>
    <t>ALEATÓRIO 4275</t>
  </si>
  <si>
    <t>ALEATÓRIO 4276</t>
  </si>
  <si>
    <t>ALEATÓRIO 4277</t>
  </si>
  <si>
    <t>ALEATÓRIO 4278</t>
  </si>
  <si>
    <t>ALEATÓRIO 4279</t>
  </si>
  <si>
    <t>ALEATÓRIO 4280</t>
  </si>
  <si>
    <t>ALEATÓRIO 4281</t>
  </si>
  <si>
    <t>ALEATÓRIO 4282</t>
  </si>
  <si>
    <t>ALEATÓRIO 4283</t>
  </si>
  <si>
    <t>ALEATÓRIO 4284</t>
  </si>
  <si>
    <t>ALEATÓRIO 4285</t>
  </si>
  <si>
    <t>ALEATÓRIO 4286</t>
  </si>
  <si>
    <t>ALEATÓRIO 4287</t>
  </si>
  <si>
    <t>ALEATÓRIO 4288</t>
  </si>
  <si>
    <t>ALEATÓRIO 4289</t>
  </si>
  <si>
    <t>ALEATÓRIO 4290</t>
  </si>
  <si>
    <t>ALEATÓRIO 4291</t>
  </si>
  <si>
    <t>ALEATÓRIO 4292</t>
  </si>
  <si>
    <t>ALEATÓRIO 4293</t>
  </si>
  <si>
    <t>ALEATÓRIO 4294</t>
  </si>
  <si>
    <t>ALEATÓRIO 4295</t>
  </si>
  <si>
    <t>ALEATÓRIO 4296</t>
  </si>
  <si>
    <t>ALEATÓRIO 4297</t>
  </si>
  <si>
    <t>ALEATÓRIO 4298</t>
  </si>
  <si>
    <t>ALEATÓRIO 4299</t>
  </si>
  <si>
    <t>ALEATÓRIO 4300</t>
  </si>
  <si>
    <t>ALEATÓRIO 4301</t>
  </si>
  <si>
    <t>ALEATÓRIO 4302</t>
  </si>
  <si>
    <t>ALEATÓRIO 4303</t>
  </si>
  <si>
    <t>ALEATÓRIO 4304</t>
  </si>
  <si>
    <t>ALEATÓRIO 4305</t>
  </si>
  <si>
    <t>ALEATÓRIO 4306</t>
  </si>
  <si>
    <t>ALEATÓRIO 4307</t>
  </si>
  <si>
    <t>ALEATÓRIO 4308</t>
  </si>
  <si>
    <t>ALEATÓRIO 4309</t>
  </si>
  <si>
    <t>ALEATÓRIO 4310</t>
  </si>
  <si>
    <t>ALEATÓRIO 4311</t>
  </si>
  <si>
    <t>ALEATÓRIO 4312</t>
  </si>
  <si>
    <t>ALEATÓRIO 4313</t>
  </si>
  <si>
    <t>ALEATÓRIO 4314</t>
  </si>
  <si>
    <t>ALEATÓRIO 4315</t>
  </si>
  <si>
    <t>ALEATÓRIO 4316</t>
  </si>
  <si>
    <t>ALEATÓRIO 4317</t>
  </si>
  <si>
    <t>ALEATÓRIO 4318</t>
  </si>
  <si>
    <t>ALEATÓRIO 4319</t>
  </si>
  <si>
    <t>ALEATÓRIO 4320</t>
  </si>
  <si>
    <t>ALEATÓRIO 4321</t>
  </si>
  <si>
    <t>ALEATÓRIO 4322</t>
  </si>
  <si>
    <t>ALEATÓRIO 4323</t>
  </si>
  <si>
    <t>ALEATÓRIO 4324</t>
  </si>
  <si>
    <t>ALEATÓRIO 4325</t>
  </si>
  <si>
    <t>ALEATÓRIO 4326</t>
  </si>
  <si>
    <t>ALEATÓRIO 4327</t>
  </si>
  <si>
    <t>ALEATÓRIO 4328</t>
  </si>
  <si>
    <t>ALEATÓRIO 4329</t>
  </si>
  <si>
    <t>ALEATÓRIO 4330</t>
  </si>
  <si>
    <t>ALEATÓRIO 4331</t>
  </si>
  <si>
    <t>ALEATÓRIO 4332</t>
  </si>
  <si>
    <t>ALEATÓRIO 4333</t>
  </si>
  <si>
    <t>ALEATÓRIO 4334</t>
  </si>
  <si>
    <t>ALEATÓRIO 4335</t>
  </si>
  <si>
    <t>ALEATÓRIO 4336</t>
  </si>
  <si>
    <t>ALEATÓRIO 4337</t>
  </si>
  <si>
    <t>ALEATÓRIO 4338</t>
  </si>
  <si>
    <t>ALEATÓRIO 4339</t>
  </si>
  <si>
    <t>ALEATÓRIO 4340</t>
  </si>
  <si>
    <t>ALEATÓRIO 4341</t>
  </si>
  <si>
    <t>ALEATÓRIO 4342</t>
  </si>
  <si>
    <t>ALEATÓRIO 4343</t>
  </si>
  <si>
    <t>ALEATÓRIO 4344</t>
  </si>
  <si>
    <t>ALEATÓRIO 4345</t>
  </si>
  <si>
    <t>ALEATÓRIO 4346</t>
  </si>
  <si>
    <t>ALEATÓRIO 4347</t>
  </si>
  <si>
    <t>ALEATÓRIO 4348</t>
  </si>
  <si>
    <t>ALEATÓRIO 4349</t>
  </si>
  <si>
    <t>ALEATÓRIO 4350</t>
  </si>
  <si>
    <t>ALEATÓRIO 4351</t>
  </si>
  <si>
    <t>ALEATÓRIO 4352</t>
  </si>
  <si>
    <t>ALEATÓRIO 4353</t>
  </si>
  <si>
    <t>ALEATÓRIO 4354</t>
  </si>
  <si>
    <t>ALEATÓRIO 4355</t>
  </si>
  <si>
    <t>ALEATÓRIO 4356</t>
  </si>
  <si>
    <t>ALEATÓRIO 4357</t>
  </si>
  <si>
    <t>ALEATÓRIO 4358</t>
  </si>
  <si>
    <t>ALEATÓRIO 4359</t>
  </si>
  <si>
    <t>ALEATÓRIO 4360</t>
  </si>
  <si>
    <t>ALEATÓRIO 4361</t>
  </si>
  <si>
    <t>ALEATÓRIO 4362</t>
  </si>
  <si>
    <t>ALEATÓRIO 4363</t>
  </si>
  <si>
    <t>ALEATÓRIO 4364</t>
  </si>
  <si>
    <t>ALEATÓRIO 4365</t>
  </si>
  <si>
    <t>ALEATÓRIO 4366</t>
  </si>
  <si>
    <t>ALEATÓRIO 4367</t>
  </si>
  <si>
    <t>ALEATÓRIO 4368</t>
  </si>
  <si>
    <t>ALEATÓRIO 4369</t>
  </si>
  <si>
    <t>ALEATÓRIO 4370</t>
  </si>
  <si>
    <t>ALEATÓRIO 4371</t>
  </si>
  <si>
    <t>ALEATÓRIO 4372</t>
  </si>
  <si>
    <t>ALEATÓRIO 4373</t>
  </si>
  <si>
    <t>ALEATÓRIO 4374</t>
  </si>
  <si>
    <t>ALEATÓRIO 4375</t>
  </si>
  <si>
    <t>ALEATÓRIO 4376</t>
  </si>
  <si>
    <t>ALEATÓRIO 4377</t>
  </si>
  <si>
    <t>ALEATÓRIO 4378</t>
  </si>
  <si>
    <t>ALEATÓRIO 4379</t>
  </si>
  <si>
    <t>ALEATÓRIO 4380</t>
  </si>
  <si>
    <t>ALEATÓRIO 4381</t>
  </si>
  <si>
    <t>ALEATÓRIO 4382</t>
  </si>
  <si>
    <t>ALEATÓRIO 4383</t>
  </si>
  <si>
    <t>ALEATÓRIO 4384</t>
  </si>
  <si>
    <t>ALEATÓRIO 4385</t>
  </si>
  <si>
    <t>ALEATÓRIO 4386</t>
  </si>
  <si>
    <t>ALEATÓRIO 4387</t>
  </si>
  <si>
    <t>ALEATÓRIO 4388</t>
  </si>
  <si>
    <t>ALEATÓRIO 4389</t>
  </si>
  <si>
    <t>ALEATÓRIO 4390</t>
  </si>
  <si>
    <t>ALEATÓRIO 4391</t>
  </si>
  <si>
    <t>ALEATÓRIO 4392</t>
  </si>
  <si>
    <t>ALEATÓRIO 4393</t>
  </si>
  <si>
    <t>ALEATÓRIO 4394</t>
  </si>
  <si>
    <t>ALEATÓRIO 4395</t>
  </si>
  <si>
    <t>ALEATÓRIO 4396</t>
  </si>
  <si>
    <t>ALEATÓRIO 4397</t>
  </si>
  <si>
    <t>ALEATÓRIO 4398</t>
  </si>
  <si>
    <t>ALEATÓRIO 4399</t>
  </si>
  <si>
    <t>ALEATÓRIO 4400</t>
  </si>
  <si>
    <t>ALEATÓRIO 4401</t>
  </si>
  <si>
    <t>ALEATÓRIO 4402</t>
  </si>
  <si>
    <t>ALEATÓRIO 4403</t>
  </si>
  <si>
    <t>ALEATÓRIO 4404</t>
  </si>
  <si>
    <t>ALEATÓRIO 4405</t>
  </si>
  <si>
    <t>ALEATÓRIO 4406</t>
  </si>
  <si>
    <t>ALEATÓRIO 4407</t>
  </si>
  <si>
    <t>ALEATÓRIO 4408</t>
  </si>
  <si>
    <t>ALEATÓRIO 4409</t>
  </si>
  <si>
    <t>ALEATÓRIO 4410</t>
  </si>
  <si>
    <t>ALEATÓRIO 4411</t>
  </si>
  <si>
    <t>ALEATÓRIO 4412</t>
  </si>
  <si>
    <t>ALEATÓRIO 4413</t>
  </si>
  <si>
    <t>ALEATÓRIO 4414</t>
  </si>
  <si>
    <t>ALEATÓRIO 4415</t>
  </si>
  <si>
    <t>ALEATÓRIO 4416</t>
  </si>
  <si>
    <t>ALEATÓRIO 4417</t>
  </si>
  <si>
    <t>ALEATÓRIO 4418</t>
  </si>
  <si>
    <t>ALEATÓRIO 4419</t>
  </si>
  <si>
    <t>ALEATÓRIO 4420</t>
  </si>
  <si>
    <t>ALEATÓRIO 4421</t>
  </si>
  <si>
    <t>ALEATÓRIO 4422</t>
  </si>
  <si>
    <t>ALEATÓRIO 4423</t>
  </si>
  <si>
    <t>ALEATÓRIO 4424</t>
  </si>
  <si>
    <t>ALEATÓRIO 4425</t>
  </si>
  <si>
    <t>ALEATÓRIO 4426</t>
  </si>
  <si>
    <t>ALEATÓRIO 4427</t>
  </si>
  <si>
    <t>ALEATÓRIO 4428</t>
  </si>
  <si>
    <t>ALEATÓRIO 4429</t>
  </si>
  <si>
    <t>ALEATÓRIO 4430</t>
  </si>
  <si>
    <t>ALEATÓRIO 4431</t>
  </si>
  <si>
    <t>ALEATÓRIO 4432</t>
  </si>
  <si>
    <t>ALEATÓRIO 4433</t>
  </si>
  <si>
    <t>ALEATÓRIO 4434</t>
  </si>
  <si>
    <t>ALEATÓRIO 4435</t>
  </si>
  <si>
    <t>ALEATÓRIO 4436</t>
  </si>
  <si>
    <t>ALEATÓRIO 4437</t>
  </si>
  <si>
    <t>ALEATÓRIO 4438</t>
  </si>
  <si>
    <t>ALEATÓRIO 4439</t>
  </si>
  <si>
    <t>ALEATÓRIO 4440</t>
  </si>
  <si>
    <t>ALEATÓRIO 4441</t>
  </si>
  <si>
    <t>ALEATÓRIO 4442</t>
  </si>
  <si>
    <t>ALEATÓRIO 4443</t>
  </si>
  <si>
    <t>ALEATÓRIO 4444</t>
  </si>
  <si>
    <t>ALEATÓRIO 4445</t>
  </si>
  <si>
    <t>ALEATÓRIO 4446</t>
  </si>
  <si>
    <t>ALEATÓRIO 4447</t>
  </si>
  <si>
    <t>ALEATÓRIO 4448</t>
  </si>
  <si>
    <t>ALEATÓRIO 4449</t>
  </si>
  <si>
    <t>ALEATÓRIO 4450</t>
  </si>
  <si>
    <t>ALEATÓRIO 4451</t>
  </si>
  <si>
    <t>ALEATÓRIO 4452</t>
  </si>
  <si>
    <t>ALEATÓRIO 4453</t>
  </si>
  <si>
    <t>ALEATÓRIO 4454</t>
  </si>
  <si>
    <t>ALEATÓRIO 4455</t>
  </si>
  <si>
    <t>ALEATÓRIO 4456</t>
  </si>
  <si>
    <t>ALEATÓRIO 4457</t>
  </si>
  <si>
    <t>ALEATÓRIO 4458</t>
  </si>
  <si>
    <t>ALEATÓRIO 4459</t>
  </si>
  <si>
    <t>ALEATÓRIO 4460</t>
  </si>
  <si>
    <t>ALEATÓRIO 4461</t>
  </si>
  <si>
    <t>ALEATÓRIO 4462</t>
  </si>
  <si>
    <t>ALEATÓRIO 4463</t>
  </si>
  <si>
    <t>ALEATÓRIO 4464</t>
  </si>
  <si>
    <t>ALEATÓRIO 4465</t>
  </si>
  <si>
    <t>ALEATÓRIO 4466</t>
  </si>
  <si>
    <t>ALEATÓRIO 4467</t>
  </si>
  <si>
    <t>ALEATÓRIO 4468</t>
  </si>
  <si>
    <t>ALEATÓRIO 4469</t>
  </si>
  <si>
    <t>ALEATÓRIO 4470</t>
  </si>
  <si>
    <t>ALEATÓRIO 4471</t>
  </si>
  <si>
    <t>ALEATÓRIO 4472</t>
  </si>
  <si>
    <t>ALEATÓRIO 4473</t>
  </si>
  <si>
    <t>ALEATÓRIO 4474</t>
  </si>
  <si>
    <t>ALEATÓRIO 4475</t>
  </si>
  <si>
    <t>ALEATÓRIO 4476</t>
  </si>
  <si>
    <t>ALEATÓRIO 4477</t>
  </si>
  <si>
    <t>ALEATÓRIO 4478</t>
  </si>
  <si>
    <t>ALEATÓRIO 4479</t>
  </si>
  <si>
    <t>ALEATÓRIO 4480</t>
  </si>
  <si>
    <t>ALEATÓRIO 4481</t>
  </si>
  <si>
    <t>ALEATÓRIO 4482</t>
  </si>
  <si>
    <t>ALEATÓRIO 4483</t>
  </si>
  <si>
    <t>ALEATÓRIO 4484</t>
  </si>
  <si>
    <t>ALEATÓRIO 4485</t>
  </si>
  <si>
    <t>ALEATÓRIO 4486</t>
  </si>
  <si>
    <t>ALEATÓRIO 4487</t>
  </si>
  <si>
    <t>ALEATÓRIO 4488</t>
  </si>
  <si>
    <t>ALEATÓRIO 4489</t>
  </si>
  <si>
    <t>ALEATÓRIO 4490</t>
  </si>
  <si>
    <t>ALEATÓRIO 4491</t>
  </si>
  <si>
    <t>ALEATÓRIO 4492</t>
  </si>
  <si>
    <t>ALEATÓRIO 4493</t>
  </si>
  <si>
    <t>ALEATÓRIO 4494</t>
  </si>
  <si>
    <t>ALEATÓRIO 4495</t>
  </si>
  <si>
    <t>ALEATÓRIO 4496</t>
  </si>
  <si>
    <t>ALEATÓRIO 4497</t>
  </si>
  <si>
    <t>ALEATÓRIO 4498</t>
  </si>
  <si>
    <t>ALEATÓRIO 4499</t>
  </si>
  <si>
    <t>ALEATÓRIO 4500</t>
  </si>
  <si>
    <t>ALEATÓRIO 4501</t>
  </si>
  <si>
    <t>ALEATÓRIO 4502</t>
  </si>
  <si>
    <t>ALEATÓRIO 4503</t>
  </si>
  <si>
    <t>ALEATÓRIO 4504</t>
  </si>
  <si>
    <t>ALEATÓRIO 4505</t>
  </si>
  <si>
    <t>ALEATÓRIO 4506</t>
  </si>
  <si>
    <t>ALEATÓRIO 4507</t>
  </si>
  <si>
    <t>ALEATÓRIO 4508</t>
  </si>
  <si>
    <t>ALEATÓRIO 4509</t>
  </si>
  <si>
    <t>ALEATÓRIO 4510</t>
  </si>
  <si>
    <t>ALEATÓRIO 4511</t>
  </si>
  <si>
    <t>ALEATÓRIO 4512</t>
  </si>
  <si>
    <t>ALEATÓRIO 4513</t>
  </si>
  <si>
    <t>ALEATÓRIO 4514</t>
  </si>
  <si>
    <t>ALEATÓRIO 4515</t>
  </si>
  <si>
    <t>ALEATÓRIO 4516</t>
  </si>
  <si>
    <t>ALEATÓRIO 4517</t>
  </si>
  <si>
    <t>ALEATÓRIO 4518</t>
  </si>
  <si>
    <t>ALEATÓRIO 4519</t>
  </si>
  <si>
    <t>ALEATÓRIO 4520</t>
  </si>
  <si>
    <t>ALEATÓRIO 4521</t>
  </si>
  <si>
    <t>ALEATÓRIO 4522</t>
  </si>
  <si>
    <t>ALEATÓRIO 4523</t>
  </si>
  <si>
    <t>ALEATÓRIO 4524</t>
  </si>
  <si>
    <t>ALEATÓRIO 4525</t>
  </si>
  <si>
    <t>ALEATÓRIO 4526</t>
  </si>
  <si>
    <t>ALEATÓRIO 4527</t>
  </si>
  <si>
    <t>ALEATÓRIO 4528</t>
  </si>
  <si>
    <t>ALEATÓRIO 4529</t>
  </si>
  <si>
    <t>ALEATÓRIO 4530</t>
  </si>
  <si>
    <t>ALEATÓRIO 4531</t>
  </si>
  <si>
    <t>ALEATÓRIO 4532</t>
  </si>
  <si>
    <t>ALEATÓRIO 4533</t>
  </si>
  <si>
    <t>ALEATÓRIO 4534</t>
  </si>
  <si>
    <t>ALEATÓRIO 4535</t>
  </si>
  <si>
    <t>ALEATÓRIO 4536</t>
  </si>
  <si>
    <t>ALEATÓRIO 4537</t>
  </si>
  <si>
    <t>ALEATÓRIO 4538</t>
  </si>
  <si>
    <t>ALEATÓRIO 4539</t>
  </si>
  <si>
    <t>ALEATÓRIO 4540</t>
  </si>
  <si>
    <t>ALEATÓRIO 4541</t>
  </si>
  <si>
    <t>ALEATÓRIO 4542</t>
  </si>
  <si>
    <t>ALEATÓRIO 4543</t>
  </si>
  <si>
    <t>ALEATÓRIO 4544</t>
  </si>
  <si>
    <t>ALEATÓRIO 4545</t>
  </si>
  <si>
    <t>ALEATÓRIO 4546</t>
  </si>
  <si>
    <t>ALEATÓRIO 4547</t>
  </si>
  <si>
    <t>ALEATÓRIO 4548</t>
  </si>
  <si>
    <t>ALEATÓRIO 4549</t>
  </si>
  <si>
    <t>ALEATÓRIO 4550</t>
  </si>
  <si>
    <t>ALEATÓRIO 4551</t>
  </si>
  <si>
    <t>ALEATÓRIO 4552</t>
  </si>
  <si>
    <t>ALEATÓRIO 4553</t>
  </si>
  <si>
    <t>ALEATÓRIO 4554</t>
  </si>
  <si>
    <t>ALEATÓRIO 4555</t>
  </si>
  <si>
    <t>ALEATÓRIO 4556</t>
  </si>
  <si>
    <t>ALEATÓRIO 4557</t>
  </si>
  <si>
    <t>ALEATÓRIO 4558</t>
  </si>
  <si>
    <t>ALEATÓRIO 4559</t>
  </si>
  <si>
    <t>ALEATÓRIO 4560</t>
  </si>
  <si>
    <t>ALEATÓRIO 4561</t>
  </si>
  <si>
    <t>ALEATÓRIO 4562</t>
  </si>
  <si>
    <t>ALEATÓRIO 4563</t>
  </si>
  <si>
    <t>ALEATÓRIO 4564</t>
  </si>
  <si>
    <t>ALEATÓRIO 4565</t>
  </si>
  <si>
    <t>ALEATÓRIO 4566</t>
  </si>
  <si>
    <t>ALEATÓRIO 4567</t>
  </si>
  <si>
    <t>ALEATÓRIO 4568</t>
  </si>
  <si>
    <t>ALEATÓRIO 4569</t>
  </si>
  <si>
    <t>ALEATÓRIO 4570</t>
  </si>
  <si>
    <t>ALEATÓRIO 4571</t>
  </si>
  <si>
    <t>ALEATÓRIO 4572</t>
  </si>
  <si>
    <t>ALEATÓRIO 4573</t>
  </si>
  <si>
    <t>ALEATÓRIO 4574</t>
  </si>
  <si>
    <t>ALEATÓRIO 4575</t>
  </si>
  <si>
    <t>ALEATÓRIO 4576</t>
  </si>
  <si>
    <t>ALEATÓRIO 4577</t>
  </si>
  <si>
    <t>ALEATÓRIO 4578</t>
  </si>
  <si>
    <t>ALEATÓRIO 4579</t>
  </si>
  <si>
    <t>ALEATÓRIO 4580</t>
  </si>
  <si>
    <t>ALEATÓRIO 4581</t>
  </si>
  <si>
    <t>ALEATÓRIO 4582</t>
  </si>
  <si>
    <t>ALEATÓRIO 4583</t>
  </si>
  <si>
    <t>ALEATÓRIO 4584</t>
  </si>
  <si>
    <t>ALEATÓRIO 4585</t>
  </si>
  <si>
    <t>ALEATÓRIO 4586</t>
  </si>
  <si>
    <t>ALEATÓRIO 4587</t>
  </si>
  <si>
    <t>ALEATÓRIO 4588</t>
  </si>
  <si>
    <t>ALEATÓRIO 4589</t>
  </si>
  <si>
    <t>ALEATÓRIO 4590</t>
  </si>
  <si>
    <t>ALEATÓRIO 4591</t>
  </si>
  <si>
    <t>ALEATÓRIO 4592</t>
  </si>
  <si>
    <t>ALEATÓRIO 4593</t>
  </si>
  <si>
    <t>ALEATÓRIO 4594</t>
  </si>
  <si>
    <t>ALEATÓRIO 4595</t>
  </si>
  <si>
    <t>ALEATÓRIO 4596</t>
  </si>
  <si>
    <t>ALEATÓRIO 4597</t>
  </si>
  <si>
    <t>ALEATÓRIO 4598</t>
  </si>
  <si>
    <t>ALEATÓRIO 4599</t>
  </si>
  <si>
    <t>ALEATÓRIO 4600</t>
  </si>
  <si>
    <t>ALEATÓRIO 4601</t>
  </si>
  <si>
    <t>ALEATÓRIO 4602</t>
  </si>
  <si>
    <t>ALEATÓRIO 4603</t>
  </si>
  <si>
    <t>ALEATÓRIO 4604</t>
  </si>
  <si>
    <t>ALEATÓRIO 4605</t>
  </si>
  <si>
    <t>ALEATÓRIO 4606</t>
  </si>
  <si>
    <t>ALEATÓRIO 4607</t>
  </si>
  <si>
    <t>ALEATÓRIO 4608</t>
  </si>
  <si>
    <t>ALEATÓRIO 4609</t>
  </si>
  <si>
    <t>ALEATÓRIO 4610</t>
  </si>
  <si>
    <t>ALEATÓRIO 4611</t>
  </si>
  <si>
    <t>ALEATÓRIO 4612</t>
  </si>
  <si>
    <t>ALEATÓRIO 4613</t>
  </si>
  <si>
    <t>ALEATÓRIO 4614</t>
  </si>
  <si>
    <t>ALEATÓRIO 4615</t>
  </si>
  <si>
    <t>ALEATÓRIO 4616</t>
  </si>
  <si>
    <t>ALEATÓRIO 4617</t>
  </si>
  <si>
    <t>ALEATÓRIO 4618</t>
  </si>
  <si>
    <t>ALEATÓRIO 4619</t>
  </si>
  <si>
    <t>ALEATÓRIO 4620</t>
  </si>
  <si>
    <t>ALEATÓRIO 4621</t>
  </si>
  <si>
    <t>ALEATÓRIO 4622</t>
  </si>
  <si>
    <t>ALEATÓRIO 4623</t>
  </si>
  <si>
    <t>ALEATÓRIO 4624</t>
  </si>
  <si>
    <t>ALEATÓRIO 4625</t>
  </si>
  <si>
    <t>ALEATÓRIO 4626</t>
  </si>
  <si>
    <t>ALEATÓRIO 4627</t>
  </si>
  <si>
    <t>ALEATÓRIO 4628</t>
  </si>
  <si>
    <t>ALEATÓRIO 4629</t>
  </si>
  <si>
    <t>ALEATÓRIO 4630</t>
  </si>
  <si>
    <t>ALEATÓRIO 4631</t>
  </si>
  <si>
    <t>ALEATÓRIO 4632</t>
  </si>
  <si>
    <t>ALEATÓRIO 4633</t>
  </si>
  <si>
    <t>ALEATÓRIO 4634</t>
  </si>
  <si>
    <t>ALEATÓRIO 4635</t>
  </si>
  <si>
    <t>ALEATÓRIO 4636</t>
  </si>
  <si>
    <t>ALEATÓRIO 4637</t>
  </si>
  <si>
    <t>ALEATÓRIO 4638</t>
  </si>
  <si>
    <t>ALEATÓRIO 4639</t>
  </si>
  <si>
    <t>ALEATÓRIO 4640</t>
  </si>
  <si>
    <t>ALEATÓRIO 4641</t>
  </si>
  <si>
    <t>ALEATÓRIO 4642</t>
  </si>
  <si>
    <t>ALEATÓRIO 4643</t>
  </si>
  <si>
    <t>ALEATÓRIO 4644</t>
  </si>
  <si>
    <t>ALEATÓRIO 4645</t>
  </si>
  <si>
    <t>ALEATÓRIO 4646</t>
  </si>
  <si>
    <t>ALEATÓRIO 4647</t>
  </si>
  <si>
    <t>ALEATÓRIO 4648</t>
  </si>
  <si>
    <t>ALEATÓRIO 4649</t>
  </si>
  <si>
    <t>ALEATÓRIO 4650</t>
  </si>
  <si>
    <t>ALEATÓRIO 4651</t>
  </si>
  <si>
    <t>ALEATÓRIO 4652</t>
  </si>
  <si>
    <t>ALEATÓRIO 4653</t>
  </si>
  <si>
    <t>ALEATÓRIO 4654</t>
  </si>
  <si>
    <t>ALEATÓRIO 4655</t>
  </si>
  <si>
    <t>ALEATÓRIO 4656</t>
  </si>
  <si>
    <t>ALEATÓRIO 4657</t>
  </si>
  <si>
    <t>ALEATÓRIO 4658</t>
  </si>
  <si>
    <t>ALEATÓRIO 4659</t>
  </si>
  <si>
    <t>ALEATÓRIO 4660</t>
  </si>
  <si>
    <t>ALEATÓRIO 4661</t>
  </si>
  <si>
    <t>ALEATÓRIO 4662</t>
  </si>
  <si>
    <t>ALEATÓRIO 4663</t>
  </si>
  <si>
    <t>ALEATÓRIO 4664</t>
  </si>
  <si>
    <t>ALEATÓRIO 4665</t>
  </si>
  <si>
    <t>ALEATÓRIO 4666</t>
  </si>
  <si>
    <t>ALEATÓRIO 4667</t>
  </si>
  <si>
    <t>ALEATÓRIO 4668</t>
  </si>
  <si>
    <t>ALEATÓRIO 4669</t>
  </si>
  <si>
    <t>ALEATÓRIO 4670</t>
  </si>
  <si>
    <t>ALEATÓRIO 4671</t>
  </si>
  <si>
    <t>ALEATÓRIO 4672</t>
  </si>
  <si>
    <t>ALEATÓRIO 4673</t>
  </si>
  <si>
    <t>ALEATÓRIO 4674</t>
  </si>
  <si>
    <t>ALEATÓRIO 4675</t>
  </si>
  <si>
    <t>ALEATÓRIO 4676</t>
  </si>
  <si>
    <t>ALEATÓRIO 4677</t>
  </si>
  <si>
    <t>ALEATÓRIO 4678</t>
  </si>
  <si>
    <t>ALEATÓRIO 4679</t>
  </si>
  <si>
    <t>ALEATÓRIO 4680</t>
  </si>
  <si>
    <t>ALEATÓRIO 4681</t>
  </si>
  <si>
    <t>ALEATÓRIO 4682</t>
  </si>
  <si>
    <t>ALEATÓRIO 4683</t>
  </si>
  <si>
    <t>ALEATÓRIO 4684</t>
  </si>
  <si>
    <t>ALEATÓRIO 4685</t>
  </si>
  <si>
    <t>ALEATÓRIO 4686</t>
  </si>
  <si>
    <t>ALEATÓRIO 4687</t>
  </si>
  <si>
    <t>ALEATÓRIO 4688</t>
  </si>
  <si>
    <t>ALEATÓRIO 4689</t>
  </si>
  <si>
    <t>ALEATÓRIO 4690</t>
  </si>
  <si>
    <t>ALEATÓRIO 4691</t>
  </si>
  <si>
    <t>ALEATÓRIO 4692</t>
  </si>
  <si>
    <t>ALEATÓRIO 4693</t>
  </si>
  <si>
    <t>ALEATÓRIO 4694</t>
  </si>
  <si>
    <t>ALEATÓRIO 4695</t>
  </si>
  <si>
    <t>ALEATÓRIO 4696</t>
  </si>
  <si>
    <t>ALEATÓRIO 4697</t>
  </si>
  <si>
    <t>ALEATÓRIO 4698</t>
  </si>
  <si>
    <t>ALEATÓRIO 4699</t>
  </si>
  <si>
    <t>ALEATÓRIO 4700</t>
  </si>
  <si>
    <t>ALEATÓRIO 4701</t>
  </si>
  <si>
    <t>ALEATÓRIO 4702</t>
  </si>
  <si>
    <t>ALEATÓRIO 4703</t>
  </si>
  <si>
    <t>ALEATÓRIO 4704</t>
  </si>
  <si>
    <t>ALEATÓRIO 4705</t>
  </si>
  <si>
    <t>ALEATÓRIO 4706</t>
  </si>
  <si>
    <t>ALEATÓRIO 4707</t>
  </si>
  <si>
    <t>ALEATÓRIO 4708</t>
  </si>
  <si>
    <t>ALEATÓRIO 4709</t>
  </si>
  <si>
    <t>ALEATÓRIO 4710</t>
  </si>
  <si>
    <t>ALEATÓRIO 4711</t>
  </si>
  <si>
    <t>ALEATÓRIO 4712</t>
  </si>
  <si>
    <t>ALEATÓRIO 4713</t>
  </si>
  <si>
    <t>ALEATÓRIO 4714</t>
  </si>
  <si>
    <t>ALEATÓRIO 4715</t>
  </si>
  <si>
    <t>ALEATÓRIO 4716</t>
  </si>
  <si>
    <t>ALEATÓRIO 4717</t>
  </si>
  <si>
    <t>ALEATÓRIO 4718</t>
  </si>
  <si>
    <t>ALEATÓRIO 4719</t>
  </si>
  <si>
    <t>ALEATÓRIO 4720</t>
  </si>
  <si>
    <t>ALEATÓRIO 4721</t>
  </si>
  <si>
    <t>ALEATÓRIO 4722</t>
  </si>
  <si>
    <t>ALEATÓRIO 4723</t>
  </si>
  <si>
    <t>ALEATÓRIO 4724</t>
  </si>
  <si>
    <t>ALEATÓRIO 4725</t>
  </si>
  <si>
    <t>ALEATÓRIO 4726</t>
  </si>
  <si>
    <t>ALEATÓRIO 4727</t>
  </si>
  <si>
    <t>ALEATÓRIO 4728</t>
  </si>
  <si>
    <t>ALEATÓRIO 4729</t>
  </si>
  <si>
    <t>ALEATÓRIO 4730</t>
  </si>
  <si>
    <t>ALEATÓRIO 4731</t>
  </si>
  <si>
    <t>ALEATÓRIO 4732</t>
  </si>
  <si>
    <t>ALEATÓRIO 4733</t>
  </si>
  <si>
    <t>ALEATÓRIO 4734</t>
  </si>
  <si>
    <t>ALEATÓRIO 4735</t>
  </si>
  <si>
    <t>ALEATÓRIO 4736</t>
  </si>
  <si>
    <t>ALEATÓRIO 4737</t>
  </si>
  <si>
    <t>ALEATÓRIO 4738</t>
  </si>
  <si>
    <t>ALEATÓRIO 4739</t>
  </si>
  <si>
    <t>ALEATÓRIO 4740</t>
  </si>
  <si>
    <t>ALEATÓRIO 4741</t>
  </si>
  <si>
    <t>ALEATÓRIO 4742</t>
  </si>
  <si>
    <t>ALEATÓRIO 4743</t>
  </si>
  <si>
    <t>ALEATÓRIO 4744</t>
  </si>
  <si>
    <t>ALEATÓRIO 4745</t>
  </si>
  <si>
    <t>ALEATÓRIO 4746</t>
  </si>
  <si>
    <t>ALEATÓRIO 4747</t>
  </si>
  <si>
    <t>ALEATÓRIO 4748</t>
  </si>
  <si>
    <t>ALEATÓRIO 4749</t>
  </si>
  <si>
    <t>ALEATÓRIO 4750</t>
  </si>
  <si>
    <t>ALEATÓRIO 4751</t>
  </si>
  <si>
    <t>ALEATÓRIO 4752</t>
  </si>
  <si>
    <t>ALEATÓRIO 4753</t>
  </si>
  <si>
    <t>ALEATÓRIO 4754</t>
  </si>
  <si>
    <t>ALEATÓRIO 4755</t>
  </si>
  <si>
    <t>ALEATÓRIO 4756</t>
  </si>
  <si>
    <t>ALEATÓRIO 4757</t>
  </si>
  <si>
    <t>ALEATÓRIO 4758</t>
  </si>
  <si>
    <t>ALEATÓRIO 4759</t>
  </si>
  <si>
    <t>ALEATÓRIO 4760</t>
  </si>
  <si>
    <t>ALEATÓRIO 4761</t>
  </si>
  <si>
    <t>ALEATÓRIO 4762</t>
  </si>
  <si>
    <t>ALEATÓRIO 4763</t>
  </si>
  <si>
    <t>ALEATÓRIO 4764</t>
  </si>
  <si>
    <t>ALEATÓRIO 4765</t>
  </si>
  <si>
    <t>ALEATÓRIO 4766</t>
  </si>
  <si>
    <t>ALEATÓRIO 4767</t>
  </si>
  <si>
    <t>ALEATÓRIO 4768</t>
  </si>
  <si>
    <t>ALEATÓRIO 4769</t>
  </si>
  <si>
    <t>ALEATÓRIO 4770</t>
  </si>
  <si>
    <t>ALEATÓRIO 4771</t>
  </si>
  <si>
    <t>ALEATÓRIO 4772</t>
  </si>
  <si>
    <t>ALEATÓRIO 4773</t>
  </si>
  <si>
    <t>ALEATÓRIO 4774</t>
  </si>
  <si>
    <t>ALEATÓRIO 4775</t>
  </si>
  <si>
    <t>ALEATÓRIO 4776</t>
  </si>
  <si>
    <t>ALEATÓRIO 4777</t>
  </si>
  <si>
    <t>ALEATÓRIO 4778</t>
  </si>
  <si>
    <t>ALEATÓRIO 4779</t>
  </si>
  <si>
    <t>ALEATÓRIO 4780</t>
  </si>
  <si>
    <t>ALEATÓRIO 4781</t>
  </si>
  <si>
    <t>ALEATÓRIO 4782</t>
  </si>
  <si>
    <t>ALEATÓRIO 4783</t>
  </si>
  <si>
    <t>ALEATÓRIO 4784</t>
  </si>
  <si>
    <t>ALEATÓRIO 4785</t>
  </si>
  <si>
    <t>ALEATÓRIO 4786</t>
  </si>
  <si>
    <t>ALEATÓRIO 4787</t>
  </si>
  <si>
    <t>ALEATÓRIO 4788</t>
  </si>
  <si>
    <t>ALEATÓRIO 4789</t>
  </si>
  <si>
    <t>ALEATÓRIO 4790</t>
  </si>
  <si>
    <t>ALEATÓRIO 4791</t>
  </si>
  <si>
    <t>ALEATÓRIO 4792</t>
  </si>
  <si>
    <t>ALEATÓRIO 4793</t>
  </si>
  <si>
    <t>ALEATÓRIO 4794</t>
  </si>
  <si>
    <t>ALEATÓRIO 4795</t>
  </si>
  <si>
    <t>ALEATÓRIO 4796</t>
  </si>
  <si>
    <t>ALEATÓRIO 4797</t>
  </si>
  <si>
    <t>ALEATÓRIO 4798</t>
  </si>
  <si>
    <t>ALEATÓRIO 4799</t>
  </si>
  <si>
    <t>ALEATÓRIO 4800</t>
  </si>
  <si>
    <t>ALEATÓRIO 4801</t>
  </si>
  <si>
    <t>ALEATÓRIO 4802</t>
  </si>
  <si>
    <t>ALEATÓRIO 4803</t>
  </si>
  <si>
    <t>ALEATÓRIO 4804</t>
  </si>
  <si>
    <t>ALEATÓRIO 4805</t>
  </si>
  <si>
    <t>ALEATÓRIO 4806</t>
  </si>
  <si>
    <t>ALEATÓRIO 4807</t>
  </si>
  <si>
    <t>ALEATÓRIO 4808</t>
  </si>
  <si>
    <t>ALEATÓRIO 4809</t>
  </si>
  <si>
    <t>ALEATÓRIO 4810</t>
  </si>
  <si>
    <t>ALEATÓRIO 4811</t>
  </si>
  <si>
    <t>ALEATÓRIO 4812</t>
  </si>
  <si>
    <t>ALEATÓRIO 4813</t>
  </si>
  <si>
    <t>ALEATÓRIO 4814</t>
  </si>
  <si>
    <t>ALEATÓRIO 4815</t>
  </si>
  <si>
    <t>ALEATÓRIO 4816</t>
  </si>
  <si>
    <t>ALEATÓRIO 4817</t>
  </si>
  <si>
    <t>ALEATÓRIO 4818</t>
  </si>
  <si>
    <t>ALEATÓRIO 4819</t>
  </si>
  <si>
    <t>ALEATÓRIO 4820</t>
  </si>
  <si>
    <t>ALEATÓRIO 4821</t>
  </si>
  <si>
    <t>ALEATÓRIO 4822</t>
  </si>
  <si>
    <t>ALEATÓRIO 4823</t>
  </si>
  <si>
    <t>ALEATÓRIO 4824</t>
  </si>
  <si>
    <t>ALEATÓRIO 4825</t>
  </si>
  <si>
    <t>ALEATÓRIO 4826</t>
  </si>
  <si>
    <t>ALEATÓRIO 4827</t>
  </si>
  <si>
    <t>ALEATÓRIO 4828</t>
  </si>
  <si>
    <t>ALEATÓRIO 4829</t>
  </si>
  <si>
    <t>ALEATÓRIO 4830</t>
  </si>
  <si>
    <t>ALEATÓRIO 4831</t>
  </si>
  <si>
    <t>ALEATÓRIO 4832</t>
  </si>
  <si>
    <t>ALEATÓRIO 4833</t>
  </si>
  <si>
    <t>ALEATÓRIO 4834</t>
  </si>
  <si>
    <t>ALEATÓRIO 4835</t>
  </si>
  <si>
    <t>ALEATÓRIO 4836</t>
  </si>
  <si>
    <t>ALEATÓRIO 4837</t>
  </si>
  <si>
    <t>ALEATÓRIO 4838</t>
  </si>
  <si>
    <t>ALEATÓRIO 4839</t>
  </si>
  <si>
    <t>ALEATÓRIO 4840</t>
  </si>
  <si>
    <t>ALEATÓRIO 4841</t>
  </si>
  <si>
    <t>ALEATÓRIO 4842</t>
  </si>
  <si>
    <t>ALEATÓRIO 4843</t>
  </si>
  <si>
    <t>ALEATÓRIO 4844</t>
  </si>
  <si>
    <t>ALEATÓRIO 4845</t>
  </si>
  <si>
    <t>ALEATÓRIO 4846</t>
  </si>
  <si>
    <t>ALEATÓRIO 4847</t>
  </si>
  <si>
    <t>ALEATÓRIO 4848</t>
  </si>
  <si>
    <t>ALEATÓRIO 4849</t>
  </si>
  <si>
    <t>ALEATÓRIO 4850</t>
  </si>
  <si>
    <t>ALEATÓRIO 4851</t>
  </si>
  <si>
    <t>ALEATÓRIO 4852</t>
  </si>
  <si>
    <t>ALEATÓRIO 4853</t>
  </si>
  <si>
    <t>ALEATÓRIO 4854</t>
  </si>
  <si>
    <t>ALEATÓRIO 4855</t>
  </si>
  <si>
    <t>ALEATÓRIO 4856</t>
  </si>
  <si>
    <t>ALEATÓRIO 4857</t>
  </si>
  <si>
    <t>ALEATÓRIO 4858</t>
  </si>
  <si>
    <t>ALEATÓRIO 4859</t>
  </si>
  <si>
    <t>ALEATÓRIO 4860</t>
  </si>
  <si>
    <t>ALEATÓRIO 4861</t>
  </si>
  <si>
    <t>ALEATÓRIO 4862</t>
  </si>
  <si>
    <t>ALEATÓRIO 4863</t>
  </si>
  <si>
    <t>ALEATÓRIO 4864</t>
  </si>
  <si>
    <t>ALEATÓRIO 4865</t>
  </si>
  <si>
    <t>ALEATÓRIO 4866</t>
  </si>
  <si>
    <t>ALEATÓRIO 4867</t>
  </si>
  <si>
    <t>ALEATÓRIO 4868</t>
  </si>
  <si>
    <t>ALEATÓRIO 4869</t>
  </si>
  <si>
    <t>ALEATÓRIO 4870</t>
  </si>
  <si>
    <t>ALEATÓRIO 4871</t>
  </si>
  <si>
    <t>ALEATÓRIO 4872</t>
  </si>
  <si>
    <t>ALEATÓRIO 4873</t>
  </si>
  <si>
    <t>ALEATÓRIO 4874</t>
  </si>
  <si>
    <t>ALEATÓRIO 4875</t>
  </si>
  <si>
    <t>ALEATÓRIO 4876</t>
  </si>
  <si>
    <t>ALEATÓRIO 4877</t>
  </si>
  <si>
    <t>ALEATÓRIO 4878</t>
  </si>
  <si>
    <t>ALEATÓRIO 4879</t>
  </si>
  <si>
    <t>ALEATÓRIO 4880</t>
  </si>
  <si>
    <t>ALEATÓRIO 4881</t>
  </si>
  <si>
    <t>ALEATÓRIO 4882</t>
  </si>
  <si>
    <t>ALEATÓRIO 4883</t>
  </si>
  <si>
    <t>ALEATÓRIO 4884</t>
  </si>
  <si>
    <t>ALEATÓRIO 4885</t>
  </si>
  <si>
    <t>ALEATÓRIO 4886</t>
  </si>
  <si>
    <t>ALEATÓRIO 4887</t>
  </si>
  <si>
    <t>ALEATÓRIO 4888</t>
  </si>
  <si>
    <t>ALEATÓRIO 4889</t>
  </si>
  <si>
    <t>ALEATÓRIO 4890</t>
  </si>
  <si>
    <t>ALEATÓRIO 4891</t>
  </si>
  <si>
    <t>ALEATÓRIO 4892</t>
  </si>
  <si>
    <t>ALEATÓRIO 4893</t>
  </si>
  <si>
    <t>ALEATÓRIO 4894</t>
  </si>
  <si>
    <t>ALEATÓRIO 4895</t>
  </si>
  <si>
    <t>ALEATÓRIO 4896</t>
  </si>
  <si>
    <t>ALEATÓRIO 4897</t>
  </si>
  <si>
    <t>ALEATÓRIO 4898</t>
  </si>
  <si>
    <t>ALEATÓRIO 4899</t>
  </si>
  <si>
    <t>ALEATÓRIO 4900</t>
  </si>
  <si>
    <t>ALEATÓRIO 4901</t>
  </si>
  <si>
    <t>ALEATÓRIO 4902</t>
  </si>
  <si>
    <t>ALEATÓRIO 4903</t>
  </si>
  <si>
    <t>ALEATÓRIO 4904</t>
  </si>
  <si>
    <t>ALEATÓRIO 4905</t>
  </si>
  <si>
    <t>ALEATÓRIO 4906</t>
  </si>
  <si>
    <t>ALEATÓRIO 4907</t>
  </si>
  <si>
    <t>ALEATÓRIO 4908</t>
  </si>
  <si>
    <t>ALEATÓRIO 4909</t>
  </si>
  <si>
    <t>ALEATÓRIO 4910</t>
  </si>
  <si>
    <t>ALEATÓRIO 4911</t>
  </si>
  <si>
    <t>ALEATÓRIO 4912</t>
  </si>
  <si>
    <t>ALEATÓRIO 4913</t>
  </si>
  <si>
    <t>ALEATÓRIO 4914</t>
  </si>
  <si>
    <t>ALEATÓRIO 4915</t>
  </si>
  <si>
    <t>ALEATÓRIO 4916</t>
  </si>
  <si>
    <t>ALEATÓRIO 4917</t>
  </si>
  <si>
    <t>ALEATÓRIO 4918</t>
  </si>
  <si>
    <t>ALEATÓRIO 4919</t>
  </si>
  <si>
    <t>ALEATÓRIO 4920</t>
  </si>
  <si>
    <t>ALEATÓRIO 4921</t>
  </si>
  <si>
    <t>ALEATÓRIO 4922</t>
  </si>
  <si>
    <t>ALEATÓRIO 4923</t>
  </si>
  <si>
    <t>ALEATÓRIO 4924</t>
  </si>
  <si>
    <t>ALEATÓRIO 4925</t>
  </si>
  <si>
    <t>ALEATÓRIO 4926</t>
  </si>
  <si>
    <t>ALEATÓRIO 4927</t>
  </si>
  <si>
    <t>ALEATÓRIO 4928</t>
  </si>
  <si>
    <t>ALEATÓRIO 4929</t>
  </si>
  <si>
    <t>ALEATÓRIO 4930</t>
  </si>
  <si>
    <t>ALEATÓRIO 4931</t>
  </si>
  <si>
    <t>ALEATÓRIO 4932</t>
  </si>
  <si>
    <t>ALEATÓRIO 4933</t>
  </si>
  <si>
    <t>ALEATÓRIO 4934</t>
  </si>
  <si>
    <t>ALEATÓRIO 4935</t>
  </si>
  <si>
    <t>ALEATÓRIO 4936</t>
  </si>
  <si>
    <t>ALEATÓRIO 4937</t>
  </si>
  <si>
    <t>ALEATÓRIO 4938</t>
  </si>
  <si>
    <t>ALEATÓRIO 4939</t>
  </si>
  <si>
    <t>ALEATÓRIO 4940</t>
  </si>
  <si>
    <t>ALEATÓRIO 4941</t>
  </si>
  <si>
    <t>ALEATÓRIO 4942</t>
  </si>
  <si>
    <t>ALEATÓRIO 4943</t>
  </si>
  <si>
    <t>ALEATÓRIO 4944</t>
  </si>
  <si>
    <t>ALEATÓRIO 4945</t>
  </si>
  <si>
    <t>ALEATÓRIO 4946</t>
  </si>
  <si>
    <t>ALEATÓRIO 4947</t>
  </si>
  <si>
    <t>ALEATÓRIO 4948</t>
  </si>
  <si>
    <t>ALEATÓRIO 4949</t>
  </si>
  <si>
    <t>ALEATÓRIO 4950</t>
  </si>
  <si>
    <t>ALEATÓRIO 4951</t>
  </si>
  <si>
    <t>ALEATÓRIO 4952</t>
  </si>
  <si>
    <t>ALEATÓRIO 4953</t>
  </si>
  <si>
    <t>ALEATÓRIO 4954</t>
  </si>
  <si>
    <t>ALEATÓRIO 4955</t>
  </si>
  <si>
    <t>ALEATÓRIO 4956</t>
  </si>
  <si>
    <t>ALEATÓRIO 4957</t>
  </si>
  <si>
    <t>ALEATÓRIO 4958</t>
  </si>
  <si>
    <t>ALEATÓRIO 4959</t>
  </si>
  <si>
    <t>ALEATÓRIO 4960</t>
  </si>
  <si>
    <t>ALEATÓRIO 4961</t>
  </si>
  <si>
    <t>ALEATÓRIO 4962</t>
  </si>
  <si>
    <t>ALEATÓRIO 4963</t>
  </si>
  <si>
    <t>ALEATÓRIO 4964</t>
  </si>
  <si>
    <t>ALEATÓRIO 4965</t>
  </si>
  <si>
    <t>ALEATÓRIO 4966</t>
  </si>
  <si>
    <t>ALEATÓRIO 4967</t>
  </si>
  <si>
    <t>ALEATÓRIO 4968</t>
  </si>
  <si>
    <t>ALEATÓRIO 4969</t>
  </si>
  <si>
    <t>ALEATÓRIO 4970</t>
  </si>
  <si>
    <t>ALEATÓRIO 4971</t>
  </si>
  <si>
    <t>ALEATÓRIO 4972</t>
  </si>
  <si>
    <t>ALEATÓRIO 4973</t>
  </si>
  <si>
    <t>ALEATÓRIO 4974</t>
  </si>
  <si>
    <t>ALEATÓRIO 4975</t>
  </si>
  <si>
    <t>ALEATÓRIO 4976</t>
  </si>
  <si>
    <t>ALEATÓRIO 4977</t>
  </si>
  <si>
    <t>ALEATÓRIO 4978</t>
  </si>
  <si>
    <t>ALEATÓRIO 4979</t>
  </si>
  <si>
    <t>ALEATÓRIO 4980</t>
  </si>
  <si>
    <t>ALEATÓRIO 4981</t>
  </si>
  <si>
    <t>ALEATÓRIO 4982</t>
  </si>
  <si>
    <t>ALEATÓRIO 4983</t>
  </si>
  <si>
    <t>ALEATÓRIO 4984</t>
  </si>
  <si>
    <t>ALEATÓRIO 4985</t>
  </si>
  <si>
    <t>ALEATÓRIO 4986</t>
  </si>
  <si>
    <t>ALEATÓRIO 4987</t>
  </si>
  <si>
    <t>ALEATÓRIO 4988</t>
  </si>
  <si>
    <t>ALEATÓRIO 4989</t>
  </si>
  <si>
    <t>ALEATÓRIO 4990</t>
  </si>
  <si>
    <t>ALEATÓRIO 4991</t>
  </si>
  <si>
    <t>ALEATÓRIO 4992</t>
  </si>
  <si>
    <t>ALEATÓRIO 4993</t>
  </si>
  <si>
    <t>ALEATÓRIO 4994</t>
  </si>
  <si>
    <t>ALEATÓRIO 4995</t>
  </si>
  <si>
    <t>ALEATÓRIO 4996</t>
  </si>
  <si>
    <t>ALEATÓRIO 4997</t>
  </si>
  <si>
    <t>ALEATÓRIO 4998</t>
  </si>
  <si>
    <t>ALEATÓRIO 4999</t>
  </si>
  <si>
    <t>ALEATÓRIO 5000</t>
  </si>
  <si>
    <t>ALEATÓRIO 5001</t>
  </si>
  <si>
    <t>ALEATÓRIO 5002</t>
  </si>
  <si>
    <t>ALEATÓRIO 5003</t>
  </si>
  <si>
    <t>ALEATÓRIO 5004</t>
  </si>
  <si>
    <t>ALEATÓRIO 5005</t>
  </si>
  <si>
    <t>ALEATÓRIO 5006</t>
  </si>
  <si>
    <t>ALEATÓRIO 5007</t>
  </si>
  <si>
    <t>ALEATÓRIO 5008</t>
  </si>
  <si>
    <t>ALEATÓRIO 5009</t>
  </si>
  <si>
    <t>ALEATÓRIO 5010</t>
  </si>
  <si>
    <t>ALEATÓRIO 5011</t>
  </si>
  <si>
    <t>ALEATÓRIO 5012</t>
  </si>
  <si>
    <t>ALEATÓRIO 5013</t>
  </si>
  <si>
    <t>ALEATÓRIO 5014</t>
  </si>
  <si>
    <t>ALEATÓRIO 5015</t>
  </si>
  <si>
    <t>ALEATÓRIO 5016</t>
  </si>
  <si>
    <t>ALEATÓRIO 5017</t>
  </si>
  <si>
    <t>ALEATÓRIO 5018</t>
  </si>
  <si>
    <t>ALEATÓRIO 5019</t>
  </si>
  <si>
    <t>ALEATÓRIO 5020</t>
  </si>
  <si>
    <t>ALEATÓRIO 5021</t>
  </si>
  <si>
    <t>ALEATÓRIO 5022</t>
  </si>
  <si>
    <t>ALEATÓRIO 5023</t>
  </si>
  <si>
    <t>ALEATÓRIO 5024</t>
  </si>
  <si>
    <t>ALEATÓRIO 5025</t>
  </si>
  <si>
    <t>ALEATÓRIO 5026</t>
  </si>
  <si>
    <t>ALEATÓRIO 5027</t>
  </si>
  <si>
    <t>ALEATÓRIO 5028</t>
  </si>
  <si>
    <t>ALEATÓRIO 5029</t>
  </si>
  <si>
    <t>ALEATÓRIO 5030</t>
  </si>
  <si>
    <t>ALEATÓRIO 5031</t>
  </si>
  <si>
    <t>ALEATÓRIO 5032</t>
  </si>
  <si>
    <t>ALEATÓRIO 5033</t>
  </si>
  <si>
    <t>ALEATÓRIO 5034</t>
  </si>
  <si>
    <t>ALEATÓRIO 5035</t>
  </si>
  <si>
    <t>ALEATÓRIO 5036</t>
  </si>
  <si>
    <t>ALEATÓRIO 5037</t>
  </si>
  <si>
    <t>ALEATÓRIO 5038</t>
  </si>
  <si>
    <t>ALEATÓRIO 5039</t>
  </si>
  <si>
    <t>ALEATÓRIO 5040</t>
  </si>
  <si>
    <t>ALEATÓRIO 5041</t>
  </si>
  <si>
    <t>ALEATÓRIO 5042</t>
  </si>
  <si>
    <t>ALEATÓRIO 5043</t>
  </si>
  <si>
    <t>ALEATÓRIO 5044</t>
  </si>
  <si>
    <t>ALEATÓRIO 5045</t>
  </si>
  <si>
    <t>ALEATÓRIO 5046</t>
  </si>
  <si>
    <t>ALEATÓRIO 5047</t>
  </si>
  <si>
    <t>ALEATÓRIO 5048</t>
  </si>
  <si>
    <t>ALEATÓRIO 5049</t>
  </si>
  <si>
    <t>ALEATÓRIO 5050</t>
  </si>
  <si>
    <t>ALEATÓRIO 5051</t>
  </si>
  <si>
    <t>ALEATÓRIO 5052</t>
  </si>
  <si>
    <t>ALEATÓRIO 5053</t>
  </si>
  <si>
    <t>ALEATÓRIO 5054</t>
  </si>
  <si>
    <t>ALEATÓRIO 5055</t>
  </si>
  <si>
    <t>ALEATÓRIO 5056</t>
  </si>
  <si>
    <t>ALEATÓRIO 5057</t>
  </si>
  <si>
    <t>ALEATÓRIO 5058</t>
  </si>
  <si>
    <t>ALEATÓRIO 5059</t>
  </si>
  <si>
    <t>ALEATÓRIO 5060</t>
  </si>
  <si>
    <t>ALEATÓRIO 5061</t>
  </si>
  <si>
    <t>ALEATÓRIO 5062</t>
  </si>
  <si>
    <t>ALEATÓRIO 5063</t>
  </si>
  <si>
    <t>ALEATÓRIO 5064</t>
  </si>
  <si>
    <t>ALEATÓRIO 5065</t>
  </si>
  <si>
    <t>ALEATÓRIO 5066</t>
  </si>
  <si>
    <t>ALEATÓRIO 5067</t>
  </si>
  <si>
    <t>ALEATÓRIO 5068</t>
  </si>
  <si>
    <t>ALEATÓRIO 5069</t>
  </si>
  <si>
    <t>ALEATÓRIO 5070</t>
  </si>
  <si>
    <t>ALEATÓRIO 5071</t>
  </si>
  <si>
    <t>ALEATÓRIO 5072</t>
  </si>
  <si>
    <t>ALEATÓRIO 5073</t>
  </si>
  <si>
    <t>ALEATÓRIO 5074</t>
  </si>
  <si>
    <t>ALEATÓRIO 5075</t>
  </si>
  <si>
    <t>ALEATÓRIO 5076</t>
  </si>
  <si>
    <t>ALEATÓRIO 5077</t>
  </si>
  <si>
    <t>ALEATÓRIO 5078</t>
  </si>
  <si>
    <t>ALEATÓRIO 5079</t>
  </si>
  <si>
    <t>ALEATÓRIO 5080</t>
  </si>
  <si>
    <t>ALEATÓRIO 5081</t>
  </si>
  <si>
    <t>ALEATÓRIO 5082</t>
  </si>
  <si>
    <t>ALEATÓRIO 5083</t>
  </si>
  <si>
    <t>ALEATÓRIO 5084</t>
  </si>
  <si>
    <t>ALEATÓRIO 5085</t>
  </si>
  <si>
    <t>ALEATÓRIO 5086</t>
  </si>
  <si>
    <t>ALEATÓRIO 5087</t>
  </si>
  <si>
    <t>ALEATÓRIO 5088</t>
  </si>
  <si>
    <t>ALEATÓRIO 5089</t>
  </si>
  <si>
    <t>ALEATÓRIO 5090</t>
  </si>
  <si>
    <t>ALEATÓRIO 5091</t>
  </si>
  <si>
    <t>ALEATÓRIO 5092</t>
  </si>
  <si>
    <t>ALEATÓRIO 5093</t>
  </si>
  <si>
    <t>ALEATÓRIO 5094</t>
  </si>
  <si>
    <t>ALEATÓRIO 5095</t>
  </si>
  <si>
    <t>ALEATÓRIO 5096</t>
  </si>
  <si>
    <t>ALEATÓRIO 5097</t>
  </si>
  <si>
    <t>ALEATÓRIO 5098</t>
  </si>
  <si>
    <t>ALEATÓRIO 5099</t>
  </si>
  <si>
    <t>ALEATÓRIO 5100</t>
  </si>
  <si>
    <t>ALEATÓRIO 5101</t>
  </si>
  <si>
    <t>ALEATÓRIO 5102</t>
  </si>
  <si>
    <t>ALEATÓRIO 5103</t>
  </si>
  <si>
    <t>ALEATÓRIO 5104</t>
  </si>
  <si>
    <t>ALEATÓRIO 5105</t>
  </si>
  <si>
    <t>ALEATÓRIO 5106</t>
  </si>
  <si>
    <t>ALEATÓRIO 5107</t>
  </si>
  <si>
    <t>ALEATÓRIO 5108</t>
  </si>
  <si>
    <t>ALEATÓRIO 5109</t>
  </si>
  <si>
    <t>ALEATÓRIO 5110</t>
  </si>
  <si>
    <t>ALEATÓRIO 5111</t>
  </si>
  <si>
    <t>ALEATÓRIO 5112</t>
  </si>
  <si>
    <t>ALEATÓRIO 5113</t>
  </si>
  <si>
    <t>ALEATÓRIO 5114</t>
  </si>
  <si>
    <t>ALEATÓRIO 5115</t>
  </si>
  <si>
    <t>ALEATÓRIO 5116</t>
  </si>
  <si>
    <t>ALEATÓRIO 5117</t>
  </si>
  <si>
    <t>ALEATÓRIO 5118</t>
  </si>
  <si>
    <t>ALEATÓRIO 5119</t>
  </si>
  <si>
    <t>ALEATÓRIO 5120</t>
  </si>
  <si>
    <t>ALEATÓRIO 5121</t>
  </si>
  <si>
    <t>ALEATÓRIO 5122</t>
  </si>
  <si>
    <t>ALEATÓRIO 5123</t>
  </si>
  <si>
    <t>ALEATÓRIO 5124</t>
  </si>
  <si>
    <t>ALEATÓRIO 5125</t>
  </si>
  <si>
    <t>ALEATÓRIO 5126</t>
  </si>
  <si>
    <t>ALEATÓRIO 5127</t>
  </si>
  <si>
    <t>ALEATÓRIO 5128</t>
  </si>
  <si>
    <t>ALEATÓRIO 5129</t>
  </si>
  <si>
    <t>ALEATÓRIO 5130</t>
  </si>
  <si>
    <t>ALEATÓRIO 5131</t>
  </si>
  <si>
    <t>ALEATÓRIO 5132</t>
  </si>
  <si>
    <t>ALEATÓRIO 5133</t>
  </si>
  <si>
    <t>ALEATÓRIO 5134</t>
  </si>
  <si>
    <t>ALEATÓRIO 5135</t>
  </si>
  <si>
    <t>ALEATÓRIO 5136</t>
  </si>
  <si>
    <t>ALEATÓRIO 5137</t>
  </si>
  <si>
    <t>ALEATÓRIO 5138</t>
  </si>
  <si>
    <t>ALEATÓRIO 5139</t>
  </si>
  <si>
    <t>ALEATÓRIO 5140</t>
  </si>
  <si>
    <t>ALEATÓRIO 5141</t>
  </si>
  <si>
    <t>ALEATÓRIO 5142</t>
  </si>
  <si>
    <t>ALEATÓRIO 5143</t>
  </si>
  <si>
    <t>ALEATÓRIO 5144</t>
  </si>
  <si>
    <t>ALEATÓRIO 5145</t>
  </si>
  <si>
    <t>ALEATÓRIO 5146</t>
  </si>
  <si>
    <t>ALEATÓRIO 5147</t>
  </si>
  <si>
    <t>ALEATÓRIO 5148</t>
  </si>
  <si>
    <t>ALEATÓRIO 5149</t>
  </si>
  <si>
    <t>ALEATÓRIO 5150</t>
  </si>
  <si>
    <t>ALEATÓRIO 5151</t>
  </si>
  <si>
    <t>ALEATÓRIO 5152</t>
  </si>
  <si>
    <t>ALEATÓRIO 5153</t>
  </si>
  <si>
    <t>ALEATÓRIO 5154</t>
  </si>
  <si>
    <t>ALEATÓRIO 5155</t>
  </si>
  <si>
    <t>ALEATÓRIO 5156</t>
  </si>
  <si>
    <t>ALEATÓRIO 5157</t>
  </si>
  <si>
    <t>ALEATÓRIO 5158</t>
  </si>
  <si>
    <t>ALEATÓRIO 5159</t>
  </si>
  <si>
    <t>ALEATÓRIO 5160</t>
  </si>
  <si>
    <t>ALEATÓRIO 5161</t>
  </si>
  <si>
    <t>ALEATÓRIO 5162</t>
  </si>
  <si>
    <t>ALEATÓRIO 5163</t>
  </si>
  <si>
    <t>ALEATÓRIO 5164</t>
  </si>
  <si>
    <t>ALEATÓRIO 5165</t>
  </si>
  <si>
    <t>ALEATÓRIO 5166</t>
  </si>
  <si>
    <t>ALEATÓRIO 5167</t>
  </si>
  <si>
    <t>ALEATÓRIO 5168</t>
  </si>
  <si>
    <t>ALEATÓRIO 5169</t>
  </si>
  <si>
    <t>ALEATÓRIO 5170</t>
  </si>
  <si>
    <t>ALEATÓRIO 5171</t>
  </si>
  <si>
    <t>ALEATÓRIO 5172</t>
  </si>
  <si>
    <t>ALEATÓRIO 5173</t>
  </si>
  <si>
    <t>ALEATÓRIO 5174</t>
  </si>
  <si>
    <t>ALEATÓRIO 5175</t>
  </si>
  <si>
    <t>ALEATÓRIO 5176</t>
  </si>
  <si>
    <t>ALEATÓRIO 5177</t>
  </si>
  <si>
    <t>ALEATÓRIO 5178</t>
  </si>
  <si>
    <t>ALEATÓRIO 5179</t>
  </si>
  <si>
    <t>ALEATÓRIO 5180</t>
  </si>
  <si>
    <t>ALEATÓRIO 5181</t>
  </si>
  <si>
    <t>ALEATÓRIO 5182</t>
  </si>
  <si>
    <t>ALEATÓRIO 5183</t>
  </si>
  <si>
    <t>ALEATÓRIO 5184</t>
  </si>
  <si>
    <t>ALEATÓRIO 5185</t>
  </si>
  <si>
    <t>ALEATÓRIO 5186</t>
  </si>
  <si>
    <t>ALEATÓRIO 5187</t>
  </si>
  <si>
    <t>ALEATÓRIO 5188</t>
  </si>
  <si>
    <t>ALEATÓRIO 5189</t>
  </si>
  <si>
    <t>ALEATÓRIO 5190</t>
  </si>
  <si>
    <t>ALEATÓRIO 5191</t>
  </si>
  <si>
    <t>ALEATÓRIO 5192</t>
  </si>
  <si>
    <t>ALEATÓRIO 5193</t>
  </si>
  <si>
    <t>ALEATÓRIO 5194</t>
  </si>
  <si>
    <t>ALEATÓRIO 5195</t>
  </si>
  <si>
    <t>ALEATÓRIO 5196</t>
  </si>
  <si>
    <t>ALEATÓRIO 5197</t>
  </si>
  <si>
    <t>ALEATÓRIO 5198</t>
  </si>
  <si>
    <t>ALEATÓRIO 5199</t>
  </si>
  <si>
    <t>ALEATÓRIO 5200</t>
  </si>
  <si>
    <t>ALEATÓRIO 5201</t>
  </si>
  <si>
    <t>ALEATÓRIO 5202</t>
  </si>
  <si>
    <t>ALEATÓRIO 5203</t>
  </si>
  <si>
    <t>ALEATÓRIO 5204</t>
  </si>
  <si>
    <t>ALEATÓRIO 5205</t>
  </si>
  <si>
    <t>ALEATÓRIO 5206</t>
  </si>
  <si>
    <t>ALEATÓRIO 5207</t>
  </si>
  <si>
    <t>ALEATÓRIO 5208</t>
  </si>
  <si>
    <t>ALEATÓRIO 5209</t>
  </si>
  <si>
    <t>ALEATÓRIO 5210</t>
  </si>
  <si>
    <t>ALEATÓRIO 5211</t>
  </si>
  <si>
    <t>ALEATÓRIO 5212</t>
  </si>
  <si>
    <t>ALEATÓRIO 5213</t>
  </si>
  <si>
    <t>ALEATÓRIO 5214</t>
  </si>
  <si>
    <t>ALEATÓRIO 5215</t>
  </si>
  <si>
    <t>ALEATÓRIO 5216</t>
  </si>
  <si>
    <t>ALEATÓRIO 5217</t>
  </si>
  <si>
    <t>ALEATÓRIO 5218</t>
  </si>
  <si>
    <t>ALEATÓRIO 5219</t>
  </si>
  <si>
    <t>ALEATÓRIO 5220</t>
  </si>
  <si>
    <t>ALEATÓRIO 5221</t>
  </si>
  <si>
    <t>ALEATÓRIO 5222</t>
  </si>
  <si>
    <t>ALEATÓRIO 5223</t>
  </si>
  <si>
    <t>ALEATÓRIO 5224</t>
  </si>
  <si>
    <t>ALEATÓRIO 5225</t>
  </si>
  <si>
    <t>ALEATÓRIO 5226</t>
  </si>
  <si>
    <t>ALEATÓRIO 5227</t>
  </si>
  <si>
    <t>ALEATÓRIO 5228</t>
  </si>
  <si>
    <t>ALEATÓRIO 5229</t>
  </si>
  <si>
    <t>ALEATÓRIO 5230</t>
  </si>
  <si>
    <t>ALEATÓRIO 5231</t>
  </si>
  <si>
    <t>ALEATÓRIO 5232</t>
  </si>
  <si>
    <t>ALEATÓRIO 5233</t>
  </si>
  <si>
    <t>ALEATÓRIO 5234</t>
  </si>
  <si>
    <t>ALEATÓRIO 5235</t>
  </si>
  <si>
    <t>ALEATÓRIO 5236</t>
  </si>
  <si>
    <t>ALEATÓRIO 5237</t>
  </si>
  <si>
    <t>ALEATÓRIO 5238</t>
  </si>
  <si>
    <t>ALEATÓRIO 5239</t>
  </si>
  <si>
    <t>ALEATÓRIO 5240</t>
  </si>
  <si>
    <t>ALEATÓRIO 5241</t>
  </si>
  <si>
    <t>ALEATÓRIO 5242</t>
  </si>
  <si>
    <t>ALEATÓRIO 5243</t>
  </si>
  <si>
    <t>ALEATÓRIO 5244</t>
  </si>
  <si>
    <t>ALEATÓRIO 5245</t>
  </si>
  <si>
    <t>ALEATÓRIO 5246</t>
  </si>
  <si>
    <t>ALEATÓRIO 5247</t>
  </si>
  <si>
    <t>ALEATÓRIO 5248</t>
  </si>
  <si>
    <t>ALEATÓRIO 5249</t>
  </si>
  <si>
    <t>ALEATÓRIO 5250</t>
  </si>
  <si>
    <t>ALEATÓRIO 5251</t>
  </si>
  <si>
    <t>ALEATÓRIO 5252</t>
  </si>
  <si>
    <t>ALEATÓRIO 5253</t>
  </si>
  <si>
    <t>ALEATÓRIO 5254</t>
  </si>
  <si>
    <t>ALEATÓRIO 5255</t>
  </si>
  <si>
    <t>ALEATÓRIO 5256</t>
  </si>
  <si>
    <t>ALEATÓRIO 5257</t>
  </si>
  <si>
    <t>ALEATÓRIO 5258</t>
  </si>
  <si>
    <t>ALEATÓRIO 5259</t>
  </si>
  <si>
    <t>ALEATÓRIO 5260</t>
  </si>
  <si>
    <t>ALEATÓRIO 5261</t>
  </si>
  <si>
    <t>ALEATÓRIO 5262</t>
  </si>
  <si>
    <t>ALEATÓRIO 5263</t>
  </si>
  <si>
    <t>ALEATÓRIO 5264</t>
  </si>
  <si>
    <t>ALEATÓRIO 5265</t>
  </si>
  <si>
    <t>ALEATÓRIO 5266</t>
  </si>
  <si>
    <t>ALEATÓRIO 5267</t>
  </si>
  <si>
    <t>ALEATÓRIO 5268</t>
  </si>
  <si>
    <t>ALEATÓRIO 5269</t>
  </si>
  <si>
    <t>ALEATÓRIO 5270</t>
  </si>
  <si>
    <t>ALEATÓRIO 5271</t>
  </si>
  <si>
    <t>ALEATÓRIO 5272</t>
  </si>
  <si>
    <t>ALEATÓRIO 5273</t>
  </si>
  <si>
    <t>ALEATÓRIO 5274</t>
  </si>
  <si>
    <t>ALEATÓRIO 5275</t>
  </si>
  <si>
    <t>ALEATÓRIO 5276</t>
  </si>
  <si>
    <t>ALEATÓRIO 5277</t>
  </si>
  <si>
    <t>ALEATÓRIO 5278</t>
  </si>
  <si>
    <t>ALEATÓRIO 5279</t>
  </si>
  <si>
    <t>ALEATÓRIO 5280</t>
  </si>
  <si>
    <t>ALEATÓRIO 5281</t>
  </si>
  <si>
    <t>ALEATÓRIO 5282</t>
  </si>
  <si>
    <t>ALEATÓRIO 5283</t>
  </si>
  <si>
    <t>ALEATÓRIO 5284</t>
  </si>
  <si>
    <t>ALEATÓRIO 5285</t>
  </si>
  <si>
    <t>ALEATÓRIO 5286</t>
  </si>
  <si>
    <t>ALEATÓRIO 5287</t>
  </si>
  <si>
    <t>ALEATÓRIO 5288</t>
  </si>
  <si>
    <t>ALEATÓRIO 5289</t>
  </si>
  <si>
    <t>ALEATÓRIO 5290</t>
  </si>
  <si>
    <t>ALEATÓRIO 5291</t>
  </si>
  <si>
    <t>ALEATÓRIO 5292</t>
  </si>
  <si>
    <t>ALEATÓRIO 5293</t>
  </si>
  <si>
    <t>ALEATÓRIO 5294</t>
  </si>
  <si>
    <t>ALEATÓRIO 5295</t>
  </si>
  <si>
    <t>ALEATÓRIO 5296</t>
  </si>
  <si>
    <t>ALEATÓRIO 5297</t>
  </si>
  <si>
    <t>ALEATÓRIO 5298</t>
  </si>
  <si>
    <t>ALEATÓRIO 5299</t>
  </si>
  <si>
    <t>ALEATÓRIO 5300</t>
  </si>
  <si>
    <t>ALEATÓRIO 5301</t>
  </si>
  <si>
    <t>ALEATÓRIO 5302</t>
  </si>
  <si>
    <t>ALEATÓRIO 5303</t>
  </si>
  <si>
    <t>ALEATÓRIO 5304</t>
  </si>
  <si>
    <t>ALEATÓRIO 5305</t>
  </si>
  <si>
    <t>ALEATÓRIO 5306</t>
  </si>
  <si>
    <t>ALEATÓRIO 5307</t>
  </si>
  <si>
    <t>ALEATÓRIO 5308</t>
  </si>
  <si>
    <t>ALEATÓRIO 5309</t>
  </si>
  <si>
    <t>ALEATÓRIO 5310</t>
  </si>
  <si>
    <t>ALEATÓRIO 5311</t>
  </si>
  <si>
    <t>ALEATÓRIO 5312</t>
  </si>
  <si>
    <t>ALEATÓRIO 5313</t>
  </si>
  <si>
    <t>ALEATÓRIO 5314</t>
  </si>
  <si>
    <t>ALEATÓRIO 5315</t>
  </si>
  <si>
    <t>ALEATÓRIO 5316</t>
  </si>
  <si>
    <t>ALEATÓRIO 5317</t>
  </si>
  <si>
    <t>ALEATÓRIO 5318</t>
  </si>
  <si>
    <t>ALEATÓRIO 5319</t>
  </si>
  <si>
    <t>ALEATÓRIO 5320</t>
  </si>
  <si>
    <t>ALEATÓRIO 5321</t>
  </si>
  <si>
    <t>ALEATÓRIO 5322</t>
  </si>
  <si>
    <t>ALEATÓRIO 5323</t>
  </si>
  <si>
    <t>ALEATÓRIO 5324</t>
  </si>
  <si>
    <t>ALEATÓRIO 5325</t>
  </si>
  <si>
    <t>ALEATÓRIO 5326</t>
  </si>
  <si>
    <t>ALEATÓRIO 5327</t>
  </si>
  <si>
    <t>ALEATÓRIO 5328</t>
  </si>
  <si>
    <t>ALEATÓRIO 5329</t>
  </si>
  <si>
    <t>ALEATÓRIO 5330</t>
  </si>
  <si>
    <t>ALEATÓRIO 5331</t>
  </si>
  <si>
    <t>ALEATÓRIO 5332</t>
  </si>
  <si>
    <t>ALEATÓRIO 5333</t>
  </si>
  <si>
    <t>ALEATÓRIO 5334</t>
  </si>
  <si>
    <t>ALEATÓRIO 5335</t>
  </si>
  <si>
    <t>ALEATÓRIO 5336</t>
  </si>
  <si>
    <t>ALEATÓRIO 5337</t>
  </si>
  <si>
    <t>ALEATÓRIO 5338</t>
  </si>
  <si>
    <t>ALEATÓRIO 5339</t>
  </si>
  <si>
    <t>ALEATÓRIO 5340</t>
  </si>
  <si>
    <t>ALEATÓRIO 5341</t>
  </si>
  <si>
    <t>ALEATÓRIO 5342</t>
  </si>
  <si>
    <t>ALEATÓRIO 5343</t>
  </si>
  <si>
    <t>ALEATÓRIO 5344</t>
  </si>
  <si>
    <t>ALEATÓRIO 5345</t>
  </si>
  <si>
    <t>ALEATÓRIO 5346</t>
  </si>
  <si>
    <t>ALEATÓRIO 5347</t>
  </si>
  <si>
    <t>ALEATÓRIO 5348</t>
  </si>
  <si>
    <t>ALEATÓRIO 5349</t>
  </si>
  <si>
    <t>ALEATÓRIO 5350</t>
  </si>
  <si>
    <t>ALEATÓRIO 5351</t>
  </si>
  <si>
    <t>ALEATÓRIO 5352</t>
  </si>
  <si>
    <t>ALEATÓRIO 5353</t>
  </si>
  <si>
    <t>ALEATÓRIO 5354</t>
  </si>
  <si>
    <t>ALEATÓRIO 5355</t>
  </si>
  <si>
    <t>ALEATÓRIO 5356</t>
  </si>
  <si>
    <t>ALEATÓRIO 5357</t>
  </si>
  <si>
    <t>ALEATÓRIO 5358</t>
  </si>
  <si>
    <t>ALEATÓRIO 5359</t>
  </si>
  <si>
    <t>ALEATÓRIO 5360</t>
  </si>
  <si>
    <t>ALEATÓRIO 5361</t>
  </si>
  <si>
    <t>ALEATÓRIO 5362</t>
  </si>
  <si>
    <t>ALEATÓRIO 5363</t>
  </si>
  <si>
    <t>ALEATÓRIO 5364</t>
  </si>
  <si>
    <t>ALEATÓRIO 5365</t>
  </si>
  <si>
    <t>ALEATÓRIO 5366</t>
  </si>
  <si>
    <t>ALEATÓRIO 5367</t>
  </si>
  <si>
    <t>ALEATÓRIO 5368</t>
  </si>
  <si>
    <t>ALEATÓRIO 5369</t>
  </si>
  <si>
    <t>ALEATÓRIO 5370</t>
  </si>
  <si>
    <t>ALEATÓRIO 5371</t>
  </si>
  <si>
    <t>ALEATÓRIO 5372</t>
  </si>
  <si>
    <t>ALEATÓRIO 5373</t>
  </si>
  <si>
    <t>ALEATÓRIO 5374</t>
  </si>
  <si>
    <t>ALEATÓRIO 5375</t>
  </si>
  <si>
    <t>ALEATÓRIO 5376</t>
  </si>
  <si>
    <t>ALEATÓRIO 5377</t>
  </si>
  <si>
    <t>ALEATÓRIO 5378</t>
  </si>
  <si>
    <t>ALEATÓRIO 5379</t>
  </si>
  <si>
    <t>ALEATÓRIO 5380</t>
  </si>
  <si>
    <t>ALEATÓRIO 5381</t>
  </si>
  <si>
    <t>ALEATÓRIO 5382</t>
  </si>
  <si>
    <t>ALEATÓRIO 5383</t>
  </si>
  <si>
    <t>ALEATÓRIO 5384</t>
  </si>
  <si>
    <t>ALEATÓRIO 5385</t>
  </si>
  <si>
    <t>ALEATÓRIO 5386</t>
  </si>
  <si>
    <t>ALEATÓRIO 5387</t>
  </si>
  <si>
    <t>ALEATÓRIO 5388</t>
  </si>
  <si>
    <t>ALEATÓRIO 5389</t>
  </si>
  <si>
    <t>ALEATÓRIO 5390</t>
  </si>
  <si>
    <t>ALEATÓRIO 5391</t>
  </si>
  <si>
    <t>ALEATÓRIO 5392</t>
  </si>
  <si>
    <t>ALEATÓRIO 5393</t>
  </si>
  <si>
    <t>ALEATÓRIO 5394</t>
  </si>
  <si>
    <t>ALEATÓRIO 5395</t>
  </si>
  <si>
    <t>ALEATÓRIO 5396</t>
  </si>
  <si>
    <t>ALEATÓRIO 5397</t>
  </si>
  <si>
    <t>ALEATÓRIO 5398</t>
  </si>
  <si>
    <t>ALEATÓRIO 5399</t>
  </si>
  <si>
    <t>ALEATÓRIO 5400</t>
  </si>
  <si>
    <t>ALEATÓRIO 5401</t>
  </si>
  <si>
    <t>ALEATÓRIO 5402</t>
  </si>
  <si>
    <t>ALEATÓRIO 5403</t>
  </si>
  <si>
    <t>ALEATÓRIO 5404</t>
  </si>
  <si>
    <t>ALEATÓRIO 5405</t>
  </si>
  <si>
    <t>ALEATÓRIO 5406</t>
  </si>
  <si>
    <t>ALEATÓRIO 5407</t>
  </si>
  <si>
    <t>ALEATÓRIO 5408</t>
  </si>
  <si>
    <t>ALEATÓRIO 5409</t>
  </si>
  <si>
    <t>ALEATÓRIO 5410</t>
  </si>
  <si>
    <t>ALEATÓRIO 5411</t>
  </si>
  <si>
    <t>ALEATÓRIO 5412</t>
  </si>
  <si>
    <t>ALEATÓRIO 5413</t>
  </si>
  <si>
    <t>ALEATÓRIO 5414</t>
  </si>
  <si>
    <t>ALEATÓRIO 5415</t>
  </si>
  <si>
    <t>ALEATÓRIO 5416</t>
  </si>
  <si>
    <t>ALEATÓRIO 5417</t>
  </si>
  <si>
    <t>ALEATÓRIO 5418</t>
  </si>
  <si>
    <t>ALEATÓRIO 5419</t>
  </si>
  <si>
    <t>ALEATÓRIO 5420</t>
  </si>
  <si>
    <t>ALEATÓRIO 5421</t>
  </si>
  <si>
    <t>ALEATÓRIO 5422</t>
  </si>
  <si>
    <t>ALEATÓRIO 5423</t>
  </si>
  <si>
    <t>ALEATÓRIO 5424</t>
  </si>
  <si>
    <t>ALEATÓRIO 5425</t>
  </si>
  <si>
    <t>ALEATÓRIO 5426</t>
  </si>
  <si>
    <t>ALEATÓRIO 5427</t>
  </si>
  <si>
    <t>ALEATÓRIO 5428</t>
  </si>
  <si>
    <t>ALEATÓRIO 5429</t>
  </si>
  <si>
    <t>ALEATÓRIO 5430</t>
  </si>
  <si>
    <t>ALEATÓRIO 5431</t>
  </si>
  <si>
    <t>ALEATÓRIO 5432</t>
  </si>
  <si>
    <t>ALEATÓRIO 5433</t>
  </si>
  <si>
    <t>ALEATÓRIO 5434</t>
  </si>
  <si>
    <t>ALEATÓRIO 5435</t>
  </si>
  <si>
    <t>ALEATÓRIO 5436</t>
  </si>
  <si>
    <t>ALEATÓRIO 5437</t>
  </si>
  <si>
    <t>ALEATÓRIO 5438</t>
  </si>
  <si>
    <t>ALEATÓRIO 5439</t>
  </si>
  <si>
    <t>ALEATÓRIO 5440</t>
  </si>
  <si>
    <t>ALEATÓRIO 5441</t>
  </si>
  <si>
    <t>ALEATÓRIO 5442</t>
  </si>
  <si>
    <t>ALEATÓRIO 5443</t>
  </si>
  <si>
    <t>ALEATÓRIO 5444</t>
  </si>
  <si>
    <t>ALEATÓRIO 5445</t>
  </si>
  <si>
    <t>ALEATÓRIO 5446</t>
  </si>
  <si>
    <t>ALEATÓRIO 5447</t>
  </si>
  <si>
    <t>ALEATÓRIO 5448</t>
  </si>
  <si>
    <t>ALEATÓRIO 5449</t>
  </si>
  <si>
    <t>ALEATÓRIO 5450</t>
  </si>
  <si>
    <t>ALEATÓRIO 5451</t>
  </si>
  <si>
    <t>ALEATÓRIO 5452</t>
  </si>
  <si>
    <t>ALEATÓRIO 5453</t>
  </si>
  <si>
    <t>ALEATÓRIO 5454</t>
  </si>
  <si>
    <t>ALEATÓRIO 5455</t>
  </si>
  <si>
    <t>ALEATÓRIO 5456</t>
  </si>
  <si>
    <t>ALEATÓRIO 5457</t>
  </si>
  <si>
    <t>ALEATÓRIO 5458</t>
  </si>
  <si>
    <t>ALEATÓRIO 5459</t>
  </si>
  <si>
    <t>ALEATÓRIO 5460</t>
  </si>
  <si>
    <t>ALEATÓRIO 5461</t>
  </si>
  <si>
    <t>ALEATÓRIO 5462</t>
  </si>
  <si>
    <t>ALEATÓRIO 5463</t>
  </si>
  <si>
    <t>ALEATÓRIO 5464</t>
  </si>
  <si>
    <t>ALEATÓRIO 5465</t>
  </si>
  <si>
    <t>ALEATÓRIO 5466</t>
  </si>
  <si>
    <t>ALEATÓRIO 5467</t>
  </si>
  <si>
    <t>ALEATÓRIO 5468</t>
  </si>
  <si>
    <t>ALEATÓRIO 5469</t>
  </si>
  <si>
    <t>ALEATÓRIO 5470</t>
  </si>
  <si>
    <t>ALEATÓRIO 5471</t>
  </si>
  <si>
    <t>ALEATÓRIO 5472</t>
  </si>
  <si>
    <t>ALEATÓRIO 5473</t>
  </si>
  <si>
    <t>ALEATÓRIO 5474</t>
  </si>
  <si>
    <t>ALEATÓRIO 5475</t>
  </si>
  <si>
    <t>ALEATÓRIO 5476</t>
  </si>
  <si>
    <t>ALEATÓRIO 5477</t>
  </si>
  <si>
    <t>ALEATÓRIO 5478</t>
  </si>
  <si>
    <t>ALEATÓRIO 5479</t>
  </si>
  <si>
    <t>ALEATÓRIO 5480</t>
  </si>
  <si>
    <t>ALEATÓRIO 5481</t>
  </si>
  <si>
    <t>ALEATÓRIO 5482</t>
  </si>
  <si>
    <t>ALEATÓRIO 5483</t>
  </si>
  <si>
    <t>ALEATÓRIO 5484</t>
  </si>
  <si>
    <t>ALEATÓRIO 5485</t>
  </si>
  <si>
    <t>ALEATÓRIO 5486</t>
  </si>
  <si>
    <t>ALEATÓRIO 5487</t>
  </si>
  <si>
    <t>ALEATÓRIO 5488</t>
  </si>
  <si>
    <t>ALEATÓRIO 5489</t>
  </si>
  <si>
    <t>ALEATÓRIO 5490</t>
  </si>
  <si>
    <t>ALEATÓRIO 5491</t>
  </si>
  <si>
    <t>ALEATÓRIO 5492</t>
  </si>
  <si>
    <t>ALEATÓRIO 5493</t>
  </si>
  <si>
    <t>ALEATÓRIO 5494</t>
  </si>
  <si>
    <t>ALEATÓRIO 5495</t>
  </si>
  <si>
    <t>ALEATÓRIO 5496</t>
  </si>
  <si>
    <t>ALEATÓRIO 5497</t>
  </si>
  <si>
    <t>ALEATÓRIO 5498</t>
  </si>
  <si>
    <t>ALEATÓRIO 5499</t>
  </si>
  <si>
    <t>ALEATÓRIO 5500</t>
  </si>
  <si>
    <t>ALEATÓRIO 5501</t>
  </si>
  <si>
    <t>ALEATÓRIO 5502</t>
  </si>
  <si>
    <t>ALEATÓRIO 5503</t>
  </si>
  <si>
    <t>ALEATÓRIO 5504</t>
  </si>
  <si>
    <t>ALEATÓRIO 5505</t>
  </si>
  <si>
    <t>ALEATÓRIO 5506</t>
  </si>
  <si>
    <t>ALEATÓRIO 5507</t>
  </si>
  <si>
    <t>ALEATÓRIO 5508</t>
  </si>
  <si>
    <t>ALEATÓRIO 5509</t>
  </si>
  <si>
    <t>ALEATÓRIO 5510</t>
  </si>
  <si>
    <t>ALEATÓRIO 5511</t>
  </si>
  <si>
    <t>ALEATÓRIO 5512</t>
  </si>
  <si>
    <t>ALEATÓRIO 5513</t>
  </si>
  <si>
    <t>ALEATÓRIO 5514</t>
  </si>
  <si>
    <t>ALEATÓRIO 5515</t>
  </si>
  <si>
    <t>ALEATÓRIO 5516</t>
  </si>
  <si>
    <t>ALEATÓRIO 5517</t>
  </si>
  <si>
    <t>ALEATÓRIO 5518</t>
  </si>
  <si>
    <t>ALEATÓRIO 5519</t>
  </si>
  <si>
    <t>ALEATÓRIO 5520</t>
  </si>
  <si>
    <t>ALEATÓRIO 5521</t>
  </si>
  <si>
    <t>ALEATÓRIO 5522</t>
  </si>
  <si>
    <t>ALEATÓRIO 5523</t>
  </si>
  <si>
    <t>ALEATÓRIO 5524</t>
  </si>
  <si>
    <t>ALEATÓRIO 5525</t>
  </si>
  <si>
    <t>ALEATÓRIO 5526</t>
  </si>
  <si>
    <t>ALEATÓRIO 5527</t>
  </si>
  <si>
    <t>ALEATÓRIO 5528</t>
  </si>
  <si>
    <t>ALEATÓRIO 5529</t>
  </si>
  <si>
    <t>ALEATÓRIO 5530</t>
  </si>
  <si>
    <t>ALEATÓRIO 5531</t>
  </si>
  <si>
    <t>ALEATÓRIO 5532</t>
  </si>
  <si>
    <t>ALEATÓRIO 5533</t>
  </si>
  <si>
    <t>ALEATÓRIO 5534</t>
  </si>
  <si>
    <t>ALEATÓRIO 5535</t>
  </si>
  <si>
    <t>ALEATÓRIO 5536</t>
  </si>
  <si>
    <t>ALEATÓRIO 5537</t>
  </si>
  <si>
    <t>ALEATÓRIO 5538</t>
  </si>
  <si>
    <t>ALEATÓRIO 5539</t>
  </si>
  <si>
    <t>ALEATÓRIO 5540</t>
  </si>
  <si>
    <t>ALEATÓRIO 5541</t>
  </si>
  <si>
    <t>ALEATÓRIO 5542</t>
  </si>
  <si>
    <t>ALEATÓRIO 5543</t>
  </si>
  <si>
    <t>ALEATÓRIO 5544</t>
  </si>
  <si>
    <t>ALEATÓRIO 5545</t>
  </si>
  <si>
    <t>ALEATÓRIO 5546</t>
  </si>
  <si>
    <t>ALEATÓRIO 5547</t>
  </si>
  <si>
    <t>ALEATÓRIO 5548</t>
  </si>
  <si>
    <t>ALEATÓRIO 5549</t>
  </si>
  <si>
    <t>ALEATÓRIO 5550</t>
  </si>
  <si>
    <t>ALEATÓRIO 5551</t>
  </si>
  <si>
    <t>ALEATÓRIO 5552</t>
  </si>
  <si>
    <t>ALEATÓRIO 5553</t>
  </si>
  <si>
    <t>ALEATÓRIO 5554</t>
  </si>
  <si>
    <t>ALEATÓRIO 5555</t>
  </si>
  <si>
    <t>ALEATÓRIO 5556</t>
  </si>
  <si>
    <t>ALEATÓRIO 5557</t>
  </si>
  <si>
    <t>ALEATÓRIO 5558</t>
  </si>
  <si>
    <t>ALEATÓRIO 5559</t>
  </si>
  <si>
    <t>ALEATÓRIO 5560</t>
  </si>
  <si>
    <t>ALEATÓRIO 5561</t>
  </si>
  <si>
    <t>ALEATÓRIO 5562</t>
  </si>
  <si>
    <t>ALEATÓRIO 5563</t>
  </si>
  <si>
    <t>ALEATÓRIO 5564</t>
  </si>
  <si>
    <t>ALEATÓRIO 5565</t>
  </si>
  <si>
    <t>ALEATÓRIO 5566</t>
  </si>
  <si>
    <t>ALEATÓRIO 5567</t>
  </si>
  <si>
    <t>ALEATÓRIO 5568</t>
  </si>
  <si>
    <t>ALEATÓRIO 5569</t>
  </si>
  <si>
    <t>ALEATÓRIO 5570</t>
  </si>
  <si>
    <t>ALEATÓRIO 5571</t>
  </si>
  <si>
    <t>ALEATÓRIO 5572</t>
  </si>
  <si>
    <t>ALEATÓRIO 5573</t>
  </si>
  <si>
    <t>ALEATÓRIO 5574</t>
  </si>
  <si>
    <t>ALEATÓRIO 5575</t>
  </si>
  <si>
    <t>ALEATÓRIO 5576</t>
  </si>
  <si>
    <t>ALEATÓRIO 5577</t>
  </si>
  <si>
    <t>ALEATÓRIO 5578</t>
  </si>
  <si>
    <t>ALEATÓRIO 5579</t>
  </si>
  <si>
    <t>ALEATÓRIO 5580</t>
  </si>
  <si>
    <t>ALEATÓRIO 5581</t>
  </si>
  <si>
    <t>ALEATÓRIO 5582</t>
  </si>
  <si>
    <t>ALEATÓRIO 5583</t>
  </si>
  <si>
    <t>ALEATÓRIO 5584</t>
  </si>
  <si>
    <t>ALEATÓRIO 5585</t>
  </si>
  <si>
    <t>ALEATÓRIO 5586</t>
  </si>
  <si>
    <t>ALEATÓRIO 5587</t>
  </si>
  <si>
    <t>ALEATÓRIO 5588</t>
  </si>
  <si>
    <t>ALEATÓRIO 5589</t>
  </si>
  <si>
    <t>ALEATÓRIO 5590</t>
  </si>
  <si>
    <t>ALEATÓRIO 5591</t>
  </si>
  <si>
    <t>ALEATÓRIO 5592</t>
  </si>
  <si>
    <t>ALEATÓRIO 5593</t>
  </si>
  <si>
    <t>ALEATÓRIO 5594</t>
  </si>
  <si>
    <t>ALEATÓRIO 5595</t>
  </si>
  <si>
    <t>ALEATÓRIO 5596</t>
  </si>
  <si>
    <t>ALEATÓRIO 5597</t>
  </si>
  <si>
    <t>ALEATÓRIO 5598</t>
  </si>
  <si>
    <t>ALEATÓRIO 5599</t>
  </si>
  <si>
    <t>ALEATÓRIO 5600</t>
  </si>
  <si>
    <t>ALEATÓRIO 5601</t>
  </si>
  <si>
    <t>ALEATÓRIO 5602</t>
  </si>
  <si>
    <t>ALEATÓRIO 5603</t>
  </si>
  <si>
    <t>ALEATÓRIO 5604</t>
  </si>
  <si>
    <t>ALEATÓRIO 5605</t>
  </si>
  <si>
    <t>ALEATÓRIO 5606</t>
  </si>
  <si>
    <t>ALEATÓRIO 5607</t>
  </si>
  <si>
    <t>ALEATÓRIO 5608</t>
  </si>
  <si>
    <t>ALEATÓRIO 5609</t>
  </si>
  <si>
    <t>ALEATÓRIO 5610</t>
  </si>
  <si>
    <t>ALEATÓRIO 5611</t>
  </si>
  <si>
    <t>ALEATÓRIO 5612</t>
  </si>
  <si>
    <t>ALEATÓRIO 5613</t>
  </si>
  <si>
    <t>ALEATÓRIO 5614</t>
  </si>
  <si>
    <t>ALEATÓRIO 5615</t>
  </si>
  <si>
    <t>ALEATÓRIO 5616</t>
  </si>
  <si>
    <t>ALEATÓRIO 5617</t>
  </si>
  <si>
    <t>ALEATÓRIO 5618</t>
  </si>
  <si>
    <t>ALEATÓRIO 5619</t>
  </si>
  <si>
    <t>ALEATÓRIO 5620</t>
  </si>
  <si>
    <t>ALEATÓRIO 5621</t>
  </si>
  <si>
    <t>ALEATÓRIO 5622</t>
  </si>
  <si>
    <t>ALEATÓRIO 5623</t>
  </si>
  <si>
    <t>ALEATÓRIO 5624</t>
  </si>
  <si>
    <t>ALEATÓRIO 5625</t>
  </si>
  <si>
    <t>ALEATÓRIO 5626</t>
  </si>
  <si>
    <t>ALEATÓRIO 5627</t>
  </si>
  <si>
    <t>ALEATÓRIO 5628</t>
  </si>
  <si>
    <t>ALEATÓRIO 5629</t>
  </si>
  <si>
    <t>ALEATÓRIO 5630</t>
  </si>
  <si>
    <t>ALEATÓRIO 5631</t>
  </si>
  <si>
    <t>ALEATÓRIO 5632</t>
  </si>
  <si>
    <t>ALEATÓRIO 5633</t>
  </si>
  <si>
    <t>ALEATÓRIO 5634</t>
  </si>
  <si>
    <t>ALEATÓRIO 5635</t>
  </si>
  <si>
    <t>ALEATÓRIO 5636</t>
  </si>
  <si>
    <t>ALEATÓRIO 5637</t>
  </si>
  <si>
    <t>ALEATÓRIO 5638</t>
  </si>
  <si>
    <t>ALEATÓRIO 5639</t>
  </si>
  <si>
    <t>ALEATÓRIO 5640</t>
  </si>
  <si>
    <t>ALEATÓRIO 5641</t>
  </si>
  <si>
    <t>ALEATÓRIO 5642</t>
  </si>
  <si>
    <t>ALEATÓRIO 5643</t>
  </si>
  <si>
    <t>ALEATÓRIO 5644</t>
  </si>
  <si>
    <t>ALEATÓRIO 5645</t>
  </si>
  <si>
    <t>ALEATÓRIO 5646</t>
  </si>
  <si>
    <t>ALEATÓRIO 5647</t>
  </si>
  <si>
    <t>ALEATÓRIO 5648</t>
  </si>
  <si>
    <t>ALEATÓRIO 5649</t>
  </si>
  <si>
    <t>ALEATÓRIO 5650</t>
  </si>
  <si>
    <t>ALEATÓRIO 5651</t>
  </si>
  <si>
    <t>ALEATÓRIO 5652</t>
  </si>
  <si>
    <t>ALEATÓRIO 5653</t>
  </si>
  <si>
    <t>ALEATÓRIO 5654</t>
  </si>
  <si>
    <t>ALEATÓRIO 5655</t>
  </si>
  <si>
    <t>ALEATÓRIO 5656</t>
  </si>
  <si>
    <t>ALEATÓRIO 5657</t>
  </si>
  <si>
    <t>ALEATÓRIO 5658</t>
  </si>
  <si>
    <t>ALEATÓRIO 5659</t>
  </si>
  <si>
    <t>ALEATÓRIO 5660</t>
  </si>
  <si>
    <t>ALEATÓRIO 5661</t>
  </si>
  <si>
    <t>ALEATÓRIO 5662</t>
  </si>
  <si>
    <t>ALEATÓRIO 5663</t>
  </si>
  <si>
    <t>ALEATÓRIO 5664</t>
  </si>
  <si>
    <t>ALEATÓRIO 5665</t>
  </si>
  <si>
    <t>ALEATÓRIO 5666</t>
  </si>
  <si>
    <t>ALEATÓRIO 5667</t>
  </si>
  <si>
    <t>ALEATÓRIO 5668</t>
  </si>
  <si>
    <t>ALEATÓRIO 5669</t>
  </si>
  <si>
    <t>ALEATÓRIO 5670</t>
  </si>
  <si>
    <t>ALEATÓRIO 5671</t>
  </si>
  <si>
    <t>ALEATÓRIO 5672</t>
  </si>
  <si>
    <t>ALEATÓRIO 5673</t>
  </si>
  <si>
    <t>ALEATÓRIO 5674</t>
  </si>
  <si>
    <t>ALEATÓRIO 5675</t>
  </si>
  <si>
    <t>ALEATÓRIO 5676</t>
  </si>
  <si>
    <t>ALEATÓRIO 5677</t>
  </si>
  <si>
    <t>ALEATÓRIO 5678</t>
  </si>
  <si>
    <t>ALEATÓRIO 5679</t>
  </si>
  <si>
    <t>ALEATÓRIO 5680</t>
  </si>
  <si>
    <t>ALEATÓRIO 5681</t>
  </si>
  <si>
    <t>ALEATÓRIO 5682</t>
  </si>
  <si>
    <t>ALEATÓRIO 5683</t>
  </si>
  <si>
    <t>ALEATÓRIO 5684</t>
  </si>
  <si>
    <t>ALEATÓRIO 5685</t>
  </si>
  <si>
    <t>ALEATÓRIO 5686</t>
  </si>
  <si>
    <t>ALEATÓRIO 5687</t>
  </si>
  <si>
    <t>ALEATÓRIO 5688</t>
  </si>
  <si>
    <t>ALEATÓRIO 5689</t>
  </si>
  <si>
    <t>ALEATÓRIO 5690</t>
  </si>
  <si>
    <t>ALEATÓRIO 5691</t>
  </si>
  <si>
    <t>ALEATÓRIO 5692</t>
  </si>
  <si>
    <t>ALEATÓRIO 5693</t>
  </si>
  <si>
    <t>ALEATÓRIO 5694</t>
  </si>
  <si>
    <t>ALEATÓRIO 5695</t>
  </si>
  <si>
    <t>ALEATÓRIO 5696</t>
  </si>
  <si>
    <t>ALEATÓRIO 5697</t>
  </si>
  <si>
    <t>ALEATÓRIO 5698</t>
  </si>
  <si>
    <t>ALEATÓRIO 5699</t>
  </si>
  <si>
    <t>ALEATÓRIO 5700</t>
  </si>
  <si>
    <t>ALEATÓRIO 5701</t>
  </si>
  <si>
    <t>ALEATÓRIO 5702</t>
  </si>
  <si>
    <t>ALEATÓRIO 5703</t>
  </si>
  <si>
    <t>ALEATÓRIO 5704</t>
  </si>
  <si>
    <t>ALEATÓRIO 5705</t>
  </si>
  <si>
    <t>ALEATÓRIO 5706</t>
  </si>
  <si>
    <t>ALEATÓRIO 5707</t>
  </si>
  <si>
    <t>ALEATÓRIO 5708</t>
  </si>
  <si>
    <t>ALEATÓRIO 5709</t>
  </si>
  <si>
    <t>ALEATÓRIO 5710</t>
  </si>
  <si>
    <t>ALEATÓRIO 5711</t>
  </si>
  <si>
    <t>ALEATÓRIO 5712</t>
  </si>
  <si>
    <t>ALEATÓRIO 5713</t>
  </si>
  <si>
    <t>ALEATÓRIO 5714</t>
  </si>
  <si>
    <t>ALEATÓRIO 5715</t>
  </si>
  <si>
    <t>ALEATÓRIO 5716</t>
  </si>
  <si>
    <t>ALEATÓRIO 5717</t>
  </si>
  <si>
    <t>ALEATÓRIO 5718</t>
  </si>
  <si>
    <t>ALEATÓRIO 5719</t>
  </si>
  <si>
    <t>ALEATÓRIO 5720</t>
  </si>
  <si>
    <t>ALEATÓRIO 5721</t>
  </si>
  <si>
    <t>ALEATÓRIO 5722</t>
  </si>
  <si>
    <t>ALEATÓRIO 5723</t>
  </si>
  <si>
    <t>ALEATÓRIO 5724</t>
  </si>
  <si>
    <t>ALEATÓRIO 5725</t>
  </si>
  <si>
    <t>ALEATÓRIO 5726</t>
  </si>
  <si>
    <t>ALEATÓRIO 5727</t>
  </si>
  <si>
    <t>ALEATÓRIO 5728</t>
  </si>
  <si>
    <t>ALEATÓRIO 5729</t>
  </si>
  <si>
    <t>ALEATÓRIO 5730</t>
  </si>
  <si>
    <t>ALEATÓRIO 5731</t>
  </si>
  <si>
    <t>ALEATÓRIO 5732</t>
  </si>
  <si>
    <t>ALEATÓRIO 5733</t>
  </si>
  <si>
    <t>ALEATÓRIO 5734</t>
  </si>
  <si>
    <t>ALEATÓRIO 5735</t>
  </si>
  <si>
    <t>ALEATÓRIO 5736</t>
  </si>
  <si>
    <t>ALEATÓRIO 5737</t>
  </si>
  <si>
    <t>ALEATÓRIO 5738</t>
  </si>
  <si>
    <t>ALEATÓRIO 5739</t>
  </si>
  <si>
    <t>ALEATÓRIO 5740</t>
  </si>
  <si>
    <t>ALEATÓRIO 5741</t>
  </si>
  <si>
    <t>ALEATÓRIO 5742</t>
  </si>
  <si>
    <t>ALEATÓRIO 5743</t>
  </si>
  <si>
    <t>ALEATÓRIO 5744</t>
  </si>
  <si>
    <t>ALEATÓRIO 5745</t>
  </si>
  <si>
    <t>ALEATÓRIO 5746</t>
  </si>
  <si>
    <t>ALEATÓRIO 5747</t>
  </si>
  <si>
    <t>ALEATÓRIO 5748</t>
  </si>
  <si>
    <t>ALEATÓRIO 5749</t>
  </si>
  <si>
    <t>ALEATÓRIO 5750</t>
  </si>
  <si>
    <t>ALEATÓRIO 5751</t>
  </si>
  <si>
    <t>ALEATÓRIO 5752</t>
  </si>
  <si>
    <t>ALEATÓRIO 5753</t>
  </si>
  <si>
    <t>ALEATÓRIO 5754</t>
  </si>
  <si>
    <t>ALEATÓRIO 5755</t>
  </si>
  <si>
    <t>ALEATÓRIO 5756</t>
  </si>
  <si>
    <t>ALEATÓRIO 5757</t>
  </si>
  <si>
    <t>ALEATÓRIO 5758</t>
  </si>
  <si>
    <t>ALEATÓRIO 5759</t>
  </si>
  <si>
    <t>ALEATÓRIO 5760</t>
  </si>
  <si>
    <t>ALEATÓRIO 5761</t>
  </si>
  <si>
    <t>ALEATÓRIO 5762</t>
  </si>
  <si>
    <t>ALEATÓRIO 5763</t>
  </si>
  <si>
    <t>ALEATÓRIO 5764</t>
  </si>
  <si>
    <t>ALEATÓRIO 5765</t>
  </si>
  <si>
    <t>ALEATÓRIO 5766</t>
  </si>
  <si>
    <t>ALEATÓRIO 5767</t>
  </si>
  <si>
    <t>ALEATÓRIO 5768</t>
  </si>
  <si>
    <t>ALEATÓRIO 5769</t>
  </si>
  <si>
    <t>ALEATÓRIO 5770</t>
  </si>
  <si>
    <t>ALEATÓRIO 5771</t>
  </si>
  <si>
    <t>ALEATÓRIO 5772</t>
  </si>
  <si>
    <t>ALEATÓRIO 5773</t>
  </si>
  <si>
    <t>ALEATÓRIO 5774</t>
  </si>
  <si>
    <t>ALEATÓRIO 5775</t>
  </si>
  <si>
    <t>ALEATÓRIO 5776</t>
  </si>
  <si>
    <t>ALEATÓRIO 5777</t>
  </si>
  <si>
    <t>ALEATÓRIO 5778</t>
  </si>
  <si>
    <t>ALEATÓRIO 5779</t>
  </si>
  <si>
    <t>ALEATÓRIO 5780</t>
  </si>
  <si>
    <t>ALEATÓRIO 5781</t>
  </si>
  <si>
    <t>ALEATÓRIO 5782</t>
  </si>
  <si>
    <t>ALEATÓRIO 5783</t>
  </si>
  <si>
    <t>ALEATÓRIO 5784</t>
  </si>
  <si>
    <t>ALEATÓRIO 5785</t>
  </si>
  <si>
    <t>ALEATÓRIO 5786</t>
  </si>
  <si>
    <t>ALEATÓRIO 5787</t>
  </si>
  <si>
    <t>ALEATÓRIO 5788</t>
  </si>
  <si>
    <t>ALEATÓRIO 5789</t>
  </si>
  <si>
    <t>ALEATÓRIO 5790</t>
  </si>
  <si>
    <t>ALEATÓRIO 5791</t>
  </si>
  <si>
    <t>ALEATÓRIO 5792</t>
  </si>
  <si>
    <t>ALEATÓRIO 5793</t>
  </si>
  <si>
    <t>ALEATÓRIO 5794</t>
  </si>
  <si>
    <t>ALEATÓRIO 5795</t>
  </si>
  <si>
    <t>ALEATÓRIO 5796</t>
  </si>
  <si>
    <t>ALEATÓRIO 5797</t>
  </si>
  <si>
    <t>ALEATÓRIO 5798</t>
  </si>
  <si>
    <t>ALEATÓRIO 5799</t>
  </si>
  <si>
    <t>ALEATÓRIO 5800</t>
  </si>
  <si>
    <t>ALEATÓRIO 5801</t>
  </si>
  <si>
    <t>ALEATÓRIO 5802</t>
  </si>
  <si>
    <t>ALEATÓRIO 5803</t>
  </si>
  <si>
    <t>ALEATÓRIO 5804</t>
  </si>
  <si>
    <t>ALEATÓRIO 5805</t>
  </si>
  <si>
    <t>ALEATÓRIO 5806</t>
  </si>
  <si>
    <t>ALEATÓRIO 5807</t>
  </si>
  <si>
    <t>ALEATÓRIO 5808</t>
  </si>
  <si>
    <t>ALEATÓRIO 5809</t>
  </si>
  <si>
    <t>ALEATÓRIO 5810</t>
  </si>
  <si>
    <t>ALEATÓRIO 5811</t>
  </si>
  <si>
    <t>ALEATÓRIO 5812</t>
  </si>
  <si>
    <t>ALEATÓRIO 5813</t>
  </si>
  <si>
    <t>ALEATÓRIO 5814</t>
  </si>
  <si>
    <t>ALEATÓRIO 5815</t>
  </si>
  <si>
    <t>ALEATÓRIO 5816</t>
  </si>
  <si>
    <t>ALEATÓRIO 5817</t>
  </si>
  <si>
    <t>ALEATÓRIO 5818</t>
  </si>
  <si>
    <t>ALEATÓRIO 5819</t>
  </si>
  <si>
    <t>ALEATÓRIO 5820</t>
  </si>
  <si>
    <t>ALEATÓRIO 5821</t>
  </si>
  <si>
    <t>ALEATÓRIO 5822</t>
  </si>
  <si>
    <t>ALEATÓRIO 5823</t>
  </si>
  <si>
    <t>ALEATÓRIO 5824</t>
  </si>
  <si>
    <t>ALEATÓRIO 5825</t>
  </si>
  <si>
    <t>ALEATÓRIO 5826</t>
  </si>
  <si>
    <t>ALEATÓRIO 5827</t>
  </si>
  <si>
    <t>ALEATÓRIO 5828</t>
  </si>
  <si>
    <t>ALEATÓRIO 5829</t>
  </si>
  <si>
    <t>ALEATÓRIO 5830</t>
  </si>
  <si>
    <t>ALEATÓRIO 5831</t>
  </si>
  <si>
    <t>ALEATÓRIO 5832</t>
  </si>
  <si>
    <t>ALEATÓRIO 5833</t>
  </si>
  <si>
    <t>ALEATÓRIO 5834</t>
  </si>
  <si>
    <t>ALEATÓRIO 5835</t>
  </si>
  <si>
    <t>ALEATÓRIO 5836</t>
  </si>
  <si>
    <t>ALEATÓRIO 5837</t>
  </si>
  <si>
    <t>ALEATÓRIO 5838</t>
  </si>
  <si>
    <t>ALEATÓRIO 5839</t>
  </si>
  <si>
    <t>ALEATÓRIO 5840</t>
  </si>
  <si>
    <t>ALEATÓRIO 5841</t>
  </si>
  <si>
    <t>ALEATÓRIO 5842</t>
  </si>
  <si>
    <t>ALEATÓRIO 5843</t>
  </si>
  <si>
    <t>ALEATÓRIO 5844</t>
  </si>
  <si>
    <t>ALEATÓRIO 5845</t>
  </si>
  <si>
    <t>ALEATÓRIO 5846</t>
  </si>
  <si>
    <t>ALEATÓRIO 5847</t>
  </si>
  <si>
    <t>ALEATÓRIO 5848</t>
  </si>
  <si>
    <t>ALEATÓRIO 5849</t>
  </si>
  <si>
    <t>ALEATÓRIO 5850</t>
  </si>
  <si>
    <t>ALEATÓRIO 5851</t>
  </si>
  <si>
    <t>ALEATÓRIO 5852</t>
  </si>
  <si>
    <t>ALEATÓRIO 5853</t>
  </si>
  <si>
    <t>ALEATÓRIO 5854</t>
  </si>
  <si>
    <t>ALEATÓRIO 5855</t>
  </si>
  <si>
    <t>ALEATÓRIO 5856</t>
  </si>
  <si>
    <t>ALEATÓRIO 5857</t>
  </si>
  <si>
    <t>ALEATÓRIO 5858</t>
  </si>
  <si>
    <t>ALEATÓRIO 5859</t>
  </si>
  <si>
    <t>ALEATÓRIO 5860</t>
  </si>
  <si>
    <t>ALEATÓRIO 5861</t>
  </si>
  <si>
    <t>ALEATÓRIO 5862</t>
  </si>
  <si>
    <t>ALEATÓRIO 5863</t>
  </si>
  <si>
    <t>ALEATÓRIO 5864</t>
  </si>
  <si>
    <t>ALEATÓRIO 5865</t>
  </si>
  <si>
    <t>ALEATÓRIO 5866</t>
  </si>
  <si>
    <t>ALEATÓRIO 5867</t>
  </si>
  <si>
    <t>ALEATÓRIO 5868</t>
  </si>
  <si>
    <t>ALEATÓRIO 5869</t>
  </si>
  <si>
    <t>ALEATÓRIO 5870</t>
  </si>
  <si>
    <t>ALEATÓRIO 5871</t>
  </si>
  <si>
    <t>ALEATÓRIO 5872</t>
  </si>
  <si>
    <t>ALEATÓRIO 5873</t>
  </si>
  <si>
    <t>ALEATÓRIO 5874</t>
  </si>
  <si>
    <t>ALEATÓRIO 5875</t>
  </si>
  <si>
    <t>ALEATÓRIO 5876</t>
  </si>
  <si>
    <t>ALEATÓRIO 5877</t>
  </si>
  <si>
    <t>ALEATÓRIO 5878</t>
  </si>
  <si>
    <t>ALEATÓRIO 5879</t>
  </si>
  <si>
    <t>ALEATÓRIO 5880</t>
  </si>
  <si>
    <t>ALEATÓRIO 5881</t>
  </si>
  <si>
    <t>ALEATÓRIO 5882</t>
  </si>
  <si>
    <t>ALEATÓRIO 5883</t>
  </si>
  <si>
    <t>ALEATÓRIO 5884</t>
  </si>
  <si>
    <t>ALEATÓRIO 5885</t>
  </si>
  <si>
    <t>ALEATÓRIO 5886</t>
  </si>
  <si>
    <t>ALEATÓRIO 5887</t>
  </si>
  <si>
    <t>ALEATÓRIO 5888</t>
  </si>
  <si>
    <t>ALEATÓRIO 5889</t>
  </si>
  <si>
    <t>ALEATÓRIO 5890</t>
  </si>
  <si>
    <t>ALEATÓRIO 5891</t>
  </si>
  <si>
    <t>ALEATÓRIO 5892</t>
  </si>
  <si>
    <t>ALEATÓRIO 5893</t>
  </si>
  <si>
    <t>ALEATÓRIO 5894</t>
  </si>
  <si>
    <t>ALEATÓRIO 5895</t>
  </si>
  <si>
    <t>ALEATÓRIO 5896</t>
  </si>
  <si>
    <t>ALEATÓRIO 5897</t>
  </si>
  <si>
    <t>ALEATÓRIO 5898</t>
  </si>
  <si>
    <t>ALEATÓRIO 5899</t>
  </si>
  <si>
    <t>ALEATÓRIO 5900</t>
  </si>
  <si>
    <t>ALEATÓRIO 5901</t>
  </si>
  <si>
    <t>ALEATÓRIO 5902</t>
  </si>
  <si>
    <t>ALEATÓRIO 5903</t>
  </si>
  <si>
    <t>ALEATÓRIO 5904</t>
  </si>
  <si>
    <t>ALEATÓRIO 5905</t>
  </si>
  <si>
    <t>ALEATÓRIO 5906</t>
  </si>
  <si>
    <t>ALEATÓRIO 5907</t>
  </si>
  <si>
    <t>ALEATÓRIO 5908</t>
  </si>
  <si>
    <t>ALEATÓRIO 5909</t>
  </si>
  <si>
    <t>ALEATÓRIO 5910</t>
  </si>
  <si>
    <t>ALEATÓRIO 5911</t>
  </si>
  <si>
    <t>ALEATÓRIO 5912</t>
  </si>
  <si>
    <t>ALEATÓRIO 5913</t>
  </si>
  <si>
    <t>ALEATÓRIO 5914</t>
  </si>
  <si>
    <t>ALEATÓRIO 5915</t>
  </si>
  <si>
    <t>ALEATÓRIO 5916</t>
  </si>
  <si>
    <t>ALEATÓRIO 5917</t>
  </si>
  <si>
    <t>ALEATÓRIO 5918</t>
  </si>
  <si>
    <t>ALEATÓRIO 5919</t>
  </si>
  <si>
    <t>ALEATÓRIO 5920</t>
  </si>
  <si>
    <t>ALEATÓRIO 5921</t>
  </si>
  <si>
    <t>ALEATÓRIO 5922</t>
  </si>
  <si>
    <t>ALEATÓRIO 5923</t>
  </si>
  <si>
    <t>ALEATÓRIO 5924</t>
  </si>
  <si>
    <t>ALEATÓRIO 5925</t>
  </si>
  <si>
    <t>ALEATÓRIO 5926</t>
  </si>
  <si>
    <t>ALEATÓRIO 5927</t>
  </si>
  <si>
    <t>ALEATÓRIO 5928</t>
  </si>
  <si>
    <t>ALEATÓRIO 5929</t>
  </si>
  <si>
    <t>ALEATÓRIO 5930</t>
  </si>
  <si>
    <t>ALEATÓRIO 5931</t>
  </si>
  <si>
    <t>ALEATÓRIO 5932</t>
  </si>
  <si>
    <t>ALEATÓRIO 5933</t>
  </si>
  <si>
    <t>ALEATÓRIO 5934</t>
  </si>
  <si>
    <t>ALEATÓRIO 5935</t>
  </si>
  <si>
    <t>ALEATÓRIO 5936</t>
  </si>
  <si>
    <t>ALEATÓRIO 5937</t>
  </si>
  <si>
    <t>ALEATÓRIO 5938</t>
  </si>
  <si>
    <t>ALEATÓRIO 5939</t>
  </si>
  <si>
    <t>ALEATÓRIO 5940</t>
  </si>
  <si>
    <t>ALEATÓRIO 5941</t>
  </si>
  <si>
    <t>ALEATÓRIO 5942</t>
  </si>
  <si>
    <t>ALEATÓRIO 5943</t>
  </si>
  <si>
    <t>ALEATÓRIO 5944</t>
  </si>
  <si>
    <t>ALEATÓRIO 5945</t>
  </si>
  <si>
    <t>ALEATÓRIO 5946</t>
  </si>
  <si>
    <t>ALEATÓRIO 5947</t>
  </si>
  <si>
    <t>ALEATÓRIO 5948</t>
  </si>
  <si>
    <t>ALEATÓRIO 5949</t>
  </si>
  <si>
    <t>ALEATÓRIO 5950</t>
  </si>
  <si>
    <t>ALEATÓRIO 5951</t>
  </si>
  <si>
    <t>ALEATÓRIO 5952</t>
  </si>
  <si>
    <t>ALEATÓRIO 5953</t>
  </si>
  <si>
    <t>ALEATÓRIO 5954</t>
  </si>
  <si>
    <t>ALEATÓRIO 5955</t>
  </si>
  <si>
    <t>ALEATÓRIO 5956</t>
  </si>
  <si>
    <t>ALEATÓRIO 5957</t>
  </si>
  <si>
    <t>ALEATÓRIO 5958</t>
  </si>
  <si>
    <t>ALEATÓRIO 5959</t>
  </si>
  <si>
    <t>ALEATÓRIO 5960</t>
  </si>
  <si>
    <t>ALEATÓRIO 5961</t>
  </si>
  <si>
    <t>ALEATÓRIO 5962</t>
  </si>
  <si>
    <t>ALEATÓRIO 5963</t>
  </si>
  <si>
    <t>ALEATÓRIO 5964</t>
  </si>
  <si>
    <t>ALEATÓRIO 5965</t>
  </si>
  <si>
    <t>ALEATÓRIO 5966</t>
  </si>
  <si>
    <t>ALEATÓRIO 5967</t>
  </si>
  <si>
    <t>ALEATÓRIO 5968</t>
  </si>
  <si>
    <t>ALEATÓRIO 5969</t>
  </si>
  <si>
    <t>ALEATÓRIO 5970</t>
  </si>
  <si>
    <t>ALEATÓRIO 5971</t>
  </si>
  <si>
    <t>ALEATÓRIO 5972</t>
  </si>
  <si>
    <t>ALEATÓRIO 5973</t>
  </si>
  <si>
    <t>ALEATÓRIO 5974</t>
  </si>
  <si>
    <t>ALEATÓRIO 5975</t>
  </si>
  <si>
    <t>ALEATÓRIO 5976</t>
  </si>
  <si>
    <t>ALEATÓRIO 5977</t>
  </si>
  <si>
    <t>ALEATÓRIO 5978</t>
  </si>
  <si>
    <t>ALEATÓRIO 5979</t>
  </si>
  <si>
    <t>ALEATÓRIO 5980</t>
  </si>
  <si>
    <t>ALEATÓRIO 5981</t>
  </si>
  <si>
    <t>ALEATÓRIO 5982</t>
  </si>
  <si>
    <t>ALEATÓRIO 5983</t>
  </si>
  <si>
    <t>ALEATÓRIO 5984</t>
  </si>
  <si>
    <t>ALEATÓRIO 5985</t>
  </si>
  <si>
    <t>ALEATÓRIO 5986</t>
  </si>
  <si>
    <t>ALEATÓRIO 5987</t>
  </si>
  <si>
    <t>ALEATÓRIO 5988</t>
  </si>
  <si>
    <t>ALEATÓRIO 5989</t>
  </si>
  <si>
    <t>ALEATÓRIO 5990</t>
  </si>
  <si>
    <t>ALEATÓRIO 5991</t>
  </si>
  <si>
    <t>ALEATÓRIO 5992</t>
  </si>
  <si>
    <t>ALEATÓRIO 5993</t>
  </si>
  <si>
    <t>ALEATÓRIO 5994</t>
  </si>
  <si>
    <t>ALEATÓRIO 5995</t>
  </si>
  <si>
    <t>ALEATÓRIO 5996</t>
  </si>
  <si>
    <t>ALEATÓRIO 5997</t>
  </si>
  <si>
    <t>ALEATÓRIO 5998</t>
  </si>
  <si>
    <t>ALEATÓRIO 5999</t>
  </si>
  <si>
    <t>ALEATÓRIO 6000</t>
  </si>
  <si>
    <t>ALEATÓRIO 6001</t>
  </si>
  <si>
    <t>ALEATÓRIO 6002</t>
  </si>
  <si>
    <t>ALEATÓRIO 6003</t>
  </si>
  <si>
    <t>ALEATÓRIO 6004</t>
  </si>
  <si>
    <t>ALEATÓRIO 6005</t>
  </si>
  <si>
    <t>ALEATÓRIO 6006</t>
  </si>
  <si>
    <t>ALEATÓRIO 6007</t>
  </si>
  <si>
    <t>ALEATÓRIO 6008</t>
  </si>
  <si>
    <t>ALEATÓRIO 6009</t>
  </si>
  <si>
    <t>ALEATÓRIO 6010</t>
  </si>
  <si>
    <t>ALEATÓRIO 6011</t>
  </si>
  <si>
    <t>ALEATÓRIO 6012</t>
  </si>
  <si>
    <t>ALEATÓRIO 6013</t>
  </si>
  <si>
    <t>ALEATÓRIO 6014</t>
  </si>
  <si>
    <t>ALEATÓRIO 6015</t>
  </si>
  <si>
    <t>ALEATÓRIO 6016</t>
  </si>
  <si>
    <t>ALEATÓRIO 6017</t>
  </si>
  <si>
    <t>ALEATÓRIO 6018</t>
  </si>
  <si>
    <t>ALEATÓRIO 6019</t>
  </si>
  <si>
    <t>ALEATÓRIO 6020</t>
  </si>
  <si>
    <t>ALEATÓRIO 6021</t>
  </si>
  <si>
    <t>ALEATÓRIO 6022</t>
  </si>
  <si>
    <t>ALEATÓRIO 6023</t>
  </si>
  <si>
    <t>ALEATÓRIO 6024</t>
  </si>
  <si>
    <t>ALEATÓRIO 6025</t>
  </si>
  <si>
    <t>ALEATÓRIO 6026</t>
  </si>
  <si>
    <t>ALEATÓRIO 6027</t>
  </si>
  <si>
    <t>ALEATÓRIO 6028</t>
  </si>
  <si>
    <t>ALEATÓRIO 6029</t>
  </si>
  <si>
    <t>ALEATÓRIO 6030</t>
  </si>
  <si>
    <t>ALEATÓRIO 6031</t>
  </si>
  <si>
    <t>ALEATÓRIO 6032</t>
  </si>
  <si>
    <t>ALEATÓRIO 6033</t>
  </si>
  <si>
    <t>ALEATÓRIO 6034</t>
  </si>
  <si>
    <t>ALEATÓRIO 6035</t>
  </si>
  <si>
    <t>ALEATÓRIO 6036</t>
  </si>
  <si>
    <t>ALEATÓRIO 6037</t>
  </si>
  <si>
    <t>ALEATÓRIO 6038</t>
  </si>
  <si>
    <t>ALEATÓRIO 6039</t>
  </si>
  <si>
    <t>ALEATÓRIO 6040</t>
  </si>
  <si>
    <t>ALEATÓRIO 6041</t>
  </si>
  <si>
    <t>ALEATÓRIO 6042</t>
  </si>
  <si>
    <t>ALEATÓRIO 6043</t>
  </si>
  <si>
    <t>ALEATÓRIO 6044</t>
  </si>
  <si>
    <t>ALEATÓRIO 6045</t>
  </si>
  <si>
    <t>ALEATÓRIO 6046</t>
  </si>
  <si>
    <t>ALEATÓRIO 6047</t>
  </si>
  <si>
    <t>ALEATÓRIO 6048</t>
  </si>
  <si>
    <t>ALEATÓRIO 6049</t>
  </si>
  <si>
    <t>ALEATÓRIO 6050</t>
  </si>
  <si>
    <t>ALEATÓRIO 6051</t>
  </si>
  <si>
    <t>ALEATÓRIO 6052</t>
  </si>
  <si>
    <t>ALEATÓRIO 6053</t>
  </si>
  <si>
    <t>ALEATÓRIO 6054</t>
  </si>
  <si>
    <t>ALEATÓRIO 6055</t>
  </si>
  <si>
    <t>ALEATÓRIO 6056</t>
  </si>
  <si>
    <t>ALEATÓRIO 6057</t>
  </si>
  <si>
    <t>ALEATÓRIO 6058</t>
  </si>
  <si>
    <t>ALEATÓRIO 6059</t>
  </si>
  <si>
    <t>ALEATÓRIO 6060</t>
  </si>
  <si>
    <t>ALEATÓRIO 6061</t>
  </si>
  <si>
    <t>ALEATÓRIO 6062</t>
  </si>
  <si>
    <t>ALEATÓRIO 6063</t>
  </si>
  <si>
    <t>ALEATÓRIO 6064</t>
  </si>
  <si>
    <t>ALEATÓRIO 6065</t>
  </si>
  <si>
    <t>ALEATÓRIO 6066</t>
  </si>
  <si>
    <t>ALEATÓRIO 6067</t>
  </si>
  <si>
    <t>ALEATÓRIO 6068</t>
  </si>
  <si>
    <t>ALEATÓRIO 6069</t>
  </si>
  <si>
    <t>ALEATÓRIO 6070</t>
  </si>
  <si>
    <t>ALEATÓRIO 6071</t>
  </si>
  <si>
    <t>ALEATÓRIO 6072</t>
  </si>
  <si>
    <t>ALEATÓRIO 6073</t>
  </si>
  <si>
    <t>ALEATÓRIO 6074</t>
  </si>
  <si>
    <t>ALEATÓRIO 6075</t>
  </si>
  <si>
    <t>ALEATÓRIO 6076</t>
  </si>
  <si>
    <t>ALEATÓRIO 6077</t>
  </si>
  <si>
    <t>ALEATÓRIO 6078</t>
  </si>
  <si>
    <t>ALEATÓRIO 6079</t>
  </si>
  <si>
    <t>ALEATÓRIO 6080</t>
  </si>
  <si>
    <t>ALEATÓRIO 6081</t>
  </si>
  <si>
    <t>ALEATÓRIO 6082</t>
  </si>
  <si>
    <t>ALEATÓRIO 6083</t>
  </si>
  <si>
    <t>ALEATÓRIO 6084</t>
  </si>
  <si>
    <t>ALEATÓRIO 6085</t>
  </si>
  <si>
    <t>ALEATÓRIO 6086</t>
  </si>
  <si>
    <t>ALEATÓRIO 6087</t>
  </si>
  <si>
    <t>ALEATÓRIO 6088</t>
  </si>
  <si>
    <t>ALEATÓRIO 6089</t>
  </si>
  <si>
    <t>ALEATÓRIO 6090</t>
  </si>
  <si>
    <t>ALEATÓRIO 6091</t>
  </si>
  <si>
    <t>ALEATÓRIO 6092</t>
  </si>
  <si>
    <t>ALEATÓRIO 6093</t>
  </si>
  <si>
    <t>ALEATÓRIO 6094</t>
  </si>
  <si>
    <t>ALEATÓRIO 6095</t>
  </si>
  <si>
    <t>ALEATÓRIO 6096</t>
  </si>
  <si>
    <t>ALEATÓRIO 6097</t>
  </si>
  <si>
    <t>ALEATÓRIO 6098</t>
  </si>
  <si>
    <t>ALEATÓRIO 6099</t>
  </si>
  <si>
    <t>ALEATÓRIO 6100</t>
  </si>
  <si>
    <t>ALEATÓRIO 6101</t>
  </si>
  <si>
    <t>ALEATÓRIO 6102</t>
  </si>
  <si>
    <t>ALEATÓRIO 6103</t>
  </si>
  <si>
    <t>ALEATÓRIO 6104</t>
  </si>
  <si>
    <t>ALEATÓRIO 6105</t>
  </si>
  <si>
    <t>ALEATÓRIO 6106</t>
  </si>
  <si>
    <t>ALEATÓRIO 6107</t>
  </si>
  <si>
    <t>ALEATÓRIO 6108</t>
  </si>
  <si>
    <t>ALEATÓRIO 6109</t>
  </si>
  <si>
    <t>ALEATÓRIO 6110</t>
  </si>
  <si>
    <t>ALEATÓRIO 6111</t>
  </si>
  <si>
    <t>ALEATÓRIO 6112</t>
  </si>
  <si>
    <t>ALEATÓRIO 6113</t>
  </si>
  <si>
    <t>ALEATÓRIO 6114</t>
  </si>
  <si>
    <t>ALEATÓRIO 6115</t>
  </si>
  <si>
    <t>ALEATÓRIO 6116</t>
  </si>
  <si>
    <t>ALEATÓRIO 6117</t>
  </si>
  <si>
    <t>ALEATÓRIO 6118</t>
  </si>
  <si>
    <t>ALEATÓRIO 6119</t>
  </si>
  <si>
    <t>ALEATÓRIO 6120</t>
  </si>
  <si>
    <t>ALEATÓRIO 6121</t>
  </si>
  <si>
    <t>ALEATÓRIO 6122</t>
  </si>
  <si>
    <t>ALEATÓRIO 6123</t>
  </si>
  <si>
    <t>ALEATÓRIO 6124</t>
  </si>
  <si>
    <t>ALEATÓRIO 6125</t>
  </si>
  <si>
    <t>ALEATÓRIO 6126</t>
  </si>
  <si>
    <t>ALEATÓRIO 6127</t>
  </si>
  <si>
    <t>ALEATÓRIO 6128</t>
  </si>
  <si>
    <t>ALEATÓRIO 6129</t>
  </si>
  <si>
    <t>ALEATÓRIO 6130</t>
  </si>
  <si>
    <t>ALEATÓRIO 6131</t>
  </si>
  <si>
    <t>ALEATÓRIO 6132</t>
  </si>
  <si>
    <t>ALEATÓRIO 6133</t>
  </si>
  <si>
    <t>ALEATÓRIO 6134</t>
  </si>
  <si>
    <t>ALEATÓRIO 6135</t>
  </si>
  <si>
    <t>ALEATÓRIO 6136</t>
  </si>
  <si>
    <t>ALEATÓRIO 6137</t>
  </si>
  <si>
    <t>ALEATÓRIO 6138</t>
  </si>
  <si>
    <t>ALEATÓRIO 6139</t>
  </si>
  <si>
    <t>ALEATÓRIO 6140</t>
  </si>
  <si>
    <t>ALEATÓRIO 6141</t>
  </si>
  <si>
    <t>ALEATÓRIO 6142</t>
  </si>
  <si>
    <t>ALEATÓRIO 6143</t>
  </si>
  <si>
    <t>ALEATÓRIO 6144</t>
  </si>
  <si>
    <t>ALEATÓRIO 6145</t>
  </si>
  <si>
    <t>ALEATÓRIO 6146</t>
  </si>
  <si>
    <t>ALEATÓRIO 6147</t>
  </si>
  <si>
    <t>ALEATÓRIO 6148</t>
  </si>
  <si>
    <t>ALEATÓRIO 6149</t>
  </si>
  <si>
    <t>ALEATÓRIO 6150</t>
  </si>
  <si>
    <t>ALEATÓRIO 6151</t>
  </si>
  <si>
    <t>ALEATÓRIO 6152</t>
  </si>
  <si>
    <t>ALEATÓRIO 6153</t>
  </si>
  <si>
    <t>ALEATÓRIO 6154</t>
  </si>
  <si>
    <t>ALEATÓRIO 6155</t>
  </si>
  <si>
    <t>ALEATÓRIO 6156</t>
  </si>
  <si>
    <t>ALEATÓRIO 6157</t>
  </si>
  <si>
    <t>ALEATÓRIO 6158</t>
  </si>
  <si>
    <t>ALEATÓRIO 6159</t>
  </si>
  <si>
    <t>ALEATÓRIO 6160</t>
  </si>
  <si>
    <t>ALEATÓRIO 6161</t>
  </si>
  <si>
    <t>ALEATÓRIO 6162</t>
  </si>
  <si>
    <t>ALEATÓRIO 6163</t>
  </si>
  <si>
    <t>ALEATÓRIO 6164</t>
  </si>
  <si>
    <t>ALEATÓRIO 6165</t>
  </si>
  <si>
    <t>ALEATÓRIO 6166</t>
  </si>
  <si>
    <t>ALEATÓRIO 6167</t>
  </si>
  <si>
    <t>ALEATÓRIO 6168</t>
  </si>
  <si>
    <t>ALEATÓRIO 6169</t>
  </si>
  <si>
    <t>ALEATÓRIO 6170</t>
  </si>
  <si>
    <t>ALEATÓRIO 6171</t>
  </si>
  <si>
    <t>ALEATÓRIO 6172</t>
  </si>
  <si>
    <t>ALEATÓRIO 6173</t>
  </si>
  <si>
    <t>ALEATÓRIO 6174</t>
  </si>
  <si>
    <t>ALEATÓRIO 6175</t>
  </si>
  <si>
    <t>ALEATÓRIO 6176</t>
  </si>
  <si>
    <t>ALEATÓRIO 6177</t>
  </si>
  <si>
    <t>ALEATÓRIO 6178</t>
  </si>
  <si>
    <t>ALEATÓRIO 6179</t>
  </si>
  <si>
    <t>ALEATÓRIO 6180</t>
  </si>
  <si>
    <t>ALEATÓRIO 6181</t>
  </si>
  <si>
    <t>ALEATÓRIO 6182</t>
  </si>
  <si>
    <t>ALEATÓRIO 6183</t>
  </si>
  <si>
    <t>ALEATÓRIO 6184</t>
  </si>
  <si>
    <t>ALEATÓRIO 6185</t>
  </si>
  <si>
    <t>ALEATÓRIO 6186</t>
  </si>
  <si>
    <t>ALEATÓRIO 6187</t>
  </si>
  <si>
    <t>ALEATÓRIO 6188</t>
  </si>
  <si>
    <t>ALEATÓRIO 6189</t>
  </si>
  <si>
    <t>ALEATÓRIO 6190</t>
  </si>
  <si>
    <t>ALEATÓRIO 6191</t>
  </si>
  <si>
    <t>ALEATÓRIO 6192</t>
  </si>
  <si>
    <t>ALEATÓRIO 6193</t>
  </si>
  <si>
    <t>ALEATÓRIO 6194</t>
  </si>
  <si>
    <t>ALEATÓRIO 6195</t>
  </si>
  <si>
    <t>ALEATÓRIO 6196</t>
  </si>
  <si>
    <t>ALEATÓRIO 6197</t>
  </si>
  <si>
    <t>ALEATÓRIO 6198</t>
  </si>
  <si>
    <t>ALEATÓRIO 6199</t>
  </si>
  <si>
    <t>ALEATÓRIO 6200</t>
  </si>
  <si>
    <t>ALEATÓRIO 6201</t>
  </si>
  <si>
    <t>ALEATÓRIO 6202</t>
  </si>
  <si>
    <t>ALEATÓRIO 6203</t>
  </si>
  <si>
    <t>ALEATÓRIO 6204</t>
  </si>
  <si>
    <t>ALEATÓRIO 6205</t>
  </si>
  <si>
    <t>ALEATÓRIO 6206</t>
  </si>
  <si>
    <t>ALEATÓRIO 6207</t>
  </si>
  <si>
    <t>ALEATÓRIO 6208</t>
  </si>
  <si>
    <t>ALEATÓRIO 6209</t>
  </si>
  <si>
    <t>ALEATÓRIO 6210</t>
  </si>
  <si>
    <t>ALEATÓRIO 6211</t>
  </si>
  <si>
    <t>ALEATÓRIO 6212</t>
  </si>
  <si>
    <t>ALEATÓRIO 6213</t>
  </si>
  <si>
    <t>ALEATÓRIO 6214</t>
  </si>
  <si>
    <t>ALEATÓRIO 6215</t>
  </si>
  <si>
    <t>ALEATÓRIO 6216</t>
  </si>
  <si>
    <t>ALEATÓRIO 6217</t>
  </si>
  <si>
    <t>ALEATÓRIO 6218</t>
  </si>
  <si>
    <t>ALEATÓRIO 6219</t>
  </si>
  <si>
    <t>ALEATÓRIO 6220</t>
  </si>
  <si>
    <t>ALEATÓRIO 6221</t>
  </si>
  <si>
    <t>ALEATÓRIO 6222</t>
  </si>
  <si>
    <t>ALEATÓRIO 6223</t>
  </si>
  <si>
    <t>ALEATÓRIO 6224</t>
  </si>
  <si>
    <t>ALEATÓRIO 6225</t>
  </si>
  <si>
    <t>ALEATÓRIO 6226</t>
  </si>
  <si>
    <t>ALEATÓRIO 6227</t>
  </si>
  <si>
    <t>ALEATÓRIO 6228</t>
  </si>
  <si>
    <t>ALEATÓRIO 6229</t>
  </si>
  <si>
    <t>ALEATÓRIO 6230</t>
  </si>
  <si>
    <t>ALEATÓRIO 6231</t>
  </si>
  <si>
    <t>ALEATÓRIO 6232</t>
  </si>
  <si>
    <t>ALEATÓRIO 6233</t>
  </si>
  <si>
    <t>ALEATÓRIO 6234</t>
  </si>
  <si>
    <t>ALEATÓRIO 6235</t>
  </si>
  <si>
    <t>ALEATÓRIO 6236</t>
  </si>
  <si>
    <t>ALEATÓRIO 6237</t>
  </si>
  <si>
    <t>ALEATÓRIO 6238</t>
  </si>
  <si>
    <t>ALEATÓRIO 6239</t>
  </si>
  <si>
    <t>ALEATÓRIO 6240</t>
  </si>
  <si>
    <t>ALEATÓRIO 6241</t>
  </si>
  <si>
    <t>ALEATÓRIO 6242</t>
  </si>
  <si>
    <t>ALEATÓRIO 6243</t>
  </si>
  <si>
    <t>ALEATÓRIO 6244</t>
  </si>
  <si>
    <t>ALEATÓRIO 6245</t>
  </si>
  <si>
    <t>ALEATÓRIO 6246</t>
  </si>
  <si>
    <t>ALEATÓRIO 6247</t>
  </si>
  <si>
    <t>ALEATÓRIO 6248</t>
  </si>
  <si>
    <t>ALEATÓRIO 6249</t>
  </si>
  <si>
    <t>ALEATÓRIO 6250</t>
  </si>
  <si>
    <t>ALEATÓRIO 6251</t>
  </si>
  <si>
    <t>ALEATÓRIO 6252</t>
  </si>
  <si>
    <t>ALEATÓRIO 6253</t>
  </si>
  <si>
    <t>ALEATÓRIO 6254</t>
  </si>
  <si>
    <t>ALEATÓRIO 6255</t>
  </si>
  <si>
    <t>ALEATÓRIO 6256</t>
  </si>
  <si>
    <t>ALEATÓRIO 6257</t>
  </si>
  <si>
    <t>ALEATÓRIO 6258</t>
  </si>
  <si>
    <t>ALEATÓRIO 6259</t>
  </si>
  <si>
    <t>ALEATÓRIO 6260</t>
  </si>
  <si>
    <t>ALEATÓRIO 6261</t>
  </si>
  <si>
    <t>ALEATÓRIO 6262</t>
  </si>
  <si>
    <t>ALEATÓRIO 6263</t>
  </si>
  <si>
    <t>ALEATÓRIO 6264</t>
  </si>
  <si>
    <t>ALEATÓRIO 6265</t>
  </si>
  <si>
    <t>ALEATÓRIO 6266</t>
  </si>
  <si>
    <t>ALEATÓRIO 6267</t>
  </si>
  <si>
    <t>ALEATÓRIO 6268</t>
  </si>
  <si>
    <t>ALEATÓRIO 6269</t>
  </si>
  <si>
    <t>ALEATÓRIO 6270</t>
  </si>
  <si>
    <t>ALEATÓRIO 6271</t>
  </si>
  <si>
    <t>ALEATÓRIO 6272</t>
  </si>
  <si>
    <t>ALEATÓRIO 6273</t>
  </si>
  <si>
    <t>ALEATÓRIO 6274</t>
  </si>
  <si>
    <t>ALEATÓRIO 6275</t>
  </si>
  <si>
    <t>ALEATÓRIO 6276</t>
  </si>
  <si>
    <t>ALEATÓRIO 6277</t>
  </si>
  <si>
    <t>ALEATÓRIO 6278</t>
  </si>
  <si>
    <t>ALEATÓRIO 6279</t>
  </si>
  <si>
    <t>ALEATÓRIO 6280</t>
  </si>
  <si>
    <t>ALEATÓRIO 6281</t>
  </si>
  <si>
    <t>ALEATÓRIO 6282</t>
  </si>
  <si>
    <t>ALEATÓRIO 6283</t>
  </si>
  <si>
    <t>ALEATÓRIO 6284</t>
  </si>
  <si>
    <t>ALEATÓRIO 6285</t>
  </si>
  <si>
    <t>ALEATÓRIO 6286</t>
  </si>
  <si>
    <t>ALEATÓRIO 6287</t>
  </si>
  <si>
    <t>ALEATÓRIO 6288</t>
  </si>
  <si>
    <t>ALEATÓRIO 6289</t>
  </si>
  <si>
    <t>ALEATÓRIO 6290</t>
  </si>
  <si>
    <t>ALEATÓRIO 6291</t>
  </si>
  <si>
    <t>ALEATÓRIO 6292</t>
  </si>
  <si>
    <t>ALEATÓRIO 6293</t>
  </si>
  <si>
    <t>ALEATÓRIO 6294</t>
  </si>
  <si>
    <t>ALEATÓRIO 6295</t>
  </si>
  <si>
    <t>ALEATÓRIO 6296</t>
  </si>
  <si>
    <t>ALEATÓRIO 6297</t>
  </si>
  <si>
    <t>ALEATÓRIO 6298</t>
  </si>
  <si>
    <t>ALEATÓRIO 6299</t>
  </si>
  <si>
    <t>ALEATÓRIO 6300</t>
  </si>
  <si>
    <t>ALEATÓRIO 6301</t>
  </si>
  <si>
    <t>ALEATÓRIO 6302</t>
  </si>
  <si>
    <t>ALEATÓRIO 6303</t>
  </si>
  <si>
    <t>ALEATÓRIO 6304</t>
  </si>
  <si>
    <t>ALEATÓRIO 6305</t>
  </si>
  <si>
    <t>ALEATÓRIO 6306</t>
  </si>
  <si>
    <t>ALEATÓRIO 6307</t>
  </si>
  <si>
    <t>ALEATÓRIO 6308</t>
  </si>
  <si>
    <t>ALEATÓRIO 6309</t>
  </si>
  <si>
    <t>ALEATÓRIO 6310</t>
  </si>
  <si>
    <t>ALEATÓRIO 6311</t>
  </si>
  <si>
    <t>ALEATÓRIO 6312</t>
  </si>
  <si>
    <t>ALEATÓRIO 6313</t>
  </si>
  <si>
    <t>ALEATÓRIO 6314</t>
  </si>
  <si>
    <t>ALEATÓRIO 6315</t>
  </si>
  <si>
    <t>ALEATÓRIO 6316</t>
  </si>
  <si>
    <t>ALEATÓRIO 6317</t>
  </si>
  <si>
    <t>ALEATÓRIO 6318</t>
  </si>
  <si>
    <t>ALEATÓRIO 6319</t>
  </si>
  <si>
    <t>ALEATÓRIO 6320</t>
  </si>
  <si>
    <t>ALEATÓRIO 6321</t>
  </si>
  <si>
    <t>ALEATÓRIO 6322</t>
  </si>
  <si>
    <t>ALEATÓRIO 6323</t>
  </si>
  <si>
    <t>ALEATÓRIO 6324</t>
  </si>
  <si>
    <t>ALEATÓRIO 6325</t>
  </si>
  <si>
    <t>ALEATÓRIO 6326</t>
  </si>
  <si>
    <t>ALEATÓRIO 6327</t>
  </si>
  <si>
    <t>ALEATÓRIO 6328</t>
  </si>
  <si>
    <t>ALEATÓRIO 6329</t>
  </si>
  <si>
    <t>ALEATÓRIO 6330</t>
  </si>
  <si>
    <t>ALEATÓRIO 6331</t>
  </si>
  <si>
    <t>ALEATÓRIO 6332</t>
  </si>
  <si>
    <t>ALEATÓRIO 6333</t>
  </si>
  <si>
    <t>ALEATÓRIO 6334</t>
  </si>
  <si>
    <t>ALEATÓRIO 6335</t>
  </si>
  <si>
    <t>ALEATÓRIO 6336</t>
  </si>
  <si>
    <t>ALEATÓRIO 6337</t>
  </si>
  <si>
    <t>ALEATÓRIO 6338</t>
  </si>
  <si>
    <t>ALEATÓRIO 6339</t>
  </si>
  <si>
    <t>ALEATÓRIO 6340</t>
  </si>
  <si>
    <t>ALEATÓRIO 6341</t>
  </si>
  <si>
    <t>ALEATÓRIO 6342</t>
  </si>
  <si>
    <t>ALEATÓRIO 6343</t>
  </si>
  <si>
    <t>ALEATÓRIO 6344</t>
  </si>
  <si>
    <t>ALEATÓRIO 6345</t>
  </si>
  <si>
    <t>ALEATÓRIO 6346</t>
  </si>
  <si>
    <t>ALEATÓRIO 6347</t>
  </si>
  <si>
    <t>ALEATÓRIO 6348</t>
  </si>
  <si>
    <t>ALEATÓRIO 6349</t>
  </si>
  <si>
    <t>ALEATÓRIO 6350</t>
  </si>
  <si>
    <t>ALEATÓRIO 6351</t>
  </si>
  <si>
    <t>ALEATÓRIO 6352</t>
  </si>
  <si>
    <t>ALEATÓRIO 6353</t>
  </si>
  <si>
    <t>ALEATÓRIO 6354</t>
  </si>
  <si>
    <t>ALEATÓRIO 6355</t>
  </si>
  <si>
    <t>ALEATÓRIO 6356</t>
  </si>
  <si>
    <t>ALEATÓRIO 6357</t>
  </si>
  <si>
    <t>ALEATÓRIO 6358</t>
  </si>
  <si>
    <t>ALEATÓRIO 6359</t>
  </si>
  <si>
    <t>ALEATÓRIO 6360</t>
  </si>
  <si>
    <t>ALEATÓRIO 6361</t>
  </si>
  <si>
    <t>ALEATÓRIO 6362</t>
  </si>
  <si>
    <t>ALEATÓRIO 6363</t>
  </si>
  <si>
    <t>ALEATÓRIO 6364</t>
  </si>
  <si>
    <t>ALEATÓRIO 6365</t>
  </si>
  <si>
    <t>ALEATÓRIO 6366</t>
  </si>
  <si>
    <t>ALEATÓRIO 6367</t>
  </si>
  <si>
    <t>ALEATÓRIO 6368</t>
  </si>
  <si>
    <t>ALEATÓRIO 6369</t>
  </si>
  <si>
    <t>ALEATÓRIO 6370</t>
  </si>
  <si>
    <t>ALEATÓRIO 6371</t>
  </si>
  <si>
    <t>ALEATÓRIO 6372</t>
  </si>
  <si>
    <t>ALEATÓRIO 6373</t>
  </si>
  <si>
    <t>ALEATÓRIO 6374</t>
  </si>
  <si>
    <t>ALEATÓRIO 6375</t>
  </si>
  <si>
    <t>ALEATÓRIO 6376</t>
  </si>
  <si>
    <t>ALEATÓRIO 6377</t>
  </si>
  <si>
    <t>ALEATÓRIO 6378</t>
  </si>
  <si>
    <t>ALEATÓRIO 6379</t>
  </si>
  <si>
    <t>ALEATÓRIO 6380</t>
  </si>
  <si>
    <t>ALEATÓRIO 6381</t>
  </si>
  <si>
    <t>ALEATÓRIO 6382</t>
  </si>
  <si>
    <t>ALEATÓRIO 6383</t>
  </si>
  <si>
    <t>ALEATÓRIO 6384</t>
  </si>
  <si>
    <t>ALEATÓRIO 6385</t>
  </si>
  <si>
    <t>ALEATÓRIO 6386</t>
  </si>
  <si>
    <t>ALEATÓRIO 6387</t>
  </si>
  <si>
    <t>ALEATÓRIO 6388</t>
  </si>
  <si>
    <t>ALEATÓRIO 6389</t>
  </si>
  <si>
    <t>ALEATÓRIO 6390</t>
  </si>
  <si>
    <t>ALEATÓRIO 6391</t>
  </si>
  <si>
    <t>ALEATÓRIO 6392</t>
  </si>
  <si>
    <t>ALEATÓRIO 6393</t>
  </si>
  <si>
    <t>ALEATÓRIO 6394</t>
  </si>
  <si>
    <t>ALEATÓRIO 6395</t>
  </si>
  <si>
    <t>ALEATÓRIO 6396</t>
  </si>
  <si>
    <t>ALEATÓRIO 6397</t>
  </si>
  <si>
    <t>ALEATÓRIO 6398</t>
  </si>
  <si>
    <t>ALEATÓRIO 6399</t>
  </si>
  <si>
    <t>ALEATÓRIO 6400</t>
  </si>
  <si>
    <t>ALEATÓRIO 6401</t>
  </si>
  <si>
    <t>ALEATÓRIO 6402</t>
  </si>
  <si>
    <t>ALEATÓRIO 6403</t>
  </si>
  <si>
    <t>ALEATÓRIO 6404</t>
  </si>
  <si>
    <t>ALEATÓRIO 6405</t>
  </si>
  <si>
    <t>ALEATÓRIO 6406</t>
  </si>
  <si>
    <t>ALEATÓRIO 6407</t>
  </si>
  <si>
    <t>ALEATÓRIO 6408</t>
  </si>
  <si>
    <t>ALEATÓRIO 6409</t>
  </si>
  <si>
    <t>ALEATÓRIO 6410</t>
  </si>
  <si>
    <t>ALEATÓRIO 6411</t>
  </si>
  <si>
    <t>ALEATÓRIO 6412</t>
  </si>
  <si>
    <t>ALEATÓRIO 6413</t>
  </si>
  <si>
    <t>ALEATÓRIO 6414</t>
  </si>
  <si>
    <t>ALEATÓRIO 6415</t>
  </si>
  <si>
    <t>ALEATÓRIO 6416</t>
  </si>
  <si>
    <t>ALEATÓRIO 6417</t>
  </si>
  <si>
    <t>ALEATÓRIO 6418</t>
  </si>
  <si>
    <t>ALEATÓRIO 6419</t>
  </si>
  <si>
    <t>ALEATÓRIO 6420</t>
  </si>
  <si>
    <t>ALEATÓRIO 6421</t>
  </si>
  <si>
    <t>ALEATÓRIO 6422</t>
  </si>
  <si>
    <t>ALEATÓRIO 6423</t>
  </si>
  <si>
    <t>ALEATÓRIO 6424</t>
  </si>
  <si>
    <t>ALEATÓRIO 6425</t>
  </si>
  <si>
    <t>ALEATÓRIO 6426</t>
  </si>
  <si>
    <t>ALEATÓRIO 6427</t>
  </si>
  <si>
    <t>ALEATÓRIO 6428</t>
  </si>
  <si>
    <t>ALEATÓRIO 6429</t>
  </si>
  <si>
    <t>ALEATÓRIO 6430</t>
  </si>
  <si>
    <t>ALEATÓRIO 6431</t>
  </si>
  <si>
    <t>ALEATÓRIO 6432</t>
  </si>
  <si>
    <t>ALEATÓRIO 6433</t>
  </si>
  <si>
    <t>ALEATÓRIO 6434</t>
  </si>
  <si>
    <t>ALEATÓRIO 6435</t>
  </si>
  <si>
    <t>ALEATÓRIO 6436</t>
  </si>
  <si>
    <t>ALEATÓRIO 6437</t>
  </si>
  <si>
    <t>ALEATÓRIO 6438</t>
  </si>
  <si>
    <t>ALEATÓRIO 6439</t>
  </si>
  <si>
    <t>ALEATÓRIO 6440</t>
  </si>
  <si>
    <t>ALEATÓRIO 6441</t>
  </si>
  <si>
    <t>ALEATÓRIO 6442</t>
  </si>
  <si>
    <t>ALEATÓRIO 6443</t>
  </si>
  <si>
    <t>ALEATÓRIO 6444</t>
  </si>
  <si>
    <t>ALEATÓRIO 6445</t>
  </si>
  <si>
    <t>ALEATÓRIO 6446</t>
  </si>
  <si>
    <t>ALEATÓRIO 6447</t>
  </si>
  <si>
    <t>ALEATÓRIO 6448</t>
  </si>
  <si>
    <t>ALEATÓRIO 6449</t>
  </si>
  <si>
    <t>ALEATÓRIO 6450</t>
  </si>
  <si>
    <t>ALEATÓRIO 6451</t>
  </si>
  <si>
    <t>ALEATÓRIO 6452</t>
  </si>
  <si>
    <t>ALEATÓRIO 6453</t>
  </si>
  <si>
    <t>ALEATÓRIO 6454</t>
  </si>
  <si>
    <t>ALEATÓRIO 6455</t>
  </si>
  <si>
    <t>ALEATÓRIO 6456</t>
  </si>
  <si>
    <t>ALEATÓRIO 6457</t>
  </si>
  <si>
    <t>ALEATÓRIO 6458</t>
  </si>
  <si>
    <t>ALEATÓRIO 6459</t>
  </si>
  <si>
    <t>ALEATÓRIO 6460</t>
  </si>
  <si>
    <t>ALEATÓRIO 6461</t>
  </si>
  <si>
    <t>ALEATÓRIO 6462</t>
  </si>
  <si>
    <t>ALEATÓRIO 6463</t>
  </si>
  <si>
    <t>ALEATÓRIO 6464</t>
  </si>
  <si>
    <t>ALEATÓRIO 6465</t>
  </si>
  <si>
    <t>ALEATÓRIO 6466</t>
  </si>
  <si>
    <t>ALEATÓRIO 6467</t>
  </si>
  <si>
    <t>ALEATÓRIO 6468</t>
  </si>
  <si>
    <t>ALEATÓRIO 6469</t>
  </si>
  <si>
    <t>ALEATÓRIO 6470</t>
  </si>
  <si>
    <t>ALEATÓRIO 6471</t>
  </si>
  <si>
    <t>ALEATÓRIO 6472</t>
  </si>
  <si>
    <t>ALEATÓRIO 6473</t>
  </si>
  <si>
    <t>ALEATÓRIO 6474</t>
  </si>
  <si>
    <t>ALEATÓRIO 6475</t>
  </si>
  <si>
    <t>ALEATÓRIO 6476</t>
  </si>
  <si>
    <t>ALEATÓRIO 6477</t>
  </si>
  <si>
    <t>ALEATÓRIO 6478</t>
  </si>
  <si>
    <t>ALEATÓRIO 6479</t>
  </si>
  <si>
    <t>ALEATÓRIO 6480</t>
  </si>
  <si>
    <t>ALEATÓRIO 6481</t>
  </si>
  <si>
    <t>ALEATÓRIO 6482</t>
  </si>
  <si>
    <t>ALEATÓRIO 6483</t>
  </si>
  <si>
    <t>ALEATÓRIO 6484</t>
  </si>
  <si>
    <t>ALEATÓRIO 6485</t>
  </si>
  <si>
    <t>ALEATÓRIO 6486</t>
  </si>
  <si>
    <t>ALEATÓRIO 6487</t>
  </si>
  <si>
    <t>ALEATÓRIO 6488</t>
  </si>
  <si>
    <t>ALEATÓRIO 6489</t>
  </si>
  <si>
    <t>ALEATÓRIO 6490</t>
  </si>
  <si>
    <t>ALEATÓRIO 6491</t>
  </si>
  <si>
    <t>ALEATÓRIO 6492</t>
  </si>
  <si>
    <t>ALEATÓRIO 6493</t>
  </si>
  <si>
    <t>ALEATÓRIO 6494</t>
  </si>
  <si>
    <t>ALEATÓRIO 6495</t>
  </si>
  <si>
    <t>ALEATÓRIO 6496</t>
  </si>
  <si>
    <t>ALEATÓRIO 6497</t>
  </si>
  <si>
    <t>ALEATÓRIO 6498</t>
  </si>
  <si>
    <t>ALEATÓRIO 6499</t>
  </si>
  <si>
    <t>ALEATÓRIO 6500</t>
  </si>
  <si>
    <t>ALEATÓRIO 6501</t>
  </si>
  <si>
    <t>ALEATÓRIO 6502</t>
  </si>
  <si>
    <t>ALEATÓRIO 6503</t>
  </si>
  <si>
    <t>ALEATÓRIO 6504</t>
  </si>
  <si>
    <t>ALEATÓRIO 6505</t>
  </si>
  <si>
    <t>ALEATÓRIO 6506</t>
  </si>
  <si>
    <t>ALEATÓRIO 6507</t>
  </si>
  <si>
    <t>ALEATÓRIO 6508</t>
  </si>
  <si>
    <t>ALEATÓRIO 6509</t>
  </si>
  <si>
    <t>ALEATÓRIO 6510</t>
  </si>
  <si>
    <t>ALEATÓRIO 6511</t>
  </si>
  <si>
    <t>ALEATÓRIO 6512</t>
  </si>
  <si>
    <t>ALEATÓRIO 6513</t>
  </si>
  <si>
    <t>ALEATÓRIO 6514</t>
  </si>
  <si>
    <t>ALEATÓRIO 6515</t>
  </si>
  <si>
    <t>ALEATÓRIO 6516</t>
  </si>
  <si>
    <t>ALEATÓRIO 6517</t>
  </si>
  <si>
    <t>ALEATÓRIO 6518</t>
  </si>
  <si>
    <t>ALEATÓRIO 6519</t>
  </si>
  <si>
    <t>ALEATÓRIO 6520</t>
  </si>
  <si>
    <t>ALEATÓRIO 6521</t>
  </si>
  <si>
    <t>ALEATÓRIO 6522</t>
  </si>
  <si>
    <t>ALEATÓRIO 6523</t>
  </si>
  <si>
    <t>ALEATÓRIO 6524</t>
  </si>
  <si>
    <t>ALEATÓRIO 6525</t>
  </si>
  <si>
    <t>ALEATÓRIO 6526</t>
  </si>
  <si>
    <t>ALEATÓRIO 6527</t>
  </si>
  <si>
    <t>ALEATÓRIO 6528</t>
  </si>
  <si>
    <t>ALEATÓRIO 6529</t>
  </si>
  <si>
    <t>ALEATÓRIO 6530</t>
  </si>
  <si>
    <t>ALEATÓRIO 6531</t>
  </si>
  <si>
    <t>ALEATÓRIO 6532</t>
  </si>
  <si>
    <t>ALEATÓRIO 6533</t>
  </si>
  <si>
    <t>ALEATÓRIO 6534</t>
  </si>
  <si>
    <t>ALEATÓRIO 6535</t>
  </si>
  <si>
    <t>ALEATÓRIO 6536</t>
  </si>
  <si>
    <t>ALEATÓRIO 6537</t>
  </si>
  <si>
    <t>ALEATÓRIO 6538</t>
  </si>
  <si>
    <t>ALEATÓRIO 6539</t>
  </si>
  <si>
    <t>ALEATÓRIO 6540</t>
  </si>
  <si>
    <t>ALEATÓRIO 6541</t>
  </si>
  <si>
    <t>ALEATÓRIO 6542</t>
  </si>
  <si>
    <t>ALEATÓRIO 6543</t>
  </si>
  <si>
    <t>ALEATÓRIO 6544</t>
  </si>
  <si>
    <t>ALEATÓRIO 6545</t>
  </si>
  <si>
    <t>ALEATÓRIO 6546</t>
  </si>
  <si>
    <t>ALEATÓRIO 6547</t>
  </si>
  <si>
    <t>ALEATÓRIO 6548</t>
  </si>
  <si>
    <t>ALEATÓRIO 6549</t>
  </si>
  <si>
    <t>ALEATÓRIO 6550</t>
  </si>
  <si>
    <t>ALEATÓRIO 6551</t>
  </si>
  <si>
    <t>ALEATÓRIO 6552</t>
  </si>
  <si>
    <t>ALEATÓRIO 6553</t>
  </si>
  <si>
    <t>ALEATÓRIO 6554</t>
  </si>
  <si>
    <t>ALEATÓRIO 6555</t>
  </si>
  <si>
    <t>ALEATÓRIO 6556</t>
  </si>
  <si>
    <t>ALEATÓRIO 6557</t>
  </si>
  <si>
    <t>ALEATÓRIO 6558</t>
  </si>
  <si>
    <t>ALEATÓRIO 6559</t>
  </si>
  <si>
    <t>ALEATÓRIO 6560</t>
  </si>
  <si>
    <t>ALEATÓRIO 6561</t>
  </si>
  <si>
    <t>ALEATÓRIO 6562</t>
  </si>
  <si>
    <t>ALEATÓRIO 6563</t>
  </si>
  <si>
    <t>ALEATÓRIO 6564</t>
  </si>
  <si>
    <t>ALEATÓRIO 6565</t>
  </si>
  <si>
    <t>ALEATÓRIO 6566</t>
  </si>
  <si>
    <t>ALEATÓRIO 6567</t>
  </si>
  <si>
    <t>ALEATÓRIO 6568</t>
  </si>
  <si>
    <t>ALEATÓRIO 6569</t>
  </si>
  <si>
    <t>ALEATÓRIO 6570</t>
  </si>
  <si>
    <t>ALEATÓRIO 6571</t>
  </si>
  <si>
    <t>ALEATÓRIO 6572</t>
  </si>
  <si>
    <t>ALEATÓRIO 6573</t>
  </si>
  <si>
    <t>ALEATÓRIO 6574</t>
  </si>
  <si>
    <t>ALEATÓRIO 6575</t>
  </si>
  <si>
    <t>ALEATÓRIO 6576</t>
  </si>
  <si>
    <t>ALEATÓRIO 6577</t>
  </si>
  <si>
    <t>ALEATÓRIO 6578</t>
  </si>
  <si>
    <t>ALEATÓRIO 6579</t>
  </si>
  <si>
    <t>ALEATÓRIO 6580</t>
  </si>
  <si>
    <t>ALEATÓRIO 6581</t>
  </si>
  <si>
    <t>ALEATÓRIO 6582</t>
  </si>
  <si>
    <t>ALEATÓRIO 6583</t>
  </si>
  <si>
    <t>ALEATÓRIO 6584</t>
  </si>
  <si>
    <t>ALEATÓRIO 6585</t>
  </si>
  <si>
    <t>ALEATÓRIO 6586</t>
  </si>
  <si>
    <t>ALEATÓRIO 6587</t>
  </si>
  <si>
    <t>ALEATÓRIO 6588</t>
  </si>
  <si>
    <t>ALEATÓRIO 6589</t>
  </si>
  <si>
    <t>ALEATÓRIO 6590</t>
  </si>
  <si>
    <t>ALEATÓRIO 6591</t>
  </si>
  <si>
    <t>ALEATÓRIO 6592</t>
  </si>
  <si>
    <t>ALEATÓRIO 6593</t>
  </si>
  <si>
    <t>ALEATÓRIO 6594</t>
  </si>
  <si>
    <t>ALEATÓRIO 6595</t>
  </si>
  <si>
    <t>ALEATÓRIO 6596</t>
  </si>
  <si>
    <t>ALEATÓRIO 6597</t>
  </si>
  <si>
    <t>ALEATÓRIO 6598</t>
  </si>
  <si>
    <t>ALEATÓRIO 6599</t>
  </si>
  <si>
    <t>ALEATÓRIO 6600</t>
  </si>
  <si>
    <t>ALEATÓRIO 6601</t>
  </si>
  <si>
    <t>ALEATÓRIO 6602</t>
  </si>
  <si>
    <t>ALEATÓRIO 6603</t>
  </si>
  <si>
    <t>ALEATÓRIO 6604</t>
  </si>
  <si>
    <t>ALEATÓRIO 6605</t>
  </si>
  <si>
    <t>ALEATÓRIO 6606</t>
  </si>
  <si>
    <t>ALEATÓRIO 6607</t>
  </si>
  <si>
    <t>ALEATÓRIO 6608</t>
  </si>
  <si>
    <t>ALEATÓRIO 6609</t>
  </si>
  <si>
    <t>ALEATÓRIO 6610</t>
  </si>
  <si>
    <t>ALEATÓRIO 6611</t>
  </si>
  <si>
    <t>ALEATÓRIO 6612</t>
  </si>
  <si>
    <t>ALEATÓRIO 6613</t>
  </si>
  <si>
    <t>ALEATÓRIO 6614</t>
  </si>
  <si>
    <t>ALEATÓRIO 6615</t>
  </si>
  <si>
    <t>ALEATÓRIO 6616</t>
  </si>
  <si>
    <t>ALEATÓRIO 6617</t>
  </si>
  <si>
    <t>ALEATÓRIO 6618</t>
  </si>
  <si>
    <t>ALEATÓRIO 6619</t>
  </si>
  <si>
    <t>ALEATÓRIO 6620</t>
  </si>
  <si>
    <t>ALEATÓRIO 6621</t>
  </si>
  <si>
    <t>ALEATÓRIO 6622</t>
  </si>
  <si>
    <t>ALEATÓRIO 6623</t>
  </si>
  <si>
    <t>ALEATÓRIO 6624</t>
  </si>
  <si>
    <t>ALEATÓRIO 6625</t>
  </si>
  <si>
    <t>ALEATÓRIO 6626</t>
  </si>
  <si>
    <t>ALEATÓRIO 6627</t>
  </si>
  <si>
    <t>ALEATÓRIO 6628</t>
  </si>
  <si>
    <t>ALEATÓRIO 6629</t>
  </si>
  <si>
    <t>ALEATÓRIO 6630</t>
  </si>
  <si>
    <t>ALEATÓRIO 6631</t>
  </si>
  <si>
    <t>ALEATÓRIO 6632</t>
  </si>
  <si>
    <t>ALEATÓRIO 6633</t>
  </si>
  <si>
    <t>ALEATÓRIO 6634</t>
  </si>
  <si>
    <t>ALEATÓRIO 6635</t>
  </si>
  <si>
    <t>ALEATÓRIO 6636</t>
  </si>
  <si>
    <t>ALEATÓRIO 6637</t>
  </si>
  <si>
    <t>ALEATÓRIO 6638</t>
  </si>
  <si>
    <t>ALEATÓRIO 6639</t>
  </si>
  <si>
    <t>ALEATÓRIO 6640</t>
  </si>
  <si>
    <t>ALEATÓRIO 6641</t>
  </si>
  <si>
    <t>ALEATÓRIO 6642</t>
  </si>
  <si>
    <t>ALEATÓRIO 6643</t>
  </si>
  <si>
    <t>ALEATÓRIO 6644</t>
  </si>
  <si>
    <t>ALEATÓRIO 6645</t>
  </si>
  <si>
    <t>ALEATÓRIO 6646</t>
  </si>
  <si>
    <t>ALEATÓRIO 6647</t>
  </si>
  <si>
    <t>ALEATÓRIO 6648</t>
  </si>
  <si>
    <t>ALEATÓRIO 6649</t>
  </si>
  <si>
    <t>ALEATÓRIO 6650</t>
  </si>
  <si>
    <t>ALEATÓRIO 6651</t>
  </si>
  <si>
    <t>ALEATÓRIO 6652</t>
  </si>
  <si>
    <t>ALEATÓRIO 6653</t>
  </si>
  <si>
    <t>ALEATÓRIO 6654</t>
  </si>
  <si>
    <t>ALEATÓRIO 6655</t>
  </si>
  <si>
    <t>ALEATÓRIO 6656</t>
  </si>
  <si>
    <t>ALEATÓRIO 6657</t>
  </si>
  <si>
    <t>ALEATÓRIO 6658</t>
  </si>
  <si>
    <t>ALEATÓRIO 6659</t>
  </si>
  <si>
    <t>ALEATÓRIO 6660</t>
  </si>
  <si>
    <t>ALEATÓRIO 6661</t>
  </si>
  <si>
    <t>ALEATÓRIO 6662</t>
  </si>
  <si>
    <t>ALEATÓRIO 6663</t>
  </si>
  <si>
    <t>ALEATÓRIO 6664</t>
  </si>
  <si>
    <t>ALEATÓRIO 6665</t>
  </si>
  <si>
    <t>ALEATÓRIO 6666</t>
  </si>
  <si>
    <t>ALEATÓRIO 6667</t>
  </si>
  <si>
    <t>ALEATÓRIO 6668</t>
  </si>
  <si>
    <t>ALEATÓRIO 6669</t>
  </si>
  <si>
    <t>ALEATÓRIO 6670</t>
  </si>
  <si>
    <t>ALEATÓRIO 6671</t>
  </si>
  <si>
    <t>ALEATÓRIO 6672</t>
  </si>
  <si>
    <t>ALEATÓRIO 6673</t>
  </si>
  <si>
    <t>ALEATÓRIO 6674</t>
  </si>
  <si>
    <t>ALEATÓRIO 6675</t>
  </si>
  <si>
    <t>ALEATÓRIO 6676</t>
  </si>
  <si>
    <t>ALEATÓRIO 6677</t>
  </si>
  <si>
    <t>ALEATÓRIO 6678</t>
  </si>
  <si>
    <t>ALEATÓRIO 6679</t>
  </si>
  <si>
    <t>ALEATÓRIO 6680</t>
  </si>
  <si>
    <t>ALEATÓRIO 6681</t>
  </si>
  <si>
    <t>ALEATÓRIO 6682</t>
  </si>
  <si>
    <t>ALEATÓRIO 6683</t>
  </si>
  <si>
    <t>ALEATÓRIO 6684</t>
  </si>
  <si>
    <t>ALEATÓRIO 6685</t>
  </si>
  <si>
    <t>ALEATÓRIO 6686</t>
  </si>
  <si>
    <t>ALEATÓRIO 6687</t>
  </si>
  <si>
    <t>ALEATÓRIO 6688</t>
  </si>
  <si>
    <t>ALEATÓRIO 6689</t>
  </si>
  <si>
    <t>ALEATÓRIO 6690</t>
  </si>
  <si>
    <t>ALEATÓRIO 6691</t>
  </si>
  <si>
    <t>ALEATÓRIO 6692</t>
  </si>
  <si>
    <t>ALEATÓRIO 6693</t>
  </si>
  <si>
    <t>ALEATÓRIO 6694</t>
  </si>
  <si>
    <t>ALEATÓRIO 6695</t>
  </si>
  <si>
    <t>ALEATÓRIO 6696</t>
  </si>
  <si>
    <t>ALEATÓRIO 6697</t>
  </si>
  <si>
    <t>ALEATÓRIO 6698</t>
  </si>
  <si>
    <t>ALEATÓRIO 6699</t>
  </si>
  <si>
    <t>ALEATÓRIO 6700</t>
  </si>
  <si>
    <t>ALEATÓRIO 6701</t>
  </si>
  <si>
    <t>ALEATÓRIO 6702</t>
  </si>
  <si>
    <t>ALEATÓRIO 6703</t>
  </si>
  <si>
    <t>ALEATÓRIO 6704</t>
  </si>
  <si>
    <t>ALEATÓRIO 6705</t>
  </si>
  <si>
    <t>ALEATÓRIO 6706</t>
  </si>
  <si>
    <t>ALEATÓRIO 6707</t>
  </si>
  <si>
    <t>ALEATÓRIO 6708</t>
  </si>
  <si>
    <t>ALEATÓRIO 6709</t>
  </si>
  <si>
    <t>ALEATÓRIO 6710</t>
  </si>
  <si>
    <t>ALEATÓRIO 6711</t>
  </si>
  <si>
    <t>ALEATÓRIO 6712</t>
  </si>
  <si>
    <t>ALEATÓRIO 6713</t>
  </si>
  <si>
    <t>ALEATÓRIO 6714</t>
  </si>
  <si>
    <t>ALEATÓRIO 6715</t>
  </si>
  <si>
    <t>ALEATÓRIO 6716</t>
  </si>
  <si>
    <t>ALEATÓRIO 6717</t>
  </si>
  <si>
    <t>ALEATÓRIO 6718</t>
  </si>
  <si>
    <t>ALEATÓRIO 6719</t>
  </si>
  <si>
    <t>ALEATÓRIO 6720</t>
  </si>
  <si>
    <t>ALEATÓRIO 6721</t>
  </si>
  <si>
    <t>ALEATÓRIO 6722</t>
  </si>
  <si>
    <t>ALEATÓRIO 6723</t>
  </si>
  <si>
    <t>ALEATÓRIO 6724</t>
  </si>
  <si>
    <t>ALEATÓRIO 6725</t>
  </si>
  <si>
    <t>ALEATÓRIO 6726</t>
  </si>
  <si>
    <t>ALEATÓRIO 6727</t>
  </si>
  <si>
    <t>ALEATÓRIO 6728</t>
  </si>
  <si>
    <t>ALEATÓRIO 6729</t>
  </si>
  <si>
    <t>ALEATÓRIO 6730</t>
  </si>
  <si>
    <t>ALEATÓRIO 6731</t>
  </si>
  <si>
    <t>ALEATÓRIO 6732</t>
  </si>
  <si>
    <t>ALEATÓRIO 6733</t>
  </si>
  <si>
    <t>ALEATÓRIO 6734</t>
  </si>
  <si>
    <t>ALEATÓRIO 6735</t>
  </si>
  <si>
    <t>ALEATÓRIO 6736</t>
  </si>
  <si>
    <t>ALEATÓRIO 6737</t>
  </si>
  <si>
    <t>ALEATÓRIO 6738</t>
  </si>
  <si>
    <t>ALEATÓRIO 6739</t>
  </si>
  <si>
    <t>ALEATÓRIO 6740</t>
  </si>
  <si>
    <t>ALEATÓRIO 6741</t>
  </si>
  <si>
    <t>ALEATÓRIO 6742</t>
  </si>
  <si>
    <t>ALEATÓRIO 6743</t>
  </si>
  <si>
    <t>ALEATÓRIO 6744</t>
  </si>
  <si>
    <t>ALEATÓRIO 6745</t>
  </si>
  <si>
    <t>ALEATÓRIO 6746</t>
  </si>
  <si>
    <t>ALEATÓRIO 6747</t>
  </si>
  <si>
    <t>ALEATÓRIO 6748</t>
  </si>
  <si>
    <t>ALEATÓRIO 6749</t>
  </si>
  <si>
    <t>ALEATÓRIO 6750</t>
  </si>
  <si>
    <t>ALEATÓRIO 6751</t>
  </si>
  <si>
    <t>ALEATÓRIO 6752</t>
  </si>
  <si>
    <t>ALEATÓRIO 6753</t>
  </si>
  <si>
    <t>ALEATÓRIO 6754</t>
  </si>
  <si>
    <t>ALEATÓRIO 6755</t>
  </si>
  <si>
    <t>ALEATÓRIO 6756</t>
  </si>
  <si>
    <t>ALEATÓRIO 6757</t>
  </si>
  <si>
    <t>ALEATÓRIO 6758</t>
  </si>
  <si>
    <t>ALEATÓRIO 6759</t>
  </si>
  <si>
    <t>ALEATÓRIO 6760</t>
  </si>
  <si>
    <t>ALEATÓRIO 6761</t>
  </si>
  <si>
    <t>ALEATÓRIO 6762</t>
  </si>
  <si>
    <t>ALEATÓRIO 6763</t>
  </si>
  <si>
    <t>ALEATÓRIO 6764</t>
  </si>
  <si>
    <t>ALEATÓRIO 6765</t>
  </si>
  <si>
    <t>ALEATÓRIO 6766</t>
  </si>
  <si>
    <t>ALEATÓRIO 6767</t>
  </si>
  <si>
    <t>ALEATÓRIO 6768</t>
  </si>
  <si>
    <t>ALEATÓRIO 6769</t>
  </si>
  <si>
    <t>ALEATÓRIO 6770</t>
  </si>
  <si>
    <t>ALEATÓRIO 6771</t>
  </si>
  <si>
    <t>ALEATÓRIO 6772</t>
  </si>
  <si>
    <t>ALEATÓRIO 6773</t>
  </si>
  <si>
    <t>ALEATÓRIO 6774</t>
  </si>
  <si>
    <t>ALEATÓRIO 6775</t>
  </si>
  <si>
    <t>ALEATÓRIO 6776</t>
  </si>
  <si>
    <t>ALEATÓRIO 6777</t>
  </si>
  <si>
    <t>ALEATÓRIO 6778</t>
  </si>
  <si>
    <t>ALEATÓRIO 6779</t>
  </si>
  <si>
    <t>ALEATÓRIO 6780</t>
  </si>
  <si>
    <t>ALEATÓRIO 6781</t>
  </si>
  <si>
    <t>ALEATÓRIO 6782</t>
  </si>
  <si>
    <t>ALEATÓRIO 6783</t>
  </si>
  <si>
    <t>ALEATÓRIO 6784</t>
  </si>
  <si>
    <t>ALEATÓRIO 6785</t>
  </si>
  <si>
    <t>ALEATÓRIO 6786</t>
  </si>
  <si>
    <t>ALEATÓRIO 6787</t>
  </si>
  <si>
    <t>ALEATÓRIO 6788</t>
  </si>
  <si>
    <t>ALEATÓRIO 6789</t>
  </si>
  <si>
    <t>ALEATÓRIO 6790</t>
  </si>
  <si>
    <t>ALEATÓRIO 6791</t>
  </si>
  <si>
    <t>ALEATÓRIO 6792</t>
  </si>
  <si>
    <t>ALEATÓRIO 6793</t>
  </si>
  <si>
    <t>ALEATÓRIO 6794</t>
  </si>
  <si>
    <t>ALEATÓRIO 6795</t>
  </si>
  <si>
    <t>ALEATÓRIO 6796</t>
  </si>
  <si>
    <t>ALEATÓRIO 6797</t>
  </si>
  <si>
    <t>ALEATÓRIO 6798</t>
  </si>
  <si>
    <t>ALEATÓRIO 6799</t>
  </si>
  <si>
    <t>ALEATÓRIO 6800</t>
  </si>
  <si>
    <t>ALEATÓRIO 6801</t>
  </si>
  <si>
    <t>ALEATÓRIO 6802</t>
  </si>
  <si>
    <t>ALEATÓRIO 6803</t>
  </si>
  <si>
    <t>ALEATÓRIO 6804</t>
  </si>
  <si>
    <t>ALEATÓRIO 6805</t>
  </si>
  <si>
    <t>ALEATÓRIO 6806</t>
  </si>
  <si>
    <t>ALEATÓRIO 6807</t>
  </si>
  <si>
    <t>ALEATÓRIO 6808</t>
  </si>
  <si>
    <t>ALEATÓRIO 6809</t>
  </si>
  <si>
    <t>ALEATÓRIO 6810</t>
  </si>
  <si>
    <t>ALEATÓRIO 6811</t>
  </si>
  <si>
    <t>ALEATÓRIO 6812</t>
  </si>
  <si>
    <t>ALEATÓRIO 6813</t>
  </si>
  <si>
    <t>ALEATÓRIO 6814</t>
  </si>
  <si>
    <t>ALEATÓRIO 6815</t>
  </si>
  <si>
    <t>ALEATÓRIO 6816</t>
  </si>
  <si>
    <t>ALEATÓRIO 6817</t>
  </si>
  <si>
    <t>ALEATÓRIO 6818</t>
  </si>
  <si>
    <t>ALEATÓRIO 6819</t>
  </si>
  <si>
    <t>ALEATÓRIO 6820</t>
  </si>
  <si>
    <t>ALEATÓRIO 6821</t>
  </si>
  <si>
    <t>ALEATÓRIO 6822</t>
  </si>
  <si>
    <t>ALEATÓRIO 6823</t>
  </si>
  <si>
    <t>ALEATÓRIO 6824</t>
  </si>
  <si>
    <t>ALEATÓRIO 6825</t>
  </si>
  <si>
    <t>ALEATÓRIO 6826</t>
  </si>
  <si>
    <t>ALEATÓRIO 6827</t>
  </si>
  <si>
    <t>ALEATÓRIO 6828</t>
  </si>
  <si>
    <t>ALEATÓRIO 6829</t>
  </si>
  <si>
    <t>ALEATÓRIO 6830</t>
  </si>
  <si>
    <t>ALEATÓRIO 6831</t>
  </si>
  <si>
    <t>ALEATÓRIO 6832</t>
  </si>
  <si>
    <t>ALEATÓRIO 6833</t>
  </si>
  <si>
    <t>ALEATÓRIO 6834</t>
  </si>
  <si>
    <t>ALEATÓRIO 6835</t>
  </si>
  <si>
    <t>ALEATÓRIO 6836</t>
  </si>
  <si>
    <t>ALEATÓRIO 6837</t>
  </si>
  <si>
    <t>ALEATÓRIO 6838</t>
  </si>
  <si>
    <t>ALEATÓRIO 6839</t>
  </si>
  <si>
    <t>ALEATÓRIO 6840</t>
  </si>
  <si>
    <t>ALEATÓRIO 6841</t>
  </si>
  <si>
    <t>ALEATÓRIO 6842</t>
  </si>
  <si>
    <t>ALEATÓRIO 6843</t>
  </si>
  <si>
    <t>ALEATÓRIO 6844</t>
  </si>
  <si>
    <t>ALEATÓRIO 6845</t>
  </si>
  <si>
    <t>ALEATÓRIO 6846</t>
  </si>
  <si>
    <t>ALEATÓRIO 6847</t>
  </si>
  <si>
    <t>ALEATÓRIO 6848</t>
  </si>
  <si>
    <t>ALEATÓRIO 6849</t>
  </si>
  <si>
    <t>ALEATÓRIO 6850</t>
  </si>
  <si>
    <t>ALEATÓRIO 6851</t>
  </si>
  <si>
    <t>ALEATÓRIO 6852</t>
  </si>
  <si>
    <t>ALEATÓRIO 6853</t>
  </si>
  <si>
    <t>ALEATÓRIO 6854</t>
  </si>
  <si>
    <t>ALEATÓRIO 6855</t>
  </si>
  <si>
    <t>ALEATÓRIO 6856</t>
  </si>
  <si>
    <t>ALEATÓRIO 6857</t>
  </si>
  <si>
    <t>ALEATÓRIO 6858</t>
  </si>
  <si>
    <t>ALEATÓRIO 6859</t>
  </si>
  <si>
    <t>ALEATÓRIO 6860</t>
  </si>
  <si>
    <t>ALEATÓRIO 6861</t>
  </si>
  <si>
    <t>ALEATÓRIO 6862</t>
  </si>
  <si>
    <t>ALEATÓRIO 6863</t>
  </si>
  <si>
    <t>ALEATÓRIO 6864</t>
  </si>
  <si>
    <t>ALEATÓRIO 6865</t>
  </si>
  <si>
    <t>ALEATÓRIO 6866</t>
  </si>
  <si>
    <t>ALEATÓRIO 6867</t>
  </si>
  <si>
    <t>ALEATÓRIO 6868</t>
  </si>
  <si>
    <t>ALEATÓRIO 6869</t>
  </si>
  <si>
    <t>ALEATÓRIO 6870</t>
  </si>
  <si>
    <t>ALEATÓRIO 6871</t>
  </si>
  <si>
    <t>ALEATÓRIO 6872</t>
  </si>
  <si>
    <t>ALEATÓRIO 6873</t>
  </si>
  <si>
    <t>ALEATÓRIO 6874</t>
  </si>
  <si>
    <t>ALEATÓRIO 6875</t>
  </si>
  <si>
    <t>ALEATÓRIO 6876</t>
  </si>
  <si>
    <t>ALEATÓRIO 6877</t>
  </si>
  <si>
    <t>ALEATÓRIO 6878</t>
  </si>
  <si>
    <t>ALEATÓRIO 6879</t>
  </si>
  <si>
    <t>ALEATÓRIO 6880</t>
  </si>
  <si>
    <t>ALEATÓRIO 6881</t>
  </si>
  <si>
    <t>ALEATÓRIO 6882</t>
  </si>
  <si>
    <t>ALEATÓRIO 6883</t>
  </si>
  <si>
    <t>ALEATÓRIO 6884</t>
  </si>
  <si>
    <t>ALEATÓRIO 6885</t>
  </si>
  <si>
    <t>ALEATÓRIO 6886</t>
  </si>
  <si>
    <t>ALEATÓRIO 6887</t>
  </si>
  <si>
    <t>ALEATÓRIO 6888</t>
  </si>
  <si>
    <t>ALEATÓRIO 6889</t>
  </si>
  <si>
    <t>ALEATÓRIO 6890</t>
  </si>
  <si>
    <t>ALEATÓRIO 6891</t>
  </si>
  <si>
    <t>ALEATÓRIO 6892</t>
  </si>
  <si>
    <t>ALEATÓRIO 6893</t>
  </si>
  <si>
    <t>ALEATÓRIO 6894</t>
  </si>
  <si>
    <t>ALEATÓRIO 6895</t>
  </si>
  <si>
    <t>ALEATÓRIO 6896</t>
  </si>
  <si>
    <t>ALEATÓRIO 6897</t>
  </si>
  <si>
    <t>ALEATÓRIO 6898</t>
  </si>
  <si>
    <t>ALEATÓRIO 6899</t>
  </si>
  <si>
    <t>ALEATÓRIO 6900</t>
  </si>
  <si>
    <t>ALEATÓRIO 6901</t>
  </si>
  <si>
    <t>ALEATÓRIO 6902</t>
  </si>
  <si>
    <t>ALEATÓRIO 6903</t>
  </si>
  <si>
    <t>ALEATÓRIO 6904</t>
  </si>
  <si>
    <t>ALEATÓRIO 6905</t>
  </si>
  <si>
    <t>ALEATÓRIO 6906</t>
  </si>
  <si>
    <t>ALEATÓRIO 6907</t>
  </si>
  <si>
    <t>ALEATÓRIO 6908</t>
  </si>
  <si>
    <t>ALEATÓRIO 6909</t>
  </si>
  <si>
    <t>ALEATÓRIO 6910</t>
  </si>
  <si>
    <t>ALEATÓRIO 6911</t>
  </si>
  <si>
    <t>ALEATÓRIO 6912</t>
  </si>
  <si>
    <t>ALEATÓRIO 6913</t>
  </si>
  <si>
    <t>ALEATÓRIO 6914</t>
  </si>
  <si>
    <t>ALEATÓRIO 6915</t>
  </si>
  <si>
    <t>ALEATÓRIO 6916</t>
  </si>
  <si>
    <t>ALEATÓRIO 6917</t>
  </si>
  <si>
    <t>ALEATÓRIO 6918</t>
  </si>
  <si>
    <t>ALEATÓRIO 6919</t>
  </si>
  <si>
    <t>ALEATÓRIO 6920</t>
  </si>
  <si>
    <t>ALEATÓRIO 6921</t>
  </si>
  <si>
    <t>ALEATÓRIO 6922</t>
  </si>
  <si>
    <t>ALEATÓRIO 6923</t>
  </si>
  <si>
    <t>ALEATÓRIO 6924</t>
  </si>
  <si>
    <t>ALEATÓRIO 6925</t>
  </si>
  <si>
    <t>ALEATÓRIO 6926</t>
  </si>
  <si>
    <t>ALEATÓRIO 6927</t>
  </si>
  <si>
    <t>ALEATÓRIO 6928</t>
  </si>
  <si>
    <t>ALEATÓRIO 6929</t>
  </si>
  <si>
    <t>ALEATÓRIO 6930</t>
  </si>
  <si>
    <t>ALEATÓRIO 6931</t>
  </si>
  <si>
    <t>ALEATÓRIO 6932</t>
  </si>
  <si>
    <t>ALEATÓRIO 6933</t>
  </si>
  <si>
    <t>ALEATÓRIO 6934</t>
  </si>
  <si>
    <t>ALEATÓRIO 6935</t>
  </si>
  <si>
    <t>ALEATÓRIO 6936</t>
  </si>
  <si>
    <t>ALEATÓRIO 6937</t>
  </si>
  <si>
    <t>ALEATÓRIO 6938</t>
  </si>
  <si>
    <t>ALEATÓRIO 6939</t>
  </si>
  <si>
    <t>ALEATÓRIO 6940</t>
  </si>
  <si>
    <t>ALEATÓRIO 6941</t>
  </si>
  <si>
    <t>ALEATÓRIO 6942</t>
  </si>
  <si>
    <t>ALEATÓRIO 6943</t>
  </si>
  <si>
    <t>ALEATÓRIO 6944</t>
  </si>
  <si>
    <t>ALEATÓRIO 6945</t>
  </si>
  <si>
    <t>ALEATÓRIO 6946</t>
  </si>
  <si>
    <t>ALEATÓRIO 6947</t>
  </si>
  <si>
    <t>ALEATÓRIO 6948</t>
  </si>
  <si>
    <t>ALEATÓRIO 6949</t>
  </si>
  <si>
    <t>ALEATÓRIO 6950</t>
  </si>
  <si>
    <t>ALEATÓRIO 6951</t>
  </si>
  <si>
    <t>ALEATÓRIO 6952</t>
  </si>
  <si>
    <t>ALEATÓRIO 6953</t>
  </si>
  <si>
    <t>ALEATÓRIO 6954</t>
  </si>
  <si>
    <t>ALEATÓRIO 6955</t>
  </si>
  <si>
    <t>ALEATÓRIO 6956</t>
  </si>
  <si>
    <t>ALEATÓRIO 6957</t>
  </si>
  <si>
    <t>ALEATÓRIO 6958</t>
  </si>
  <si>
    <t>ALEATÓRIO 6959</t>
  </si>
  <si>
    <t>ALEATÓRIO 6960</t>
  </si>
  <si>
    <t>ALEATÓRIO 6961</t>
  </si>
  <si>
    <t>ALEATÓRIO 6962</t>
  </si>
  <si>
    <t>ALEATÓRIO 6963</t>
  </si>
  <si>
    <t>ALEATÓRIO 6964</t>
  </si>
  <si>
    <t>ALEATÓRIO 6965</t>
  </si>
  <si>
    <t>ALEATÓRIO 6966</t>
  </si>
  <si>
    <t>ALEATÓRIO 6967</t>
  </si>
  <si>
    <t>ALEATÓRIO 6968</t>
  </si>
  <si>
    <t>ALEATÓRIO 6969</t>
  </si>
  <si>
    <t>ALEATÓRIO 6970</t>
  </si>
  <si>
    <t>ALEATÓRIO 6971</t>
  </si>
  <si>
    <t>ALEATÓRIO 6972</t>
  </si>
  <si>
    <t>ALEATÓRIO 6973</t>
  </si>
  <si>
    <t>ALEATÓRIO 6974</t>
  </si>
  <si>
    <t>ALEATÓRIO 6975</t>
  </si>
  <si>
    <t>ALEATÓRIO 6976</t>
  </si>
  <si>
    <t>ALEATÓRIO 6977</t>
  </si>
  <si>
    <t>ALEATÓRIO 6978</t>
  </si>
  <si>
    <t>ALEATÓRIO 6979</t>
  </si>
  <si>
    <t>ALEATÓRIO 6980</t>
  </si>
  <si>
    <t>ALEATÓRIO 6981</t>
  </si>
  <si>
    <t>ALEATÓRIO 6982</t>
  </si>
  <si>
    <t>ALEATÓRIO 6983</t>
  </si>
  <si>
    <t>ALEATÓRIO 6984</t>
  </si>
  <si>
    <t>ALEATÓRIO 6985</t>
  </si>
  <si>
    <t>ALEATÓRIO 6986</t>
  </si>
  <si>
    <t>ALEATÓRIO 6987</t>
  </si>
  <si>
    <t>ALEATÓRIO 6988</t>
  </si>
  <si>
    <t>ALEATÓRIO 6989</t>
  </si>
  <si>
    <t>ALEATÓRIO 6990</t>
  </si>
  <si>
    <t>ALEATÓRIO 6991</t>
  </si>
  <si>
    <t>ALEATÓRIO 6992</t>
  </si>
  <si>
    <t>ALEATÓRIO 6993</t>
  </si>
  <si>
    <t>ALEATÓRIO 6994</t>
  </si>
  <si>
    <t>ALEATÓRIO 6995</t>
  </si>
  <si>
    <t>ALEATÓRIO 6996</t>
  </si>
  <si>
    <t>ALEATÓRIO 6997</t>
  </si>
  <si>
    <t>ALEATÓRIO 6998</t>
  </si>
  <si>
    <t>ALEATÓRIO 6999</t>
  </si>
  <si>
    <t>ALEATÓRIO 7000</t>
  </si>
  <si>
    <t>ALEATÓRIO 7001</t>
  </si>
  <si>
    <t>ALEATÓRIO 7002</t>
  </si>
  <si>
    <t>ALEATÓRIO 7003</t>
  </si>
  <si>
    <t>ALEATÓRIO 7004</t>
  </si>
  <si>
    <t>ALEATÓRIO 7005</t>
  </si>
  <si>
    <t>ALEATÓRIO 7006</t>
  </si>
  <si>
    <t>ALEATÓRIO 7007</t>
  </si>
  <si>
    <t>ALEATÓRIO 7008</t>
  </si>
  <si>
    <t>ALEATÓRIO 7009</t>
  </si>
  <si>
    <t>ALEATÓRIO 7010</t>
  </si>
  <si>
    <t>ALEATÓRIO 7011</t>
  </si>
  <si>
    <t>ALEATÓRIO 7012</t>
  </si>
  <si>
    <t>ALEATÓRIO 7013</t>
  </si>
  <si>
    <t>ALEATÓRIO 7014</t>
  </si>
  <si>
    <t>ALEATÓRIO 7015</t>
  </si>
  <si>
    <t>ALEATÓRIO 7016</t>
  </si>
  <si>
    <t>ALEATÓRIO 7017</t>
  </si>
  <si>
    <t>ALEATÓRIO 7018</t>
  </si>
  <si>
    <t>ALEATÓRIO 7019</t>
  </si>
  <si>
    <t>ALEATÓRIO 7020</t>
  </si>
  <si>
    <t>ALEATÓRIO 7021</t>
  </si>
  <si>
    <t>ALEATÓRIO 7022</t>
  </si>
  <si>
    <t>ALEATÓRIO 7023</t>
  </si>
  <si>
    <t>ALEATÓRIO 7024</t>
  </si>
  <si>
    <t>ALEATÓRIO 7025</t>
  </si>
  <si>
    <t>ALEATÓRIO 7026</t>
  </si>
  <si>
    <t>ALEATÓRIO 7027</t>
  </si>
  <si>
    <t>ALEATÓRIO 7028</t>
  </si>
  <si>
    <t>ALEATÓRIO 7029</t>
  </si>
  <si>
    <t>ALEATÓRIO 7030</t>
  </si>
  <si>
    <t>ALEATÓRIO 7031</t>
  </si>
  <si>
    <t>ALEATÓRIO 7032</t>
  </si>
  <si>
    <t>ALEATÓRIO 7033</t>
  </si>
  <si>
    <t>ALEATÓRIO 7034</t>
  </si>
  <si>
    <t>ALEATÓRIO 7035</t>
  </si>
  <si>
    <t>ALEATÓRIO 7036</t>
  </si>
  <si>
    <t>ALEATÓRIO 7037</t>
  </si>
  <si>
    <t>ALEATÓRIO 7038</t>
  </si>
  <si>
    <t>ALEATÓRIO 7039</t>
  </si>
  <si>
    <t>ALEATÓRIO 7040</t>
  </si>
  <si>
    <t>ALEATÓRIO 7041</t>
  </si>
  <si>
    <t>ALEATÓRIO 7042</t>
  </si>
  <si>
    <t>ALEATÓRIO 7043</t>
  </si>
  <si>
    <t>ALEATÓRIO 7044</t>
  </si>
  <si>
    <t>ALEATÓRIO 7045</t>
  </si>
  <si>
    <t>ALEATÓRIO 7046</t>
  </si>
  <si>
    <t>ALEATÓRIO 7047</t>
  </si>
  <si>
    <t>ALEATÓRIO 7048</t>
  </si>
  <si>
    <t>ALEATÓRIO 7049</t>
  </si>
  <si>
    <t>ALEATÓRIO 7050</t>
  </si>
  <si>
    <t>ALEATÓRIO 7051</t>
  </si>
  <si>
    <t>ALEATÓRIO 7052</t>
  </si>
  <si>
    <t>ALEATÓRIO 7053</t>
  </si>
  <si>
    <t>ALEATÓRIO 7054</t>
  </si>
  <si>
    <t>ALEATÓRIO 7055</t>
  </si>
  <si>
    <t>ALEATÓRIO 7056</t>
  </si>
  <si>
    <t>ALEATÓRIO 7057</t>
  </si>
  <si>
    <t>ALEATÓRIO 7058</t>
  </si>
  <si>
    <t>ALEATÓRIO 7059</t>
  </si>
  <si>
    <t>ALEATÓRIO 7060</t>
  </si>
  <si>
    <t>ALEATÓRIO 7061</t>
  </si>
  <si>
    <t>ALEATÓRIO 7062</t>
  </si>
  <si>
    <t>ALEATÓRIO 7063</t>
  </si>
  <si>
    <t>ALEATÓRIO 7064</t>
  </si>
  <si>
    <t>ALEATÓRIO 7065</t>
  </si>
  <si>
    <t>ALEATÓRIO 7066</t>
  </si>
  <si>
    <t>ALEATÓRIO 7067</t>
  </si>
  <si>
    <t>ALEATÓRIO 7068</t>
  </si>
  <si>
    <t>ALEATÓRIO 7069</t>
  </si>
  <si>
    <t>ALEATÓRIO 7070</t>
  </si>
  <si>
    <t>ALEATÓRIO 7071</t>
  </si>
  <si>
    <t>ALEATÓRIO 7072</t>
  </si>
  <si>
    <t>ALEATÓRIO 7073</t>
  </si>
  <si>
    <t>ALEATÓRIO 7074</t>
  </si>
  <si>
    <t>ALEATÓRIO 7075</t>
  </si>
  <si>
    <t>ALEATÓRIO 7076</t>
  </si>
  <si>
    <t>ALEATÓRIO 7077</t>
  </si>
  <si>
    <t>ALEATÓRIO 7078</t>
  </si>
  <si>
    <t>ALEATÓRIO 7079</t>
  </si>
  <si>
    <t>ALEATÓRIO 7080</t>
  </si>
  <si>
    <t>ALEATÓRIO 7081</t>
  </si>
  <si>
    <t>ALEATÓRIO 7082</t>
  </si>
  <si>
    <t>ALEATÓRIO 7083</t>
  </si>
  <si>
    <t>ALEATÓRIO 7084</t>
  </si>
  <si>
    <t>ALEATÓRIO 7085</t>
  </si>
  <si>
    <t>ALEATÓRIO 7086</t>
  </si>
  <si>
    <t>ALEATÓRIO 7087</t>
  </si>
  <si>
    <t>ALEATÓRIO 7088</t>
  </si>
  <si>
    <t>ALEATÓRIO 7089</t>
  </si>
  <si>
    <t>ALEATÓRIO 7090</t>
  </si>
  <si>
    <t>ALEATÓRIO 7091</t>
  </si>
  <si>
    <t>ALEATÓRIO 7092</t>
  </si>
  <si>
    <t>ALEATÓRIO 7093</t>
  </si>
  <si>
    <t>ALEATÓRIO 7094</t>
  </si>
  <si>
    <t>ALEATÓRIO 7095</t>
  </si>
  <si>
    <t>ALEATÓRIO 7096</t>
  </si>
  <si>
    <t>ALEATÓRIO 7097</t>
  </si>
  <si>
    <t>ALEATÓRIO 7098</t>
  </si>
  <si>
    <t>ALEATÓRIO 7099</t>
  </si>
  <si>
    <t>ALEATÓRIO 7100</t>
  </si>
  <si>
    <t>ALEATÓRIO 7101</t>
  </si>
  <si>
    <t>ALEATÓRIO 7102</t>
  </si>
  <si>
    <t>ALEATÓRIO 7103</t>
  </si>
  <si>
    <t>ALEATÓRIO 7104</t>
  </si>
  <si>
    <t>ALEATÓRIO 7105</t>
  </si>
  <si>
    <t>ALEATÓRIO 7106</t>
  </si>
  <si>
    <t>ALEATÓRIO 7107</t>
  </si>
  <si>
    <t>ALEATÓRIO 7108</t>
  </si>
  <si>
    <t>ALEATÓRIO 7109</t>
  </si>
  <si>
    <t>ALEATÓRIO 7110</t>
  </si>
  <si>
    <t>ALEATÓRIO 7111</t>
  </si>
  <si>
    <t>ALEATÓRIO 7112</t>
  </si>
  <si>
    <t>ALEATÓRIO 7113</t>
  </si>
  <si>
    <t>ALEATÓRIO 7114</t>
  </si>
  <si>
    <t>ALEATÓRIO 7115</t>
  </si>
  <si>
    <t>ALEATÓRIO 7116</t>
  </si>
  <si>
    <t>ALEATÓRIO 7117</t>
  </si>
  <si>
    <t>ALEATÓRIO 7118</t>
  </si>
  <si>
    <t>ALEATÓRIO 7119</t>
  </si>
  <si>
    <t>ALEATÓRIO 7120</t>
  </si>
  <si>
    <t>ALEATÓRIO 7121</t>
  </si>
  <si>
    <t>ALEATÓRIO 7122</t>
  </si>
  <si>
    <t>ALEATÓRIO 7123</t>
  </si>
  <si>
    <t>ALEATÓRIO 7124</t>
  </si>
  <si>
    <t>ALEATÓRIO 7125</t>
  </si>
  <si>
    <t>ALEATÓRIO 7126</t>
  </si>
  <si>
    <t>ALEATÓRIO 7127</t>
  </si>
  <si>
    <t>ALEATÓRIO 7128</t>
  </si>
  <si>
    <t>ALEATÓRIO 7129</t>
  </si>
  <si>
    <t>ALEATÓRIO 7130</t>
  </si>
  <si>
    <t>ALEATÓRIO 7131</t>
  </si>
  <si>
    <t>ALEATÓRIO 7132</t>
  </si>
  <si>
    <t>ALEATÓRIO 7133</t>
  </si>
  <si>
    <t>ALEATÓRIO 7134</t>
  </si>
  <si>
    <t>ALEATÓRIO 7135</t>
  </si>
  <si>
    <t>ALEATÓRIO 7136</t>
  </si>
  <si>
    <t>ALEATÓRIO 7137</t>
  </si>
  <si>
    <t>ALEATÓRIO 7138</t>
  </si>
  <si>
    <t>ALEATÓRIO 7139</t>
  </si>
  <si>
    <t>ALEATÓRIO 7140</t>
  </si>
  <si>
    <t>ALEATÓRIO 7141</t>
  </si>
  <si>
    <t>ALEATÓRIO 7142</t>
  </si>
  <si>
    <t>ALEATÓRIO 7143</t>
  </si>
  <si>
    <t>ALEATÓRIO 7144</t>
  </si>
  <si>
    <t>ALEATÓRIO 7145</t>
  </si>
  <si>
    <t>ALEATÓRIO 7146</t>
  </si>
  <si>
    <t>ALEATÓRIO 7147</t>
  </si>
  <si>
    <t>ALEATÓRIO 7148</t>
  </si>
  <si>
    <t>ALEATÓRIO 7149</t>
  </si>
  <si>
    <t>ALEATÓRIO 7150</t>
  </si>
  <si>
    <t>ALEATÓRIO 7151</t>
  </si>
  <si>
    <t>ALEATÓRIO 7152</t>
  </si>
  <si>
    <t>ALEATÓRIO 7153</t>
  </si>
  <si>
    <t>ALEATÓRIO 7154</t>
  </si>
  <si>
    <t>ALEATÓRIO 7155</t>
  </si>
  <si>
    <t>ALEATÓRIO 7156</t>
  </si>
  <si>
    <t>ALEATÓRIO 7157</t>
  </si>
  <si>
    <t>ALEATÓRIO 7158</t>
  </si>
  <si>
    <t>ALEATÓRIO 7159</t>
  </si>
  <si>
    <t>ALEATÓRIO 7160</t>
  </si>
  <si>
    <t>ALEATÓRIO 7161</t>
  </si>
  <si>
    <t>ALEATÓRIO 7162</t>
  </si>
  <si>
    <t>ALEATÓRIO 7163</t>
  </si>
  <si>
    <t>ALEATÓRIO 7164</t>
  </si>
  <si>
    <t>ALEATÓRIO 7165</t>
  </si>
  <si>
    <t>ALEATÓRIO 7166</t>
  </si>
  <si>
    <t>ALEATÓRIO 7167</t>
  </si>
  <si>
    <t>ALEATÓRIO 7168</t>
  </si>
  <si>
    <t>ALEATÓRIO 7169</t>
  </si>
  <si>
    <t>ALEATÓRIO 7170</t>
  </si>
  <si>
    <t>ALEATÓRIO 7171</t>
  </si>
  <si>
    <t>ALEATÓRIO 7172</t>
  </si>
  <si>
    <t>ALEATÓRIO 7173</t>
  </si>
  <si>
    <t>ALEATÓRIO 7174</t>
  </si>
  <si>
    <t>ALEATÓRIO 7175</t>
  </si>
  <si>
    <t>ALEATÓRIO 7176</t>
  </si>
  <si>
    <t>ALEATÓRIO 7177</t>
  </si>
  <si>
    <t>ALEATÓRIO 7178</t>
  </si>
  <si>
    <t>ALEATÓRIO 7179</t>
  </si>
  <si>
    <t>ALEATÓRIO 7180</t>
  </si>
  <si>
    <t>ALEATÓRIO 7181</t>
  </si>
  <si>
    <t>ALEATÓRIO 7182</t>
  </si>
  <si>
    <t>ALEATÓRIO 7183</t>
  </si>
  <si>
    <t>ALEATÓRIO 7184</t>
  </si>
  <si>
    <t>ALEATÓRIO 7185</t>
  </si>
  <si>
    <t>ALEATÓRIO 7186</t>
  </si>
  <si>
    <t>ALEATÓRIO 7187</t>
  </si>
  <si>
    <t>ALEATÓRIO 7188</t>
  </si>
  <si>
    <t>ALEATÓRIO 7189</t>
  </si>
  <si>
    <t>ALEATÓRIO 7190</t>
  </si>
  <si>
    <t>ALEATÓRIO 7191</t>
  </si>
  <si>
    <t>ALEATÓRIO 7192</t>
  </si>
  <si>
    <t>ALEATÓRIO 7193</t>
  </si>
  <si>
    <t>ALEATÓRIO 7194</t>
  </si>
  <si>
    <t>ALEATÓRIO 7195</t>
  </si>
  <si>
    <t>ALEATÓRIO 7196</t>
  </si>
  <si>
    <t>ALEATÓRIO 7197</t>
  </si>
  <si>
    <t>ALEATÓRIO 7198</t>
  </si>
  <si>
    <t>ALEATÓRIO 7199</t>
  </si>
  <si>
    <t>ALEATÓRIO 7200</t>
  </si>
  <si>
    <t>ALEATÓRIO 7201</t>
  </si>
  <si>
    <t>ALEATÓRIO 7202</t>
  </si>
  <si>
    <t>ALEATÓRIO 7203</t>
  </si>
  <si>
    <t>ALEATÓRIO 7204</t>
  </si>
  <si>
    <t>ALEATÓRIO 7205</t>
  </si>
  <si>
    <t>ALEATÓRIO 7206</t>
  </si>
  <si>
    <t>ALEATÓRIO 7207</t>
  </si>
  <si>
    <t>ALEATÓRIO 7208</t>
  </si>
  <si>
    <t>ALEATÓRIO 7209</t>
  </si>
  <si>
    <t>ALEATÓRIO 7210</t>
  </si>
  <si>
    <t>ALEATÓRIO 7211</t>
  </si>
  <si>
    <t>ALEATÓRIO 7212</t>
  </si>
  <si>
    <t>ALEATÓRIO 7213</t>
  </si>
  <si>
    <t>ALEATÓRIO 7214</t>
  </si>
  <si>
    <t>ALEATÓRIO 7215</t>
  </si>
  <si>
    <t>ALEATÓRIO 7216</t>
  </si>
  <si>
    <t>ALEATÓRIO 7217</t>
  </si>
  <si>
    <t>ALEATÓRIO 7218</t>
  </si>
  <si>
    <t>ALEATÓRIO 7219</t>
  </si>
  <si>
    <t>ALEATÓRIO 7220</t>
  </si>
  <si>
    <t>ALEATÓRIO 7221</t>
  </si>
  <si>
    <t>ALEATÓRIO 7222</t>
  </si>
  <si>
    <t>ALEATÓRIO 7223</t>
  </si>
  <si>
    <t>ALEATÓRIO 7224</t>
  </si>
  <si>
    <t>ALEATÓRIO 7225</t>
  </si>
  <si>
    <t>ALEATÓRIO 7226</t>
  </si>
  <si>
    <t>ALEATÓRIO 7227</t>
  </si>
  <si>
    <t>ALEATÓRIO 7228</t>
  </si>
  <si>
    <t>ALEATÓRIO 7229</t>
  </si>
  <si>
    <t>ALEATÓRIO 7230</t>
  </si>
  <si>
    <t>ALEATÓRIO 7231</t>
  </si>
  <si>
    <t>ALEATÓRIO 7232</t>
  </si>
  <si>
    <t>ALEATÓRIO 7233</t>
  </si>
  <si>
    <t>ALEATÓRIO 7234</t>
  </si>
  <si>
    <t>ALEATÓRIO 7235</t>
  </si>
  <si>
    <t>ALEATÓRIO 7236</t>
  </si>
  <si>
    <t>ALEATÓRIO 7237</t>
  </si>
  <si>
    <t>ALEATÓRIO 7238</t>
  </si>
  <si>
    <t>ALEATÓRIO 7239</t>
  </si>
  <si>
    <t>ALEATÓRIO 7240</t>
  </si>
  <si>
    <t>ALEATÓRIO 7241</t>
  </si>
  <si>
    <t>ALEATÓRIO 7242</t>
  </si>
  <si>
    <t>ALEATÓRIO 7243</t>
  </si>
  <si>
    <t>ALEATÓRIO 7244</t>
  </si>
  <si>
    <t>ALEATÓRIO 7245</t>
  </si>
  <si>
    <t>ALEATÓRIO 7246</t>
  </si>
  <si>
    <t>ALEATÓRIO 7247</t>
  </si>
  <si>
    <t>ALEATÓRIO 7248</t>
  </si>
  <si>
    <t>ALEATÓRIO 7249</t>
  </si>
  <si>
    <t>ALEATÓRIO 7250</t>
  </si>
  <si>
    <t>ALEATÓRIO 7251</t>
  </si>
  <si>
    <t>ALEATÓRIO 7252</t>
  </si>
  <si>
    <t>ALEATÓRIO 7253</t>
  </si>
  <si>
    <t>ALEATÓRIO 7254</t>
  </si>
  <si>
    <t>ALEATÓRIO 7255</t>
  </si>
  <si>
    <t>ALEATÓRIO 7256</t>
  </si>
  <si>
    <t>ALEATÓRIO 7257</t>
  </si>
  <si>
    <t>ALEATÓRIO 7258</t>
  </si>
  <si>
    <t>ALEATÓRIO 7259</t>
  </si>
  <si>
    <t>ALEATÓRIO 7260</t>
  </si>
  <si>
    <t>ALEATÓRIO 7261</t>
  </si>
  <si>
    <t>ALEATÓRIO 7262</t>
  </si>
  <si>
    <t>ALEATÓRIO 7263</t>
  </si>
  <si>
    <t>ALEATÓRIO 7264</t>
  </si>
  <si>
    <t>ALEATÓRIO 7265</t>
  </si>
  <si>
    <t>ALEATÓRIO 7266</t>
  </si>
  <si>
    <t>ALEATÓRIO 7267</t>
  </si>
  <si>
    <t>ALEATÓRIO 7268</t>
  </si>
  <si>
    <t>ALEATÓRIO 7269</t>
  </si>
  <si>
    <t>ALEATÓRIO 7270</t>
  </si>
  <si>
    <t>ALEATÓRIO 7271</t>
  </si>
  <si>
    <t>ALEATÓRIO 7272</t>
  </si>
  <si>
    <t>ALEATÓRIO 7273</t>
  </si>
  <si>
    <t>ALEATÓRIO 7274</t>
  </si>
  <si>
    <t>ALEATÓRIO 7275</t>
  </si>
  <si>
    <t>ALEATÓRIO 7276</t>
  </si>
  <si>
    <t>ALEATÓRIO 7277</t>
  </si>
  <si>
    <t>ALEATÓRIO 7278</t>
  </si>
  <si>
    <t>ALEATÓRIO 7279</t>
  </si>
  <si>
    <t>ALEATÓRIO 7280</t>
  </si>
  <si>
    <t>ALEATÓRIO 7281</t>
  </si>
  <si>
    <t>ALEATÓRIO 7282</t>
  </si>
  <si>
    <t>ALEATÓRIO 7283</t>
  </si>
  <si>
    <t>ALEATÓRIO 7284</t>
  </si>
  <si>
    <t>ALEATÓRIO 7285</t>
  </si>
  <si>
    <t>ALEATÓRIO 7286</t>
  </si>
  <si>
    <t>ALEATÓRIO 7287</t>
  </si>
  <si>
    <t>ALEATÓRIO 7288</t>
  </si>
  <si>
    <t>ALEATÓRIO 7289</t>
  </si>
  <si>
    <t>ALEATÓRIO 7290</t>
  </si>
  <si>
    <t>ALEATÓRIO 7291</t>
  </si>
  <si>
    <t>ALEATÓRIO 7292</t>
  </si>
  <si>
    <t>ALEATÓRIO 7293</t>
  </si>
  <si>
    <t>ALEATÓRIO 7294</t>
  </si>
  <si>
    <t>ALEATÓRIO 7295</t>
  </si>
  <si>
    <t>ALEATÓRIO 7296</t>
  </si>
  <si>
    <t>ALEATÓRIO 7297</t>
  </si>
  <si>
    <t>ALEATÓRIO 7298</t>
  </si>
  <si>
    <t>ALEATÓRIO 7299</t>
  </si>
  <si>
    <t>ALEATÓRIO 7300</t>
  </si>
  <si>
    <t>ALEATÓRIO 7301</t>
  </si>
  <si>
    <t>ALEATÓRIO 7302</t>
  </si>
  <si>
    <t>ALEATÓRIO 7303</t>
  </si>
  <si>
    <t>ALEATÓRIO 7304</t>
  </si>
  <si>
    <t>ALEATÓRIO 7305</t>
  </si>
  <si>
    <t>ALEATÓRIO 7306</t>
  </si>
  <si>
    <t>ALEATÓRIO 7307</t>
  </si>
  <si>
    <t>ALEATÓRIO 7308</t>
  </si>
  <si>
    <t>ALEATÓRIO 7309</t>
  </si>
  <si>
    <t>ALEATÓRIO 7310</t>
  </si>
  <si>
    <t>ALEATÓRIO 7311</t>
  </si>
  <si>
    <t>ALEATÓRIO 7312</t>
  </si>
  <si>
    <t>ALEATÓRIO 7313</t>
  </si>
  <si>
    <t>ALEATÓRIO 7314</t>
  </si>
  <si>
    <t>ALEATÓRIO 7315</t>
  </si>
  <si>
    <t>ALEATÓRIO 7316</t>
  </si>
  <si>
    <t>ALEATÓRIO 7317</t>
  </si>
  <si>
    <t>ALEATÓRIO 7318</t>
  </si>
  <si>
    <t>ALEATÓRIO 7319</t>
  </si>
  <si>
    <t>ALEATÓRIO 7320</t>
  </si>
  <si>
    <t>ALEATÓRIO 7321</t>
  </si>
  <si>
    <t>ALEATÓRIO 7322</t>
  </si>
  <si>
    <t>ALEATÓRIO 7323</t>
  </si>
  <si>
    <t>ALEATÓRIO 7324</t>
  </si>
  <si>
    <t>ALEATÓRIO 7325</t>
  </si>
  <si>
    <t>FULANO DE TAL</t>
  </si>
  <si>
    <t>CICLANO</t>
  </si>
  <si>
    <t>RANDOM</t>
  </si>
  <si>
    <t>FICTICIO</t>
  </si>
  <si>
    <t>aleatorio@aleatorio.com.br</t>
  </si>
  <si>
    <t>FICTICIO 1</t>
  </si>
  <si>
    <t>FICTICIO 2</t>
  </si>
  <si>
    <t>FICTICIO 3</t>
  </si>
  <si>
    <t>FICTICIO 4</t>
  </si>
  <si>
    <t>FICTICIO 5</t>
  </si>
  <si>
    <t>FICTICIO 6</t>
  </si>
  <si>
    <t>FICTICIO 7</t>
  </si>
  <si>
    <t>FICTICIO 8</t>
  </si>
  <si>
    <t>FICTICIO 9</t>
  </si>
  <si>
    <t>FICTICIO 10</t>
  </si>
  <si>
    <t>FICTICIO 11</t>
  </si>
  <si>
    <t>FICTICIO 12</t>
  </si>
  <si>
    <t>FICTICIO 13</t>
  </si>
  <si>
    <t>FICTICIO 14</t>
  </si>
  <si>
    <t>FICTICIO 15</t>
  </si>
  <si>
    <t>FICTICIO 16</t>
  </si>
  <si>
    <t>FICTICIO 17</t>
  </si>
  <si>
    <t>FICTICIO 18</t>
  </si>
  <si>
    <t>FICTICIO 19</t>
  </si>
  <si>
    <t>FICTICIO 20</t>
  </si>
  <si>
    <t>FICTICIO 21</t>
  </si>
  <si>
    <t>FICTICIO 22</t>
  </si>
  <si>
    <t>FICTICIO 23</t>
  </si>
  <si>
    <t>FICTICIO 24</t>
  </si>
  <si>
    <t>FICTICIO 25</t>
  </si>
  <si>
    <t>FICTICIO 26</t>
  </si>
  <si>
    <t>FICTICIO 27</t>
  </si>
  <si>
    <t>FICTICIO 28</t>
  </si>
  <si>
    <t>FICTICIO 29</t>
  </si>
  <si>
    <t>FICTICIO 30</t>
  </si>
  <si>
    <t>FICTICIO 31</t>
  </si>
  <si>
    <t>FICTICIO 32</t>
  </si>
  <si>
    <t>FICTICIO 33</t>
  </si>
  <si>
    <t>FICTICIO 34</t>
  </si>
  <si>
    <t>FICTICIO 35</t>
  </si>
  <si>
    <t>FICTICIO 36</t>
  </si>
  <si>
    <t>FICTICIO 37</t>
  </si>
  <si>
    <t>FICTICIO 38</t>
  </si>
  <si>
    <t>FICTICIO 39</t>
  </si>
  <si>
    <t>FICTICIO 40</t>
  </si>
  <si>
    <t>FICTICIO 41</t>
  </si>
  <si>
    <t>FICTICIO 42</t>
  </si>
  <si>
    <t>FICTICIO 43</t>
  </si>
  <si>
    <t>FICTICIO 44</t>
  </si>
  <si>
    <t>FICTICIO 45</t>
  </si>
  <si>
    <t>FICTICIO 46</t>
  </si>
  <si>
    <t>FICTICIO 47</t>
  </si>
  <si>
    <t>FICTICIO 48</t>
  </si>
  <si>
    <t>FICTICIO 49</t>
  </si>
  <si>
    <t>FICTICIO 50</t>
  </si>
  <si>
    <t>FICTICIO 51</t>
  </si>
  <si>
    <t>FICTICIO 52</t>
  </si>
  <si>
    <t>FICTICIO 53</t>
  </si>
  <si>
    <t>FICTICIO 54</t>
  </si>
  <si>
    <t>FICTICIO 55</t>
  </si>
  <si>
    <t>FICTICIO 56</t>
  </si>
  <si>
    <t>FICTICIO 57</t>
  </si>
  <si>
    <t>FICTICIO 58</t>
  </si>
  <si>
    <t>FICTICIO 59</t>
  </si>
  <si>
    <t>FICTICIO 60</t>
  </si>
  <si>
    <t>FICTICIO 61</t>
  </si>
  <si>
    <t>FICTICIO 62</t>
  </si>
  <si>
    <t>FICTICIO 63</t>
  </si>
  <si>
    <t>FICTICIO 64</t>
  </si>
  <si>
    <t>FICTICIO 65</t>
  </si>
  <si>
    <t>FICTICIO 66</t>
  </si>
  <si>
    <t>FICTICIO 67</t>
  </si>
  <si>
    <t>FICTICIO 68</t>
  </si>
  <si>
    <t>FICTICIO 69</t>
  </si>
  <si>
    <t>FICTICIO 70</t>
  </si>
  <si>
    <t>FICTICIO 71</t>
  </si>
  <si>
    <t>FICTICIO 72</t>
  </si>
  <si>
    <t>FICTICIO 73</t>
  </si>
  <si>
    <t>FICTICIO 74</t>
  </si>
  <si>
    <t>FICTICIO 75</t>
  </si>
  <si>
    <t>FICTICIO 76</t>
  </si>
  <si>
    <t>FICTICIO 77</t>
  </si>
  <si>
    <t>FICTICIO 78</t>
  </si>
  <si>
    <t>FICTICIO 79</t>
  </si>
  <si>
    <t>FICTICIO 80</t>
  </si>
  <si>
    <t>FICTICIO 81</t>
  </si>
  <si>
    <t>FICTICIO 82</t>
  </si>
  <si>
    <t>FICTICIO 83</t>
  </si>
  <si>
    <t>FICTICIO 84</t>
  </si>
  <si>
    <t>FICTICIO 85</t>
  </si>
  <si>
    <t>FICTICIO 86</t>
  </si>
  <si>
    <t>FICTICIO 87</t>
  </si>
  <si>
    <t>FICTICIO 88</t>
  </si>
  <si>
    <t>FICTICIO 89</t>
  </si>
  <si>
    <t>FICTICIO 90</t>
  </si>
  <si>
    <t>FICTICIO 91</t>
  </si>
  <si>
    <t>FICTICIO 92</t>
  </si>
  <si>
    <t>FICTICIO 93</t>
  </si>
  <si>
    <t>FICTICIO 94</t>
  </si>
  <si>
    <t>FICTICIO 95</t>
  </si>
  <si>
    <t>FICTICIO 96</t>
  </si>
  <si>
    <t>FICTICIO 97</t>
  </si>
  <si>
    <t>FICTICIO 98</t>
  </si>
  <si>
    <t>FICTICIO 99</t>
  </si>
  <si>
    <t>FICTICIO 100</t>
  </si>
  <si>
    <t>FICTICIO 101</t>
  </si>
  <si>
    <t>FICTICIO 102</t>
  </si>
  <si>
    <t>FICTICIO 103</t>
  </si>
  <si>
    <t>FICTICIO 104</t>
  </si>
  <si>
    <t>FICTICIO 105</t>
  </si>
  <si>
    <t>FICTICIO 106</t>
  </si>
  <si>
    <t>FICTICIO 107</t>
  </si>
  <si>
    <t>FICTICIO 108</t>
  </si>
  <si>
    <t>FICTICIO 109</t>
  </si>
  <si>
    <t>FICTICIO 110</t>
  </si>
  <si>
    <t>FICTICIO 111</t>
  </si>
  <si>
    <t>FICTICIO 112</t>
  </si>
  <si>
    <t>FICTICIO 113</t>
  </si>
  <si>
    <t>FICTICIO 114</t>
  </si>
  <si>
    <t>FICTICIO 115</t>
  </si>
  <si>
    <t>FICTICIO 116</t>
  </si>
  <si>
    <t>FICTICIO 117</t>
  </si>
  <si>
    <t>FICTICIO 118</t>
  </si>
  <si>
    <t>FICTICIO 119</t>
  </si>
  <si>
    <t>FICTICIO 120</t>
  </si>
  <si>
    <t>FICTICIO 121</t>
  </si>
  <si>
    <t>FICTICIO 122</t>
  </si>
  <si>
    <t>FICTICIO 123</t>
  </si>
  <si>
    <t>FICTICIO 124</t>
  </si>
  <si>
    <t>FICTICIO 125</t>
  </si>
  <si>
    <t>FICTICIO 126</t>
  </si>
  <si>
    <t>FICTICIO 127</t>
  </si>
  <si>
    <t>FICTICIO 128</t>
  </si>
  <si>
    <t>FICTICIO 129</t>
  </si>
  <si>
    <t>FICTICIO 130</t>
  </si>
  <si>
    <t>FICTICIO 131</t>
  </si>
  <si>
    <t>FICTICIO 132</t>
  </si>
  <si>
    <t>FICTICIO 133</t>
  </si>
  <si>
    <t>FICTICIO 134</t>
  </si>
  <si>
    <t>FICTICIO 135</t>
  </si>
  <si>
    <t>FICTICIO 136</t>
  </si>
  <si>
    <t>FICTICIO 137</t>
  </si>
  <si>
    <t>FICTICIO 138</t>
  </si>
  <si>
    <t>FICTICIO 139</t>
  </si>
  <si>
    <t>FICTICIO 140</t>
  </si>
  <si>
    <t>FICTICIO 141</t>
  </si>
  <si>
    <t>FICTICIO 142</t>
  </si>
  <si>
    <t>FICTICIO 143</t>
  </si>
  <si>
    <t>FICTICIO 144</t>
  </si>
  <si>
    <t>FICTICIO 145</t>
  </si>
  <si>
    <t>FICTICIO 146</t>
  </si>
  <si>
    <t>FICTICIO 147</t>
  </si>
  <si>
    <t>FICTICIO 148</t>
  </si>
  <si>
    <t>FICTICIO 149</t>
  </si>
  <si>
    <t>FICTICIO 150</t>
  </si>
  <si>
    <t>FICTICIO 151</t>
  </si>
  <si>
    <t>FICTICIO 152</t>
  </si>
  <si>
    <t>FICTICIO 153</t>
  </si>
  <si>
    <t>FICTICIO 154</t>
  </si>
  <si>
    <t>FICTICIO 155</t>
  </si>
  <si>
    <t>FICTICIO 156</t>
  </si>
  <si>
    <t>FICTICIO 157</t>
  </si>
  <si>
    <t>FICTICIO 158</t>
  </si>
  <si>
    <t>FICTICIO 159</t>
  </si>
  <si>
    <t>FICTICIO 160</t>
  </si>
  <si>
    <t>FICTICIO 161</t>
  </si>
  <si>
    <t>FICTICIO 162</t>
  </si>
  <si>
    <t>FICTICIO 163</t>
  </si>
  <si>
    <t>FICTICIO 164</t>
  </si>
  <si>
    <t>FICTICIO 165</t>
  </si>
  <si>
    <t>FICTICIO 166</t>
  </si>
  <si>
    <t>FICTICIO 167</t>
  </si>
  <si>
    <t>FICTICIO 168</t>
  </si>
  <si>
    <t>FICTICIO 169</t>
  </si>
  <si>
    <t>FICTICIO 170</t>
  </si>
  <si>
    <t>FICTICIO 171</t>
  </si>
  <si>
    <t>FICTICIO 172</t>
  </si>
  <si>
    <t>FICTICIO 173</t>
  </si>
  <si>
    <t>FICTICIO 174</t>
  </si>
  <si>
    <t>FICTICIO 175</t>
  </si>
  <si>
    <t>FICTICIO 176</t>
  </si>
  <si>
    <t>FICTICIO 177</t>
  </si>
  <si>
    <t>FICTICIO 178</t>
  </si>
  <si>
    <t>FICTICIO 179</t>
  </si>
  <si>
    <t>FICTICIO 180</t>
  </si>
  <si>
    <t>FICTICIO 181</t>
  </si>
  <si>
    <t>FICTICIO 182</t>
  </si>
  <si>
    <t>FICTICIO 183</t>
  </si>
  <si>
    <t>FICTICIO 184</t>
  </si>
  <si>
    <t>FICTICIO 185</t>
  </si>
  <si>
    <t>FICTICIO 186</t>
  </si>
  <si>
    <t>FICTICIO 187</t>
  </si>
  <si>
    <t>FICTICIO 188</t>
  </si>
  <si>
    <t>FICTICIO 189</t>
  </si>
  <si>
    <t>FICTICIO 190</t>
  </si>
  <si>
    <t>FICTICIO 191</t>
  </si>
  <si>
    <t>FICTICIO 192</t>
  </si>
  <si>
    <t>FICTICIO 193</t>
  </si>
  <si>
    <t>FICTICIO 194</t>
  </si>
  <si>
    <t>FICTICIO 195</t>
  </si>
  <si>
    <t>FICTICIO 196</t>
  </si>
  <si>
    <t>FICTICIO 197</t>
  </si>
  <si>
    <t>FICTICIO 198</t>
  </si>
  <si>
    <t>FICTICIO 199</t>
  </si>
  <si>
    <t>FICTICIO 200</t>
  </si>
  <si>
    <t>FICTICIO 201</t>
  </si>
  <si>
    <t>FICTICIO 202</t>
  </si>
  <si>
    <t>FICTICIO 203</t>
  </si>
  <si>
    <t>FICTICIO 204</t>
  </si>
  <si>
    <t>FICTICIO 205</t>
  </si>
  <si>
    <t>FICTICIO 206</t>
  </si>
  <si>
    <t>FICTICIO 207</t>
  </si>
  <si>
    <t>FICTICIO 208</t>
  </si>
  <si>
    <t>FICTICIO 209</t>
  </si>
  <si>
    <t>FICTICIO 210</t>
  </si>
  <si>
    <t>FICTICIO 211</t>
  </si>
  <si>
    <t>FICTICIO 212</t>
  </si>
  <si>
    <t>FICTICIO 213</t>
  </si>
  <si>
    <t>FICTICIO 214</t>
  </si>
  <si>
    <t>FICTICIO 215</t>
  </si>
  <si>
    <t>FICTICIO 216</t>
  </si>
  <si>
    <t>FICTICIO 217</t>
  </si>
  <si>
    <t>FICTICIO 218</t>
  </si>
  <si>
    <t>FICTICIO 219</t>
  </si>
  <si>
    <t>FICTICIO 220</t>
  </si>
  <si>
    <t>FICTICIO 221</t>
  </si>
  <si>
    <t>FICTICIO 222</t>
  </si>
  <si>
    <t>FICTICIO 223</t>
  </si>
  <si>
    <t>FICTICIO 224</t>
  </si>
  <si>
    <t>FICTICIO 225</t>
  </si>
  <si>
    <t>FICTICIO 226</t>
  </si>
  <si>
    <t>FICTICIO 227</t>
  </si>
  <si>
    <t>FICTICIO 228</t>
  </si>
  <si>
    <t>FICTICIO 229</t>
  </si>
  <si>
    <t>FICTICIO 230</t>
  </si>
  <si>
    <t>FICTICIO 231</t>
  </si>
  <si>
    <t>FICTICIO 232</t>
  </si>
  <si>
    <t>FICTICIO 233</t>
  </si>
  <si>
    <t>FICTICIO 234</t>
  </si>
  <si>
    <t>FICTICIO 235</t>
  </si>
  <si>
    <t>FICTICIO 236</t>
  </si>
  <si>
    <t>FICTICIO 237</t>
  </si>
  <si>
    <t>FICTICIO 238</t>
  </si>
  <si>
    <t>FICTICIO 239</t>
  </si>
  <si>
    <t>FICTICIO 240</t>
  </si>
  <si>
    <t>FICTICIO 241</t>
  </si>
  <si>
    <t>FICTICIO 242</t>
  </si>
  <si>
    <t>FICTICIO 243</t>
  </si>
  <si>
    <t>FICTICIO 244</t>
  </si>
  <si>
    <t>FICTICIO 245</t>
  </si>
  <si>
    <t>FICTICIO 246</t>
  </si>
  <si>
    <t>FICTICIO 247</t>
  </si>
  <si>
    <t>FICTICIO 248</t>
  </si>
  <si>
    <t>FICTICIO 249</t>
  </si>
  <si>
    <t>FICTICIO 250</t>
  </si>
  <si>
    <t>FICTICIO 251</t>
  </si>
  <si>
    <t>FICTICIO 252</t>
  </si>
  <si>
    <t>FICTICIO 253</t>
  </si>
  <si>
    <t>FICTICIO 254</t>
  </si>
  <si>
    <t>FICTICIO 255</t>
  </si>
  <si>
    <t>FICTICIO 256</t>
  </si>
  <si>
    <t>FICTICIO 257</t>
  </si>
  <si>
    <t>FICTICIO 258</t>
  </si>
  <si>
    <t>FICTICIO 259</t>
  </si>
  <si>
    <t>FICTICIO 260</t>
  </si>
  <si>
    <t>FICTICIO 261</t>
  </si>
  <si>
    <t>FICTICIO 262</t>
  </si>
  <si>
    <t>FICTICIO 263</t>
  </si>
  <si>
    <t>FICTICIO 264</t>
  </si>
  <si>
    <t>FICTICIO 265</t>
  </si>
  <si>
    <t>FICTICIO 266</t>
  </si>
  <si>
    <t>FICTICIO 267</t>
  </si>
  <si>
    <t>FICTICIO 268</t>
  </si>
  <si>
    <t>FICTICIO 269</t>
  </si>
  <si>
    <t>FICTICIO 270</t>
  </si>
  <si>
    <t>FICTICIO 271</t>
  </si>
  <si>
    <t>FICTICIO 272</t>
  </si>
  <si>
    <t>FICTICIO 273</t>
  </si>
  <si>
    <t>FICTICIO 274</t>
  </si>
  <si>
    <t>FICTICIO 275</t>
  </si>
  <si>
    <t>FICTICIO 276</t>
  </si>
  <si>
    <t>FICTICIO 277</t>
  </si>
  <si>
    <t>FICTICIO 278</t>
  </si>
  <si>
    <t>FICTICIO 279</t>
  </si>
  <si>
    <t>FICTICIO 280</t>
  </si>
  <si>
    <t>FICTICIO 281</t>
  </si>
  <si>
    <t>FICTICIO 282</t>
  </si>
  <si>
    <t>FICTICIO 283</t>
  </si>
  <si>
    <t>FICTICIO 284</t>
  </si>
  <si>
    <t>FICTICIO 285</t>
  </si>
  <si>
    <t>FICTICIO 286</t>
  </si>
  <si>
    <t>FICTICIO 287</t>
  </si>
  <si>
    <t>FICTICIO 288</t>
  </si>
  <si>
    <t>FICTICIO 289</t>
  </si>
  <si>
    <t>FICTICIO 290</t>
  </si>
  <si>
    <t>FICTICIO 291</t>
  </si>
  <si>
    <t>FICTICIO 292</t>
  </si>
  <si>
    <t>FICTICIO 293</t>
  </si>
  <si>
    <t>FICTICIO 294</t>
  </si>
  <si>
    <t>FICTICIO 295</t>
  </si>
  <si>
    <t>FICTICIO 296</t>
  </si>
  <si>
    <t>FICTICIO 297</t>
  </si>
  <si>
    <t>FICTICIO 298</t>
  </si>
  <si>
    <t>FICTICIO 299</t>
  </si>
  <si>
    <t>FICTICIO 300</t>
  </si>
  <si>
    <t>FICTICIO 301</t>
  </si>
  <si>
    <t>FICTICIO 302</t>
  </si>
  <si>
    <t>FICTICIO 303</t>
  </si>
  <si>
    <t>FICTICIO 304</t>
  </si>
  <si>
    <t>FICTICIO 305</t>
  </si>
  <si>
    <t>FICTICIO 306</t>
  </si>
  <si>
    <t>FICTICIO 307</t>
  </si>
  <si>
    <t>FICTICIO 308</t>
  </si>
  <si>
    <t>FICTICIO 309</t>
  </si>
  <si>
    <t>FICTICIO 310</t>
  </si>
  <si>
    <t>FICTICIO 311</t>
  </si>
  <si>
    <t>FICTICIO 312</t>
  </si>
  <si>
    <t>FICTICIO 313</t>
  </si>
  <si>
    <t>FICTICIO 314</t>
  </si>
  <si>
    <t>FICTICIO 315</t>
  </si>
  <si>
    <t>FICTICIO 316</t>
  </si>
  <si>
    <t>FICTICIO 317</t>
  </si>
  <si>
    <t>FICTICIO 318</t>
  </si>
  <si>
    <t>FICTICIO 319</t>
  </si>
  <si>
    <t>FICTICIO 320</t>
  </si>
  <si>
    <t>FICTICIO 321</t>
  </si>
  <si>
    <t>FICTICIO 322</t>
  </si>
  <si>
    <t>FICTICIO 323</t>
  </si>
  <si>
    <t>FICTICIO 324</t>
  </si>
  <si>
    <t>FICTICIO 325</t>
  </si>
  <si>
    <t>FICTICIO 326</t>
  </si>
  <si>
    <t>FICTICIO 327</t>
  </si>
  <si>
    <t>FICTICIO 328</t>
  </si>
  <si>
    <t>FICTICIO 329</t>
  </si>
  <si>
    <t>FICTICIO 330</t>
  </si>
  <si>
    <t>FICTICIO 331</t>
  </si>
  <si>
    <t>FICTICIO 332</t>
  </si>
  <si>
    <t>FICTICIO 333</t>
  </si>
  <si>
    <t>FICTICIO 334</t>
  </si>
  <si>
    <t>FICTICIO 335</t>
  </si>
  <si>
    <t>FICTICIO 336</t>
  </si>
  <si>
    <t>FICTICIO 337</t>
  </si>
  <si>
    <t>FICTICIO 338</t>
  </si>
  <si>
    <t>FICTICIO 339</t>
  </si>
  <si>
    <t>FICTICIO 340</t>
  </si>
  <si>
    <t>FICTICIO 341</t>
  </si>
  <si>
    <t>FICTICIO 342</t>
  </si>
  <si>
    <t>FICTICIO 343</t>
  </si>
  <si>
    <t>FICTICIO 344</t>
  </si>
  <si>
    <t>FICTICIO 345</t>
  </si>
  <si>
    <t>FICTICIO 346</t>
  </si>
  <si>
    <t>FICTICIO 347</t>
  </si>
  <si>
    <t>FICTICIO 348</t>
  </si>
  <si>
    <t>FICTICIO 349</t>
  </si>
  <si>
    <t>FICTICIO 350</t>
  </si>
  <si>
    <t>FICTICIO 351</t>
  </si>
  <si>
    <t>FICTICIO 352</t>
  </si>
  <si>
    <t>FICTICIO 353</t>
  </si>
  <si>
    <t>FICTICIO 354</t>
  </si>
  <si>
    <t>FICTICIO 355</t>
  </si>
  <si>
    <t>FICTICIO 356</t>
  </si>
  <si>
    <t>FICTICIO 357</t>
  </si>
  <si>
    <t>FICTICIO 358</t>
  </si>
  <si>
    <t>FICTICIO 359</t>
  </si>
  <si>
    <t>FICTICIO 360</t>
  </si>
  <si>
    <t>FICTICIO 361</t>
  </si>
  <si>
    <t>FICTICIO 362</t>
  </si>
  <si>
    <t>FICTICIO 363</t>
  </si>
  <si>
    <t>FICTICIO 364</t>
  </si>
  <si>
    <t>FICTICIO 365</t>
  </si>
  <si>
    <t>FICTICIO 366</t>
  </si>
  <si>
    <t>FICTICIO 367</t>
  </si>
  <si>
    <t>FICTICIO 368</t>
  </si>
  <si>
    <t>FICTICIO 369</t>
  </si>
  <si>
    <t>FICTICIO 370</t>
  </si>
  <si>
    <t>FICTICIO 371</t>
  </si>
  <si>
    <t>FICTICIO 372</t>
  </si>
  <si>
    <t>FICTICIO 373</t>
  </si>
  <si>
    <t>FICTICIO 374</t>
  </si>
  <si>
    <t>FICTICIO 375</t>
  </si>
  <si>
    <t>FICTICIO 376</t>
  </si>
  <si>
    <t>FICTICIO 377</t>
  </si>
  <si>
    <t>FICTICIO 378</t>
  </si>
  <si>
    <t>FICTICIO 379</t>
  </si>
  <si>
    <t>FICTICIO 380</t>
  </si>
  <si>
    <t>FICTICIO 381</t>
  </si>
  <si>
    <t>FICTICIO 382</t>
  </si>
  <si>
    <t>FICTICIO 383</t>
  </si>
  <si>
    <t>FICTICIO 384</t>
  </si>
  <si>
    <t>FICTICIO 385</t>
  </si>
  <si>
    <t>FICTICIO 386</t>
  </si>
  <si>
    <t>FICTICIO 387</t>
  </si>
  <si>
    <t>FICTICIO 388</t>
  </si>
  <si>
    <t>FICTICIO 389</t>
  </si>
  <si>
    <t>FICTICIO 390</t>
  </si>
  <si>
    <t>FICTICIO 391</t>
  </si>
  <si>
    <t>FICTICIO 392</t>
  </si>
  <si>
    <t>FICTICIO 393</t>
  </si>
  <si>
    <t>FICTICIO 394</t>
  </si>
  <si>
    <t>FICTICIO 395</t>
  </si>
  <si>
    <t>FICTICIO 396</t>
  </si>
  <si>
    <t>FICTICIO 397</t>
  </si>
  <si>
    <t>FICTICIO 398</t>
  </si>
  <si>
    <t>FICTICIO 399</t>
  </si>
  <si>
    <t>FICTICIO 400</t>
  </si>
  <si>
    <t>FICTICIO 401</t>
  </si>
  <si>
    <t>FICTICIO 402</t>
  </si>
  <si>
    <t>FICTICIO 403</t>
  </si>
  <si>
    <t>FICTICIO 404</t>
  </si>
  <si>
    <t>FICTICIO 405</t>
  </si>
  <si>
    <t>FICTICIO 406</t>
  </si>
  <si>
    <t>FICTICIO 407</t>
  </si>
  <si>
    <t>FICTICIO 408</t>
  </si>
  <si>
    <t>FICTICIO 409</t>
  </si>
  <si>
    <t>FICTICIO 410</t>
  </si>
  <si>
    <t>FICTICIO 411</t>
  </si>
  <si>
    <t>FICTICIO 412</t>
  </si>
  <si>
    <t>FICTICIO 413</t>
  </si>
  <si>
    <t>FICTICIO 414</t>
  </si>
  <si>
    <t>FICTICIO 415</t>
  </si>
  <si>
    <t>FICTICIO 416</t>
  </si>
  <si>
    <t>FICTICIO 417</t>
  </si>
  <si>
    <t>FICTICIO 418</t>
  </si>
  <si>
    <t>FICTICIO 419</t>
  </si>
  <si>
    <t>FICTICIO 420</t>
  </si>
  <si>
    <t>FICTICIO 421</t>
  </si>
  <si>
    <t>FICTICIO 422</t>
  </si>
  <si>
    <t>FICTICIO 423</t>
  </si>
  <si>
    <t>FICTICIO 424</t>
  </si>
  <si>
    <t>FICTICIO 425</t>
  </si>
  <si>
    <t>FICTICIO 426</t>
  </si>
  <si>
    <t>FICTICIO 427</t>
  </si>
  <si>
    <t>FICTICIO 428</t>
  </si>
  <si>
    <t>FICTICIO 429</t>
  </si>
  <si>
    <t>FICTICIO 430</t>
  </si>
  <si>
    <t>FICTICIO 431</t>
  </si>
  <si>
    <t>FICTICIO 432</t>
  </si>
  <si>
    <t>FICTICIO 433</t>
  </si>
  <si>
    <t>FICTICIO 434</t>
  </si>
  <si>
    <t>FICTICIO 435</t>
  </si>
  <si>
    <t>FICTICIO 436</t>
  </si>
  <si>
    <t>FICTICIO 437</t>
  </si>
  <si>
    <t>FICTICIO 438</t>
  </si>
  <si>
    <t>FICTICIO 439</t>
  </si>
  <si>
    <t>FICTICIO 440</t>
  </si>
  <si>
    <t>FICTICIO 441</t>
  </si>
  <si>
    <t>FICTICIO 442</t>
  </si>
  <si>
    <t>FICTICIO 443</t>
  </si>
  <si>
    <t>FICTICIO 444</t>
  </si>
  <si>
    <t>FICTICIO 445</t>
  </si>
  <si>
    <t>FICTICIO 446</t>
  </si>
  <si>
    <t>FICTICIO 447</t>
  </si>
  <si>
    <t>FICTICIO 448</t>
  </si>
  <si>
    <t>FICTICIO 449</t>
  </si>
  <si>
    <t>FICTICIO 450</t>
  </si>
  <si>
    <t>FICTICIO 451</t>
  </si>
  <si>
    <t>FICTICIO 452</t>
  </si>
  <si>
    <t>FICTICIO 453</t>
  </si>
  <si>
    <t>FICTICIO 454</t>
  </si>
  <si>
    <t>FICTICIO 455</t>
  </si>
  <si>
    <t>FICTICIO 456</t>
  </si>
  <si>
    <t>FICTICIO 457</t>
  </si>
  <si>
    <t>FICTICIO 458</t>
  </si>
  <si>
    <t>FICTICIO 459</t>
  </si>
  <si>
    <t>FICTICIO 460</t>
  </si>
  <si>
    <t>FICTICIO 461</t>
  </si>
  <si>
    <t>FICTICIO 462</t>
  </si>
  <si>
    <t>FICTICIO 463</t>
  </si>
  <si>
    <t>FICTICIO 464</t>
  </si>
  <si>
    <t>FICTICIO 465</t>
  </si>
  <si>
    <t>FICTICIO 466</t>
  </si>
  <si>
    <t>FICTICIO 467</t>
  </si>
  <si>
    <t>FICTICIO 468</t>
  </si>
  <si>
    <t>FICTICIO 469</t>
  </si>
  <si>
    <t>FICTICIO 470</t>
  </si>
  <si>
    <t>FICTICIO 471</t>
  </si>
  <si>
    <t>FICTICIO 472</t>
  </si>
  <si>
    <t>FICTICIO 473</t>
  </si>
  <si>
    <t>FICTICIO 474</t>
  </si>
  <si>
    <t>FICTICIO 475</t>
  </si>
  <si>
    <t>FICTICIO 476</t>
  </si>
  <si>
    <t>FICTICIO 477</t>
  </si>
  <si>
    <t>FICTICIO 478</t>
  </si>
  <si>
    <t>FICTICIO 479</t>
  </si>
  <si>
    <t>FICTICIO 480</t>
  </si>
  <si>
    <t>FICTICIO 481</t>
  </si>
  <si>
    <t>FICTICIO 482</t>
  </si>
  <si>
    <t>FICTICIO 483</t>
  </si>
  <si>
    <t>FICTICIO 484</t>
  </si>
  <si>
    <t>FICTICIO 485</t>
  </si>
  <si>
    <t>FICTICIO 486</t>
  </si>
  <si>
    <t>FICTICIO 487</t>
  </si>
  <si>
    <t>FICTICIO 488</t>
  </si>
  <si>
    <t>FICTICIO 489</t>
  </si>
  <si>
    <t>FICTICIO 490</t>
  </si>
  <si>
    <t>FICTICIO 491</t>
  </si>
  <si>
    <t>FICTICIO 492</t>
  </si>
  <si>
    <t>FICTICIO 493</t>
  </si>
  <si>
    <t>FICTICIO 494</t>
  </si>
  <si>
    <t>FICTICIO 495</t>
  </si>
  <si>
    <t>FICTICIO 496</t>
  </si>
  <si>
    <t>FICTICIO 497</t>
  </si>
  <si>
    <t>FICTICIO 498</t>
  </si>
  <si>
    <t>FICTICIO 499</t>
  </si>
  <si>
    <t>FICTICIO 500</t>
  </si>
  <si>
    <t>FICTICIO 501</t>
  </si>
  <si>
    <t>FICTICIO 502</t>
  </si>
  <si>
    <t>FICTICIO 503</t>
  </si>
  <si>
    <t>FICTICIO 504</t>
  </si>
  <si>
    <t>FICTICIO 505</t>
  </si>
  <si>
    <t>FICTICIO 506</t>
  </si>
  <si>
    <t>FICTICIO 507</t>
  </si>
  <si>
    <t>FICTICIO 508</t>
  </si>
  <si>
    <t>FICTICIO 509</t>
  </si>
  <si>
    <t>FICTICIO 510</t>
  </si>
  <si>
    <t>FICTICIO 511</t>
  </si>
  <si>
    <t>FICTICIO 512</t>
  </si>
  <si>
    <t>FICTICIO 513</t>
  </si>
  <si>
    <t>FICTICIO 514</t>
  </si>
  <si>
    <t>FICTICIO 515</t>
  </si>
  <si>
    <t>FICTICIO 516</t>
  </si>
  <si>
    <t>FICTICIO 517</t>
  </si>
  <si>
    <t>FICTICIO 518</t>
  </si>
  <si>
    <t>FICTICIO 519</t>
  </si>
  <si>
    <t>FICTICIO 520</t>
  </si>
  <si>
    <t>FICTICIO 521</t>
  </si>
  <si>
    <t>FICTICIO 522</t>
  </si>
  <si>
    <t>FICTICIO 523</t>
  </si>
  <si>
    <t>FICTICIO 524</t>
  </si>
  <si>
    <t>FICTICIO 525</t>
  </si>
  <si>
    <t>FICTICIO 526</t>
  </si>
  <si>
    <t>FICTICIO 527</t>
  </si>
  <si>
    <t>FICTICIO 528</t>
  </si>
  <si>
    <t>FICTICIO 529</t>
  </si>
  <si>
    <t>FICTICIO 530</t>
  </si>
  <si>
    <t>FICTICIO 531</t>
  </si>
  <si>
    <t>FICTICIO 532</t>
  </si>
  <si>
    <t>FICTICIO 533</t>
  </si>
  <si>
    <t>FICTICIO 534</t>
  </si>
  <si>
    <t>FICTICIO 535</t>
  </si>
  <si>
    <t>FICTICIO 536</t>
  </si>
  <si>
    <t>FICTICIO 537</t>
  </si>
  <si>
    <t>FICTICIO 538</t>
  </si>
  <si>
    <t>FICTICIO 539</t>
  </si>
  <si>
    <t>FICTICIO 540</t>
  </si>
  <si>
    <t>FICTICIO 541</t>
  </si>
  <si>
    <t>FICTICIO 542</t>
  </si>
  <si>
    <t>FICTICIO 543</t>
  </si>
  <si>
    <t>FICTICIO 544</t>
  </si>
  <si>
    <t>FICTICIO 545</t>
  </si>
  <si>
    <t>FICTICIO 546</t>
  </si>
  <si>
    <t>FICTICIO 547</t>
  </si>
  <si>
    <t>FICTICIO 548</t>
  </si>
  <si>
    <t>FICTICIO 549</t>
  </si>
  <si>
    <t>FICTICIO 550</t>
  </si>
  <si>
    <t>FICTICIO 551</t>
  </si>
  <si>
    <t>FICTICIO 552</t>
  </si>
  <si>
    <t>FICTICIO 553</t>
  </si>
  <si>
    <t>FICTICIO 554</t>
  </si>
  <si>
    <t>FICTICIO 555</t>
  </si>
  <si>
    <t>FICTICIO 556</t>
  </si>
  <si>
    <t>FICTICIO 557</t>
  </si>
  <si>
    <t>FICTICIO 558</t>
  </si>
  <si>
    <t>FICTICIO 559</t>
  </si>
  <si>
    <t>FICTICIO 560</t>
  </si>
  <si>
    <t>FICTICIO 561</t>
  </si>
  <si>
    <t>FICTICIO 562</t>
  </si>
  <si>
    <t>FICTICIO 563</t>
  </si>
  <si>
    <t>FICTICIO 564</t>
  </si>
  <si>
    <t>FICTICIO 565</t>
  </si>
  <si>
    <t>FICTICIO 566</t>
  </si>
  <si>
    <t>FICTICIO 567</t>
  </si>
  <si>
    <t>FICTICIO 568</t>
  </si>
  <si>
    <t>FICTICIO 569</t>
  </si>
  <si>
    <t>FICTICIO 570</t>
  </si>
  <si>
    <t>FICTICIO 571</t>
  </si>
  <si>
    <t>FICTICIO 572</t>
  </si>
  <si>
    <t>FICTICIO 573</t>
  </si>
  <si>
    <t>FICTICIO 574</t>
  </si>
  <si>
    <t>FICTICIO 575</t>
  </si>
  <si>
    <t>FICTICIO 576</t>
  </si>
  <si>
    <t>FICTICIO 577</t>
  </si>
  <si>
    <t>FICTICIO 578</t>
  </si>
  <si>
    <t>FICTICIO 579</t>
  </si>
  <si>
    <t>FICTICIO 580</t>
  </si>
  <si>
    <t>FICTICIO 581</t>
  </si>
  <si>
    <t>FICTICIO 582</t>
  </si>
  <si>
    <t>FICTICIO 583</t>
  </si>
  <si>
    <t>FICTICIO 584</t>
  </si>
  <si>
    <t>FICTICIO 585</t>
  </si>
  <si>
    <t>FICTICIO 586</t>
  </si>
  <si>
    <t>FICTICIO 587</t>
  </si>
  <si>
    <t>FICTICIO 588</t>
  </si>
  <si>
    <t>FICTICIO 589</t>
  </si>
  <si>
    <t>FICTICIO 590</t>
  </si>
  <si>
    <t>FICTICIO 591</t>
  </si>
  <si>
    <t>FICTICIO 592</t>
  </si>
  <si>
    <t>FICTICIO 593</t>
  </si>
  <si>
    <t>FICTICIO 594</t>
  </si>
  <si>
    <t>FICTICIO 595</t>
  </si>
  <si>
    <t>FICTICIO 596</t>
  </si>
  <si>
    <t>FICTICIO 597</t>
  </si>
  <si>
    <t>FICTICIO 598</t>
  </si>
  <si>
    <t>FICTICIO 599</t>
  </si>
  <si>
    <t>FICTICIO 600</t>
  </si>
  <si>
    <t>FICTICIO 601</t>
  </si>
  <si>
    <t>FICTICIO 602</t>
  </si>
  <si>
    <t>FICTICIO 603</t>
  </si>
  <si>
    <t>FICTICIO 604</t>
  </si>
  <si>
    <t>FICTICIO 605</t>
  </si>
  <si>
    <t>FICTICIO 606</t>
  </si>
  <si>
    <t>FICTICIO 607</t>
  </si>
  <si>
    <t>FICTICIO 608</t>
  </si>
  <si>
    <t>FICTICIO 609</t>
  </si>
  <si>
    <t>FICTICIO 610</t>
  </si>
  <si>
    <t>FICTICIO 611</t>
  </si>
  <si>
    <t>FICTICIO 612</t>
  </si>
  <si>
    <t>FICTICIO 613</t>
  </si>
  <si>
    <t>FICTICIO 614</t>
  </si>
  <si>
    <t>FICTICIO 615</t>
  </si>
  <si>
    <t>FICTICIO 616</t>
  </si>
  <si>
    <t>FICTICIO 617</t>
  </si>
  <si>
    <t>FICTICIO 618</t>
  </si>
  <si>
    <t>FICTICIO 619</t>
  </si>
  <si>
    <t>FICTICIO 620</t>
  </si>
  <si>
    <t>FICTICIO 621</t>
  </si>
  <si>
    <t>FICTICIO 622</t>
  </si>
  <si>
    <t>FICTICIO 623</t>
  </si>
  <si>
    <t>FICTICIO 624</t>
  </si>
  <si>
    <t>FICTICIO 625</t>
  </si>
  <si>
    <t>FICTICIO 626</t>
  </si>
  <si>
    <t>FICTICIO 627</t>
  </si>
  <si>
    <t>FICTICIO 628</t>
  </si>
  <si>
    <t>FICTICIO 629</t>
  </si>
  <si>
    <t>FICTICIO 630</t>
  </si>
  <si>
    <t>FICTICIO 631</t>
  </si>
  <si>
    <t>FICTICIO 632</t>
  </si>
  <si>
    <t>FICTICIO 633</t>
  </si>
  <si>
    <t>FICTICIO 634</t>
  </si>
  <si>
    <t>FICTICIO 635</t>
  </si>
  <si>
    <t>FICTICIO 636</t>
  </si>
  <si>
    <t>FICTICIO 637</t>
  </si>
  <si>
    <t>FICTICIO 638</t>
  </si>
  <si>
    <t>FICTICIO 639</t>
  </si>
  <si>
    <t>FICTICIO 640</t>
  </si>
  <si>
    <t>FICTICIO 641</t>
  </si>
  <si>
    <t>FICTICIO 642</t>
  </si>
  <si>
    <t>FICTICIO 643</t>
  </si>
  <si>
    <t>FICTICIO 644</t>
  </si>
  <si>
    <t>FICTICIO 645</t>
  </si>
  <si>
    <t>FICTICIO 646</t>
  </si>
  <si>
    <t>FICTICIO 647</t>
  </si>
  <si>
    <t>FICTICIO 648</t>
  </si>
  <si>
    <t>FICTICIO 649</t>
  </si>
  <si>
    <t>FICTICIO 650</t>
  </si>
  <si>
    <t>FICTICIO 651</t>
  </si>
  <si>
    <t>FICTICIO 652</t>
  </si>
  <si>
    <t>FICTICIO 653</t>
  </si>
  <si>
    <t>FICTICIO 654</t>
  </si>
  <si>
    <t>FICTICIO 655</t>
  </si>
  <si>
    <t>FICTICIO 656</t>
  </si>
  <si>
    <t>FICTICIO 657</t>
  </si>
  <si>
    <t>FICTICIO 658</t>
  </si>
  <si>
    <t>FICTICIO 659</t>
  </si>
  <si>
    <t>FICTICIO 660</t>
  </si>
  <si>
    <t>FICTICIO 661</t>
  </si>
  <si>
    <t>FICTICIO 662</t>
  </si>
  <si>
    <t>FICTICIO 663</t>
  </si>
  <si>
    <t>FICTICIO 664</t>
  </si>
  <si>
    <t>FICTICIO 665</t>
  </si>
  <si>
    <t>FICTICIO 666</t>
  </si>
  <si>
    <t>FICTICIO 667</t>
  </si>
  <si>
    <t>FICTICIO 668</t>
  </si>
  <si>
    <t>FICTICIO 669</t>
  </si>
  <si>
    <t>FICTICIO 670</t>
  </si>
  <si>
    <t>FICTICIO 671</t>
  </si>
  <si>
    <t>FICTICIO 672</t>
  </si>
  <si>
    <t>FICTICIO 673</t>
  </si>
  <si>
    <t>FICTICIO 674</t>
  </si>
  <si>
    <t>FICTICIO 675</t>
  </si>
  <si>
    <t>FICTICIO 676</t>
  </si>
  <si>
    <t>FICTICIO 677</t>
  </si>
  <si>
    <t>FICTICIO 678</t>
  </si>
  <si>
    <t>FICTICIO 679</t>
  </si>
  <si>
    <t>FICTICIO 680</t>
  </si>
  <si>
    <t>FICTICIO 681</t>
  </si>
  <si>
    <t>FICTICIO 682</t>
  </si>
  <si>
    <t>FICTICIO 683</t>
  </si>
  <si>
    <t>FICTICIO 684</t>
  </si>
  <si>
    <t>FICTICIO 685</t>
  </si>
  <si>
    <t>FICTICIO 686</t>
  </si>
  <si>
    <t>FICTICIO 687</t>
  </si>
  <si>
    <t>FICTICIO 688</t>
  </si>
  <si>
    <t>FICTICIO 689</t>
  </si>
  <si>
    <t>FICTICIO 690</t>
  </si>
  <si>
    <t>FICTICIO 691</t>
  </si>
  <si>
    <t>FICTICIO 692</t>
  </si>
  <si>
    <t>FICTICIO 693</t>
  </si>
  <si>
    <t>FICTICIO 694</t>
  </si>
  <si>
    <t>FICTICIO 695</t>
  </si>
  <si>
    <t>FICTICIO 696</t>
  </si>
  <si>
    <t>FICTICIO 697</t>
  </si>
  <si>
    <t>FICTICIO 698</t>
  </si>
  <si>
    <t>FICTICIO 699</t>
  </si>
  <si>
    <t>FICTICIO 700</t>
  </si>
  <si>
    <t>FICTICIO 701</t>
  </si>
  <si>
    <t>FICTICIO 702</t>
  </si>
  <si>
    <t>FICTICIO 703</t>
  </si>
  <si>
    <t>FICTICIO 704</t>
  </si>
  <si>
    <t>FICTICIO 705</t>
  </si>
  <si>
    <t>FICTICIO 706</t>
  </si>
  <si>
    <t>FICTICIO 707</t>
  </si>
  <si>
    <t>FICTICIO 708</t>
  </si>
  <si>
    <t>FICTICIO 709</t>
  </si>
  <si>
    <t>FICTICIO 710</t>
  </si>
  <si>
    <t>FICTICIO 711</t>
  </si>
  <si>
    <t>FICTICIO 712</t>
  </si>
  <si>
    <t>FICTICIO 713</t>
  </si>
  <si>
    <t>FICTICIO 714</t>
  </si>
  <si>
    <t>FICTICIO 715</t>
  </si>
  <si>
    <t>FICTICIO 716</t>
  </si>
  <si>
    <t>FICTICIO 717</t>
  </si>
  <si>
    <t>FICTICIO 718</t>
  </si>
  <si>
    <t>FICTICIO 719</t>
  </si>
  <si>
    <t>FICTICIO 720</t>
  </si>
  <si>
    <t>FICTICIO 721</t>
  </si>
  <si>
    <t>FICTICIO 722</t>
  </si>
  <si>
    <t>FICTICIO 723</t>
  </si>
  <si>
    <t>FICTICIO 724</t>
  </si>
  <si>
    <t>FICTICIO 725</t>
  </si>
  <si>
    <t>FICTICIO 726</t>
  </si>
  <si>
    <t>FICTICIO 727</t>
  </si>
  <si>
    <t>FICTICIO 728</t>
  </si>
  <si>
    <t>FICTICIO 729</t>
  </si>
  <si>
    <t>FICTICIO 730</t>
  </si>
  <si>
    <t>FICTICIO 731</t>
  </si>
  <si>
    <t>FICTICIO 732</t>
  </si>
  <si>
    <t>FICTICIO 733</t>
  </si>
  <si>
    <t>FICTICIO 734</t>
  </si>
  <si>
    <t>FICTICIO 735</t>
  </si>
  <si>
    <t>FICTICIO 736</t>
  </si>
  <si>
    <t>FICTICIO 737</t>
  </si>
  <si>
    <t>FICTICIO 738</t>
  </si>
  <si>
    <t>FICTICIO 739</t>
  </si>
  <si>
    <t>FICTICIO 740</t>
  </si>
  <si>
    <t>FICTICIO 741</t>
  </si>
  <si>
    <t>FICTICIO 742</t>
  </si>
  <si>
    <t>FICTICIO 743</t>
  </si>
  <si>
    <t>FICTICIO 744</t>
  </si>
  <si>
    <t>FICTICIO 745</t>
  </si>
  <si>
    <t>FICTICIO 746</t>
  </si>
  <si>
    <t>FICTICIO 747</t>
  </si>
  <si>
    <t>FICTICIO 748</t>
  </si>
  <si>
    <t>FICTICIO 749</t>
  </si>
  <si>
    <t>FICTICIO 750</t>
  </si>
  <si>
    <t>FICTICIO 751</t>
  </si>
  <si>
    <t>FICTICIO 752</t>
  </si>
  <si>
    <t>FICTICIO 753</t>
  </si>
  <si>
    <t>FICTICIO 754</t>
  </si>
  <si>
    <t>FICTICIO 755</t>
  </si>
  <si>
    <t>FICTICIO 756</t>
  </si>
  <si>
    <t>FICTICIO 757</t>
  </si>
  <si>
    <t>FICTICIO 758</t>
  </si>
  <si>
    <t>FICTICIO 759</t>
  </si>
  <si>
    <t>FICTICIO 760</t>
  </si>
  <si>
    <t>FICTICIO 761</t>
  </si>
  <si>
    <t>FICTICIO 762</t>
  </si>
  <si>
    <t>FICTICIO 763</t>
  </si>
  <si>
    <t>FICTICIO 764</t>
  </si>
  <si>
    <t>FICTICIO 765</t>
  </si>
  <si>
    <t>FICTICIO 766</t>
  </si>
  <si>
    <t>FICTICIO 767</t>
  </si>
  <si>
    <t>FICTICIO 768</t>
  </si>
  <si>
    <t>FICTICIO 769</t>
  </si>
  <si>
    <t>FICTICIO 770</t>
  </si>
  <si>
    <t>FICTICIO 771</t>
  </si>
  <si>
    <t>FICTICIO 772</t>
  </si>
  <si>
    <t>FICTICIO 773</t>
  </si>
  <si>
    <t>FICTICIO 774</t>
  </si>
  <si>
    <t>FICTICIO 775</t>
  </si>
  <si>
    <t>FICTICIO 776</t>
  </si>
  <si>
    <t>FICTICIO 777</t>
  </si>
  <si>
    <t>FICTICIO 778</t>
  </si>
  <si>
    <t>FICTICIO 779</t>
  </si>
  <si>
    <t>FICTICIO 780</t>
  </si>
  <si>
    <t>FICTICIO 781</t>
  </si>
  <si>
    <t>FICTICIO 782</t>
  </si>
  <si>
    <t>FICTICIO 783</t>
  </si>
  <si>
    <t>FICTICIO 784</t>
  </si>
  <si>
    <t>FICTICIO 785</t>
  </si>
  <si>
    <t>FICTICIO 786</t>
  </si>
  <si>
    <t>FICTICIO 787</t>
  </si>
  <si>
    <t>FICTICIO 788</t>
  </si>
  <si>
    <t>FICTICIO 789</t>
  </si>
  <si>
    <t>FICTICIO 790</t>
  </si>
  <si>
    <t>FICTICIO 791</t>
  </si>
  <si>
    <t>FICTICIO 792</t>
  </si>
  <si>
    <t>FICTICIO 793</t>
  </si>
  <si>
    <t>FICTICIO 794</t>
  </si>
  <si>
    <t>FICTICIO 795</t>
  </si>
  <si>
    <t>FICTICIO 796</t>
  </si>
  <si>
    <t>FICTICIO 797</t>
  </si>
  <si>
    <t>FICTICIO 798</t>
  </si>
  <si>
    <t>FICTICIO 799</t>
  </si>
  <si>
    <t>FICTICIO 800</t>
  </si>
  <si>
    <t>FICTICIO 801</t>
  </si>
  <si>
    <t>FICTICIO 802</t>
  </si>
  <si>
    <t>FICTICIO 803</t>
  </si>
  <si>
    <t>FICTICIO 804</t>
  </si>
  <si>
    <t>FICTICIO 805</t>
  </si>
  <si>
    <t>FICTICIO 806</t>
  </si>
  <si>
    <t>FICTICIO 807</t>
  </si>
  <si>
    <t>FICTICIO 808</t>
  </si>
  <si>
    <t>FICTICIO 809</t>
  </si>
  <si>
    <t>FICTICIO 810</t>
  </si>
  <si>
    <t>FICTICIO 811</t>
  </si>
  <si>
    <t>FICTICIO 812</t>
  </si>
  <si>
    <t>FICTICIO 813</t>
  </si>
  <si>
    <t>FICTICIO 814</t>
  </si>
  <si>
    <t>FICTICIO 815</t>
  </si>
  <si>
    <t>FICTICIO 816</t>
  </si>
  <si>
    <t>FICTICIO 817</t>
  </si>
  <si>
    <t>FICTICIO 818</t>
  </si>
  <si>
    <t>FICTICIO 819</t>
  </si>
  <si>
    <t>FICTICIO 820</t>
  </si>
  <si>
    <t>FICTICIO 821</t>
  </si>
  <si>
    <t>FICTICIO 822</t>
  </si>
  <si>
    <t>FICTICIO 823</t>
  </si>
  <si>
    <t>FICTICIO 824</t>
  </si>
  <si>
    <t>FICTICIO 825</t>
  </si>
  <si>
    <t>FICTICIO 826</t>
  </si>
  <si>
    <t>FICTICIO 827</t>
  </si>
  <si>
    <t>FICTICIO 828</t>
  </si>
  <si>
    <t>FICTICIO 829</t>
  </si>
  <si>
    <t>FICTICIO 830</t>
  </si>
  <si>
    <t>FICTICIO 831</t>
  </si>
  <si>
    <t>FICTICIO 832</t>
  </si>
  <si>
    <t>FICTICIO 833</t>
  </si>
  <si>
    <t>FICTICIO 834</t>
  </si>
  <si>
    <t>FICTICIO 835</t>
  </si>
  <si>
    <t>FICTICIO 836</t>
  </si>
  <si>
    <t>FICTICIO 837</t>
  </si>
  <si>
    <t>FICTICIO 838</t>
  </si>
  <si>
    <t>FICTICIO 839</t>
  </si>
  <si>
    <t>FICTICIO 840</t>
  </si>
  <si>
    <t>FICTICIO 841</t>
  </si>
  <si>
    <t>FICTICIO 842</t>
  </si>
  <si>
    <t>FICTICIO 843</t>
  </si>
  <si>
    <t>FICTICIO 844</t>
  </si>
  <si>
    <t>FICTICIO 845</t>
  </si>
  <si>
    <t>FICTICIO 846</t>
  </si>
  <si>
    <t>FICTICIO 847</t>
  </si>
  <si>
    <t>FICTICIO 848</t>
  </si>
  <si>
    <t>FICTICIO 849</t>
  </si>
  <si>
    <t>FICTICIO 850</t>
  </si>
  <si>
    <t>FICTICIO 851</t>
  </si>
  <si>
    <t>FICTICIO 852</t>
  </si>
  <si>
    <t>FICTICIO 853</t>
  </si>
  <si>
    <t>FICTICIO 854</t>
  </si>
  <si>
    <t>FICTICIO 855</t>
  </si>
  <si>
    <t>FICTICIO 856</t>
  </si>
  <si>
    <t>FICTICIO 857</t>
  </si>
  <si>
    <t>FICTICIO 858</t>
  </si>
  <si>
    <t>FICTICIO 859</t>
  </si>
  <si>
    <t>FICTICIO 860</t>
  </si>
  <si>
    <t>FICTICIO 861</t>
  </si>
  <si>
    <t>FICTICIO 862</t>
  </si>
  <si>
    <t>FICTICIO 863</t>
  </si>
  <si>
    <t>FICTICIO 864</t>
  </si>
  <si>
    <t>FICTICIO 865</t>
  </si>
  <si>
    <t>FICTICIO 866</t>
  </si>
  <si>
    <t>FICTICIO 867</t>
  </si>
  <si>
    <t>FICTICIO 868</t>
  </si>
  <si>
    <t>FICTICIO 869</t>
  </si>
  <si>
    <t>FICTICIO 870</t>
  </si>
  <si>
    <t>FICTICIO 871</t>
  </si>
  <si>
    <t>FICTICIO 872</t>
  </si>
  <si>
    <t>FICTICIO 873</t>
  </si>
  <si>
    <t>FICTICIO 874</t>
  </si>
  <si>
    <t>FICTICIO 875</t>
  </si>
  <si>
    <t>FICTICIO 876</t>
  </si>
  <si>
    <t>FICTICIO 877</t>
  </si>
  <si>
    <t>FICTICIO 878</t>
  </si>
  <si>
    <t>FICTICIO 879</t>
  </si>
  <si>
    <t>FICTICIO 880</t>
  </si>
  <si>
    <t>FICTICIO 881</t>
  </si>
  <si>
    <t>FICTICIO 882</t>
  </si>
  <si>
    <t>FICTICIO 883</t>
  </si>
  <si>
    <t>FICTICIO 884</t>
  </si>
  <si>
    <t>FICTICIO 885</t>
  </si>
  <si>
    <t>FICTICIO 886</t>
  </si>
  <si>
    <t>FICTICIO 887</t>
  </si>
  <si>
    <t>FICTICIO 888</t>
  </si>
  <si>
    <t>FICTICIO 889</t>
  </si>
  <si>
    <t>FICTICIO 890</t>
  </si>
  <si>
    <t>FICTICIO 891</t>
  </si>
  <si>
    <t>FICTICIO 892</t>
  </si>
  <si>
    <t>FICTICIO 893</t>
  </si>
  <si>
    <t>FICTICIO 894</t>
  </si>
  <si>
    <t>FICTICIO 895</t>
  </si>
  <si>
    <t>FICTICIO 896</t>
  </si>
  <si>
    <t>FICTICIO 897</t>
  </si>
  <si>
    <t>FICTICIO 898</t>
  </si>
  <si>
    <t>FICTICIO 899</t>
  </si>
  <si>
    <t>FICTICIO 900</t>
  </si>
  <si>
    <t>FICTICIO 901</t>
  </si>
  <si>
    <t>FICTICIO 902</t>
  </si>
  <si>
    <t>FICTICIO 903</t>
  </si>
  <si>
    <t>FICTICIO 904</t>
  </si>
  <si>
    <t>FICTICIO 905</t>
  </si>
  <si>
    <t>FICTICIO 906</t>
  </si>
  <si>
    <t>FICTICIO 907</t>
  </si>
  <si>
    <t>FICTICIO 908</t>
  </si>
  <si>
    <t>FICTICIO 909</t>
  </si>
  <si>
    <t>FICTICIO 910</t>
  </si>
  <si>
    <t>FICTICIO 911</t>
  </si>
  <si>
    <t>FICTICIO 912</t>
  </si>
  <si>
    <t>FICTICIO 913</t>
  </si>
  <si>
    <t>FICTICIO 914</t>
  </si>
  <si>
    <t>FICTICIO 915</t>
  </si>
  <si>
    <t>FICTICIO 916</t>
  </si>
  <si>
    <t>FICTICIO 917</t>
  </si>
  <si>
    <t>FICTICIO 918</t>
  </si>
  <si>
    <t>FICTICIO 919</t>
  </si>
  <si>
    <t>FICTICIO 920</t>
  </si>
  <si>
    <t>FICTICIO 921</t>
  </si>
  <si>
    <t>FICTICIO 922</t>
  </si>
  <si>
    <t>FICTICIO 923</t>
  </si>
  <si>
    <t>FICTICIO 924</t>
  </si>
  <si>
    <t>FICTICIO 925</t>
  </si>
  <si>
    <t>FICTICIO 926</t>
  </si>
  <si>
    <t>FICTICIO 927</t>
  </si>
  <si>
    <t>FICTICIO 928</t>
  </si>
  <si>
    <t>FICTICIO 929</t>
  </si>
  <si>
    <t>FICTICIO 930</t>
  </si>
  <si>
    <t>FICTICIO 931</t>
  </si>
  <si>
    <t>FICTICIO 932</t>
  </si>
  <si>
    <t>FICTICIO 933</t>
  </si>
  <si>
    <t>FICTICIO 934</t>
  </si>
  <si>
    <t>FICTICIO 935</t>
  </si>
  <si>
    <t>FICTICIO 936</t>
  </si>
  <si>
    <t>FICTICIO 937</t>
  </si>
  <si>
    <t>FICTICIO 938</t>
  </si>
  <si>
    <t>FICTICIO 939</t>
  </si>
  <si>
    <t>FICTICIO 940</t>
  </si>
  <si>
    <t>FICTICIO 941</t>
  </si>
  <si>
    <t>FICTICIO 942</t>
  </si>
  <si>
    <t>FICTICIO 943</t>
  </si>
  <si>
    <t>FICTICIO 944</t>
  </si>
  <si>
    <t>FICTICIO 945</t>
  </si>
  <si>
    <t>FICTICIO 946</t>
  </si>
  <si>
    <t>FICTICIO 947</t>
  </si>
  <si>
    <t>FICTICIO 948</t>
  </si>
  <si>
    <t>FICTICIO 949</t>
  </si>
  <si>
    <t>FICTICIO 950</t>
  </si>
  <si>
    <t>FICTICIO 951</t>
  </si>
  <si>
    <t>FICTICIO 952</t>
  </si>
  <si>
    <t>FICTICIO 953</t>
  </si>
  <si>
    <t>FICTICIO 954</t>
  </si>
  <si>
    <t>FICTICIO 955</t>
  </si>
  <si>
    <t>FICTICIO 956</t>
  </si>
  <si>
    <t>FICTICIO 957</t>
  </si>
  <si>
    <t>FICTICIO 958</t>
  </si>
  <si>
    <t>FICTICIO 959</t>
  </si>
  <si>
    <t>FICTICIO 960</t>
  </si>
  <si>
    <t>FICTICIO 961</t>
  </si>
  <si>
    <t>FICTICIO 962</t>
  </si>
  <si>
    <t>FICTICIO 963</t>
  </si>
  <si>
    <t>FICTICIO 964</t>
  </si>
  <si>
    <t>FICTICIO 965</t>
  </si>
  <si>
    <t>FICTICIO 966</t>
  </si>
  <si>
    <t>FICTICIO 967</t>
  </si>
  <si>
    <t>FICTICIO 968</t>
  </si>
  <si>
    <t>FICTICIO 969</t>
  </si>
  <si>
    <t>FICTICIO 970</t>
  </si>
  <si>
    <t>FICTICIO 971</t>
  </si>
  <si>
    <t>FICTICIO 972</t>
  </si>
  <si>
    <t>FICTICIO 973</t>
  </si>
  <si>
    <t>FICTICIO 974</t>
  </si>
  <si>
    <t>FICTICIO 975</t>
  </si>
  <si>
    <t>FICTICIO 976</t>
  </si>
  <si>
    <t>FICTICIO 977</t>
  </si>
  <si>
    <t>FICTICIO 978</t>
  </si>
  <si>
    <t>FICTICIO 979</t>
  </si>
  <si>
    <t>FICTICIO 980</t>
  </si>
  <si>
    <t>FICTICIO 981</t>
  </si>
  <si>
    <t>FICTICIO 982</t>
  </si>
  <si>
    <t>FICTICIO 983</t>
  </si>
  <si>
    <t>FICTICIO 984</t>
  </si>
  <si>
    <t>FICTICIO 985</t>
  </si>
  <si>
    <t>FICTICIO 986</t>
  </si>
  <si>
    <t>FICTICIO 987</t>
  </si>
  <si>
    <t>FICTICIO 988</t>
  </si>
  <si>
    <t>FICTICIO 989</t>
  </si>
  <si>
    <t>FICTICIO 990</t>
  </si>
  <si>
    <t>FICTICIO 991</t>
  </si>
  <si>
    <t>FICTICIO 992</t>
  </si>
  <si>
    <t>FICTICIO 993</t>
  </si>
  <si>
    <t>FICTICIO 994</t>
  </si>
  <si>
    <t>FICTICIO 995</t>
  </si>
  <si>
    <t>FICTICIO 996</t>
  </si>
  <si>
    <t>FICTICIO 997</t>
  </si>
  <si>
    <t>FICTICIO 998</t>
  </si>
  <si>
    <t>FICTICIO 999</t>
  </si>
  <si>
    <t>FICTICIO 1000</t>
  </si>
  <si>
    <t>FICTICIO 1001</t>
  </si>
  <si>
    <t>FICTICIO 1002</t>
  </si>
  <si>
    <t>FICTICIO 1003</t>
  </si>
  <si>
    <t>FICTICIO 1004</t>
  </si>
  <si>
    <t>FICTICIO 1005</t>
  </si>
  <si>
    <t>FICTICIO 1006</t>
  </si>
  <si>
    <t>FICTICIO 1007</t>
  </si>
  <si>
    <t>FICTICIO 1008</t>
  </si>
  <si>
    <t>FICTICIO 1009</t>
  </si>
  <si>
    <t>FICTICIO 1010</t>
  </si>
  <si>
    <t>FICTICIO 1011</t>
  </si>
  <si>
    <t>FICTICIO 1012</t>
  </si>
  <si>
    <t>FICTICIO 1013</t>
  </si>
  <si>
    <t>FICTICIO 1014</t>
  </si>
  <si>
    <t>FICTICIO 1015</t>
  </si>
  <si>
    <t>FICTICIO 1016</t>
  </si>
  <si>
    <t>FICTICIO 1017</t>
  </si>
  <si>
    <t>FICTICIO 1018</t>
  </si>
  <si>
    <t>FICTICIO 1019</t>
  </si>
  <si>
    <t>FICTICIO 1020</t>
  </si>
  <si>
    <t>FICTICIO 1021</t>
  </si>
  <si>
    <t>FICTICIO 1022</t>
  </si>
  <si>
    <t>FICTICIO 1023</t>
  </si>
  <si>
    <t>FICTICIO 1024</t>
  </si>
  <si>
    <t>EMPRESA 1</t>
  </si>
  <si>
    <t>EMPRESA 2</t>
  </si>
  <si>
    <t>EMPRESA 3</t>
  </si>
  <si>
    <t>EMPRESA 4</t>
  </si>
  <si>
    <t>EMPRESA 5</t>
  </si>
  <si>
    <t>EMPRESA 6</t>
  </si>
  <si>
    <t>EMPRESA 7</t>
  </si>
  <si>
    <t>EMPRESA 8</t>
  </si>
  <si>
    <t>EMPRESA 9</t>
  </si>
  <si>
    <t>EMPRESA 10</t>
  </si>
  <si>
    <t>EMPRESA 11</t>
  </si>
  <si>
    <t>EMPRESA 12</t>
  </si>
  <si>
    <t>EMPRESA 13</t>
  </si>
  <si>
    <t>EMPRESA 14</t>
  </si>
  <si>
    <t>EMPRESA 15</t>
  </si>
  <si>
    <t>EMPRESA 16</t>
  </si>
  <si>
    <t>EMPRESA 17</t>
  </si>
  <si>
    <t>EMPRESA 18</t>
  </si>
  <si>
    <t>EMPRESA 19</t>
  </si>
  <si>
    <t>EMPRESA 20</t>
  </si>
  <si>
    <t>EMPRESA 21</t>
  </si>
  <si>
    <t>EMPRESA 22</t>
  </si>
  <si>
    <t>EMPRESA 23</t>
  </si>
  <si>
    <t>EMPRESA 24</t>
  </si>
  <si>
    <t>EMPRESA 25</t>
  </si>
  <si>
    <t>EMPRESA 26</t>
  </si>
  <si>
    <t>EMPRESA 27</t>
  </si>
  <si>
    <t>EMPRESA 28</t>
  </si>
  <si>
    <t>EMPRESA 29</t>
  </si>
  <si>
    <t>EMPRESA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</si>
</sst>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.00_ ;[Red]\-#,##0.00\ "/>
    <numFmt numFmtId="165" formatCode="0.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"/>
    </font>
    <font>
      <u/>
      <sz val="10"/>
      <color rgb="FF0000FF"/>
      <name val="Calibri"/>
      <family val="2"/>
      <charset val="1"/>
    </font>
    <font>
      <u/>
      <sz val="11"/>
      <color rgb="FF0000FF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entury Gothic"/>
      <family val="2"/>
    </font>
    <font>
      <sz val="11"/>
      <color rgb="FF000000"/>
      <name val="Century Gothic"/>
      <family val="2"/>
    </font>
    <font>
      <b/>
      <sz val="11"/>
      <color rgb="FF000000"/>
      <name val="Century Gothic"/>
      <family val="2"/>
    </font>
    <font>
      <sz val="10"/>
      <color theme="1"/>
      <name val="Aptos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7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0" fontId="9" fillId="0" borderId="0" applyBorder="0" applyProtection="0"/>
    <xf numFmtId="9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2" applyNumberFormat="0" applyFill="0" applyAlignment="0" applyProtection="0"/>
    <xf numFmtId="0" fontId="25" fillId="0" borderId="23" applyNumberFormat="0" applyFill="0" applyAlignment="0" applyProtection="0"/>
    <xf numFmtId="0" fontId="26" fillId="0" borderId="24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25" applyNumberFormat="0" applyAlignment="0" applyProtection="0"/>
    <xf numFmtId="0" fontId="31" fillId="19" borderId="26" applyNumberFormat="0" applyAlignment="0" applyProtection="0"/>
    <xf numFmtId="0" fontId="32" fillId="19" borderId="25" applyNumberFormat="0" applyAlignment="0" applyProtection="0"/>
    <xf numFmtId="0" fontId="33" fillId="0" borderId="27" applyNumberFormat="0" applyFill="0" applyAlignment="0" applyProtection="0"/>
    <xf numFmtId="0" fontId="17" fillId="20" borderId="28" applyNumberFormat="0" applyAlignment="0" applyProtection="0"/>
    <xf numFmtId="0" fontId="12" fillId="0" borderId="0" applyNumberFormat="0" applyFill="0" applyBorder="0" applyAlignment="0" applyProtection="0"/>
    <xf numFmtId="0" fontId="1" fillId="21" borderId="29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30" applyNumberFormat="0" applyFill="0" applyAlignment="0" applyProtection="0"/>
    <xf numFmtId="0" fontId="1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</cellStyleXfs>
  <cellXfs count="243">
    <xf numFmtId="0" fontId="0" fillId="0" borderId="0" xfId="0"/>
    <xf numFmtId="0" fontId="2" fillId="0" borderId="0" xfId="0" applyFont="1"/>
    <xf numFmtId="0" fontId="4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2" fillId="2" borderId="1" xfId="1" applyNumberFormat="1" applyFont="1" applyFill="1" applyBorder="1" applyAlignment="1" applyProtection="1">
      <alignment horizontal="right"/>
      <protection locked="0"/>
    </xf>
    <xf numFmtId="0" fontId="2" fillId="0" borderId="6" xfId="0" applyFont="1" applyBorder="1" applyProtection="1">
      <protection locked="0"/>
    </xf>
    <xf numFmtId="0" fontId="2" fillId="0" borderId="4" xfId="0" applyFont="1" applyBorder="1" applyAlignment="1" applyProtection="1">
      <alignment shrinkToFit="1"/>
      <protection locked="0"/>
    </xf>
    <xf numFmtId="0" fontId="2" fillId="0" borderId="4" xfId="0" applyFont="1" applyBorder="1" applyProtection="1">
      <protection locked="0"/>
    </xf>
    <xf numFmtId="0" fontId="5" fillId="0" borderId="1" xfId="0" applyFont="1" applyBorder="1" applyAlignment="1" applyProtection="1">
      <alignment horizontal="right" shrinkToFit="1"/>
      <protection locked="0"/>
    </xf>
    <xf numFmtId="9" fontId="5" fillId="0" borderId="1" xfId="0" applyNumberFormat="1" applyFont="1" applyBorder="1" applyAlignment="1" applyProtection="1">
      <alignment horizontal="right" shrinkToFit="1"/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0" fontId="4" fillId="0" borderId="0" xfId="0" applyFont="1"/>
    <xf numFmtId="0" fontId="4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vertical="top" wrapText="1"/>
      <protection locked="0"/>
    </xf>
    <xf numFmtId="0" fontId="4" fillId="0" borderId="10" xfId="0" applyFont="1" applyBorder="1" applyAlignment="1">
      <alignment vertical="top" wrapText="1"/>
    </xf>
    <xf numFmtId="44" fontId="4" fillId="0" borderId="0" xfId="0" applyNumberFormat="1" applyFont="1" applyAlignment="1">
      <alignment horizontal="right" vertical="top" wrapText="1"/>
    </xf>
    <xf numFmtId="0" fontId="4" fillId="0" borderId="0" xfId="0" applyFont="1" applyAlignment="1">
      <alignment vertical="top" wrapText="1"/>
    </xf>
    <xf numFmtId="10" fontId="4" fillId="0" borderId="0" xfId="0" applyNumberFormat="1" applyFont="1" applyAlignment="1">
      <alignment vertical="top" wrapText="1"/>
    </xf>
    <xf numFmtId="0" fontId="4" fillId="0" borderId="13" xfId="0" applyFont="1" applyBorder="1" applyAlignment="1" applyProtection="1">
      <alignment vertical="top" wrapText="1"/>
      <protection locked="0"/>
    </xf>
    <xf numFmtId="0" fontId="2" fillId="0" borderId="0" xfId="0" applyFont="1" applyAlignment="1" applyProtection="1">
      <alignment horizontal="right"/>
      <protection locked="0"/>
    </xf>
    <xf numFmtId="0" fontId="2" fillId="0" borderId="4" xfId="0" applyFont="1" applyBorder="1" applyAlignment="1" applyProtection="1">
      <alignment horizontal="right"/>
      <protection locked="0"/>
    </xf>
    <xf numFmtId="164" fontId="2" fillId="0" borderId="4" xfId="1" applyNumberFormat="1" applyFont="1" applyBorder="1" applyAlignment="1" applyProtection="1">
      <alignment horizontal="right"/>
      <protection locked="0"/>
    </xf>
    <xf numFmtId="0" fontId="5" fillId="2" borderId="1" xfId="0" applyFont="1" applyFill="1" applyBorder="1" applyAlignment="1" applyProtection="1">
      <alignment horizontal="right" shrinkToFit="1"/>
      <protection locked="0"/>
    </xf>
    <xf numFmtId="165" fontId="5" fillId="2" borderId="1" xfId="0" applyNumberFormat="1" applyFont="1" applyFill="1" applyBorder="1" applyAlignment="1" applyProtection="1">
      <alignment horizontal="right" shrinkToFit="1"/>
      <protection locked="0"/>
    </xf>
    <xf numFmtId="0" fontId="4" fillId="0" borderId="11" xfId="0" applyFont="1" applyBorder="1" applyAlignment="1">
      <alignment vertical="top" wrapText="1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vertical="top" wrapText="1"/>
    </xf>
    <xf numFmtId="44" fontId="4" fillId="2" borderId="0" xfId="0" applyNumberFormat="1" applyFont="1" applyFill="1" applyAlignment="1">
      <alignment horizontal="right" vertical="top" wrapText="1"/>
    </xf>
    <xf numFmtId="44" fontId="4" fillId="0" borderId="0" xfId="0" applyNumberFormat="1" applyFont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6" fillId="0" borderId="0" xfId="0" applyFont="1" applyAlignment="1" applyProtection="1">
      <alignment horizontal="left" vertical="center"/>
      <protection locked="0"/>
    </xf>
    <xf numFmtId="44" fontId="4" fillId="0" borderId="13" xfId="0" applyNumberFormat="1" applyFont="1" applyBorder="1" applyAlignment="1" applyProtection="1">
      <alignment horizontal="right" vertical="top" wrapText="1"/>
      <protection locked="0"/>
    </xf>
    <xf numFmtId="43" fontId="2" fillId="2" borderId="1" xfId="2" applyFont="1" applyFill="1" applyBorder="1" applyAlignment="1" applyProtection="1">
      <alignment horizontal="right"/>
      <protection locked="0"/>
    </xf>
    <xf numFmtId="0" fontId="4" fillId="2" borderId="10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4" fillId="2" borderId="8" xfId="0" applyFont="1" applyFill="1" applyBorder="1" applyAlignment="1" applyProtection="1">
      <alignment horizontal="left" vertical="top"/>
      <protection locked="0"/>
    </xf>
    <xf numFmtId="0" fontId="4" fillId="3" borderId="0" xfId="0" applyFont="1" applyFill="1" applyAlignment="1" applyProtection="1">
      <alignment horizontal="left" vertical="top"/>
      <protection locked="0"/>
    </xf>
    <xf numFmtId="0" fontId="4" fillId="3" borderId="0" xfId="0" applyFont="1" applyFill="1" applyAlignment="1" applyProtection="1">
      <alignment vertical="top"/>
      <protection locked="0"/>
    </xf>
    <xf numFmtId="0" fontId="4" fillId="3" borderId="5" xfId="0" applyFont="1" applyFill="1" applyBorder="1" applyAlignment="1" applyProtection="1">
      <alignment vertical="top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4" applyFont="1" applyBorder="1" applyAlignment="1" applyProtection="1">
      <alignment horizontal="left" vertical="center"/>
    </xf>
    <xf numFmtId="1" fontId="10" fillId="0" borderId="1" xfId="3" applyNumberFormat="1" applyFont="1" applyBorder="1" applyAlignment="1">
      <alignment horizontal="left" vertical="center" shrinkToFit="1"/>
    </xf>
    <xf numFmtId="0" fontId="10" fillId="0" borderId="1" xfId="3" applyFont="1" applyBorder="1" applyAlignment="1">
      <alignment horizontal="left"/>
    </xf>
    <xf numFmtId="1" fontId="7" fillId="0" borderId="1" xfId="3" applyNumberFormat="1" applyBorder="1" applyAlignment="1">
      <alignment horizontal="left" vertical="center"/>
    </xf>
    <xf numFmtId="1" fontId="7" fillId="0" borderId="16" xfId="3" applyNumberFormat="1" applyBorder="1" applyAlignment="1">
      <alignment horizontal="left" vertical="center"/>
    </xf>
    <xf numFmtId="1" fontId="7" fillId="0" borderId="1" xfId="3" applyNumberFormat="1" applyBorder="1" applyAlignment="1">
      <alignment horizontal="left" vertical="center" shrinkToFit="1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4" fillId="5" borderId="3" xfId="0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4" fillId="3" borderId="0" xfId="0" applyFont="1" applyFill="1" applyAlignment="1" applyProtection="1">
      <alignment vertical="top" wrapText="1"/>
      <protection locked="0"/>
    </xf>
    <xf numFmtId="0" fontId="4" fillId="3" borderId="1" xfId="0" applyFont="1" applyFill="1" applyBorder="1" applyAlignment="1" applyProtection="1">
      <alignment horizontal="left" vertical="top"/>
      <protection locked="0"/>
    </xf>
    <xf numFmtId="14" fontId="4" fillId="3" borderId="1" xfId="0" applyNumberFormat="1" applyFont="1" applyFill="1" applyBorder="1" applyAlignment="1">
      <alignment horizontal="left" vertical="top"/>
    </xf>
    <xf numFmtId="0" fontId="4" fillId="3" borderId="15" xfId="0" applyFont="1" applyFill="1" applyBorder="1" applyAlignment="1">
      <alignment horizontal="left" vertical="center" readingOrder="1"/>
    </xf>
    <xf numFmtId="0" fontId="2" fillId="0" borderId="1" xfId="0" applyFont="1" applyBorder="1" applyProtection="1">
      <protection locked="0"/>
    </xf>
    <xf numFmtId="9" fontId="13" fillId="0" borderId="1" xfId="0" applyNumberFormat="1" applyFont="1" applyBorder="1" applyAlignment="1">
      <alignment horizontal="right"/>
    </xf>
    <xf numFmtId="164" fontId="14" fillId="0" borderId="1" xfId="0" applyNumberFormat="1" applyFont="1" applyBorder="1"/>
    <xf numFmtId="44" fontId="4" fillId="0" borderId="0" xfId="0" applyNumberFormat="1" applyFont="1" applyAlignment="1">
      <alignment horizontal="left" vertical="top" wrapText="1"/>
    </xf>
    <xf numFmtId="0" fontId="4" fillId="6" borderId="10" xfId="0" applyFont="1" applyFill="1" applyBorder="1" applyAlignment="1" applyProtection="1">
      <alignment horizontal="left"/>
      <protection locked="0"/>
    </xf>
    <xf numFmtId="0" fontId="4" fillId="6" borderId="0" xfId="0" applyFont="1" applyFill="1" applyAlignment="1" applyProtection="1">
      <alignment horizontal="left"/>
      <protection locked="0"/>
    </xf>
    <xf numFmtId="0" fontId="4" fillId="6" borderId="0" xfId="0" applyFont="1" applyFill="1" applyAlignment="1" applyProtection="1">
      <alignment horizontal="left" vertical="top" wrapText="1"/>
      <protection locked="0"/>
    </xf>
    <xf numFmtId="0" fontId="4" fillId="6" borderId="0" xfId="0" applyFont="1" applyFill="1" applyAlignment="1" applyProtection="1">
      <alignment vertical="top" wrapText="1"/>
      <protection locked="0"/>
    </xf>
    <xf numFmtId="0" fontId="4" fillId="6" borderId="5" xfId="0" applyFont="1" applyFill="1" applyBorder="1" applyAlignment="1" applyProtection="1">
      <alignment vertical="top" wrapText="1"/>
      <protection locked="0"/>
    </xf>
    <xf numFmtId="0" fontId="4" fillId="6" borderId="0" xfId="0" applyFont="1" applyFill="1" applyProtection="1">
      <protection locked="0"/>
    </xf>
    <xf numFmtId="9" fontId="4" fillId="0" borderId="1" xfId="0" applyNumberFormat="1" applyFont="1" applyBorder="1" applyAlignment="1">
      <alignment horizontal="center" vertical="center"/>
    </xf>
    <xf numFmtId="44" fontId="4" fillId="0" borderId="1" xfId="0" applyNumberFormat="1" applyFont="1" applyBorder="1" applyAlignment="1">
      <alignment horizontal="left" vertical="top" wrapText="1"/>
    </xf>
    <xf numFmtId="0" fontId="4" fillId="0" borderId="5" xfId="0" applyFont="1" applyBorder="1" applyProtection="1">
      <protection locked="0"/>
    </xf>
    <xf numFmtId="44" fontId="4" fillId="0" borderId="1" xfId="0" applyNumberFormat="1" applyFont="1" applyBorder="1" applyAlignment="1">
      <alignment horizontal="left" vertical="center" wrapText="1"/>
    </xf>
    <xf numFmtId="0" fontId="4" fillId="0" borderId="5" xfId="0" applyFont="1" applyBorder="1" applyAlignment="1" applyProtection="1">
      <alignment vertical="top" wrapText="1"/>
      <protection locked="0"/>
    </xf>
    <xf numFmtId="0" fontId="12" fillId="0" borderId="10" xfId="0" applyFont="1" applyBorder="1" applyAlignment="1" applyProtection="1">
      <alignment vertical="top" wrapText="1"/>
      <protection locked="0"/>
    </xf>
    <xf numFmtId="44" fontId="12" fillId="0" borderId="0" xfId="0" applyNumberFormat="1" applyFont="1" applyAlignment="1">
      <alignment horizontal="right" vertical="top" wrapText="1"/>
    </xf>
    <xf numFmtId="0" fontId="4" fillId="0" borderId="12" xfId="0" applyFont="1" applyBorder="1" applyAlignment="1" applyProtection="1">
      <alignment vertical="top"/>
      <protection locked="0"/>
    </xf>
    <xf numFmtId="9" fontId="4" fillId="0" borderId="13" xfId="0" applyNumberFormat="1" applyFont="1" applyBorder="1" applyAlignment="1" applyProtection="1">
      <alignment vertical="top" wrapText="1"/>
      <protection locked="0"/>
    </xf>
    <xf numFmtId="44" fontId="4" fillId="0" borderId="13" xfId="0" applyNumberFormat="1" applyFont="1" applyBorder="1" applyAlignment="1">
      <alignment horizontal="right" vertical="top" wrapText="1"/>
    </xf>
    <xf numFmtId="0" fontId="4" fillId="0" borderId="17" xfId="0" applyFont="1" applyBorder="1" applyAlignment="1" applyProtection="1">
      <alignment vertical="top" wrapText="1"/>
      <protection locked="0"/>
    </xf>
    <xf numFmtId="164" fontId="15" fillId="0" borderId="1" xfId="0" applyNumberFormat="1" applyFont="1" applyBorder="1"/>
    <xf numFmtId="0" fontId="3" fillId="6" borderId="0" xfId="0" applyFont="1" applyFill="1" applyAlignment="1" applyProtection="1">
      <alignment vertical="center"/>
      <protection locked="0"/>
    </xf>
    <xf numFmtId="9" fontId="12" fillId="0" borderId="0" xfId="0" applyNumberFormat="1" applyFont="1" applyAlignment="1">
      <alignment horizontal="center" vertical="top" wrapText="1"/>
    </xf>
    <xf numFmtId="165" fontId="12" fillId="0" borderId="0" xfId="0" applyNumberFormat="1" applyFont="1" applyAlignment="1">
      <alignment horizontal="center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center" wrapText="1"/>
    </xf>
    <xf numFmtId="0" fontId="4" fillId="0" borderId="11" xfId="0" applyFont="1" applyBorder="1" applyProtection="1">
      <protection locked="0"/>
    </xf>
    <xf numFmtId="14" fontId="4" fillId="0" borderId="0" xfId="0" applyNumberFormat="1" applyFont="1" applyProtection="1">
      <protection locked="0"/>
    </xf>
    <xf numFmtId="0" fontId="3" fillId="4" borderId="1" xfId="0" applyFont="1" applyFill="1" applyBorder="1" applyProtection="1">
      <protection locked="0"/>
    </xf>
    <xf numFmtId="0" fontId="4" fillId="3" borderId="2" xfId="0" applyFont="1" applyFill="1" applyBorder="1"/>
    <xf numFmtId="0" fontId="4" fillId="3" borderId="4" xfId="0" applyFont="1" applyFill="1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1" fontId="4" fillId="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Protection="1">
      <protection locked="0"/>
    </xf>
    <xf numFmtId="164" fontId="2" fillId="6" borderId="1" xfId="0" applyNumberFormat="1" applyFont="1" applyFill="1" applyBorder="1"/>
    <xf numFmtId="164" fontId="5" fillId="0" borderId="1" xfId="0" applyNumberFormat="1" applyFont="1" applyBorder="1"/>
    <xf numFmtId="164" fontId="2" fillId="2" borderId="1" xfId="1" applyNumberFormat="1" applyFont="1" applyFill="1" applyBorder="1" applyAlignment="1" applyProtection="1">
      <alignment horizontal="right"/>
    </xf>
    <xf numFmtId="0" fontId="4" fillId="7" borderId="15" xfId="0" applyFont="1" applyFill="1" applyBorder="1" applyAlignment="1" applyProtection="1">
      <alignment horizontal="center" vertical="center"/>
      <protection locked="0"/>
    </xf>
    <xf numFmtId="0" fontId="10" fillId="7" borderId="1" xfId="4" applyFont="1" applyFill="1" applyBorder="1" applyAlignment="1" applyProtection="1">
      <alignment horizontal="center"/>
      <protection locked="0"/>
    </xf>
    <xf numFmtId="0" fontId="16" fillId="7" borderId="1" xfId="4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right" shrinkToFit="1"/>
      <protection locked="0"/>
    </xf>
    <xf numFmtId="0" fontId="17" fillId="8" borderId="0" xfId="0" applyFont="1" applyFill="1" applyAlignment="1" applyProtection="1">
      <alignment vertical="center"/>
      <protection locked="0"/>
    </xf>
    <xf numFmtId="0" fontId="11" fillId="8" borderId="0" xfId="0" applyFont="1" applyFill="1" applyProtection="1">
      <protection locked="0"/>
    </xf>
    <xf numFmtId="0" fontId="12" fillId="0" borderId="10" xfId="0" applyFont="1" applyBorder="1" applyAlignment="1">
      <alignment vertical="top" wrapText="1"/>
    </xf>
    <xf numFmtId="0" fontId="4" fillId="2" borderId="1" xfId="0" applyFont="1" applyFill="1" applyBorder="1" applyAlignment="1" applyProtection="1">
      <alignment horizontal="left" vertical="top"/>
      <protection locked="0"/>
    </xf>
    <xf numFmtId="43" fontId="2" fillId="3" borderId="1" xfId="2" applyFont="1" applyFill="1" applyBorder="1" applyAlignment="1" applyProtection="1">
      <alignment horizontal="right"/>
    </xf>
    <xf numFmtId="10" fontId="0" fillId="0" borderId="0" xfId="0" applyNumberFormat="1"/>
    <xf numFmtId="0" fontId="0" fillId="0" borderId="0" xfId="0" applyAlignment="1">
      <alignment horizontal="right"/>
    </xf>
    <xf numFmtId="0" fontId="4" fillId="5" borderId="1" xfId="0" applyFont="1" applyFill="1" applyBorder="1" applyAlignment="1" applyProtection="1">
      <alignment horizontal="center"/>
      <protection locked="0"/>
    </xf>
    <xf numFmtId="10" fontId="0" fillId="0" borderId="0" xfId="5" applyNumberFormat="1" applyFont="1"/>
    <xf numFmtId="49" fontId="0" fillId="0" borderId="0" xfId="0" applyNumberFormat="1" applyProtection="1">
      <protection locked="0"/>
    </xf>
    <xf numFmtId="0" fontId="20" fillId="9" borderId="18" xfId="0" applyFont="1" applyFill="1" applyBorder="1" applyAlignment="1">
      <alignment horizontal="center" vertical="center" wrapText="1"/>
    </xf>
    <xf numFmtId="0" fontId="21" fillId="9" borderId="18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vertical="center" wrapText="1"/>
    </xf>
    <xf numFmtId="0" fontId="22" fillId="0" borderId="18" xfId="0" applyFont="1" applyBorder="1" applyAlignment="1">
      <alignment horizontal="center" vertical="center" wrapText="1"/>
    </xf>
    <xf numFmtId="14" fontId="22" fillId="0" borderId="18" xfId="0" applyNumberFormat="1" applyFont="1" applyBorder="1" applyAlignment="1">
      <alignment horizontal="center" vertical="center" wrapText="1"/>
    </xf>
    <xf numFmtId="44" fontId="22" fillId="0" borderId="1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9" xfId="0" applyBorder="1"/>
    <xf numFmtId="1" fontId="7" fillId="0" borderId="19" xfId="3" applyNumberFormat="1" applyBorder="1" applyAlignment="1">
      <alignment horizontal="left" vertical="center" shrinkToFit="1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2" borderId="0" xfId="0" quotePrefix="1" applyFill="1"/>
    <xf numFmtId="17" fontId="0" fillId="12" borderId="0" xfId="0" applyNumberFormat="1" applyFill="1"/>
    <xf numFmtId="3" fontId="0" fillId="12" borderId="0" xfId="0" applyNumberFormat="1" applyFill="1"/>
    <xf numFmtId="0" fontId="17" fillId="14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13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3" borderId="4" xfId="0" applyFont="1" applyFill="1" applyBorder="1"/>
    <xf numFmtId="0" fontId="4" fillId="3" borderId="3" xfId="0" applyFont="1" applyFill="1" applyBorder="1"/>
    <xf numFmtId="0" fontId="4" fillId="7" borderId="15" xfId="0" applyFont="1" applyFill="1" applyBorder="1" applyAlignment="1">
      <alignment horizontal="center" vertical="center"/>
    </xf>
    <xf numFmtId="0" fontId="10" fillId="7" borderId="1" xfId="4" applyFont="1" applyFill="1" applyBorder="1" applyAlignment="1" applyProtection="1">
      <alignment horizontal="center"/>
    </xf>
    <xf numFmtId="0" fontId="1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164" fontId="2" fillId="0" borderId="0" xfId="1" applyNumberFormat="1" applyFont="1" applyBorder="1" applyAlignment="1" applyProtection="1">
      <alignment horizontal="right"/>
    </xf>
    <xf numFmtId="0" fontId="2" fillId="0" borderId="1" xfId="0" applyFont="1" applyBorder="1"/>
    <xf numFmtId="164" fontId="14" fillId="0" borderId="0" xfId="0" applyNumberFormat="1" applyFont="1"/>
    <xf numFmtId="164" fontId="15" fillId="0" borderId="0" xfId="0" applyNumberFormat="1" applyFont="1"/>
    <xf numFmtId="0" fontId="2" fillId="0" borderId="6" xfId="0" applyFont="1" applyBorder="1"/>
    <xf numFmtId="0" fontId="2" fillId="0" borderId="4" xfId="0" applyFont="1" applyBorder="1" applyAlignment="1">
      <alignment shrinkToFit="1"/>
    </xf>
    <xf numFmtId="0" fontId="2" fillId="0" borderId="4" xfId="0" applyFont="1" applyBorder="1"/>
    <xf numFmtId="43" fontId="4" fillId="0" borderId="0" xfId="0" applyNumberFormat="1" applyFont="1"/>
    <xf numFmtId="0" fontId="5" fillId="0" borderId="1" xfId="0" applyFont="1" applyBorder="1" applyAlignment="1">
      <alignment horizontal="right" shrinkToFit="1"/>
    </xf>
    <xf numFmtId="9" fontId="5" fillId="0" borderId="1" xfId="0" applyNumberFormat="1" applyFont="1" applyBorder="1" applyAlignment="1">
      <alignment horizontal="center" shrinkToFit="1"/>
    </xf>
    <xf numFmtId="164" fontId="5" fillId="0" borderId="1" xfId="0" applyNumberFormat="1" applyFont="1" applyBorder="1" applyAlignment="1">
      <alignment horizontal="center"/>
    </xf>
    <xf numFmtId="164" fontId="5" fillId="0" borderId="0" xfId="0" applyNumberFormat="1" applyFont="1"/>
    <xf numFmtId="0" fontId="5" fillId="3" borderId="1" xfId="0" applyFont="1" applyFill="1" applyBorder="1" applyAlignment="1">
      <alignment horizontal="right" shrinkToFit="1"/>
    </xf>
    <xf numFmtId="165" fontId="5" fillId="3" borderId="1" xfId="0" applyNumberFormat="1" applyFont="1" applyFill="1" applyBorder="1" applyAlignment="1">
      <alignment horizontal="center" shrinkToFit="1"/>
    </xf>
    <xf numFmtId="14" fontId="4" fillId="0" borderId="0" xfId="0" applyNumberFormat="1" applyFont="1"/>
    <xf numFmtId="0" fontId="5" fillId="3" borderId="20" xfId="0" applyFont="1" applyFill="1" applyBorder="1" applyAlignment="1">
      <alignment horizontal="right" shrinkToFit="1"/>
    </xf>
    <xf numFmtId="165" fontId="5" fillId="3" borderId="0" xfId="0" applyNumberFormat="1" applyFont="1" applyFill="1" applyAlignment="1">
      <alignment horizontal="right" shrinkToFit="1"/>
    </xf>
    <xf numFmtId="164" fontId="5" fillId="3" borderId="1" xfId="0" applyNumberFormat="1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4" fillId="0" borderId="11" xfId="0" applyFont="1" applyBorder="1"/>
    <xf numFmtId="0" fontId="4" fillId="6" borderId="0" xfId="0" applyFont="1" applyFill="1"/>
    <xf numFmtId="14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vertical="top" wrapText="1"/>
    </xf>
    <xf numFmtId="0" fontId="4" fillId="3" borderId="15" xfId="0" applyFont="1" applyFill="1" applyBorder="1" applyAlignment="1" applyProtection="1">
      <alignment horizontal="left" vertical="center" readingOrder="1"/>
      <protection locked="0"/>
    </xf>
    <xf numFmtId="14" fontId="4" fillId="3" borderId="1" xfId="0" applyNumberFormat="1" applyFont="1" applyFill="1" applyBorder="1" applyAlignment="1" applyProtection="1">
      <alignment horizontal="left" vertical="top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9" fontId="4" fillId="0" borderId="1" xfId="0" applyNumberFormat="1" applyFont="1" applyBorder="1" applyAlignment="1" applyProtection="1">
      <alignment horizontal="center" vertical="center"/>
      <protection locked="0"/>
    </xf>
    <xf numFmtId="44" fontId="4" fillId="0" borderId="1" xfId="0" applyNumberFormat="1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44" fontId="4" fillId="0" borderId="1" xfId="0" applyNumberFormat="1" applyFont="1" applyBorder="1" applyAlignment="1" applyProtection="1">
      <alignment horizontal="left" vertical="center" wrapText="1"/>
      <protection locked="0"/>
    </xf>
    <xf numFmtId="44" fontId="4" fillId="0" borderId="0" xfId="0" applyNumberFormat="1" applyFont="1" applyAlignment="1" applyProtection="1">
      <alignment horizontal="left" vertical="top" wrapText="1"/>
      <protection locked="0"/>
    </xf>
    <xf numFmtId="9" fontId="12" fillId="0" borderId="0" xfId="0" applyNumberFormat="1" applyFont="1" applyAlignment="1" applyProtection="1">
      <alignment horizontal="center" vertical="top" wrapText="1"/>
      <protection locked="0"/>
    </xf>
    <xf numFmtId="44" fontId="12" fillId="0" borderId="0" xfId="0" applyNumberFormat="1" applyFont="1" applyAlignment="1" applyProtection="1">
      <alignment horizontal="right" vertical="top" wrapText="1"/>
      <protection locked="0"/>
    </xf>
    <xf numFmtId="165" fontId="12" fillId="0" borderId="0" xfId="0" applyNumberFormat="1" applyFont="1" applyAlignment="1" applyProtection="1">
      <alignment horizontal="center" vertical="top" wrapText="1"/>
      <protection locked="0"/>
    </xf>
    <xf numFmtId="0" fontId="4" fillId="2" borderId="0" xfId="0" applyFont="1" applyFill="1" applyAlignment="1" applyProtection="1">
      <alignment horizontal="left" vertical="top"/>
      <protection locked="0"/>
    </xf>
    <xf numFmtId="0" fontId="0" fillId="12" borderId="0" xfId="0" applyFill="1" applyAlignment="1">
      <alignment horizontal="center"/>
    </xf>
    <xf numFmtId="4" fontId="0" fillId="0" borderId="0" xfId="0" applyNumberFormat="1"/>
    <xf numFmtId="0" fontId="0" fillId="46" borderId="0" xfId="0" applyFill="1"/>
    <xf numFmtId="0" fontId="0" fillId="47" borderId="0" xfId="0" applyFill="1"/>
    <xf numFmtId="0" fontId="9" fillId="0" borderId="0" xfId="4"/>
    <xf numFmtId="0" fontId="0" fillId="1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0" xfId="0" applyNumberFormat="1"/>
    <xf numFmtId="17" fontId="0" fillId="46" borderId="0" xfId="0" applyNumberFormat="1" applyFill="1"/>
    <xf numFmtId="0" fontId="0" fillId="7" borderId="0" xfId="0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14" fontId="0" fillId="0" borderId="0" xfId="0" applyNumberFormat="1"/>
    <xf numFmtId="0" fontId="4" fillId="3" borderId="3" xfId="0" applyFont="1" applyFill="1" applyBorder="1" applyAlignment="1">
      <alignment horizontal="center" vertical="center"/>
    </xf>
    <xf numFmtId="44" fontId="17" fillId="14" borderId="21" xfId="1" applyFont="1" applyFill="1" applyBorder="1" applyAlignment="1">
      <alignment horizontal="center" vertical="center" wrapText="1"/>
    </xf>
    <xf numFmtId="14" fontId="17" fillId="14" borderId="31" xfId="0" applyNumberFormat="1" applyFont="1" applyFill="1" applyBorder="1" applyAlignment="1">
      <alignment horizontal="center" vertical="center"/>
    </xf>
    <xf numFmtId="0" fontId="0" fillId="5" borderId="1" xfId="0" applyFill="1" applyBorder="1" applyAlignment="1" applyProtection="1">
      <alignment horizontal="center" vertical="center" wrapText="1"/>
      <protection locked="0"/>
    </xf>
    <xf numFmtId="44" fontId="0" fillId="0" borderId="0" xfId="0" applyNumberFormat="1"/>
    <xf numFmtId="0" fontId="0" fillId="13" borderId="0" xfId="0" applyFill="1"/>
    <xf numFmtId="4" fontId="0" fillId="13" borderId="0" xfId="0" applyNumberFormat="1" applyFill="1"/>
    <xf numFmtId="14" fontId="0" fillId="13" borderId="0" xfId="0" applyNumberFormat="1" applyFill="1"/>
    <xf numFmtId="0" fontId="0" fillId="49" borderId="0" xfId="0" applyFill="1"/>
    <xf numFmtId="4" fontId="0" fillId="49" borderId="0" xfId="0" applyNumberFormat="1" applyFill="1"/>
    <xf numFmtId="14" fontId="0" fillId="49" borderId="0" xfId="0" applyNumberFormat="1" applyFill="1"/>
    <xf numFmtId="0" fontId="0" fillId="48" borderId="4" xfId="0" applyFill="1" applyBorder="1"/>
    <xf numFmtId="0" fontId="0" fillId="48" borderId="4" xfId="0" applyFill="1" applyBorder="1" applyAlignment="1">
      <alignment horizontal="center"/>
    </xf>
    <xf numFmtId="0" fontId="0" fillId="0" borderId="4" xfId="0" applyBorder="1"/>
    <xf numFmtId="4" fontId="0" fillId="12" borderId="0" xfId="0" applyNumberFormat="1" applyFill="1"/>
    <xf numFmtId="14" fontId="0" fillId="12" borderId="0" xfId="0" applyNumberFormat="1" applyFill="1"/>
    <xf numFmtId="0" fontId="0" fillId="50" borderId="0" xfId="0" applyFill="1"/>
    <xf numFmtId="0" fontId="4" fillId="2" borderId="10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left" vertical="top" wrapText="1"/>
    </xf>
    <xf numFmtId="0" fontId="4" fillId="3" borderId="10" xfId="0" applyFont="1" applyFill="1" applyBorder="1" applyAlignment="1">
      <alignment horizontal="center" vertical="top" wrapText="1"/>
    </xf>
    <xf numFmtId="0" fontId="4" fillId="3" borderId="0" xfId="0" applyFont="1" applyFill="1" applyAlignment="1">
      <alignment horizontal="center" vertical="top" wrapText="1"/>
    </xf>
    <xf numFmtId="0" fontId="3" fillId="4" borderId="2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top" wrapText="1"/>
      <protection locked="0"/>
    </xf>
    <xf numFmtId="0" fontId="4" fillId="3" borderId="0" xfId="0" applyFont="1" applyFill="1" applyAlignment="1">
      <alignment horizontal="center" vertical="center"/>
    </xf>
    <xf numFmtId="0" fontId="3" fillId="4" borderId="1" xfId="0" applyFont="1" applyFill="1" applyBorder="1" applyAlignment="1" applyProtection="1">
      <alignment horizontal="center"/>
      <protection locked="0"/>
    </xf>
    <xf numFmtId="0" fontId="2" fillId="6" borderId="2" xfId="0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3" borderId="1" xfId="0" applyFont="1" applyFill="1" applyBorder="1" applyAlignment="1">
      <alignment horizontal="center" vertical="top" wrapText="1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 wrapText="1"/>
    </xf>
    <xf numFmtId="0" fontId="4" fillId="2" borderId="11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left"/>
    </xf>
    <xf numFmtId="0" fontId="4" fillId="2" borderId="14" xfId="0" applyFont="1" applyFill="1" applyBorder="1" applyAlignment="1">
      <alignment horizontal="left"/>
    </xf>
    <xf numFmtId="0" fontId="17" fillId="10" borderId="0" xfId="0" applyFont="1" applyFill="1" applyAlignment="1">
      <alignment horizontal="center" wrapText="1"/>
    </xf>
  </cellXfs>
  <cellStyles count="47">
    <cellStyle name="20% - Ênfase1" xfId="24" builtinId="30" customBuiltin="1"/>
    <cellStyle name="20% - Ênfase2" xfId="28" builtinId="34" customBuiltin="1"/>
    <cellStyle name="20% - Ênfase3" xfId="32" builtinId="38" customBuiltin="1"/>
    <cellStyle name="20% - Ênfase4" xfId="36" builtinId="42" customBuiltin="1"/>
    <cellStyle name="20% - Ênfase5" xfId="40" builtinId="46" customBuiltin="1"/>
    <cellStyle name="20% - Ênfase6" xfId="44" builtinId="50" customBuiltin="1"/>
    <cellStyle name="40% - Ênfase1" xfId="25" builtinId="31" customBuiltin="1"/>
    <cellStyle name="40% - Ênfase2" xfId="29" builtinId="35" customBuiltin="1"/>
    <cellStyle name="40% - Ênfase3" xfId="33" builtinId="39" customBuiltin="1"/>
    <cellStyle name="40% - Ênfase4" xfId="37" builtinId="43" customBuiltin="1"/>
    <cellStyle name="40% - Ênfase5" xfId="41" builtinId="47" customBuiltin="1"/>
    <cellStyle name="40% - Ênfase6" xfId="45" builtinId="51" customBuiltin="1"/>
    <cellStyle name="60% - Ênfase1" xfId="26" builtinId="32" customBuiltin="1"/>
    <cellStyle name="60% - Ênfase2" xfId="30" builtinId="36" customBuiltin="1"/>
    <cellStyle name="60% - Ênfase3" xfId="34" builtinId="40" customBuiltin="1"/>
    <cellStyle name="60% - Ênfase4" xfId="38" builtinId="44" customBuiltin="1"/>
    <cellStyle name="60% - Ênfase5" xfId="42" builtinId="48" customBuiltin="1"/>
    <cellStyle name="60% - Ênfase6" xfId="46" builtinId="52" customBuiltin="1"/>
    <cellStyle name="Bom" xfId="11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7" builtinId="33" customBuiltin="1"/>
    <cellStyle name="Ênfase3" xfId="31" builtinId="37" customBuiltin="1"/>
    <cellStyle name="Ênfase4" xfId="35" builtinId="41" customBuiltin="1"/>
    <cellStyle name="Ênfase5" xfId="39" builtinId="45" customBuiltin="1"/>
    <cellStyle name="Ênfase6" xfId="43" builtinId="49" customBuiltin="1"/>
    <cellStyle name="Entrada" xfId="14" builtinId="20" customBuiltin="1"/>
    <cellStyle name="Hiperlink" xfId="4" builtinId="8"/>
    <cellStyle name="Moeda" xfId="1" builtinId="4"/>
    <cellStyle name="Neutro" xfId="13" builtinId="28" customBuiltin="1"/>
    <cellStyle name="Normal" xfId="0" builtinId="0"/>
    <cellStyle name="Normal 2" xfId="3" xr:uid="{CEB5DD2C-3D32-49BE-A298-B20128889F2E}"/>
    <cellStyle name="Nota" xfId="20" builtinId="10" customBuiltin="1"/>
    <cellStyle name="Porcentagem" xfId="5" builtinId="5"/>
    <cellStyle name="Ruim" xfId="12" builtinId="27" customBuiltin="1"/>
    <cellStyle name="Saída" xfId="15" builtinId="21" customBuiltin="1"/>
    <cellStyle name="Texto de Aviso" xfId="19" builtinId="11" customBuiltin="1"/>
    <cellStyle name="Texto Explicativo" xfId="21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22" builtinId="25" customBuiltin="1"/>
    <cellStyle name="Vírgula" xfId="2" builtinId="3"/>
  </cellStyles>
  <dxfs count="43"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theme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00"/>
      <color rgb="FFFFFF99"/>
      <color rgb="FFFFE5CB"/>
      <color rgb="FFFFBD65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656167</xdr:colOff>
      <xdr:row>7</xdr:row>
      <xdr:rowOff>16934</xdr:rowOff>
    </xdr:from>
    <xdr:to>
      <xdr:col>15</xdr:col>
      <xdr:colOff>3175</xdr:colOff>
      <xdr:row>8</xdr:row>
      <xdr:rowOff>178859</xdr:rowOff>
    </xdr:to>
    <xdr:sp macro="[0]!EnviarEmailSemtelefon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3A99DC4-4487-73D8-D8DE-0F04BC3D2B38}"/>
            </a:ext>
          </a:extLst>
        </xdr:cNvPr>
        <xdr:cNvSpPr/>
      </xdr:nvSpPr>
      <xdr:spPr>
        <a:xfrm>
          <a:off x="12414250" y="1350434"/>
          <a:ext cx="1220258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 E-MAIL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295276</xdr:colOff>
      <xdr:row>0</xdr:row>
      <xdr:rowOff>38101</xdr:rowOff>
    </xdr:from>
    <xdr:to>
      <xdr:col>11</xdr:col>
      <xdr:colOff>255271</xdr:colOff>
      <xdr:row>2</xdr:row>
      <xdr:rowOff>38101</xdr:rowOff>
    </xdr:to>
    <xdr:pic macro="[0]!ExportarResumo">
      <xdr:nvPicPr>
        <xdr:cNvPr id="3" name="Gráfico 2" descr="Enviar estrutura de tópicos">
          <a:extLst>
            <a:ext uri="{FF2B5EF4-FFF2-40B4-BE49-F238E27FC236}">
              <a16:creationId xmlns:a16="http://schemas.microsoft.com/office/drawing/2014/main" id="{1AB3C00E-9363-F48D-6FEB-B6CC211B9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01276" y="38101"/>
          <a:ext cx="571500" cy="571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0CB1AF-DB7C-4DFF-BE25-FB1A9025CE4A}" name="Tabela1" displayName="Tabela1" ref="A1:I31" totalsRowShown="0" tableBorderDxfId="9">
  <autoFilter ref="A1:I31" xr:uid="{4F0CB1AF-DB7C-4DFF-BE25-FB1A9025CE4A}"/>
  <tableColumns count="9">
    <tableColumn id="1" xr3:uid="{FE87BAAB-2538-4FC2-B838-0DD3FEAD18F1}" name="OV" dataDxfId="8"/>
    <tableColumn id="2" xr3:uid="{9D3EDD5A-8D6A-4AC4-B746-5D0DEA4E0901}" name="CONTRATO" dataDxfId="7"/>
    <tableColumn id="3" xr3:uid="{DD5E985A-53E8-4B0F-91E9-6C4E048FC201}" name="CLIENTE" dataDxfId="6"/>
    <tableColumn id="4" xr3:uid="{AA8B68FE-8C7D-400E-AD63-851D1F457643}" name="SERVIÇO" dataDxfId="5"/>
    <tableColumn id="5" xr3:uid="{61A37AE5-E795-485D-AC7A-08467FBDE4AD}" name="DESCRIÇÃO" dataDxfId="4"/>
    <tableColumn id="6" xr3:uid="{4478272E-69F4-46E8-8DD4-49BF2B21C025}" name="VALOR TOTAL" dataDxfId="3" dataCellStyle="Moeda"/>
    <tableColumn id="7" xr3:uid="{7DED3265-C3E0-4AFD-BD24-95618FA91616}" name="VALOR LÍQUIDO" dataDxfId="2" dataCellStyle="Moeda"/>
    <tableColumn id="8" xr3:uid="{CCA8B00E-C026-4A1C-9510-B25A53E2DD8B}" name="FILIAL" dataDxfId="1"/>
    <tableColumn id="9" xr3:uid="{A5DD122A-EDD3-4C25-83C5-68BD2D255909}" name="PROCESSADO EM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36BCACE-75A1-4525-B612-C32E208A24BF}">
  <we:reference id="wa200005502" version="1.0.0.11" store="pt-BR" storeType="OMEX"/>
  <we:alternateReferences>
    <we:reference id="wa200005502" version="1.0.0.11" store="wa200005502" storeType="OMEX"/>
  </we:alternateReferences>
  <we:properties>
    <we:property name="docId" value="&quot;0aorPEKQA13dfqJpkZyRy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bhissdigital.pbh.gov.br/nfse/index.jsp" TargetMode="External"/><Relationship Id="rId1" Type="http://schemas.openxmlformats.org/officeDocument/2006/relationships/hyperlink" Target="https://bhissdigital.pbh.gov.br/nfse/index.jsp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leatorio@aleatorio.com.br" TargetMode="External"/><Relationship Id="rId1" Type="http://schemas.openxmlformats.org/officeDocument/2006/relationships/hyperlink" Target="mailto:aleatorio@aleatorio.com.br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1:AF36"/>
  <sheetViews>
    <sheetView showGridLines="0" tabSelected="1" zoomScale="90" zoomScaleNormal="90" workbookViewId="0">
      <selection activeCell="M17" sqref="M17"/>
    </sheetView>
  </sheetViews>
  <sheetFormatPr defaultColWidth="9.109375" defaultRowHeight="14.4" x14ac:dyDescent="0.3"/>
  <cols>
    <col min="1" max="1" width="4.5546875" style="12" customWidth="1"/>
    <col min="2" max="2" width="18.5546875" style="12" customWidth="1"/>
    <col min="3" max="3" width="11.5546875" style="12" bestFit="1" customWidth="1"/>
    <col min="4" max="4" width="12.6640625" style="12" bestFit="1" customWidth="1"/>
    <col min="5" max="5" width="10.5546875" style="12" bestFit="1" customWidth="1"/>
    <col min="6" max="6" width="13.6640625" style="12" customWidth="1"/>
    <col min="7" max="7" width="13.44140625" style="12" customWidth="1"/>
    <col min="8" max="8" width="15.109375" style="12" customWidth="1"/>
    <col min="9" max="9" width="15.33203125" style="12" customWidth="1"/>
    <col min="10" max="10" width="14.6640625" style="12" bestFit="1" customWidth="1"/>
    <col min="11" max="11" width="17.6640625" style="12" customWidth="1"/>
    <col min="12" max="12" width="15.109375" style="12" bestFit="1" customWidth="1"/>
    <col min="13" max="13" width="18" style="12" bestFit="1" customWidth="1"/>
    <col min="14" max="14" width="15.109375" style="12" bestFit="1" customWidth="1"/>
    <col min="15" max="15" width="13" style="12" customWidth="1"/>
    <col min="16" max="16" width="5.6640625" style="12" customWidth="1"/>
    <col min="17" max="19" width="9.109375" style="12"/>
    <col min="20" max="20" width="8.44140625" style="12" hidden="1" customWidth="1"/>
    <col min="21" max="21" width="5.109375" style="12" hidden="1" customWidth="1"/>
    <col min="22" max="22" width="10.5546875" style="12" hidden="1" customWidth="1"/>
    <col min="23" max="23" width="11.33203125" style="12" hidden="1" customWidth="1"/>
    <col min="24" max="31" width="6.5546875" style="12" hidden="1" customWidth="1"/>
    <col min="32" max="16384" width="9.109375" style="12"/>
  </cols>
  <sheetData>
    <row r="1" spans="2:32" x14ac:dyDescent="0.3">
      <c r="G1" s="136" t="s">
        <v>17</v>
      </c>
      <c r="H1" s="136"/>
      <c r="I1" s="136"/>
    </row>
    <row r="2" spans="2:32" x14ac:dyDescent="0.3">
      <c r="B2"/>
      <c r="G2" s="137"/>
      <c r="H2" s="137"/>
    </row>
    <row r="3" spans="2:32" x14ac:dyDescent="0.3">
      <c r="C3" s="138"/>
      <c r="D3" s="138"/>
      <c r="E3" s="138"/>
      <c r="G3" s="217" t="s">
        <v>34</v>
      </c>
      <c r="H3" s="218"/>
      <c r="I3" s="219"/>
      <c r="J3" s="194" t="s">
        <v>258</v>
      </c>
      <c r="K3" s="91" t="str">
        <f>IFERROR(IF(VLOOKUP(F5,'ORDEM DE VENDA'!A:E,5,0)="",VLOOKUP(VLOOKUP('Tributação fora do Municipio'!F5,'ORDEM DE VENDA'!A:M,13,0),COTAÇÕES!A:C,3,0),VLOOKUP(I5,CLIENTES!A:C,3,0)),"VERIFICAR NÚMERO DA OV")</f>
        <v>ALEATÓRIO 5680</v>
      </c>
      <c r="L3" s="139"/>
      <c r="M3" s="139"/>
      <c r="N3" s="140"/>
    </row>
    <row r="4" spans="2:32" x14ac:dyDescent="0.3">
      <c r="E4" s="138"/>
      <c r="F4" s="141" t="s">
        <v>935</v>
      </c>
      <c r="G4" s="143" t="s">
        <v>33</v>
      </c>
      <c r="H4" s="142" t="s">
        <v>8</v>
      </c>
      <c r="I4" s="193" t="str">
        <f>IFERROR(IF(VLOOKUP(F5,'ORDEM DE VENDA'!A:E,5,0)="","COTAÇÃO","CONTRATO"),"CONTRATO")</f>
        <v>CONTRATO</v>
      </c>
      <c r="J4" s="144" t="s">
        <v>56</v>
      </c>
      <c r="K4" s="145" t="s">
        <v>57</v>
      </c>
      <c r="L4" s="145" t="s">
        <v>58</v>
      </c>
      <c r="M4" s="145" t="s">
        <v>59</v>
      </c>
      <c r="N4" s="145" t="s">
        <v>60</v>
      </c>
      <c r="O4" s="145" t="s">
        <v>995</v>
      </c>
    </row>
    <row r="5" spans="2:32" x14ac:dyDescent="0.3">
      <c r="B5" s="146" t="s">
        <v>19</v>
      </c>
      <c r="C5" s="138"/>
      <c r="D5" s="138"/>
      <c r="E5" s="138"/>
      <c r="F5" s="114">
        <v>252888</v>
      </c>
      <c r="G5" s="199"/>
      <c r="H5" s="196">
        <f>VLOOKUP(VLOOKUP(F5,'ORDEM DE VENDA'!A:F,6,0),SERVIÇOS!D:E,2,0)</f>
        <v>2</v>
      </c>
      <c r="I5" s="147">
        <f>IFERROR(IF(VLOOKUP(F5,'ORDEM DE VENDA'!A:E,5,0)="",VLOOKUP('Tributação fora do Municipio'!F5,'ORDEM DE VENDA'!A:M,13,0),VLOOKUP(F5,'ORDEM DE VENDA'!1:1048576,5,0)),"")</f>
        <v>26819</v>
      </c>
      <c r="J5" s="94">
        <f>IFERROR(IF(VLOOKUP(F5,'ORDEM DE VENDA'!A:E,5,0)="",VLOOKUP(I5,COTAÇÕES!A:I,9,0),VLOOKUP(I5,CLIENTES!A:I,9,0)),"")</f>
        <v>26</v>
      </c>
      <c r="K5" s="95" t="str">
        <f>IFERROR(VLOOKUP($J$5,SITES!A1:F25,2,0),"")</f>
        <v>SÃO JOÃO DA BARRA/RJ</v>
      </c>
      <c r="L5" s="95" t="str">
        <f>IFERROR(VLOOKUP($J$5,SITES!A1:F25,4,0),"")</f>
        <v>FICTICIO</v>
      </c>
      <c r="M5" s="96" t="str">
        <f>IFERROR(VLOOKUP($J$5,SITES!A1:F25,5,0),"")</f>
        <v>FICTICIO</v>
      </c>
      <c r="N5" s="95" t="str">
        <f>IFERROR(VLOOKUP($J$5,SITES!A1:F25,6,0),"")</f>
        <v>FICTICIO</v>
      </c>
      <c r="O5" s="94">
        <f>IFERROR(IF(VLOOKUP(F5,'ORDEM DE VENDA'!A:E,5,0)="",VLOOKUP(VLOOKUP('Tributação fora do Municipio'!F5,'ORDEM DE VENDA'!A:M,13,0),COTAÇÕES!A:E,5,0),VLOOKUP(I5,CLIENTES!A:F,5,0)),"")</f>
        <v>17140820</v>
      </c>
    </row>
    <row r="6" spans="2:32" x14ac:dyDescent="0.3">
      <c r="B6" s="221" t="s">
        <v>4</v>
      </c>
      <c r="C6" s="222"/>
      <c r="D6" s="111">
        <f>IFERROR(VLOOKUP(F5,'ORDEM DE VENDA'!A:E,3,0),"----")</f>
        <v>3300</v>
      </c>
      <c r="E6" s="138"/>
      <c r="H6" s="12" t="s">
        <v>260</v>
      </c>
      <c r="I6"/>
    </row>
    <row r="7" spans="2:32" x14ac:dyDescent="0.3">
      <c r="B7" s="148"/>
      <c r="C7" s="149"/>
      <c r="D7" s="149"/>
      <c r="E7" s="149"/>
      <c r="H7" s="224" t="s">
        <v>10</v>
      </c>
      <c r="I7" s="224"/>
      <c r="J7" s="224"/>
      <c r="K7" s="224"/>
      <c r="L7" s="224"/>
      <c r="M7" s="224"/>
      <c r="N7" s="224"/>
      <c r="O7" s="224"/>
    </row>
    <row r="8" spans="2:32" x14ac:dyDescent="0.3">
      <c r="B8" s="150" t="s">
        <v>82</v>
      </c>
      <c r="C8" s="62">
        <v>0.65</v>
      </c>
      <c r="D8" s="63">
        <f>IFERROR(D6*C8,"")</f>
        <v>2145</v>
      </c>
      <c r="E8" s="151"/>
    </row>
    <row r="9" spans="2:32" x14ac:dyDescent="0.3">
      <c r="B9" s="150" t="s">
        <v>37</v>
      </c>
      <c r="C9" s="62">
        <v>0.35</v>
      </c>
      <c r="D9" s="82">
        <f>IFERROR(D6*C9,"")</f>
        <v>1155</v>
      </c>
      <c r="E9" s="152"/>
      <c r="H9" s="11" t="s">
        <v>8</v>
      </c>
      <c r="I9" s="11"/>
      <c r="J9" s="11"/>
      <c r="K9" s="11"/>
      <c r="L9" s="11"/>
      <c r="N9" s="11"/>
      <c r="O9" s="11"/>
    </row>
    <row r="10" spans="2:32" ht="37.5" customHeight="1" x14ac:dyDescent="0.3">
      <c r="B10" s="153"/>
      <c r="C10" s="154"/>
      <c r="D10" s="155"/>
      <c r="E10" s="1"/>
      <c r="F10" s="156"/>
      <c r="H10" s="225" t="str">
        <f>IFERROR(IF(OR(I5=123456,I5=""),CONCATENATE(VLOOKUP(H5,SERVIÇOS!A1:B42,2,0),"COTAÇÃO DE VENDA - ",VLOOKUP(F5,'ORDEM DE VENDA'!A:M,13,0),IF(G5&lt;&gt;""," "&amp;G5,"")),CONCATENATE(VLOOKUP(H5,SERVIÇOS!A1:B42,2,0),'Tributação fora do Municipio'!I5,";",IF(G5&lt;&gt;""," "&amp;G5,""),IF(VLOOKUP(F5,'ORDEM DE VENDA'!A:N,14,0)&lt;&gt;""," - OPORTUNIDADE"&amp;" "&amp;VLOOKUP(F5,'ORDEM DE VENDA'!A:N,14,0),""))),"VERIFIQUE O NÚMERO DA OV")</f>
        <v>DESMOBILIZACAO COM CAMINHAO MUNCK - VALOR REFERENTE A PRESTAÇÃO DE SERVIÇO COM CAMINHÃO MUNCK PARA DESMOBILIZACAO CONFORME CONTRATO: 26819; - OPORTUNIDADE 45151</v>
      </c>
      <c r="I10" s="225"/>
      <c r="J10" s="225"/>
      <c r="K10" s="225"/>
      <c r="L10" s="225"/>
      <c r="M10" s="225"/>
      <c r="N10" s="225"/>
      <c r="O10" s="225"/>
    </row>
    <row r="11" spans="2:32" x14ac:dyDescent="0.3">
      <c r="B11" s="157" t="s">
        <v>0</v>
      </c>
      <c r="C11" s="158">
        <v>0.11</v>
      </c>
      <c r="D11" s="159">
        <f>IFERROR(IF(OR(H5=7,H5=25,H5=8),D6*C11,D9*C11),"----")</f>
        <v>127.05</v>
      </c>
      <c r="E11" s="160"/>
      <c r="H11" s="172" t="str">
        <f>IFERROR(SUBSTITUTE(SUBSTITUTE(MID((VLOOKUP(F5,'ORDEM DE VENDA'!A:J,10,0)),1,LEN((VLOOKUP(F5,'ORDEM DE VENDA'!A:EV,10,0)))),CHAR(10), " "), CHAR(13), ""),"")</f>
        <v>FAZENDA SAO JOAO UFV SAO JOAO N SN ESTRADA BREJO GRANDE 28093000 CAMPOS DOS GOYTACAZES RJ BR -</v>
      </c>
      <c r="I11" s="38"/>
      <c r="J11" s="57"/>
      <c r="K11" s="39"/>
      <c r="L11" s="39"/>
      <c r="M11" s="39"/>
      <c r="N11" s="39"/>
      <c r="O11" s="40"/>
    </row>
    <row r="12" spans="2:32" x14ac:dyDescent="0.3">
      <c r="B12" s="161" t="s">
        <v>1</v>
      </c>
      <c r="C12" s="162">
        <f>IFERROR(VLOOKUP(VLOOKUP(F5,'ORDEM DE VENDA'!1:1048576,11,0),ISS!A:B,2,0)," ----")</f>
        <v>0.05</v>
      </c>
      <c r="D12" s="159">
        <f>IFERROR(C12*$D$6,"----")</f>
        <v>165</v>
      </c>
      <c r="E12" s="160"/>
      <c r="G12" s="163"/>
      <c r="H12" s="58" t="str">
        <f>IFERROR(IF(VLOOKUP(F5,'ORDEM DE VENDA'!A:E,5,0)="",IF(VLOOKUP(VLOOKUP('Tributação fora do Municipio'!F5,'ORDEM DE VENDA'!A:M,13,0),COTAÇÕES!A:B,2,0)&gt;-1,"VENCIMENTO",""),IF(VLOOKUP('Tributação fora do Municipio'!I5,CLIENTES!A:D,2,0)&gt;-1,"VENCIMENTO","")),"")</f>
        <v>VENCIMENTO</v>
      </c>
      <c r="I12" s="173">
        <f ca="1">IFERROR(
    IF(
        VLOOKUP(F5, 'ORDEM DE VENDA'!A:E, 5, 0) = "",
        IF(
            VLOOKUP(VLOOKUP(F5, 'ORDEM DE VENDA'!A:M, 13, 0), COTAÇÕES!A:B, 2, 0) = "FIXO DIA 10",
            IF(
                TODAY() &lt; 7,
                DATE(YEAR(TODAY()), MONTH(TODAY()), 10),
                DATE(YEAR(TODAY()), MONTH(TODAY()) + 1, 10)
            ),
            IF(
                VLOOKUP(VLOOKUP(F5, 'ORDEM DE VENDA'!A:M, 13, 0), COTAÇÕES!A:B, 2, 0) = 0,
                TODAY() + 7,
                IF(
                    VLOOKUP(VLOOKUP(F5, 'ORDEM DE VENDA'!A:M, 13, 0), COTAÇÕES!A:B, 2, 0) = "30/60",
                    CONCATENATE(
                        TEXT(DATE(YEAR(TODAY()), MONTH(TODAY()) + 1, DAY(TODAY()) + 30), "dd/mm/aaaa"),
                        " ",
                        "&amp;",
                        " ",
                        TEXT(DATE(YEAR(TODAY()), MONTH(TODAY()) + 2, DAY(TODAY()) + 60), "dd/mm/aaaa")
                    ),
                    IF(
                        VLOOKUP(VLOOKUP(F5, 'ORDEM DE VENDA'!A:M, 13, 0), COTAÇÕES!A:B, 2, 0) &gt; 0,
                        TODAY() + VLOOKUP(VLOOKUP(F5, 'ORDEM DE VENDA'!A:M, 13, 0), COTAÇÕES!A:B, 2, 0),
                        ""
                    )
                )
            )
        ),
        IF(
            VLOOKUP('Tributação fora do Municipio'!I5, CLIENTES!A:D, 2, 0) = "FIXO DIA 10",
            IF(
                TODAY() &lt; 7,
                DATE(YEAR(TODAY()), MONTH(TODAY()), 10),
                DATE(YEAR(TODAY()), MONTH(TODAY()) + 1, 10)
            ),
            IF(
                VLOOKUP('Tributação fora do Municipio'!I5, CLIENTES!A:D, 2, 0) = 0,
                TODAY() + 7,
                IF(
                    VLOOKUP('Tributação fora do Municipio'!I5, CLIENTES!A:D, 2, 0) = "30/60",
                    CONCATENATE(
                        TEXT(DATE(YEAR(TODAY()), MONTH(TODAY()) + 1, DAY(TODAY()) + 30), "dd/mm/aaaa"),
                        " ",
                        "&amp;",
                        " ",
                        TEXT(DATE(YEAR(TODAY()), MONTH(TODAY()) + 2, DAY(TODAY()) + 60), "dd/mm/aaaa")
                    ),
                    IF(
                        VLOOKUP('Tributação fora do Municipio'!I5, CLIENTES!A:D, 2, 0) &gt; 0,
                        TODAY() + VLOOKUP('Tributação fora do Municipio'!I5, CLIENTES!A:D, 2, 0),
                        ""
                    )
                )
            )
        )
    ),
    ""
)</f>
        <v>46277</v>
      </c>
      <c r="J12" s="39"/>
      <c r="K12" s="39"/>
      <c r="L12" s="39"/>
      <c r="M12" s="39"/>
      <c r="N12" s="39"/>
      <c r="O12" s="40"/>
    </row>
    <row r="13" spans="2:32" x14ac:dyDescent="0.3">
      <c r="B13" s="164" t="s">
        <v>1286</v>
      </c>
      <c r="C13" s="165"/>
      <c r="D13" s="166" t="str">
        <f>IFERROR(IF(AND(VLOOKUP('Tributação fora do Municipio'!F5,'ORDEM DE VENDA'!A:EV,11,0)="CONTAGEM",VLOOKUP(J5,SITES!A:G,7,0)="CONTAGEM",VLOOKUP(J5,SITES!A:G,7,0)=VLOOKUP('Tributação fora do Municipio'!F5,'ORDEM DE VENDA'!1:1048576,12,0)),"2024",IF(AND(VLOOKUP('Tributação fora do Municipio'!F5,'ORDEM DE VENDA'!A:EV,11,0)="SALVADOR",VLOOKUP(J5,SITES!A:G,7,0)="SALVADOR",VLOOKUP(J5,SITES!A:G,7,0)=VLOOKUP('Tributação fora do Municipio'!F5,'ORDEM DE VENDA'!1:1048576,12,0)),"2024",IF(AND(VLOOKUP('Tributação fora do Municipio'!F5,'ORDEM DE VENDA'!A:EV,11,0)=VLOOKUP(J5,SITES!A:G,7,0),VLOOKUP(J5,SITES!A:G,7,0)=VLOOKUP('Tributação fora do Municipio'!F5,'ORDEM DE VENDA'!1:1048576,12,0)),"2015",IF(AND(VLOOKUP('Tributação fora do Municipio'!F5,'ORDEM DE VENDA'!A:EV,11,0)=VLOOKUP(J5,SITES!A:G,7,0),VLOOKUP(J5,SITES!A:G,7,0)&lt;&gt;VLOOKUP('Tributação fora do Municipio'!F5,'ORDEM DE VENDA'!1:1048576,12,0)),"2015",IF(AND(VLOOKUP('Tributação fora do Municipio'!F5,'ORDEM DE VENDA'!A:EV,11,0)&lt;&gt;VLOOKUP(J5,SITES!A:G,7,0),VLOOKUP('Tributação fora do Municipio'!F5,'ORDEM DE VENDA'!A:EV,11,0)=VLOOKUP('Tributação fora do Municipio'!F5,'ORDEM DE VENDA'!1:1048576,12,0)),"2031",IF(AND(VLOOKUP('Tributação fora do Municipio'!F5,'ORDEM DE VENDA'!A:EV,11,0)&lt;&gt;VLOOKUP(J5,SITES!A:G,7,0),VLOOKUP(J5,SITES!A:G,7,0)&lt;&gt;VLOOKUP('Tributação fora do Municipio'!F5,'ORDEM DE VENDA'!1:1048576,12,0)),"2031",IF(AND(VLOOKUP('Tributação fora do Municipio'!F5,'ORDEM DE VENDA'!A:EV,11,0)&lt;&gt;VLOOKUP(J5,SITES!A:G,7,0),VLOOKUP(J5,SITES!A:G,7,0)=VLOOKUP('Tributação fora do Municipio'!F5,'ORDEM DE VENDA'!1:1048576,12,0)),"2031"))))))),"----")</f>
        <v>2031</v>
      </c>
      <c r="E13" s="160"/>
      <c r="H13" s="65" t="s">
        <v>24</v>
      </c>
      <c r="I13" s="66"/>
      <c r="J13" s="66"/>
      <c r="K13" s="66"/>
      <c r="L13" s="67"/>
      <c r="M13" s="67"/>
      <c r="N13" s="68"/>
      <c r="O13" s="69"/>
    </row>
    <row r="14" spans="2:32" x14ac:dyDescent="0.3">
      <c r="B14" s="223" t="s">
        <v>18</v>
      </c>
      <c r="C14" s="223"/>
      <c r="D14" s="167">
        <f>IFERROR(IF(AND(VLOOKUP('Tributação fora do Municipio'!F5,'ORDEM DE VENDA'!A:EV,11,0)="CONTAGEM",VLOOKUP(J5,SITES!A:G,7,0)="CONTAGEM",VLOOKUP(J5,SITES!A:G,7,0)=VLOOKUP('Tributação fora do Municipio'!F5,'ORDEM DE VENDA'!1:1048576,12,0)),D6-D11-D12,IF(AND(VLOOKUP('Tributação fora do Municipio'!F5,'ORDEM DE VENDA'!A:EV,11,0)="CONTAGEM",VLOOKUP(J5,SITES!A:G,7,0)="CONTAGEM",VLOOKUP(J5,SITES!A:G,7,0)=VLOOKUP('Tributação fora do Municipio'!F5,'ORDEM DE VENDA'!1:1048576,12,0)),D6-D11-D12,IF(AND((VLOOKUP('Tributação fora do Municipio'!F5,'ORDEM DE VENDA'!A:EV,11,0))="SAO LUIS",VLOOKUP(J5,SITES!A:G,7,0)="9",VLOOKUP(J5,SITES!A:G,7,0)=VLOOKUP('Tributação fora do Municipio'!F5,'ORDEM DE VENDA'!1:1048576,12,0)="SAO LUIS"),D6-D11,IF(AND(VLOOKUP('Tributação fora do Municipio'!F5,'ORDEM DE VENDA'!A:EV,11,0)=VLOOKUP(J5,SITES!A:G,7,0),VLOOKUP(J5,SITES!A:G,7,0)=VLOOKUP('Tributação fora do Municipio'!F5,'ORDEM DE VENDA'!1:1048576,12,0)),D6-SUM(D11),IF(AND(VLOOKUP('Tributação fora do Municipio'!F5,'ORDEM DE VENDA'!A:EV,11,0)=VLOOKUP(J5,SITES!A:G,7,0),VLOOKUP('Tributação fora do Municipio'!F5,'ORDEM DE VENDA'!1:1048576,12,0)&lt;&gt;VLOOKUP(J5,SITES!A:G,7,0)),D6-SUM(D11),IF(AND(VLOOKUP('Tributação fora do Municipio'!F5,'ORDEM DE VENDA'!A:EV,11,0)=VLOOKUP('Tributação fora do Municipio'!F5,'ORDEM DE VENDA'!1:1048576,12,0),VLOOKUP(J5,SITES!A:G,7,0)&lt;&gt;VLOOKUP('Tributação fora do Municipio'!F5,'ORDEM DE VENDA'!A:EV,11,0)),D6-SUM(D11:D13),IF(AND(VLOOKUP('Tributação fora do Municipio'!F5,'ORDEM DE VENDA'!A:EV,11,0)&lt;&gt;VLOOKUP(J5,SITES!A:G,7,0),VLOOKUP(J5,SITES!A:G,7,0)=VLOOKUP('Tributação fora do Municipio'!F5,'ORDEM DE VENDA'!1:1048576,12,0)),D6-SUM(D11:D13),IF(AND(VLOOKUP('Tributação fora do Municipio'!F5,'ORDEM DE VENDA'!A:EV,11,0)&lt;&gt;VLOOKUP(J5,SITES!A:G,7,0),VLOOKUP(J5,SITES!A:G,7,0)&lt;&gt;VLOOKUP('Tributação fora do Municipio'!F5,'ORDEM DE VENDA'!1:1048576,12,0)),D6-SUM(D11:D13),D6-SUM(D11))))))))),"----")</f>
        <v>3007.95</v>
      </c>
      <c r="G14" s="168"/>
      <c r="H14" s="174" t="s">
        <v>21</v>
      </c>
      <c r="I14" s="175">
        <f>IF(OR(H5=7,H5=8),0,C8)</f>
        <v>0.65</v>
      </c>
      <c r="J14" s="176">
        <f>IFERROR(D6*I14,"")</f>
        <v>2145</v>
      </c>
      <c r="K14" s="2"/>
      <c r="L14" s="14"/>
      <c r="M14" s="14"/>
      <c r="N14" s="2"/>
      <c r="O14" s="73"/>
    </row>
    <row r="15" spans="2:32" x14ac:dyDescent="0.3">
      <c r="G15" s="168"/>
      <c r="H15" s="177" t="s">
        <v>8</v>
      </c>
      <c r="I15" s="175">
        <f>IF(OR(H5=7,H5=8),1,C9)</f>
        <v>0.35</v>
      </c>
      <c r="J15" s="178">
        <f>IFERROR(D6*I15,"")</f>
        <v>1155</v>
      </c>
      <c r="K15" s="179"/>
      <c r="L15" s="14"/>
      <c r="M15" s="14"/>
      <c r="N15" s="2"/>
      <c r="O15" s="73"/>
    </row>
    <row r="16" spans="2:32" ht="15" thickBot="1" x14ac:dyDescent="0.35">
      <c r="B16" s="169" t="s">
        <v>22</v>
      </c>
      <c r="C16" s="169"/>
      <c r="D16" s="169"/>
      <c r="E16" s="169"/>
      <c r="F16" s="156"/>
      <c r="G16" s="168"/>
      <c r="H16" s="13" t="s">
        <v>11</v>
      </c>
      <c r="I16" s="14"/>
      <c r="J16" s="14"/>
      <c r="K16" s="14"/>
      <c r="L16" s="14"/>
      <c r="M16" s="14"/>
      <c r="N16" s="14"/>
      <c r="O16" s="75"/>
      <c r="U16" s="11" t="s">
        <v>8</v>
      </c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2:31" ht="15" customHeight="1" x14ac:dyDescent="0.3">
      <c r="B17" s="169" t="s">
        <v>23</v>
      </c>
      <c r="C17" s="169"/>
      <c r="D17" s="169"/>
      <c r="E17" s="169"/>
      <c r="H17" s="76" t="s">
        <v>0</v>
      </c>
      <c r="I17" s="180">
        <f>C11</f>
        <v>0.11</v>
      </c>
      <c r="J17" s="181">
        <f>D11</f>
        <v>127.05</v>
      </c>
      <c r="K17" s="14"/>
      <c r="L17" s="14"/>
      <c r="M17" s="14"/>
      <c r="N17" s="14"/>
      <c r="O17" s="75"/>
      <c r="U17" s="51" t="s">
        <v>20</v>
      </c>
      <c r="V17" s="52"/>
      <c r="W17" s="52"/>
      <c r="X17" s="52"/>
      <c r="Y17" s="52"/>
      <c r="Z17" s="52"/>
      <c r="AA17" s="52"/>
      <c r="AB17" s="52"/>
      <c r="AC17" s="52"/>
      <c r="AD17" s="52"/>
      <c r="AE17" s="52"/>
    </row>
    <row r="18" spans="2:31" x14ac:dyDescent="0.3">
      <c r="H18" s="76" t="s">
        <v>1</v>
      </c>
      <c r="I18" s="182">
        <f>C12</f>
        <v>0.05</v>
      </c>
      <c r="J18" s="181">
        <f>D12</f>
        <v>165</v>
      </c>
      <c r="K18" s="14"/>
      <c r="L18" s="14"/>
      <c r="M18" s="14"/>
      <c r="N18" s="14"/>
      <c r="O18" s="75"/>
      <c r="U18" s="35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2:31" ht="15" thickBot="1" x14ac:dyDescent="0.35">
      <c r="H19" s="78" t="str">
        <f>IF(OR(H5=7,H5=8),"","Redução da base de cálculo do INSS, aplicado de acordo com art. 118  – inciso II – letra b da IN 2110/2022")</f>
        <v>Redução da base de cálculo do INSS, aplicado de acordo com art. 118  – inciso II – letra b da IN 2110/2022</v>
      </c>
      <c r="I19" s="79"/>
      <c r="J19" s="33"/>
      <c r="K19" s="19"/>
      <c r="L19" s="19"/>
      <c r="M19" s="19"/>
      <c r="N19" s="19"/>
      <c r="O19" s="81"/>
      <c r="U19" s="35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2:31" x14ac:dyDescent="0.3">
      <c r="B20" s="1"/>
      <c r="C20" s="26"/>
      <c r="D20" s="26"/>
      <c r="Q20" s="17"/>
      <c r="R20" s="17"/>
      <c r="S20" s="17"/>
      <c r="T20" s="17"/>
      <c r="U20" s="17"/>
      <c r="V20" s="17"/>
      <c r="W20" s="17"/>
      <c r="X20" s="25"/>
    </row>
    <row r="21" spans="2:31" ht="12" customHeight="1" x14ac:dyDescent="0.3">
      <c r="D21" s="26"/>
      <c r="Q21" s="17"/>
      <c r="R21" s="17"/>
      <c r="S21" s="17"/>
      <c r="T21" s="17"/>
      <c r="U21" s="17"/>
      <c r="V21" s="25"/>
    </row>
    <row r="22" spans="2:31" x14ac:dyDescent="0.3">
      <c r="D22" s="26"/>
      <c r="E22" s="26"/>
      <c r="F22" s="26"/>
      <c r="K22" s="163"/>
      <c r="L22" s="163"/>
      <c r="R22" s="17"/>
      <c r="S22" s="17"/>
      <c r="T22" s="17"/>
      <c r="U22" s="17"/>
      <c r="V22" s="25"/>
    </row>
    <row r="23" spans="2:31" x14ac:dyDescent="0.3">
      <c r="B23" s="1"/>
      <c r="C23" s="170"/>
      <c r="D23" s="26"/>
      <c r="H23" s="163"/>
      <c r="R23" s="17"/>
      <c r="S23" s="17"/>
      <c r="T23" s="17"/>
      <c r="U23" s="17"/>
      <c r="V23" s="17"/>
      <c r="W23" s="17"/>
      <c r="X23" s="25"/>
    </row>
    <row r="24" spans="2:31" ht="14.25" customHeight="1" x14ac:dyDescent="0.3">
      <c r="B24" s="1"/>
      <c r="C24" s="26"/>
      <c r="D24" s="26"/>
      <c r="Q24" s="17"/>
      <c r="R24" s="17"/>
      <c r="S24" s="17"/>
      <c r="T24" s="17"/>
      <c r="U24" s="17"/>
      <c r="V24" s="17"/>
      <c r="W24" s="17"/>
      <c r="X24" s="25"/>
    </row>
    <row r="25" spans="2:31" x14ac:dyDescent="0.3">
      <c r="C25" s="26"/>
      <c r="D25" s="26"/>
      <c r="E25" s="26"/>
      <c r="F25" s="26"/>
      <c r="T25" s="15" t="s">
        <v>0</v>
      </c>
      <c r="U25" s="27" t="e">
        <f>#REF!</f>
        <v>#REF!</v>
      </c>
      <c r="V25" s="16" t="e">
        <f>#REF!</f>
        <v>#REF!</v>
      </c>
      <c r="W25" s="17"/>
      <c r="X25" s="17"/>
      <c r="Y25" s="17"/>
      <c r="Z25" s="17"/>
      <c r="AA25" s="17"/>
      <c r="AB25" s="17"/>
      <c r="AC25" s="17"/>
      <c r="AD25" s="17"/>
      <c r="AE25" s="25"/>
    </row>
    <row r="26" spans="2:31" x14ac:dyDescent="0.3">
      <c r="B26" s="1"/>
      <c r="C26" s="26"/>
      <c r="D26" s="26"/>
      <c r="E26" s="26"/>
      <c r="F26" s="26"/>
      <c r="T26" s="15" t="s">
        <v>1</v>
      </c>
      <c r="U26" s="27">
        <f>Q4</f>
        <v>0</v>
      </c>
      <c r="V26" s="16" t="e">
        <f>#REF!</f>
        <v>#REF!</v>
      </c>
      <c r="W26" s="17"/>
      <c r="X26" s="17"/>
      <c r="Y26" s="17"/>
      <c r="Z26" s="17"/>
      <c r="AA26" s="17"/>
      <c r="AB26" s="17"/>
      <c r="AC26" s="17"/>
      <c r="AD26" s="17"/>
      <c r="AE26" s="25"/>
    </row>
    <row r="27" spans="2:31" x14ac:dyDescent="0.3">
      <c r="E27" s="26"/>
      <c r="F27" s="26"/>
      <c r="T27" s="15" t="s">
        <v>5</v>
      </c>
      <c r="U27" s="27">
        <f>P5</f>
        <v>0</v>
      </c>
      <c r="V27" s="16" t="e">
        <f>#REF!</f>
        <v>#REF!</v>
      </c>
      <c r="W27" s="17"/>
      <c r="X27" s="17"/>
      <c r="Y27" s="17"/>
      <c r="Z27" s="17"/>
      <c r="AA27" s="17"/>
      <c r="AB27" s="17"/>
      <c r="AC27" s="17"/>
      <c r="AD27" s="17"/>
      <c r="AE27" s="25"/>
    </row>
    <row r="28" spans="2:31" ht="12" customHeight="1" x14ac:dyDescent="0.3">
      <c r="B28" s="220"/>
      <c r="C28" s="220"/>
      <c r="E28" s="26"/>
      <c r="F28" s="26"/>
      <c r="T28" s="15" t="s">
        <v>12</v>
      </c>
      <c r="U28" s="18">
        <f>Q6</f>
        <v>0</v>
      </c>
      <c r="V28" s="16" t="e">
        <f>#REF!</f>
        <v>#REF!</v>
      </c>
      <c r="W28" s="17"/>
      <c r="X28" s="17"/>
      <c r="Y28" s="17"/>
      <c r="Z28" s="17"/>
      <c r="AA28" s="17"/>
      <c r="AB28" s="17"/>
      <c r="AC28" s="17"/>
      <c r="AD28" s="17"/>
      <c r="AE28" s="25"/>
    </row>
    <row r="29" spans="2:31" ht="12" customHeight="1" x14ac:dyDescent="0.3">
      <c r="B29" s="220"/>
      <c r="C29" s="220"/>
      <c r="T29" s="15"/>
      <c r="U29" s="18"/>
      <c r="V29" s="16"/>
      <c r="W29" s="17"/>
      <c r="X29" s="17"/>
      <c r="Y29" s="17"/>
      <c r="Z29" s="17"/>
      <c r="AA29" s="17"/>
      <c r="AB29" s="17"/>
      <c r="AC29" s="17"/>
      <c r="AD29" s="17"/>
      <c r="AE29" s="25"/>
    </row>
    <row r="30" spans="2:31" ht="15" customHeight="1" x14ac:dyDescent="0.3">
      <c r="B30" s="220"/>
      <c r="C30" s="220"/>
      <c r="T30" s="215" t="s">
        <v>16</v>
      </c>
      <c r="U30" s="216"/>
      <c r="V30" s="216"/>
      <c r="W30" s="216"/>
      <c r="X30" s="216"/>
      <c r="Y30" s="216"/>
      <c r="Z30" s="17"/>
      <c r="AA30" s="17"/>
      <c r="AB30" s="17"/>
      <c r="AC30" s="17"/>
      <c r="AD30" s="17"/>
      <c r="AE30" s="25"/>
    </row>
    <row r="31" spans="2:31" ht="15" customHeight="1" x14ac:dyDescent="0.3">
      <c r="B31" s="220"/>
      <c r="C31" s="220"/>
      <c r="T31" s="213" t="s">
        <v>13</v>
      </c>
      <c r="U31" s="214"/>
      <c r="V31" s="214"/>
      <c r="W31" s="28">
        <v>10176</v>
      </c>
      <c r="Y31" s="29"/>
      <c r="Z31" s="17"/>
      <c r="AA31" s="17"/>
      <c r="AB31" s="17"/>
      <c r="AC31" s="17"/>
      <c r="AD31" s="17"/>
      <c r="AE31" s="25"/>
    </row>
    <row r="32" spans="2:31" ht="15" customHeight="1" x14ac:dyDescent="0.3">
      <c r="B32" s="220"/>
      <c r="C32" s="220"/>
      <c r="T32" s="213" t="s">
        <v>14</v>
      </c>
      <c r="U32" s="214"/>
      <c r="V32" s="214"/>
      <c r="W32" s="28">
        <v>1197</v>
      </c>
      <c r="Y32" s="29"/>
      <c r="Z32" s="17"/>
      <c r="AA32" s="17"/>
      <c r="AB32" s="17"/>
      <c r="AC32" s="17"/>
      <c r="AD32" s="17"/>
      <c r="AE32" s="25"/>
    </row>
    <row r="33" spans="20:31" ht="15" customHeight="1" x14ac:dyDescent="0.3">
      <c r="T33" s="213" t="s">
        <v>15</v>
      </c>
      <c r="U33" s="214"/>
      <c r="V33" s="214"/>
      <c r="W33" s="28">
        <v>26580</v>
      </c>
      <c r="Y33" s="29"/>
      <c r="Z33" s="17"/>
      <c r="AA33" s="17"/>
      <c r="AB33" s="17"/>
      <c r="AC33" s="17"/>
      <c r="AD33" s="17"/>
      <c r="AE33" s="25"/>
    </row>
    <row r="34" spans="20:31" x14ac:dyDescent="0.3">
      <c r="T34" s="213"/>
      <c r="U34" s="214"/>
      <c r="V34" s="214"/>
      <c r="W34" s="28"/>
      <c r="X34" s="17"/>
      <c r="Y34" s="17"/>
      <c r="Z34" s="17"/>
      <c r="AA34" s="17"/>
      <c r="AB34" s="17"/>
      <c r="AC34" s="17"/>
      <c r="AD34" s="17"/>
      <c r="AE34" s="25"/>
    </row>
    <row r="35" spans="20:31" x14ac:dyDescent="0.3">
      <c r="T35" s="15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25"/>
    </row>
    <row r="36" spans="20:31" ht="15" thickBot="1" x14ac:dyDescent="0.35">
      <c r="T36" s="30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171"/>
    </row>
  </sheetData>
  <sheetProtection selectLockedCells="1"/>
  <mergeCells count="11">
    <mergeCell ref="B28:C32"/>
    <mergeCell ref="T32:V32"/>
    <mergeCell ref="B6:C6"/>
    <mergeCell ref="B14:C14"/>
    <mergeCell ref="H7:O7"/>
    <mergeCell ref="H10:O10"/>
    <mergeCell ref="T33:V33"/>
    <mergeCell ref="T34:V34"/>
    <mergeCell ref="T30:Y30"/>
    <mergeCell ref="T31:V31"/>
    <mergeCell ref="G3:I3"/>
  </mergeCells>
  <phoneticPr fontId="18" type="noConversion"/>
  <hyperlinks>
    <hyperlink ref="H4" location="SERVIÇOS!A1" display="SERVIÇO" xr:uid="{FC2B63CB-AD60-43EE-B3A5-6E2F57A30EAD}"/>
  </hyperlinks>
  <pageMargins left="0.511811024" right="0.511811024" top="0.78740157499999996" bottom="0.78740157499999996" header="0.31496062000000002" footer="0.31496062000000002"/>
  <pageSetup paperSize="9" scale="54" orientation="portrait" r:id="rId1"/>
  <ignoredErrors>
    <ignoredError sqref="H11:O11 I19:N19 H17:O18 H14 K14:O14 H15 K15:O15 H16 J16:O16 I10:O10 H13:O13 J12:O1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5BAA-8970-47BD-A828-4A06EC43CEF3}">
  <sheetPr codeName="Planilha5"/>
  <dimension ref="A1:O93"/>
  <sheetViews>
    <sheetView zoomScale="120" zoomScaleNormal="120" workbookViewId="0">
      <selection activeCell="J2" sqref="J2"/>
    </sheetView>
  </sheetViews>
  <sheetFormatPr defaultRowHeight="14.4" x14ac:dyDescent="0.3"/>
  <cols>
    <col min="2" max="2" width="12" customWidth="1"/>
    <col min="3" max="3" width="11" customWidth="1"/>
    <col min="4" max="4" width="55.44140625" customWidth="1"/>
    <col min="5" max="5" width="9.6640625" customWidth="1"/>
    <col min="6" max="6" width="40.109375" bestFit="1" customWidth="1"/>
    <col min="7" max="7" width="33.5546875" customWidth="1"/>
    <col min="8" max="9" width="9.109375" customWidth="1"/>
    <col min="10" max="10" width="104.109375" bestFit="1" customWidth="1"/>
    <col min="11" max="11" width="14" customWidth="1"/>
    <col min="12" max="12" width="13.109375" customWidth="1"/>
    <col min="13" max="13" width="11.33203125" bestFit="1" customWidth="1"/>
  </cols>
  <sheetData>
    <row r="1" spans="1:15" x14ac:dyDescent="0.3">
      <c r="A1" t="s">
        <v>939</v>
      </c>
      <c r="B1" t="s">
        <v>936</v>
      </c>
      <c r="C1" t="s">
        <v>937</v>
      </c>
      <c r="D1" t="s">
        <v>938</v>
      </c>
      <c r="E1" t="s">
        <v>83</v>
      </c>
      <c r="F1" t="s">
        <v>940</v>
      </c>
      <c r="G1" t="s">
        <v>85</v>
      </c>
      <c r="H1" t="s">
        <v>89</v>
      </c>
      <c r="I1" t="s">
        <v>941</v>
      </c>
      <c r="J1" t="s">
        <v>942</v>
      </c>
      <c r="M1" t="s">
        <v>1284</v>
      </c>
      <c r="N1" t="s">
        <v>1316</v>
      </c>
    </row>
    <row r="2" spans="1:15" s="201" customFormat="1" x14ac:dyDescent="0.3">
      <c r="A2" s="201">
        <v>239457</v>
      </c>
      <c r="B2" s="202">
        <v>1800</v>
      </c>
      <c r="C2" s="201">
        <v>0</v>
      </c>
      <c r="D2" s="201" t="s">
        <v>1538</v>
      </c>
      <c r="E2" s="201">
        <v>23995</v>
      </c>
      <c r="F2" s="201" t="s">
        <v>1313</v>
      </c>
      <c r="G2" s="201" t="s">
        <v>1574</v>
      </c>
      <c r="H2" s="201">
        <v>18</v>
      </c>
      <c r="I2" s="201" t="s">
        <v>1312</v>
      </c>
      <c r="J2" s="201" t="s">
        <v>1503</v>
      </c>
      <c r="K2" s="201" t="s">
        <v>198</v>
      </c>
      <c r="L2" s="201" t="s">
        <v>198</v>
      </c>
      <c r="N2" s="201">
        <v>36674</v>
      </c>
      <c r="O2" s="203">
        <v>45349</v>
      </c>
    </row>
    <row r="3" spans="1:15" s="130" customFormat="1" x14ac:dyDescent="0.3">
      <c r="A3" s="130">
        <v>239457</v>
      </c>
      <c r="B3" s="210">
        <v>2634.5</v>
      </c>
      <c r="C3" s="210">
        <v>2634.5</v>
      </c>
      <c r="D3" s="130" t="s">
        <v>1566</v>
      </c>
      <c r="E3" s="130">
        <v>23995</v>
      </c>
      <c r="F3" s="130" t="s">
        <v>1337</v>
      </c>
      <c r="G3" s="130" t="s">
        <v>1575</v>
      </c>
      <c r="H3" s="130">
        <v>18</v>
      </c>
      <c r="I3" s="130" t="s">
        <v>1312</v>
      </c>
      <c r="J3" s="130" t="s">
        <v>1503</v>
      </c>
      <c r="K3" s="130" t="s">
        <v>198</v>
      </c>
      <c r="L3" s="130" t="s">
        <v>198</v>
      </c>
      <c r="N3" s="130">
        <v>36674</v>
      </c>
      <c r="O3" s="211">
        <v>45349</v>
      </c>
    </row>
    <row r="4" spans="1:15" s="130" customFormat="1" x14ac:dyDescent="0.3">
      <c r="A4" s="130">
        <v>252888</v>
      </c>
      <c r="B4" s="210">
        <v>3300</v>
      </c>
      <c r="C4" s="210">
        <v>3300</v>
      </c>
      <c r="D4" s="130" t="s">
        <v>1567</v>
      </c>
      <c r="E4" s="130">
        <v>26819</v>
      </c>
      <c r="F4" s="130" t="s">
        <v>1313</v>
      </c>
      <c r="G4" s="130" t="s">
        <v>1576</v>
      </c>
      <c r="H4" s="130">
        <v>26</v>
      </c>
      <c r="I4" s="130" t="s">
        <v>244</v>
      </c>
      <c r="J4" s="130" t="s">
        <v>1557</v>
      </c>
      <c r="K4" s="130" t="s">
        <v>1274</v>
      </c>
      <c r="L4" s="130" t="s">
        <v>207</v>
      </c>
      <c r="N4" s="130">
        <v>45151</v>
      </c>
      <c r="O4" s="211">
        <v>45579</v>
      </c>
    </row>
    <row r="5" spans="1:15" s="130" customFormat="1" x14ac:dyDescent="0.3">
      <c r="A5" s="130">
        <v>254494</v>
      </c>
      <c r="B5" s="210">
        <v>2580</v>
      </c>
      <c r="C5" s="210">
        <v>2580</v>
      </c>
      <c r="D5" s="130" t="s">
        <v>1568</v>
      </c>
      <c r="E5" s="130">
        <v>22197</v>
      </c>
      <c r="F5" s="130" t="s">
        <v>1313</v>
      </c>
      <c r="G5" s="130" t="s">
        <v>1577</v>
      </c>
      <c r="H5" s="130">
        <v>24</v>
      </c>
      <c r="I5" s="130" t="s">
        <v>244</v>
      </c>
      <c r="J5" s="130" t="s">
        <v>1546</v>
      </c>
      <c r="K5" s="130" t="s">
        <v>217</v>
      </c>
      <c r="L5" s="130" t="s">
        <v>217</v>
      </c>
      <c r="N5" s="130">
        <v>33679</v>
      </c>
      <c r="O5" s="211">
        <v>45610</v>
      </c>
    </row>
    <row r="6" spans="1:15" s="130" customFormat="1" x14ac:dyDescent="0.3">
      <c r="A6" s="130">
        <v>255233</v>
      </c>
      <c r="B6" s="210">
        <v>1800</v>
      </c>
      <c r="C6" s="130">
        <v>2668</v>
      </c>
      <c r="D6" s="130" t="s">
        <v>1569</v>
      </c>
      <c r="E6" s="130">
        <v>26477</v>
      </c>
      <c r="F6" s="130" t="s">
        <v>1313</v>
      </c>
      <c r="G6" s="130" t="s">
        <v>1578</v>
      </c>
      <c r="H6" s="130">
        <v>18</v>
      </c>
      <c r="I6" s="130" t="s">
        <v>244</v>
      </c>
      <c r="J6" s="130" t="s">
        <v>1549</v>
      </c>
      <c r="K6" s="130" t="s">
        <v>198</v>
      </c>
      <c r="L6" s="130" t="s">
        <v>198</v>
      </c>
      <c r="N6" s="130">
        <v>42396</v>
      </c>
      <c r="O6" s="211">
        <v>45625</v>
      </c>
    </row>
    <row r="7" spans="1:15" s="130" customFormat="1" x14ac:dyDescent="0.3">
      <c r="A7" s="130">
        <v>244977</v>
      </c>
      <c r="B7" s="130">
        <v>800</v>
      </c>
      <c r="C7" s="130">
        <v>1600</v>
      </c>
      <c r="D7" s="130" t="s">
        <v>1570</v>
      </c>
      <c r="E7" s="130">
        <v>25687</v>
      </c>
      <c r="F7" s="130" t="s">
        <v>1314</v>
      </c>
      <c r="G7" s="130" t="s">
        <v>1579</v>
      </c>
      <c r="H7" s="130">
        <v>19</v>
      </c>
      <c r="I7" s="130" t="s">
        <v>244</v>
      </c>
      <c r="J7" s="130" t="s">
        <v>1556</v>
      </c>
      <c r="K7" s="130" t="s">
        <v>985</v>
      </c>
      <c r="L7" s="130" t="s">
        <v>194</v>
      </c>
      <c r="N7" s="130">
        <v>39442</v>
      </c>
      <c r="O7" s="211">
        <v>45443</v>
      </c>
    </row>
    <row r="8" spans="1:15" s="130" customFormat="1" x14ac:dyDescent="0.3">
      <c r="A8" s="130">
        <v>243280</v>
      </c>
      <c r="B8" s="210">
        <v>2400</v>
      </c>
      <c r="C8" s="210">
        <v>2400</v>
      </c>
      <c r="D8" s="130" t="s">
        <v>1571</v>
      </c>
      <c r="E8" s="130">
        <v>21556</v>
      </c>
      <c r="F8" s="130" t="s">
        <v>1313</v>
      </c>
      <c r="G8" s="130" t="s">
        <v>1580</v>
      </c>
      <c r="H8" s="130">
        <v>24</v>
      </c>
      <c r="I8" s="130" t="s">
        <v>1312</v>
      </c>
      <c r="J8" s="130" t="s">
        <v>1547</v>
      </c>
      <c r="K8" s="130" t="s">
        <v>217</v>
      </c>
      <c r="L8" s="130" t="s">
        <v>1548</v>
      </c>
      <c r="N8" s="130">
        <v>32671</v>
      </c>
      <c r="O8" s="211">
        <v>45414</v>
      </c>
    </row>
    <row r="9" spans="1:15" s="204" customFormat="1" x14ac:dyDescent="0.3">
      <c r="A9">
        <v>254594</v>
      </c>
      <c r="B9">
        <v>600</v>
      </c>
      <c r="C9">
        <v>0</v>
      </c>
      <c r="D9" s="212" t="s">
        <v>1572</v>
      </c>
      <c r="E9">
        <v>71957</v>
      </c>
      <c r="F9" t="s">
        <v>1313</v>
      </c>
      <c r="G9" s="130" t="s">
        <v>1581</v>
      </c>
      <c r="H9">
        <v>2</v>
      </c>
      <c r="I9" t="s">
        <v>244</v>
      </c>
      <c r="J9" t="s">
        <v>1558</v>
      </c>
      <c r="K9" t="s">
        <v>42</v>
      </c>
      <c r="L9" t="s">
        <v>42</v>
      </c>
      <c r="M9"/>
      <c r="N9">
        <v>865</v>
      </c>
      <c r="O9" s="195">
        <v>45614</v>
      </c>
    </row>
    <row r="10" spans="1:15" x14ac:dyDescent="0.3">
      <c r="A10">
        <v>253095</v>
      </c>
      <c r="B10" s="185">
        <v>1200</v>
      </c>
      <c r="C10">
        <v>0</v>
      </c>
      <c r="D10" t="s">
        <v>1539</v>
      </c>
      <c r="E10">
        <v>14149</v>
      </c>
      <c r="F10" t="s">
        <v>1313</v>
      </c>
      <c r="G10" s="130" t="s">
        <v>1582</v>
      </c>
      <c r="H10">
        <v>3</v>
      </c>
      <c r="I10" t="s">
        <v>244</v>
      </c>
      <c r="J10" t="s">
        <v>1540</v>
      </c>
      <c r="K10" t="s">
        <v>184</v>
      </c>
      <c r="L10" t="s">
        <v>184</v>
      </c>
      <c r="N10">
        <v>21475</v>
      </c>
      <c r="O10" s="195">
        <v>45582</v>
      </c>
    </row>
    <row r="11" spans="1:15" x14ac:dyDescent="0.3">
      <c r="A11">
        <v>253096</v>
      </c>
      <c r="B11" s="185">
        <v>27600</v>
      </c>
      <c r="C11">
        <v>0</v>
      </c>
      <c r="D11" t="s">
        <v>1541</v>
      </c>
      <c r="E11">
        <v>23587</v>
      </c>
      <c r="F11" t="s">
        <v>1313</v>
      </c>
      <c r="G11" s="130" t="s">
        <v>1583</v>
      </c>
      <c r="H11">
        <v>3</v>
      </c>
      <c r="I11" t="s">
        <v>244</v>
      </c>
      <c r="J11" t="s">
        <v>1542</v>
      </c>
      <c r="K11" t="s">
        <v>158</v>
      </c>
      <c r="L11" t="s">
        <v>158</v>
      </c>
      <c r="N11">
        <v>35994</v>
      </c>
      <c r="O11" s="195">
        <v>45582</v>
      </c>
    </row>
    <row r="12" spans="1:15" x14ac:dyDescent="0.3">
      <c r="A12">
        <v>254777</v>
      </c>
      <c r="B12" s="185">
        <v>4000</v>
      </c>
      <c r="C12">
        <v>0</v>
      </c>
      <c r="D12" t="s">
        <v>1543</v>
      </c>
      <c r="E12">
        <v>13424</v>
      </c>
      <c r="F12" t="s">
        <v>1313</v>
      </c>
      <c r="G12" s="130" t="s">
        <v>1584</v>
      </c>
      <c r="H12">
        <v>43</v>
      </c>
      <c r="I12" t="s">
        <v>244</v>
      </c>
      <c r="J12" t="s">
        <v>1510</v>
      </c>
      <c r="K12" t="s">
        <v>1275</v>
      </c>
      <c r="L12" t="s">
        <v>1275</v>
      </c>
      <c r="N12">
        <v>20436</v>
      </c>
      <c r="O12" s="195">
        <v>45617</v>
      </c>
    </row>
    <row r="13" spans="1:15" x14ac:dyDescent="0.3">
      <c r="A13">
        <v>255118</v>
      </c>
      <c r="B13" s="185">
        <v>1760</v>
      </c>
      <c r="C13">
        <v>0</v>
      </c>
      <c r="D13" t="s">
        <v>1544</v>
      </c>
      <c r="E13">
        <v>25284</v>
      </c>
      <c r="F13" t="s">
        <v>1313</v>
      </c>
      <c r="G13" s="130" t="s">
        <v>1585</v>
      </c>
      <c r="H13">
        <v>3</v>
      </c>
      <c r="I13" t="s">
        <v>244</v>
      </c>
      <c r="J13" t="s">
        <v>1545</v>
      </c>
      <c r="K13" t="s">
        <v>155</v>
      </c>
      <c r="L13" t="s">
        <v>155</v>
      </c>
      <c r="N13">
        <v>38761</v>
      </c>
      <c r="O13" s="195">
        <v>45623</v>
      </c>
    </row>
    <row r="14" spans="1:15" s="201" customFormat="1" x14ac:dyDescent="0.3">
      <c r="A14">
        <v>255201</v>
      </c>
      <c r="B14" s="185">
        <v>1560</v>
      </c>
      <c r="C14">
        <v>0</v>
      </c>
      <c r="D14" t="s">
        <v>1550</v>
      </c>
      <c r="E14">
        <v>25955</v>
      </c>
      <c r="F14" t="s">
        <v>1313</v>
      </c>
      <c r="G14" s="130" t="s">
        <v>1586</v>
      </c>
      <c r="H14">
        <v>3</v>
      </c>
      <c r="I14" t="s">
        <v>244</v>
      </c>
      <c r="J14" t="s">
        <v>1551</v>
      </c>
      <c r="K14" t="s">
        <v>41</v>
      </c>
      <c r="L14" t="s">
        <v>41</v>
      </c>
      <c r="M14"/>
      <c r="N14">
        <v>39809</v>
      </c>
      <c r="O14" s="195">
        <v>45624</v>
      </c>
    </row>
    <row r="15" spans="1:15" s="201" customFormat="1" x14ac:dyDescent="0.3">
      <c r="A15">
        <v>11489</v>
      </c>
      <c r="B15" s="185">
        <v>64000</v>
      </c>
      <c r="C15">
        <v>0</v>
      </c>
      <c r="D15" t="s">
        <v>1552</v>
      </c>
      <c r="E15">
        <v>26504</v>
      </c>
      <c r="F15" t="s">
        <v>1314</v>
      </c>
      <c r="G15" s="130" t="s">
        <v>1587</v>
      </c>
      <c r="H15">
        <v>9</v>
      </c>
      <c r="I15" t="s">
        <v>244</v>
      </c>
      <c r="J15" t="s">
        <v>1553</v>
      </c>
      <c r="K15" t="s">
        <v>1554</v>
      </c>
      <c r="L15" t="s">
        <v>1554</v>
      </c>
      <c r="M15"/>
      <c r="N15">
        <v>42496</v>
      </c>
      <c r="O15" s="195">
        <v>45510</v>
      </c>
    </row>
    <row r="16" spans="1:15" s="201" customFormat="1" x14ac:dyDescent="0.3">
      <c r="A16">
        <v>13103</v>
      </c>
      <c r="B16" s="185">
        <v>1400</v>
      </c>
      <c r="C16">
        <v>0</v>
      </c>
      <c r="D16"/>
      <c r="E16">
        <v>26982</v>
      </c>
      <c r="F16" t="s">
        <v>1314</v>
      </c>
      <c r="G16" s="130" t="s">
        <v>1588</v>
      </c>
      <c r="H16">
        <v>18</v>
      </c>
      <c r="I16" t="s">
        <v>244</v>
      </c>
      <c r="J16" t="s">
        <v>1555</v>
      </c>
      <c r="K16" t="s">
        <v>198</v>
      </c>
      <c r="L16" t="s">
        <v>198</v>
      </c>
      <c r="M16"/>
      <c r="N16">
        <v>46753</v>
      </c>
      <c r="O16" s="195">
        <v>45629</v>
      </c>
    </row>
    <row r="17" spans="1:15" s="204" customFormat="1" x14ac:dyDescent="0.3">
      <c r="A17">
        <v>253710</v>
      </c>
      <c r="B17" s="185">
        <v>1930</v>
      </c>
      <c r="C17">
        <v>0</v>
      </c>
      <c r="D17"/>
      <c r="E17"/>
      <c r="F17" t="s">
        <v>1314</v>
      </c>
      <c r="G17" s="130" t="s">
        <v>1589</v>
      </c>
      <c r="H17">
        <v>3</v>
      </c>
      <c r="I17" t="s">
        <v>1312</v>
      </c>
      <c r="J17" t="s">
        <v>1513</v>
      </c>
      <c r="K17" t="s">
        <v>41</v>
      </c>
      <c r="L17" t="s">
        <v>41</v>
      </c>
      <c r="M17"/>
      <c r="N17"/>
      <c r="O17" s="195">
        <v>45631</v>
      </c>
    </row>
    <row r="18" spans="1:15" s="204" customFormat="1" x14ac:dyDescent="0.3">
      <c r="A18">
        <v>254685</v>
      </c>
      <c r="B18" s="185">
        <v>29440</v>
      </c>
      <c r="C18">
        <v>0</v>
      </c>
      <c r="D18"/>
      <c r="E18">
        <v>20811</v>
      </c>
      <c r="F18" t="s">
        <v>1474</v>
      </c>
      <c r="G18" s="130" t="s">
        <v>1590</v>
      </c>
      <c r="H18">
        <v>3</v>
      </c>
      <c r="I18" t="s">
        <v>244</v>
      </c>
      <c r="J18" t="s">
        <v>1559</v>
      </c>
      <c r="K18" t="s">
        <v>160</v>
      </c>
      <c r="L18" t="s">
        <v>187</v>
      </c>
      <c r="M18"/>
      <c r="N18">
        <v>31476</v>
      </c>
      <c r="O18" s="195">
        <v>45615</v>
      </c>
    </row>
    <row r="19" spans="1:15" x14ac:dyDescent="0.3">
      <c r="A19">
        <v>252162</v>
      </c>
      <c r="B19" s="185">
        <v>10800</v>
      </c>
      <c r="C19">
        <v>0</v>
      </c>
      <c r="E19">
        <v>26713</v>
      </c>
      <c r="F19" t="s">
        <v>1314</v>
      </c>
      <c r="G19" s="130" t="s">
        <v>1591</v>
      </c>
      <c r="H19">
        <v>18</v>
      </c>
      <c r="I19" t="s">
        <v>244</v>
      </c>
      <c r="J19" t="s">
        <v>1560</v>
      </c>
      <c r="K19" t="s">
        <v>1561</v>
      </c>
      <c r="L19" t="s">
        <v>306</v>
      </c>
      <c r="N19">
        <v>41871</v>
      </c>
      <c r="O19" s="195">
        <v>45566</v>
      </c>
    </row>
    <row r="20" spans="1:15" x14ac:dyDescent="0.3">
      <c r="A20">
        <v>12992</v>
      </c>
      <c r="B20">
        <v>980</v>
      </c>
      <c r="C20">
        <v>0</v>
      </c>
      <c r="E20">
        <v>26976</v>
      </c>
      <c r="F20" t="s">
        <v>1314</v>
      </c>
      <c r="G20" s="130" t="s">
        <v>1592</v>
      </c>
      <c r="H20">
        <v>26</v>
      </c>
      <c r="I20" t="s">
        <v>244</v>
      </c>
      <c r="J20" t="s">
        <v>1562</v>
      </c>
      <c r="K20" t="s">
        <v>943</v>
      </c>
      <c r="L20" t="s">
        <v>1563</v>
      </c>
      <c r="N20">
        <v>46968</v>
      </c>
      <c r="O20" s="195">
        <v>45623</v>
      </c>
    </row>
    <row r="21" spans="1:15" x14ac:dyDescent="0.3">
      <c r="A21">
        <v>13161</v>
      </c>
      <c r="B21" s="185">
        <v>2634</v>
      </c>
      <c r="C21">
        <v>0</v>
      </c>
      <c r="E21">
        <v>26998</v>
      </c>
      <c r="F21" t="s">
        <v>15</v>
      </c>
      <c r="G21" s="130" t="s">
        <v>1593</v>
      </c>
      <c r="H21">
        <v>26</v>
      </c>
      <c r="I21" t="s">
        <v>244</v>
      </c>
      <c r="J21" t="s">
        <v>1564</v>
      </c>
      <c r="K21" t="s">
        <v>943</v>
      </c>
      <c r="L21" t="s">
        <v>943</v>
      </c>
      <c r="N21">
        <v>47316</v>
      </c>
      <c r="O21" s="195">
        <v>45631</v>
      </c>
    </row>
    <row r="22" spans="1:15" x14ac:dyDescent="0.3">
      <c r="A22">
        <v>13161</v>
      </c>
      <c r="B22" s="185">
        <v>2200</v>
      </c>
      <c r="C22">
        <v>0</v>
      </c>
      <c r="E22">
        <v>26998</v>
      </c>
      <c r="F22" t="s">
        <v>1314</v>
      </c>
      <c r="G22" s="130" t="s">
        <v>1594</v>
      </c>
      <c r="H22">
        <v>26</v>
      </c>
      <c r="I22" t="s">
        <v>244</v>
      </c>
      <c r="J22" t="s">
        <v>1564</v>
      </c>
      <c r="K22" t="s">
        <v>943</v>
      </c>
      <c r="L22" t="s">
        <v>943</v>
      </c>
      <c r="N22">
        <v>47316</v>
      </c>
      <c r="O22" s="195">
        <v>45631</v>
      </c>
    </row>
    <row r="23" spans="1:15" x14ac:dyDescent="0.3">
      <c r="A23">
        <v>13143</v>
      </c>
      <c r="B23" s="185">
        <v>2000</v>
      </c>
      <c r="C23">
        <v>0</v>
      </c>
      <c r="E23">
        <v>26991</v>
      </c>
      <c r="F23" t="s">
        <v>1314</v>
      </c>
      <c r="G23" s="130" t="s">
        <v>1595</v>
      </c>
      <c r="H23">
        <v>24</v>
      </c>
      <c r="I23" t="s">
        <v>244</v>
      </c>
      <c r="J23" t="s">
        <v>1565</v>
      </c>
      <c r="K23" t="s">
        <v>217</v>
      </c>
      <c r="L23" t="s">
        <v>217</v>
      </c>
      <c r="N23">
        <v>42754</v>
      </c>
      <c r="O23" s="195">
        <v>45630</v>
      </c>
    </row>
    <row r="24" spans="1:15" x14ac:dyDescent="0.3">
      <c r="A24">
        <v>253807</v>
      </c>
      <c r="B24" s="185">
        <v>1972</v>
      </c>
      <c r="C24">
        <v>0</v>
      </c>
      <c r="E24">
        <v>26535</v>
      </c>
      <c r="F24" t="s">
        <v>1313</v>
      </c>
      <c r="G24" s="130" t="s">
        <v>1596</v>
      </c>
      <c r="H24">
        <v>18</v>
      </c>
      <c r="I24" t="s">
        <v>244</v>
      </c>
      <c r="J24" t="s">
        <v>1496</v>
      </c>
      <c r="K24" t="s">
        <v>198</v>
      </c>
      <c r="L24" t="s">
        <v>198</v>
      </c>
      <c r="N24">
        <v>42774</v>
      </c>
      <c r="O24" s="195">
        <v>45596</v>
      </c>
    </row>
    <row r="25" spans="1:15" x14ac:dyDescent="0.3">
      <c r="A25">
        <v>340752</v>
      </c>
      <c r="B25">
        <v>750</v>
      </c>
      <c r="C25">
        <v>0</v>
      </c>
      <c r="D25" t="s">
        <v>1491</v>
      </c>
      <c r="E25">
        <v>11075</v>
      </c>
      <c r="F25" t="s">
        <v>1313</v>
      </c>
      <c r="G25" s="130" t="s">
        <v>1597</v>
      </c>
      <c r="H25">
        <v>18</v>
      </c>
      <c r="I25" t="s">
        <v>244</v>
      </c>
      <c r="J25" t="s">
        <v>1484</v>
      </c>
      <c r="K25" t="s">
        <v>198</v>
      </c>
      <c r="L25" t="s">
        <v>198</v>
      </c>
      <c r="N25">
        <v>16926</v>
      </c>
      <c r="O25" s="195">
        <v>45199</v>
      </c>
    </row>
    <row r="26" spans="1:15" x14ac:dyDescent="0.3">
      <c r="A26">
        <v>248656</v>
      </c>
      <c r="B26" s="185">
        <v>1600</v>
      </c>
      <c r="C26">
        <v>0</v>
      </c>
      <c r="E26">
        <v>26472</v>
      </c>
      <c r="F26" t="s">
        <v>1313</v>
      </c>
      <c r="G26" s="130" t="s">
        <v>1598</v>
      </c>
      <c r="H26">
        <v>19</v>
      </c>
      <c r="I26" t="s">
        <v>1312</v>
      </c>
      <c r="J26" t="s">
        <v>1485</v>
      </c>
      <c r="K26" t="s">
        <v>194</v>
      </c>
      <c r="L26" t="s">
        <v>1315</v>
      </c>
      <c r="N26">
        <v>42352</v>
      </c>
      <c r="O26" s="195">
        <v>45504</v>
      </c>
    </row>
    <row r="27" spans="1:15" x14ac:dyDescent="0.3">
      <c r="A27">
        <v>253545</v>
      </c>
      <c r="B27" s="185">
        <v>1800</v>
      </c>
      <c r="C27">
        <v>0</v>
      </c>
      <c r="E27">
        <v>26864</v>
      </c>
      <c r="F27" t="s">
        <v>1314</v>
      </c>
      <c r="G27" s="130" t="s">
        <v>1599</v>
      </c>
      <c r="H27">
        <v>18</v>
      </c>
      <c r="I27" t="s">
        <v>244</v>
      </c>
      <c r="J27" t="s">
        <v>1493</v>
      </c>
      <c r="K27" t="s">
        <v>198</v>
      </c>
      <c r="L27" t="s">
        <v>198</v>
      </c>
      <c r="N27">
        <v>45858</v>
      </c>
      <c r="O27" s="195">
        <v>45590</v>
      </c>
    </row>
    <row r="28" spans="1:15" x14ac:dyDescent="0.3">
      <c r="A28">
        <v>254103</v>
      </c>
      <c r="B28" s="185">
        <v>1800</v>
      </c>
      <c r="C28">
        <v>0</v>
      </c>
      <c r="E28">
        <v>26864</v>
      </c>
      <c r="F28" t="s">
        <v>1314</v>
      </c>
      <c r="G28" s="130" t="s">
        <v>1600</v>
      </c>
      <c r="H28">
        <v>18</v>
      </c>
      <c r="I28" t="s">
        <v>244</v>
      </c>
      <c r="J28" t="s">
        <v>1493</v>
      </c>
      <c r="K28" t="s">
        <v>198</v>
      </c>
      <c r="L28" t="s">
        <v>198</v>
      </c>
      <c r="N28">
        <v>45858</v>
      </c>
      <c r="O28" s="195">
        <v>45602</v>
      </c>
    </row>
    <row r="29" spans="1:15" x14ac:dyDescent="0.3">
      <c r="A29">
        <v>236012</v>
      </c>
      <c r="B29" s="185">
        <v>1800</v>
      </c>
      <c r="C29">
        <v>0</v>
      </c>
      <c r="E29">
        <v>22755</v>
      </c>
      <c r="F29" t="s">
        <v>1313</v>
      </c>
      <c r="G29" s="130" t="s">
        <v>1601</v>
      </c>
      <c r="H29">
        <v>18</v>
      </c>
      <c r="I29" t="s">
        <v>1312</v>
      </c>
      <c r="J29" t="s">
        <v>1503</v>
      </c>
      <c r="K29" t="s">
        <v>198</v>
      </c>
      <c r="L29" t="s">
        <v>198</v>
      </c>
      <c r="N29">
        <v>34551</v>
      </c>
      <c r="O29" s="195">
        <v>45293</v>
      </c>
    </row>
    <row r="30" spans="1:15" x14ac:dyDescent="0.3">
      <c r="A30">
        <v>345776</v>
      </c>
      <c r="B30" s="185">
        <v>1800</v>
      </c>
      <c r="C30">
        <v>0</v>
      </c>
      <c r="D30" t="s">
        <v>1500</v>
      </c>
      <c r="E30">
        <v>5932</v>
      </c>
      <c r="F30" t="s">
        <v>1313</v>
      </c>
      <c r="G30" s="130" t="s">
        <v>1602</v>
      </c>
      <c r="H30">
        <v>3</v>
      </c>
      <c r="I30" t="s">
        <v>244</v>
      </c>
      <c r="J30" t="s">
        <v>1501</v>
      </c>
      <c r="K30" t="s">
        <v>621</v>
      </c>
      <c r="L30" t="s">
        <v>1502</v>
      </c>
      <c r="N30">
        <v>9310</v>
      </c>
      <c r="O30" s="195">
        <v>45418</v>
      </c>
    </row>
    <row r="31" spans="1:15" x14ac:dyDescent="0.3">
      <c r="A31">
        <v>345776</v>
      </c>
      <c r="B31" s="185">
        <v>1600</v>
      </c>
      <c r="C31">
        <v>0</v>
      </c>
      <c r="D31" t="s">
        <v>1500</v>
      </c>
      <c r="E31">
        <v>5932</v>
      </c>
      <c r="F31" t="s">
        <v>1313</v>
      </c>
      <c r="G31" s="130" t="s">
        <v>1603</v>
      </c>
      <c r="H31">
        <v>3</v>
      </c>
      <c r="I31" t="s">
        <v>244</v>
      </c>
      <c r="J31" t="s">
        <v>1501</v>
      </c>
      <c r="K31" t="s">
        <v>621</v>
      </c>
      <c r="L31" t="s">
        <v>1502</v>
      </c>
      <c r="N31">
        <v>9310</v>
      </c>
      <c r="O31" s="195">
        <v>45418</v>
      </c>
    </row>
    <row r="32" spans="1:15" x14ac:dyDescent="0.3">
      <c r="A32">
        <v>253087</v>
      </c>
      <c r="B32" s="185">
        <v>5400</v>
      </c>
      <c r="C32">
        <v>0</v>
      </c>
      <c r="E32">
        <v>14669</v>
      </c>
      <c r="F32" t="s">
        <v>1474</v>
      </c>
      <c r="G32" s="130" t="s">
        <v>1604</v>
      </c>
      <c r="H32">
        <v>18</v>
      </c>
      <c r="I32" t="s">
        <v>244</v>
      </c>
      <c r="J32" t="s">
        <v>1515</v>
      </c>
      <c r="K32" t="s">
        <v>198</v>
      </c>
      <c r="L32" t="s">
        <v>286</v>
      </c>
      <c r="N32">
        <v>22230</v>
      </c>
      <c r="O32" s="195">
        <v>45582</v>
      </c>
    </row>
    <row r="33" spans="1:15" x14ac:dyDescent="0.3">
      <c r="A33">
        <v>253087</v>
      </c>
      <c r="B33" s="185">
        <v>2200</v>
      </c>
      <c r="C33">
        <v>0</v>
      </c>
      <c r="E33">
        <v>14669</v>
      </c>
      <c r="F33" t="s">
        <v>1313</v>
      </c>
      <c r="G33" s="130" t="s">
        <v>1605</v>
      </c>
      <c r="H33">
        <v>18</v>
      </c>
      <c r="I33" t="s">
        <v>244</v>
      </c>
      <c r="J33" t="s">
        <v>1515</v>
      </c>
      <c r="K33" t="s">
        <v>198</v>
      </c>
      <c r="L33" t="s">
        <v>286</v>
      </c>
      <c r="N33">
        <v>22230</v>
      </c>
      <c r="O33" s="195">
        <v>45582</v>
      </c>
    </row>
    <row r="34" spans="1:15" x14ac:dyDescent="0.3">
      <c r="A34" s="201">
        <v>254468</v>
      </c>
      <c r="B34" s="202">
        <v>2900</v>
      </c>
      <c r="C34" s="201">
        <v>0</v>
      </c>
      <c r="D34" s="201" t="s">
        <v>1528</v>
      </c>
      <c r="E34" s="201">
        <v>69073</v>
      </c>
      <c r="F34" s="201" t="s">
        <v>1314</v>
      </c>
      <c r="G34" s="130" t="s">
        <v>1606</v>
      </c>
      <c r="H34" s="201">
        <v>24</v>
      </c>
      <c r="I34" s="201" t="s">
        <v>244</v>
      </c>
      <c r="J34" s="201" t="s">
        <v>1511</v>
      </c>
      <c r="K34" s="201" t="s">
        <v>233</v>
      </c>
      <c r="L34" s="201" t="s">
        <v>187</v>
      </c>
      <c r="M34" s="201"/>
      <c r="N34" s="201">
        <v>291</v>
      </c>
      <c r="O34" s="203">
        <v>45610</v>
      </c>
    </row>
    <row r="35" spans="1:15" x14ac:dyDescent="0.3">
      <c r="A35" s="201">
        <v>252514</v>
      </c>
      <c r="B35" s="202">
        <v>1628.36</v>
      </c>
      <c r="C35" s="201">
        <v>0</v>
      </c>
      <c r="D35" s="201" t="s">
        <v>1520</v>
      </c>
      <c r="E35" s="201">
        <v>26803</v>
      </c>
      <c r="F35" s="201" t="s">
        <v>1314</v>
      </c>
      <c r="G35" s="130" t="s">
        <v>1607</v>
      </c>
      <c r="H35" s="201">
        <v>43</v>
      </c>
      <c r="I35" s="201" t="s">
        <v>244</v>
      </c>
      <c r="J35" s="201" t="s">
        <v>1512</v>
      </c>
      <c r="K35" s="201" t="s">
        <v>53</v>
      </c>
      <c r="L35" s="201" t="s">
        <v>53</v>
      </c>
      <c r="M35" s="201"/>
      <c r="N35" s="201">
        <v>45143</v>
      </c>
      <c r="O35" s="203">
        <v>45572</v>
      </c>
    </row>
    <row r="36" spans="1:15" x14ac:dyDescent="0.3">
      <c r="A36" s="201">
        <v>338848</v>
      </c>
      <c r="B36" s="202">
        <v>5000</v>
      </c>
      <c r="C36" s="201">
        <v>0</v>
      </c>
      <c r="D36" s="201" t="s">
        <v>1518</v>
      </c>
      <c r="E36" s="201">
        <v>66004</v>
      </c>
      <c r="F36" s="201" t="s">
        <v>1313</v>
      </c>
      <c r="G36" s="130" t="s">
        <v>1608</v>
      </c>
      <c r="H36" s="201">
        <v>19</v>
      </c>
      <c r="I36" s="201" t="s">
        <v>244</v>
      </c>
      <c r="J36" s="201" t="s">
        <v>1516</v>
      </c>
      <c r="K36" s="201" t="s">
        <v>194</v>
      </c>
      <c r="L36" s="201" t="s">
        <v>194</v>
      </c>
      <c r="M36" s="201"/>
      <c r="N36" s="201">
        <v>133</v>
      </c>
      <c r="O36" s="203">
        <v>45131</v>
      </c>
    </row>
    <row r="37" spans="1:15" x14ac:dyDescent="0.3">
      <c r="A37" s="207"/>
      <c r="B37" s="207"/>
      <c r="C37" s="207"/>
      <c r="D37" s="208" t="s">
        <v>1340</v>
      </c>
      <c r="E37" s="207"/>
      <c r="F37" s="207"/>
      <c r="G37" s="207"/>
      <c r="H37" s="207"/>
      <c r="I37" s="207"/>
      <c r="J37" s="207"/>
      <c r="K37" s="207"/>
      <c r="L37" s="207"/>
      <c r="M37" s="209"/>
      <c r="N37" s="209"/>
      <c r="O37" s="209"/>
    </row>
    <row r="38" spans="1:15" x14ac:dyDescent="0.3">
      <c r="A38">
        <v>244183</v>
      </c>
      <c r="B38" s="185">
        <v>4746.32</v>
      </c>
      <c r="C38">
        <v>7380.82</v>
      </c>
      <c r="F38" t="s">
        <v>1318</v>
      </c>
      <c r="G38" s="130" t="s">
        <v>1608</v>
      </c>
      <c r="H38">
        <v>9</v>
      </c>
      <c r="I38" t="s">
        <v>244</v>
      </c>
      <c r="J38" t="s">
        <v>1319</v>
      </c>
      <c r="K38" t="s">
        <v>908</v>
      </c>
      <c r="L38" t="s">
        <v>908</v>
      </c>
      <c r="M38">
        <v>23974</v>
      </c>
    </row>
    <row r="39" spans="1:15" x14ac:dyDescent="0.3">
      <c r="A39">
        <v>243865</v>
      </c>
      <c r="B39">
        <v>0</v>
      </c>
      <c r="C39">
        <v>0</v>
      </c>
      <c r="F39" t="s">
        <v>1314</v>
      </c>
      <c r="G39" s="130" t="s">
        <v>1609</v>
      </c>
      <c r="H39">
        <v>24</v>
      </c>
      <c r="I39" t="s">
        <v>244</v>
      </c>
      <c r="J39" t="s">
        <v>1322</v>
      </c>
      <c r="K39" t="s">
        <v>1323</v>
      </c>
      <c r="L39" t="s">
        <v>1323</v>
      </c>
    </row>
    <row r="40" spans="1:15" x14ac:dyDescent="0.3">
      <c r="A40">
        <v>225591</v>
      </c>
      <c r="B40" s="185">
        <v>57466.3</v>
      </c>
      <c r="C40">
        <v>0</v>
      </c>
      <c r="D40" t="s">
        <v>1324</v>
      </c>
      <c r="F40" t="s">
        <v>15</v>
      </c>
      <c r="G40" s="130" t="s">
        <v>1610</v>
      </c>
      <c r="H40">
        <v>24</v>
      </c>
      <c r="I40" t="s">
        <v>244</v>
      </c>
      <c r="J40" t="s">
        <v>1325</v>
      </c>
      <c r="K40" t="s">
        <v>1326</v>
      </c>
      <c r="L40" t="s">
        <v>1326</v>
      </c>
    </row>
    <row r="41" spans="1:15" x14ac:dyDescent="0.3">
      <c r="A41">
        <v>244742</v>
      </c>
      <c r="B41">
        <v>600</v>
      </c>
      <c r="C41">
        <v>0</v>
      </c>
      <c r="F41" t="s">
        <v>1314</v>
      </c>
      <c r="G41" s="130" t="s">
        <v>1611</v>
      </c>
      <c r="H41">
        <v>18</v>
      </c>
      <c r="I41" t="s">
        <v>244</v>
      </c>
      <c r="J41" t="s">
        <v>1327</v>
      </c>
      <c r="K41" t="s">
        <v>306</v>
      </c>
      <c r="L41" t="s">
        <v>306</v>
      </c>
    </row>
    <row r="42" spans="1:15" x14ac:dyDescent="0.3">
      <c r="A42">
        <v>243423</v>
      </c>
      <c r="B42" s="185">
        <v>3944</v>
      </c>
      <c r="C42">
        <v>0</v>
      </c>
      <c r="F42" t="s">
        <v>1314</v>
      </c>
      <c r="G42" s="130" t="s">
        <v>1612</v>
      </c>
      <c r="H42">
        <v>18</v>
      </c>
      <c r="I42" t="s">
        <v>244</v>
      </c>
      <c r="J42" t="s">
        <v>1328</v>
      </c>
      <c r="K42" t="s">
        <v>198</v>
      </c>
      <c r="L42" t="s">
        <v>299</v>
      </c>
    </row>
    <row r="43" spans="1:15" x14ac:dyDescent="0.3">
      <c r="A43">
        <v>329778</v>
      </c>
      <c r="B43" s="185">
        <v>2634.5</v>
      </c>
      <c r="C43">
        <v>0</v>
      </c>
      <c r="D43" t="s">
        <v>1329</v>
      </c>
      <c r="F43" t="s">
        <v>15</v>
      </c>
      <c r="G43" s="130" t="s">
        <v>1613</v>
      </c>
      <c r="H43">
        <v>18</v>
      </c>
      <c r="I43" t="s">
        <v>244</v>
      </c>
      <c r="J43" t="s">
        <v>1330</v>
      </c>
      <c r="K43" t="s">
        <v>198</v>
      </c>
      <c r="L43" t="s">
        <v>41</v>
      </c>
    </row>
    <row r="44" spans="1:15" x14ac:dyDescent="0.3">
      <c r="A44">
        <v>233008</v>
      </c>
      <c r="B44" s="185">
        <v>4008.96</v>
      </c>
      <c r="C44">
        <v>0</v>
      </c>
      <c r="D44" t="s">
        <v>1329</v>
      </c>
      <c r="F44" t="s">
        <v>1321</v>
      </c>
      <c r="G44" s="130" t="s">
        <v>1614</v>
      </c>
      <c r="H44">
        <v>18</v>
      </c>
      <c r="I44" t="s">
        <v>244</v>
      </c>
      <c r="J44" t="s">
        <v>1331</v>
      </c>
      <c r="K44" t="s">
        <v>1317</v>
      </c>
      <c r="L44" t="s">
        <v>1317</v>
      </c>
    </row>
    <row r="45" spans="1:15" x14ac:dyDescent="0.3">
      <c r="A45">
        <v>43201</v>
      </c>
      <c r="B45">
        <v>915.6</v>
      </c>
      <c r="C45">
        <v>0</v>
      </c>
      <c r="D45" t="s">
        <v>1332</v>
      </c>
      <c r="F45" t="s">
        <v>1314</v>
      </c>
      <c r="G45" s="130" t="s">
        <v>1615</v>
      </c>
      <c r="H45">
        <v>18</v>
      </c>
      <c r="I45" t="s">
        <v>244</v>
      </c>
      <c r="J45" t="s">
        <v>1333</v>
      </c>
      <c r="K45" t="s">
        <v>305</v>
      </c>
      <c r="L45" t="s">
        <v>198</v>
      </c>
    </row>
    <row r="46" spans="1:15" x14ac:dyDescent="0.3">
      <c r="A46">
        <v>4498</v>
      </c>
      <c r="B46" s="185">
        <v>13545</v>
      </c>
      <c r="C46">
        <v>0</v>
      </c>
      <c r="F46" t="s">
        <v>1334</v>
      </c>
      <c r="G46" s="130" t="s">
        <v>1616</v>
      </c>
      <c r="H46">
        <v>19</v>
      </c>
      <c r="I46" t="s">
        <v>244</v>
      </c>
      <c r="J46" t="s">
        <v>1335</v>
      </c>
      <c r="K46" t="s">
        <v>1336</v>
      </c>
      <c r="L46" t="s">
        <v>221</v>
      </c>
    </row>
    <row r="47" spans="1:15" x14ac:dyDescent="0.3">
      <c r="A47">
        <v>4498</v>
      </c>
      <c r="B47" s="185">
        <v>20359.28</v>
      </c>
      <c r="C47">
        <v>0</v>
      </c>
      <c r="F47" t="s">
        <v>15</v>
      </c>
      <c r="G47" s="130" t="s">
        <v>1617</v>
      </c>
      <c r="H47">
        <v>19</v>
      </c>
      <c r="I47" t="s">
        <v>244</v>
      </c>
      <c r="J47" t="s">
        <v>1335</v>
      </c>
      <c r="K47" t="s">
        <v>1336</v>
      </c>
      <c r="L47" t="s">
        <v>221</v>
      </c>
    </row>
    <row r="48" spans="1:15" x14ac:dyDescent="0.3">
      <c r="A48">
        <v>4498</v>
      </c>
      <c r="B48" s="185">
        <v>20359.28</v>
      </c>
      <c r="C48">
        <v>0</v>
      </c>
      <c r="F48" t="s">
        <v>1337</v>
      </c>
      <c r="G48" s="130" t="s">
        <v>1618</v>
      </c>
      <c r="H48">
        <v>19</v>
      </c>
      <c r="I48" t="s">
        <v>244</v>
      </c>
      <c r="J48" t="s">
        <v>1335</v>
      </c>
      <c r="K48" t="s">
        <v>1336</v>
      </c>
      <c r="L48" t="s">
        <v>221</v>
      </c>
    </row>
    <row r="49" spans="1:15" x14ac:dyDescent="0.3">
      <c r="A49">
        <v>239280</v>
      </c>
      <c r="B49" s="185">
        <v>7865</v>
      </c>
      <c r="C49" s="185">
        <v>7150</v>
      </c>
      <c r="D49" s="187" t="s">
        <v>1338</v>
      </c>
      <c r="F49" t="s">
        <v>1313</v>
      </c>
      <c r="G49" s="130" t="s">
        <v>1619</v>
      </c>
      <c r="H49">
        <v>26</v>
      </c>
      <c r="I49" t="s">
        <v>1312</v>
      </c>
      <c r="J49" t="s">
        <v>1339</v>
      </c>
      <c r="K49" t="s">
        <v>943</v>
      </c>
      <c r="L49" t="s">
        <v>943</v>
      </c>
    </row>
    <row r="50" spans="1:15" x14ac:dyDescent="0.3">
      <c r="A50">
        <v>247420</v>
      </c>
      <c r="B50">
        <v>900</v>
      </c>
      <c r="C50">
        <v>0</v>
      </c>
      <c r="F50" t="s">
        <v>1314</v>
      </c>
      <c r="G50" s="130" t="s">
        <v>1620</v>
      </c>
      <c r="H50">
        <v>38</v>
      </c>
      <c r="I50" t="s">
        <v>244</v>
      </c>
      <c r="J50" t="s">
        <v>1341</v>
      </c>
      <c r="K50" t="s">
        <v>321</v>
      </c>
      <c r="L50" t="s">
        <v>321</v>
      </c>
    </row>
    <row r="51" spans="1:15" x14ac:dyDescent="0.3">
      <c r="A51">
        <v>11745</v>
      </c>
      <c r="B51" s="185">
        <v>2508.2199999999998</v>
      </c>
      <c r="C51">
        <v>0</v>
      </c>
      <c r="F51" t="s">
        <v>1314</v>
      </c>
      <c r="G51" s="130" t="s">
        <v>1621</v>
      </c>
      <c r="H51">
        <v>3</v>
      </c>
      <c r="I51" t="s">
        <v>244</v>
      </c>
      <c r="J51" t="s">
        <v>1486</v>
      </c>
      <c r="K51" t="s">
        <v>147</v>
      </c>
      <c r="L51" t="s">
        <v>976</v>
      </c>
      <c r="O51" s="195">
        <v>45533</v>
      </c>
    </row>
    <row r="52" spans="1:15" x14ac:dyDescent="0.3">
      <c r="A52">
        <v>12085</v>
      </c>
      <c r="B52" s="185">
        <v>3200</v>
      </c>
      <c r="C52">
        <v>0</v>
      </c>
      <c r="F52" t="s">
        <v>1314</v>
      </c>
      <c r="G52" s="130" t="s">
        <v>1622</v>
      </c>
      <c r="H52">
        <v>24</v>
      </c>
      <c r="I52" t="s">
        <v>244</v>
      </c>
      <c r="J52" t="s">
        <v>1487</v>
      </c>
      <c r="K52" t="s">
        <v>1307</v>
      </c>
      <c r="L52" t="s">
        <v>187</v>
      </c>
      <c r="O52" s="195">
        <v>45561</v>
      </c>
    </row>
    <row r="53" spans="1:15" x14ac:dyDescent="0.3">
      <c r="A53" s="204">
        <v>11508</v>
      </c>
      <c r="B53" s="205">
        <v>10855</v>
      </c>
      <c r="C53" s="204">
        <v>0</v>
      </c>
      <c r="D53" s="204"/>
      <c r="E53" s="204"/>
      <c r="F53" s="204" t="s">
        <v>15</v>
      </c>
      <c r="G53" s="130" t="s">
        <v>1623</v>
      </c>
      <c r="H53" s="204">
        <v>3</v>
      </c>
      <c r="I53" s="204" t="s">
        <v>244</v>
      </c>
      <c r="J53" s="204" t="s">
        <v>1506</v>
      </c>
      <c r="K53" s="204" t="s">
        <v>42</v>
      </c>
      <c r="L53" s="204" t="s">
        <v>41</v>
      </c>
      <c r="M53" s="204"/>
      <c r="N53" s="204"/>
      <c r="O53" s="206">
        <v>45511</v>
      </c>
    </row>
    <row r="54" spans="1:15" x14ac:dyDescent="0.3">
      <c r="A54" s="204">
        <v>4336</v>
      </c>
      <c r="B54" s="205">
        <v>1050</v>
      </c>
      <c r="C54" s="204">
        <v>0</v>
      </c>
      <c r="D54" s="204"/>
      <c r="E54" s="204"/>
      <c r="F54" s="204" t="s">
        <v>1314</v>
      </c>
      <c r="G54" s="130" t="s">
        <v>1624</v>
      </c>
      <c r="H54" s="204">
        <v>18</v>
      </c>
      <c r="I54" s="204" t="s">
        <v>244</v>
      </c>
      <c r="J54" s="204" t="s">
        <v>1507</v>
      </c>
      <c r="K54" s="204" t="s">
        <v>198</v>
      </c>
      <c r="L54" s="204" t="s">
        <v>198</v>
      </c>
      <c r="M54" s="204"/>
      <c r="N54" s="204"/>
      <c r="O54" s="206">
        <v>44293</v>
      </c>
    </row>
    <row r="55" spans="1:15" x14ac:dyDescent="0.3">
      <c r="A55" s="204">
        <v>21616</v>
      </c>
      <c r="B55" s="205">
        <v>1400</v>
      </c>
      <c r="C55" s="204">
        <v>0</v>
      </c>
      <c r="D55" s="204"/>
      <c r="E55" s="204"/>
      <c r="F55" s="204" t="s">
        <v>1314</v>
      </c>
      <c r="G55" s="130" t="s">
        <v>1625</v>
      </c>
      <c r="H55" s="204">
        <v>18</v>
      </c>
      <c r="I55" s="204" t="s">
        <v>244</v>
      </c>
      <c r="J55" s="204" t="s">
        <v>1508</v>
      </c>
      <c r="K55" s="204" t="s">
        <v>1262</v>
      </c>
      <c r="L55" s="204" t="s">
        <v>198</v>
      </c>
      <c r="M55" s="204"/>
      <c r="N55" s="204"/>
      <c r="O55" s="206">
        <v>44305</v>
      </c>
    </row>
    <row r="75" spans="5:5" x14ac:dyDescent="0.3">
      <c r="E75">
        <v>16843</v>
      </c>
    </row>
    <row r="76" spans="5:5" x14ac:dyDescent="0.3">
      <c r="E76">
        <v>26549</v>
      </c>
    </row>
    <row r="77" spans="5:5" x14ac:dyDescent="0.3">
      <c r="E77">
        <v>16782</v>
      </c>
    </row>
    <row r="78" spans="5:5" x14ac:dyDescent="0.3">
      <c r="E78">
        <v>26321</v>
      </c>
    </row>
    <row r="79" spans="5:5" x14ac:dyDescent="0.3">
      <c r="E79">
        <v>26326</v>
      </c>
    </row>
    <row r="80" spans="5:5" x14ac:dyDescent="0.3">
      <c r="E80">
        <v>26355</v>
      </c>
    </row>
    <row r="81" spans="5:5" x14ac:dyDescent="0.3">
      <c r="E81">
        <v>26356</v>
      </c>
    </row>
    <row r="82" spans="5:5" x14ac:dyDescent="0.3">
      <c r="E82">
        <v>26310</v>
      </c>
    </row>
    <row r="83" spans="5:5" x14ac:dyDescent="0.3">
      <c r="E83">
        <v>26312</v>
      </c>
    </row>
    <row r="84" spans="5:5" x14ac:dyDescent="0.3">
      <c r="E84">
        <v>26313</v>
      </c>
    </row>
    <row r="85" spans="5:5" x14ac:dyDescent="0.3">
      <c r="E85">
        <v>25521</v>
      </c>
    </row>
    <row r="86" spans="5:5" x14ac:dyDescent="0.3">
      <c r="E86">
        <v>26183</v>
      </c>
    </row>
    <row r="87" spans="5:5" x14ac:dyDescent="0.3">
      <c r="E87">
        <v>26301</v>
      </c>
    </row>
    <row r="88" spans="5:5" x14ac:dyDescent="0.3">
      <c r="E88">
        <v>26314</v>
      </c>
    </row>
    <row r="89" spans="5:5" x14ac:dyDescent="0.3">
      <c r="E89">
        <v>26318</v>
      </c>
    </row>
    <row r="90" spans="5:5" x14ac:dyDescent="0.3">
      <c r="E90">
        <v>26315</v>
      </c>
    </row>
    <row r="91" spans="5:5" x14ac:dyDescent="0.3">
      <c r="E91">
        <v>23340</v>
      </c>
    </row>
    <row r="92" spans="5:5" x14ac:dyDescent="0.3">
      <c r="E92">
        <v>25140</v>
      </c>
    </row>
    <row r="93" spans="5:5" x14ac:dyDescent="0.3">
      <c r="E93">
        <v>25651</v>
      </c>
    </row>
  </sheetData>
  <phoneticPr fontId="18" type="noConversion"/>
  <conditionalFormatting sqref="A90:A1048576 A1">
    <cfRule type="duplicateValues" dxfId="42" priority="1491"/>
  </conditionalFormatting>
  <conditionalFormatting sqref="A90:A1048576">
    <cfRule type="duplicateValues" dxfId="41" priority="1496"/>
  </conditionalFormatting>
  <conditionalFormatting sqref="E79:E1048576 D56:D89 E1">
    <cfRule type="duplicateValues" dxfId="40" priority="1500"/>
  </conditionalFormatting>
  <conditionalFormatting sqref="E56:E1048576 E1">
    <cfRule type="duplicateValues" dxfId="39" priority="367"/>
  </conditionalFormatting>
  <conditionalFormatting sqref="A56:A1048576 A1">
    <cfRule type="duplicateValues" dxfId="38" priority="1591"/>
  </conditionalFormatting>
  <conditionalFormatting sqref="A56:A1048576 A1">
    <cfRule type="duplicateValues" dxfId="37" priority="346"/>
    <cfRule type="duplicateValues" dxfId="36" priority="347"/>
    <cfRule type="duplicateValues" dxfId="35" priority="348"/>
  </conditionalFormatting>
  <conditionalFormatting sqref="A56:A1048576">
    <cfRule type="duplicateValues" dxfId="34" priority="1799"/>
  </conditionalFormatting>
  <conditionalFormatting sqref="E56:E1048576">
    <cfRule type="duplicateValues" dxfId="33" priority="71"/>
  </conditionalFormatting>
  <conditionalFormatting sqref="E56:E1048576 E1">
    <cfRule type="duplicateValues" dxfId="32" priority="30"/>
  </conditionalFormatting>
  <conditionalFormatting sqref="E56:E1048576 E1">
    <cfRule type="duplicateValues" dxfId="31" priority="17"/>
  </conditionalFormatting>
  <conditionalFormatting sqref="A51:A52">
    <cfRule type="duplicateValues" dxfId="30" priority="5"/>
  </conditionalFormatting>
  <conditionalFormatting sqref="A25:A27">
    <cfRule type="duplicateValues" dxfId="29" priority="6"/>
  </conditionalFormatting>
  <conditionalFormatting sqref="A24">
    <cfRule type="duplicateValues" dxfId="28" priority="4"/>
  </conditionalFormatting>
  <conditionalFormatting sqref="A29">
    <cfRule type="duplicateValues" dxfId="27" priority="3"/>
  </conditionalFormatting>
  <conditionalFormatting sqref="A30:A31">
    <cfRule type="duplicateValues" dxfId="26" priority="7"/>
  </conditionalFormatting>
  <conditionalFormatting sqref="D37:D50">
    <cfRule type="duplicateValues" dxfId="25" priority="8"/>
  </conditionalFormatting>
  <conditionalFormatting sqref="E37:E50">
    <cfRule type="duplicateValues" dxfId="24" priority="9"/>
  </conditionalFormatting>
  <conditionalFormatting sqref="A37:A50">
    <cfRule type="duplicateValues" dxfId="23" priority="10"/>
    <cfRule type="duplicateValues" dxfId="22" priority="11"/>
    <cfRule type="duplicateValues" dxfId="21" priority="12"/>
  </conditionalFormatting>
  <conditionalFormatting sqref="A37:A50">
    <cfRule type="duplicateValues" dxfId="20" priority="13"/>
  </conditionalFormatting>
  <conditionalFormatting sqref="E37:E52 E25:E27">
    <cfRule type="duplicateValues" dxfId="19" priority="14"/>
  </conditionalFormatting>
  <conditionalFormatting sqref="E24:E55">
    <cfRule type="duplicateValues" dxfId="18" priority="2"/>
  </conditionalFormatting>
  <conditionalFormatting sqref="A32:A36 A28">
    <cfRule type="duplicateValues" dxfId="17" priority="15"/>
  </conditionalFormatting>
  <conditionalFormatting sqref="A53:A55">
    <cfRule type="duplicateValues" dxfId="16" priority="16"/>
  </conditionalFormatting>
  <conditionalFormatting sqref="E2:E55">
    <cfRule type="duplicateValues" dxfId="15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E6D59-D150-46B6-B92C-C68D3C196BD4}">
  <sheetPr codeName="Planilha22"/>
  <dimension ref="A1:E2"/>
  <sheetViews>
    <sheetView zoomScale="205" zoomScaleNormal="205" workbookViewId="0">
      <selection activeCell="A4" sqref="A4:O57"/>
    </sheetView>
  </sheetViews>
  <sheetFormatPr defaultRowHeight="14.4" x14ac:dyDescent="0.3"/>
  <cols>
    <col min="1" max="1" width="17.5546875" customWidth="1"/>
    <col min="2" max="2" width="17.6640625" customWidth="1"/>
    <col min="3" max="3" width="21.5546875" bestFit="1" customWidth="1"/>
    <col min="4" max="4" width="14.5546875" customWidth="1"/>
    <col min="5" max="5" width="13.6640625" customWidth="1"/>
  </cols>
  <sheetData>
    <row r="1" spans="1:5" ht="15" thickBot="1" x14ac:dyDescent="0.35">
      <c r="A1" s="117" t="s">
        <v>1231</v>
      </c>
      <c r="B1" s="118" t="s">
        <v>1232</v>
      </c>
      <c r="C1" s="118" t="str">
        <f>IFERROR(IF(VLOOKUP('Tributação fora do Municipio'!F5,'ORDEM DE VENDA'!A:M,5,0)&lt;&gt;"","Contrato","Cotação de venda"),"Contrato")</f>
        <v>Contrato</v>
      </c>
      <c r="D1" s="118" t="s">
        <v>1378</v>
      </c>
      <c r="E1" s="118" t="s">
        <v>1233</v>
      </c>
    </row>
    <row r="2" spans="1:5" ht="15" thickBot="1" x14ac:dyDescent="0.35">
      <c r="A2" s="119" t="s">
        <v>1234</v>
      </c>
      <c r="B2" s="121">
        <f ca="1">IFERROR(IF(
    VLOOKUP('Tributação fora do Municipio'!F5, 'ORDEM DE VENDA'!A:E, 5, 0) = "",
    IF(
        VLOOKUP('Tributação fora do Municipio'!I5, COTAÇÕES!A:B, 2, 0) = -1,
        "PGTO ANTECIPADO",
        IF(
            VLOOKUP('Tributação fora do Municipio'!I5, COTAÇÕES!A:B, 2, 0) = 0,
            "PGTO. A VISTA",
            'Tributação fora do Municipio'!I12
        )
    ),
    IF(
        VLOOKUP('Tributação fora do Municipio'!I5, CLIENTES!A:D, 2, 0) = -1,
        "PGTO ANTECIPADO",
        IF(
            VLOOKUP('Tributação fora do Municipio'!I5, CLIENTES!A:D, 2, 0) = 0,
            "PGTO. A VISTA",
            'Tributação fora do Municipio'!I12
        )
      )
    ),"----"
)</f>
        <v>46277</v>
      </c>
      <c r="C2" s="120">
        <f>IF('Tributação fora do Municipio'!I5=123456,VLOOKUP('Tributação fora do Municipio'!F5,'ORDEM DE VENDA'!A:M,13,0),'Tributação fora do Municipio'!I5)</f>
        <v>26819</v>
      </c>
      <c r="D2" s="122">
        <f>'Tributação fora do Municipio'!D6</f>
        <v>3300</v>
      </c>
      <c r="E2" s="122">
        <f>'Tributação fora do Municipio'!D14</f>
        <v>3007.95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0C77-0FE3-4EF8-B6D6-F8F077A2C5B7}">
  <sheetPr codeName="Planilha6"/>
  <dimension ref="B1:AF34"/>
  <sheetViews>
    <sheetView workbookViewId="0">
      <selection activeCell="D14" sqref="D14"/>
    </sheetView>
  </sheetViews>
  <sheetFormatPr defaultColWidth="9.109375" defaultRowHeight="14.4" x14ac:dyDescent="0.3"/>
  <cols>
    <col min="1" max="1" width="4.5546875" style="2" customWidth="1"/>
    <col min="2" max="2" width="24" style="2" customWidth="1"/>
    <col min="3" max="3" width="7" style="2" customWidth="1"/>
    <col min="4" max="4" width="11.5546875" style="2" customWidth="1"/>
    <col min="5" max="5" width="7.109375" style="2" customWidth="1"/>
    <col min="6" max="6" width="16.88671875" style="2" customWidth="1"/>
    <col min="7" max="7" width="8.5546875" style="2" bestFit="1" customWidth="1"/>
    <col min="8" max="8" width="16.44140625" style="2" customWidth="1"/>
    <col min="9" max="9" width="13.33203125" style="2" bestFit="1" customWidth="1"/>
    <col min="10" max="10" width="12.5546875" style="2" bestFit="1" customWidth="1"/>
    <col min="11" max="11" width="12.88671875" style="2" customWidth="1"/>
    <col min="12" max="12" width="17.6640625" style="2" customWidth="1"/>
    <col min="13" max="13" width="15.109375" style="2" bestFit="1" customWidth="1"/>
    <col min="14" max="14" width="18" style="2" bestFit="1" customWidth="1"/>
    <col min="15" max="15" width="15.109375" style="2" bestFit="1" customWidth="1"/>
    <col min="16" max="17" width="5.6640625" style="2" customWidth="1"/>
    <col min="18" max="20" width="9.109375" style="2"/>
    <col min="21" max="21" width="8.44140625" style="2" hidden="1" customWidth="1"/>
    <col min="22" max="22" width="5.109375" style="2" hidden="1" customWidth="1"/>
    <col min="23" max="23" width="10.5546875" style="2" hidden="1" customWidth="1"/>
    <col min="24" max="24" width="11.33203125" style="2" hidden="1" customWidth="1"/>
    <col min="25" max="32" width="6.5546875" style="2" hidden="1" customWidth="1"/>
    <col min="33" max="16384" width="9.109375" style="2"/>
  </cols>
  <sheetData>
    <row r="1" spans="2:32" x14ac:dyDescent="0.3">
      <c r="H1" s="83" t="s">
        <v>17</v>
      </c>
      <c r="I1" s="83"/>
      <c r="J1" s="83"/>
    </row>
    <row r="2" spans="2:32" x14ac:dyDescent="0.3">
      <c r="G2" s="107"/>
      <c r="H2" s="107"/>
      <c r="I2" s="107" t="s">
        <v>264</v>
      </c>
      <c r="J2" s="107"/>
      <c r="K2" s="108"/>
    </row>
    <row r="3" spans="2:32" x14ac:dyDescent="0.3">
      <c r="B3" s="32" t="s">
        <v>19</v>
      </c>
      <c r="C3" s="3"/>
      <c r="D3" s="3"/>
      <c r="F3" s="227" t="s">
        <v>34</v>
      </c>
      <c r="G3" s="227"/>
      <c r="H3" s="227"/>
      <c r="I3" s="227"/>
      <c r="J3" s="90" t="s">
        <v>258</v>
      </c>
      <c r="K3" s="91" t="str">
        <f>VLOOKUP(H5,CLIENTES!A:C,3,0)</f>
        <v>ALEATÓRIO 6200</v>
      </c>
      <c r="L3" s="92"/>
      <c r="M3" s="92"/>
      <c r="N3" s="93"/>
    </row>
    <row r="4" spans="2:32" x14ac:dyDescent="0.3">
      <c r="B4" s="228" t="s">
        <v>4</v>
      </c>
      <c r="C4" s="229"/>
      <c r="D4" s="34">
        <v>12600</v>
      </c>
      <c r="F4" s="102" t="s">
        <v>67</v>
      </c>
      <c r="G4" s="103" t="s">
        <v>8</v>
      </c>
      <c r="H4" s="104" t="s">
        <v>30</v>
      </c>
      <c r="I4" s="105" t="s">
        <v>33</v>
      </c>
      <c r="J4" s="97" t="s">
        <v>56</v>
      </c>
      <c r="K4" s="98" t="s">
        <v>57</v>
      </c>
      <c r="L4" s="98" t="s">
        <v>58</v>
      </c>
      <c r="M4" s="98" t="s">
        <v>59</v>
      </c>
      <c r="N4" s="98" t="s">
        <v>60</v>
      </c>
    </row>
    <row r="5" spans="2:32" x14ac:dyDescent="0.3">
      <c r="B5" s="230" t="s">
        <v>2</v>
      </c>
      <c r="C5" s="231"/>
      <c r="D5" s="4">
        <v>0</v>
      </c>
      <c r="F5" s="56" t="s">
        <v>261</v>
      </c>
      <c r="G5" s="53">
        <v>2</v>
      </c>
      <c r="H5" s="41">
        <v>69542</v>
      </c>
      <c r="I5" s="42"/>
      <c r="J5" s="94">
        <f>VLOOKUP(H5,CLIENTES!A:I,9,0)</f>
        <v>2</v>
      </c>
      <c r="K5" s="95" t="str">
        <f>VLOOKUP($J$5,SITES!A1:F20,2,0)</f>
        <v>BELO HORIZONTE</v>
      </c>
      <c r="L5" s="95" t="str">
        <f>VLOOKUP($J$5,SITES!A1:F20,4,0)</f>
        <v>FICTICIO</v>
      </c>
      <c r="M5" s="96" t="str">
        <f>VLOOKUP($J$5,SITES!A1:F20,5,0)</f>
        <v>FICTICIO</v>
      </c>
      <c r="N5" s="95" t="str">
        <f>VLOOKUP($J$5,SITES!A1:F20,6,0)</f>
        <v>FICTICIO</v>
      </c>
    </row>
    <row r="6" spans="2:32" x14ac:dyDescent="0.3">
      <c r="B6" s="230" t="s">
        <v>3</v>
      </c>
      <c r="C6" s="231"/>
      <c r="D6" s="101">
        <f>D4-D5</f>
        <v>12600</v>
      </c>
      <c r="F6" s="54" t="s">
        <v>262</v>
      </c>
      <c r="H6" s="2" t="s">
        <v>260</v>
      </c>
      <c r="I6"/>
    </row>
    <row r="7" spans="2:32" x14ac:dyDescent="0.3">
      <c r="B7" s="20"/>
      <c r="C7" s="21"/>
      <c r="D7" s="22"/>
      <c r="F7" s="54" t="s">
        <v>263</v>
      </c>
      <c r="H7" s="232" t="s">
        <v>10</v>
      </c>
      <c r="I7" s="232"/>
      <c r="J7" s="232"/>
      <c r="K7" s="232"/>
      <c r="L7" s="232"/>
      <c r="M7" s="232"/>
      <c r="N7" s="232"/>
      <c r="O7" s="232"/>
      <c r="U7" s="226" t="s">
        <v>10</v>
      </c>
      <c r="V7" s="226"/>
      <c r="W7" s="226"/>
      <c r="X7" s="226"/>
      <c r="Y7" s="226"/>
      <c r="Z7" s="226"/>
      <c r="AA7" s="226"/>
      <c r="AB7" s="226"/>
      <c r="AC7" s="226"/>
      <c r="AD7" s="226"/>
      <c r="AE7" s="226"/>
      <c r="AF7" s="226"/>
    </row>
    <row r="8" spans="2:32" x14ac:dyDescent="0.3">
      <c r="B8" s="61" t="s">
        <v>82</v>
      </c>
      <c r="C8" s="62">
        <v>0.65</v>
      </c>
      <c r="D8" s="63">
        <f>D4*C8</f>
        <v>8190</v>
      </c>
      <c r="F8" s="54" t="s">
        <v>31</v>
      </c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</row>
    <row r="9" spans="2:32" ht="15" thickBot="1" x14ac:dyDescent="0.35">
      <c r="B9" s="61" t="s">
        <v>37</v>
      </c>
      <c r="C9" s="62">
        <v>0.35</v>
      </c>
      <c r="D9" s="82">
        <f>D4*C9</f>
        <v>4410</v>
      </c>
      <c r="F9" s="54" t="s">
        <v>31</v>
      </c>
      <c r="H9" s="10" t="s">
        <v>8</v>
      </c>
      <c r="I9" s="10"/>
      <c r="J9" s="10"/>
      <c r="K9" s="10"/>
      <c r="L9" s="10"/>
      <c r="M9" s="10"/>
      <c r="N9" s="10"/>
      <c r="O9" s="10"/>
      <c r="U9" s="11" t="s">
        <v>7</v>
      </c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2:32" ht="37.5" customHeight="1" x14ac:dyDescent="0.3">
      <c r="B10" s="5"/>
      <c r="C10" s="6"/>
      <c r="D10" s="7"/>
      <c r="F10" s="55"/>
      <c r="H10" s="234" t="str">
        <f>CONCATENATE(VLOOKUP(G5,SERVIÇOS!A1:B42,2,0),'Tributação fora do Municipio'!I5,"; ",IF(I5&lt;&gt;"",I5,""))</f>
        <v xml:space="preserve">DESMOBILIZACAO COM CAMINHAO MUNCK - VALOR REFERENTE A PRESTAÇÃO DE SERVIÇO COM CAMINHÃO MUNCK PARA DESMOBILIZACAO CONFORME CONTRATO: 26819; </v>
      </c>
      <c r="I10" s="234"/>
      <c r="J10" s="234"/>
      <c r="K10" s="234"/>
      <c r="L10" s="234"/>
      <c r="M10" s="234"/>
      <c r="N10" s="234"/>
      <c r="O10" s="234"/>
      <c r="U10" s="235" t="s">
        <v>9</v>
      </c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7"/>
    </row>
    <row r="11" spans="2:32" x14ac:dyDescent="0.3">
      <c r="B11" s="8" t="s">
        <v>0</v>
      </c>
      <c r="C11" s="9">
        <v>0.11</v>
      </c>
      <c r="D11" s="100">
        <f>D9*C11</f>
        <v>485.1</v>
      </c>
      <c r="H11" s="60" t="str">
        <f>IF(F9=F8,CONCATENATE(F5," ",F6," ",F7," ",F8,),CONCATENATE(F5," ",F6," ",F7," ",F8," ",F9))</f>
        <v>AV. ARTUR BERNARDES, 01 36555000 - ERVALIA MG BR - BRASIL</v>
      </c>
      <c r="I11" s="38"/>
      <c r="J11" s="57"/>
      <c r="K11" s="39"/>
      <c r="L11" s="39"/>
      <c r="M11" s="39"/>
      <c r="N11" s="39"/>
      <c r="O11" s="40"/>
      <c r="U11" s="213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38"/>
    </row>
    <row r="12" spans="2:32" x14ac:dyDescent="0.3">
      <c r="B12" s="23" t="s">
        <v>1</v>
      </c>
      <c r="C12" s="24">
        <v>0.03</v>
      </c>
      <c r="D12" s="100">
        <f>C12*$D$6</f>
        <v>378</v>
      </c>
      <c r="H12" s="58" t="s">
        <v>32</v>
      </c>
      <c r="I12" s="59">
        <f ca="1">IF(VLOOKUP('Tributação fora do Municipio'!I5,CLIENTES!A:D,2,0)&gt;0,TODAY()+VLOOKUP('Tributação fora do Municipio'!I5,CLIENTES!A:D,2,0),"PGTO. A VISTA")</f>
        <v>46277</v>
      </c>
      <c r="J12" s="39"/>
      <c r="K12" s="39"/>
      <c r="L12" s="39"/>
      <c r="M12" s="39"/>
      <c r="N12" s="39"/>
      <c r="O12" s="40"/>
      <c r="U12" s="213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38"/>
    </row>
    <row r="13" spans="2:32" ht="15" thickBot="1" x14ac:dyDescent="0.35">
      <c r="B13" s="8" t="s">
        <v>5</v>
      </c>
      <c r="C13" s="106">
        <v>4.8000000000000001E-2</v>
      </c>
      <c r="D13" s="100">
        <f>C13*$D$6</f>
        <v>604.80000000000007</v>
      </c>
      <c r="H13" s="65" t="s">
        <v>24</v>
      </c>
      <c r="I13" s="66"/>
      <c r="J13" s="66"/>
      <c r="K13" s="66"/>
      <c r="L13" s="67"/>
      <c r="M13" s="67"/>
      <c r="N13" s="68"/>
      <c r="O13" s="69"/>
      <c r="U13" s="239" t="s">
        <v>6</v>
      </c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1"/>
    </row>
    <row r="14" spans="2:32" x14ac:dyDescent="0.3">
      <c r="B14" s="228" t="s">
        <v>18</v>
      </c>
      <c r="C14" s="229"/>
      <c r="D14" s="99">
        <f>IF(G5=7,D4-(D4*C11)-(D4*C12),D4-SUM(D11:D13))</f>
        <v>11132.1</v>
      </c>
      <c r="G14" s="88"/>
      <c r="H14" s="86" t="s">
        <v>21</v>
      </c>
      <c r="I14" s="71">
        <f>C8</f>
        <v>0.65</v>
      </c>
      <c r="J14" s="72">
        <f>D8</f>
        <v>8190</v>
      </c>
      <c r="L14" s="14"/>
      <c r="M14" s="14"/>
      <c r="O14" s="73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2:32" x14ac:dyDescent="0.3">
      <c r="G15" s="88"/>
      <c r="H15" s="87" t="s">
        <v>8</v>
      </c>
      <c r="I15" s="71">
        <f>C9</f>
        <v>0.35</v>
      </c>
      <c r="J15" s="74">
        <f>D9</f>
        <v>4410</v>
      </c>
      <c r="K15" s="64"/>
      <c r="L15" s="14"/>
      <c r="M15" s="14"/>
      <c r="O15" s="73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2:32" ht="15" thickBot="1" x14ac:dyDescent="0.35">
      <c r="B16" s="70" t="s">
        <v>22</v>
      </c>
      <c r="C16" s="70"/>
      <c r="D16" s="70"/>
      <c r="G16" s="88"/>
      <c r="H16" s="13" t="s">
        <v>11</v>
      </c>
      <c r="I16" s="14"/>
      <c r="J16" s="14"/>
      <c r="K16" s="14"/>
      <c r="L16" s="14"/>
      <c r="M16" s="14"/>
      <c r="N16" s="14"/>
      <c r="O16" s="75"/>
      <c r="U16" s="11" t="s">
        <v>8</v>
      </c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2:26" ht="15" customHeight="1" x14ac:dyDescent="0.3">
      <c r="B17" s="70" t="s">
        <v>23</v>
      </c>
      <c r="C17" s="70"/>
      <c r="D17" s="70"/>
      <c r="H17" s="76" t="s">
        <v>0</v>
      </c>
      <c r="I17" s="84">
        <f t="shared" ref="I17:J19" si="0">C11</f>
        <v>0.11</v>
      </c>
      <c r="J17" s="77">
        <f t="shared" si="0"/>
        <v>485.1</v>
      </c>
      <c r="K17" s="14"/>
      <c r="L17" s="14"/>
      <c r="M17" s="14"/>
      <c r="N17" s="14"/>
      <c r="O17" s="75"/>
      <c r="U17" s="51" t="s">
        <v>20</v>
      </c>
      <c r="V17" s="52"/>
      <c r="W17" s="52"/>
      <c r="X17" s="52"/>
      <c r="Y17" s="52"/>
      <c r="Z17" s="52"/>
    </row>
    <row r="18" spans="2:26" x14ac:dyDescent="0.3">
      <c r="H18" s="76" t="s">
        <v>1</v>
      </c>
      <c r="I18" s="85">
        <f t="shared" si="0"/>
        <v>0.03</v>
      </c>
      <c r="J18" s="77">
        <f t="shared" si="0"/>
        <v>378</v>
      </c>
      <c r="K18" s="14"/>
      <c r="L18" s="14"/>
      <c r="M18" s="14"/>
      <c r="N18" s="14"/>
      <c r="O18" s="75"/>
      <c r="U18" s="35"/>
      <c r="V18" s="36"/>
      <c r="W18" s="36"/>
      <c r="X18" s="36"/>
      <c r="Y18" s="36"/>
      <c r="Z18" s="36"/>
    </row>
    <row r="19" spans="2:26" x14ac:dyDescent="0.3">
      <c r="H19" s="109" t="str">
        <f>B13</f>
        <v>IR</v>
      </c>
      <c r="I19" s="85">
        <f t="shared" si="0"/>
        <v>4.8000000000000001E-2</v>
      </c>
      <c r="J19" s="77">
        <f t="shared" si="0"/>
        <v>604.80000000000007</v>
      </c>
      <c r="K19" s="14"/>
      <c r="L19" s="14"/>
      <c r="M19" s="14"/>
      <c r="N19" s="14"/>
      <c r="O19" s="75"/>
      <c r="U19" s="35"/>
      <c r="V19" s="36"/>
      <c r="W19" s="36"/>
      <c r="X19" s="36"/>
      <c r="Y19" s="36"/>
      <c r="Z19" s="36"/>
    </row>
    <row r="20" spans="2:26" ht="15" thickBot="1" x14ac:dyDescent="0.35">
      <c r="B20" s="1"/>
      <c r="C20" s="26"/>
      <c r="D20" s="26"/>
      <c r="H20" s="78" t="s">
        <v>25</v>
      </c>
      <c r="I20" s="79"/>
      <c r="J20" s="80"/>
      <c r="K20" s="19"/>
      <c r="L20" s="19"/>
      <c r="M20" s="19"/>
      <c r="N20" s="19"/>
      <c r="O20" s="81"/>
      <c r="R20" s="17"/>
      <c r="S20" s="17"/>
      <c r="T20" s="17"/>
      <c r="U20" s="17"/>
      <c r="V20" s="17"/>
      <c r="W20" s="17"/>
      <c r="X20" s="17"/>
      <c r="Y20" s="25"/>
    </row>
    <row r="21" spans="2:26" ht="12" customHeight="1" x14ac:dyDescent="0.3">
      <c r="D21" s="26"/>
      <c r="R21" s="17"/>
      <c r="S21" s="17"/>
      <c r="T21" s="17"/>
      <c r="U21" s="17"/>
      <c r="V21" s="17"/>
      <c r="W21" s="25"/>
    </row>
    <row r="22" spans="2:26" x14ac:dyDescent="0.3">
      <c r="D22" s="26"/>
      <c r="E22" s="26"/>
      <c r="F22" s="26"/>
      <c r="S22" s="17"/>
      <c r="T22" s="17"/>
      <c r="U22" s="17"/>
      <c r="V22" s="17"/>
      <c r="W22" s="25"/>
    </row>
    <row r="23" spans="2:26" x14ac:dyDescent="0.3">
      <c r="B23" s="1"/>
      <c r="C23" s="26"/>
      <c r="D23" s="26"/>
      <c r="M23" s="89"/>
      <c r="S23" s="17"/>
      <c r="T23" s="17"/>
      <c r="U23" s="17"/>
      <c r="V23" s="17"/>
      <c r="W23" s="17"/>
      <c r="X23" s="17"/>
      <c r="Y23" s="25"/>
    </row>
    <row r="24" spans="2:26" ht="14.25" customHeight="1" x14ac:dyDescent="0.3">
      <c r="B24" s="1"/>
      <c r="C24" s="26"/>
      <c r="D24" s="26"/>
      <c r="R24" s="17"/>
      <c r="S24" s="17"/>
      <c r="T24" s="17"/>
      <c r="U24" s="17"/>
      <c r="V24" s="17"/>
      <c r="W24" s="17"/>
      <c r="X24" s="17"/>
      <c r="Y24" s="25"/>
    </row>
    <row r="25" spans="2:26" x14ac:dyDescent="0.3">
      <c r="B25" s="12"/>
      <c r="C25" s="26"/>
      <c r="D25" s="26"/>
      <c r="E25" s="26"/>
      <c r="F25" s="26"/>
      <c r="U25" s="15" t="s">
        <v>0</v>
      </c>
      <c r="V25" s="27" t="e">
        <f>#REF!</f>
        <v>#REF!</v>
      </c>
      <c r="W25" s="16" t="e">
        <f>#REF!</f>
        <v>#REF!</v>
      </c>
      <c r="X25" s="17"/>
      <c r="Y25" s="17"/>
      <c r="Z25" s="17"/>
    </row>
    <row r="26" spans="2:26" x14ac:dyDescent="0.3">
      <c r="B26" s="1"/>
      <c r="C26" s="26"/>
      <c r="D26" s="26"/>
      <c r="E26" s="26"/>
      <c r="F26" s="26"/>
      <c r="U26" s="15" t="s">
        <v>1</v>
      </c>
      <c r="V26" s="27">
        <f>Q4</f>
        <v>0</v>
      </c>
      <c r="W26" s="16" t="e">
        <f>#REF!</f>
        <v>#REF!</v>
      </c>
      <c r="X26" s="17"/>
      <c r="Y26" s="17"/>
      <c r="Z26" s="17"/>
    </row>
    <row r="27" spans="2:26" x14ac:dyDescent="0.3">
      <c r="E27" s="26"/>
      <c r="F27" s="26"/>
      <c r="U27" s="15" t="s">
        <v>5</v>
      </c>
      <c r="V27" s="27">
        <f>P5</f>
        <v>0</v>
      </c>
      <c r="W27" s="16" t="e">
        <f>#REF!</f>
        <v>#REF!</v>
      </c>
      <c r="X27" s="17"/>
      <c r="Y27" s="17"/>
      <c r="Z27" s="17"/>
    </row>
    <row r="28" spans="2:26" ht="12" customHeight="1" x14ac:dyDescent="0.3">
      <c r="B28" s="233"/>
      <c r="C28" s="233"/>
      <c r="E28" s="26"/>
      <c r="F28" s="26"/>
      <c r="U28" s="15" t="s">
        <v>12</v>
      </c>
      <c r="V28" s="18">
        <f>Q6</f>
        <v>0</v>
      </c>
      <c r="W28" s="16" t="e">
        <f>#REF!</f>
        <v>#REF!</v>
      </c>
      <c r="X28" s="17"/>
      <c r="Y28" s="17"/>
      <c r="Z28" s="17"/>
    </row>
    <row r="29" spans="2:26" ht="12" customHeight="1" x14ac:dyDescent="0.3">
      <c r="B29" s="233"/>
      <c r="C29" s="233"/>
      <c r="U29" s="15"/>
      <c r="V29" s="18"/>
      <c r="W29" s="16"/>
      <c r="X29" s="17"/>
      <c r="Y29" s="17"/>
      <c r="Z29" s="17"/>
    </row>
    <row r="30" spans="2:26" ht="15" customHeight="1" x14ac:dyDescent="0.3">
      <c r="B30" s="233"/>
      <c r="C30" s="233"/>
      <c r="U30" s="215" t="s">
        <v>16</v>
      </c>
      <c r="V30" s="216"/>
      <c r="W30" s="216"/>
      <c r="X30" s="216"/>
      <c r="Y30" s="216"/>
      <c r="Z30" s="216"/>
    </row>
    <row r="31" spans="2:26" ht="15" customHeight="1" x14ac:dyDescent="0.3">
      <c r="B31" s="233"/>
      <c r="C31" s="233"/>
      <c r="U31" s="213" t="s">
        <v>13</v>
      </c>
      <c r="V31" s="214"/>
      <c r="W31" s="214"/>
      <c r="X31" s="28">
        <v>10176</v>
      </c>
      <c r="Y31" s="12"/>
      <c r="Z31" s="29"/>
    </row>
    <row r="32" spans="2:26" ht="15" customHeight="1" x14ac:dyDescent="0.3">
      <c r="B32" s="233"/>
      <c r="C32" s="233"/>
      <c r="U32" s="213" t="s">
        <v>14</v>
      </c>
      <c r="V32" s="214"/>
      <c r="W32" s="214"/>
      <c r="X32" s="28">
        <v>1197</v>
      </c>
      <c r="Y32" s="12"/>
      <c r="Z32" s="29"/>
    </row>
    <row r="33" spans="21:26" ht="15" customHeight="1" x14ac:dyDescent="0.3">
      <c r="U33" s="213" t="s">
        <v>15</v>
      </c>
      <c r="V33" s="214"/>
      <c r="W33" s="214"/>
      <c r="X33" s="28">
        <v>26580</v>
      </c>
      <c r="Y33" s="12"/>
      <c r="Z33" s="29"/>
    </row>
    <row r="34" spans="21:26" x14ac:dyDescent="0.3">
      <c r="U34" s="213"/>
      <c r="V34" s="214"/>
      <c r="W34" s="214"/>
      <c r="X34" s="28"/>
      <c r="Y34" s="17"/>
      <c r="Z34" s="17"/>
    </row>
  </sheetData>
  <mergeCells count="16">
    <mergeCell ref="U33:W33"/>
    <mergeCell ref="U34:W34"/>
    <mergeCell ref="H10:O10"/>
    <mergeCell ref="U10:AF12"/>
    <mergeCell ref="U13:AF13"/>
    <mergeCell ref="B14:C14"/>
    <mergeCell ref="B28:C32"/>
    <mergeCell ref="U30:Z30"/>
    <mergeCell ref="U31:W31"/>
    <mergeCell ref="U32:W32"/>
    <mergeCell ref="U7:AF8"/>
    <mergeCell ref="F3:I3"/>
    <mergeCell ref="B4:C4"/>
    <mergeCell ref="B5:C5"/>
    <mergeCell ref="B6:C6"/>
    <mergeCell ref="H7:O7"/>
  </mergeCells>
  <hyperlinks>
    <hyperlink ref="G4" location="SERVIÇOS!A1" display="SERVIÇO" xr:uid="{D5787D03-6FFF-4EA2-B584-FDFFCEBE18C5}"/>
    <hyperlink ref="H4" location="CLIENTES!A1" display="CONTRATO" xr:uid="{E8F6E26E-CE1D-4745-BE13-29D1E3D9059F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1D95-B21C-497B-9A4E-EE2AAD2FC023}">
  <sheetPr codeName="Planilha7"/>
  <dimension ref="A1:O7326"/>
  <sheetViews>
    <sheetView workbookViewId="0">
      <selection activeCell="O3" sqref="O3"/>
    </sheetView>
  </sheetViews>
  <sheetFormatPr defaultRowHeight="14.4" x14ac:dyDescent="0.3"/>
  <cols>
    <col min="1" max="1" width="11.33203125" style="130" customWidth="1"/>
    <col min="2" max="2" width="13.33203125" style="130" customWidth="1"/>
    <col min="3" max="3" width="38.88671875" style="130" customWidth="1"/>
    <col min="4" max="4" width="14.109375" customWidth="1"/>
    <col min="5" max="5" width="9.109375" style="130" customWidth="1"/>
    <col min="6" max="6" width="9.109375" customWidth="1"/>
    <col min="7" max="7" width="12.5546875" customWidth="1"/>
    <col min="8" max="8" width="13" customWidth="1"/>
    <col min="9" max="9" width="9.109375" style="130" customWidth="1"/>
    <col min="10" max="10" width="13" customWidth="1"/>
    <col min="11" max="11" width="21.44140625" customWidth="1"/>
    <col min="12" max="14" width="9.109375" customWidth="1"/>
  </cols>
  <sheetData>
    <row r="1" spans="1:15" s="190" customFormat="1" ht="28.8" x14ac:dyDescent="0.3">
      <c r="A1" s="189" t="s">
        <v>83</v>
      </c>
      <c r="B1" s="189" t="s">
        <v>84</v>
      </c>
      <c r="C1" s="189" t="s">
        <v>85</v>
      </c>
      <c r="D1" s="190" t="s">
        <v>86</v>
      </c>
      <c r="E1" s="189" t="s">
        <v>87</v>
      </c>
      <c r="F1" s="190" t="s">
        <v>88</v>
      </c>
      <c r="G1" s="190" t="s">
        <v>266</v>
      </c>
      <c r="H1" s="190" t="s">
        <v>267</v>
      </c>
      <c r="I1" s="189" t="s">
        <v>89</v>
      </c>
      <c r="J1" s="190" t="s">
        <v>91</v>
      </c>
      <c r="K1" s="190" t="s">
        <v>92</v>
      </c>
      <c r="L1" s="190" t="s">
        <v>90</v>
      </c>
      <c r="M1" s="190" t="s">
        <v>93</v>
      </c>
      <c r="N1" s="190" t="s">
        <v>93</v>
      </c>
      <c r="O1" s="190" t="s">
        <v>94</v>
      </c>
    </row>
    <row r="2" spans="1:15" x14ac:dyDescent="0.3">
      <c r="A2" s="130">
        <v>4</v>
      </c>
      <c r="B2" s="130">
        <v>60</v>
      </c>
      <c r="C2" s="130" t="s">
        <v>1626</v>
      </c>
      <c r="D2">
        <v>257</v>
      </c>
      <c r="E2" s="130">
        <v>17185786</v>
      </c>
      <c r="F2" t="s">
        <v>87</v>
      </c>
      <c r="G2">
        <v>78</v>
      </c>
      <c r="H2" t="s">
        <v>8951</v>
      </c>
      <c r="I2" s="130">
        <v>2</v>
      </c>
      <c r="J2" t="s">
        <v>1626</v>
      </c>
      <c r="K2" t="s">
        <v>95</v>
      </c>
      <c r="L2" t="s">
        <v>8951</v>
      </c>
      <c r="M2" t="s">
        <v>97</v>
      </c>
      <c r="N2" t="s">
        <v>98</v>
      </c>
      <c r="O2" t="s">
        <v>1345</v>
      </c>
    </row>
    <row r="3" spans="1:15" x14ac:dyDescent="0.3">
      <c r="A3" s="130">
        <v>7</v>
      </c>
      <c r="B3" s="130">
        <v>30</v>
      </c>
      <c r="C3" s="130" t="s">
        <v>1627</v>
      </c>
      <c r="D3">
        <v>302</v>
      </c>
      <c r="E3" s="131">
        <v>35234509</v>
      </c>
      <c r="F3" t="s">
        <v>87</v>
      </c>
      <c r="G3">
        <v>78</v>
      </c>
      <c r="H3" t="s">
        <v>8952</v>
      </c>
      <c r="I3" s="130">
        <v>18</v>
      </c>
      <c r="J3" t="s">
        <v>1627</v>
      </c>
      <c r="K3" t="s">
        <v>95</v>
      </c>
      <c r="L3" t="s">
        <v>8952</v>
      </c>
      <c r="M3" t="s">
        <v>103</v>
      </c>
      <c r="N3" t="s">
        <v>104</v>
      </c>
      <c r="O3" t="s">
        <v>1345</v>
      </c>
    </row>
    <row r="4" spans="1:15" x14ac:dyDescent="0.3">
      <c r="A4" s="130">
        <v>17</v>
      </c>
      <c r="B4" s="130">
        <v>45</v>
      </c>
      <c r="C4" s="130" t="s">
        <v>1628</v>
      </c>
      <c r="D4">
        <v>270</v>
      </c>
      <c r="E4" s="130">
        <v>7616290</v>
      </c>
      <c r="F4" t="s">
        <v>87</v>
      </c>
      <c r="G4">
        <v>358</v>
      </c>
      <c r="H4" t="s">
        <v>8953</v>
      </c>
      <c r="I4" s="130">
        <v>18</v>
      </c>
      <c r="J4" t="s">
        <v>1628</v>
      </c>
      <c r="K4" t="s">
        <v>95</v>
      </c>
      <c r="L4" t="s">
        <v>8953</v>
      </c>
      <c r="M4" t="s">
        <v>106</v>
      </c>
      <c r="N4" t="s">
        <v>107</v>
      </c>
      <c r="O4" t="s">
        <v>1345</v>
      </c>
    </row>
    <row r="5" spans="1:15" x14ac:dyDescent="0.3">
      <c r="A5" s="130">
        <v>42</v>
      </c>
      <c r="B5" s="130">
        <v>0</v>
      </c>
      <c r="C5" s="130" t="s">
        <v>1629</v>
      </c>
      <c r="D5">
        <v>1503</v>
      </c>
      <c r="E5" s="130">
        <v>6454541681</v>
      </c>
      <c r="F5" t="s">
        <v>87</v>
      </c>
      <c r="G5">
        <v>358</v>
      </c>
      <c r="H5" t="s">
        <v>8951</v>
      </c>
      <c r="I5" s="130">
        <v>3</v>
      </c>
      <c r="J5" t="s">
        <v>1629</v>
      </c>
      <c r="K5" t="s">
        <v>108</v>
      </c>
      <c r="L5" t="s">
        <v>8951</v>
      </c>
      <c r="M5" t="s">
        <v>100</v>
      </c>
      <c r="N5" t="s">
        <v>110</v>
      </c>
      <c r="O5" t="s">
        <v>1345</v>
      </c>
    </row>
    <row r="6" spans="1:15" x14ac:dyDescent="0.3">
      <c r="A6" s="130">
        <v>49</v>
      </c>
      <c r="B6" s="130">
        <v>18</v>
      </c>
      <c r="C6" s="130" t="s">
        <v>1630</v>
      </c>
      <c r="D6">
        <v>1510</v>
      </c>
      <c r="E6" s="131">
        <v>11263343</v>
      </c>
      <c r="F6" t="s">
        <v>87</v>
      </c>
      <c r="G6">
        <v>78</v>
      </c>
      <c r="H6" t="s">
        <v>8952</v>
      </c>
      <c r="I6" s="130">
        <v>3</v>
      </c>
      <c r="J6" t="s">
        <v>1630</v>
      </c>
      <c r="K6" t="s">
        <v>108</v>
      </c>
      <c r="L6" t="s">
        <v>8952</v>
      </c>
      <c r="M6" t="s">
        <v>112</v>
      </c>
      <c r="N6" t="s">
        <v>98</v>
      </c>
      <c r="O6" t="s">
        <v>1345</v>
      </c>
    </row>
    <row r="7" spans="1:15" x14ac:dyDescent="0.3">
      <c r="A7" s="130">
        <v>51</v>
      </c>
      <c r="B7" s="130">
        <v>30</v>
      </c>
      <c r="C7" s="130" t="s">
        <v>1631</v>
      </c>
      <c r="D7">
        <v>215074</v>
      </c>
      <c r="E7" s="130">
        <v>7005330</v>
      </c>
      <c r="F7" t="s">
        <v>87</v>
      </c>
      <c r="G7">
        <v>77</v>
      </c>
      <c r="H7" t="s">
        <v>8953</v>
      </c>
      <c r="I7" s="131">
        <v>18</v>
      </c>
      <c r="J7" t="s">
        <v>1631</v>
      </c>
      <c r="K7" t="s">
        <v>95</v>
      </c>
      <c r="L7" t="s">
        <v>8953</v>
      </c>
      <c r="M7" t="s">
        <v>103</v>
      </c>
      <c r="N7" t="s">
        <v>114</v>
      </c>
      <c r="O7" t="s">
        <v>116</v>
      </c>
    </row>
    <row r="8" spans="1:15" x14ac:dyDescent="0.3">
      <c r="A8" s="130">
        <v>64</v>
      </c>
      <c r="B8" s="130">
        <v>45</v>
      </c>
      <c r="C8" s="130" t="s">
        <v>1632</v>
      </c>
      <c r="D8">
        <v>1519</v>
      </c>
      <c r="E8" s="130">
        <v>8689024</v>
      </c>
      <c r="F8" t="s">
        <v>87</v>
      </c>
      <c r="G8">
        <v>77</v>
      </c>
      <c r="H8" t="s">
        <v>8951</v>
      </c>
      <c r="I8" s="130">
        <v>3</v>
      </c>
      <c r="J8" t="s">
        <v>1632</v>
      </c>
      <c r="K8" t="s">
        <v>95</v>
      </c>
      <c r="L8" t="s">
        <v>8951</v>
      </c>
      <c r="M8" t="s">
        <v>106</v>
      </c>
      <c r="N8" t="s">
        <v>118</v>
      </c>
      <c r="O8" t="s">
        <v>1345</v>
      </c>
    </row>
    <row r="9" spans="1:15" x14ac:dyDescent="0.3">
      <c r="A9" s="130">
        <v>66</v>
      </c>
      <c r="B9" s="130">
        <v>60</v>
      </c>
      <c r="C9" s="130" t="s">
        <v>1633</v>
      </c>
      <c r="D9">
        <v>1517</v>
      </c>
      <c r="E9" s="130">
        <v>18565382</v>
      </c>
      <c r="F9" t="s">
        <v>87</v>
      </c>
      <c r="G9">
        <v>77</v>
      </c>
      <c r="H9" t="s">
        <v>8952</v>
      </c>
      <c r="I9" s="130">
        <v>3</v>
      </c>
      <c r="J9" t="s">
        <v>1633</v>
      </c>
      <c r="K9" t="s">
        <v>95</v>
      </c>
      <c r="L9" t="s">
        <v>8952</v>
      </c>
      <c r="M9" t="s">
        <v>97</v>
      </c>
      <c r="N9" t="s">
        <v>98</v>
      </c>
      <c r="O9" t="s">
        <v>1345</v>
      </c>
    </row>
    <row r="10" spans="1:15" x14ac:dyDescent="0.3">
      <c r="A10" s="130">
        <v>67</v>
      </c>
      <c r="B10" s="130">
        <v>18</v>
      </c>
      <c r="C10" s="130" t="s">
        <v>1634</v>
      </c>
      <c r="D10">
        <v>1520</v>
      </c>
      <c r="E10" s="130">
        <v>36105223</v>
      </c>
      <c r="F10" t="s">
        <v>87</v>
      </c>
      <c r="G10">
        <v>358</v>
      </c>
      <c r="H10" t="s">
        <v>8953</v>
      </c>
      <c r="I10" s="130">
        <v>18</v>
      </c>
      <c r="J10" t="s">
        <v>1634</v>
      </c>
      <c r="K10" t="s">
        <v>108</v>
      </c>
      <c r="L10" t="s">
        <v>8953</v>
      </c>
      <c r="M10" t="s">
        <v>112</v>
      </c>
      <c r="N10" t="s">
        <v>98</v>
      </c>
      <c r="O10" t="s">
        <v>1256</v>
      </c>
    </row>
    <row r="11" spans="1:15" x14ac:dyDescent="0.3">
      <c r="A11" s="130">
        <v>73</v>
      </c>
      <c r="B11" s="130">
        <v>18</v>
      </c>
      <c r="C11" s="130" t="s">
        <v>1635</v>
      </c>
      <c r="D11">
        <v>1502</v>
      </c>
      <c r="E11" s="131">
        <v>24447770</v>
      </c>
      <c r="F11" t="s">
        <v>87</v>
      </c>
      <c r="G11">
        <v>358</v>
      </c>
      <c r="H11" t="s">
        <v>8951</v>
      </c>
      <c r="I11" s="130">
        <v>3</v>
      </c>
      <c r="J11" t="s">
        <v>1635</v>
      </c>
      <c r="K11" t="s">
        <v>95</v>
      </c>
      <c r="L11" t="s">
        <v>8951</v>
      </c>
      <c r="M11" t="s">
        <v>112</v>
      </c>
      <c r="N11" t="s">
        <v>98</v>
      </c>
      <c r="O11" t="s">
        <v>1345</v>
      </c>
    </row>
    <row r="12" spans="1:15" x14ac:dyDescent="0.3">
      <c r="A12" s="130">
        <v>88</v>
      </c>
      <c r="B12" s="130">
        <v>18</v>
      </c>
      <c r="C12" s="130" t="s">
        <v>1636</v>
      </c>
      <c r="D12">
        <v>1528</v>
      </c>
      <c r="E12" s="131">
        <v>40915283</v>
      </c>
      <c r="F12" t="s">
        <v>87</v>
      </c>
      <c r="G12">
        <v>358</v>
      </c>
      <c r="H12" t="s">
        <v>8952</v>
      </c>
      <c r="I12" s="131">
        <v>19</v>
      </c>
      <c r="J12" t="s">
        <v>1636</v>
      </c>
      <c r="K12" t="s">
        <v>108</v>
      </c>
      <c r="L12" t="s">
        <v>8952</v>
      </c>
      <c r="M12" t="s">
        <v>112</v>
      </c>
      <c r="N12" t="s">
        <v>124</v>
      </c>
      <c r="O12" t="s">
        <v>1345</v>
      </c>
    </row>
    <row r="13" spans="1:15" x14ac:dyDescent="0.3">
      <c r="A13" s="130">
        <v>91</v>
      </c>
      <c r="B13" s="130">
        <v>18</v>
      </c>
      <c r="C13" s="130" t="s">
        <v>1637</v>
      </c>
      <c r="D13">
        <v>1531</v>
      </c>
      <c r="E13" s="130">
        <v>22320881</v>
      </c>
      <c r="F13" t="s">
        <v>87</v>
      </c>
      <c r="G13">
        <v>358</v>
      </c>
      <c r="H13" t="s">
        <v>8953</v>
      </c>
      <c r="I13" s="131">
        <v>3</v>
      </c>
      <c r="J13" t="s">
        <v>1637</v>
      </c>
      <c r="K13" t="s">
        <v>108</v>
      </c>
      <c r="L13" t="s">
        <v>8953</v>
      </c>
      <c r="M13" t="s">
        <v>112</v>
      </c>
      <c r="N13" t="s">
        <v>118</v>
      </c>
      <c r="O13" t="s">
        <v>1345</v>
      </c>
    </row>
    <row r="14" spans="1:15" x14ac:dyDescent="0.3">
      <c r="A14" s="130">
        <v>94</v>
      </c>
      <c r="B14" s="130">
        <v>18</v>
      </c>
      <c r="C14" s="130" t="s">
        <v>1638</v>
      </c>
      <c r="D14">
        <v>1509</v>
      </c>
      <c r="E14" s="131">
        <v>74174095</v>
      </c>
      <c r="F14" t="s">
        <v>87</v>
      </c>
      <c r="G14">
        <v>78</v>
      </c>
      <c r="H14" t="s">
        <v>8951</v>
      </c>
      <c r="I14" s="131">
        <v>38</v>
      </c>
      <c r="J14" t="s">
        <v>1638</v>
      </c>
      <c r="K14" t="s">
        <v>108</v>
      </c>
      <c r="L14" t="s">
        <v>8951</v>
      </c>
      <c r="M14" t="s">
        <v>112</v>
      </c>
      <c r="N14" t="s">
        <v>98</v>
      </c>
      <c r="O14" t="s">
        <v>1345</v>
      </c>
    </row>
    <row r="15" spans="1:15" x14ac:dyDescent="0.3">
      <c r="A15" s="130">
        <v>104</v>
      </c>
      <c r="B15" s="130">
        <v>60</v>
      </c>
      <c r="C15" s="130" t="s">
        <v>1639</v>
      </c>
      <c r="D15">
        <v>215896</v>
      </c>
      <c r="E15" s="130">
        <v>3176142</v>
      </c>
      <c r="F15" t="s">
        <v>87</v>
      </c>
      <c r="G15">
        <v>78</v>
      </c>
      <c r="H15" t="s">
        <v>8952</v>
      </c>
      <c r="I15" s="131">
        <v>9</v>
      </c>
      <c r="J15" t="s">
        <v>1639</v>
      </c>
      <c r="K15" t="s">
        <v>95</v>
      </c>
      <c r="L15" t="s">
        <v>8952</v>
      </c>
      <c r="M15" t="s">
        <v>97</v>
      </c>
      <c r="N15" t="s">
        <v>98</v>
      </c>
      <c r="O15" t="s">
        <v>116</v>
      </c>
    </row>
    <row r="16" spans="1:15" x14ac:dyDescent="0.3">
      <c r="A16" s="130">
        <v>107</v>
      </c>
      <c r="B16" s="130" t="s">
        <v>1257</v>
      </c>
      <c r="C16" s="130" t="s">
        <v>1640</v>
      </c>
      <c r="D16">
        <v>215398</v>
      </c>
      <c r="E16" s="131">
        <v>83932418</v>
      </c>
      <c r="F16" t="s">
        <v>87</v>
      </c>
      <c r="G16">
        <v>358</v>
      </c>
      <c r="H16" t="s">
        <v>8953</v>
      </c>
      <c r="I16" s="130">
        <v>11</v>
      </c>
      <c r="J16" t="s">
        <v>1640</v>
      </c>
      <c r="K16" t="s">
        <v>95</v>
      </c>
      <c r="L16" t="s">
        <v>8953</v>
      </c>
      <c r="M16" t="s">
        <v>1258</v>
      </c>
      <c r="N16" t="s">
        <v>107</v>
      </c>
      <c r="O16" t="s">
        <v>1256</v>
      </c>
    </row>
    <row r="17" spans="1:15" x14ac:dyDescent="0.3">
      <c r="A17" s="130">
        <v>108</v>
      </c>
      <c r="B17" s="130">
        <v>5</v>
      </c>
      <c r="C17" s="130" t="s">
        <v>1641</v>
      </c>
      <c r="D17">
        <v>1540</v>
      </c>
      <c r="E17" s="131">
        <v>157774</v>
      </c>
      <c r="F17" t="s">
        <v>87</v>
      </c>
      <c r="G17">
        <v>358</v>
      </c>
      <c r="H17" t="s">
        <v>8951</v>
      </c>
      <c r="I17" s="131">
        <v>18</v>
      </c>
      <c r="J17" t="s">
        <v>1641</v>
      </c>
      <c r="K17" t="s">
        <v>95</v>
      </c>
      <c r="L17" t="s">
        <v>8951</v>
      </c>
      <c r="M17" t="s">
        <v>129</v>
      </c>
      <c r="N17" t="s">
        <v>118</v>
      </c>
      <c r="O17" t="s">
        <v>1345</v>
      </c>
    </row>
    <row r="18" spans="1:15" x14ac:dyDescent="0.3">
      <c r="A18" s="130">
        <v>112</v>
      </c>
      <c r="B18" s="130">
        <v>18</v>
      </c>
      <c r="C18" s="130" t="s">
        <v>1642</v>
      </c>
      <c r="D18">
        <v>1544</v>
      </c>
      <c r="E18" s="130">
        <v>17162983</v>
      </c>
      <c r="F18" t="s">
        <v>87</v>
      </c>
      <c r="G18">
        <v>78</v>
      </c>
      <c r="H18" t="s">
        <v>8952</v>
      </c>
      <c r="I18" s="131">
        <v>3</v>
      </c>
      <c r="J18" t="s">
        <v>1642</v>
      </c>
      <c r="K18" t="s">
        <v>95</v>
      </c>
      <c r="L18" t="s">
        <v>8952</v>
      </c>
      <c r="M18" t="s">
        <v>112</v>
      </c>
      <c r="N18" t="s">
        <v>98</v>
      </c>
      <c r="O18" t="s">
        <v>1345</v>
      </c>
    </row>
    <row r="19" spans="1:15" x14ac:dyDescent="0.3">
      <c r="A19" s="130">
        <v>126</v>
      </c>
      <c r="B19" s="130">
        <v>18</v>
      </c>
      <c r="C19" s="130" t="s">
        <v>1643</v>
      </c>
      <c r="D19">
        <v>197</v>
      </c>
      <c r="E19" s="130">
        <v>35234509</v>
      </c>
      <c r="F19" t="s">
        <v>87</v>
      </c>
      <c r="G19">
        <v>78</v>
      </c>
      <c r="H19" t="s">
        <v>8953</v>
      </c>
      <c r="I19" s="130">
        <v>18</v>
      </c>
      <c r="J19" t="s">
        <v>1643</v>
      </c>
      <c r="K19" t="s">
        <v>95</v>
      </c>
      <c r="L19" t="s">
        <v>8953</v>
      </c>
      <c r="M19" t="s">
        <v>112</v>
      </c>
      <c r="N19" t="s">
        <v>98</v>
      </c>
      <c r="O19" t="s">
        <v>1345</v>
      </c>
    </row>
    <row r="20" spans="1:15" x14ac:dyDescent="0.3">
      <c r="A20" s="130">
        <v>128</v>
      </c>
      <c r="B20" s="130">
        <v>18</v>
      </c>
      <c r="C20" s="130" t="s">
        <v>1644</v>
      </c>
      <c r="D20">
        <v>1564</v>
      </c>
      <c r="E20" s="130">
        <v>13742401</v>
      </c>
      <c r="F20" t="s">
        <v>87</v>
      </c>
      <c r="G20">
        <v>78</v>
      </c>
      <c r="H20" t="s">
        <v>8951</v>
      </c>
      <c r="I20" s="130">
        <v>9</v>
      </c>
      <c r="J20" t="s">
        <v>1644</v>
      </c>
      <c r="K20" t="s">
        <v>95</v>
      </c>
      <c r="L20" t="s">
        <v>8951</v>
      </c>
      <c r="M20" t="s">
        <v>112</v>
      </c>
      <c r="N20" t="s">
        <v>98</v>
      </c>
      <c r="O20" t="s">
        <v>1345</v>
      </c>
    </row>
    <row r="21" spans="1:15" x14ac:dyDescent="0.3">
      <c r="A21" s="130">
        <v>132</v>
      </c>
      <c r="B21" s="130">
        <v>30</v>
      </c>
      <c r="C21" s="130" t="s">
        <v>1645</v>
      </c>
      <c r="D21">
        <v>215765</v>
      </c>
      <c r="E21" s="130">
        <v>83646547</v>
      </c>
      <c r="F21" t="s">
        <v>87</v>
      </c>
      <c r="G21">
        <v>358</v>
      </c>
      <c r="H21" t="s">
        <v>8952</v>
      </c>
      <c r="I21" s="131">
        <v>10</v>
      </c>
      <c r="J21" t="s">
        <v>1645</v>
      </c>
      <c r="K21" t="s">
        <v>95</v>
      </c>
      <c r="L21" t="s">
        <v>8952</v>
      </c>
      <c r="M21" t="s">
        <v>103</v>
      </c>
      <c r="N21" t="s">
        <v>98</v>
      </c>
      <c r="O21" t="s">
        <v>1345</v>
      </c>
    </row>
    <row r="22" spans="1:15" x14ac:dyDescent="0.3">
      <c r="A22" s="130">
        <v>135</v>
      </c>
      <c r="B22" s="130">
        <v>30</v>
      </c>
      <c r="C22" s="130" t="s">
        <v>1646</v>
      </c>
      <c r="D22">
        <v>215764</v>
      </c>
      <c r="E22" s="130">
        <v>83646547</v>
      </c>
      <c r="F22" t="s">
        <v>87</v>
      </c>
      <c r="G22">
        <v>358</v>
      </c>
      <c r="H22" t="s">
        <v>8953</v>
      </c>
      <c r="I22" s="130">
        <v>10</v>
      </c>
      <c r="J22" t="s">
        <v>1646</v>
      </c>
      <c r="K22" t="s">
        <v>95</v>
      </c>
      <c r="L22" t="s">
        <v>8953</v>
      </c>
      <c r="M22" t="s">
        <v>103</v>
      </c>
      <c r="N22" t="s">
        <v>98</v>
      </c>
      <c r="O22" t="s">
        <v>116</v>
      </c>
    </row>
    <row r="23" spans="1:15" x14ac:dyDescent="0.3">
      <c r="A23" s="130">
        <v>156</v>
      </c>
      <c r="B23" s="130">
        <v>28</v>
      </c>
      <c r="C23" s="130" t="s">
        <v>1647</v>
      </c>
      <c r="D23">
        <v>1537</v>
      </c>
      <c r="E23" s="130">
        <v>33886848</v>
      </c>
      <c r="F23" t="s">
        <v>87</v>
      </c>
      <c r="G23">
        <v>78</v>
      </c>
      <c r="H23" t="s">
        <v>8951</v>
      </c>
      <c r="I23" s="130">
        <v>24</v>
      </c>
      <c r="J23" t="s">
        <v>1647</v>
      </c>
      <c r="K23" t="s">
        <v>95</v>
      </c>
      <c r="L23" t="s">
        <v>8951</v>
      </c>
      <c r="M23" t="s">
        <v>130</v>
      </c>
      <c r="N23" t="s">
        <v>98</v>
      </c>
      <c r="O23" t="s">
        <v>116</v>
      </c>
    </row>
    <row r="24" spans="1:15" x14ac:dyDescent="0.3">
      <c r="A24" s="130">
        <v>159</v>
      </c>
      <c r="B24" s="130">
        <v>18</v>
      </c>
      <c r="C24" s="130" t="s">
        <v>1648</v>
      </c>
      <c r="D24">
        <v>1577</v>
      </c>
      <c r="E24" s="130">
        <v>37371679</v>
      </c>
      <c r="F24" t="s">
        <v>87</v>
      </c>
      <c r="G24">
        <v>78</v>
      </c>
      <c r="H24" t="s">
        <v>8952</v>
      </c>
      <c r="I24" s="131">
        <v>24</v>
      </c>
      <c r="J24" t="s">
        <v>1648</v>
      </c>
      <c r="K24" t="s">
        <v>108</v>
      </c>
      <c r="L24" t="s">
        <v>8952</v>
      </c>
      <c r="M24" t="s">
        <v>112</v>
      </c>
      <c r="N24" t="s">
        <v>101</v>
      </c>
      <c r="O24" t="s">
        <v>1345</v>
      </c>
    </row>
    <row r="25" spans="1:15" x14ac:dyDescent="0.3">
      <c r="A25" s="130">
        <v>160</v>
      </c>
      <c r="B25" s="130">
        <v>18</v>
      </c>
      <c r="C25" s="130" t="s">
        <v>1649</v>
      </c>
      <c r="D25">
        <v>1580</v>
      </c>
      <c r="E25" s="130">
        <v>12394840</v>
      </c>
      <c r="F25" t="s">
        <v>87</v>
      </c>
      <c r="G25">
        <v>358</v>
      </c>
      <c r="H25" t="s">
        <v>8953</v>
      </c>
      <c r="I25" s="131">
        <v>3</v>
      </c>
      <c r="J25" t="s">
        <v>1649</v>
      </c>
      <c r="K25" t="s">
        <v>108</v>
      </c>
      <c r="L25" t="s">
        <v>8953</v>
      </c>
      <c r="M25" t="s">
        <v>112</v>
      </c>
      <c r="N25" t="s">
        <v>98</v>
      </c>
      <c r="O25" t="s">
        <v>116</v>
      </c>
    </row>
    <row r="26" spans="1:15" x14ac:dyDescent="0.3">
      <c r="A26" s="130">
        <v>164</v>
      </c>
      <c r="B26" s="130">
        <v>18</v>
      </c>
      <c r="C26" s="130" t="s">
        <v>1650</v>
      </c>
      <c r="D26">
        <v>1587</v>
      </c>
      <c r="E26" s="130">
        <v>36105223</v>
      </c>
      <c r="F26" t="s">
        <v>87</v>
      </c>
      <c r="G26">
        <v>358</v>
      </c>
      <c r="H26" t="s">
        <v>8951</v>
      </c>
      <c r="I26" s="131">
        <v>3</v>
      </c>
      <c r="J26" t="s">
        <v>1650</v>
      </c>
      <c r="K26" t="s">
        <v>108</v>
      </c>
      <c r="L26" t="s">
        <v>8951</v>
      </c>
      <c r="M26" t="s">
        <v>112</v>
      </c>
      <c r="N26" t="s">
        <v>98</v>
      </c>
      <c r="O26" t="s">
        <v>1345</v>
      </c>
    </row>
    <row r="27" spans="1:15" x14ac:dyDescent="0.3">
      <c r="A27" s="130">
        <v>168</v>
      </c>
      <c r="B27" s="130">
        <v>18</v>
      </c>
      <c r="C27" s="130" t="s">
        <v>1651</v>
      </c>
      <c r="D27">
        <v>1570</v>
      </c>
      <c r="E27" s="131">
        <v>31790710</v>
      </c>
      <c r="F27" t="s">
        <v>87</v>
      </c>
      <c r="G27">
        <v>358</v>
      </c>
      <c r="H27" t="s">
        <v>8952</v>
      </c>
      <c r="I27" s="131">
        <v>3</v>
      </c>
      <c r="J27" t="s">
        <v>1651</v>
      </c>
      <c r="K27" t="s">
        <v>95</v>
      </c>
      <c r="L27" t="s">
        <v>8952</v>
      </c>
      <c r="M27" t="s">
        <v>112</v>
      </c>
      <c r="N27" t="s">
        <v>114</v>
      </c>
      <c r="O27" t="s">
        <v>1345</v>
      </c>
    </row>
    <row r="28" spans="1:15" x14ac:dyDescent="0.3">
      <c r="A28" s="130">
        <v>173</v>
      </c>
      <c r="B28" s="130">
        <v>18</v>
      </c>
      <c r="C28" s="130" t="s">
        <v>1652</v>
      </c>
      <c r="D28">
        <v>1600</v>
      </c>
      <c r="E28" s="130">
        <v>2354917</v>
      </c>
      <c r="F28" t="s">
        <v>87</v>
      </c>
      <c r="G28">
        <v>78</v>
      </c>
      <c r="H28" t="s">
        <v>8953</v>
      </c>
      <c r="I28" s="130">
        <v>18</v>
      </c>
      <c r="J28" t="s">
        <v>1652</v>
      </c>
      <c r="K28" t="s">
        <v>108</v>
      </c>
      <c r="L28" t="s">
        <v>8953</v>
      </c>
      <c r="M28" t="s">
        <v>112</v>
      </c>
      <c r="N28" t="s">
        <v>98</v>
      </c>
      <c r="O28" t="s">
        <v>116</v>
      </c>
    </row>
    <row r="29" spans="1:15" x14ac:dyDescent="0.3">
      <c r="A29" s="130">
        <v>174</v>
      </c>
      <c r="B29" s="130">
        <v>21</v>
      </c>
      <c r="C29" s="130" t="s">
        <v>1653</v>
      </c>
      <c r="D29">
        <v>1601</v>
      </c>
      <c r="E29" s="130">
        <v>10405464</v>
      </c>
      <c r="F29" t="s">
        <v>87</v>
      </c>
      <c r="G29">
        <v>358</v>
      </c>
      <c r="H29" t="s">
        <v>8951</v>
      </c>
      <c r="I29" s="130">
        <v>2</v>
      </c>
      <c r="J29" t="s">
        <v>1653</v>
      </c>
      <c r="K29" t="s">
        <v>108</v>
      </c>
      <c r="L29" t="s">
        <v>8951</v>
      </c>
      <c r="M29" t="s">
        <v>137</v>
      </c>
      <c r="N29" t="s">
        <v>114</v>
      </c>
      <c r="O29" t="s">
        <v>116</v>
      </c>
    </row>
    <row r="30" spans="1:15" x14ac:dyDescent="0.3">
      <c r="A30" s="130">
        <v>177</v>
      </c>
      <c r="B30" s="130">
        <v>30</v>
      </c>
      <c r="C30" s="130" t="s">
        <v>1654</v>
      </c>
      <c r="D30">
        <v>1604</v>
      </c>
      <c r="E30" s="131">
        <v>8343492</v>
      </c>
      <c r="F30" t="s">
        <v>87</v>
      </c>
      <c r="G30">
        <v>78</v>
      </c>
      <c r="H30" t="s">
        <v>8952</v>
      </c>
      <c r="I30" s="131">
        <v>24</v>
      </c>
      <c r="J30" t="s">
        <v>1654</v>
      </c>
      <c r="K30" t="s">
        <v>95</v>
      </c>
      <c r="L30" t="s">
        <v>8952</v>
      </c>
      <c r="M30" t="s">
        <v>103</v>
      </c>
      <c r="N30" t="s">
        <v>98</v>
      </c>
      <c r="O30" t="s">
        <v>1345</v>
      </c>
    </row>
    <row r="31" spans="1:15" x14ac:dyDescent="0.3">
      <c r="A31" s="130">
        <v>187</v>
      </c>
      <c r="B31" s="130">
        <v>0</v>
      </c>
      <c r="C31" s="130" t="s">
        <v>1655</v>
      </c>
      <c r="D31">
        <v>1608</v>
      </c>
      <c r="E31" s="130">
        <v>17249111</v>
      </c>
      <c r="F31" t="s">
        <v>87</v>
      </c>
      <c r="G31">
        <v>358</v>
      </c>
      <c r="H31" t="s">
        <v>8953</v>
      </c>
      <c r="I31" s="130">
        <v>3</v>
      </c>
      <c r="J31" t="s">
        <v>1655</v>
      </c>
      <c r="K31" t="s">
        <v>108</v>
      </c>
      <c r="L31" t="s">
        <v>8953</v>
      </c>
      <c r="M31" t="s">
        <v>100</v>
      </c>
      <c r="N31" t="s">
        <v>141</v>
      </c>
      <c r="O31" t="s">
        <v>1345</v>
      </c>
    </row>
    <row r="32" spans="1:15" x14ac:dyDescent="0.3">
      <c r="A32" s="130">
        <v>190</v>
      </c>
      <c r="B32" s="130">
        <v>18</v>
      </c>
      <c r="C32" s="130" t="s">
        <v>1656</v>
      </c>
      <c r="D32">
        <v>1610</v>
      </c>
      <c r="E32" s="130">
        <v>5476099</v>
      </c>
      <c r="F32" t="s">
        <v>87</v>
      </c>
      <c r="G32">
        <v>78</v>
      </c>
      <c r="H32" t="s">
        <v>8951</v>
      </c>
      <c r="I32" s="131">
        <v>3</v>
      </c>
      <c r="J32" t="s">
        <v>1656</v>
      </c>
      <c r="K32" t="s">
        <v>108</v>
      </c>
      <c r="L32" t="s">
        <v>8951</v>
      </c>
      <c r="M32" t="s">
        <v>112</v>
      </c>
      <c r="N32" t="s">
        <v>101</v>
      </c>
      <c r="O32" t="s">
        <v>116</v>
      </c>
    </row>
    <row r="33" spans="1:15" x14ac:dyDescent="0.3">
      <c r="A33" s="130">
        <v>192</v>
      </c>
      <c r="B33" s="130">
        <v>18</v>
      </c>
      <c r="C33" s="130" t="s">
        <v>1657</v>
      </c>
      <c r="D33">
        <v>1614</v>
      </c>
      <c r="E33" s="131">
        <v>4599257</v>
      </c>
      <c r="F33" t="s">
        <v>87</v>
      </c>
      <c r="G33">
        <v>358</v>
      </c>
      <c r="H33" t="s">
        <v>8952</v>
      </c>
      <c r="I33" s="131">
        <v>3</v>
      </c>
      <c r="J33" t="s">
        <v>1657</v>
      </c>
      <c r="K33" t="s">
        <v>108</v>
      </c>
      <c r="L33" t="s">
        <v>8952</v>
      </c>
      <c r="M33" t="s">
        <v>112</v>
      </c>
      <c r="N33" t="s">
        <v>118</v>
      </c>
      <c r="O33" t="s">
        <v>1345</v>
      </c>
    </row>
    <row r="34" spans="1:15" x14ac:dyDescent="0.3">
      <c r="A34" s="130">
        <v>203</v>
      </c>
      <c r="B34" s="130">
        <v>30</v>
      </c>
      <c r="C34" s="130" t="s">
        <v>1658</v>
      </c>
      <c r="D34">
        <v>1625</v>
      </c>
      <c r="E34" s="130">
        <v>17185786</v>
      </c>
      <c r="F34" t="s">
        <v>87</v>
      </c>
      <c r="G34">
        <v>78</v>
      </c>
      <c r="H34" t="s">
        <v>8953</v>
      </c>
      <c r="I34" s="131">
        <v>10</v>
      </c>
      <c r="J34" t="s">
        <v>1658</v>
      </c>
      <c r="K34" t="s">
        <v>95</v>
      </c>
      <c r="L34" t="s">
        <v>8953</v>
      </c>
      <c r="M34" t="s">
        <v>103</v>
      </c>
      <c r="N34" t="s">
        <v>98</v>
      </c>
      <c r="O34" t="s">
        <v>1345</v>
      </c>
    </row>
    <row r="35" spans="1:15" x14ac:dyDescent="0.3">
      <c r="A35" s="130">
        <v>221</v>
      </c>
      <c r="B35" s="130">
        <v>15</v>
      </c>
      <c r="C35" s="130" t="s">
        <v>1659</v>
      </c>
      <c r="D35">
        <v>1566</v>
      </c>
      <c r="E35" s="130">
        <v>17185786</v>
      </c>
      <c r="F35" t="s">
        <v>87</v>
      </c>
      <c r="G35">
        <v>78</v>
      </c>
      <c r="H35" t="s">
        <v>8951</v>
      </c>
      <c r="I35" s="130">
        <v>10</v>
      </c>
      <c r="J35" t="s">
        <v>1659</v>
      </c>
      <c r="K35" t="s">
        <v>95</v>
      </c>
      <c r="L35" t="s">
        <v>8951</v>
      </c>
      <c r="M35" t="s">
        <v>145</v>
      </c>
      <c r="N35" t="s">
        <v>98</v>
      </c>
      <c r="O35" t="s">
        <v>1345</v>
      </c>
    </row>
    <row r="36" spans="1:15" x14ac:dyDescent="0.3">
      <c r="A36" s="130">
        <v>225</v>
      </c>
      <c r="B36" s="130">
        <v>30</v>
      </c>
      <c r="C36" s="130" t="s">
        <v>1660</v>
      </c>
      <c r="D36">
        <v>1639</v>
      </c>
      <c r="E36" s="131">
        <v>83646547</v>
      </c>
      <c r="F36" t="s">
        <v>87</v>
      </c>
      <c r="G36">
        <v>358</v>
      </c>
      <c r="H36" t="s">
        <v>8952</v>
      </c>
      <c r="I36" s="131">
        <v>10</v>
      </c>
      <c r="J36" t="s">
        <v>1660</v>
      </c>
      <c r="K36" t="s">
        <v>95</v>
      </c>
      <c r="L36" t="s">
        <v>8952</v>
      </c>
      <c r="M36" t="s">
        <v>103</v>
      </c>
      <c r="N36" t="s">
        <v>118</v>
      </c>
      <c r="O36" t="s">
        <v>1345</v>
      </c>
    </row>
    <row r="37" spans="1:15" x14ac:dyDescent="0.3">
      <c r="A37" s="130">
        <v>226</v>
      </c>
      <c r="B37" s="130">
        <v>18</v>
      </c>
      <c r="C37" s="130" t="s">
        <v>1661</v>
      </c>
      <c r="D37">
        <v>1638</v>
      </c>
      <c r="E37" s="130">
        <v>29258096</v>
      </c>
      <c r="F37" t="s">
        <v>87</v>
      </c>
      <c r="G37">
        <v>78</v>
      </c>
      <c r="H37" t="s">
        <v>8953</v>
      </c>
      <c r="I37" s="131">
        <v>24</v>
      </c>
      <c r="J37" t="s">
        <v>1661</v>
      </c>
      <c r="K37" t="s">
        <v>95</v>
      </c>
      <c r="L37" t="s">
        <v>8953</v>
      </c>
      <c r="M37" t="s">
        <v>112</v>
      </c>
      <c r="N37" t="s">
        <v>101</v>
      </c>
      <c r="O37" t="s">
        <v>1345</v>
      </c>
    </row>
    <row r="38" spans="1:15" x14ac:dyDescent="0.3">
      <c r="A38" s="130">
        <v>235</v>
      </c>
      <c r="B38" s="130">
        <v>30</v>
      </c>
      <c r="C38" s="130" t="s">
        <v>1662</v>
      </c>
      <c r="D38">
        <v>1663</v>
      </c>
      <c r="E38" s="131">
        <v>3998869</v>
      </c>
      <c r="F38" t="s">
        <v>87</v>
      </c>
      <c r="G38">
        <v>78</v>
      </c>
      <c r="H38" t="s">
        <v>8951</v>
      </c>
      <c r="I38" s="130">
        <v>43</v>
      </c>
      <c r="J38" t="s">
        <v>1662</v>
      </c>
      <c r="K38" t="s">
        <v>95</v>
      </c>
      <c r="L38" t="s">
        <v>8951</v>
      </c>
      <c r="M38" t="s">
        <v>103</v>
      </c>
      <c r="N38" t="s">
        <v>98</v>
      </c>
      <c r="O38" t="s">
        <v>1345</v>
      </c>
    </row>
    <row r="39" spans="1:15" x14ac:dyDescent="0.3">
      <c r="A39" s="130">
        <v>241</v>
      </c>
      <c r="B39" s="130">
        <v>30</v>
      </c>
      <c r="C39" s="130" t="s">
        <v>1663</v>
      </c>
      <c r="D39">
        <v>1669</v>
      </c>
      <c r="E39" s="130">
        <v>83932418</v>
      </c>
      <c r="F39" t="s">
        <v>87</v>
      </c>
      <c r="G39">
        <v>358</v>
      </c>
      <c r="H39" t="s">
        <v>8952</v>
      </c>
      <c r="I39" s="130">
        <v>10</v>
      </c>
      <c r="J39" t="s">
        <v>1663</v>
      </c>
      <c r="K39" t="s">
        <v>95</v>
      </c>
      <c r="L39" t="s">
        <v>8952</v>
      </c>
      <c r="M39" t="s">
        <v>103</v>
      </c>
      <c r="N39" t="s">
        <v>98</v>
      </c>
      <c r="O39" t="s">
        <v>1345</v>
      </c>
    </row>
    <row r="40" spans="1:15" x14ac:dyDescent="0.3">
      <c r="A40" s="130">
        <v>246</v>
      </c>
      <c r="B40" s="130">
        <v>30</v>
      </c>
      <c r="C40" s="130" t="s">
        <v>1664</v>
      </c>
      <c r="D40">
        <v>1673</v>
      </c>
      <c r="E40" s="131">
        <v>40217012</v>
      </c>
      <c r="F40" t="s">
        <v>87</v>
      </c>
      <c r="G40">
        <v>358</v>
      </c>
      <c r="H40" t="s">
        <v>8953</v>
      </c>
      <c r="I40" s="130">
        <v>3</v>
      </c>
      <c r="J40" t="s">
        <v>1664</v>
      </c>
      <c r="K40" t="s">
        <v>95</v>
      </c>
      <c r="L40" t="s">
        <v>8953</v>
      </c>
      <c r="M40" t="s">
        <v>103</v>
      </c>
      <c r="N40" t="s">
        <v>114</v>
      </c>
      <c r="O40" t="s">
        <v>1345</v>
      </c>
    </row>
    <row r="41" spans="1:15" x14ac:dyDescent="0.3">
      <c r="A41" s="130">
        <v>258</v>
      </c>
      <c r="B41" s="130">
        <v>30</v>
      </c>
      <c r="C41" s="130" t="s">
        <v>1665</v>
      </c>
      <c r="D41">
        <v>215188</v>
      </c>
      <c r="E41" s="130">
        <v>11839306</v>
      </c>
      <c r="F41" t="s">
        <v>87</v>
      </c>
      <c r="G41">
        <v>77</v>
      </c>
      <c r="H41" t="s">
        <v>8951</v>
      </c>
      <c r="I41" s="130">
        <v>3</v>
      </c>
      <c r="J41" t="s">
        <v>1665</v>
      </c>
      <c r="K41" t="s">
        <v>95</v>
      </c>
      <c r="L41" t="s">
        <v>8951</v>
      </c>
      <c r="M41" t="s">
        <v>103</v>
      </c>
      <c r="N41" t="s">
        <v>98</v>
      </c>
      <c r="O41" t="s">
        <v>1345</v>
      </c>
    </row>
    <row r="42" spans="1:15" x14ac:dyDescent="0.3">
      <c r="A42" s="130">
        <v>263</v>
      </c>
      <c r="B42" s="130">
        <v>15</v>
      </c>
      <c r="C42" s="130" t="s">
        <v>1666</v>
      </c>
      <c r="D42">
        <v>1628</v>
      </c>
      <c r="E42" s="131">
        <v>38392977</v>
      </c>
      <c r="F42" t="s">
        <v>87</v>
      </c>
      <c r="G42">
        <v>78</v>
      </c>
      <c r="H42" t="s">
        <v>8952</v>
      </c>
      <c r="I42" s="130">
        <v>38</v>
      </c>
      <c r="J42" t="s">
        <v>1666</v>
      </c>
      <c r="K42" t="s">
        <v>108</v>
      </c>
      <c r="L42" t="s">
        <v>8952</v>
      </c>
      <c r="M42" t="s">
        <v>145</v>
      </c>
      <c r="N42" t="s">
        <v>98</v>
      </c>
      <c r="O42" t="s">
        <v>1345</v>
      </c>
    </row>
    <row r="43" spans="1:15" x14ac:dyDescent="0.3">
      <c r="A43" s="130">
        <v>269</v>
      </c>
      <c r="B43" s="130">
        <v>20</v>
      </c>
      <c r="C43" s="130" t="s">
        <v>1667</v>
      </c>
      <c r="D43">
        <v>1694</v>
      </c>
      <c r="E43" s="130">
        <v>2692797</v>
      </c>
      <c r="F43" t="s">
        <v>87</v>
      </c>
      <c r="G43">
        <v>358</v>
      </c>
      <c r="H43" t="s">
        <v>8953</v>
      </c>
      <c r="I43" s="130">
        <v>3</v>
      </c>
      <c r="J43" t="s">
        <v>1667</v>
      </c>
      <c r="K43" t="s">
        <v>108</v>
      </c>
      <c r="L43" t="s">
        <v>8953</v>
      </c>
      <c r="M43" t="s">
        <v>148</v>
      </c>
      <c r="N43" t="s">
        <v>98</v>
      </c>
      <c r="O43" t="s">
        <v>1345</v>
      </c>
    </row>
    <row r="44" spans="1:15" x14ac:dyDescent="0.3">
      <c r="A44" s="130">
        <v>277</v>
      </c>
      <c r="B44" s="130">
        <v>60</v>
      </c>
      <c r="C44" s="130" t="s">
        <v>1668</v>
      </c>
      <c r="D44">
        <v>1710</v>
      </c>
      <c r="E44" s="131">
        <v>12056613</v>
      </c>
      <c r="F44" t="s">
        <v>87</v>
      </c>
      <c r="G44">
        <v>77</v>
      </c>
      <c r="H44" t="s">
        <v>8951</v>
      </c>
      <c r="I44" s="131">
        <v>2</v>
      </c>
      <c r="J44" t="s">
        <v>1668</v>
      </c>
      <c r="K44" t="s">
        <v>95</v>
      </c>
      <c r="L44" t="s">
        <v>8951</v>
      </c>
      <c r="M44" t="s">
        <v>97</v>
      </c>
      <c r="N44" t="s">
        <v>118</v>
      </c>
      <c r="O44" t="s">
        <v>116</v>
      </c>
    </row>
    <row r="45" spans="1:15" x14ac:dyDescent="0.3">
      <c r="A45" s="130">
        <v>293</v>
      </c>
      <c r="B45" s="130">
        <v>30</v>
      </c>
      <c r="C45" s="130" t="s">
        <v>1669</v>
      </c>
      <c r="D45">
        <v>1733</v>
      </c>
      <c r="E45" s="131">
        <v>2265872</v>
      </c>
      <c r="F45" t="s">
        <v>87</v>
      </c>
      <c r="G45">
        <v>358</v>
      </c>
      <c r="H45" t="s">
        <v>8952</v>
      </c>
      <c r="I45" s="131">
        <v>3</v>
      </c>
      <c r="J45" t="s">
        <v>1669</v>
      </c>
      <c r="K45" t="s">
        <v>95</v>
      </c>
      <c r="L45" t="s">
        <v>8952</v>
      </c>
      <c r="M45" t="s">
        <v>103</v>
      </c>
      <c r="N45" t="s">
        <v>98</v>
      </c>
      <c r="O45" t="s">
        <v>1345</v>
      </c>
    </row>
    <row r="46" spans="1:15" x14ac:dyDescent="0.3">
      <c r="A46" s="130">
        <v>294</v>
      </c>
      <c r="B46" s="130">
        <v>18</v>
      </c>
      <c r="C46" s="130" t="s">
        <v>1670</v>
      </c>
      <c r="D46">
        <v>214274</v>
      </c>
      <c r="E46" s="130">
        <v>7197417</v>
      </c>
      <c r="F46" t="s">
        <v>87</v>
      </c>
      <c r="G46">
        <v>78</v>
      </c>
      <c r="H46" t="s">
        <v>8953</v>
      </c>
      <c r="I46" s="131">
        <v>26</v>
      </c>
      <c r="J46" t="s">
        <v>1670</v>
      </c>
      <c r="K46" t="s">
        <v>95</v>
      </c>
      <c r="L46" t="s">
        <v>8953</v>
      </c>
      <c r="M46" t="s">
        <v>112</v>
      </c>
      <c r="N46" t="s">
        <v>98</v>
      </c>
      <c r="O46" t="s">
        <v>116</v>
      </c>
    </row>
    <row r="47" spans="1:15" x14ac:dyDescent="0.3">
      <c r="A47" s="130">
        <v>304</v>
      </c>
      <c r="B47" s="130">
        <v>60</v>
      </c>
      <c r="C47" s="130" t="s">
        <v>1671</v>
      </c>
      <c r="D47">
        <v>1742</v>
      </c>
      <c r="E47" s="130">
        <v>12056613</v>
      </c>
      <c r="F47" t="s">
        <v>87</v>
      </c>
      <c r="G47">
        <v>77</v>
      </c>
      <c r="H47" t="s">
        <v>8951</v>
      </c>
      <c r="I47" s="130">
        <v>2</v>
      </c>
      <c r="J47" t="s">
        <v>1671</v>
      </c>
      <c r="K47" t="s">
        <v>95</v>
      </c>
      <c r="L47" t="s">
        <v>8951</v>
      </c>
      <c r="M47" t="s">
        <v>97</v>
      </c>
      <c r="N47" t="s">
        <v>118</v>
      </c>
      <c r="O47" t="s">
        <v>116</v>
      </c>
    </row>
    <row r="48" spans="1:15" x14ac:dyDescent="0.3">
      <c r="A48" s="130">
        <v>305</v>
      </c>
      <c r="B48" s="130">
        <v>30</v>
      </c>
      <c r="C48" s="130" t="s">
        <v>1672</v>
      </c>
      <c r="D48">
        <v>216154</v>
      </c>
      <c r="E48" s="130">
        <v>63827026</v>
      </c>
      <c r="F48" t="s">
        <v>87</v>
      </c>
      <c r="G48">
        <v>78</v>
      </c>
      <c r="H48" t="s">
        <v>8952</v>
      </c>
      <c r="I48" s="130">
        <v>10</v>
      </c>
      <c r="J48" t="s">
        <v>1672</v>
      </c>
      <c r="K48" t="s">
        <v>108</v>
      </c>
      <c r="L48" t="s">
        <v>8952</v>
      </c>
      <c r="M48" t="s">
        <v>103</v>
      </c>
      <c r="N48" t="s">
        <v>118</v>
      </c>
      <c r="O48" t="s">
        <v>1345</v>
      </c>
    </row>
    <row r="49" spans="1:15" x14ac:dyDescent="0.3">
      <c r="A49" s="130">
        <v>308</v>
      </c>
      <c r="B49" s="130">
        <v>30</v>
      </c>
      <c r="C49" s="130" t="s">
        <v>1673</v>
      </c>
      <c r="D49">
        <v>1743</v>
      </c>
      <c r="E49" s="131">
        <v>83932418</v>
      </c>
      <c r="F49" t="s">
        <v>87</v>
      </c>
      <c r="G49">
        <v>358</v>
      </c>
      <c r="H49" t="s">
        <v>8953</v>
      </c>
      <c r="I49" s="130">
        <v>10</v>
      </c>
      <c r="J49" t="s">
        <v>1673</v>
      </c>
      <c r="K49" t="s">
        <v>95</v>
      </c>
      <c r="L49" t="s">
        <v>8953</v>
      </c>
      <c r="M49" t="s">
        <v>103</v>
      </c>
      <c r="N49" t="s">
        <v>98</v>
      </c>
      <c r="O49" t="s">
        <v>1256</v>
      </c>
    </row>
    <row r="50" spans="1:15" x14ac:dyDescent="0.3">
      <c r="A50" s="130">
        <v>311</v>
      </c>
      <c r="B50" s="130">
        <v>30</v>
      </c>
      <c r="C50" s="130" t="s">
        <v>1674</v>
      </c>
      <c r="D50">
        <v>1751</v>
      </c>
      <c r="E50" s="130">
        <v>83932418</v>
      </c>
      <c r="F50" t="s">
        <v>87</v>
      </c>
      <c r="G50">
        <v>358</v>
      </c>
      <c r="H50" t="s">
        <v>8951</v>
      </c>
      <c r="I50" s="131">
        <v>10</v>
      </c>
      <c r="J50" t="s">
        <v>1674</v>
      </c>
      <c r="K50" t="s">
        <v>95</v>
      </c>
      <c r="L50" t="s">
        <v>8951</v>
      </c>
      <c r="M50" t="s">
        <v>103</v>
      </c>
      <c r="N50" t="s">
        <v>98</v>
      </c>
      <c r="O50" t="s">
        <v>1345</v>
      </c>
    </row>
    <row r="51" spans="1:15" x14ac:dyDescent="0.3">
      <c r="A51" s="130">
        <v>327</v>
      </c>
      <c r="B51" s="130">
        <v>30</v>
      </c>
      <c r="C51" s="130" t="s">
        <v>1675</v>
      </c>
      <c r="D51">
        <v>1772</v>
      </c>
      <c r="E51" s="130">
        <v>8343492</v>
      </c>
      <c r="F51" t="s">
        <v>87</v>
      </c>
      <c r="G51">
        <v>77</v>
      </c>
      <c r="H51" t="s">
        <v>8952</v>
      </c>
      <c r="I51" s="131">
        <v>18</v>
      </c>
      <c r="J51" t="s">
        <v>1675</v>
      </c>
      <c r="K51" t="s">
        <v>95</v>
      </c>
      <c r="L51" t="s">
        <v>8952</v>
      </c>
      <c r="M51" t="s">
        <v>103</v>
      </c>
      <c r="N51" t="s">
        <v>98</v>
      </c>
      <c r="O51" t="s">
        <v>1345</v>
      </c>
    </row>
    <row r="52" spans="1:15" x14ac:dyDescent="0.3">
      <c r="A52" s="130">
        <v>328</v>
      </c>
      <c r="B52" s="130">
        <v>30</v>
      </c>
      <c r="C52" s="130" t="s">
        <v>1676</v>
      </c>
      <c r="D52">
        <v>1778</v>
      </c>
      <c r="E52" s="131">
        <v>5451496</v>
      </c>
      <c r="F52" t="s">
        <v>87</v>
      </c>
      <c r="G52">
        <v>358</v>
      </c>
      <c r="H52" t="s">
        <v>8953</v>
      </c>
      <c r="I52" s="130">
        <v>3</v>
      </c>
      <c r="J52" t="s">
        <v>1676</v>
      </c>
      <c r="K52" t="s">
        <v>95</v>
      </c>
      <c r="L52" t="s">
        <v>8953</v>
      </c>
      <c r="M52" t="s">
        <v>103</v>
      </c>
      <c r="N52" t="s">
        <v>98</v>
      </c>
      <c r="O52" t="s">
        <v>1345</v>
      </c>
    </row>
    <row r="53" spans="1:15" x14ac:dyDescent="0.3">
      <c r="A53" s="130">
        <v>331</v>
      </c>
      <c r="B53" s="130">
        <v>30</v>
      </c>
      <c r="C53" s="130" t="s">
        <v>1677</v>
      </c>
      <c r="D53">
        <v>1780</v>
      </c>
      <c r="E53" s="131">
        <v>1383443</v>
      </c>
      <c r="F53" t="s">
        <v>87</v>
      </c>
      <c r="G53">
        <v>358</v>
      </c>
      <c r="H53" t="s">
        <v>8951</v>
      </c>
      <c r="I53" s="130">
        <v>3</v>
      </c>
      <c r="J53" t="s">
        <v>1677</v>
      </c>
      <c r="K53" t="s">
        <v>108</v>
      </c>
      <c r="L53" t="s">
        <v>8951</v>
      </c>
      <c r="M53" t="s">
        <v>103</v>
      </c>
      <c r="N53" t="s">
        <v>114</v>
      </c>
      <c r="O53" t="s">
        <v>1345</v>
      </c>
    </row>
    <row r="54" spans="1:15" x14ac:dyDescent="0.3">
      <c r="A54" s="130">
        <v>332</v>
      </c>
      <c r="B54" s="130">
        <v>28</v>
      </c>
      <c r="C54" s="130" t="s">
        <v>1678</v>
      </c>
      <c r="D54">
        <v>1781</v>
      </c>
      <c r="E54" s="130">
        <v>34062393</v>
      </c>
      <c r="F54" t="s">
        <v>87</v>
      </c>
      <c r="G54">
        <v>78</v>
      </c>
      <c r="H54" t="s">
        <v>8952</v>
      </c>
      <c r="I54" s="130">
        <v>24</v>
      </c>
      <c r="J54" t="s">
        <v>1678</v>
      </c>
      <c r="K54" t="s">
        <v>95</v>
      </c>
      <c r="L54" t="s">
        <v>8952</v>
      </c>
      <c r="M54" t="s">
        <v>130</v>
      </c>
      <c r="N54" t="s">
        <v>98</v>
      </c>
      <c r="O54" t="s">
        <v>1345</v>
      </c>
    </row>
    <row r="55" spans="1:15" x14ac:dyDescent="0.3">
      <c r="A55" s="130">
        <v>335</v>
      </c>
      <c r="B55" s="130">
        <v>30</v>
      </c>
      <c r="C55" s="130" t="s">
        <v>1679</v>
      </c>
      <c r="D55">
        <v>1796</v>
      </c>
      <c r="E55" s="131">
        <v>8928273</v>
      </c>
      <c r="F55" t="s">
        <v>87</v>
      </c>
      <c r="G55">
        <v>358</v>
      </c>
      <c r="H55" t="s">
        <v>8953</v>
      </c>
      <c r="I55" s="130">
        <v>3</v>
      </c>
      <c r="J55" t="s">
        <v>1679</v>
      </c>
      <c r="K55" t="s">
        <v>95</v>
      </c>
      <c r="L55" t="s">
        <v>8953</v>
      </c>
      <c r="M55" t="s">
        <v>103</v>
      </c>
      <c r="N55" t="s">
        <v>118</v>
      </c>
      <c r="O55" t="s">
        <v>1345</v>
      </c>
    </row>
    <row r="56" spans="1:15" x14ac:dyDescent="0.3">
      <c r="A56" s="130">
        <v>345</v>
      </c>
      <c r="B56" s="130">
        <v>30</v>
      </c>
      <c r="C56" s="130" t="s">
        <v>1680</v>
      </c>
      <c r="D56">
        <v>1814</v>
      </c>
      <c r="E56" s="131">
        <v>17164435</v>
      </c>
      <c r="F56" t="s">
        <v>87</v>
      </c>
      <c r="G56">
        <v>78</v>
      </c>
      <c r="H56" t="s">
        <v>8951</v>
      </c>
      <c r="I56" s="130">
        <v>3</v>
      </c>
      <c r="J56" t="s">
        <v>1680</v>
      </c>
      <c r="K56" t="s">
        <v>95</v>
      </c>
      <c r="L56" t="s">
        <v>8951</v>
      </c>
      <c r="M56" t="s">
        <v>103</v>
      </c>
      <c r="N56" t="s">
        <v>98</v>
      </c>
      <c r="O56" t="s">
        <v>1345</v>
      </c>
    </row>
    <row r="57" spans="1:15" x14ac:dyDescent="0.3">
      <c r="A57" s="130">
        <v>346</v>
      </c>
      <c r="B57" s="130">
        <v>18</v>
      </c>
      <c r="C57" s="130" t="s">
        <v>1681</v>
      </c>
      <c r="D57">
        <v>1661</v>
      </c>
      <c r="E57" s="131">
        <v>6191223</v>
      </c>
      <c r="F57" t="s">
        <v>87</v>
      </c>
      <c r="G57">
        <v>78</v>
      </c>
      <c r="H57" t="s">
        <v>8952</v>
      </c>
      <c r="I57" s="131">
        <v>9</v>
      </c>
      <c r="J57" t="s">
        <v>1681</v>
      </c>
      <c r="K57" t="s">
        <v>108</v>
      </c>
      <c r="L57" t="s">
        <v>8952</v>
      </c>
      <c r="M57" t="s">
        <v>112</v>
      </c>
      <c r="N57" t="s">
        <v>98</v>
      </c>
      <c r="O57" t="s">
        <v>1345</v>
      </c>
    </row>
    <row r="58" spans="1:15" x14ac:dyDescent="0.3">
      <c r="A58" s="130">
        <v>350</v>
      </c>
      <c r="B58" s="130">
        <v>18</v>
      </c>
      <c r="C58" s="130" t="s">
        <v>1682</v>
      </c>
      <c r="D58">
        <v>1803</v>
      </c>
      <c r="E58" s="131">
        <v>7134777</v>
      </c>
      <c r="F58" t="s">
        <v>87</v>
      </c>
      <c r="G58">
        <v>78</v>
      </c>
      <c r="H58" t="s">
        <v>8953</v>
      </c>
      <c r="I58" s="131">
        <v>10</v>
      </c>
      <c r="J58" t="s">
        <v>1682</v>
      </c>
      <c r="K58" t="s">
        <v>108</v>
      </c>
      <c r="L58" t="s">
        <v>8953</v>
      </c>
      <c r="M58" t="s">
        <v>112</v>
      </c>
      <c r="N58" t="s">
        <v>118</v>
      </c>
      <c r="O58" t="s">
        <v>116</v>
      </c>
    </row>
    <row r="59" spans="1:15" x14ac:dyDescent="0.3">
      <c r="A59" s="130">
        <v>351</v>
      </c>
      <c r="B59" s="130">
        <v>18</v>
      </c>
      <c r="C59" s="130" t="s">
        <v>1683</v>
      </c>
      <c r="D59">
        <v>1824</v>
      </c>
      <c r="E59" s="130">
        <v>10405464</v>
      </c>
      <c r="F59" t="s">
        <v>87</v>
      </c>
      <c r="G59">
        <v>358</v>
      </c>
      <c r="H59" t="s">
        <v>8951</v>
      </c>
      <c r="I59" s="130">
        <v>3</v>
      </c>
      <c r="J59" t="s">
        <v>1683</v>
      </c>
      <c r="K59" t="s">
        <v>108</v>
      </c>
      <c r="L59" t="s">
        <v>8951</v>
      </c>
      <c r="M59" t="s">
        <v>112</v>
      </c>
      <c r="N59" t="s">
        <v>114</v>
      </c>
      <c r="O59" t="s">
        <v>116</v>
      </c>
    </row>
    <row r="60" spans="1:15" x14ac:dyDescent="0.3">
      <c r="A60" s="130">
        <v>362</v>
      </c>
      <c r="B60" s="130">
        <v>30</v>
      </c>
      <c r="C60" s="130" t="s">
        <v>1684</v>
      </c>
      <c r="D60">
        <v>1854</v>
      </c>
      <c r="E60" s="130">
        <v>8343492</v>
      </c>
      <c r="F60" t="s">
        <v>87</v>
      </c>
      <c r="G60">
        <v>78</v>
      </c>
      <c r="H60" t="s">
        <v>8952</v>
      </c>
      <c r="I60" s="130">
        <v>24</v>
      </c>
      <c r="J60" t="s">
        <v>1684</v>
      </c>
      <c r="K60" t="s">
        <v>95</v>
      </c>
      <c r="L60" t="s">
        <v>8952</v>
      </c>
      <c r="M60" t="s">
        <v>103</v>
      </c>
      <c r="N60" t="s">
        <v>98</v>
      </c>
      <c r="O60" t="s">
        <v>1345</v>
      </c>
    </row>
    <row r="61" spans="1:15" x14ac:dyDescent="0.3">
      <c r="A61" s="130">
        <v>366</v>
      </c>
      <c r="B61" s="130">
        <v>18</v>
      </c>
      <c r="C61" s="130" t="s">
        <v>1685</v>
      </c>
      <c r="D61">
        <v>1841</v>
      </c>
      <c r="E61" s="130">
        <v>29084348</v>
      </c>
      <c r="F61" t="s">
        <v>87</v>
      </c>
      <c r="G61">
        <v>78</v>
      </c>
      <c r="H61" t="s">
        <v>8953</v>
      </c>
      <c r="I61" s="130">
        <v>38</v>
      </c>
      <c r="J61" t="s">
        <v>1685</v>
      </c>
      <c r="K61" t="s">
        <v>108</v>
      </c>
      <c r="L61" t="s">
        <v>8953</v>
      </c>
      <c r="M61" t="s">
        <v>112</v>
      </c>
      <c r="N61" t="s">
        <v>98</v>
      </c>
      <c r="O61" t="s">
        <v>1345</v>
      </c>
    </row>
    <row r="62" spans="1:15" x14ac:dyDescent="0.3">
      <c r="A62" s="130">
        <v>375</v>
      </c>
      <c r="B62" s="130">
        <v>30</v>
      </c>
      <c r="C62" s="130" t="s">
        <v>1686</v>
      </c>
      <c r="D62">
        <v>1868</v>
      </c>
      <c r="E62" s="131">
        <v>8343492</v>
      </c>
      <c r="F62" t="s">
        <v>87</v>
      </c>
      <c r="G62">
        <v>77</v>
      </c>
      <c r="H62" t="s">
        <v>8951</v>
      </c>
      <c r="I62" s="130">
        <v>3</v>
      </c>
      <c r="J62" t="s">
        <v>1686</v>
      </c>
      <c r="K62" t="s">
        <v>95</v>
      </c>
      <c r="L62" t="s">
        <v>8951</v>
      </c>
      <c r="M62" t="s">
        <v>103</v>
      </c>
      <c r="N62" t="s">
        <v>98</v>
      </c>
      <c r="O62" t="s">
        <v>116</v>
      </c>
    </row>
    <row r="63" spans="1:15" x14ac:dyDescent="0.3">
      <c r="A63" s="130">
        <v>376</v>
      </c>
      <c r="B63" s="130">
        <v>18</v>
      </c>
      <c r="C63" s="130" t="s">
        <v>1687</v>
      </c>
      <c r="D63">
        <v>1866</v>
      </c>
      <c r="E63" s="130">
        <v>1412207</v>
      </c>
      <c r="F63" t="s">
        <v>87</v>
      </c>
      <c r="G63">
        <v>78</v>
      </c>
      <c r="H63" t="s">
        <v>8952</v>
      </c>
      <c r="I63" s="131">
        <v>9</v>
      </c>
      <c r="J63" t="s">
        <v>1687</v>
      </c>
      <c r="K63" t="s">
        <v>108</v>
      </c>
      <c r="L63" t="s">
        <v>8952</v>
      </c>
      <c r="M63" t="s">
        <v>112</v>
      </c>
      <c r="N63" t="s">
        <v>114</v>
      </c>
      <c r="O63" t="s">
        <v>1345</v>
      </c>
    </row>
    <row r="64" spans="1:15" x14ac:dyDescent="0.3">
      <c r="A64" s="130">
        <v>378</v>
      </c>
      <c r="B64" s="130">
        <v>18</v>
      </c>
      <c r="C64" s="130" t="s">
        <v>1688</v>
      </c>
      <c r="D64">
        <v>1875</v>
      </c>
      <c r="E64" s="131">
        <v>1412207</v>
      </c>
      <c r="F64" t="s">
        <v>87</v>
      </c>
      <c r="G64">
        <v>78</v>
      </c>
      <c r="H64" t="s">
        <v>8953</v>
      </c>
      <c r="I64" s="130">
        <v>9</v>
      </c>
      <c r="J64" t="s">
        <v>1688</v>
      </c>
      <c r="K64" t="s">
        <v>95</v>
      </c>
      <c r="L64" t="s">
        <v>8953</v>
      </c>
      <c r="M64" t="s">
        <v>112</v>
      </c>
      <c r="N64" t="s">
        <v>101</v>
      </c>
      <c r="O64" t="s">
        <v>116</v>
      </c>
    </row>
    <row r="65" spans="1:15" x14ac:dyDescent="0.3">
      <c r="A65" s="130">
        <v>379</v>
      </c>
      <c r="B65" s="130">
        <v>30</v>
      </c>
      <c r="C65" s="130" t="s">
        <v>1689</v>
      </c>
      <c r="D65">
        <v>1871</v>
      </c>
      <c r="E65" s="130">
        <v>74667437</v>
      </c>
      <c r="F65" t="s">
        <v>87</v>
      </c>
      <c r="G65">
        <v>358</v>
      </c>
      <c r="H65" t="s">
        <v>8951</v>
      </c>
      <c r="I65" s="130">
        <v>9</v>
      </c>
      <c r="J65" t="s">
        <v>1689</v>
      </c>
      <c r="K65" t="s">
        <v>95</v>
      </c>
      <c r="L65" t="s">
        <v>8951</v>
      </c>
      <c r="M65" t="s">
        <v>103</v>
      </c>
      <c r="N65" t="s">
        <v>98</v>
      </c>
      <c r="O65" t="s">
        <v>1345</v>
      </c>
    </row>
    <row r="66" spans="1:15" x14ac:dyDescent="0.3">
      <c r="A66" s="130">
        <v>380</v>
      </c>
      <c r="B66" s="130">
        <v>30</v>
      </c>
      <c r="C66" s="130" t="s">
        <v>1690</v>
      </c>
      <c r="D66">
        <v>1876</v>
      </c>
      <c r="E66" s="131">
        <v>5057932</v>
      </c>
      <c r="F66" t="s">
        <v>87</v>
      </c>
      <c r="G66">
        <v>78</v>
      </c>
      <c r="H66" t="s">
        <v>8952</v>
      </c>
      <c r="I66" s="130">
        <v>18</v>
      </c>
      <c r="J66" t="s">
        <v>1690</v>
      </c>
      <c r="K66" t="s">
        <v>108</v>
      </c>
      <c r="L66" t="s">
        <v>8952</v>
      </c>
      <c r="M66" t="s">
        <v>103</v>
      </c>
      <c r="N66" t="s">
        <v>98</v>
      </c>
      <c r="O66" t="s">
        <v>1345</v>
      </c>
    </row>
    <row r="67" spans="1:15" x14ac:dyDescent="0.3">
      <c r="A67" s="130">
        <v>383</v>
      </c>
      <c r="B67" s="130">
        <v>18</v>
      </c>
      <c r="C67" s="130" t="s">
        <v>1691</v>
      </c>
      <c r="D67">
        <v>1880</v>
      </c>
      <c r="E67" s="130">
        <v>41699364</v>
      </c>
      <c r="F67" t="s">
        <v>87</v>
      </c>
      <c r="G67">
        <v>358</v>
      </c>
      <c r="H67" t="s">
        <v>8953</v>
      </c>
      <c r="I67" s="131">
        <v>3</v>
      </c>
      <c r="J67" t="s">
        <v>1691</v>
      </c>
      <c r="K67" t="s">
        <v>108</v>
      </c>
      <c r="L67" t="s">
        <v>8953</v>
      </c>
      <c r="M67" t="s">
        <v>112</v>
      </c>
      <c r="N67" t="s">
        <v>98</v>
      </c>
      <c r="O67" t="s">
        <v>1345</v>
      </c>
    </row>
    <row r="68" spans="1:15" x14ac:dyDescent="0.3">
      <c r="A68" s="130">
        <v>384</v>
      </c>
      <c r="B68" s="130">
        <v>15</v>
      </c>
      <c r="C68" s="130" t="s">
        <v>1692</v>
      </c>
      <c r="D68">
        <v>1881</v>
      </c>
      <c r="E68" s="130">
        <v>3606764</v>
      </c>
      <c r="F68" t="s">
        <v>87</v>
      </c>
      <c r="G68">
        <v>78</v>
      </c>
      <c r="H68" t="s">
        <v>8951</v>
      </c>
      <c r="I68" s="131">
        <v>10</v>
      </c>
      <c r="J68" t="s">
        <v>1692</v>
      </c>
      <c r="K68" t="s">
        <v>95</v>
      </c>
      <c r="L68" t="s">
        <v>8951</v>
      </c>
      <c r="M68" t="s">
        <v>145</v>
      </c>
      <c r="N68" t="s">
        <v>98</v>
      </c>
      <c r="O68" t="s">
        <v>1345</v>
      </c>
    </row>
    <row r="69" spans="1:15" x14ac:dyDescent="0.3">
      <c r="A69" s="130">
        <v>387</v>
      </c>
      <c r="B69" s="130">
        <v>60</v>
      </c>
      <c r="C69" s="130" t="s">
        <v>1693</v>
      </c>
      <c r="D69">
        <v>214959</v>
      </c>
      <c r="E69" s="130">
        <v>3130160</v>
      </c>
      <c r="F69" t="s">
        <v>87</v>
      </c>
      <c r="G69">
        <v>78</v>
      </c>
      <c r="H69" t="s">
        <v>8952</v>
      </c>
      <c r="I69" s="131">
        <v>10</v>
      </c>
      <c r="J69" t="s">
        <v>1693</v>
      </c>
      <c r="K69" t="s">
        <v>108</v>
      </c>
      <c r="L69" t="s">
        <v>8952</v>
      </c>
      <c r="M69" t="s">
        <v>97</v>
      </c>
      <c r="N69" t="s">
        <v>98</v>
      </c>
      <c r="O69" t="s">
        <v>1345</v>
      </c>
    </row>
    <row r="70" spans="1:15" x14ac:dyDescent="0.3">
      <c r="A70" s="130">
        <v>393</v>
      </c>
      <c r="B70" s="130">
        <v>18</v>
      </c>
      <c r="C70" s="130" t="s">
        <v>1694</v>
      </c>
      <c r="D70">
        <v>1631</v>
      </c>
      <c r="E70" s="131">
        <v>29258096</v>
      </c>
      <c r="F70" t="s">
        <v>87</v>
      </c>
      <c r="G70">
        <v>78</v>
      </c>
      <c r="H70" t="s">
        <v>8953</v>
      </c>
      <c r="I70" s="130">
        <v>24</v>
      </c>
      <c r="J70" t="s">
        <v>1694</v>
      </c>
      <c r="K70" t="s">
        <v>95</v>
      </c>
      <c r="L70" t="s">
        <v>8953</v>
      </c>
      <c r="M70" t="s">
        <v>112</v>
      </c>
      <c r="N70" t="s">
        <v>101</v>
      </c>
      <c r="O70" t="s">
        <v>1345</v>
      </c>
    </row>
    <row r="71" spans="1:15" x14ac:dyDescent="0.3">
      <c r="A71" s="130">
        <v>394</v>
      </c>
      <c r="B71" s="130">
        <v>30</v>
      </c>
      <c r="C71" s="130" t="s">
        <v>1695</v>
      </c>
      <c r="D71">
        <v>1897</v>
      </c>
      <c r="E71" s="130">
        <v>60394665</v>
      </c>
      <c r="F71" t="s">
        <v>87</v>
      </c>
      <c r="G71">
        <v>78</v>
      </c>
      <c r="H71" t="s">
        <v>8951</v>
      </c>
      <c r="I71" s="130">
        <v>10</v>
      </c>
      <c r="J71" t="s">
        <v>1695</v>
      </c>
      <c r="K71" t="s">
        <v>108</v>
      </c>
      <c r="L71" t="s">
        <v>8951</v>
      </c>
      <c r="M71" t="s">
        <v>103</v>
      </c>
      <c r="N71" t="s">
        <v>114</v>
      </c>
      <c r="O71" t="s">
        <v>1345</v>
      </c>
    </row>
    <row r="72" spans="1:15" x14ac:dyDescent="0.3">
      <c r="A72" s="130">
        <v>398</v>
      </c>
      <c r="B72" s="130">
        <v>30</v>
      </c>
      <c r="C72" s="130" t="s">
        <v>1696</v>
      </c>
      <c r="D72">
        <v>1884</v>
      </c>
      <c r="E72" s="131">
        <v>8928273</v>
      </c>
      <c r="F72" t="s">
        <v>87</v>
      </c>
      <c r="G72">
        <v>358</v>
      </c>
      <c r="H72" t="s">
        <v>8952</v>
      </c>
      <c r="I72" s="131">
        <v>19</v>
      </c>
      <c r="J72" t="s">
        <v>1696</v>
      </c>
      <c r="K72" t="s">
        <v>95</v>
      </c>
      <c r="L72" t="s">
        <v>8952</v>
      </c>
      <c r="M72" t="s">
        <v>103</v>
      </c>
      <c r="N72" t="s">
        <v>114</v>
      </c>
      <c r="O72" t="s">
        <v>1345</v>
      </c>
    </row>
    <row r="73" spans="1:15" x14ac:dyDescent="0.3">
      <c r="A73" s="130">
        <v>399</v>
      </c>
      <c r="B73" s="130">
        <v>18</v>
      </c>
      <c r="C73" s="130" t="s">
        <v>1697</v>
      </c>
      <c r="D73">
        <v>1907</v>
      </c>
      <c r="E73" s="131">
        <v>18906054</v>
      </c>
      <c r="F73" t="s">
        <v>87</v>
      </c>
      <c r="G73">
        <v>358</v>
      </c>
      <c r="H73" t="s">
        <v>8953</v>
      </c>
      <c r="I73" s="130">
        <v>3</v>
      </c>
      <c r="J73" t="s">
        <v>1697</v>
      </c>
      <c r="K73" t="s">
        <v>95</v>
      </c>
      <c r="L73" t="s">
        <v>8953</v>
      </c>
      <c r="M73" t="s">
        <v>112</v>
      </c>
      <c r="N73" t="s">
        <v>98</v>
      </c>
      <c r="O73" t="s">
        <v>1345</v>
      </c>
    </row>
    <row r="74" spans="1:15" x14ac:dyDescent="0.3">
      <c r="A74" s="130">
        <v>400</v>
      </c>
      <c r="B74" s="130" t="s">
        <v>156</v>
      </c>
      <c r="C74" s="130" t="s">
        <v>1698</v>
      </c>
      <c r="D74">
        <v>1909</v>
      </c>
      <c r="E74" s="130">
        <v>10764189</v>
      </c>
      <c r="F74" t="s">
        <v>87</v>
      </c>
      <c r="G74">
        <v>358</v>
      </c>
      <c r="H74" t="s">
        <v>8951</v>
      </c>
      <c r="I74" s="130">
        <v>3</v>
      </c>
      <c r="J74" t="s">
        <v>1698</v>
      </c>
      <c r="K74" t="s">
        <v>108</v>
      </c>
      <c r="L74" t="s">
        <v>8951</v>
      </c>
      <c r="M74" t="s">
        <v>156</v>
      </c>
      <c r="N74" t="s">
        <v>98</v>
      </c>
      <c r="O74" t="s">
        <v>116</v>
      </c>
    </row>
    <row r="75" spans="1:15" x14ac:dyDescent="0.3">
      <c r="A75" s="130">
        <v>407</v>
      </c>
      <c r="B75" s="130">
        <v>18</v>
      </c>
      <c r="C75" s="130" t="s">
        <v>1699</v>
      </c>
      <c r="D75">
        <v>1913</v>
      </c>
      <c r="E75" s="131">
        <v>72367584</v>
      </c>
      <c r="F75" t="s">
        <v>87</v>
      </c>
      <c r="G75">
        <v>78</v>
      </c>
      <c r="H75" t="s">
        <v>8952</v>
      </c>
      <c r="I75" s="130">
        <v>18</v>
      </c>
      <c r="J75" t="s">
        <v>1699</v>
      </c>
      <c r="K75" t="s">
        <v>108</v>
      </c>
      <c r="L75" t="s">
        <v>8952</v>
      </c>
      <c r="M75" t="s">
        <v>112</v>
      </c>
      <c r="N75" t="s">
        <v>98</v>
      </c>
      <c r="O75" t="s">
        <v>1345</v>
      </c>
    </row>
    <row r="76" spans="1:15" x14ac:dyDescent="0.3">
      <c r="A76" s="130">
        <v>416</v>
      </c>
      <c r="B76" s="130">
        <v>21</v>
      </c>
      <c r="C76" s="130" t="s">
        <v>1700</v>
      </c>
      <c r="D76">
        <v>1933</v>
      </c>
      <c r="E76" s="130">
        <v>9625762</v>
      </c>
      <c r="F76" t="s">
        <v>87</v>
      </c>
      <c r="G76">
        <v>358</v>
      </c>
      <c r="H76" t="s">
        <v>8953</v>
      </c>
      <c r="I76" s="131">
        <v>3</v>
      </c>
      <c r="J76" t="s">
        <v>1700</v>
      </c>
      <c r="K76" t="s">
        <v>95</v>
      </c>
      <c r="L76" t="s">
        <v>8953</v>
      </c>
      <c r="M76" t="s">
        <v>137</v>
      </c>
      <c r="N76" t="s">
        <v>98</v>
      </c>
      <c r="O76" t="s">
        <v>1345</v>
      </c>
    </row>
    <row r="77" spans="1:15" x14ac:dyDescent="0.3">
      <c r="A77" s="130">
        <v>418</v>
      </c>
      <c r="B77" s="130">
        <v>30</v>
      </c>
      <c r="C77" s="130" t="s">
        <v>1701</v>
      </c>
      <c r="D77">
        <v>1935</v>
      </c>
      <c r="E77" s="130">
        <v>40670615</v>
      </c>
      <c r="F77" t="s">
        <v>87</v>
      </c>
      <c r="G77">
        <v>358</v>
      </c>
      <c r="H77" t="s">
        <v>8951</v>
      </c>
      <c r="I77" s="130">
        <v>3</v>
      </c>
      <c r="J77" t="s">
        <v>1701</v>
      </c>
      <c r="K77" t="s">
        <v>95</v>
      </c>
      <c r="L77" t="s">
        <v>8951</v>
      </c>
      <c r="M77" t="s">
        <v>103</v>
      </c>
      <c r="N77" t="s">
        <v>98</v>
      </c>
      <c r="O77" t="s">
        <v>116</v>
      </c>
    </row>
    <row r="78" spans="1:15" x14ac:dyDescent="0.3">
      <c r="A78" s="130">
        <v>425</v>
      </c>
      <c r="B78" s="130">
        <v>5</v>
      </c>
      <c r="C78" s="130" t="s">
        <v>1702</v>
      </c>
      <c r="D78">
        <v>1944</v>
      </c>
      <c r="E78" s="131">
        <v>12010895</v>
      </c>
      <c r="F78" t="s">
        <v>87</v>
      </c>
      <c r="G78">
        <v>78</v>
      </c>
      <c r="H78" t="s">
        <v>8952</v>
      </c>
      <c r="I78" s="130">
        <v>10</v>
      </c>
      <c r="J78" t="s">
        <v>1702</v>
      </c>
      <c r="K78" t="s">
        <v>95</v>
      </c>
      <c r="L78" t="s">
        <v>8952</v>
      </c>
      <c r="M78" t="s">
        <v>129</v>
      </c>
      <c r="N78" t="s">
        <v>114</v>
      </c>
      <c r="O78" t="s">
        <v>1345</v>
      </c>
    </row>
    <row r="79" spans="1:15" x14ac:dyDescent="0.3">
      <c r="A79" s="130">
        <v>432</v>
      </c>
      <c r="B79" s="130">
        <v>18</v>
      </c>
      <c r="C79" s="130" t="s">
        <v>1703</v>
      </c>
      <c r="D79">
        <v>1954</v>
      </c>
      <c r="E79" s="131">
        <v>31907728</v>
      </c>
      <c r="F79" t="s">
        <v>87</v>
      </c>
      <c r="G79">
        <v>358</v>
      </c>
      <c r="H79" t="s">
        <v>8953</v>
      </c>
      <c r="I79" s="131">
        <v>9</v>
      </c>
      <c r="J79" t="s">
        <v>1703</v>
      </c>
      <c r="K79" t="s">
        <v>108</v>
      </c>
      <c r="L79" t="s">
        <v>8953</v>
      </c>
      <c r="M79" t="s">
        <v>112</v>
      </c>
      <c r="N79" t="s">
        <v>98</v>
      </c>
      <c r="O79" t="s">
        <v>1345</v>
      </c>
    </row>
    <row r="80" spans="1:15" x14ac:dyDescent="0.3">
      <c r="A80" s="130">
        <v>440</v>
      </c>
      <c r="B80" s="130">
        <v>21</v>
      </c>
      <c r="C80" s="130" t="s">
        <v>1704</v>
      </c>
      <c r="D80">
        <v>1963</v>
      </c>
      <c r="E80" s="130">
        <v>9625762</v>
      </c>
      <c r="F80" t="s">
        <v>87</v>
      </c>
      <c r="G80">
        <v>358</v>
      </c>
      <c r="H80" t="s">
        <v>8951</v>
      </c>
      <c r="I80" s="130">
        <v>43</v>
      </c>
      <c r="J80" t="s">
        <v>1704</v>
      </c>
      <c r="K80" t="s">
        <v>95</v>
      </c>
      <c r="L80" t="s">
        <v>8951</v>
      </c>
      <c r="M80" t="s">
        <v>137</v>
      </c>
      <c r="N80" t="s">
        <v>98</v>
      </c>
      <c r="O80" t="s">
        <v>116</v>
      </c>
    </row>
    <row r="81" spans="1:15" x14ac:dyDescent="0.3">
      <c r="A81" s="130">
        <v>446</v>
      </c>
      <c r="B81" s="130">
        <v>0</v>
      </c>
      <c r="C81" s="130" t="s">
        <v>1705</v>
      </c>
      <c r="D81">
        <v>1976</v>
      </c>
      <c r="E81" s="130">
        <v>5537083</v>
      </c>
      <c r="F81" t="s">
        <v>87</v>
      </c>
      <c r="G81">
        <v>358</v>
      </c>
      <c r="H81" t="s">
        <v>8952</v>
      </c>
      <c r="I81" s="130">
        <v>9</v>
      </c>
      <c r="J81" t="s">
        <v>1705</v>
      </c>
      <c r="K81" t="s">
        <v>95</v>
      </c>
      <c r="L81" t="s">
        <v>8952</v>
      </c>
      <c r="M81" t="s">
        <v>100</v>
      </c>
      <c r="N81" t="s">
        <v>98</v>
      </c>
      <c r="O81" t="s">
        <v>1345</v>
      </c>
    </row>
    <row r="82" spans="1:15" x14ac:dyDescent="0.3">
      <c r="A82" s="130">
        <v>447</v>
      </c>
      <c r="B82" s="130">
        <v>18</v>
      </c>
      <c r="C82" s="130" t="s">
        <v>1706</v>
      </c>
      <c r="D82">
        <v>1977</v>
      </c>
      <c r="E82" s="130">
        <v>5843874</v>
      </c>
      <c r="F82" t="s">
        <v>87</v>
      </c>
      <c r="G82">
        <v>358</v>
      </c>
      <c r="H82" t="s">
        <v>8953</v>
      </c>
      <c r="I82" s="131">
        <v>3</v>
      </c>
      <c r="J82" t="s">
        <v>1706</v>
      </c>
      <c r="K82" t="s">
        <v>95</v>
      </c>
      <c r="L82" t="s">
        <v>8953</v>
      </c>
      <c r="M82" t="s">
        <v>112</v>
      </c>
      <c r="N82" t="s">
        <v>114</v>
      </c>
      <c r="O82" t="s">
        <v>1345</v>
      </c>
    </row>
    <row r="83" spans="1:15" x14ac:dyDescent="0.3">
      <c r="A83" s="130">
        <v>448</v>
      </c>
      <c r="B83" s="130">
        <v>30</v>
      </c>
      <c r="C83" s="130" t="s">
        <v>1707</v>
      </c>
      <c r="D83">
        <v>1980</v>
      </c>
      <c r="E83" s="131">
        <v>36892514</v>
      </c>
      <c r="F83" t="s">
        <v>87</v>
      </c>
      <c r="G83">
        <v>78</v>
      </c>
      <c r="H83" t="s">
        <v>8951</v>
      </c>
      <c r="I83" s="131">
        <v>9</v>
      </c>
      <c r="J83" t="s">
        <v>1707</v>
      </c>
      <c r="K83" t="s">
        <v>95</v>
      </c>
      <c r="L83" t="s">
        <v>8951</v>
      </c>
      <c r="M83" t="s">
        <v>103</v>
      </c>
      <c r="N83" t="s">
        <v>98</v>
      </c>
      <c r="O83" t="s">
        <v>1345</v>
      </c>
    </row>
    <row r="84" spans="1:15" x14ac:dyDescent="0.3">
      <c r="A84" s="130">
        <v>449</v>
      </c>
      <c r="B84" s="130">
        <v>18</v>
      </c>
      <c r="C84" s="130" t="s">
        <v>1708</v>
      </c>
      <c r="D84">
        <v>1985</v>
      </c>
      <c r="E84" s="130">
        <v>5451496</v>
      </c>
      <c r="F84" t="s">
        <v>87</v>
      </c>
      <c r="G84">
        <v>358</v>
      </c>
      <c r="H84" t="s">
        <v>8952</v>
      </c>
      <c r="I84" s="130">
        <v>3</v>
      </c>
      <c r="J84" t="s">
        <v>1708</v>
      </c>
      <c r="K84" t="s">
        <v>95</v>
      </c>
      <c r="L84" t="s">
        <v>8952</v>
      </c>
      <c r="M84" t="s">
        <v>112</v>
      </c>
      <c r="N84" t="s">
        <v>98</v>
      </c>
      <c r="O84" t="s">
        <v>1345</v>
      </c>
    </row>
    <row r="85" spans="1:15" x14ac:dyDescent="0.3">
      <c r="A85" s="130">
        <v>452</v>
      </c>
      <c r="B85" s="130">
        <v>30</v>
      </c>
      <c r="C85" s="130" t="s">
        <v>1709</v>
      </c>
      <c r="D85">
        <v>215174</v>
      </c>
      <c r="E85" s="130">
        <v>8310839</v>
      </c>
      <c r="F85" t="s">
        <v>87</v>
      </c>
      <c r="G85">
        <v>358</v>
      </c>
      <c r="H85" t="s">
        <v>8953</v>
      </c>
      <c r="I85" s="130">
        <v>18</v>
      </c>
      <c r="J85" t="s">
        <v>1709</v>
      </c>
      <c r="K85" t="s">
        <v>95</v>
      </c>
      <c r="L85" t="s">
        <v>8953</v>
      </c>
      <c r="M85" t="s">
        <v>103</v>
      </c>
      <c r="N85" t="s">
        <v>122</v>
      </c>
      <c r="O85" t="s">
        <v>1345</v>
      </c>
    </row>
    <row r="86" spans="1:15" x14ac:dyDescent="0.3">
      <c r="A86" s="130">
        <v>453</v>
      </c>
      <c r="B86" s="130">
        <v>35</v>
      </c>
      <c r="C86" s="130" t="s">
        <v>1710</v>
      </c>
      <c r="D86">
        <v>1971</v>
      </c>
      <c r="E86" s="130">
        <v>3992929</v>
      </c>
      <c r="F86" t="s">
        <v>87</v>
      </c>
      <c r="G86">
        <v>78</v>
      </c>
      <c r="H86" t="s">
        <v>8951</v>
      </c>
      <c r="I86" s="130">
        <v>9</v>
      </c>
      <c r="J86" t="s">
        <v>1710</v>
      </c>
      <c r="K86" t="s">
        <v>95</v>
      </c>
      <c r="L86" t="s">
        <v>8951</v>
      </c>
      <c r="M86" t="s">
        <v>161</v>
      </c>
      <c r="N86" t="s">
        <v>98</v>
      </c>
      <c r="O86" t="s">
        <v>1345</v>
      </c>
    </row>
    <row r="87" spans="1:15" x14ac:dyDescent="0.3">
      <c r="A87" s="130">
        <v>454</v>
      </c>
      <c r="B87" s="130">
        <v>18</v>
      </c>
      <c r="C87" s="130" t="s">
        <v>1711</v>
      </c>
      <c r="D87">
        <v>1999</v>
      </c>
      <c r="E87" s="130">
        <v>22402193</v>
      </c>
      <c r="F87" t="s">
        <v>87</v>
      </c>
      <c r="G87">
        <v>78</v>
      </c>
      <c r="H87" t="s">
        <v>8952</v>
      </c>
      <c r="I87" s="130">
        <v>24</v>
      </c>
      <c r="J87" t="s">
        <v>1711</v>
      </c>
      <c r="K87" t="s">
        <v>95</v>
      </c>
      <c r="L87" t="s">
        <v>8952</v>
      </c>
      <c r="M87" t="s">
        <v>112</v>
      </c>
      <c r="N87" t="s">
        <v>101</v>
      </c>
      <c r="O87" t="s">
        <v>1345</v>
      </c>
    </row>
    <row r="88" spans="1:15" x14ac:dyDescent="0.3">
      <c r="A88" s="130">
        <v>461</v>
      </c>
      <c r="B88" s="130">
        <v>18</v>
      </c>
      <c r="C88" s="130" t="s">
        <v>1712</v>
      </c>
      <c r="D88">
        <v>215590</v>
      </c>
      <c r="E88" s="131">
        <v>8575085</v>
      </c>
      <c r="F88" t="s">
        <v>87</v>
      </c>
      <c r="G88">
        <v>358</v>
      </c>
      <c r="H88" t="s">
        <v>8953</v>
      </c>
      <c r="I88" s="130">
        <v>19</v>
      </c>
      <c r="J88" t="s">
        <v>1712</v>
      </c>
      <c r="K88" t="s">
        <v>108</v>
      </c>
      <c r="L88" t="s">
        <v>8953</v>
      </c>
      <c r="M88" t="s">
        <v>112</v>
      </c>
      <c r="N88" t="s">
        <v>98</v>
      </c>
      <c r="O88" t="s">
        <v>116</v>
      </c>
    </row>
    <row r="89" spans="1:15" x14ac:dyDescent="0.3">
      <c r="A89" s="130">
        <v>464</v>
      </c>
      <c r="B89" s="130">
        <v>30</v>
      </c>
      <c r="C89" s="130" t="s">
        <v>1713</v>
      </c>
      <c r="D89">
        <v>2017</v>
      </c>
      <c r="E89" s="131">
        <v>31260645</v>
      </c>
      <c r="F89" t="s">
        <v>87</v>
      </c>
      <c r="G89">
        <v>78</v>
      </c>
      <c r="H89" t="s">
        <v>8951</v>
      </c>
      <c r="I89" s="130">
        <v>18</v>
      </c>
      <c r="J89" t="s">
        <v>1713</v>
      </c>
      <c r="K89" t="s">
        <v>95</v>
      </c>
      <c r="L89" t="s">
        <v>8951</v>
      </c>
      <c r="M89" t="s">
        <v>103</v>
      </c>
      <c r="N89" t="s">
        <v>98</v>
      </c>
      <c r="O89" t="s">
        <v>1345</v>
      </c>
    </row>
    <row r="90" spans="1:15" x14ac:dyDescent="0.3">
      <c r="A90" s="130">
        <v>465</v>
      </c>
      <c r="B90" s="130">
        <v>18</v>
      </c>
      <c r="C90" s="130" t="s">
        <v>1714</v>
      </c>
      <c r="D90">
        <v>2020</v>
      </c>
      <c r="E90" s="131">
        <v>32196137</v>
      </c>
      <c r="F90" t="s">
        <v>87</v>
      </c>
      <c r="G90">
        <v>78</v>
      </c>
      <c r="H90" t="s">
        <v>8952</v>
      </c>
      <c r="I90" s="130">
        <v>26</v>
      </c>
      <c r="J90" t="s">
        <v>1714</v>
      </c>
      <c r="K90" t="s">
        <v>108</v>
      </c>
      <c r="L90" t="s">
        <v>8952</v>
      </c>
      <c r="M90" t="s">
        <v>112</v>
      </c>
      <c r="N90" t="s">
        <v>98</v>
      </c>
      <c r="O90" t="s">
        <v>1345</v>
      </c>
    </row>
    <row r="91" spans="1:15" x14ac:dyDescent="0.3">
      <c r="A91" s="130">
        <v>471</v>
      </c>
      <c r="B91" s="130">
        <v>30</v>
      </c>
      <c r="C91" s="130" t="s">
        <v>1715</v>
      </c>
      <c r="D91">
        <v>216156</v>
      </c>
      <c r="E91" s="130">
        <v>17159856</v>
      </c>
      <c r="F91" t="s">
        <v>87</v>
      </c>
      <c r="G91">
        <v>358</v>
      </c>
      <c r="H91" t="s">
        <v>8953</v>
      </c>
      <c r="I91" s="130">
        <v>43</v>
      </c>
      <c r="J91" t="s">
        <v>1715</v>
      </c>
      <c r="K91" t="s">
        <v>95</v>
      </c>
      <c r="L91" t="s">
        <v>8953</v>
      </c>
      <c r="M91" t="s">
        <v>103</v>
      </c>
      <c r="N91" t="s">
        <v>98</v>
      </c>
      <c r="O91" t="s">
        <v>1345</v>
      </c>
    </row>
    <row r="92" spans="1:15" x14ac:dyDescent="0.3">
      <c r="A92" s="130">
        <v>484</v>
      </c>
      <c r="B92" s="130">
        <v>18</v>
      </c>
      <c r="C92" s="130" t="s">
        <v>1716</v>
      </c>
      <c r="D92">
        <v>2032</v>
      </c>
      <c r="E92" s="130">
        <v>5773057</v>
      </c>
      <c r="F92" t="s">
        <v>87</v>
      </c>
      <c r="G92">
        <v>358</v>
      </c>
      <c r="H92" t="s">
        <v>8951</v>
      </c>
      <c r="I92" s="130">
        <v>3</v>
      </c>
      <c r="J92" t="s">
        <v>1716</v>
      </c>
      <c r="K92" t="s">
        <v>108</v>
      </c>
      <c r="L92" t="s">
        <v>8951</v>
      </c>
      <c r="M92" t="s">
        <v>112</v>
      </c>
      <c r="N92" t="s">
        <v>118</v>
      </c>
      <c r="O92" t="s">
        <v>1345</v>
      </c>
    </row>
    <row r="93" spans="1:15" x14ac:dyDescent="0.3">
      <c r="A93" s="130">
        <v>485</v>
      </c>
      <c r="B93" s="130">
        <v>30</v>
      </c>
      <c r="C93" s="130" t="s">
        <v>1717</v>
      </c>
      <c r="D93">
        <v>215251</v>
      </c>
      <c r="E93" s="130">
        <v>19157650</v>
      </c>
      <c r="F93" t="s">
        <v>87</v>
      </c>
      <c r="G93">
        <v>78</v>
      </c>
      <c r="H93" t="s">
        <v>8952</v>
      </c>
      <c r="I93" s="130">
        <v>10</v>
      </c>
      <c r="J93" t="s">
        <v>1717</v>
      </c>
      <c r="K93" t="s">
        <v>95</v>
      </c>
      <c r="L93" t="s">
        <v>8952</v>
      </c>
      <c r="M93" t="s">
        <v>103</v>
      </c>
      <c r="N93" t="s">
        <v>98</v>
      </c>
      <c r="O93" t="s">
        <v>116</v>
      </c>
    </row>
    <row r="94" spans="1:15" x14ac:dyDescent="0.3">
      <c r="A94" s="130">
        <v>487</v>
      </c>
      <c r="B94" s="130">
        <v>18</v>
      </c>
      <c r="C94" s="130" t="s">
        <v>1718</v>
      </c>
      <c r="D94">
        <v>2036</v>
      </c>
      <c r="E94" s="131">
        <v>10521728</v>
      </c>
      <c r="F94" t="s">
        <v>87</v>
      </c>
      <c r="G94">
        <v>358</v>
      </c>
      <c r="H94" t="s">
        <v>8953</v>
      </c>
      <c r="I94" s="130">
        <v>3</v>
      </c>
      <c r="J94" t="s">
        <v>1718</v>
      </c>
      <c r="K94" t="s">
        <v>108</v>
      </c>
      <c r="L94" t="s">
        <v>8953</v>
      </c>
      <c r="M94" t="s">
        <v>112</v>
      </c>
      <c r="N94" t="s">
        <v>98</v>
      </c>
      <c r="O94" t="s">
        <v>1345</v>
      </c>
    </row>
    <row r="95" spans="1:15" x14ac:dyDescent="0.3">
      <c r="A95" s="130">
        <v>490</v>
      </c>
      <c r="B95" s="130">
        <v>30</v>
      </c>
      <c r="C95" s="130" t="s">
        <v>1719</v>
      </c>
      <c r="D95">
        <v>2043</v>
      </c>
      <c r="E95" s="131">
        <v>17164435</v>
      </c>
      <c r="F95" t="s">
        <v>87</v>
      </c>
      <c r="G95">
        <v>78</v>
      </c>
      <c r="H95" t="s">
        <v>8951</v>
      </c>
      <c r="I95" s="130">
        <v>3</v>
      </c>
      <c r="J95" t="s">
        <v>1719</v>
      </c>
      <c r="K95" t="s">
        <v>95</v>
      </c>
      <c r="L95" t="s">
        <v>8951</v>
      </c>
      <c r="M95" t="s">
        <v>103</v>
      </c>
      <c r="N95" t="s">
        <v>98</v>
      </c>
      <c r="O95" t="s">
        <v>1345</v>
      </c>
    </row>
    <row r="96" spans="1:15" x14ac:dyDescent="0.3">
      <c r="A96" s="130">
        <v>493</v>
      </c>
      <c r="B96" s="130">
        <v>15</v>
      </c>
      <c r="C96" s="130" t="s">
        <v>1720</v>
      </c>
      <c r="D96">
        <v>2045</v>
      </c>
      <c r="E96" s="131">
        <v>19894985</v>
      </c>
      <c r="F96" t="s">
        <v>87</v>
      </c>
      <c r="G96">
        <v>78</v>
      </c>
      <c r="H96" t="s">
        <v>8952</v>
      </c>
      <c r="I96" s="130">
        <v>43</v>
      </c>
      <c r="J96" t="s">
        <v>1720</v>
      </c>
      <c r="K96" t="s">
        <v>95</v>
      </c>
      <c r="L96" t="s">
        <v>8952</v>
      </c>
      <c r="M96" t="s">
        <v>145</v>
      </c>
      <c r="N96" t="s">
        <v>98</v>
      </c>
      <c r="O96" t="s">
        <v>116</v>
      </c>
    </row>
    <row r="97" spans="1:15" x14ac:dyDescent="0.3">
      <c r="A97" s="130">
        <v>513</v>
      </c>
      <c r="B97" s="130">
        <v>18</v>
      </c>
      <c r="C97" s="130" t="s">
        <v>1721</v>
      </c>
      <c r="D97">
        <v>1981</v>
      </c>
      <c r="E97" s="131">
        <v>26764536</v>
      </c>
      <c r="F97" t="s">
        <v>87</v>
      </c>
      <c r="G97">
        <v>78</v>
      </c>
      <c r="H97" t="s">
        <v>8953</v>
      </c>
      <c r="I97" s="130">
        <v>9</v>
      </c>
      <c r="J97" t="s">
        <v>1721</v>
      </c>
      <c r="K97" t="s">
        <v>108</v>
      </c>
      <c r="L97" t="s">
        <v>8953</v>
      </c>
      <c r="M97" t="s">
        <v>112</v>
      </c>
      <c r="N97" t="s">
        <v>98</v>
      </c>
      <c r="O97" t="s">
        <v>116</v>
      </c>
    </row>
    <row r="98" spans="1:15" x14ac:dyDescent="0.3">
      <c r="A98" s="130">
        <v>518</v>
      </c>
      <c r="B98" s="130">
        <v>45</v>
      </c>
      <c r="C98" s="130" t="s">
        <v>1722</v>
      </c>
      <c r="D98">
        <v>1911</v>
      </c>
      <c r="E98" s="130">
        <v>8689024</v>
      </c>
      <c r="F98" t="s">
        <v>87</v>
      </c>
      <c r="G98">
        <v>77</v>
      </c>
      <c r="H98" t="s">
        <v>8951</v>
      </c>
      <c r="I98" s="131">
        <v>3</v>
      </c>
      <c r="J98" t="s">
        <v>1722</v>
      </c>
      <c r="K98" t="s">
        <v>95</v>
      </c>
      <c r="L98" t="s">
        <v>8951</v>
      </c>
      <c r="M98" t="s">
        <v>106</v>
      </c>
      <c r="N98" t="s">
        <v>114</v>
      </c>
      <c r="O98" t="s">
        <v>1345</v>
      </c>
    </row>
    <row r="99" spans="1:15" x14ac:dyDescent="0.3">
      <c r="A99" s="130">
        <v>519</v>
      </c>
      <c r="B99" s="130">
        <v>18</v>
      </c>
      <c r="C99" s="130" t="s">
        <v>1723</v>
      </c>
      <c r="D99">
        <v>2047</v>
      </c>
      <c r="E99" s="130">
        <v>89723977</v>
      </c>
      <c r="F99" t="s">
        <v>87</v>
      </c>
      <c r="G99">
        <v>358</v>
      </c>
      <c r="H99" t="s">
        <v>8952</v>
      </c>
      <c r="I99" s="131">
        <v>43</v>
      </c>
      <c r="J99" t="s">
        <v>1723</v>
      </c>
      <c r="K99" t="s">
        <v>95</v>
      </c>
      <c r="L99" t="s">
        <v>8952</v>
      </c>
      <c r="M99" t="s">
        <v>112</v>
      </c>
      <c r="N99" t="s">
        <v>98</v>
      </c>
      <c r="O99" t="s">
        <v>1345</v>
      </c>
    </row>
    <row r="100" spans="1:15" x14ac:dyDescent="0.3">
      <c r="A100" s="130">
        <v>520</v>
      </c>
      <c r="B100" s="130">
        <v>18</v>
      </c>
      <c r="C100" s="130" t="s">
        <v>1724</v>
      </c>
      <c r="D100">
        <v>2013</v>
      </c>
      <c r="E100" s="130">
        <v>21545856</v>
      </c>
      <c r="F100" t="s">
        <v>87</v>
      </c>
      <c r="G100">
        <v>78</v>
      </c>
      <c r="H100" t="s">
        <v>8953</v>
      </c>
      <c r="I100" s="131">
        <v>24</v>
      </c>
      <c r="J100" t="s">
        <v>1724</v>
      </c>
      <c r="K100" t="s">
        <v>95</v>
      </c>
      <c r="L100" t="s">
        <v>8953</v>
      </c>
      <c r="M100" t="s">
        <v>112</v>
      </c>
      <c r="N100" t="s">
        <v>121</v>
      </c>
      <c r="O100" t="s">
        <v>1345</v>
      </c>
    </row>
    <row r="101" spans="1:15" x14ac:dyDescent="0.3">
      <c r="A101" s="130">
        <v>522</v>
      </c>
      <c r="B101" s="130">
        <v>28</v>
      </c>
      <c r="C101" s="130" t="s">
        <v>1725</v>
      </c>
      <c r="D101">
        <v>2005</v>
      </c>
      <c r="E101" s="131">
        <v>31627793</v>
      </c>
      <c r="F101" t="s">
        <v>87</v>
      </c>
      <c r="G101">
        <v>78</v>
      </c>
      <c r="H101" t="s">
        <v>8951</v>
      </c>
      <c r="I101" s="131">
        <v>24</v>
      </c>
      <c r="J101" t="s">
        <v>1725</v>
      </c>
      <c r="K101" t="s">
        <v>95</v>
      </c>
      <c r="L101" t="s">
        <v>8951</v>
      </c>
      <c r="M101" t="s">
        <v>130</v>
      </c>
      <c r="N101" t="s">
        <v>98</v>
      </c>
      <c r="O101" t="s">
        <v>1345</v>
      </c>
    </row>
    <row r="102" spans="1:15" x14ac:dyDescent="0.3">
      <c r="A102" s="130">
        <v>531</v>
      </c>
      <c r="B102" s="130">
        <v>25</v>
      </c>
      <c r="C102" s="130" t="s">
        <v>1726</v>
      </c>
      <c r="D102">
        <v>2090</v>
      </c>
      <c r="E102" s="130">
        <v>237518</v>
      </c>
      <c r="F102" t="s">
        <v>87</v>
      </c>
      <c r="G102">
        <v>78</v>
      </c>
      <c r="H102" t="s">
        <v>8952</v>
      </c>
      <c r="I102" s="130">
        <v>9</v>
      </c>
      <c r="J102" t="s">
        <v>1726</v>
      </c>
      <c r="K102" t="s">
        <v>95</v>
      </c>
      <c r="L102" t="s">
        <v>8952</v>
      </c>
      <c r="M102" t="s">
        <v>164</v>
      </c>
      <c r="N102" t="s">
        <v>98</v>
      </c>
      <c r="O102" t="s">
        <v>1345</v>
      </c>
    </row>
    <row r="103" spans="1:15" x14ac:dyDescent="0.3">
      <c r="A103" s="130">
        <v>532</v>
      </c>
      <c r="B103" s="130">
        <v>30</v>
      </c>
      <c r="C103" s="130" t="s">
        <v>1727</v>
      </c>
      <c r="D103">
        <v>2093</v>
      </c>
      <c r="E103" s="130">
        <v>82502196</v>
      </c>
      <c r="F103" t="s">
        <v>87</v>
      </c>
      <c r="G103">
        <v>78</v>
      </c>
      <c r="H103" t="s">
        <v>8953</v>
      </c>
      <c r="I103" s="130">
        <v>10</v>
      </c>
      <c r="J103" t="s">
        <v>1727</v>
      </c>
      <c r="K103" t="s">
        <v>108</v>
      </c>
      <c r="L103" t="s">
        <v>8953</v>
      </c>
      <c r="M103" t="s">
        <v>103</v>
      </c>
      <c r="N103" t="s">
        <v>118</v>
      </c>
      <c r="O103" t="s">
        <v>1256</v>
      </c>
    </row>
    <row r="104" spans="1:15" x14ac:dyDescent="0.3">
      <c r="A104" s="130">
        <v>533</v>
      </c>
      <c r="B104" s="130">
        <v>18</v>
      </c>
      <c r="C104" s="130" t="s">
        <v>1728</v>
      </c>
      <c r="D104">
        <v>2092</v>
      </c>
      <c r="E104" s="131">
        <v>6269747</v>
      </c>
      <c r="F104" t="s">
        <v>87</v>
      </c>
      <c r="G104">
        <v>78</v>
      </c>
      <c r="H104" t="s">
        <v>8951</v>
      </c>
      <c r="I104" s="130">
        <v>24</v>
      </c>
      <c r="J104" t="s">
        <v>1728</v>
      </c>
      <c r="K104" t="s">
        <v>95</v>
      </c>
      <c r="L104" t="s">
        <v>8951</v>
      </c>
      <c r="M104" t="s">
        <v>112</v>
      </c>
      <c r="N104" t="s">
        <v>98</v>
      </c>
      <c r="O104" t="s">
        <v>1345</v>
      </c>
    </row>
    <row r="105" spans="1:15" x14ac:dyDescent="0.3">
      <c r="A105" s="130">
        <v>534</v>
      </c>
      <c r="B105" s="130">
        <v>30</v>
      </c>
      <c r="C105" s="130" t="s">
        <v>1729</v>
      </c>
      <c r="D105">
        <v>2095</v>
      </c>
      <c r="E105" s="130">
        <v>35336310</v>
      </c>
      <c r="F105" t="s">
        <v>87</v>
      </c>
      <c r="G105">
        <v>358</v>
      </c>
      <c r="H105" t="s">
        <v>8952</v>
      </c>
      <c r="I105" s="130">
        <v>24</v>
      </c>
      <c r="J105" t="s">
        <v>1729</v>
      </c>
      <c r="K105" t="s">
        <v>108</v>
      </c>
      <c r="L105" t="s">
        <v>8952</v>
      </c>
      <c r="M105" t="s">
        <v>103</v>
      </c>
      <c r="N105" t="s">
        <v>101</v>
      </c>
      <c r="O105" t="s">
        <v>1345</v>
      </c>
    </row>
    <row r="106" spans="1:15" x14ac:dyDescent="0.3">
      <c r="A106" s="130">
        <v>545</v>
      </c>
      <c r="B106" s="130">
        <v>18</v>
      </c>
      <c r="C106" s="130" t="s">
        <v>1730</v>
      </c>
      <c r="D106">
        <v>2106</v>
      </c>
      <c r="E106" s="131">
        <v>15063096</v>
      </c>
      <c r="F106" t="s">
        <v>87</v>
      </c>
      <c r="G106">
        <v>358</v>
      </c>
      <c r="H106" t="s">
        <v>8953</v>
      </c>
      <c r="I106" s="131">
        <v>10</v>
      </c>
      <c r="J106" t="s">
        <v>1730</v>
      </c>
      <c r="K106" t="s">
        <v>95</v>
      </c>
      <c r="L106" t="s">
        <v>8953</v>
      </c>
      <c r="M106" t="s">
        <v>112</v>
      </c>
      <c r="N106" t="s">
        <v>98</v>
      </c>
      <c r="O106" t="s">
        <v>1345</v>
      </c>
    </row>
    <row r="107" spans="1:15" x14ac:dyDescent="0.3">
      <c r="A107" s="130">
        <v>549</v>
      </c>
      <c r="B107" s="130">
        <v>18</v>
      </c>
      <c r="C107" s="130" t="s">
        <v>1731</v>
      </c>
      <c r="D107">
        <v>2110</v>
      </c>
      <c r="E107" s="131">
        <v>3573571</v>
      </c>
      <c r="F107" t="s">
        <v>87</v>
      </c>
      <c r="G107">
        <v>78</v>
      </c>
      <c r="H107" t="s">
        <v>8951</v>
      </c>
      <c r="I107" s="130">
        <v>18</v>
      </c>
      <c r="J107" t="s">
        <v>1731</v>
      </c>
      <c r="K107" t="s">
        <v>108</v>
      </c>
      <c r="L107" t="s">
        <v>8951</v>
      </c>
      <c r="M107" t="s">
        <v>112</v>
      </c>
      <c r="N107" t="s">
        <v>98</v>
      </c>
      <c r="O107" t="s">
        <v>1345</v>
      </c>
    </row>
    <row r="108" spans="1:15" x14ac:dyDescent="0.3">
      <c r="A108" s="130">
        <v>558</v>
      </c>
      <c r="B108" s="130">
        <v>30</v>
      </c>
      <c r="C108" s="130" t="s">
        <v>1732</v>
      </c>
      <c r="D108">
        <v>2115</v>
      </c>
      <c r="E108" s="130">
        <v>46588950</v>
      </c>
      <c r="F108" t="s">
        <v>87</v>
      </c>
      <c r="G108">
        <v>78</v>
      </c>
      <c r="H108" t="s">
        <v>8952</v>
      </c>
      <c r="I108" s="130">
        <v>24</v>
      </c>
      <c r="J108" t="s">
        <v>1732</v>
      </c>
      <c r="K108" t="s">
        <v>95</v>
      </c>
      <c r="L108" t="s">
        <v>8952</v>
      </c>
      <c r="M108" t="s">
        <v>103</v>
      </c>
      <c r="N108" t="s">
        <v>166</v>
      </c>
      <c r="O108" t="s">
        <v>1345</v>
      </c>
    </row>
    <row r="109" spans="1:15" x14ac:dyDescent="0.3">
      <c r="A109" s="130">
        <v>567</v>
      </c>
      <c r="B109" s="130">
        <v>18</v>
      </c>
      <c r="C109" s="130" t="s">
        <v>1733</v>
      </c>
      <c r="D109">
        <v>2138</v>
      </c>
      <c r="E109" s="130">
        <v>10736565</v>
      </c>
      <c r="F109" t="s">
        <v>87</v>
      </c>
      <c r="G109">
        <v>358</v>
      </c>
      <c r="H109" t="s">
        <v>8953</v>
      </c>
      <c r="I109" s="130">
        <v>3</v>
      </c>
      <c r="J109" t="s">
        <v>1733</v>
      </c>
      <c r="K109" t="s">
        <v>95</v>
      </c>
      <c r="L109" t="s">
        <v>8953</v>
      </c>
      <c r="M109" t="s">
        <v>112</v>
      </c>
      <c r="N109" t="s">
        <v>114</v>
      </c>
      <c r="O109" t="s">
        <v>1345</v>
      </c>
    </row>
    <row r="110" spans="1:15" x14ac:dyDescent="0.3">
      <c r="A110" s="130">
        <v>590</v>
      </c>
      <c r="B110" s="130">
        <v>30</v>
      </c>
      <c r="C110" s="130" t="s">
        <v>1734</v>
      </c>
      <c r="D110">
        <v>2160</v>
      </c>
      <c r="E110" s="130">
        <v>28763819</v>
      </c>
      <c r="F110" t="s">
        <v>87</v>
      </c>
      <c r="G110">
        <v>358</v>
      </c>
      <c r="H110" t="s">
        <v>8951</v>
      </c>
      <c r="I110" s="131">
        <v>3</v>
      </c>
      <c r="J110" t="s">
        <v>1734</v>
      </c>
      <c r="K110" t="s">
        <v>95</v>
      </c>
      <c r="L110" t="s">
        <v>8951</v>
      </c>
      <c r="M110" t="s">
        <v>103</v>
      </c>
      <c r="N110" t="s">
        <v>118</v>
      </c>
      <c r="O110" t="s">
        <v>1345</v>
      </c>
    </row>
    <row r="111" spans="1:15" x14ac:dyDescent="0.3">
      <c r="A111" s="130">
        <v>592</v>
      </c>
      <c r="B111" s="130">
        <v>60</v>
      </c>
      <c r="C111" s="130" t="s">
        <v>1735</v>
      </c>
      <c r="D111">
        <v>2162</v>
      </c>
      <c r="E111" s="130">
        <v>3176142</v>
      </c>
      <c r="F111" t="s">
        <v>87</v>
      </c>
      <c r="G111">
        <v>78</v>
      </c>
      <c r="H111" t="s">
        <v>8952</v>
      </c>
      <c r="I111" s="130">
        <v>9</v>
      </c>
      <c r="J111" t="s">
        <v>1735</v>
      </c>
      <c r="K111" t="s">
        <v>108</v>
      </c>
      <c r="L111" t="s">
        <v>8952</v>
      </c>
      <c r="M111" t="s">
        <v>97</v>
      </c>
      <c r="N111" t="s">
        <v>98</v>
      </c>
      <c r="O111" t="s">
        <v>116</v>
      </c>
    </row>
    <row r="112" spans="1:15" x14ac:dyDescent="0.3">
      <c r="A112" s="130">
        <v>615</v>
      </c>
      <c r="B112" s="130">
        <v>18</v>
      </c>
      <c r="C112" s="130" t="s">
        <v>1736</v>
      </c>
      <c r="D112">
        <v>2176</v>
      </c>
      <c r="E112" s="130">
        <v>24574954</v>
      </c>
      <c r="F112" t="s">
        <v>87</v>
      </c>
      <c r="G112">
        <v>78</v>
      </c>
      <c r="H112" t="s">
        <v>8953</v>
      </c>
      <c r="I112" s="131">
        <v>19</v>
      </c>
      <c r="J112" t="s">
        <v>1736</v>
      </c>
      <c r="K112" t="s">
        <v>108</v>
      </c>
      <c r="L112" t="s">
        <v>8953</v>
      </c>
      <c r="M112" t="s">
        <v>112</v>
      </c>
      <c r="N112" t="s">
        <v>114</v>
      </c>
      <c r="O112" t="s">
        <v>1345</v>
      </c>
    </row>
    <row r="113" spans="1:15" x14ac:dyDescent="0.3">
      <c r="A113" s="130">
        <v>618</v>
      </c>
      <c r="B113" s="130">
        <v>18</v>
      </c>
      <c r="C113" s="130" t="s">
        <v>1737</v>
      </c>
      <c r="D113">
        <v>2180</v>
      </c>
      <c r="E113" s="130">
        <v>35542443</v>
      </c>
      <c r="F113" t="s">
        <v>87</v>
      </c>
      <c r="G113">
        <v>358</v>
      </c>
      <c r="H113" t="s">
        <v>8951</v>
      </c>
      <c r="I113" s="131">
        <v>3</v>
      </c>
      <c r="J113" t="s">
        <v>1737</v>
      </c>
      <c r="K113" t="s">
        <v>108</v>
      </c>
      <c r="L113" t="s">
        <v>8951</v>
      </c>
      <c r="M113" t="s">
        <v>112</v>
      </c>
      <c r="N113" t="s">
        <v>101</v>
      </c>
      <c r="O113" t="s">
        <v>1345</v>
      </c>
    </row>
    <row r="114" spans="1:15" x14ac:dyDescent="0.3">
      <c r="A114" s="130">
        <v>620</v>
      </c>
      <c r="B114" s="130">
        <v>18</v>
      </c>
      <c r="C114" s="130" t="s">
        <v>1738</v>
      </c>
      <c r="D114">
        <v>2184</v>
      </c>
      <c r="E114" s="131">
        <v>86613403</v>
      </c>
      <c r="F114" t="s">
        <v>87</v>
      </c>
      <c r="G114">
        <v>358</v>
      </c>
      <c r="H114" t="s">
        <v>8952</v>
      </c>
      <c r="I114" s="131">
        <v>3</v>
      </c>
      <c r="J114" t="s">
        <v>1738</v>
      </c>
      <c r="K114" t="s">
        <v>108</v>
      </c>
      <c r="L114" t="s">
        <v>8952</v>
      </c>
      <c r="M114" t="s">
        <v>112</v>
      </c>
      <c r="N114" t="s">
        <v>114</v>
      </c>
      <c r="O114" t="s">
        <v>1345</v>
      </c>
    </row>
    <row r="115" spans="1:15" x14ac:dyDescent="0.3">
      <c r="A115" s="130">
        <v>621</v>
      </c>
      <c r="B115" s="130">
        <v>18</v>
      </c>
      <c r="C115" s="130" t="s">
        <v>1739</v>
      </c>
      <c r="D115">
        <v>2042</v>
      </c>
      <c r="E115" s="130">
        <v>45039237</v>
      </c>
      <c r="F115" t="s">
        <v>87</v>
      </c>
      <c r="G115">
        <v>78</v>
      </c>
      <c r="H115" t="s">
        <v>8953</v>
      </c>
      <c r="I115" s="130">
        <v>24</v>
      </c>
      <c r="J115" t="s">
        <v>1739</v>
      </c>
      <c r="K115" t="s">
        <v>108</v>
      </c>
      <c r="L115" t="s">
        <v>8953</v>
      </c>
      <c r="M115" t="s">
        <v>112</v>
      </c>
      <c r="N115" t="s">
        <v>107</v>
      </c>
      <c r="O115" t="s">
        <v>1345</v>
      </c>
    </row>
    <row r="116" spans="1:15" x14ac:dyDescent="0.3">
      <c r="A116" s="130">
        <v>623</v>
      </c>
      <c r="B116" s="130">
        <v>18</v>
      </c>
      <c r="C116" s="130" t="s">
        <v>1740</v>
      </c>
      <c r="D116">
        <v>2187</v>
      </c>
      <c r="E116" s="130">
        <v>13278976</v>
      </c>
      <c r="F116" t="s">
        <v>87</v>
      </c>
      <c r="G116">
        <v>358</v>
      </c>
      <c r="H116" t="s">
        <v>8951</v>
      </c>
      <c r="I116" s="130">
        <v>3</v>
      </c>
      <c r="J116" t="s">
        <v>1740</v>
      </c>
      <c r="K116" t="s">
        <v>108</v>
      </c>
      <c r="L116" t="s">
        <v>8951</v>
      </c>
      <c r="M116" t="s">
        <v>112</v>
      </c>
      <c r="N116" t="s">
        <v>98</v>
      </c>
      <c r="O116" t="s">
        <v>1345</v>
      </c>
    </row>
    <row r="117" spans="1:15" x14ac:dyDescent="0.3">
      <c r="A117" s="130">
        <v>630</v>
      </c>
      <c r="B117" s="130">
        <v>30</v>
      </c>
      <c r="C117" s="130" t="s">
        <v>1741</v>
      </c>
      <c r="D117">
        <v>204520</v>
      </c>
      <c r="E117" s="131">
        <v>46119855</v>
      </c>
      <c r="F117" t="s">
        <v>87</v>
      </c>
      <c r="G117">
        <v>77</v>
      </c>
      <c r="H117" t="s">
        <v>8952</v>
      </c>
      <c r="I117" s="130">
        <v>24</v>
      </c>
      <c r="J117" t="s">
        <v>1741</v>
      </c>
      <c r="K117" t="s">
        <v>95</v>
      </c>
      <c r="L117" t="s">
        <v>8952</v>
      </c>
      <c r="M117" t="s">
        <v>103</v>
      </c>
      <c r="N117" t="s">
        <v>101</v>
      </c>
      <c r="O117" t="s">
        <v>1345</v>
      </c>
    </row>
    <row r="118" spans="1:15" x14ac:dyDescent="0.3">
      <c r="A118" s="130">
        <v>634</v>
      </c>
      <c r="B118" s="130">
        <v>28</v>
      </c>
      <c r="C118" s="130" t="s">
        <v>1742</v>
      </c>
      <c r="D118">
        <v>2205</v>
      </c>
      <c r="E118" s="130">
        <v>21658572</v>
      </c>
      <c r="F118" t="s">
        <v>87</v>
      </c>
      <c r="G118">
        <v>78</v>
      </c>
      <c r="H118" t="s">
        <v>8953</v>
      </c>
      <c r="I118" s="131">
        <v>19</v>
      </c>
      <c r="J118" t="s">
        <v>1742</v>
      </c>
      <c r="K118" t="s">
        <v>108</v>
      </c>
      <c r="L118" t="s">
        <v>8953</v>
      </c>
      <c r="M118" t="s">
        <v>130</v>
      </c>
      <c r="N118" t="s">
        <v>98</v>
      </c>
      <c r="O118" t="s">
        <v>1345</v>
      </c>
    </row>
    <row r="119" spans="1:15" x14ac:dyDescent="0.3">
      <c r="A119" s="130">
        <v>635</v>
      </c>
      <c r="B119" s="130">
        <v>18</v>
      </c>
      <c r="C119" s="130" t="s">
        <v>1743</v>
      </c>
      <c r="D119">
        <v>2081</v>
      </c>
      <c r="E119" s="130">
        <v>9329077</v>
      </c>
      <c r="F119" t="s">
        <v>87</v>
      </c>
      <c r="G119">
        <v>358</v>
      </c>
      <c r="H119" t="s">
        <v>8951</v>
      </c>
      <c r="I119" s="131">
        <v>3</v>
      </c>
      <c r="J119" t="s">
        <v>1743</v>
      </c>
      <c r="K119" t="s">
        <v>95</v>
      </c>
      <c r="L119" t="s">
        <v>8951</v>
      </c>
      <c r="M119" t="s">
        <v>112</v>
      </c>
      <c r="N119" t="s">
        <v>98</v>
      </c>
      <c r="O119" t="s">
        <v>1345</v>
      </c>
    </row>
    <row r="120" spans="1:15" x14ac:dyDescent="0.3">
      <c r="A120" s="130">
        <v>637</v>
      </c>
      <c r="B120" s="130">
        <v>30</v>
      </c>
      <c r="C120" s="130" t="s">
        <v>1744</v>
      </c>
      <c r="D120">
        <v>2208</v>
      </c>
      <c r="E120" s="131">
        <v>183256</v>
      </c>
      <c r="F120" t="s">
        <v>87</v>
      </c>
      <c r="G120">
        <v>78</v>
      </c>
      <c r="H120" t="s">
        <v>8952</v>
      </c>
      <c r="I120" s="130">
        <v>9</v>
      </c>
      <c r="J120" t="s">
        <v>1744</v>
      </c>
      <c r="K120" t="s">
        <v>95</v>
      </c>
      <c r="L120" t="s">
        <v>8952</v>
      </c>
      <c r="M120" t="s">
        <v>103</v>
      </c>
      <c r="N120" t="s">
        <v>114</v>
      </c>
      <c r="O120" t="s">
        <v>116</v>
      </c>
    </row>
    <row r="121" spans="1:15" x14ac:dyDescent="0.3">
      <c r="A121" s="130">
        <v>643</v>
      </c>
      <c r="B121" s="130">
        <v>30</v>
      </c>
      <c r="C121" s="130" t="s">
        <v>1745</v>
      </c>
      <c r="D121">
        <v>2229</v>
      </c>
      <c r="E121" s="131">
        <v>183256</v>
      </c>
      <c r="F121" t="s">
        <v>87</v>
      </c>
      <c r="G121">
        <v>78</v>
      </c>
      <c r="H121" t="s">
        <v>8953</v>
      </c>
      <c r="I121" s="130">
        <v>9</v>
      </c>
      <c r="J121" t="s">
        <v>1745</v>
      </c>
      <c r="K121" t="s">
        <v>95</v>
      </c>
      <c r="L121" t="s">
        <v>8953</v>
      </c>
      <c r="M121" t="s">
        <v>103</v>
      </c>
      <c r="N121" t="s">
        <v>114</v>
      </c>
      <c r="O121" t="s">
        <v>1345</v>
      </c>
    </row>
    <row r="122" spans="1:15" x14ac:dyDescent="0.3">
      <c r="A122" s="130">
        <v>646</v>
      </c>
      <c r="B122" s="130">
        <v>30</v>
      </c>
      <c r="C122" s="130" t="s">
        <v>1746</v>
      </c>
      <c r="D122">
        <v>2224</v>
      </c>
      <c r="E122" s="130">
        <v>43709799</v>
      </c>
      <c r="F122" t="s">
        <v>87</v>
      </c>
      <c r="G122">
        <v>78</v>
      </c>
      <c r="H122" t="s">
        <v>8951</v>
      </c>
      <c r="I122" s="131">
        <v>3</v>
      </c>
      <c r="J122" t="s">
        <v>1746</v>
      </c>
      <c r="K122" t="s">
        <v>95</v>
      </c>
      <c r="L122" t="s">
        <v>8951</v>
      </c>
      <c r="M122" t="s">
        <v>103</v>
      </c>
      <c r="N122" t="s">
        <v>101</v>
      </c>
      <c r="O122" t="s">
        <v>1345</v>
      </c>
    </row>
    <row r="123" spans="1:15" x14ac:dyDescent="0.3">
      <c r="A123" s="130">
        <v>656</v>
      </c>
      <c r="B123" s="130">
        <v>30</v>
      </c>
      <c r="C123" s="130" t="s">
        <v>1747</v>
      </c>
      <c r="D123">
        <v>2240</v>
      </c>
      <c r="E123" s="130">
        <v>6880609</v>
      </c>
      <c r="F123" t="s">
        <v>87</v>
      </c>
      <c r="G123">
        <v>78</v>
      </c>
      <c r="H123" t="s">
        <v>8952</v>
      </c>
      <c r="I123" s="130">
        <v>9</v>
      </c>
      <c r="J123" t="s">
        <v>1747</v>
      </c>
      <c r="K123" t="s">
        <v>95</v>
      </c>
      <c r="L123" t="s">
        <v>8952</v>
      </c>
      <c r="M123" t="s">
        <v>103</v>
      </c>
      <c r="N123" t="s">
        <v>98</v>
      </c>
      <c r="O123" t="s">
        <v>1345</v>
      </c>
    </row>
    <row r="124" spans="1:15" x14ac:dyDescent="0.3">
      <c r="A124" s="130">
        <v>659</v>
      </c>
      <c r="B124" s="130">
        <v>18</v>
      </c>
      <c r="C124" s="130" t="s">
        <v>1748</v>
      </c>
      <c r="D124">
        <v>2117</v>
      </c>
      <c r="E124" s="130">
        <v>14200904</v>
      </c>
      <c r="F124" t="s">
        <v>87</v>
      </c>
      <c r="G124">
        <v>78</v>
      </c>
      <c r="H124" t="s">
        <v>8953</v>
      </c>
      <c r="I124" s="131">
        <v>26</v>
      </c>
      <c r="J124" t="s">
        <v>1748</v>
      </c>
      <c r="K124" t="s">
        <v>108</v>
      </c>
      <c r="L124" t="s">
        <v>8953</v>
      </c>
      <c r="M124" t="s">
        <v>112</v>
      </c>
      <c r="N124" t="s">
        <v>98</v>
      </c>
      <c r="O124" t="s">
        <v>1345</v>
      </c>
    </row>
    <row r="125" spans="1:15" x14ac:dyDescent="0.3">
      <c r="A125" s="130">
        <v>666</v>
      </c>
      <c r="B125" s="130">
        <v>30</v>
      </c>
      <c r="C125" s="130" t="s">
        <v>1749</v>
      </c>
      <c r="D125">
        <v>2266</v>
      </c>
      <c r="E125" s="131">
        <v>33000167</v>
      </c>
      <c r="F125" t="s">
        <v>87</v>
      </c>
      <c r="G125">
        <v>78</v>
      </c>
      <c r="H125" t="s">
        <v>8951</v>
      </c>
      <c r="I125" s="130">
        <v>24</v>
      </c>
      <c r="J125" t="s">
        <v>1749</v>
      </c>
      <c r="K125" t="s">
        <v>95</v>
      </c>
      <c r="L125" t="s">
        <v>8951</v>
      </c>
      <c r="M125" t="s">
        <v>103</v>
      </c>
      <c r="N125" t="s">
        <v>169</v>
      </c>
      <c r="O125" t="s">
        <v>1345</v>
      </c>
    </row>
    <row r="126" spans="1:15" x14ac:dyDescent="0.3">
      <c r="A126" s="130">
        <v>667</v>
      </c>
      <c r="B126" s="130">
        <v>30</v>
      </c>
      <c r="C126" s="130" t="s">
        <v>1750</v>
      </c>
      <c r="D126">
        <v>2269</v>
      </c>
      <c r="E126" s="130">
        <v>35234509</v>
      </c>
      <c r="F126" t="s">
        <v>87</v>
      </c>
      <c r="G126">
        <v>78</v>
      </c>
      <c r="H126" t="s">
        <v>8952</v>
      </c>
      <c r="I126" s="131">
        <v>18</v>
      </c>
      <c r="J126" t="s">
        <v>1750</v>
      </c>
      <c r="K126" t="s">
        <v>95</v>
      </c>
      <c r="L126" t="s">
        <v>8952</v>
      </c>
      <c r="M126" t="s">
        <v>103</v>
      </c>
      <c r="N126" t="s">
        <v>114</v>
      </c>
      <c r="O126" t="s">
        <v>1345</v>
      </c>
    </row>
    <row r="127" spans="1:15" x14ac:dyDescent="0.3">
      <c r="A127" s="130">
        <v>677</v>
      </c>
      <c r="B127" s="130">
        <v>30</v>
      </c>
      <c r="C127" s="130" t="s">
        <v>1751</v>
      </c>
      <c r="D127">
        <v>2278</v>
      </c>
      <c r="E127" s="130">
        <v>33000167</v>
      </c>
      <c r="F127" t="s">
        <v>87</v>
      </c>
      <c r="G127">
        <v>358</v>
      </c>
      <c r="H127" t="s">
        <v>8953</v>
      </c>
      <c r="I127" s="130">
        <v>24</v>
      </c>
      <c r="J127" t="s">
        <v>1751</v>
      </c>
      <c r="K127" t="s">
        <v>95</v>
      </c>
      <c r="L127" t="s">
        <v>8953</v>
      </c>
      <c r="M127" t="s">
        <v>103</v>
      </c>
      <c r="N127" t="s">
        <v>101</v>
      </c>
      <c r="O127" t="s">
        <v>1345</v>
      </c>
    </row>
    <row r="128" spans="1:15" x14ac:dyDescent="0.3">
      <c r="A128" s="130">
        <v>680</v>
      </c>
      <c r="B128" s="130">
        <v>30</v>
      </c>
      <c r="C128" s="130" t="s">
        <v>1752</v>
      </c>
      <c r="D128">
        <v>2284</v>
      </c>
      <c r="E128" s="130">
        <v>33000167</v>
      </c>
      <c r="F128" t="s">
        <v>87</v>
      </c>
      <c r="G128">
        <v>78</v>
      </c>
      <c r="H128" t="s">
        <v>8951</v>
      </c>
      <c r="I128" s="130">
        <v>24</v>
      </c>
      <c r="J128" t="s">
        <v>1752</v>
      </c>
      <c r="K128" t="s">
        <v>95</v>
      </c>
      <c r="L128" t="s">
        <v>8951</v>
      </c>
      <c r="M128" t="s">
        <v>103</v>
      </c>
      <c r="N128" t="s">
        <v>114</v>
      </c>
      <c r="O128" t="s">
        <v>1345</v>
      </c>
    </row>
    <row r="129" spans="1:15" x14ac:dyDescent="0.3">
      <c r="A129" s="130">
        <v>682</v>
      </c>
      <c r="B129" s="130">
        <v>0</v>
      </c>
      <c r="C129" s="130" t="s">
        <v>1753</v>
      </c>
      <c r="D129">
        <v>2286</v>
      </c>
      <c r="E129" s="130">
        <v>28343588</v>
      </c>
      <c r="F129" t="s">
        <v>87</v>
      </c>
      <c r="G129">
        <v>358</v>
      </c>
      <c r="H129" t="s">
        <v>8952</v>
      </c>
      <c r="I129" s="131">
        <v>10</v>
      </c>
      <c r="J129" t="s">
        <v>1753</v>
      </c>
      <c r="K129" t="s">
        <v>95</v>
      </c>
      <c r="L129" t="s">
        <v>8952</v>
      </c>
      <c r="M129" t="s">
        <v>100</v>
      </c>
      <c r="N129" t="s">
        <v>114</v>
      </c>
      <c r="O129" t="s">
        <v>1345</v>
      </c>
    </row>
    <row r="130" spans="1:15" x14ac:dyDescent="0.3">
      <c r="A130" s="130">
        <v>683</v>
      </c>
      <c r="B130" s="130">
        <v>60</v>
      </c>
      <c r="C130" s="130" t="s">
        <v>1754</v>
      </c>
      <c r="D130">
        <v>2285</v>
      </c>
      <c r="E130" s="131">
        <v>3176142</v>
      </c>
      <c r="F130" t="s">
        <v>87</v>
      </c>
      <c r="G130">
        <v>78</v>
      </c>
      <c r="H130" t="s">
        <v>8953</v>
      </c>
      <c r="I130" s="131">
        <v>18</v>
      </c>
      <c r="J130" t="s">
        <v>1754</v>
      </c>
      <c r="K130" t="s">
        <v>108</v>
      </c>
      <c r="L130" t="s">
        <v>8953</v>
      </c>
      <c r="M130" t="s">
        <v>97</v>
      </c>
      <c r="N130" t="s">
        <v>98</v>
      </c>
      <c r="O130" t="s">
        <v>116</v>
      </c>
    </row>
    <row r="131" spans="1:15" x14ac:dyDescent="0.3">
      <c r="A131" s="130">
        <v>686</v>
      </c>
      <c r="B131" s="130">
        <v>30</v>
      </c>
      <c r="C131" s="130" t="s">
        <v>1755</v>
      </c>
      <c r="D131">
        <v>2293</v>
      </c>
      <c r="E131" s="130">
        <v>10630328</v>
      </c>
      <c r="F131" t="s">
        <v>87</v>
      </c>
      <c r="G131">
        <v>358</v>
      </c>
      <c r="H131" t="s">
        <v>8951</v>
      </c>
      <c r="I131" s="130">
        <v>3</v>
      </c>
      <c r="J131" t="s">
        <v>1755</v>
      </c>
      <c r="K131" t="s">
        <v>95</v>
      </c>
      <c r="L131" t="s">
        <v>8951</v>
      </c>
      <c r="M131" t="s">
        <v>103</v>
      </c>
      <c r="N131" t="s">
        <v>98</v>
      </c>
      <c r="O131" t="s">
        <v>116</v>
      </c>
    </row>
    <row r="132" spans="1:15" x14ac:dyDescent="0.3">
      <c r="A132" s="130">
        <v>688</v>
      </c>
      <c r="B132" s="130">
        <v>30</v>
      </c>
      <c r="C132" s="130" t="s">
        <v>1756</v>
      </c>
      <c r="D132">
        <v>2296</v>
      </c>
      <c r="E132" s="130">
        <v>10630328</v>
      </c>
      <c r="F132" t="s">
        <v>87</v>
      </c>
      <c r="G132">
        <v>358</v>
      </c>
      <c r="H132" t="s">
        <v>8952</v>
      </c>
      <c r="I132" s="130">
        <v>3</v>
      </c>
      <c r="J132" t="s">
        <v>1756</v>
      </c>
      <c r="K132" t="s">
        <v>95</v>
      </c>
      <c r="L132" t="s">
        <v>8952</v>
      </c>
      <c r="M132" t="s">
        <v>103</v>
      </c>
      <c r="N132" t="s">
        <v>98</v>
      </c>
      <c r="O132" t="s">
        <v>1345</v>
      </c>
    </row>
    <row r="133" spans="1:15" x14ac:dyDescent="0.3">
      <c r="A133" s="130">
        <v>689</v>
      </c>
      <c r="B133" s="130">
        <v>30</v>
      </c>
      <c r="C133" s="130" t="s">
        <v>1757</v>
      </c>
      <c r="D133">
        <v>2297</v>
      </c>
      <c r="E133" s="131">
        <v>10630328</v>
      </c>
      <c r="F133" t="s">
        <v>87</v>
      </c>
      <c r="G133">
        <v>358</v>
      </c>
      <c r="H133" t="s">
        <v>8953</v>
      </c>
      <c r="I133" s="130">
        <v>3</v>
      </c>
      <c r="J133" t="s">
        <v>1757</v>
      </c>
      <c r="K133" t="s">
        <v>95</v>
      </c>
      <c r="L133" t="s">
        <v>8953</v>
      </c>
      <c r="M133" t="s">
        <v>103</v>
      </c>
      <c r="N133" t="s">
        <v>98</v>
      </c>
      <c r="O133" t="s">
        <v>1345</v>
      </c>
    </row>
    <row r="134" spans="1:15" x14ac:dyDescent="0.3">
      <c r="A134" s="130">
        <v>690</v>
      </c>
      <c r="B134" s="130">
        <v>18</v>
      </c>
      <c r="C134" s="130" t="s">
        <v>1758</v>
      </c>
      <c r="D134">
        <v>2298</v>
      </c>
      <c r="E134" s="131">
        <v>59225698</v>
      </c>
      <c r="F134" t="s">
        <v>87</v>
      </c>
      <c r="G134">
        <v>78</v>
      </c>
      <c r="H134" t="s">
        <v>8951</v>
      </c>
      <c r="I134" s="131">
        <v>18</v>
      </c>
      <c r="J134" t="s">
        <v>1758</v>
      </c>
      <c r="K134" t="s">
        <v>108</v>
      </c>
      <c r="L134" t="s">
        <v>8951</v>
      </c>
      <c r="M134" t="s">
        <v>112</v>
      </c>
      <c r="N134" t="s">
        <v>98</v>
      </c>
      <c r="O134" t="s">
        <v>1345</v>
      </c>
    </row>
    <row r="135" spans="1:15" x14ac:dyDescent="0.3">
      <c r="A135" s="130">
        <v>691</v>
      </c>
      <c r="B135" s="130">
        <v>30</v>
      </c>
      <c r="C135" s="130" t="s">
        <v>1759</v>
      </c>
      <c r="D135">
        <v>2300</v>
      </c>
      <c r="E135" s="130">
        <v>10630328</v>
      </c>
      <c r="F135" t="s">
        <v>87</v>
      </c>
      <c r="G135">
        <v>358</v>
      </c>
      <c r="H135" t="s">
        <v>8952</v>
      </c>
      <c r="I135" s="131">
        <v>3</v>
      </c>
      <c r="J135" t="s">
        <v>1759</v>
      </c>
      <c r="K135" t="s">
        <v>95</v>
      </c>
      <c r="L135" t="s">
        <v>8952</v>
      </c>
      <c r="M135" t="s">
        <v>103</v>
      </c>
      <c r="N135" t="s">
        <v>98</v>
      </c>
      <c r="O135" t="s">
        <v>1345</v>
      </c>
    </row>
    <row r="136" spans="1:15" x14ac:dyDescent="0.3">
      <c r="A136" s="130">
        <v>693</v>
      </c>
      <c r="B136" s="130">
        <v>21</v>
      </c>
      <c r="C136" s="130" t="s">
        <v>1760</v>
      </c>
      <c r="D136">
        <v>2301</v>
      </c>
      <c r="E136" s="130">
        <v>9625762</v>
      </c>
      <c r="F136" t="s">
        <v>87</v>
      </c>
      <c r="G136">
        <v>358</v>
      </c>
      <c r="H136" t="s">
        <v>8953</v>
      </c>
      <c r="I136" s="130">
        <v>43</v>
      </c>
      <c r="J136" t="s">
        <v>1760</v>
      </c>
      <c r="K136" t="s">
        <v>95</v>
      </c>
      <c r="L136" t="s">
        <v>8953</v>
      </c>
      <c r="M136" t="s">
        <v>137</v>
      </c>
      <c r="N136" t="s">
        <v>150</v>
      </c>
      <c r="O136" t="s">
        <v>1345</v>
      </c>
    </row>
    <row r="137" spans="1:15" x14ac:dyDescent="0.3">
      <c r="A137" s="130">
        <v>704</v>
      </c>
      <c r="B137" s="130">
        <v>18</v>
      </c>
      <c r="C137" s="130" t="s">
        <v>1761</v>
      </c>
      <c r="D137">
        <v>2317</v>
      </c>
      <c r="E137" s="131">
        <v>72030927</v>
      </c>
      <c r="F137" t="s">
        <v>87</v>
      </c>
      <c r="G137">
        <v>358</v>
      </c>
      <c r="H137" t="s">
        <v>8951</v>
      </c>
      <c r="I137" s="130">
        <v>3</v>
      </c>
      <c r="J137" t="s">
        <v>1761</v>
      </c>
      <c r="K137" t="s">
        <v>95</v>
      </c>
      <c r="L137" t="s">
        <v>8951</v>
      </c>
      <c r="M137" t="s">
        <v>112</v>
      </c>
      <c r="N137" t="s">
        <v>98</v>
      </c>
      <c r="O137" t="s">
        <v>1345</v>
      </c>
    </row>
    <row r="138" spans="1:15" x14ac:dyDescent="0.3">
      <c r="A138" s="130">
        <v>705</v>
      </c>
      <c r="B138" s="130">
        <v>60</v>
      </c>
      <c r="C138" s="130" t="s">
        <v>1762</v>
      </c>
      <c r="D138">
        <v>2108</v>
      </c>
      <c r="E138" s="131">
        <v>9625762</v>
      </c>
      <c r="F138" t="s">
        <v>87</v>
      </c>
      <c r="G138">
        <v>358</v>
      </c>
      <c r="H138" t="s">
        <v>8952</v>
      </c>
      <c r="I138" s="130">
        <v>43</v>
      </c>
      <c r="J138" t="s">
        <v>1762</v>
      </c>
      <c r="K138" t="s">
        <v>95</v>
      </c>
      <c r="L138" t="s">
        <v>8952</v>
      </c>
      <c r="M138" t="s">
        <v>97</v>
      </c>
      <c r="N138" t="s">
        <v>150</v>
      </c>
      <c r="O138" t="s">
        <v>1345</v>
      </c>
    </row>
    <row r="139" spans="1:15" x14ac:dyDescent="0.3">
      <c r="A139" s="130">
        <v>716</v>
      </c>
      <c r="B139" s="130">
        <v>18</v>
      </c>
      <c r="C139" s="130" t="s">
        <v>1763</v>
      </c>
      <c r="D139">
        <v>2333</v>
      </c>
      <c r="E139" s="130">
        <v>38039352</v>
      </c>
      <c r="F139" t="s">
        <v>87</v>
      </c>
      <c r="G139">
        <v>358</v>
      </c>
      <c r="H139" t="s">
        <v>8953</v>
      </c>
      <c r="I139" s="130">
        <v>3</v>
      </c>
      <c r="J139" t="s">
        <v>1763</v>
      </c>
      <c r="K139" t="s">
        <v>108</v>
      </c>
      <c r="L139" t="s">
        <v>8953</v>
      </c>
      <c r="M139" t="s">
        <v>112</v>
      </c>
      <c r="N139" t="s">
        <v>150</v>
      </c>
      <c r="O139" t="s">
        <v>1345</v>
      </c>
    </row>
    <row r="140" spans="1:15" x14ac:dyDescent="0.3">
      <c r="A140" s="130">
        <v>718</v>
      </c>
      <c r="B140" s="130">
        <v>18</v>
      </c>
      <c r="C140" s="130" t="s">
        <v>1764</v>
      </c>
      <c r="D140">
        <v>2337</v>
      </c>
      <c r="E140" s="130">
        <v>8054995</v>
      </c>
      <c r="F140" t="s">
        <v>87</v>
      </c>
      <c r="G140">
        <v>358</v>
      </c>
      <c r="H140" t="s">
        <v>8951</v>
      </c>
      <c r="I140" s="130">
        <v>10</v>
      </c>
      <c r="J140" t="s">
        <v>1764</v>
      </c>
      <c r="K140" t="s">
        <v>95</v>
      </c>
      <c r="L140" t="s">
        <v>8951</v>
      </c>
      <c r="M140" t="s">
        <v>112</v>
      </c>
      <c r="N140" t="s">
        <v>98</v>
      </c>
      <c r="O140" t="s">
        <v>1345</v>
      </c>
    </row>
    <row r="141" spans="1:15" x14ac:dyDescent="0.3">
      <c r="A141" s="130">
        <v>720</v>
      </c>
      <c r="B141" s="130">
        <v>30</v>
      </c>
      <c r="C141" s="130" t="s">
        <v>1765</v>
      </c>
      <c r="D141">
        <v>2341</v>
      </c>
      <c r="E141" s="130">
        <v>61584223</v>
      </c>
      <c r="F141" t="s">
        <v>87</v>
      </c>
      <c r="G141">
        <v>358</v>
      </c>
      <c r="H141" t="s">
        <v>8952</v>
      </c>
      <c r="I141" s="130">
        <v>3</v>
      </c>
      <c r="J141" t="s">
        <v>1765</v>
      </c>
      <c r="K141" t="s">
        <v>95</v>
      </c>
      <c r="L141" t="s">
        <v>8952</v>
      </c>
      <c r="M141" t="s">
        <v>103</v>
      </c>
      <c r="N141" t="s">
        <v>98</v>
      </c>
      <c r="O141" t="s">
        <v>116</v>
      </c>
    </row>
    <row r="142" spans="1:15" x14ac:dyDescent="0.3">
      <c r="A142" s="130">
        <v>724</v>
      </c>
      <c r="B142" s="130">
        <v>30</v>
      </c>
      <c r="C142" s="130" t="s">
        <v>1766</v>
      </c>
      <c r="D142">
        <v>2342</v>
      </c>
      <c r="E142" s="130">
        <v>6880609</v>
      </c>
      <c r="F142" t="s">
        <v>87</v>
      </c>
      <c r="G142">
        <v>78</v>
      </c>
      <c r="H142" t="s">
        <v>8953</v>
      </c>
      <c r="I142" s="130">
        <v>9</v>
      </c>
      <c r="J142" t="s">
        <v>1766</v>
      </c>
      <c r="K142" t="s">
        <v>95</v>
      </c>
      <c r="L142" t="s">
        <v>8953</v>
      </c>
      <c r="M142" t="s">
        <v>103</v>
      </c>
      <c r="N142" t="s">
        <v>118</v>
      </c>
      <c r="O142" t="s">
        <v>116</v>
      </c>
    </row>
    <row r="143" spans="1:15" x14ac:dyDescent="0.3">
      <c r="A143" s="130">
        <v>730</v>
      </c>
      <c r="B143" s="130">
        <v>18</v>
      </c>
      <c r="C143" s="130" t="s">
        <v>1767</v>
      </c>
      <c r="D143">
        <v>2348</v>
      </c>
      <c r="E143" s="130">
        <v>35542443</v>
      </c>
      <c r="F143" t="s">
        <v>87</v>
      </c>
      <c r="G143">
        <v>358</v>
      </c>
      <c r="H143" t="s">
        <v>8951</v>
      </c>
      <c r="I143" s="130">
        <v>3</v>
      </c>
      <c r="J143" t="s">
        <v>1767</v>
      </c>
      <c r="K143" t="s">
        <v>108</v>
      </c>
      <c r="L143" t="s">
        <v>8951</v>
      </c>
      <c r="M143" t="s">
        <v>112</v>
      </c>
      <c r="N143" t="s">
        <v>152</v>
      </c>
      <c r="O143" t="s">
        <v>1345</v>
      </c>
    </row>
    <row r="144" spans="1:15" x14ac:dyDescent="0.3">
      <c r="A144" s="130">
        <v>734</v>
      </c>
      <c r="B144" s="130">
        <v>90</v>
      </c>
      <c r="C144" s="130" t="s">
        <v>1768</v>
      </c>
      <c r="D144">
        <v>214941</v>
      </c>
      <c r="E144" s="130">
        <v>655209</v>
      </c>
      <c r="F144" t="s">
        <v>87</v>
      </c>
      <c r="G144">
        <v>78</v>
      </c>
      <c r="H144" t="s">
        <v>8952</v>
      </c>
      <c r="I144" s="130">
        <v>9</v>
      </c>
      <c r="J144" t="s">
        <v>1768</v>
      </c>
      <c r="K144" t="s">
        <v>95</v>
      </c>
      <c r="L144" t="s">
        <v>8952</v>
      </c>
      <c r="M144" t="s">
        <v>170</v>
      </c>
      <c r="N144" t="s">
        <v>114</v>
      </c>
      <c r="O144" t="s">
        <v>116</v>
      </c>
    </row>
    <row r="145" spans="1:15" x14ac:dyDescent="0.3">
      <c r="A145" s="130">
        <v>740</v>
      </c>
      <c r="B145" s="130">
        <v>30</v>
      </c>
      <c r="C145" s="130" t="s">
        <v>1769</v>
      </c>
      <c r="D145">
        <v>2366</v>
      </c>
      <c r="E145" s="130">
        <v>21681150</v>
      </c>
      <c r="F145" t="s">
        <v>87</v>
      </c>
      <c r="G145">
        <v>78</v>
      </c>
      <c r="H145" t="s">
        <v>8953</v>
      </c>
      <c r="I145" s="130">
        <v>10</v>
      </c>
      <c r="J145" t="s">
        <v>1769</v>
      </c>
      <c r="K145" t="s">
        <v>95</v>
      </c>
      <c r="L145" t="s">
        <v>8953</v>
      </c>
      <c r="M145" t="s">
        <v>103</v>
      </c>
      <c r="N145" t="s">
        <v>98</v>
      </c>
      <c r="O145" t="s">
        <v>1345</v>
      </c>
    </row>
    <row r="146" spans="1:15" x14ac:dyDescent="0.3">
      <c r="A146" s="130">
        <v>741</v>
      </c>
      <c r="B146" s="130">
        <v>30</v>
      </c>
      <c r="C146" s="130" t="s">
        <v>1770</v>
      </c>
      <c r="D146">
        <v>2367</v>
      </c>
      <c r="E146" s="130">
        <v>35234509</v>
      </c>
      <c r="F146" t="s">
        <v>87</v>
      </c>
      <c r="G146">
        <v>78</v>
      </c>
      <c r="H146" t="s">
        <v>8951</v>
      </c>
      <c r="I146" s="130">
        <v>24</v>
      </c>
      <c r="J146" t="s">
        <v>1770</v>
      </c>
      <c r="K146" t="s">
        <v>95</v>
      </c>
      <c r="L146" t="s">
        <v>8951</v>
      </c>
      <c r="M146" t="s">
        <v>103</v>
      </c>
      <c r="N146" t="s">
        <v>114</v>
      </c>
      <c r="O146" t="s">
        <v>1345</v>
      </c>
    </row>
    <row r="147" spans="1:15" x14ac:dyDescent="0.3">
      <c r="A147" s="130">
        <v>742</v>
      </c>
      <c r="B147" s="130">
        <v>30</v>
      </c>
      <c r="C147" s="130" t="s">
        <v>1771</v>
      </c>
      <c r="D147">
        <v>214221</v>
      </c>
      <c r="E147" s="131">
        <v>7522191</v>
      </c>
      <c r="F147" t="s">
        <v>87</v>
      </c>
      <c r="G147">
        <v>78</v>
      </c>
      <c r="H147" t="s">
        <v>8952</v>
      </c>
      <c r="I147" s="131">
        <v>18</v>
      </c>
      <c r="J147" t="s">
        <v>1771</v>
      </c>
      <c r="K147" t="s">
        <v>95</v>
      </c>
      <c r="L147" t="s">
        <v>8952</v>
      </c>
      <c r="M147" t="s">
        <v>103</v>
      </c>
      <c r="N147" t="s">
        <v>98</v>
      </c>
      <c r="O147" t="s">
        <v>1345</v>
      </c>
    </row>
    <row r="148" spans="1:15" x14ac:dyDescent="0.3">
      <c r="A148" s="130">
        <v>747</v>
      </c>
      <c r="B148" s="130">
        <v>30</v>
      </c>
      <c r="C148" s="130" t="s">
        <v>1772</v>
      </c>
      <c r="D148">
        <v>2377</v>
      </c>
      <c r="E148" s="131">
        <v>10417140</v>
      </c>
      <c r="F148" t="s">
        <v>87</v>
      </c>
      <c r="G148">
        <v>78</v>
      </c>
      <c r="H148" t="s">
        <v>8953</v>
      </c>
      <c r="I148" s="130">
        <v>18</v>
      </c>
      <c r="J148" t="s">
        <v>1772</v>
      </c>
      <c r="K148" t="s">
        <v>95</v>
      </c>
      <c r="L148" t="s">
        <v>8953</v>
      </c>
      <c r="M148" t="s">
        <v>103</v>
      </c>
      <c r="N148" t="s">
        <v>98</v>
      </c>
      <c r="O148" t="s">
        <v>1345</v>
      </c>
    </row>
    <row r="149" spans="1:15" x14ac:dyDescent="0.3">
      <c r="A149" s="130">
        <v>748</v>
      </c>
      <c r="B149" s="130">
        <v>18</v>
      </c>
      <c r="C149" s="130" t="s">
        <v>1773</v>
      </c>
      <c r="D149">
        <v>2376</v>
      </c>
      <c r="E149" s="131">
        <v>83693366</v>
      </c>
      <c r="F149" t="s">
        <v>87</v>
      </c>
      <c r="G149">
        <v>358</v>
      </c>
      <c r="H149" t="s">
        <v>8951</v>
      </c>
      <c r="I149" s="131">
        <v>3</v>
      </c>
      <c r="J149" t="s">
        <v>1773</v>
      </c>
      <c r="K149" t="s">
        <v>108</v>
      </c>
      <c r="L149" t="s">
        <v>8951</v>
      </c>
      <c r="M149" t="s">
        <v>112</v>
      </c>
      <c r="N149" t="s">
        <v>98</v>
      </c>
      <c r="O149" t="s">
        <v>1345</v>
      </c>
    </row>
    <row r="150" spans="1:15" x14ac:dyDescent="0.3">
      <c r="A150" s="130">
        <v>751</v>
      </c>
      <c r="B150" s="130">
        <v>18</v>
      </c>
      <c r="C150" s="130" t="s">
        <v>1774</v>
      </c>
      <c r="D150">
        <v>2384</v>
      </c>
      <c r="E150" s="130">
        <v>31969700</v>
      </c>
      <c r="F150" t="s">
        <v>87</v>
      </c>
      <c r="G150">
        <v>78</v>
      </c>
      <c r="H150" t="s">
        <v>8952</v>
      </c>
      <c r="I150" s="130">
        <v>24</v>
      </c>
      <c r="J150" t="s">
        <v>1774</v>
      </c>
      <c r="K150" t="s">
        <v>95</v>
      </c>
      <c r="L150" t="s">
        <v>8952</v>
      </c>
      <c r="M150" t="s">
        <v>112</v>
      </c>
      <c r="N150" t="s">
        <v>98</v>
      </c>
      <c r="O150" t="s">
        <v>1345</v>
      </c>
    </row>
    <row r="151" spans="1:15" x14ac:dyDescent="0.3">
      <c r="A151" s="130">
        <v>769</v>
      </c>
      <c r="B151" s="130">
        <v>18</v>
      </c>
      <c r="C151" s="130" t="s">
        <v>1775</v>
      </c>
      <c r="D151">
        <v>2408</v>
      </c>
      <c r="E151" s="130">
        <v>83495275</v>
      </c>
      <c r="F151" t="s">
        <v>87</v>
      </c>
      <c r="G151">
        <v>358</v>
      </c>
      <c r="H151" t="s">
        <v>8953</v>
      </c>
      <c r="I151" s="130">
        <v>26</v>
      </c>
      <c r="J151" t="s">
        <v>1775</v>
      </c>
      <c r="K151" t="s">
        <v>108</v>
      </c>
      <c r="L151" t="s">
        <v>8953</v>
      </c>
      <c r="M151" t="s">
        <v>112</v>
      </c>
      <c r="N151" t="s">
        <v>98</v>
      </c>
      <c r="O151" t="s">
        <v>1345</v>
      </c>
    </row>
    <row r="152" spans="1:15" x14ac:dyDescent="0.3">
      <c r="A152" s="130">
        <v>772</v>
      </c>
      <c r="B152" s="130">
        <v>21</v>
      </c>
      <c r="C152" s="130" t="s">
        <v>1776</v>
      </c>
      <c r="D152">
        <v>2412</v>
      </c>
      <c r="E152" s="131">
        <v>56679871</v>
      </c>
      <c r="F152" t="s">
        <v>87</v>
      </c>
      <c r="G152">
        <v>358</v>
      </c>
      <c r="H152" t="s">
        <v>8951</v>
      </c>
      <c r="I152" s="130">
        <v>24</v>
      </c>
      <c r="J152" t="s">
        <v>1776</v>
      </c>
      <c r="K152" t="s">
        <v>108</v>
      </c>
      <c r="L152" t="s">
        <v>8951</v>
      </c>
      <c r="M152" t="s">
        <v>137</v>
      </c>
      <c r="N152" t="s">
        <v>98</v>
      </c>
      <c r="O152" t="s">
        <v>1345</v>
      </c>
    </row>
    <row r="153" spans="1:15" x14ac:dyDescent="0.3">
      <c r="A153" s="130">
        <v>775</v>
      </c>
      <c r="B153" s="130">
        <v>30</v>
      </c>
      <c r="C153" s="130" t="s">
        <v>1777</v>
      </c>
      <c r="D153">
        <v>2310</v>
      </c>
      <c r="E153" s="130">
        <v>17154899</v>
      </c>
      <c r="F153" t="s">
        <v>87</v>
      </c>
      <c r="G153">
        <v>358</v>
      </c>
      <c r="H153" t="s">
        <v>8952</v>
      </c>
      <c r="I153" s="130">
        <v>3</v>
      </c>
      <c r="J153" t="s">
        <v>1777</v>
      </c>
      <c r="K153" t="s">
        <v>108</v>
      </c>
      <c r="L153" t="s">
        <v>8952</v>
      </c>
      <c r="M153" t="s">
        <v>103</v>
      </c>
      <c r="N153" t="s">
        <v>98</v>
      </c>
      <c r="O153" t="s">
        <v>1345</v>
      </c>
    </row>
    <row r="154" spans="1:15" x14ac:dyDescent="0.3">
      <c r="A154" s="130">
        <v>776</v>
      </c>
      <c r="B154" s="130">
        <v>0</v>
      </c>
      <c r="C154" s="130" t="s">
        <v>1778</v>
      </c>
      <c r="D154">
        <v>2418</v>
      </c>
      <c r="E154" s="130">
        <v>20468310</v>
      </c>
      <c r="F154" t="s">
        <v>87</v>
      </c>
      <c r="G154">
        <v>358</v>
      </c>
      <c r="H154" t="s">
        <v>8953</v>
      </c>
      <c r="I154" s="131">
        <v>3</v>
      </c>
      <c r="J154" t="s">
        <v>1778</v>
      </c>
      <c r="K154" t="s">
        <v>108</v>
      </c>
      <c r="L154" t="s">
        <v>8953</v>
      </c>
      <c r="M154" t="s">
        <v>100</v>
      </c>
      <c r="N154" t="s">
        <v>122</v>
      </c>
      <c r="O154" t="s">
        <v>1345</v>
      </c>
    </row>
    <row r="155" spans="1:15" x14ac:dyDescent="0.3">
      <c r="A155" s="130">
        <v>777</v>
      </c>
      <c r="B155" s="130">
        <v>3</v>
      </c>
      <c r="C155" s="130" t="s">
        <v>1779</v>
      </c>
      <c r="D155">
        <v>2419</v>
      </c>
      <c r="E155" s="131">
        <v>25350090</v>
      </c>
      <c r="F155" t="s">
        <v>87</v>
      </c>
      <c r="G155">
        <v>78</v>
      </c>
      <c r="H155" t="s">
        <v>8951</v>
      </c>
      <c r="I155" s="130">
        <v>10</v>
      </c>
      <c r="J155" t="s">
        <v>1779</v>
      </c>
      <c r="K155" t="s">
        <v>108</v>
      </c>
      <c r="L155" t="s">
        <v>8951</v>
      </c>
      <c r="M155" t="s">
        <v>1347</v>
      </c>
      <c r="N155" t="s">
        <v>98</v>
      </c>
      <c r="O155" t="s">
        <v>1345</v>
      </c>
    </row>
    <row r="156" spans="1:15" x14ac:dyDescent="0.3">
      <c r="A156" s="130">
        <v>782</v>
      </c>
      <c r="B156" s="130">
        <v>28</v>
      </c>
      <c r="C156" s="130" t="s">
        <v>1780</v>
      </c>
      <c r="D156" t="s">
        <v>172</v>
      </c>
      <c r="E156" s="130">
        <v>18720938</v>
      </c>
      <c r="F156" t="s">
        <v>87</v>
      </c>
      <c r="G156">
        <v>77</v>
      </c>
      <c r="H156" t="s">
        <v>8952</v>
      </c>
      <c r="I156" s="130">
        <v>3</v>
      </c>
      <c r="J156" t="s">
        <v>1780</v>
      </c>
      <c r="K156" t="s">
        <v>95</v>
      </c>
      <c r="L156" t="s">
        <v>8952</v>
      </c>
      <c r="M156" t="s">
        <v>130</v>
      </c>
      <c r="N156" t="s">
        <v>131</v>
      </c>
      <c r="O156" t="s">
        <v>116</v>
      </c>
    </row>
    <row r="157" spans="1:15" x14ac:dyDescent="0.3">
      <c r="A157" s="130">
        <v>790</v>
      </c>
      <c r="B157" s="130">
        <v>26</v>
      </c>
      <c r="C157" s="130" t="s">
        <v>1781</v>
      </c>
      <c r="D157">
        <v>214934</v>
      </c>
      <c r="E157" s="131">
        <v>16622284</v>
      </c>
      <c r="F157" t="s">
        <v>87</v>
      </c>
      <c r="G157">
        <v>78</v>
      </c>
      <c r="H157" t="s">
        <v>8953</v>
      </c>
      <c r="I157" s="130">
        <v>10</v>
      </c>
      <c r="J157" t="s">
        <v>1781</v>
      </c>
      <c r="K157" t="s">
        <v>95</v>
      </c>
      <c r="L157" t="s">
        <v>8953</v>
      </c>
      <c r="M157" t="s">
        <v>1348</v>
      </c>
      <c r="N157" t="s">
        <v>118</v>
      </c>
      <c r="O157" t="s">
        <v>1345</v>
      </c>
    </row>
    <row r="158" spans="1:15" x14ac:dyDescent="0.3">
      <c r="A158" s="130">
        <v>796</v>
      </c>
      <c r="B158" s="130">
        <v>28</v>
      </c>
      <c r="C158" s="130" t="s">
        <v>1782</v>
      </c>
      <c r="D158">
        <v>2442</v>
      </c>
      <c r="E158" s="131">
        <v>289348</v>
      </c>
      <c r="F158" t="s">
        <v>87</v>
      </c>
      <c r="G158">
        <v>78</v>
      </c>
      <c r="H158" t="s">
        <v>8951</v>
      </c>
      <c r="I158" s="131">
        <v>19</v>
      </c>
      <c r="J158" t="s">
        <v>1782</v>
      </c>
      <c r="K158" t="s">
        <v>95</v>
      </c>
      <c r="L158" t="s">
        <v>8951</v>
      </c>
      <c r="M158" t="s">
        <v>130</v>
      </c>
      <c r="N158" t="s">
        <v>114</v>
      </c>
      <c r="O158" t="s">
        <v>1345</v>
      </c>
    </row>
    <row r="159" spans="1:15" x14ac:dyDescent="0.3">
      <c r="A159" s="130">
        <v>799</v>
      </c>
      <c r="B159" s="130">
        <v>18</v>
      </c>
      <c r="C159" s="130" t="s">
        <v>1783</v>
      </c>
      <c r="D159">
        <v>2382</v>
      </c>
      <c r="E159" s="130">
        <v>10405464</v>
      </c>
      <c r="F159" t="s">
        <v>87</v>
      </c>
      <c r="G159">
        <v>358</v>
      </c>
      <c r="H159" t="s">
        <v>8952</v>
      </c>
      <c r="I159" s="130">
        <v>10</v>
      </c>
      <c r="J159" t="s">
        <v>1783</v>
      </c>
      <c r="K159" t="s">
        <v>95</v>
      </c>
      <c r="L159" t="s">
        <v>8952</v>
      </c>
      <c r="M159" t="s">
        <v>112</v>
      </c>
      <c r="N159" t="s">
        <v>114</v>
      </c>
      <c r="O159" t="s">
        <v>1345</v>
      </c>
    </row>
    <row r="160" spans="1:15" x14ac:dyDescent="0.3">
      <c r="A160" s="130">
        <v>801</v>
      </c>
      <c r="B160" s="130">
        <v>30</v>
      </c>
      <c r="C160" s="130" t="s">
        <v>1784</v>
      </c>
      <c r="D160">
        <v>2447</v>
      </c>
      <c r="E160" s="130">
        <v>33000167</v>
      </c>
      <c r="F160" t="s">
        <v>87</v>
      </c>
      <c r="G160">
        <v>78</v>
      </c>
      <c r="H160" t="s">
        <v>8953</v>
      </c>
      <c r="I160" s="131">
        <v>24</v>
      </c>
      <c r="J160" t="s">
        <v>1784</v>
      </c>
      <c r="K160" t="s">
        <v>95</v>
      </c>
      <c r="L160" t="s">
        <v>8953</v>
      </c>
      <c r="M160" t="s">
        <v>103</v>
      </c>
      <c r="N160" t="s">
        <v>114</v>
      </c>
      <c r="O160" t="s">
        <v>116</v>
      </c>
    </row>
    <row r="161" spans="1:15" x14ac:dyDescent="0.3">
      <c r="A161" s="130">
        <v>806</v>
      </c>
      <c r="B161" s="130">
        <v>18</v>
      </c>
      <c r="C161" s="130" t="s">
        <v>1785</v>
      </c>
      <c r="D161">
        <v>2452</v>
      </c>
      <c r="E161" s="130">
        <v>40915283</v>
      </c>
      <c r="F161" t="s">
        <v>87</v>
      </c>
      <c r="G161">
        <v>358</v>
      </c>
      <c r="H161" t="s">
        <v>8951</v>
      </c>
      <c r="I161" s="131">
        <v>19</v>
      </c>
      <c r="J161" t="s">
        <v>1785</v>
      </c>
      <c r="K161" t="s">
        <v>95</v>
      </c>
      <c r="L161" t="s">
        <v>8951</v>
      </c>
      <c r="M161" t="s">
        <v>112</v>
      </c>
      <c r="N161" t="s">
        <v>98</v>
      </c>
      <c r="O161" t="s">
        <v>1345</v>
      </c>
    </row>
    <row r="162" spans="1:15" x14ac:dyDescent="0.3">
      <c r="A162" s="130">
        <v>810</v>
      </c>
      <c r="B162" s="130">
        <v>30</v>
      </c>
      <c r="C162" s="130" t="s">
        <v>1786</v>
      </c>
      <c r="D162">
        <v>2457</v>
      </c>
      <c r="E162" s="130">
        <v>33193996</v>
      </c>
      <c r="F162" t="s">
        <v>87</v>
      </c>
      <c r="G162">
        <v>78</v>
      </c>
      <c r="H162" t="s">
        <v>8952</v>
      </c>
      <c r="I162" s="130">
        <v>10</v>
      </c>
      <c r="J162" t="s">
        <v>1786</v>
      </c>
      <c r="K162" t="s">
        <v>95</v>
      </c>
      <c r="L162" t="s">
        <v>8952</v>
      </c>
      <c r="M162" t="s">
        <v>103</v>
      </c>
      <c r="N162" t="s">
        <v>118</v>
      </c>
      <c r="O162" t="s">
        <v>116</v>
      </c>
    </row>
    <row r="163" spans="1:15" x14ac:dyDescent="0.3">
      <c r="A163" s="130">
        <v>811</v>
      </c>
      <c r="B163" s="130">
        <v>18</v>
      </c>
      <c r="C163" s="130" t="s">
        <v>1787</v>
      </c>
      <c r="D163">
        <v>2460</v>
      </c>
      <c r="E163" s="131">
        <v>1848287</v>
      </c>
      <c r="F163" t="s">
        <v>87</v>
      </c>
      <c r="G163">
        <v>78</v>
      </c>
      <c r="H163" t="s">
        <v>8953</v>
      </c>
      <c r="I163" s="130">
        <v>9</v>
      </c>
      <c r="J163" t="s">
        <v>1787</v>
      </c>
      <c r="K163" t="s">
        <v>95</v>
      </c>
      <c r="L163" t="s">
        <v>8953</v>
      </c>
      <c r="M163" t="s">
        <v>112</v>
      </c>
      <c r="N163" t="s">
        <v>98</v>
      </c>
      <c r="O163" t="s">
        <v>1345</v>
      </c>
    </row>
    <row r="164" spans="1:15" x14ac:dyDescent="0.3">
      <c r="A164" s="130">
        <v>816</v>
      </c>
      <c r="B164" s="130">
        <v>18</v>
      </c>
      <c r="C164" s="130" t="s">
        <v>1788</v>
      </c>
      <c r="D164">
        <v>2456</v>
      </c>
      <c r="E164" s="131">
        <v>5925052</v>
      </c>
      <c r="F164" t="s">
        <v>87</v>
      </c>
      <c r="G164">
        <v>78</v>
      </c>
      <c r="H164" t="s">
        <v>8951</v>
      </c>
      <c r="I164" s="130">
        <v>38</v>
      </c>
      <c r="J164" t="s">
        <v>1788</v>
      </c>
      <c r="K164" t="s">
        <v>108</v>
      </c>
      <c r="L164" t="s">
        <v>8951</v>
      </c>
      <c r="M164" t="s">
        <v>112</v>
      </c>
      <c r="N164" t="s">
        <v>141</v>
      </c>
      <c r="O164" t="s">
        <v>1345</v>
      </c>
    </row>
    <row r="165" spans="1:15" x14ac:dyDescent="0.3">
      <c r="A165" s="130">
        <v>818</v>
      </c>
      <c r="B165" s="130">
        <v>60</v>
      </c>
      <c r="C165" s="130" t="s">
        <v>1789</v>
      </c>
      <c r="D165">
        <v>2252</v>
      </c>
      <c r="E165" s="131">
        <v>12056613</v>
      </c>
      <c r="F165" t="s">
        <v>87</v>
      </c>
      <c r="G165">
        <v>77</v>
      </c>
      <c r="H165" t="s">
        <v>8952</v>
      </c>
      <c r="I165" s="131">
        <v>3</v>
      </c>
      <c r="J165" t="s">
        <v>1789</v>
      </c>
      <c r="K165" t="s">
        <v>95</v>
      </c>
      <c r="L165" t="s">
        <v>8952</v>
      </c>
      <c r="M165" t="s">
        <v>97</v>
      </c>
      <c r="N165" t="s">
        <v>118</v>
      </c>
      <c r="O165" t="s">
        <v>116</v>
      </c>
    </row>
    <row r="166" spans="1:15" x14ac:dyDescent="0.3">
      <c r="A166" s="130">
        <v>821</v>
      </c>
      <c r="B166" s="130">
        <v>18</v>
      </c>
      <c r="C166" s="130" t="s">
        <v>1790</v>
      </c>
      <c r="D166">
        <v>2475</v>
      </c>
      <c r="E166" s="131">
        <v>96556642</v>
      </c>
      <c r="F166" t="s">
        <v>87</v>
      </c>
      <c r="G166">
        <v>358</v>
      </c>
      <c r="H166" t="s">
        <v>8953</v>
      </c>
      <c r="I166" s="131">
        <v>18</v>
      </c>
      <c r="J166" t="s">
        <v>1790</v>
      </c>
      <c r="K166" t="s">
        <v>108</v>
      </c>
      <c r="L166" t="s">
        <v>8953</v>
      </c>
      <c r="M166" t="s">
        <v>112</v>
      </c>
      <c r="N166" t="s">
        <v>98</v>
      </c>
      <c r="O166" t="s">
        <v>1345</v>
      </c>
    </row>
    <row r="167" spans="1:15" x14ac:dyDescent="0.3">
      <c r="A167" s="130">
        <v>824</v>
      </c>
      <c r="B167" s="130">
        <v>30</v>
      </c>
      <c r="C167" s="130" t="s">
        <v>1791</v>
      </c>
      <c r="D167">
        <v>2477</v>
      </c>
      <c r="E167" s="131">
        <v>28763819</v>
      </c>
      <c r="F167" t="s">
        <v>87</v>
      </c>
      <c r="G167">
        <v>358</v>
      </c>
      <c r="H167" t="s">
        <v>8951</v>
      </c>
      <c r="I167" s="131">
        <v>3</v>
      </c>
      <c r="J167" t="s">
        <v>1791</v>
      </c>
      <c r="K167" t="s">
        <v>95</v>
      </c>
      <c r="L167" t="s">
        <v>8951</v>
      </c>
      <c r="M167" t="s">
        <v>103</v>
      </c>
      <c r="N167" t="s">
        <v>118</v>
      </c>
      <c r="O167" t="s">
        <v>1345</v>
      </c>
    </row>
    <row r="168" spans="1:15" x14ac:dyDescent="0.3">
      <c r="A168" s="130">
        <v>827</v>
      </c>
      <c r="B168" s="130">
        <v>0</v>
      </c>
      <c r="C168" s="130" t="s">
        <v>1792</v>
      </c>
      <c r="D168">
        <v>2482</v>
      </c>
      <c r="E168" s="131">
        <v>35907482</v>
      </c>
      <c r="F168" t="s">
        <v>87</v>
      </c>
      <c r="G168">
        <v>78</v>
      </c>
      <c r="H168" t="s">
        <v>8952</v>
      </c>
      <c r="I168" s="130">
        <v>10</v>
      </c>
      <c r="J168" t="s">
        <v>1792</v>
      </c>
      <c r="K168" t="s">
        <v>108</v>
      </c>
      <c r="L168" t="s">
        <v>8952</v>
      </c>
      <c r="M168" t="s">
        <v>100</v>
      </c>
      <c r="N168" t="s">
        <v>98</v>
      </c>
      <c r="O168" t="s">
        <v>116</v>
      </c>
    </row>
    <row r="169" spans="1:15" x14ac:dyDescent="0.3">
      <c r="A169" s="130">
        <v>833</v>
      </c>
      <c r="B169" s="130">
        <v>30</v>
      </c>
      <c r="C169" s="130" t="s">
        <v>1793</v>
      </c>
      <c r="D169">
        <v>2488</v>
      </c>
      <c r="E169" s="130">
        <v>19157650</v>
      </c>
      <c r="F169" t="s">
        <v>87</v>
      </c>
      <c r="G169">
        <v>78</v>
      </c>
      <c r="H169" t="s">
        <v>8953</v>
      </c>
      <c r="I169" s="130">
        <v>10</v>
      </c>
      <c r="J169" t="s">
        <v>1793</v>
      </c>
      <c r="K169" t="s">
        <v>95</v>
      </c>
      <c r="L169" t="s">
        <v>8953</v>
      </c>
      <c r="M169" t="s">
        <v>103</v>
      </c>
      <c r="N169" t="s">
        <v>118</v>
      </c>
      <c r="O169" t="s">
        <v>116</v>
      </c>
    </row>
    <row r="170" spans="1:15" x14ac:dyDescent="0.3">
      <c r="A170" s="130">
        <v>834</v>
      </c>
      <c r="B170" s="130">
        <v>18</v>
      </c>
      <c r="C170" s="130" t="s">
        <v>1794</v>
      </c>
      <c r="D170">
        <v>2489</v>
      </c>
      <c r="E170" s="131">
        <v>52029139</v>
      </c>
      <c r="F170" t="s">
        <v>87</v>
      </c>
      <c r="G170">
        <v>358</v>
      </c>
      <c r="H170" t="s">
        <v>8951</v>
      </c>
      <c r="I170" s="130">
        <v>3</v>
      </c>
      <c r="J170" t="s">
        <v>1794</v>
      </c>
      <c r="K170" t="s">
        <v>108</v>
      </c>
      <c r="L170" t="s">
        <v>8951</v>
      </c>
      <c r="M170" t="s">
        <v>112</v>
      </c>
      <c r="N170" t="s">
        <v>152</v>
      </c>
      <c r="O170" t="s">
        <v>1345</v>
      </c>
    </row>
    <row r="171" spans="1:15" x14ac:dyDescent="0.3">
      <c r="A171" s="130">
        <v>837</v>
      </c>
      <c r="B171" s="130">
        <v>30</v>
      </c>
      <c r="C171" s="130" t="s">
        <v>1795</v>
      </c>
      <c r="D171">
        <v>2492</v>
      </c>
      <c r="E171" s="130">
        <v>7522191</v>
      </c>
      <c r="F171" t="s">
        <v>87</v>
      </c>
      <c r="G171">
        <v>78</v>
      </c>
      <c r="H171" t="s">
        <v>8952</v>
      </c>
      <c r="I171" s="130">
        <v>26</v>
      </c>
      <c r="J171" t="s">
        <v>1795</v>
      </c>
      <c r="K171" t="s">
        <v>95</v>
      </c>
      <c r="L171" t="s">
        <v>8952</v>
      </c>
      <c r="M171" t="s">
        <v>103</v>
      </c>
      <c r="N171" t="s">
        <v>114</v>
      </c>
      <c r="O171" t="s">
        <v>116</v>
      </c>
    </row>
    <row r="172" spans="1:15" x14ac:dyDescent="0.3">
      <c r="A172" s="130">
        <v>839</v>
      </c>
      <c r="B172" s="130">
        <v>18</v>
      </c>
      <c r="C172" s="130" t="s">
        <v>1796</v>
      </c>
      <c r="D172">
        <v>2493</v>
      </c>
      <c r="E172" s="131">
        <v>5353545</v>
      </c>
      <c r="F172" t="s">
        <v>87</v>
      </c>
      <c r="G172">
        <v>78</v>
      </c>
      <c r="H172" t="s">
        <v>8953</v>
      </c>
      <c r="I172" s="130">
        <v>9</v>
      </c>
      <c r="J172" t="s">
        <v>1796</v>
      </c>
      <c r="K172" t="s">
        <v>95</v>
      </c>
      <c r="L172" t="s">
        <v>8953</v>
      </c>
      <c r="M172" t="s">
        <v>112</v>
      </c>
      <c r="N172" t="s">
        <v>98</v>
      </c>
      <c r="O172" t="s">
        <v>1345</v>
      </c>
    </row>
    <row r="173" spans="1:15" x14ac:dyDescent="0.3">
      <c r="A173" s="130">
        <v>843</v>
      </c>
      <c r="B173" s="130" t="s">
        <v>175</v>
      </c>
      <c r="C173" s="130" t="s">
        <v>1797</v>
      </c>
      <c r="D173">
        <v>2498</v>
      </c>
      <c r="E173" s="130">
        <v>655209</v>
      </c>
      <c r="F173" t="s">
        <v>87</v>
      </c>
      <c r="G173">
        <v>78</v>
      </c>
      <c r="H173" t="s">
        <v>8951</v>
      </c>
      <c r="I173" s="130">
        <v>9</v>
      </c>
      <c r="J173" t="s">
        <v>1797</v>
      </c>
      <c r="K173" t="s">
        <v>95</v>
      </c>
      <c r="L173" t="s">
        <v>8951</v>
      </c>
      <c r="M173" t="s">
        <v>176</v>
      </c>
      <c r="N173" t="s">
        <v>114</v>
      </c>
      <c r="O173" t="s">
        <v>1345</v>
      </c>
    </row>
    <row r="174" spans="1:15" x14ac:dyDescent="0.3">
      <c r="A174" s="130">
        <v>846</v>
      </c>
      <c r="B174" s="130">
        <v>28</v>
      </c>
      <c r="C174" s="130" t="s">
        <v>1798</v>
      </c>
      <c r="D174">
        <v>2500</v>
      </c>
      <c r="E174" s="130">
        <v>5451496</v>
      </c>
      <c r="F174" t="s">
        <v>87</v>
      </c>
      <c r="G174">
        <v>358</v>
      </c>
      <c r="H174" t="s">
        <v>8952</v>
      </c>
      <c r="I174" s="130">
        <v>3</v>
      </c>
      <c r="J174" t="s">
        <v>1798</v>
      </c>
      <c r="K174" t="s">
        <v>95</v>
      </c>
      <c r="L174" t="s">
        <v>8952</v>
      </c>
      <c r="M174" t="s">
        <v>130</v>
      </c>
      <c r="N174" t="s">
        <v>98</v>
      </c>
      <c r="O174" t="s">
        <v>1345</v>
      </c>
    </row>
    <row r="175" spans="1:15" x14ac:dyDescent="0.3">
      <c r="A175" s="130">
        <v>855</v>
      </c>
      <c r="B175" s="130">
        <v>18</v>
      </c>
      <c r="C175" s="130" t="s">
        <v>1799</v>
      </c>
      <c r="D175">
        <v>1769</v>
      </c>
      <c r="E175" s="131">
        <v>441885</v>
      </c>
      <c r="F175" t="s">
        <v>87</v>
      </c>
      <c r="G175">
        <v>358</v>
      </c>
      <c r="H175" t="s">
        <v>8953</v>
      </c>
      <c r="I175" s="131">
        <v>24</v>
      </c>
      <c r="J175" t="s">
        <v>1799</v>
      </c>
      <c r="K175" t="s">
        <v>108</v>
      </c>
      <c r="L175" t="s">
        <v>8953</v>
      </c>
      <c r="M175" t="s">
        <v>112</v>
      </c>
      <c r="N175" t="s">
        <v>152</v>
      </c>
      <c r="O175" t="s">
        <v>1345</v>
      </c>
    </row>
    <row r="176" spans="1:15" x14ac:dyDescent="0.3">
      <c r="A176" s="130">
        <v>857</v>
      </c>
      <c r="B176" s="130">
        <v>30</v>
      </c>
      <c r="C176" s="130" t="s">
        <v>1800</v>
      </c>
      <c r="D176">
        <v>2516</v>
      </c>
      <c r="E176" s="131">
        <v>1313486</v>
      </c>
      <c r="F176" t="s">
        <v>87</v>
      </c>
      <c r="G176">
        <v>78</v>
      </c>
      <c r="H176" t="s">
        <v>8951</v>
      </c>
      <c r="I176" s="130">
        <v>10</v>
      </c>
      <c r="J176" t="s">
        <v>1800</v>
      </c>
      <c r="K176" t="s">
        <v>108</v>
      </c>
      <c r="L176" t="s">
        <v>8951</v>
      </c>
      <c r="M176" t="s">
        <v>103</v>
      </c>
      <c r="N176" t="s">
        <v>118</v>
      </c>
      <c r="O176" t="s">
        <v>116</v>
      </c>
    </row>
    <row r="177" spans="1:15" x14ac:dyDescent="0.3">
      <c r="A177" s="130">
        <v>858</v>
      </c>
      <c r="B177" s="130">
        <v>18</v>
      </c>
      <c r="C177" s="130" t="s">
        <v>1801</v>
      </c>
      <c r="D177">
        <v>2518</v>
      </c>
      <c r="E177" s="131">
        <v>72030927</v>
      </c>
      <c r="F177" t="s">
        <v>87</v>
      </c>
      <c r="G177">
        <v>358</v>
      </c>
      <c r="H177" t="s">
        <v>8952</v>
      </c>
      <c r="I177" s="130">
        <v>18</v>
      </c>
      <c r="J177" t="s">
        <v>1801</v>
      </c>
      <c r="K177" t="s">
        <v>95</v>
      </c>
      <c r="L177" t="s">
        <v>8952</v>
      </c>
      <c r="M177" t="s">
        <v>112</v>
      </c>
      <c r="N177" t="s">
        <v>98</v>
      </c>
      <c r="O177" t="s">
        <v>1345</v>
      </c>
    </row>
    <row r="178" spans="1:15" x14ac:dyDescent="0.3">
      <c r="A178" s="130">
        <v>862</v>
      </c>
      <c r="B178" s="130">
        <v>60</v>
      </c>
      <c r="C178" s="130" t="s">
        <v>1802</v>
      </c>
      <c r="D178">
        <v>2312</v>
      </c>
      <c r="E178" s="130">
        <v>41643785</v>
      </c>
      <c r="F178" t="s">
        <v>87</v>
      </c>
      <c r="G178">
        <v>358</v>
      </c>
      <c r="H178" t="s">
        <v>8953</v>
      </c>
      <c r="I178" s="131">
        <v>19</v>
      </c>
      <c r="J178" t="s">
        <v>1802</v>
      </c>
      <c r="K178" t="s">
        <v>95</v>
      </c>
      <c r="L178" t="s">
        <v>8953</v>
      </c>
      <c r="M178" t="s">
        <v>97</v>
      </c>
      <c r="N178" t="s">
        <v>98</v>
      </c>
      <c r="O178" t="s">
        <v>116</v>
      </c>
    </row>
    <row r="179" spans="1:15" x14ac:dyDescent="0.3">
      <c r="A179" s="130">
        <v>868</v>
      </c>
      <c r="B179" s="130">
        <v>30</v>
      </c>
      <c r="C179" s="130" t="s">
        <v>1803</v>
      </c>
      <c r="D179">
        <v>2530</v>
      </c>
      <c r="E179" s="130">
        <v>7522191</v>
      </c>
      <c r="F179" t="s">
        <v>87</v>
      </c>
      <c r="G179">
        <v>78</v>
      </c>
      <c r="H179" t="s">
        <v>8951</v>
      </c>
      <c r="I179" s="131">
        <v>10</v>
      </c>
      <c r="J179" t="s">
        <v>1803</v>
      </c>
      <c r="K179" t="s">
        <v>95</v>
      </c>
      <c r="L179" t="s">
        <v>8951</v>
      </c>
      <c r="M179" t="s">
        <v>103</v>
      </c>
      <c r="N179" t="s">
        <v>118</v>
      </c>
      <c r="O179" t="s">
        <v>1345</v>
      </c>
    </row>
    <row r="180" spans="1:15" x14ac:dyDescent="0.3">
      <c r="A180" s="130">
        <v>870</v>
      </c>
      <c r="B180" s="130">
        <v>18</v>
      </c>
      <c r="C180" s="130" t="s">
        <v>1804</v>
      </c>
      <c r="D180">
        <v>2533</v>
      </c>
      <c r="E180" s="130">
        <v>53002077</v>
      </c>
      <c r="F180" t="s">
        <v>87</v>
      </c>
      <c r="G180">
        <v>358</v>
      </c>
      <c r="H180" t="s">
        <v>8952</v>
      </c>
      <c r="I180" s="131">
        <v>3</v>
      </c>
      <c r="J180" t="s">
        <v>1804</v>
      </c>
      <c r="K180" t="s">
        <v>108</v>
      </c>
      <c r="L180" t="s">
        <v>8952</v>
      </c>
      <c r="M180" t="s">
        <v>112</v>
      </c>
      <c r="N180" t="s">
        <v>101</v>
      </c>
      <c r="O180" t="s">
        <v>116</v>
      </c>
    </row>
    <row r="181" spans="1:15" x14ac:dyDescent="0.3">
      <c r="A181" s="130">
        <v>871</v>
      </c>
      <c r="B181" s="130">
        <v>18</v>
      </c>
      <c r="C181" s="130" t="s">
        <v>1805</v>
      </c>
      <c r="D181">
        <v>2535</v>
      </c>
      <c r="E181" s="130">
        <v>12343604</v>
      </c>
      <c r="F181" t="s">
        <v>87</v>
      </c>
      <c r="G181">
        <v>78</v>
      </c>
      <c r="H181" t="s">
        <v>8953</v>
      </c>
      <c r="I181" s="131">
        <v>19</v>
      </c>
      <c r="J181" t="s">
        <v>1805</v>
      </c>
      <c r="K181" t="s">
        <v>108</v>
      </c>
      <c r="L181" t="s">
        <v>8953</v>
      </c>
      <c r="M181" t="s">
        <v>112</v>
      </c>
      <c r="N181" t="s">
        <v>101</v>
      </c>
      <c r="O181" t="s">
        <v>1345</v>
      </c>
    </row>
    <row r="182" spans="1:15" x14ac:dyDescent="0.3">
      <c r="A182" s="130">
        <v>889</v>
      </c>
      <c r="B182" s="130">
        <v>60</v>
      </c>
      <c r="C182" s="130" t="s">
        <v>1806</v>
      </c>
      <c r="D182">
        <v>2566</v>
      </c>
      <c r="E182" s="131">
        <v>4060779</v>
      </c>
      <c r="F182" t="s">
        <v>87</v>
      </c>
      <c r="G182">
        <v>78</v>
      </c>
      <c r="H182" t="s">
        <v>8951</v>
      </c>
      <c r="I182" s="130">
        <v>3</v>
      </c>
      <c r="J182" t="s">
        <v>1806</v>
      </c>
      <c r="K182" t="s">
        <v>95</v>
      </c>
      <c r="L182" t="s">
        <v>8951</v>
      </c>
      <c r="M182" t="s">
        <v>97</v>
      </c>
      <c r="N182" t="s">
        <v>132</v>
      </c>
      <c r="O182" t="s">
        <v>116</v>
      </c>
    </row>
    <row r="183" spans="1:15" x14ac:dyDescent="0.3">
      <c r="A183" s="130">
        <v>916</v>
      </c>
      <c r="B183" s="130">
        <v>18</v>
      </c>
      <c r="C183" s="130" t="s">
        <v>1807</v>
      </c>
      <c r="D183">
        <v>2570</v>
      </c>
      <c r="E183" s="130">
        <v>31835974</v>
      </c>
      <c r="F183" t="s">
        <v>87</v>
      </c>
      <c r="G183">
        <v>78</v>
      </c>
      <c r="H183" t="s">
        <v>8952</v>
      </c>
      <c r="I183" s="131">
        <v>26</v>
      </c>
      <c r="J183" t="s">
        <v>1807</v>
      </c>
      <c r="K183" t="s">
        <v>108</v>
      </c>
      <c r="L183" t="s">
        <v>8952</v>
      </c>
      <c r="M183" t="s">
        <v>112</v>
      </c>
      <c r="N183" t="s">
        <v>98</v>
      </c>
      <c r="O183" t="s">
        <v>1345</v>
      </c>
    </row>
    <row r="184" spans="1:15" x14ac:dyDescent="0.3">
      <c r="A184" s="130">
        <v>923</v>
      </c>
      <c r="B184" s="130">
        <v>18</v>
      </c>
      <c r="C184" s="130" t="s">
        <v>1808</v>
      </c>
      <c r="D184">
        <v>2574</v>
      </c>
      <c r="E184" s="130">
        <v>86613403</v>
      </c>
      <c r="F184" t="s">
        <v>87</v>
      </c>
      <c r="G184">
        <v>358</v>
      </c>
      <c r="H184" t="s">
        <v>8953</v>
      </c>
      <c r="I184" s="130">
        <v>3</v>
      </c>
      <c r="J184" t="s">
        <v>1808</v>
      </c>
      <c r="K184" t="s">
        <v>95</v>
      </c>
      <c r="L184" t="s">
        <v>8953</v>
      </c>
      <c r="M184" t="s">
        <v>112</v>
      </c>
      <c r="N184" t="s">
        <v>98</v>
      </c>
      <c r="O184" t="s">
        <v>1345</v>
      </c>
    </row>
    <row r="185" spans="1:15" x14ac:dyDescent="0.3">
      <c r="A185" s="130">
        <v>928</v>
      </c>
      <c r="B185" s="130">
        <v>18</v>
      </c>
      <c r="C185" s="130" t="s">
        <v>1809</v>
      </c>
      <c r="D185">
        <v>2564</v>
      </c>
      <c r="E185" s="130">
        <v>7849577</v>
      </c>
      <c r="F185" t="s">
        <v>87</v>
      </c>
      <c r="G185">
        <v>358</v>
      </c>
      <c r="H185" t="s">
        <v>8951</v>
      </c>
      <c r="I185" s="130">
        <v>3</v>
      </c>
      <c r="J185" t="s">
        <v>1809</v>
      </c>
      <c r="K185" t="s">
        <v>108</v>
      </c>
      <c r="L185" t="s">
        <v>8951</v>
      </c>
      <c r="M185" t="s">
        <v>112</v>
      </c>
      <c r="N185" t="s">
        <v>124</v>
      </c>
      <c r="O185" t="s">
        <v>1345</v>
      </c>
    </row>
    <row r="186" spans="1:15" x14ac:dyDescent="0.3">
      <c r="A186" s="130">
        <v>929</v>
      </c>
      <c r="B186" s="130">
        <v>30</v>
      </c>
      <c r="C186" s="130" t="s">
        <v>1810</v>
      </c>
      <c r="D186">
        <v>2586</v>
      </c>
      <c r="E186" s="130">
        <v>8928273</v>
      </c>
      <c r="F186" t="s">
        <v>87</v>
      </c>
      <c r="G186">
        <v>358</v>
      </c>
      <c r="H186" t="s">
        <v>8952</v>
      </c>
      <c r="I186" s="130">
        <v>3</v>
      </c>
      <c r="J186" t="s">
        <v>1810</v>
      </c>
      <c r="K186" t="s">
        <v>95</v>
      </c>
      <c r="L186" t="s">
        <v>8952</v>
      </c>
      <c r="M186" t="s">
        <v>103</v>
      </c>
      <c r="N186" t="s">
        <v>124</v>
      </c>
      <c r="O186" t="s">
        <v>1345</v>
      </c>
    </row>
    <row r="187" spans="1:15" x14ac:dyDescent="0.3">
      <c r="A187" s="130">
        <v>941</v>
      </c>
      <c r="B187" s="130">
        <v>30</v>
      </c>
      <c r="C187" s="130" t="s">
        <v>1811</v>
      </c>
      <c r="D187">
        <v>2604</v>
      </c>
      <c r="E187" s="130">
        <v>35234509</v>
      </c>
      <c r="F187" t="s">
        <v>87</v>
      </c>
      <c r="G187">
        <v>78</v>
      </c>
      <c r="H187" t="s">
        <v>8953</v>
      </c>
      <c r="I187" s="131">
        <v>18</v>
      </c>
      <c r="J187" t="s">
        <v>1811</v>
      </c>
      <c r="K187" t="s">
        <v>95</v>
      </c>
      <c r="L187" t="s">
        <v>8953</v>
      </c>
      <c r="M187" t="s">
        <v>103</v>
      </c>
      <c r="N187" t="s">
        <v>114</v>
      </c>
      <c r="O187" t="s">
        <v>1345</v>
      </c>
    </row>
    <row r="188" spans="1:15" x14ac:dyDescent="0.3">
      <c r="A188" s="130">
        <v>945</v>
      </c>
      <c r="B188" s="130">
        <v>0</v>
      </c>
      <c r="C188" s="130" t="s">
        <v>1812</v>
      </c>
      <c r="D188">
        <v>2610</v>
      </c>
      <c r="E188" s="131">
        <v>5537083</v>
      </c>
      <c r="F188" t="s">
        <v>87</v>
      </c>
      <c r="G188">
        <v>358</v>
      </c>
      <c r="H188" t="s">
        <v>8951</v>
      </c>
      <c r="I188" s="130">
        <v>3</v>
      </c>
      <c r="J188" t="s">
        <v>1812</v>
      </c>
      <c r="K188" t="s">
        <v>95</v>
      </c>
      <c r="L188" t="s">
        <v>8951</v>
      </c>
      <c r="M188" t="s">
        <v>100</v>
      </c>
      <c r="N188" t="s">
        <v>98</v>
      </c>
      <c r="O188" t="s">
        <v>1345</v>
      </c>
    </row>
    <row r="189" spans="1:15" x14ac:dyDescent="0.3">
      <c r="A189" s="130">
        <v>946</v>
      </c>
      <c r="B189" s="130">
        <v>90</v>
      </c>
      <c r="C189" s="130" t="s">
        <v>1813</v>
      </c>
      <c r="D189">
        <v>2612</v>
      </c>
      <c r="E189" s="130">
        <v>35234509</v>
      </c>
      <c r="F189" t="s">
        <v>87</v>
      </c>
      <c r="G189">
        <v>78</v>
      </c>
      <c r="H189" t="s">
        <v>8952</v>
      </c>
      <c r="I189" s="130">
        <v>18</v>
      </c>
      <c r="J189" t="s">
        <v>1813</v>
      </c>
      <c r="K189" t="s">
        <v>95</v>
      </c>
      <c r="L189" t="s">
        <v>8952</v>
      </c>
      <c r="M189" t="s">
        <v>170</v>
      </c>
      <c r="N189" t="s">
        <v>104</v>
      </c>
      <c r="O189" t="s">
        <v>116</v>
      </c>
    </row>
    <row r="190" spans="1:15" x14ac:dyDescent="0.3">
      <c r="A190" s="130">
        <v>949</v>
      </c>
      <c r="B190" s="130">
        <v>15</v>
      </c>
      <c r="C190" s="130" t="s">
        <v>1814</v>
      </c>
      <c r="D190">
        <v>2615</v>
      </c>
      <c r="E190" s="131">
        <v>14916797</v>
      </c>
      <c r="F190" t="s">
        <v>87</v>
      </c>
      <c r="G190">
        <v>78</v>
      </c>
      <c r="H190" t="s">
        <v>8953</v>
      </c>
      <c r="I190" s="130">
        <v>10</v>
      </c>
      <c r="J190" t="s">
        <v>1814</v>
      </c>
      <c r="K190" t="s">
        <v>95</v>
      </c>
      <c r="L190" t="s">
        <v>8953</v>
      </c>
      <c r="M190" t="s">
        <v>145</v>
      </c>
      <c r="N190" t="s">
        <v>122</v>
      </c>
      <c r="O190" t="s">
        <v>1345</v>
      </c>
    </row>
    <row r="191" spans="1:15" x14ac:dyDescent="0.3">
      <c r="A191" s="130">
        <v>957</v>
      </c>
      <c r="B191" s="130">
        <v>30</v>
      </c>
      <c r="C191" s="130" t="s">
        <v>1815</v>
      </c>
      <c r="D191">
        <v>2624</v>
      </c>
      <c r="E191" s="130">
        <v>33000167</v>
      </c>
      <c r="F191" t="s">
        <v>87</v>
      </c>
      <c r="G191">
        <v>78</v>
      </c>
      <c r="H191" t="s">
        <v>8951</v>
      </c>
      <c r="I191" s="131">
        <v>18</v>
      </c>
      <c r="J191" t="s">
        <v>1815</v>
      </c>
      <c r="K191" t="s">
        <v>95</v>
      </c>
      <c r="L191" t="s">
        <v>8951</v>
      </c>
      <c r="M191" t="s">
        <v>103</v>
      </c>
      <c r="N191" t="s">
        <v>114</v>
      </c>
      <c r="O191" t="s">
        <v>116</v>
      </c>
    </row>
    <row r="192" spans="1:15" x14ac:dyDescent="0.3">
      <c r="A192" s="130">
        <v>960</v>
      </c>
      <c r="B192" s="130">
        <v>18</v>
      </c>
      <c r="C192" s="130" t="s">
        <v>1816</v>
      </c>
      <c r="D192">
        <v>2628</v>
      </c>
      <c r="E192" s="130">
        <v>19632915</v>
      </c>
      <c r="F192" t="s">
        <v>87</v>
      </c>
      <c r="G192">
        <v>78</v>
      </c>
      <c r="H192" t="s">
        <v>8952</v>
      </c>
      <c r="I192" s="130">
        <v>9</v>
      </c>
      <c r="J192" t="s">
        <v>1816</v>
      </c>
      <c r="K192" t="s">
        <v>108</v>
      </c>
      <c r="L192" t="s">
        <v>8952</v>
      </c>
      <c r="M192" t="s">
        <v>112</v>
      </c>
      <c r="N192" t="s">
        <v>101</v>
      </c>
      <c r="O192" t="s">
        <v>1345</v>
      </c>
    </row>
    <row r="193" spans="1:15" x14ac:dyDescent="0.3">
      <c r="A193" s="130">
        <v>961</v>
      </c>
      <c r="B193" s="130">
        <v>30</v>
      </c>
      <c r="C193" s="130" t="s">
        <v>1817</v>
      </c>
      <c r="D193">
        <v>213917</v>
      </c>
      <c r="E193" s="130">
        <v>34151100</v>
      </c>
      <c r="F193" t="s">
        <v>87</v>
      </c>
      <c r="G193">
        <v>78</v>
      </c>
      <c r="H193" t="s">
        <v>8953</v>
      </c>
      <c r="I193" s="130">
        <v>10</v>
      </c>
      <c r="J193" t="s">
        <v>1817</v>
      </c>
      <c r="K193" t="s">
        <v>95</v>
      </c>
      <c r="L193" t="s">
        <v>8953</v>
      </c>
      <c r="M193" t="s">
        <v>103</v>
      </c>
      <c r="N193" t="s">
        <v>118</v>
      </c>
      <c r="O193" t="s">
        <v>1345</v>
      </c>
    </row>
    <row r="194" spans="1:15" x14ac:dyDescent="0.3">
      <c r="A194" s="130">
        <v>964</v>
      </c>
      <c r="B194" s="130">
        <v>18</v>
      </c>
      <c r="C194" s="130" t="s">
        <v>1818</v>
      </c>
      <c r="D194">
        <v>2633</v>
      </c>
      <c r="E194" s="130">
        <v>2099303</v>
      </c>
      <c r="F194" t="s">
        <v>87</v>
      </c>
      <c r="G194">
        <v>78</v>
      </c>
      <c r="H194" t="s">
        <v>8951</v>
      </c>
      <c r="I194" s="130">
        <v>18</v>
      </c>
      <c r="J194" t="s">
        <v>1818</v>
      </c>
      <c r="K194" t="s">
        <v>108</v>
      </c>
      <c r="L194" t="s">
        <v>8951</v>
      </c>
      <c r="M194" t="s">
        <v>112</v>
      </c>
      <c r="N194" t="s">
        <v>98</v>
      </c>
      <c r="O194" t="s">
        <v>1345</v>
      </c>
    </row>
    <row r="195" spans="1:15" x14ac:dyDescent="0.3">
      <c r="A195" s="130">
        <v>965</v>
      </c>
      <c r="B195" s="130">
        <v>18</v>
      </c>
      <c r="C195" s="130" t="s">
        <v>1819</v>
      </c>
      <c r="D195">
        <v>2634</v>
      </c>
      <c r="E195" s="130">
        <v>58062365</v>
      </c>
      <c r="F195" t="s">
        <v>87</v>
      </c>
      <c r="G195">
        <v>78</v>
      </c>
      <c r="H195" t="s">
        <v>8952</v>
      </c>
      <c r="I195" s="130">
        <v>10</v>
      </c>
      <c r="J195" t="s">
        <v>1819</v>
      </c>
      <c r="K195" t="s">
        <v>108</v>
      </c>
      <c r="L195" t="s">
        <v>8952</v>
      </c>
      <c r="M195" t="s">
        <v>112</v>
      </c>
      <c r="N195" t="s">
        <v>98</v>
      </c>
      <c r="O195" t="s">
        <v>116</v>
      </c>
    </row>
    <row r="196" spans="1:15" x14ac:dyDescent="0.3">
      <c r="A196" s="130">
        <v>966</v>
      </c>
      <c r="B196" s="130">
        <v>18</v>
      </c>
      <c r="C196" s="130" t="s">
        <v>1820</v>
      </c>
      <c r="D196">
        <v>2381</v>
      </c>
      <c r="E196" s="130">
        <v>14485118</v>
      </c>
      <c r="F196" t="s">
        <v>87</v>
      </c>
      <c r="G196">
        <v>358</v>
      </c>
      <c r="H196" t="s">
        <v>8953</v>
      </c>
      <c r="I196" s="131">
        <v>3</v>
      </c>
      <c r="J196" t="s">
        <v>1820</v>
      </c>
      <c r="K196" t="s">
        <v>108</v>
      </c>
      <c r="L196" t="s">
        <v>8953</v>
      </c>
      <c r="M196" t="s">
        <v>112</v>
      </c>
      <c r="N196" t="s">
        <v>150</v>
      </c>
      <c r="O196" t="s">
        <v>1345</v>
      </c>
    </row>
    <row r="197" spans="1:15" x14ac:dyDescent="0.3">
      <c r="A197" s="130">
        <v>967</v>
      </c>
      <c r="B197" s="130">
        <v>20</v>
      </c>
      <c r="C197" s="130" t="s">
        <v>1821</v>
      </c>
      <c r="D197">
        <v>2598</v>
      </c>
      <c r="E197" s="130">
        <v>37764761</v>
      </c>
      <c r="F197" t="s">
        <v>87</v>
      </c>
      <c r="G197">
        <v>78</v>
      </c>
      <c r="H197" t="s">
        <v>8951</v>
      </c>
      <c r="I197" s="130">
        <v>24</v>
      </c>
      <c r="J197" t="s">
        <v>1821</v>
      </c>
      <c r="K197" t="s">
        <v>108</v>
      </c>
      <c r="L197" t="s">
        <v>8951</v>
      </c>
      <c r="M197" t="s">
        <v>148</v>
      </c>
      <c r="N197" t="s">
        <v>101</v>
      </c>
      <c r="O197" t="s">
        <v>1345</v>
      </c>
    </row>
    <row r="198" spans="1:15" x14ac:dyDescent="0.3">
      <c r="A198" s="130">
        <v>970</v>
      </c>
      <c r="B198" s="130">
        <v>60</v>
      </c>
      <c r="C198" s="130" t="s">
        <v>1822</v>
      </c>
      <c r="D198">
        <v>2638</v>
      </c>
      <c r="E198" s="130">
        <v>34209835</v>
      </c>
      <c r="F198" t="s">
        <v>87</v>
      </c>
      <c r="G198">
        <v>77</v>
      </c>
      <c r="H198" t="s">
        <v>8952</v>
      </c>
      <c r="I198" s="131">
        <v>3</v>
      </c>
      <c r="J198" t="s">
        <v>1822</v>
      </c>
      <c r="K198" t="s">
        <v>95</v>
      </c>
      <c r="L198" t="s">
        <v>8952</v>
      </c>
      <c r="M198" t="s">
        <v>97</v>
      </c>
      <c r="N198" t="s">
        <v>98</v>
      </c>
      <c r="O198" t="s">
        <v>1345</v>
      </c>
    </row>
    <row r="199" spans="1:15" x14ac:dyDescent="0.3">
      <c r="A199" s="130">
        <v>982</v>
      </c>
      <c r="B199" s="130">
        <v>18</v>
      </c>
      <c r="C199" s="130" t="s">
        <v>1823</v>
      </c>
      <c r="D199">
        <v>2654</v>
      </c>
      <c r="E199" s="130">
        <v>26983934</v>
      </c>
      <c r="F199" t="s">
        <v>87</v>
      </c>
      <c r="G199">
        <v>78</v>
      </c>
      <c r="H199" t="s">
        <v>8953</v>
      </c>
      <c r="I199" s="131">
        <v>19</v>
      </c>
      <c r="J199" t="s">
        <v>1823</v>
      </c>
      <c r="K199" t="s">
        <v>108</v>
      </c>
      <c r="L199" t="s">
        <v>8953</v>
      </c>
      <c r="M199" t="s">
        <v>112</v>
      </c>
      <c r="N199" t="s">
        <v>98</v>
      </c>
      <c r="O199" t="s">
        <v>1345</v>
      </c>
    </row>
    <row r="200" spans="1:15" x14ac:dyDescent="0.3">
      <c r="A200" s="130">
        <v>985</v>
      </c>
      <c r="B200" s="130">
        <v>18</v>
      </c>
      <c r="C200" s="130" t="s">
        <v>1824</v>
      </c>
      <c r="D200">
        <v>2658</v>
      </c>
      <c r="E200" s="131">
        <v>7134777</v>
      </c>
      <c r="F200" t="s">
        <v>87</v>
      </c>
      <c r="G200">
        <v>78</v>
      </c>
      <c r="H200" t="s">
        <v>8951</v>
      </c>
      <c r="I200" s="130">
        <v>10</v>
      </c>
      <c r="J200" t="s">
        <v>1824</v>
      </c>
      <c r="K200" t="s">
        <v>108</v>
      </c>
      <c r="L200" t="s">
        <v>8951</v>
      </c>
      <c r="M200" t="s">
        <v>112</v>
      </c>
      <c r="N200" t="s">
        <v>118</v>
      </c>
      <c r="O200" t="s">
        <v>116</v>
      </c>
    </row>
    <row r="201" spans="1:15" x14ac:dyDescent="0.3">
      <c r="A201" s="130">
        <v>993</v>
      </c>
      <c r="B201" s="130">
        <v>30</v>
      </c>
      <c r="C201" s="130" t="s">
        <v>1825</v>
      </c>
      <c r="D201">
        <v>2667</v>
      </c>
      <c r="E201" s="131">
        <v>4060779</v>
      </c>
      <c r="F201" t="s">
        <v>87</v>
      </c>
      <c r="G201">
        <v>358</v>
      </c>
      <c r="H201" t="s">
        <v>8952</v>
      </c>
      <c r="I201" s="131">
        <v>3</v>
      </c>
      <c r="J201" t="s">
        <v>1825</v>
      </c>
      <c r="K201" t="s">
        <v>95</v>
      </c>
      <c r="L201" t="s">
        <v>8952</v>
      </c>
      <c r="M201" t="s">
        <v>103</v>
      </c>
      <c r="N201" t="s">
        <v>118</v>
      </c>
      <c r="O201" t="s">
        <v>1345</v>
      </c>
    </row>
    <row r="202" spans="1:15" x14ac:dyDescent="0.3">
      <c r="A202" s="130">
        <v>997</v>
      </c>
      <c r="B202" s="130">
        <v>60</v>
      </c>
      <c r="C202" s="130" t="s">
        <v>1826</v>
      </c>
      <c r="D202">
        <v>2670</v>
      </c>
      <c r="E202" s="130">
        <v>34209835</v>
      </c>
      <c r="F202" t="s">
        <v>87</v>
      </c>
      <c r="G202">
        <v>77</v>
      </c>
      <c r="H202" t="s">
        <v>8953</v>
      </c>
      <c r="I202" s="130">
        <v>10</v>
      </c>
      <c r="J202" t="s">
        <v>1826</v>
      </c>
      <c r="K202" t="s">
        <v>95</v>
      </c>
      <c r="L202" t="s">
        <v>8953</v>
      </c>
      <c r="M202" t="s">
        <v>97</v>
      </c>
      <c r="N202" t="s">
        <v>118</v>
      </c>
      <c r="O202" t="s">
        <v>1345</v>
      </c>
    </row>
    <row r="203" spans="1:15" x14ac:dyDescent="0.3">
      <c r="A203" s="130">
        <v>1002</v>
      </c>
      <c r="B203" s="130">
        <v>5</v>
      </c>
      <c r="C203" s="130" t="s">
        <v>1827</v>
      </c>
      <c r="D203">
        <v>2683</v>
      </c>
      <c r="E203" s="131">
        <v>36404021</v>
      </c>
      <c r="F203" t="s">
        <v>87</v>
      </c>
      <c r="G203">
        <v>358</v>
      </c>
      <c r="H203" t="s">
        <v>8951</v>
      </c>
      <c r="I203" s="130">
        <v>10</v>
      </c>
      <c r="J203" t="s">
        <v>1827</v>
      </c>
      <c r="K203" t="s">
        <v>108</v>
      </c>
      <c r="L203" t="s">
        <v>8951</v>
      </c>
      <c r="M203" t="s">
        <v>129</v>
      </c>
      <c r="N203" t="s">
        <v>124</v>
      </c>
      <c r="O203" t="s">
        <v>116</v>
      </c>
    </row>
    <row r="204" spans="1:15" x14ac:dyDescent="0.3">
      <c r="A204" s="130">
        <v>1020</v>
      </c>
      <c r="B204" s="130">
        <v>60</v>
      </c>
      <c r="C204" s="130" t="s">
        <v>1828</v>
      </c>
      <c r="D204">
        <v>1630</v>
      </c>
      <c r="E204" s="131">
        <v>33592510</v>
      </c>
      <c r="F204" t="s">
        <v>87</v>
      </c>
      <c r="G204">
        <v>77</v>
      </c>
      <c r="H204" t="s">
        <v>8952</v>
      </c>
      <c r="I204" s="131">
        <v>44</v>
      </c>
      <c r="J204" t="s">
        <v>1828</v>
      </c>
      <c r="K204" t="s">
        <v>95</v>
      </c>
      <c r="L204" t="s">
        <v>8952</v>
      </c>
      <c r="M204" t="s">
        <v>97</v>
      </c>
      <c r="N204" t="s">
        <v>118</v>
      </c>
      <c r="O204" t="s">
        <v>1345</v>
      </c>
    </row>
    <row r="205" spans="1:15" x14ac:dyDescent="0.3">
      <c r="A205" s="130">
        <v>1026</v>
      </c>
      <c r="B205" s="130">
        <v>30</v>
      </c>
      <c r="C205" s="130" t="s">
        <v>1829</v>
      </c>
      <c r="D205">
        <v>2703</v>
      </c>
      <c r="E205" s="130">
        <v>33000167</v>
      </c>
      <c r="F205" t="s">
        <v>87</v>
      </c>
      <c r="G205">
        <v>78</v>
      </c>
      <c r="H205" t="s">
        <v>8953</v>
      </c>
      <c r="I205" s="131">
        <v>24</v>
      </c>
      <c r="J205" t="s">
        <v>1829</v>
      </c>
      <c r="K205" t="s">
        <v>95</v>
      </c>
      <c r="L205" t="s">
        <v>8953</v>
      </c>
      <c r="M205" t="s">
        <v>103</v>
      </c>
      <c r="N205" t="s">
        <v>114</v>
      </c>
      <c r="O205" t="s">
        <v>1345</v>
      </c>
    </row>
    <row r="206" spans="1:15" x14ac:dyDescent="0.3">
      <c r="A206" s="130">
        <v>1031</v>
      </c>
      <c r="B206" s="130">
        <v>30</v>
      </c>
      <c r="C206" s="130" t="s">
        <v>1830</v>
      </c>
      <c r="D206">
        <v>2707</v>
      </c>
      <c r="E206" s="130">
        <v>4060779</v>
      </c>
      <c r="F206" t="s">
        <v>87</v>
      </c>
      <c r="G206">
        <v>78</v>
      </c>
      <c r="H206" t="s">
        <v>8951</v>
      </c>
      <c r="I206" s="130">
        <v>24</v>
      </c>
      <c r="J206" t="s">
        <v>1830</v>
      </c>
      <c r="K206" t="s">
        <v>95</v>
      </c>
      <c r="L206" t="s">
        <v>8951</v>
      </c>
      <c r="M206" t="s">
        <v>103</v>
      </c>
      <c r="N206" t="s">
        <v>118</v>
      </c>
      <c r="O206" t="s">
        <v>116</v>
      </c>
    </row>
    <row r="207" spans="1:15" x14ac:dyDescent="0.3">
      <c r="A207" s="130">
        <v>1033</v>
      </c>
      <c r="B207" s="130">
        <v>28</v>
      </c>
      <c r="C207" s="130" t="s">
        <v>1831</v>
      </c>
      <c r="D207">
        <v>2710</v>
      </c>
      <c r="E207" s="130">
        <v>29060647</v>
      </c>
      <c r="F207" t="s">
        <v>87</v>
      </c>
      <c r="G207">
        <v>78</v>
      </c>
      <c r="H207" t="s">
        <v>8952</v>
      </c>
      <c r="I207" s="130">
        <v>26</v>
      </c>
      <c r="J207" t="s">
        <v>1831</v>
      </c>
      <c r="K207" t="s">
        <v>108</v>
      </c>
      <c r="L207" t="s">
        <v>8952</v>
      </c>
      <c r="M207" t="s">
        <v>130</v>
      </c>
      <c r="N207" t="s">
        <v>98</v>
      </c>
      <c r="O207" t="s">
        <v>116</v>
      </c>
    </row>
    <row r="208" spans="1:15" x14ac:dyDescent="0.3">
      <c r="A208" s="130">
        <v>1040</v>
      </c>
      <c r="B208" s="130">
        <v>18</v>
      </c>
      <c r="C208" s="130" t="s">
        <v>1832</v>
      </c>
      <c r="D208">
        <v>2725</v>
      </c>
      <c r="E208" s="131">
        <v>83646547</v>
      </c>
      <c r="F208" t="s">
        <v>87</v>
      </c>
      <c r="G208">
        <v>358</v>
      </c>
      <c r="H208" t="s">
        <v>8953</v>
      </c>
      <c r="I208" s="130">
        <v>10</v>
      </c>
      <c r="J208" t="s">
        <v>1832</v>
      </c>
      <c r="K208" t="s">
        <v>108</v>
      </c>
      <c r="L208" t="s">
        <v>8953</v>
      </c>
      <c r="M208" t="s">
        <v>112</v>
      </c>
      <c r="N208" t="s">
        <v>98</v>
      </c>
      <c r="O208" t="s">
        <v>1345</v>
      </c>
    </row>
    <row r="209" spans="1:15" x14ac:dyDescent="0.3">
      <c r="A209" s="130">
        <v>1049</v>
      </c>
      <c r="B209" s="130">
        <v>60</v>
      </c>
      <c r="C209" s="130" t="s">
        <v>1833</v>
      </c>
      <c r="D209">
        <v>2731</v>
      </c>
      <c r="E209" s="130">
        <v>34209835</v>
      </c>
      <c r="F209" t="s">
        <v>87</v>
      </c>
      <c r="G209">
        <v>77</v>
      </c>
      <c r="H209" t="s">
        <v>8951</v>
      </c>
      <c r="I209" s="130">
        <v>10</v>
      </c>
      <c r="J209" t="s">
        <v>1833</v>
      </c>
      <c r="K209" t="s">
        <v>95</v>
      </c>
      <c r="L209" t="s">
        <v>8951</v>
      </c>
      <c r="M209" t="s">
        <v>97</v>
      </c>
      <c r="N209" t="s">
        <v>118</v>
      </c>
      <c r="O209" t="s">
        <v>1345</v>
      </c>
    </row>
    <row r="210" spans="1:15" x14ac:dyDescent="0.3">
      <c r="A210" s="130">
        <v>1052</v>
      </c>
      <c r="B210" s="130">
        <v>30</v>
      </c>
      <c r="C210" s="130" t="s">
        <v>1834</v>
      </c>
      <c r="D210">
        <v>2733</v>
      </c>
      <c r="E210" s="130">
        <v>8928273</v>
      </c>
      <c r="F210" t="s">
        <v>87</v>
      </c>
      <c r="G210">
        <v>358</v>
      </c>
      <c r="H210" t="s">
        <v>8952</v>
      </c>
      <c r="I210" s="130">
        <v>3</v>
      </c>
      <c r="J210" t="s">
        <v>1834</v>
      </c>
      <c r="K210" t="s">
        <v>95</v>
      </c>
      <c r="L210" t="s">
        <v>8952</v>
      </c>
      <c r="M210" t="s">
        <v>103</v>
      </c>
      <c r="N210" t="s">
        <v>124</v>
      </c>
      <c r="O210" t="s">
        <v>1345</v>
      </c>
    </row>
    <row r="211" spans="1:15" x14ac:dyDescent="0.3">
      <c r="A211" s="130">
        <v>1059</v>
      </c>
      <c r="B211" s="130">
        <v>15</v>
      </c>
      <c r="C211" s="130" t="s">
        <v>1835</v>
      </c>
      <c r="D211">
        <v>2701</v>
      </c>
      <c r="E211" s="130">
        <v>33572408</v>
      </c>
      <c r="F211" t="s">
        <v>87</v>
      </c>
      <c r="G211">
        <v>78</v>
      </c>
      <c r="H211" t="s">
        <v>8953</v>
      </c>
      <c r="I211" s="131">
        <v>24</v>
      </c>
      <c r="J211" t="s">
        <v>1835</v>
      </c>
      <c r="K211" t="s">
        <v>95</v>
      </c>
      <c r="L211" t="s">
        <v>8953</v>
      </c>
      <c r="M211" t="s">
        <v>145</v>
      </c>
      <c r="N211" t="s">
        <v>98</v>
      </c>
      <c r="O211" t="s">
        <v>1345</v>
      </c>
    </row>
    <row r="212" spans="1:15" x14ac:dyDescent="0.3">
      <c r="A212" s="130">
        <v>1060</v>
      </c>
      <c r="B212" s="130">
        <v>18</v>
      </c>
      <c r="C212" s="130" t="s">
        <v>1836</v>
      </c>
      <c r="D212">
        <v>2743</v>
      </c>
      <c r="E212" s="130">
        <v>27331222</v>
      </c>
      <c r="F212" t="s">
        <v>87</v>
      </c>
      <c r="G212">
        <v>78</v>
      </c>
      <c r="H212" t="s">
        <v>8951</v>
      </c>
      <c r="I212" s="130">
        <v>9</v>
      </c>
      <c r="J212" t="s">
        <v>1836</v>
      </c>
      <c r="K212" t="s">
        <v>95</v>
      </c>
      <c r="L212" t="s">
        <v>8951</v>
      </c>
      <c r="M212" t="s">
        <v>112</v>
      </c>
      <c r="N212" t="s">
        <v>98</v>
      </c>
      <c r="O212" t="s">
        <v>1345</v>
      </c>
    </row>
    <row r="213" spans="1:15" x14ac:dyDescent="0.3">
      <c r="A213" s="130">
        <v>1066</v>
      </c>
      <c r="B213" s="130">
        <v>18</v>
      </c>
      <c r="C213" s="130" t="s">
        <v>1837</v>
      </c>
      <c r="D213">
        <v>2750</v>
      </c>
      <c r="E213" s="131">
        <v>68878552</v>
      </c>
      <c r="F213" t="s">
        <v>87</v>
      </c>
      <c r="G213">
        <v>78</v>
      </c>
      <c r="H213" t="s">
        <v>8952</v>
      </c>
      <c r="I213" s="131">
        <v>9</v>
      </c>
      <c r="J213" t="s">
        <v>1837</v>
      </c>
      <c r="K213" t="s">
        <v>95</v>
      </c>
      <c r="L213" t="s">
        <v>8952</v>
      </c>
      <c r="M213" t="s">
        <v>112</v>
      </c>
      <c r="N213" t="s">
        <v>98</v>
      </c>
      <c r="O213" t="s">
        <v>1345</v>
      </c>
    </row>
    <row r="214" spans="1:15" x14ac:dyDescent="0.3">
      <c r="A214" s="130">
        <v>1092</v>
      </c>
      <c r="B214" s="130">
        <v>30</v>
      </c>
      <c r="C214" s="130" t="s">
        <v>1838</v>
      </c>
      <c r="D214">
        <v>2780</v>
      </c>
      <c r="E214" s="130">
        <v>8928273</v>
      </c>
      <c r="F214" t="s">
        <v>87</v>
      </c>
      <c r="G214">
        <v>358</v>
      </c>
      <c r="H214" t="s">
        <v>8953</v>
      </c>
      <c r="I214" s="130">
        <v>19</v>
      </c>
      <c r="J214" t="s">
        <v>1838</v>
      </c>
      <c r="K214" t="s">
        <v>95</v>
      </c>
      <c r="L214" t="s">
        <v>8953</v>
      </c>
      <c r="M214" t="s">
        <v>103</v>
      </c>
      <c r="N214" t="s">
        <v>98</v>
      </c>
      <c r="O214" t="s">
        <v>1345</v>
      </c>
    </row>
    <row r="215" spans="1:15" x14ac:dyDescent="0.3">
      <c r="A215" s="130">
        <v>1094</v>
      </c>
      <c r="B215" s="130">
        <v>30</v>
      </c>
      <c r="C215" s="130" t="s">
        <v>1839</v>
      </c>
      <c r="D215">
        <v>2781</v>
      </c>
      <c r="E215" s="131">
        <v>18715383</v>
      </c>
      <c r="F215" t="s">
        <v>87</v>
      </c>
      <c r="G215">
        <v>77</v>
      </c>
      <c r="H215" t="s">
        <v>8951</v>
      </c>
      <c r="I215" s="130">
        <v>2</v>
      </c>
      <c r="J215" t="s">
        <v>1839</v>
      </c>
      <c r="K215" t="s">
        <v>95</v>
      </c>
      <c r="L215" t="s">
        <v>8951</v>
      </c>
      <c r="M215" t="s">
        <v>103</v>
      </c>
      <c r="N215" t="s">
        <v>131</v>
      </c>
      <c r="O215" t="s">
        <v>1345</v>
      </c>
    </row>
    <row r="216" spans="1:15" x14ac:dyDescent="0.3">
      <c r="A216" s="130">
        <v>1098</v>
      </c>
      <c r="B216" s="131">
        <v>18</v>
      </c>
      <c r="C216" s="130" t="s">
        <v>1840</v>
      </c>
      <c r="D216">
        <v>2786</v>
      </c>
      <c r="E216" s="131">
        <v>21642670</v>
      </c>
      <c r="F216" t="s">
        <v>87</v>
      </c>
      <c r="G216">
        <v>78</v>
      </c>
      <c r="H216" t="s">
        <v>8952</v>
      </c>
      <c r="I216" s="131">
        <v>26</v>
      </c>
      <c r="J216" t="s">
        <v>1840</v>
      </c>
      <c r="K216" t="s">
        <v>108</v>
      </c>
      <c r="L216" t="s">
        <v>8952</v>
      </c>
      <c r="M216" t="s">
        <v>112</v>
      </c>
      <c r="N216" t="s">
        <v>98</v>
      </c>
      <c r="O216" t="s">
        <v>1345</v>
      </c>
    </row>
    <row r="217" spans="1:15" x14ac:dyDescent="0.3">
      <c r="A217" s="130">
        <v>1102</v>
      </c>
      <c r="B217" s="130">
        <v>30</v>
      </c>
      <c r="C217" s="130" t="s">
        <v>1841</v>
      </c>
      <c r="D217">
        <v>2794</v>
      </c>
      <c r="E217" s="130">
        <v>73305997</v>
      </c>
      <c r="F217" t="s">
        <v>87</v>
      </c>
      <c r="G217">
        <v>78</v>
      </c>
      <c r="H217" t="s">
        <v>8953</v>
      </c>
      <c r="I217" s="130">
        <v>9</v>
      </c>
      <c r="J217" t="s">
        <v>1841</v>
      </c>
      <c r="K217" t="s">
        <v>95</v>
      </c>
      <c r="L217" t="s">
        <v>8953</v>
      </c>
      <c r="M217" t="s">
        <v>103</v>
      </c>
      <c r="N217" t="s">
        <v>98</v>
      </c>
      <c r="O217" t="s">
        <v>116</v>
      </c>
    </row>
    <row r="218" spans="1:15" x14ac:dyDescent="0.3">
      <c r="A218" s="130">
        <v>1117</v>
      </c>
      <c r="B218" s="130">
        <v>18</v>
      </c>
      <c r="C218" s="130" t="s">
        <v>1842</v>
      </c>
      <c r="D218">
        <v>2816</v>
      </c>
      <c r="E218" s="130">
        <v>19022687</v>
      </c>
      <c r="F218" t="s">
        <v>87</v>
      </c>
      <c r="G218">
        <v>358</v>
      </c>
      <c r="H218" t="s">
        <v>8951</v>
      </c>
      <c r="I218" s="130">
        <v>3</v>
      </c>
      <c r="J218" t="s">
        <v>1842</v>
      </c>
      <c r="K218" t="s">
        <v>108</v>
      </c>
      <c r="L218" t="s">
        <v>8951</v>
      </c>
      <c r="M218" t="s">
        <v>112</v>
      </c>
      <c r="N218" t="s">
        <v>114</v>
      </c>
      <c r="O218" t="s">
        <v>116</v>
      </c>
    </row>
    <row r="219" spans="1:15" x14ac:dyDescent="0.3">
      <c r="A219" s="130">
        <v>1119</v>
      </c>
      <c r="B219" s="130">
        <v>0</v>
      </c>
      <c r="C219" s="130" t="s">
        <v>1843</v>
      </c>
      <c r="D219">
        <v>2819</v>
      </c>
      <c r="E219" s="130">
        <v>15334752</v>
      </c>
      <c r="F219" t="s">
        <v>87</v>
      </c>
      <c r="G219">
        <v>358</v>
      </c>
      <c r="H219" t="s">
        <v>8952</v>
      </c>
      <c r="I219" s="130">
        <v>9</v>
      </c>
      <c r="J219" t="s">
        <v>1843</v>
      </c>
      <c r="K219" t="s">
        <v>108</v>
      </c>
      <c r="L219" t="s">
        <v>8952</v>
      </c>
      <c r="M219" t="s">
        <v>100</v>
      </c>
      <c r="N219" t="s">
        <v>98</v>
      </c>
      <c r="O219" t="s">
        <v>1345</v>
      </c>
    </row>
    <row r="220" spans="1:15" x14ac:dyDescent="0.3">
      <c r="A220" s="130">
        <v>1137</v>
      </c>
      <c r="B220" s="130">
        <v>30</v>
      </c>
      <c r="C220" s="130" t="s">
        <v>1844</v>
      </c>
      <c r="D220">
        <v>2825</v>
      </c>
      <c r="E220" s="130">
        <v>13623957</v>
      </c>
      <c r="F220" t="s">
        <v>87</v>
      </c>
      <c r="G220">
        <v>358</v>
      </c>
      <c r="H220" t="s">
        <v>8953</v>
      </c>
      <c r="I220" s="130">
        <v>3</v>
      </c>
      <c r="J220" t="s">
        <v>1844</v>
      </c>
      <c r="K220" t="s">
        <v>95</v>
      </c>
      <c r="L220" t="s">
        <v>8953</v>
      </c>
      <c r="M220" t="s">
        <v>103</v>
      </c>
      <c r="N220" t="s">
        <v>98</v>
      </c>
      <c r="O220" t="s">
        <v>116</v>
      </c>
    </row>
    <row r="221" spans="1:15" x14ac:dyDescent="0.3">
      <c r="A221" s="130">
        <v>1143</v>
      </c>
      <c r="B221" s="130">
        <v>18</v>
      </c>
      <c r="C221" s="130" t="s">
        <v>1845</v>
      </c>
      <c r="D221">
        <v>2850</v>
      </c>
      <c r="E221" s="131">
        <v>8054995</v>
      </c>
      <c r="F221" t="s">
        <v>87</v>
      </c>
      <c r="G221">
        <v>358</v>
      </c>
      <c r="H221" t="s">
        <v>8951</v>
      </c>
      <c r="I221" s="130">
        <v>10</v>
      </c>
      <c r="J221" t="s">
        <v>1845</v>
      </c>
      <c r="K221" t="s">
        <v>95</v>
      </c>
      <c r="L221" t="s">
        <v>8951</v>
      </c>
      <c r="M221" t="s">
        <v>112</v>
      </c>
      <c r="N221" t="s">
        <v>98</v>
      </c>
      <c r="O221" t="s">
        <v>1345</v>
      </c>
    </row>
    <row r="222" spans="1:15" x14ac:dyDescent="0.3">
      <c r="A222" s="130">
        <v>1144</v>
      </c>
      <c r="B222" s="130">
        <v>60</v>
      </c>
      <c r="C222" s="130" t="s">
        <v>1846</v>
      </c>
      <c r="D222">
        <v>2852</v>
      </c>
      <c r="E222" s="130">
        <v>17185786</v>
      </c>
      <c r="F222" t="s">
        <v>87</v>
      </c>
      <c r="G222">
        <v>78</v>
      </c>
      <c r="H222" t="s">
        <v>8952</v>
      </c>
      <c r="I222" s="130">
        <v>2</v>
      </c>
      <c r="J222" t="s">
        <v>1846</v>
      </c>
      <c r="K222" t="s">
        <v>95</v>
      </c>
      <c r="L222" t="s">
        <v>8952</v>
      </c>
      <c r="M222" t="s">
        <v>97</v>
      </c>
      <c r="N222" t="s">
        <v>98</v>
      </c>
      <c r="O222" t="s">
        <v>116</v>
      </c>
    </row>
    <row r="223" spans="1:15" x14ac:dyDescent="0.3">
      <c r="A223" s="130">
        <v>1154</v>
      </c>
      <c r="B223" s="130">
        <v>60</v>
      </c>
      <c r="C223" s="130" t="s">
        <v>1847</v>
      </c>
      <c r="D223">
        <v>203687</v>
      </c>
      <c r="E223" s="131">
        <v>23637697</v>
      </c>
      <c r="F223" t="s">
        <v>87</v>
      </c>
      <c r="G223">
        <v>77</v>
      </c>
      <c r="H223" t="s">
        <v>8953</v>
      </c>
      <c r="I223" s="130">
        <v>24</v>
      </c>
      <c r="J223" t="s">
        <v>1847</v>
      </c>
      <c r="K223" t="s">
        <v>95</v>
      </c>
      <c r="L223" t="s">
        <v>8953</v>
      </c>
      <c r="M223" t="s">
        <v>97</v>
      </c>
      <c r="N223" t="s">
        <v>114</v>
      </c>
      <c r="O223" t="s">
        <v>1345</v>
      </c>
    </row>
    <row r="224" spans="1:15" x14ac:dyDescent="0.3">
      <c r="A224" s="130">
        <v>1198</v>
      </c>
      <c r="B224" s="130">
        <v>30</v>
      </c>
      <c r="C224" s="130" t="s">
        <v>1848</v>
      </c>
      <c r="D224">
        <v>2931</v>
      </c>
      <c r="E224" s="131">
        <v>82502196</v>
      </c>
      <c r="F224" t="s">
        <v>87</v>
      </c>
      <c r="G224">
        <v>78</v>
      </c>
      <c r="H224" t="s">
        <v>8951</v>
      </c>
      <c r="I224" s="131">
        <v>10</v>
      </c>
      <c r="J224" t="s">
        <v>1848</v>
      </c>
      <c r="K224" t="s">
        <v>95</v>
      </c>
      <c r="L224" t="s">
        <v>8951</v>
      </c>
      <c r="M224" t="s">
        <v>103</v>
      </c>
      <c r="N224" t="s">
        <v>118</v>
      </c>
      <c r="O224" t="s">
        <v>1345</v>
      </c>
    </row>
    <row r="225" spans="1:15" x14ac:dyDescent="0.3">
      <c r="A225" s="130">
        <v>1213</v>
      </c>
      <c r="B225" s="130" t="s">
        <v>1350</v>
      </c>
      <c r="C225" s="130" t="s">
        <v>1849</v>
      </c>
      <c r="D225">
        <v>2953</v>
      </c>
      <c r="E225" s="131">
        <v>14855630</v>
      </c>
      <c r="F225" t="s">
        <v>87</v>
      </c>
      <c r="G225">
        <v>358</v>
      </c>
      <c r="H225" t="s">
        <v>8952</v>
      </c>
      <c r="I225" s="130">
        <v>24</v>
      </c>
      <c r="J225" t="s">
        <v>1849</v>
      </c>
      <c r="K225" t="s">
        <v>95</v>
      </c>
      <c r="L225" t="s">
        <v>8952</v>
      </c>
      <c r="M225" t="s">
        <v>1351</v>
      </c>
      <c r="N225" t="s">
        <v>114</v>
      </c>
      <c r="O225" t="s">
        <v>1345</v>
      </c>
    </row>
    <row r="226" spans="1:15" x14ac:dyDescent="0.3">
      <c r="A226" s="130">
        <v>1215</v>
      </c>
      <c r="B226" s="130">
        <v>30</v>
      </c>
      <c r="C226" s="130" t="s">
        <v>1850</v>
      </c>
      <c r="D226">
        <v>2958</v>
      </c>
      <c r="E226" s="130">
        <v>5451496</v>
      </c>
      <c r="F226" t="s">
        <v>87</v>
      </c>
      <c r="G226">
        <v>78</v>
      </c>
      <c r="H226" t="s">
        <v>8953</v>
      </c>
      <c r="I226" s="130">
        <v>2</v>
      </c>
      <c r="J226" t="s">
        <v>1850</v>
      </c>
      <c r="K226" t="s">
        <v>95</v>
      </c>
      <c r="L226" t="s">
        <v>8953</v>
      </c>
      <c r="M226" t="s">
        <v>103</v>
      </c>
      <c r="N226" t="s">
        <v>101</v>
      </c>
      <c r="O226" t="s">
        <v>1345</v>
      </c>
    </row>
    <row r="227" spans="1:15" x14ac:dyDescent="0.3">
      <c r="A227" s="130">
        <v>1221</v>
      </c>
      <c r="B227" s="130">
        <v>20</v>
      </c>
      <c r="C227" s="130" t="s">
        <v>1851</v>
      </c>
      <c r="D227">
        <v>2968</v>
      </c>
      <c r="E227" s="130">
        <v>132114</v>
      </c>
      <c r="F227" t="s">
        <v>87</v>
      </c>
      <c r="G227">
        <v>358</v>
      </c>
      <c r="H227" t="s">
        <v>8951</v>
      </c>
      <c r="I227" s="131">
        <v>10</v>
      </c>
      <c r="J227" t="s">
        <v>1851</v>
      </c>
      <c r="K227" t="s">
        <v>95</v>
      </c>
      <c r="L227" t="s">
        <v>8951</v>
      </c>
      <c r="M227" t="s">
        <v>148</v>
      </c>
      <c r="N227" t="s">
        <v>98</v>
      </c>
      <c r="O227" t="s">
        <v>1345</v>
      </c>
    </row>
    <row r="228" spans="1:15" x14ac:dyDescent="0.3">
      <c r="A228" s="130">
        <v>1227</v>
      </c>
      <c r="B228" s="130">
        <v>18</v>
      </c>
      <c r="C228" s="130" t="s">
        <v>1852</v>
      </c>
      <c r="D228">
        <v>2979</v>
      </c>
      <c r="E228" s="130">
        <v>2265872</v>
      </c>
      <c r="F228" t="s">
        <v>87</v>
      </c>
      <c r="G228">
        <v>358</v>
      </c>
      <c r="H228" t="s">
        <v>8952</v>
      </c>
      <c r="I228" s="130">
        <v>3</v>
      </c>
      <c r="J228" t="s">
        <v>1852</v>
      </c>
      <c r="K228" t="s">
        <v>95</v>
      </c>
      <c r="L228" t="s">
        <v>8952</v>
      </c>
      <c r="M228" t="s">
        <v>112</v>
      </c>
      <c r="N228" t="s">
        <v>98</v>
      </c>
      <c r="O228" t="s">
        <v>1345</v>
      </c>
    </row>
    <row r="229" spans="1:15" x14ac:dyDescent="0.3">
      <c r="A229" s="130">
        <v>1228</v>
      </c>
      <c r="B229" s="130">
        <v>18</v>
      </c>
      <c r="C229" s="130" t="s">
        <v>1853</v>
      </c>
      <c r="D229">
        <v>2980</v>
      </c>
      <c r="E229" s="131">
        <v>2265872</v>
      </c>
      <c r="F229" t="s">
        <v>87</v>
      </c>
      <c r="G229">
        <v>358</v>
      </c>
      <c r="H229" t="s">
        <v>8953</v>
      </c>
      <c r="I229" s="131">
        <v>3</v>
      </c>
      <c r="J229" t="s">
        <v>1853</v>
      </c>
      <c r="K229" t="s">
        <v>95</v>
      </c>
      <c r="L229" t="s">
        <v>8953</v>
      </c>
      <c r="M229" t="s">
        <v>112</v>
      </c>
      <c r="N229" t="s">
        <v>98</v>
      </c>
      <c r="O229" t="s">
        <v>1345</v>
      </c>
    </row>
    <row r="230" spans="1:15" x14ac:dyDescent="0.3">
      <c r="A230" s="130">
        <v>1229</v>
      </c>
      <c r="B230" s="130">
        <v>18</v>
      </c>
      <c r="C230" s="130" t="s">
        <v>1854</v>
      </c>
      <c r="D230">
        <v>2981</v>
      </c>
      <c r="E230" s="130">
        <v>2265872</v>
      </c>
      <c r="F230" t="s">
        <v>87</v>
      </c>
      <c r="G230">
        <v>358</v>
      </c>
      <c r="H230" t="s">
        <v>8951</v>
      </c>
      <c r="I230" s="131">
        <v>3</v>
      </c>
      <c r="J230" t="s">
        <v>1854</v>
      </c>
      <c r="K230" t="s">
        <v>95</v>
      </c>
      <c r="L230" t="s">
        <v>8951</v>
      </c>
      <c r="M230" t="s">
        <v>112</v>
      </c>
      <c r="N230" t="s">
        <v>98</v>
      </c>
      <c r="O230" t="s">
        <v>1345</v>
      </c>
    </row>
    <row r="231" spans="1:15" x14ac:dyDescent="0.3">
      <c r="A231" s="130">
        <v>1236</v>
      </c>
      <c r="B231" s="130">
        <v>30</v>
      </c>
      <c r="C231" s="130" t="s">
        <v>1855</v>
      </c>
      <c r="D231">
        <v>2988</v>
      </c>
      <c r="E231" s="130">
        <v>5325014</v>
      </c>
      <c r="F231" t="s">
        <v>87</v>
      </c>
      <c r="G231">
        <v>78</v>
      </c>
      <c r="H231" t="s">
        <v>8952</v>
      </c>
      <c r="I231" s="130">
        <v>9</v>
      </c>
      <c r="J231" t="s">
        <v>1855</v>
      </c>
      <c r="K231" t="s">
        <v>108</v>
      </c>
      <c r="L231" t="s">
        <v>8952</v>
      </c>
      <c r="M231" t="s">
        <v>103</v>
      </c>
      <c r="N231" t="s">
        <v>98</v>
      </c>
      <c r="O231" t="s">
        <v>1345</v>
      </c>
    </row>
    <row r="232" spans="1:15" x14ac:dyDescent="0.3">
      <c r="A232" s="130">
        <v>1240</v>
      </c>
      <c r="B232" s="130">
        <v>10</v>
      </c>
      <c r="C232" s="130" t="s">
        <v>1856</v>
      </c>
      <c r="D232">
        <v>2994</v>
      </c>
      <c r="E232" s="130">
        <v>19758842</v>
      </c>
      <c r="F232" t="s">
        <v>87</v>
      </c>
      <c r="G232">
        <v>78</v>
      </c>
      <c r="H232" t="s">
        <v>8953</v>
      </c>
      <c r="I232" s="130">
        <v>38</v>
      </c>
      <c r="J232" t="s">
        <v>1856</v>
      </c>
      <c r="K232" t="s">
        <v>108</v>
      </c>
      <c r="L232" t="s">
        <v>8953</v>
      </c>
      <c r="M232" t="s">
        <v>133</v>
      </c>
      <c r="N232" t="s">
        <v>98</v>
      </c>
      <c r="O232" t="s">
        <v>1345</v>
      </c>
    </row>
    <row r="233" spans="1:15" x14ac:dyDescent="0.3">
      <c r="A233" s="130">
        <v>1241</v>
      </c>
      <c r="B233" s="131">
        <v>18</v>
      </c>
      <c r="C233" s="130" t="s">
        <v>1857</v>
      </c>
      <c r="D233">
        <v>2972</v>
      </c>
      <c r="E233" s="130">
        <v>54183587</v>
      </c>
      <c r="F233" t="s">
        <v>87</v>
      </c>
      <c r="G233">
        <v>358</v>
      </c>
      <c r="H233" t="s">
        <v>8951</v>
      </c>
      <c r="I233" s="130">
        <v>3</v>
      </c>
      <c r="J233" t="s">
        <v>1857</v>
      </c>
      <c r="K233" t="s">
        <v>95</v>
      </c>
      <c r="L233" t="s">
        <v>8951</v>
      </c>
      <c r="M233" t="s">
        <v>112</v>
      </c>
      <c r="N233" t="s">
        <v>114</v>
      </c>
      <c r="O233" t="s">
        <v>1345</v>
      </c>
    </row>
    <row r="234" spans="1:15" x14ac:dyDescent="0.3">
      <c r="A234" s="130">
        <v>1242</v>
      </c>
      <c r="B234" s="130">
        <v>60</v>
      </c>
      <c r="C234" s="130" t="s">
        <v>1858</v>
      </c>
      <c r="D234">
        <v>2995</v>
      </c>
      <c r="E234" s="131">
        <v>34209835</v>
      </c>
      <c r="F234" t="s">
        <v>87</v>
      </c>
      <c r="G234">
        <v>77</v>
      </c>
      <c r="H234" t="s">
        <v>8952</v>
      </c>
      <c r="I234" s="131">
        <v>3</v>
      </c>
      <c r="J234" t="s">
        <v>1858</v>
      </c>
      <c r="K234" t="s">
        <v>95</v>
      </c>
      <c r="L234" t="s">
        <v>8952</v>
      </c>
      <c r="M234" t="s">
        <v>97</v>
      </c>
      <c r="N234" t="s">
        <v>98</v>
      </c>
      <c r="O234" t="s">
        <v>116</v>
      </c>
    </row>
    <row r="235" spans="1:15" x14ac:dyDescent="0.3">
      <c r="A235" s="130">
        <v>1245</v>
      </c>
      <c r="B235" s="130">
        <v>60</v>
      </c>
      <c r="C235" s="130" t="s">
        <v>1859</v>
      </c>
      <c r="D235">
        <v>3004</v>
      </c>
      <c r="E235" s="131">
        <v>34209835</v>
      </c>
      <c r="F235" t="s">
        <v>87</v>
      </c>
      <c r="G235">
        <v>77</v>
      </c>
      <c r="H235" t="s">
        <v>8953</v>
      </c>
      <c r="I235" s="131">
        <v>3</v>
      </c>
      <c r="J235" t="s">
        <v>1859</v>
      </c>
      <c r="K235" t="s">
        <v>95</v>
      </c>
      <c r="L235" t="s">
        <v>8953</v>
      </c>
      <c r="M235" t="s">
        <v>97</v>
      </c>
      <c r="N235" t="s">
        <v>98</v>
      </c>
      <c r="O235" t="s">
        <v>116</v>
      </c>
    </row>
    <row r="236" spans="1:15" x14ac:dyDescent="0.3">
      <c r="A236" s="130">
        <v>1247</v>
      </c>
      <c r="B236" s="130">
        <v>30</v>
      </c>
      <c r="C236" s="130" t="s">
        <v>1860</v>
      </c>
      <c r="D236">
        <v>3005</v>
      </c>
      <c r="E236" s="131">
        <v>1313486</v>
      </c>
      <c r="F236" t="s">
        <v>87</v>
      </c>
      <c r="G236">
        <v>78</v>
      </c>
      <c r="H236" t="s">
        <v>8951</v>
      </c>
      <c r="I236" s="130">
        <v>10</v>
      </c>
      <c r="J236" t="s">
        <v>1860</v>
      </c>
      <c r="K236" t="s">
        <v>108</v>
      </c>
      <c r="L236" t="s">
        <v>8951</v>
      </c>
      <c r="M236" t="s">
        <v>103</v>
      </c>
      <c r="N236" t="s">
        <v>118</v>
      </c>
      <c r="O236" t="s">
        <v>1345</v>
      </c>
    </row>
    <row r="237" spans="1:15" x14ac:dyDescent="0.3">
      <c r="A237" s="130">
        <v>1252</v>
      </c>
      <c r="B237" s="130">
        <v>60</v>
      </c>
      <c r="C237" s="130" t="s">
        <v>1861</v>
      </c>
      <c r="D237">
        <v>3013</v>
      </c>
      <c r="E237" s="130">
        <v>9625762</v>
      </c>
      <c r="F237" t="s">
        <v>87</v>
      </c>
      <c r="G237">
        <v>78</v>
      </c>
      <c r="H237" t="s">
        <v>8952</v>
      </c>
      <c r="I237" s="130">
        <v>43</v>
      </c>
      <c r="J237" t="s">
        <v>1861</v>
      </c>
      <c r="K237" t="s">
        <v>95</v>
      </c>
      <c r="L237" t="s">
        <v>8952</v>
      </c>
      <c r="M237" t="s">
        <v>97</v>
      </c>
      <c r="N237" t="s">
        <v>150</v>
      </c>
      <c r="O237" t="s">
        <v>1345</v>
      </c>
    </row>
    <row r="238" spans="1:15" x14ac:dyDescent="0.3">
      <c r="A238" s="130">
        <v>1255</v>
      </c>
      <c r="B238" s="130">
        <v>18</v>
      </c>
      <c r="C238" s="130" t="s">
        <v>1862</v>
      </c>
      <c r="D238">
        <v>3017</v>
      </c>
      <c r="E238" s="130">
        <v>4133772</v>
      </c>
      <c r="F238" t="s">
        <v>87</v>
      </c>
      <c r="G238">
        <v>78</v>
      </c>
      <c r="H238" t="s">
        <v>8953</v>
      </c>
      <c r="I238" s="130">
        <v>10</v>
      </c>
      <c r="J238" t="s">
        <v>1862</v>
      </c>
      <c r="K238" t="s">
        <v>108</v>
      </c>
      <c r="L238" t="s">
        <v>8953</v>
      </c>
      <c r="M238" t="s">
        <v>112</v>
      </c>
      <c r="N238" t="s">
        <v>98</v>
      </c>
      <c r="O238" t="s">
        <v>1345</v>
      </c>
    </row>
    <row r="239" spans="1:15" x14ac:dyDescent="0.3">
      <c r="A239" s="130">
        <v>1256</v>
      </c>
      <c r="B239" s="130">
        <v>30</v>
      </c>
      <c r="C239" s="130" t="s">
        <v>1863</v>
      </c>
      <c r="D239">
        <v>3020</v>
      </c>
      <c r="E239" s="131">
        <v>13457942</v>
      </c>
      <c r="F239" t="s">
        <v>87</v>
      </c>
      <c r="G239">
        <v>77</v>
      </c>
      <c r="H239" t="s">
        <v>8951</v>
      </c>
      <c r="I239" s="130">
        <v>3</v>
      </c>
      <c r="J239" t="s">
        <v>1863</v>
      </c>
      <c r="K239" t="s">
        <v>95</v>
      </c>
      <c r="L239" t="s">
        <v>8951</v>
      </c>
      <c r="M239" t="s">
        <v>103</v>
      </c>
      <c r="N239" t="s">
        <v>98</v>
      </c>
      <c r="O239" t="s">
        <v>1345</v>
      </c>
    </row>
    <row r="240" spans="1:15" x14ac:dyDescent="0.3">
      <c r="A240" s="130">
        <v>1275</v>
      </c>
      <c r="B240" s="130">
        <v>30</v>
      </c>
      <c r="C240" s="130" t="s">
        <v>1864</v>
      </c>
      <c r="D240">
        <v>3037</v>
      </c>
      <c r="E240" s="131">
        <v>16670085</v>
      </c>
      <c r="F240" t="s">
        <v>87</v>
      </c>
      <c r="G240">
        <v>358</v>
      </c>
      <c r="H240" t="s">
        <v>8952</v>
      </c>
      <c r="I240" s="130">
        <v>14</v>
      </c>
      <c r="J240" t="s">
        <v>1864</v>
      </c>
      <c r="K240" t="s">
        <v>95</v>
      </c>
      <c r="L240" t="s">
        <v>8952</v>
      </c>
      <c r="M240" t="s">
        <v>180</v>
      </c>
      <c r="N240" t="s">
        <v>101</v>
      </c>
      <c r="O240" t="s">
        <v>1345</v>
      </c>
    </row>
    <row r="241" spans="1:15" x14ac:dyDescent="0.3">
      <c r="A241" s="130">
        <v>1276</v>
      </c>
      <c r="B241" s="130">
        <v>30</v>
      </c>
      <c r="C241" s="130" t="s">
        <v>1865</v>
      </c>
      <c r="D241">
        <v>3048</v>
      </c>
      <c r="E241" s="130">
        <v>18540906</v>
      </c>
      <c r="F241" t="s">
        <v>87</v>
      </c>
      <c r="G241">
        <v>78</v>
      </c>
      <c r="H241" t="s">
        <v>8953</v>
      </c>
      <c r="I241" s="131">
        <v>10</v>
      </c>
      <c r="J241" t="s">
        <v>1865</v>
      </c>
      <c r="K241" t="s">
        <v>95</v>
      </c>
      <c r="L241" t="s">
        <v>8953</v>
      </c>
      <c r="M241" t="s">
        <v>103</v>
      </c>
      <c r="N241" t="s">
        <v>118</v>
      </c>
      <c r="O241" t="s">
        <v>1345</v>
      </c>
    </row>
    <row r="242" spans="1:15" x14ac:dyDescent="0.3">
      <c r="A242" s="130">
        <v>1287</v>
      </c>
      <c r="B242" s="130">
        <v>18</v>
      </c>
      <c r="C242" s="130" t="s">
        <v>1866</v>
      </c>
      <c r="D242">
        <v>3059</v>
      </c>
      <c r="E242" s="130">
        <v>42102756</v>
      </c>
      <c r="F242" t="s">
        <v>87</v>
      </c>
      <c r="G242">
        <v>78</v>
      </c>
      <c r="H242" t="s">
        <v>8951</v>
      </c>
      <c r="I242" s="131">
        <v>26</v>
      </c>
      <c r="J242" t="s">
        <v>1866</v>
      </c>
      <c r="K242" t="s">
        <v>95</v>
      </c>
      <c r="L242" t="s">
        <v>8951</v>
      </c>
      <c r="M242" t="s">
        <v>112</v>
      </c>
      <c r="N242" t="s">
        <v>98</v>
      </c>
      <c r="O242" t="s">
        <v>1345</v>
      </c>
    </row>
    <row r="243" spans="1:15" x14ac:dyDescent="0.3">
      <c r="A243" s="130">
        <v>1297</v>
      </c>
      <c r="B243" s="130">
        <v>0</v>
      </c>
      <c r="C243" s="130" t="s">
        <v>1867</v>
      </c>
      <c r="D243">
        <v>216048</v>
      </c>
      <c r="E243" s="130">
        <v>29296671</v>
      </c>
      <c r="F243" t="s">
        <v>87</v>
      </c>
      <c r="G243">
        <v>78</v>
      </c>
      <c r="H243" t="s">
        <v>8952</v>
      </c>
      <c r="I243" s="131">
        <v>10</v>
      </c>
      <c r="J243" t="s">
        <v>1867</v>
      </c>
      <c r="K243" t="s">
        <v>95</v>
      </c>
      <c r="L243" t="s">
        <v>8952</v>
      </c>
      <c r="M243" t="s">
        <v>100</v>
      </c>
      <c r="N243" t="s">
        <v>118</v>
      </c>
      <c r="O243" t="s">
        <v>1345</v>
      </c>
    </row>
    <row r="244" spans="1:15" x14ac:dyDescent="0.3">
      <c r="A244" s="130">
        <v>1300</v>
      </c>
      <c r="B244" s="130">
        <v>60</v>
      </c>
      <c r="C244" s="130" t="s">
        <v>1868</v>
      </c>
      <c r="D244">
        <v>3079</v>
      </c>
      <c r="E244" s="130">
        <v>33592510</v>
      </c>
      <c r="F244" t="s">
        <v>87</v>
      </c>
      <c r="G244">
        <v>77</v>
      </c>
      <c r="H244" t="s">
        <v>8953</v>
      </c>
      <c r="I244" s="131">
        <v>41</v>
      </c>
      <c r="J244" t="s">
        <v>1868</v>
      </c>
      <c r="K244" t="s">
        <v>95</v>
      </c>
      <c r="L244" t="s">
        <v>8953</v>
      </c>
      <c r="M244" t="s">
        <v>97</v>
      </c>
      <c r="N244" t="s">
        <v>118</v>
      </c>
      <c r="O244" t="s">
        <v>1345</v>
      </c>
    </row>
    <row r="245" spans="1:15" x14ac:dyDescent="0.3">
      <c r="A245" s="130">
        <v>1305</v>
      </c>
      <c r="B245" s="130">
        <v>18</v>
      </c>
      <c r="C245" s="130" t="s">
        <v>1869</v>
      </c>
      <c r="D245">
        <v>3087</v>
      </c>
      <c r="E245" s="130">
        <v>26052100</v>
      </c>
      <c r="F245" t="s">
        <v>87</v>
      </c>
      <c r="G245">
        <v>358</v>
      </c>
      <c r="H245" t="s">
        <v>8951</v>
      </c>
      <c r="I245" s="130">
        <v>3</v>
      </c>
      <c r="J245" t="s">
        <v>1869</v>
      </c>
      <c r="K245" t="s">
        <v>108</v>
      </c>
      <c r="L245" t="s">
        <v>8951</v>
      </c>
      <c r="M245" t="s">
        <v>112</v>
      </c>
      <c r="N245" t="s">
        <v>98</v>
      </c>
      <c r="O245" t="s">
        <v>1345</v>
      </c>
    </row>
    <row r="246" spans="1:15" x14ac:dyDescent="0.3">
      <c r="A246" s="130">
        <v>1306</v>
      </c>
      <c r="B246" s="130">
        <v>18</v>
      </c>
      <c r="C246" s="130" t="s">
        <v>1870</v>
      </c>
      <c r="D246">
        <v>3090</v>
      </c>
      <c r="E246" s="130">
        <v>3828767</v>
      </c>
      <c r="F246" t="s">
        <v>87</v>
      </c>
      <c r="G246">
        <v>78</v>
      </c>
      <c r="H246" t="s">
        <v>8952</v>
      </c>
      <c r="I246" s="130">
        <v>18</v>
      </c>
      <c r="J246" t="s">
        <v>1870</v>
      </c>
      <c r="K246" t="s">
        <v>108</v>
      </c>
      <c r="L246" t="s">
        <v>8952</v>
      </c>
      <c r="M246" t="s">
        <v>112</v>
      </c>
      <c r="N246" t="s">
        <v>107</v>
      </c>
      <c r="O246" t="s">
        <v>1345</v>
      </c>
    </row>
    <row r="247" spans="1:15" x14ac:dyDescent="0.3">
      <c r="A247" s="130">
        <v>1331</v>
      </c>
      <c r="B247" s="130">
        <v>18</v>
      </c>
      <c r="C247" s="130" t="s">
        <v>1871</v>
      </c>
      <c r="D247">
        <v>3129</v>
      </c>
      <c r="E247" s="131">
        <v>14742012</v>
      </c>
      <c r="F247" t="s">
        <v>87</v>
      </c>
      <c r="G247">
        <v>78</v>
      </c>
      <c r="H247" t="s">
        <v>8953</v>
      </c>
      <c r="I247" s="131">
        <v>9</v>
      </c>
      <c r="J247" t="s">
        <v>1871</v>
      </c>
      <c r="K247" t="s">
        <v>108</v>
      </c>
      <c r="L247" t="s">
        <v>8953</v>
      </c>
      <c r="M247" t="s">
        <v>112</v>
      </c>
      <c r="N247" t="s">
        <v>98</v>
      </c>
      <c r="O247" t="s">
        <v>1345</v>
      </c>
    </row>
    <row r="248" spans="1:15" x14ac:dyDescent="0.3">
      <c r="A248" s="130">
        <v>1335</v>
      </c>
      <c r="B248" s="130">
        <v>30</v>
      </c>
      <c r="C248" s="130" t="s">
        <v>1872</v>
      </c>
      <c r="D248">
        <v>1908</v>
      </c>
      <c r="E248" s="130">
        <v>22458639</v>
      </c>
      <c r="F248" t="s">
        <v>87</v>
      </c>
      <c r="G248">
        <v>77</v>
      </c>
      <c r="H248" t="s">
        <v>8951</v>
      </c>
      <c r="I248" s="130">
        <v>3</v>
      </c>
      <c r="J248" t="s">
        <v>1872</v>
      </c>
      <c r="K248" t="s">
        <v>95</v>
      </c>
      <c r="L248" t="s">
        <v>8951</v>
      </c>
      <c r="M248" t="s">
        <v>103</v>
      </c>
      <c r="N248" t="s">
        <v>98</v>
      </c>
      <c r="O248" t="s">
        <v>1345</v>
      </c>
    </row>
    <row r="249" spans="1:15" x14ac:dyDescent="0.3">
      <c r="A249" s="130">
        <v>1337</v>
      </c>
      <c r="B249" s="130">
        <v>30</v>
      </c>
      <c r="C249" s="130" t="s">
        <v>1873</v>
      </c>
      <c r="D249">
        <v>215664</v>
      </c>
      <c r="E249" s="130">
        <v>11354235</v>
      </c>
      <c r="F249" t="s">
        <v>87</v>
      </c>
      <c r="G249">
        <v>78</v>
      </c>
      <c r="H249" t="s">
        <v>8952</v>
      </c>
      <c r="I249" s="131">
        <v>10</v>
      </c>
      <c r="J249" t="s">
        <v>1873</v>
      </c>
      <c r="K249" t="s">
        <v>95</v>
      </c>
      <c r="L249" t="s">
        <v>8952</v>
      </c>
      <c r="M249" t="s">
        <v>103</v>
      </c>
      <c r="N249" t="s">
        <v>118</v>
      </c>
      <c r="O249" t="s">
        <v>1345</v>
      </c>
    </row>
    <row r="250" spans="1:15" x14ac:dyDescent="0.3">
      <c r="A250" s="130">
        <v>1346</v>
      </c>
      <c r="B250" s="130">
        <v>30</v>
      </c>
      <c r="C250" s="130" t="s">
        <v>1874</v>
      </c>
      <c r="D250">
        <v>3146</v>
      </c>
      <c r="E250" s="131">
        <v>5642273</v>
      </c>
      <c r="F250" t="s">
        <v>87</v>
      </c>
      <c r="G250">
        <v>78</v>
      </c>
      <c r="H250" t="s">
        <v>8953</v>
      </c>
      <c r="I250" s="130">
        <v>10</v>
      </c>
      <c r="J250" t="s">
        <v>1874</v>
      </c>
      <c r="K250" t="s">
        <v>108</v>
      </c>
      <c r="L250" t="s">
        <v>8953</v>
      </c>
      <c r="M250" t="s">
        <v>103</v>
      </c>
      <c r="N250" t="s">
        <v>118</v>
      </c>
      <c r="O250" t="s">
        <v>1345</v>
      </c>
    </row>
    <row r="251" spans="1:15" x14ac:dyDescent="0.3">
      <c r="A251" s="130">
        <v>1355</v>
      </c>
      <c r="B251" s="130">
        <v>18</v>
      </c>
      <c r="C251" s="130" t="s">
        <v>1875</v>
      </c>
      <c r="D251">
        <v>3152</v>
      </c>
      <c r="E251" s="130">
        <v>21084632</v>
      </c>
      <c r="F251" t="s">
        <v>87</v>
      </c>
      <c r="G251">
        <v>78</v>
      </c>
      <c r="H251" t="s">
        <v>8951</v>
      </c>
      <c r="I251" s="131">
        <v>19</v>
      </c>
      <c r="J251" t="s">
        <v>1875</v>
      </c>
      <c r="K251" t="s">
        <v>108</v>
      </c>
      <c r="L251" t="s">
        <v>8951</v>
      </c>
      <c r="M251" t="s">
        <v>112</v>
      </c>
      <c r="N251" t="s">
        <v>98</v>
      </c>
      <c r="O251" t="s">
        <v>1345</v>
      </c>
    </row>
    <row r="252" spans="1:15" x14ac:dyDescent="0.3">
      <c r="A252" s="130">
        <v>1357</v>
      </c>
      <c r="B252" s="130">
        <v>30</v>
      </c>
      <c r="C252" s="130" t="s">
        <v>1876</v>
      </c>
      <c r="D252">
        <v>3160</v>
      </c>
      <c r="E252" s="131">
        <v>19739564</v>
      </c>
      <c r="F252" t="s">
        <v>87</v>
      </c>
      <c r="G252">
        <v>78</v>
      </c>
      <c r="H252" t="s">
        <v>8952</v>
      </c>
      <c r="I252" s="131">
        <v>3</v>
      </c>
      <c r="J252" t="s">
        <v>1876</v>
      </c>
      <c r="K252" t="s">
        <v>95</v>
      </c>
      <c r="L252" t="s">
        <v>8952</v>
      </c>
      <c r="M252" t="s">
        <v>103</v>
      </c>
      <c r="N252" t="s">
        <v>98</v>
      </c>
      <c r="O252" t="s">
        <v>1345</v>
      </c>
    </row>
    <row r="253" spans="1:15" x14ac:dyDescent="0.3">
      <c r="A253" s="130">
        <v>1360</v>
      </c>
      <c r="B253" s="130">
        <v>60</v>
      </c>
      <c r="C253" s="130" t="s">
        <v>1877</v>
      </c>
      <c r="D253">
        <v>2192</v>
      </c>
      <c r="E253" s="130">
        <v>33592510</v>
      </c>
      <c r="F253" t="s">
        <v>87</v>
      </c>
      <c r="G253">
        <v>77</v>
      </c>
      <c r="H253" t="s">
        <v>8953</v>
      </c>
      <c r="I253" s="130">
        <v>44</v>
      </c>
      <c r="J253" t="s">
        <v>1877</v>
      </c>
      <c r="K253" t="s">
        <v>95</v>
      </c>
      <c r="L253" t="s">
        <v>8953</v>
      </c>
      <c r="M253" t="s">
        <v>97</v>
      </c>
      <c r="N253" t="s">
        <v>118</v>
      </c>
      <c r="O253" t="s">
        <v>1345</v>
      </c>
    </row>
    <row r="254" spans="1:15" x14ac:dyDescent="0.3">
      <c r="A254" s="130">
        <v>1361</v>
      </c>
      <c r="B254" s="130">
        <v>20</v>
      </c>
      <c r="C254" s="130" t="s">
        <v>1878</v>
      </c>
      <c r="D254">
        <v>3169</v>
      </c>
      <c r="E254" s="130">
        <v>29411968</v>
      </c>
      <c r="F254" t="s">
        <v>87</v>
      </c>
      <c r="G254">
        <v>358</v>
      </c>
      <c r="H254" t="s">
        <v>8951</v>
      </c>
      <c r="I254" s="130">
        <v>10</v>
      </c>
      <c r="J254" t="s">
        <v>1878</v>
      </c>
      <c r="K254" t="s">
        <v>108</v>
      </c>
      <c r="L254" t="s">
        <v>8951</v>
      </c>
      <c r="M254" t="s">
        <v>148</v>
      </c>
      <c r="N254" t="s">
        <v>124</v>
      </c>
      <c r="O254" t="s">
        <v>1345</v>
      </c>
    </row>
    <row r="255" spans="1:15" x14ac:dyDescent="0.3">
      <c r="A255" s="130">
        <v>1365</v>
      </c>
      <c r="B255" s="130">
        <v>18</v>
      </c>
      <c r="C255" s="130" t="s">
        <v>1879</v>
      </c>
      <c r="D255">
        <v>3173</v>
      </c>
      <c r="E255" s="130">
        <v>36041973</v>
      </c>
      <c r="F255" t="s">
        <v>87</v>
      </c>
      <c r="G255">
        <v>78</v>
      </c>
      <c r="H255" t="s">
        <v>8952</v>
      </c>
      <c r="I255" s="131">
        <v>26</v>
      </c>
      <c r="J255" t="s">
        <v>1879</v>
      </c>
      <c r="K255" t="s">
        <v>108</v>
      </c>
      <c r="L255" t="s">
        <v>8952</v>
      </c>
      <c r="M255" t="s">
        <v>112</v>
      </c>
      <c r="N255" t="s">
        <v>98</v>
      </c>
      <c r="O255" t="s">
        <v>1345</v>
      </c>
    </row>
    <row r="256" spans="1:15" x14ac:dyDescent="0.3">
      <c r="A256" s="130">
        <v>1367</v>
      </c>
      <c r="B256" s="130">
        <v>18</v>
      </c>
      <c r="C256" s="130" t="s">
        <v>1880</v>
      </c>
      <c r="D256">
        <v>3176</v>
      </c>
      <c r="E256" s="130">
        <v>12028306</v>
      </c>
      <c r="F256" t="s">
        <v>87</v>
      </c>
      <c r="G256">
        <v>358</v>
      </c>
      <c r="H256" t="s">
        <v>8953</v>
      </c>
      <c r="I256" s="130">
        <v>3</v>
      </c>
      <c r="J256" t="s">
        <v>1880</v>
      </c>
      <c r="K256" t="s">
        <v>108</v>
      </c>
      <c r="L256" t="s">
        <v>8953</v>
      </c>
      <c r="M256" t="s">
        <v>112</v>
      </c>
      <c r="N256" t="s">
        <v>101</v>
      </c>
      <c r="O256" t="s">
        <v>116</v>
      </c>
    </row>
    <row r="257" spans="1:15" x14ac:dyDescent="0.3">
      <c r="A257" s="130">
        <v>1369</v>
      </c>
      <c r="B257" s="130">
        <v>15</v>
      </c>
      <c r="C257" s="130" t="s">
        <v>1881</v>
      </c>
      <c r="D257">
        <v>3178</v>
      </c>
      <c r="E257" s="131">
        <v>449291</v>
      </c>
      <c r="F257" t="s">
        <v>87</v>
      </c>
      <c r="G257">
        <v>358</v>
      </c>
      <c r="H257" t="s">
        <v>8951</v>
      </c>
      <c r="I257" s="130">
        <v>24</v>
      </c>
      <c r="J257" t="s">
        <v>1881</v>
      </c>
      <c r="K257" t="s">
        <v>108</v>
      </c>
      <c r="L257" t="s">
        <v>8951</v>
      </c>
      <c r="M257" t="s">
        <v>145</v>
      </c>
      <c r="N257" t="s">
        <v>98</v>
      </c>
      <c r="O257" t="s">
        <v>1345</v>
      </c>
    </row>
    <row r="258" spans="1:15" x14ac:dyDescent="0.3">
      <c r="A258" s="130">
        <v>1371</v>
      </c>
      <c r="B258" s="130">
        <v>18</v>
      </c>
      <c r="C258" s="130" t="s">
        <v>1882</v>
      </c>
      <c r="D258">
        <v>3180</v>
      </c>
      <c r="E258" s="130">
        <v>132114</v>
      </c>
      <c r="F258" t="s">
        <v>87</v>
      </c>
      <c r="G258">
        <v>358</v>
      </c>
      <c r="H258" t="s">
        <v>8952</v>
      </c>
      <c r="I258" s="131">
        <v>40</v>
      </c>
      <c r="J258" t="s">
        <v>1882</v>
      </c>
      <c r="K258" t="s">
        <v>95</v>
      </c>
      <c r="L258" t="s">
        <v>8952</v>
      </c>
      <c r="M258" t="s">
        <v>112</v>
      </c>
      <c r="N258" t="s">
        <v>98</v>
      </c>
      <c r="O258" t="s">
        <v>1345</v>
      </c>
    </row>
    <row r="259" spans="1:15" x14ac:dyDescent="0.3">
      <c r="A259" s="130">
        <v>1372</v>
      </c>
      <c r="B259" s="130">
        <v>30</v>
      </c>
      <c r="C259" s="130" t="s">
        <v>1883</v>
      </c>
      <c r="D259">
        <v>3181</v>
      </c>
      <c r="E259" s="130">
        <v>40580071</v>
      </c>
      <c r="F259" t="s">
        <v>87</v>
      </c>
      <c r="G259">
        <v>358</v>
      </c>
      <c r="H259" t="s">
        <v>8953</v>
      </c>
      <c r="I259" s="130">
        <v>2</v>
      </c>
      <c r="J259" t="s">
        <v>1883</v>
      </c>
      <c r="K259" t="s">
        <v>108</v>
      </c>
      <c r="L259" t="s">
        <v>8953</v>
      </c>
      <c r="M259" t="s">
        <v>103</v>
      </c>
      <c r="N259" t="s">
        <v>150</v>
      </c>
      <c r="O259" t="s">
        <v>1345</v>
      </c>
    </row>
    <row r="260" spans="1:15" x14ac:dyDescent="0.3">
      <c r="A260" s="130">
        <v>1384</v>
      </c>
      <c r="B260" s="130">
        <v>18</v>
      </c>
      <c r="C260" s="130" t="s">
        <v>1884</v>
      </c>
      <c r="D260">
        <v>3191</v>
      </c>
      <c r="E260" s="130">
        <v>25349440</v>
      </c>
      <c r="F260" t="s">
        <v>87</v>
      </c>
      <c r="G260">
        <v>358</v>
      </c>
      <c r="H260" t="s">
        <v>8951</v>
      </c>
      <c r="I260" s="131">
        <v>3</v>
      </c>
      <c r="J260" t="s">
        <v>1884</v>
      </c>
      <c r="K260" t="s">
        <v>95</v>
      </c>
      <c r="L260" t="s">
        <v>8951</v>
      </c>
      <c r="M260" t="s">
        <v>112</v>
      </c>
      <c r="N260" t="s">
        <v>98</v>
      </c>
      <c r="O260" t="s">
        <v>1345</v>
      </c>
    </row>
    <row r="261" spans="1:15" x14ac:dyDescent="0.3">
      <c r="A261" s="130">
        <v>1409</v>
      </c>
      <c r="B261" s="130">
        <v>18</v>
      </c>
      <c r="C261" s="130" t="s">
        <v>1885</v>
      </c>
      <c r="D261">
        <v>3232</v>
      </c>
      <c r="E261" s="130">
        <v>39580673</v>
      </c>
      <c r="F261" t="s">
        <v>87</v>
      </c>
      <c r="G261">
        <v>78</v>
      </c>
      <c r="H261" t="s">
        <v>8952</v>
      </c>
      <c r="I261" s="130">
        <v>19</v>
      </c>
      <c r="J261" t="s">
        <v>1885</v>
      </c>
      <c r="K261" t="s">
        <v>95</v>
      </c>
      <c r="L261" t="s">
        <v>8952</v>
      </c>
      <c r="M261" t="s">
        <v>112</v>
      </c>
      <c r="N261" t="s">
        <v>132</v>
      </c>
      <c r="O261" t="s">
        <v>1345</v>
      </c>
    </row>
    <row r="262" spans="1:15" x14ac:dyDescent="0.3">
      <c r="A262" s="130">
        <v>1427</v>
      </c>
      <c r="B262" s="130" t="s">
        <v>156</v>
      </c>
      <c r="C262" s="130" t="s">
        <v>1886</v>
      </c>
      <c r="D262">
        <v>3257</v>
      </c>
      <c r="E262" s="131">
        <v>10764189</v>
      </c>
      <c r="F262" t="s">
        <v>87</v>
      </c>
      <c r="G262">
        <v>358</v>
      </c>
      <c r="H262" t="s">
        <v>8953</v>
      </c>
      <c r="I262" s="131">
        <v>3</v>
      </c>
      <c r="J262" t="s">
        <v>1886</v>
      </c>
      <c r="K262" t="s">
        <v>108</v>
      </c>
      <c r="L262" t="s">
        <v>8953</v>
      </c>
      <c r="M262" t="s">
        <v>156</v>
      </c>
      <c r="N262" t="s">
        <v>114</v>
      </c>
      <c r="O262" t="s">
        <v>116</v>
      </c>
    </row>
    <row r="263" spans="1:15" x14ac:dyDescent="0.3">
      <c r="A263" s="130">
        <v>1431</v>
      </c>
      <c r="B263" s="130">
        <v>10</v>
      </c>
      <c r="C263" s="130" t="s">
        <v>1887</v>
      </c>
      <c r="D263">
        <v>3268</v>
      </c>
      <c r="E263" s="130">
        <v>10220039</v>
      </c>
      <c r="F263" t="s">
        <v>87</v>
      </c>
      <c r="G263">
        <v>358</v>
      </c>
      <c r="H263" t="s">
        <v>8951</v>
      </c>
      <c r="I263" s="131">
        <v>3</v>
      </c>
      <c r="J263" t="s">
        <v>1887</v>
      </c>
      <c r="K263" t="s">
        <v>108</v>
      </c>
      <c r="L263" t="s">
        <v>8951</v>
      </c>
      <c r="M263" t="s">
        <v>133</v>
      </c>
      <c r="N263" t="s">
        <v>98</v>
      </c>
      <c r="O263" t="s">
        <v>1345</v>
      </c>
    </row>
    <row r="264" spans="1:15" x14ac:dyDescent="0.3">
      <c r="A264" s="130">
        <v>1447</v>
      </c>
      <c r="B264" s="130">
        <v>20</v>
      </c>
      <c r="C264" s="130" t="s">
        <v>1888</v>
      </c>
      <c r="D264">
        <v>3291</v>
      </c>
      <c r="E264" s="131">
        <v>17162983</v>
      </c>
      <c r="F264" t="s">
        <v>87</v>
      </c>
      <c r="G264">
        <v>358</v>
      </c>
      <c r="H264" t="s">
        <v>8952</v>
      </c>
      <c r="I264" s="130">
        <v>3</v>
      </c>
      <c r="J264" t="s">
        <v>1888</v>
      </c>
      <c r="K264" t="s">
        <v>95</v>
      </c>
      <c r="L264" t="s">
        <v>8952</v>
      </c>
      <c r="M264" t="s">
        <v>148</v>
      </c>
      <c r="N264" t="s">
        <v>98</v>
      </c>
      <c r="O264" t="s">
        <v>1345</v>
      </c>
    </row>
    <row r="265" spans="1:15" x14ac:dyDescent="0.3">
      <c r="A265" s="130">
        <v>1450</v>
      </c>
      <c r="B265" s="130">
        <v>28</v>
      </c>
      <c r="C265" s="130" t="s">
        <v>1889</v>
      </c>
      <c r="D265">
        <v>3297</v>
      </c>
      <c r="E265" s="130">
        <v>21658572</v>
      </c>
      <c r="F265" t="s">
        <v>87</v>
      </c>
      <c r="G265">
        <v>78</v>
      </c>
      <c r="H265" t="s">
        <v>8953</v>
      </c>
      <c r="I265" s="130">
        <v>19</v>
      </c>
      <c r="J265" t="s">
        <v>1889</v>
      </c>
      <c r="K265" t="s">
        <v>108</v>
      </c>
      <c r="L265" t="s">
        <v>8953</v>
      </c>
      <c r="M265" t="s">
        <v>130</v>
      </c>
      <c r="N265" t="s">
        <v>114</v>
      </c>
      <c r="O265" t="s">
        <v>1345</v>
      </c>
    </row>
    <row r="266" spans="1:15" x14ac:dyDescent="0.3">
      <c r="A266" s="130">
        <v>1455</v>
      </c>
      <c r="B266" s="130">
        <v>25</v>
      </c>
      <c r="C266" s="130" t="s">
        <v>1890</v>
      </c>
      <c r="D266">
        <v>3309</v>
      </c>
      <c r="E266" s="130">
        <v>237518</v>
      </c>
      <c r="F266" t="s">
        <v>87</v>
      </c>
      <c r="G266">
        <v>78</v>
      </c>
      <c r="H266" t="s">
        <v>8951</v>
      </c>
      <c r="I266" s="131">
        <v>3</v>
      </c>
      <c r="J266" t="s">
        <v>1890</v>
      </c>
      <c r="K266" t="s">
        <v>95</v>
      </c>
      <c r="L266" t="s">
        <v>8951</v>
      </c>
      <c r="M266" t="s">
        <v>164</v>
      </c>
      <c r="N266" t="s">
        <v>98</v>
      </c>
      <c r="O266" t="s">
        <v>1345</v>
      </c>
    </row>
    <row r="267" spans="1:15" x14ac:dyDescent="0.3">
      <c r="A267" s="130">
        <v>1458</v>
      </c>
      <c r="B267" s="130">
        <v>30</v>
      </c>
      <c r="C267" s="130" t="s">
        <v>1891</v>
      </c>
      <c r="D267">
        <v>3312</v>
      </c>
      <c r="E267" s="130">
        <v>2265872</v>
      </c>
      <c r="F267" t="s">
        <v>87</v>
      </c>
      <c r="G267">
        <v>358</v>
      </c>
      <c r="H267" t="s">
        <v>8952</v>
      </c>
      <c r="I267" s="130">
        <v>3</v>
      </c>
      <c r="J267" t="s">
        <v>1891</v>
      </c>
      <c r="K267" t="s">
        <v>95</v>
      </c>
      <c r="L267" t="s">
        <v>8952</v>
      </c>
      <c r="M267" t="s">
        <v>103</v>
      </c>
      <c r="N267" t="s">
        <v>98</v>
      </c>
      <c r="O267" t="s">
        <v>1345</v>
      </c>
    </row>
    <row r="268" spans="1:15" x14ac:dyDescent="0.3">
      <c r="A268" s="130">
        <v>1461</v>
      </c>
      <c r="B268" s="130">
        <v>30</v>
      </c>
      <c r="C268" s="130" t="s">
        <v>1892</v>
      </c>
      <c r="D268">
        <v>3316</v>
      </c>
      <c r="E268" s="131">
        <v>7522191</v>
      </c>
      <c r="F268" t="s">
        <v>87</v>
      </c>
      <c r="G268">
        <v>358</v>
      </c>
      <c r="H268" t="s">
        <v>8953</v>
      </c>
      <c r="I268" s="130">
        <v>3</v>
      </c>
      <c r="J268" t="s">
        <v>1892</v>
      </c>
      <c r="K268" t="s">
        <v>95</v>
      </c>
      <c r="L268" t="s">
        <v>8953</v>
      </c>
      <c r="M268" t="s">
        <v>103</v>
      </c>
      <c r="N268" t="s">
        <v>98</v>
      </c>
      <c r="O268" t="s">
        <v>1345</v>
      </c>
    </row>
    <row r="269" spans="1:15" x14ac:dyDescent="0.3">
      <c r="A269" s="130">
        <v>1464</v>
      </c>
      <c r="B269" s="130">
        <v>18</v>
      </c>
      <c r="C269" s="130" t="s">
        <v>1893</v>
      </c>
      <c r="D269">
        <v>3318</v>
      </c>
      <c r="E269" s="131">
        <v>2874861</v>
      </c>
      <c r="F269" t="s">
        <v>87</v>
      </c>
      <c r="G269">
        <v>78</v>
      </c>
      <c r="H269" t="s">
        <v>8951</v>
      </c>
      <c r="I269" s="130">
        <v>3</v>
      </c>
      <c r="J269" t="s">
        <v>1893</v>
      </c>
      <c r="K269" t="s">
        <v>95</v>
      </c>
      <c r="L269" t="s">
        <v>8951</v>
      </c>
      <c r="M269" t="s">
        <v>112</v>
      </c>
      <c r="N269" t="s">
        <v>122</v>
      </c>
      <c r="O269" t="s">
        <v>116</v>
      </c>
    </row>
    <row r="270" spans="1:15" x14ac:dyDescent="0.3">
      <c r="A270" s="130">
        <v>1467</v>
      </c>
      <c r="B270" s="130">
        <v>30</v>
      </c>
      <c r="C270" s="130" t="s">
        <v>1894</v>
      </c>
      <c r="D270">
        <v>3323</v>
      </c>
      <c r="E270" s="130">
        <v>21681150</v>
      </c>
      <c r="F270" t="s">
        <v>87</v>
      </c>
      <c r="G270">
        <v>78</v>
      </c>
      <c r="H270" t="s">
        <v>8952</v>
      </c>
      <c r="I270" s="130">
        <v>10</v>
      </c>
      <c r="J270" t="s">
        <v>1894</v>
      </c>
      <c r="K270" t="s">
        <v>95</v>
      </c>
      <c r="L270" t="s">
        <v>8952</v>
      </c>
      <c r="M270" t="s">
        <v>103</v>
      </c>
      <c r="N270" t="s">
        <v>98</v>
      </c>
      <c r="O270" t="s">
        <v>1345</v>
      </c>
    </row>
    <row r="271" spans="1:15" x14ac:dyDescent="0.3">
      <c r="A271" s="130">
        <v>1469</v>
      </c>
      <c r="B271" s="130">
        <v>20</v>
      </c>
      <c r="C271" s="130" t="s">
        <v>1895</v>
      </c>
      <c r="D271">
        <v>3325</v>
      </c>
      <c r="E271" s="131">
        <v>29411968</v>
      </c>
      <c r="F271" t="s">
        <v>87</v>
      </c>
      <c r="G271">
        <v>358</v>
      </c>
      <c r="H271" t="s">
        <v>8953</v>
      </c>
      <c r="I271" s="131">
        <v>10</v>
      </c>
      <c r="J271" t="s">
        <v>1895</v>
      </c>
      <c r="K271" t="s">
        <v>108</v>
      </c>
      <c r="L271" t="s">
        <v>8953</v>
      </c>
      <c r="M271" t="s">
        <v>148</v>
      </c>
      <c r="N271" t="s">
        <v>124</v>
      </c>
      <c r="O271" t="s">
        <v>1345</v>
      </c>
    </row>
    <row r="272" spans="1:15" x14ac:dyDescent="0.3">
      <c r="A272" s="130">
        <v>1471</v>
      </c>
      <c r="B272" s="130">
        <v>20</v>
      </c>
      <c r="C272" s="130" t="s">
        <v>1896</v>
      </c>
      <c r="D272">
        <v>3326</v>
      </c>
      <c r="E272" s="131">
        <v>29411968</v>
      </c>
      <c r="F272" t="s">
        <v>87</v>
      </c>
      <c r="G272">
        <v>358</v>
      </c>
      <c r="H272" t="s">
        <v>8951</v>
      </c>
      <c r="I272" s="130">
        <v>10</v>
      </c>
      <c r="J272" t="s">
        <v>1896</v>
      </c>
      <c r="K272" t="s">
        <v>108</v>
      </c>
      <c r="L272" t="s">
        <v>8951</v>
      </c>
      <c r="M272" t="s">
        <v>148</v>
      </c>
      <c r="N272" t="s">
        <v>124</v>
      </c>
      <c r="O272" t="s">
        <v>1345</v>
      </c>
    </row>
    <row r="273" spans="1:15" x14ac:dyDescent="0.3">
      <c r="A273" s="130">
        <v>1472</v>
      </c>
      <c r="B273" s="130">
        <v>20</v>
      </c>
      <c r="C273" s="130" t="s">
        <v>1897</v>
      </c>
      <c r="D273">
        <v>3327</v>
      </c>
      <c r="E273" s="130">
        <v>29411968</v>
      </c>
      <c r="F273" t="s">
        <v>87</v>
      </c>
      <c r="G273">
        <v>358</v>
      </c>
      <c r="H273" t="s">
        <v>8952</v>
      </c>
      <c r="I273" s="131">
        <v>10</v>
      </c>
      <c r="J273" t="s">
        <v>1897</v>
      </c>
      <c r="K273" t="s">
        <v>108</v>
      </c>
      <c r="L273" t="s">
        <v>8952</v>
      </c>
      <c r="M273" t="s">
        <v>148</v>
      </c>
      <c r="N273" t="s">
        <v>124</v>
      </c>
      <c r="O273" t="s">
        <v>1345</v>
      </c>
    </row>
    <row r="274" spans="1:15" x14ac:dyDescent="0.3">
      <c r="A274" s="130">
        <v>1481</v>
      </c>
      <c r="B274" s="130">
        <v>30</v>
      </c>
      <c r="C274" s="130" t="s">
        <v>1898</v>
      </c>
      <c r="D274">
        <v>3350</v>
      </c>
      <c r="E274" s="130">
        <v>7522191</v>
      </c>
      <c r="F274" t="s">
        <v>87</v>
      </c>
      <c r="G274">
        <v>78</v>
      </c>
      <c r="H274" t="s">
        <v>8953</v>
      </c>
      <c r="I274" s="130">
        <v>19</v>
      </c>
      <c r="J274" t="s">
        <v>1898</v>
      </c>
      <c r="K274" t="s">
        <v>95</v>
      </c>
      <c r="L274" t="s">
        <v>8953</v>
      </c>
      <c r="M274" t="s">
        <v>103</v>
      </c>
      <c r="N274" t="s">
        <v>114</v>
      </c>
      <c r="O274" t="s">
        <v>1345</v>
      </c>
    </row>
    <row r="275" spans="1:15" x14ac:dyDescent="0.3">
      <c r="A275" s="130">
        <v>1508</v>
      </c>
      <c r="B275" s="130">
        <v>10</v>
      </c>
      <c r="C275" s="130" t="s">
        <v>1899</v>
      </c>
      <c r="D275">
        <v>3382</v>
      </c>
      <c r="E275" s="130">
        <v>21441058</v>
      </c>
      <c r="F275" t="s">
        <v>87</v>
      </c>
      <c r="G275">
        <v>78</v>
      </c>
      <c r="H275" t="s">
        <v>8951</v>
      </c>
      <c r="I275" s="131">
        <v>9</v>
      </c>
      <c r="J275" t="s">
        <v>1899</v>
      </c>
      <c r="K275" t="s">
        <v>108</v>
      </c>
      <c r="L275" t="s">
        <v>8951</v>
      </c>
      <c r="M275" t="s">
        <v>133</v>
      </c>
      <c r="N275" t="s">
        <v>98</v>
      </c>
      <c r="O275" t="s">
        <v>1345</v>
      </c>
    </row>
    <row r="276" spans="1:15" x14ac:dyDescent="0.3">
      <c r="A276" s="130">
        <v>1510</v>
      </c>
      <c r="B276" s="130">
        <v>18</v>
      </c>
      <c r="C276" s="130" t="s">
        <v>1900</v>
      </c>
      <c r="D276">
        <v>3389</v>
      </c>
      <c r="E276" s="131">
        <v>5773057</v>
      </c>
      <c r="F276" t="s">
        <v>87</v>
      </c>
      <c r="G276">
        <v>358</v>
      </c>
      <c r="H276" t="s">
        <v>8952</v>
      </c>
      <c r="I276" s="130">
        <v>3</v>
      </c>
      <c r="J276" t="s">
        <v>1900</v>
      </c>
      <c r="K276" t="s">
        <v>95</v>
      </c>
      <c r="L276" t="s">
        <v>8952</v>
      </c>
      <c r="M276" t="s">
        <v>112</v>
      </c>
      <c r="N276" t="s">
        <v>118</v>
      </c>
      <c r="O276" t="s">
        <v>1345</v>
      </c>
    </row>
    <row r="277" spans="1:15" x14ac:dyDescent="0.3">
      <c r="A277" s="130">
        <v>1519</v>
      </c>
      <c r="B277" s="130">
        <v>21</v>
      </c>
      <c r="C277" s="130" t="s">
        <v>1901</v>
      </c>
      <c r="D277">
        <v>3405</v>
      </c>
      <c r="E277" s="130">
        <v>22673347</v>
      </c>
      <c r="F277" t="s">
        <v>87</v>
      </c>
      <c r="G277">
        <v>358</v>
      </c>
      <c r="H277" t="s">
        <v>8953</v>
      </c>
      <c r="I277" s="130">
        <v>3</v>
      </c>
      <c r="J277" t="s">
        <v>1901</v>
      </c>
      <c r="K277" t="s">
        <v>108</v>
      </c>
      <c r="L277" t="s">
        <v>8953</v>
      </c>
      <c r="M277" t="s">
        <v>137</v>
      </c>
      <c r="N277" t="s">
        <v>114</v>
      </c>
      <c r="O277" t="s">
        <v>116</v>
      </c>
    </row>
    <row r="278" spans="1:15" x14ac:dyDescent="0.3">
      <c r="A278" s="130">
        <v>1527</v>
      </c>
      <c r="B278" s="130">
        <v>18</v>
      </c>
      <c r="C278" s="130" t="s">
        <v>1902</v>
      </c>
      <c r="D278">
        <v>3421</v>
      </c>
      <c r="E278" s="131">
        <v>10764189</v>
      </c>
      <c r="F278" t="s">
        <v>87</v>
      </c>
      <c r="G278">
        <v>358</v>
      </c>
      <c r="H278" t="s">
        <v>8951</v>
      </c>
      <c r="I278" s="131">
        <v>3</v>
      </c>
      <c r="J278" t="s">
        <v>1902</v>
      </c>
      <c r="K278" t="s">
        <v>108</v>
      </c>
      <c r="L278" t="s">
        <v>8951</v>
      </c>
      <c r="M278" t="s">
        <v>112</v>
      </c>
      <c r="N278" t="s">
        <v>114</v>
      </c>
      <c r="O278" t="s">
        <v>1345</v>
      </c>
    </row>
    <row r="279" spans="1:15" x14ac:dyDescent="0.3">
      <c r="A279" s="130">
        <v>1533</v>
      </c>
      <c r="B279" s="130">
        <v>28</v>
      </c>
      <c r="C279" s="130" t="s">
        <v>1903</v>
      </c>
      <c r="D279">
        <v>3425</v>
      </c>
      <c r="E279" s="131">
        <v>29060647</v>
      </c>
      <c r="F279" t="s">
        <v>87</v>
      </c>
      <c r="G279">
        <v>78</v>
      </c>
      <c r="H279" t="s">
        <v>8952</v>
      </c>
      <c r="I279" s="131">
        <v>18</v>
      </c>
      <c r="J279" t="s">
        <v>1903</v>
      </c>
      <c r="K279" t="s">
        <v>95</v>
      </c>
      <c r="L279" t="s">
        <v>8952</v>
      </c>
      <c r="M279" t="s">
        <v>130</v>
      </c>
      <c r="N279" t="s">
        <v>98</v>
      </c>
      <c r="O279" t="s">
        <v>116</v>
      </c>
    </row>
    <row r="280" spans="1:15" x14ac:dyDescent="0.3">
      <c r="A280" s="130">
        <v>1535</v>
      </c>
      <c r="B280" s="130">
        <v>18</v>
      </c>
      <c r="C280" s="130" t="s">
        <v>1904</v>
      </c>
      <c r="D280">
        <v>3426</v>
      </c>
      <c r="E280" s="130">
        <v>21624671</v>
      </c>
      <c r="F280" t="s">
        <v>87</v>
      </c>
      <c r="G280">
        <v>358</v>
      </c>
      <c r="H280" t="s">
        <v>8953</v>
      </c>
      <c r="I280" s="130">
        <v>3</v>
      </c>
      <c r="J280" t="s">
        <v>1904</v>
      </c>
      <c r="K280" t="s">
        <v>95</v>
      </c>
      <c r="L280" t="s">
        <v>8953</v>
      </c>
      <c r="M280" t="s">
        <v>112</v>
      </c>
      <c r="N280" t="s">
        <v>118</v>
      </c>
      <c r="O280" t="s">
        <v>1345</v>
      </c>
    </row>
    <row r="281" spans="1:15" x14ac:dyDescent="0.3">
      <c r="A281" s="130">
        <v>1540</v>
      </c>
      <c r="B281" s="130">
        <v>30</v>
      </c>
      <c r="C281" s="130" t="s">
        <v>1905</v>
      </c>
      <c r="D281">
        <v>3431</v>
      </c>
      <c r="E281" s="130">
        <v>29117705</v>
      </c>
      <c r="F281" t="s">
        <v>87</v>
      </c>
      <c r="G281">
        <v>78</v>
      </c>
      <c r="H281" t="s">
        <v>8951</v>
      </c>
      <c r="I281" s="130">
        <v>24</v>
      </c>
      <c r="J281" t="s">
        <v>1905</v>
      </c>
      <c r="K281" t="s">
        <v>95</v>
      </c>
      <c r="L281" t="s">
        <v>8951</v>
      </c>
      <c r="M281" t="s">
        <v>103</v>
      </c>
      <c r="N281" t="s">
        <v>98</v>
      </c>
      <c r="O281" t="s">
        <v>1345</v>
      </c>
    </row>
    <row r="282" spans="1:15" x14ac:dyDescent="0.3">
      <c r="A282" s="130">
        <v>1541</v>
      </c>
      <c r="B282" s="130">
        <v>30</v>
      </c>
      <c r="C282" s="130" t="s">
        <v>1906</v>
      </c>
      <c r="D282">
        <v>3432</v>
      </c>
      <c r="E282" s="130">
        <v>17185786</v>
      </c>
      <c r="F282" t="s">
        <v>87</v>
      </c>
      <c r="G282">
        <v>78</v>
      </c>
      <c r="H282" t="s">
        <v>8952</v>
      </c>
      <c r="I282" s="130">
        <v>3</v>
      </c>
      <c r="J282" t="s">
        <v>1906</v>
      </c>
      <c r="K282" t="s">
        <v>95</v>
      </c>
      <c r="L282" t="s">
        <v>8952</v>
      </c>
      <c r="M282" t="s">
        <v>103</v>
      </c>
      <c r="N282" t="s">
        <v>98</v>
      </c>
      <c r="O282" t="s">
        <v>1345</v>
      </c>
    </row>
    <row r="283" spans="1:15" x14ac:dyDescent="0.3">
      <c r="A283" s="130">
        <v>1544</v>
      </c>
      <c r="B283" s="130">
        <v>10</v>
      </c>
      <c r="C283" s="130" t="s">
        <v>1907</v>
      </c>
      <c r="D283">
        <v>3437</v>
      </c>
      <c r="E283" s="131">
        <v>42179671</v>
      </c>
      <c r="F283" t="s">
        <v>87</v>
      </c>
      <c r="G283">
        <v>78</v>
      </c>
      <c r="H283" t="s">
        <v>8953</v>
      </c>
      <c r="I283" s="130">
        <v>18</v>
      </c>
      <c r="J283" t="s">
        <v>1907</v>
      </c>
      <c r="K283" t="s">
        <v>108</v>
      </c>
      <c r="L283" t="s">
        <v>8953</v>
      </c>
      <c r="M283" t="s">
        <v>133</v>
      </c>
      <c r="N283" t="s">
        <v>114</v>
      </c>
      <c r="O283" t="s">
        <v>1345</v>
      </c>
    </row>
    <row r="284" spans="1:15" x14ac:dyDescent="0.3">
      <c r="A284" s="130">
        <v>1546</v>
      </c>
      <c r="B284" s="130">
        <v>30</v>
      </c>
      <c r="C284" s="130" t="s">
        <v>1908</v>
      </c>
      <c r="D284">
        <v>3439</v>
      </c>
      <c r="E284" s="131">
        <v>33968740</v>
      </c>
      <c r="F284" t="s">
        <v>87</v>
      </c>
      <c r="G284">
        <v>358</v>
      </c>
      <c r="H284" t="s">
        <v>8951</v>
      </c>
      <c r="I284" s="131">
        <v>3</v>
      </c>
      <c r="J284" t="s">
        <v>1908</v>
      </c>
      <c r="K284" t="s">
        <v>95</v>
      </c>
      <c r="L284" t="s">
        <v>8951</v>
      </c>
      <c r="M284" t="s">
        <v>103</v>
      </c>
      <c r="N284" t="s">
        <v>98</v>
      </c>
      <c r="O284" t="s">
        <v>1345</v>
      </c>
    </row>
    <row r="285" spans="1:15" x14ac:dyDescent="0.3">
      <c r="A285" s="130">
        <v>1554</v>
      </c>
      <c r="B285" s="130">
        <v>18</v>
      </c>
      <c r="C285" s="130" t="s">
        <v>1909</v>
      </c>
      <c r="D285">
        <v>3452</v>
      </c>
      <c r="E285" s="130">
        <v>1157555</v>
      </c>
      <c r="F285" t="s">
        <v>87</v>
      </c>
      <c r="G285">
        <v>78</v>
      </c>
      <c r="H285" t="s">
        <v>8952</v>
      </c>
      <c r="I285" s="130">
        <v>24</v>
      </c>
      <c r="J285" t="s">
        <v>1909</v>
      </c>
      <c r="K285" t="s">
        <v>95</v>
      </c>
      <c r="L285" t="s">
        <v>8952</v>
      </c>
      <c r="M285" t="s">
        <v>112</v>
      </c>
      <c r="N285" t="s">
        <v>101</v>
      </c>
      <c r="O285" t="s">
        <v>1345</v>
      </c>
    </row>
    <row r="286" spans="1:15" x14ac:dyDescent="0.3">
      <c r="A286" s="130">
        <v>1558</v>
      </c>
      <c r="B286" s="130">
        <v>30</v>
      </c>
      <c r="C286" s="130" t="s">
        <v>1910</v>
      </c>
      <c r="D286">
        <v>3457</v>
      </c>
      <c r="E286" s="131">
        <v>20458968</v>
      </c>
      <c r="F286" t="s">
        <v>87</v>
      </c>
      <c r="G286">
        <v>358</v>
      </c>
      <c r="H286" t="s">
        <v>8953</v>
      </c>
      <c r="I286" s="130">
        <v>3</v>
      </c>
      <c r="J286" t="s">
        <v>1910</v>
      </c>
      <c r="K286" t="s">
        <v>95</v>
      </c>
      <c r="L286" t="s">
        <v>8953</v>
      </c>
      <c r="M286" t="s">
        <v>103</v>
      </c>
      <c r="N286" t="s">
        <v>124</v>
      </c>
      <c r="O286" t="s">
        <v>1345</v>
      </c>
    </row>
    <row r="287" spans="1:15" x14ac:dyDescent="0.3">
      <c r="A287" s="130">
        <v>1567</v>
      </c>
      <c r="B287" s="130">
        <v>18</v>
      </c>
      <c r="C287" s="130" t="s">
        <v>1911</v>
      </c>
      <c r="D287">
        <v>3460</v>
      </c>
      <c r="E287" s="130">
        <v>4892580</v>
      </c>
      <c r="F287" t="s">
        <v>87</v>
      </c>
      <c r="G287">
        <v>78</v>
      </c>
      <c r="H287" t="s">
        <v>8951</v>
      </c>
      <c r="I287" s="131">
        <v>9</v>
      </c>
      <c r="J287" t="s">
        <v>1911</v>
      </c>
      <c r="K287" t="s">
        <v>108</v>
      </c>
      <c r="L287" t="s">
        <v>8951</v>
      </c>
      <c r="M287" t="s">
        <v>112</v>
      </c>
      <c r="N287" t="s">
        <v>98</v>
      </c>
      <c r="O287" t="s">
        <v>1345</v>
      </c>
    </row>
    <row r="288" spans="1:15" x14ac:dyDescent="0.3">
      <c r="A288" s="130">
        <v>1590</v>
      </c>
      <c r="B288" s="130">
        <v>30</v>
      </c>
      <c r="C288" s="130" t="s">
        <v>1912</v>
      </c>
      <c r="D288">
        <v>3496</v>
      </c>
      <c r="E288" s="130">
        <v>33000167</v>
      </c>
      <c r="F288" t="s">
        <v>87</v>
      </c>
      <c r="G288">
        <v>78</v>
      </c>
      <c r="H288" t="s">
        <v>8952</v>
      </c>
      <c r="I288" s="131">
        <v>24</v>
      </c>
      <c r="J288" t="s">
        <v>1912</v>
      </c>
      <c r="K288" t="s">
        <v>95</v>
      </c>
      <c r="L288" t="s">
        <v>8952</v>
      </c>
      <c r="M288" t="s">
        <v>103</v>
      </c>
      <c r="N288" t="s">
        <v>118</v>
      </c>
      <c r="O288" t="s">
        <v>1345</v>
      </c>
    </row>
    <row r="289" spans="1:15" x14ac:dyDescent="0.3">
      <c r="A289" s="130">
        <v>1594</v>
      </c>
      <c r="B289" s="130">
        <v>30</v>
      </c>
      <c r="C289" s="130" t="s">
        <v>1913</v>
      </c>
      <c r="D289">
        <v>3501</v>
      </c>
      <c r="E289" s="130">
        <v>33000167</v>
      </c>
      <c r="F289" t="s">
        <v>87</v>
      </c>
      <c r="G289">
        <v>78</v>
      </c>
      <c r="H289" t="s">
        <v>8953</v>
      </c>
      <c r="I289" s="130">
        <v>24</v>
      </c>
      <c r="J289" t="s">
        <v>1913</v>
      </c>
      <c r="K289" t="s">
        <v>95</v>
      </c>
      <c r="L289" t="s">
        <v>8953</v>
      </c>
      <c r="M289" t="s">
        <v>103</v>
      </c>
      <c r="N289" t="s">
        <v>118</v>
      </c>
      <c r="O289" t="s">
        <v>116</v>
      </c>
    </row>
    <row r="290" spans="1:15" x14ac:dyDescent="0.3">
      <c r="A290" s="130">
        <v>1599</v>
      </c>
      <c r="B290" s="130">
        <v>0</v>
      </c>
      <c r="C290" s="130" t="s">
        <v>1914</v>
      </c>
      <c r="D290">
        <v>1957</v>
      </c>
      <c r="E290" s="130">
        <v>23893079</v>
      </c>
      <c r="F290" t="s">
        <v>87</v>
      </c>
      <c r="G290">
        <v>78</v>
      </c>
      <c r="H290" t="s">
        <v>8951</v>
      </c>
      <c r="I290" s="131">
        <v>9</v>
      </c>
      <c r="J290" t="s">
        <v>1914</v>
      </c>
      <c r="K290" t="s">
        <v>108</v>
      </c>
      <c r="L290" t="s">
        <v>8951</v>
      </c>
      <c r="M290" t="s">
        <v>100</v>
      </c>
      <c r="N290" t="s">
        <v>98</v>
      </c>
      <c r="O290" t="s">
        <v>1345</v>
      </c>
    </row>
    <row r="291" spans="1:15" x14ac:dyDescent="0.3">
      <c r="A291" s="130">
        <v>1602</v>
      </c>
      <c r="B291" s="130">
        <v>0</v>
      </c>
      <c r="C291" s="130" t="s">
        <v>1915</v>
      </c>
      <c r="D291">
        <v>3510</v>
      </c>
      <c r="E291" s="130">
        <v>8818101</v>
      </c>
      <c r="F291" t="s">
        <v>87</v>
      </c>
      <c r="G291">
        <v>78</v>
      </c>
      <c r="H291" t="s">
        <v>8952</v>
      </c>
      <c r="I291" s="130">
        <v>24</v>
      </c>
      <c r="J291" t="s">
        <v>1915</v>
      </c>
      <c r="K291" t="s">
        <v>95</v>
      </c>
      <c r="L291" t="s">
        <v>8952</v>
      </c>
      <c r="M291" t="s">
        <v>100</v>
      </c>
      <c r="N291" t="s">
        <v>98</v>
      </c>
      <c r="O291" t="s">
        <v>116</v>
      </c>
    </row>
    <row r="292" spans="1:15" x14ac:dyDescent="0.3">
      <c r="A292" s="130">
        <v>1603</v>
      </c>
      <c r="B292" s="130">
        <v>90</v>
      </c>
      <c r="C292" s="130" t="s">
        <v>1916</v>
      </c>
      <c r="D292">
        <v>3511</v>
      </c>
      <c r="E292" s="130">
        <v>60435351</v>
      </c>
      <c r="F292" t="s">
        <v>87</v>
      </c>
      <c r="G292">
        <v>78</v>
      </c>
      <c r="H292" t="s">
        <v>8953</v>
      </c>
      <c r="I292" s="130">
        <v>43</v>
      </c>
      <c r="J292" t="s">
        <v>1916</v>
      </c>
      <c r="K292" t="s">
        <v>95</v>
      </c>
      <c r="L292" t="s">
        <v>8953</v>
      </c>
      <c r="M292" t="s">
        <v>170</v>
      </c>
      <c r="N292" t="s">
        <v>98</v>
      </c>
      <c r="O292" t="s">
        <v>1345</v>
      </c>
    </row>
    <row r="293" spans="1:15" x14ac:dyDescent="0.3">
      <c r="A293" s="130">
        <v>1605</v>
      </c>
      <c r="B293" s="130">
        <v>18</v>
      </c>
      <c r="C293" s="130" t="s">
        <v>1917</v>
      </c>
      <c r="D293">
        <v>3507</v>
      </c>
      <c r="E293" s="130">
        <v>21495055</v>
      </c>
      <c r="F293" t="s">
        <v>87</v>
      </c>
      <c r="G293">
        <v>78</v>
      </c>
      <c r="H293" t="s">
        <v>8951</v>
      </c>
      <c r="I293" s="131">
        <v>24</v>
      </c>
      <c r="J293" t="s">
        <v>1917</v>
      </c>
      <c r="K293" t="s">
        <v>95</v>
      </c>
      <c r="L293" t="s">
        <v>8951</v>
      </c>
      <c r="M293" t="s">
        <v>112</v>
      </c>
      <c r="N293" t="s">
        <v>98</v>
      </c>
      <c r="O293" t="s">
        <v>116</v>
      </c>
    </row>
    <row r="294" spans="1:15" x14ac:dyDescent="0.3">
      <c r="A294" s="130">
        <v>1607</v>
      </c>
      <c r="B294" s="130">
        <v>18</v>
      </c>
      <c r="C294" s="130" t="s">
        <v>1918</v>
      </c>
      <c r="D294">
        <v>3515</v>
      </c>
      <c r="E294" s="131">
        <v>5325014</v>
      </c>
      <c r="F294" t="s">
        <v>87</v>
      </c>
      <c r="G294">
        <v>78</v>
      </c>
      <c r="H294" t="s">
        <v>8952</v>
      </c>
      <c r="I294" s="131">
        <v>9</v>
      </c>
      <c r="J294" t="s">
        <v>1918</v>
      </c>
      <c r="K294" t="s">
        <v>108</v>
      </c>
      <c r="L294" t="s">
        <v>8952</v>
      </c>
      <c r="M294" t="s">
        <v>112</v>
      </c>
      <c r="N294" t="s">
        <v>98</v>
      </c>
      <c r="O294" t="s">
        <v>1345</v>
      </c>
    </row>
    <row r="295" spans="1:15" x14ac:dyDescent="0.3">
      <c r="A295" s="130">
        <v>1610</v>
      </c>
      <c r="B295" s="130">
        <v>18</v>
      </c>
      <c r="C295" s="130" t="s">
        <v>1919</v>
      </c>
      <c r="D295">
        <v>3518</v>
      </c>
      <c r="E295" s="130">
        <v>8054995</v>
      </c>
      <c r="F295" t="s">
        <v>87</v>
      </c>
      <c r="G295">
        <v>358</v>
      </c>
      <c r="H295" t="s">
        <v>8953</v>
      </c>
      <c r="I295" s="130">
        <v>10</v>
      </c>
      <c r="J295" t="s">
        <v>1919</v>
      </c>
      <c r="K295" t="s">
        <v>95</v>
      </c>
      <c r="L295" t="s">
        <v>8953</v>
      </c>
      <c r="M295" t="s">
        <v>112</v>
      </c>
      <c r="N295" t="s">
        <v>98</v>
      </c>
      <c r="O295" t="s">
        <v>1345</v>
      </c>
    </row>
    <row r="296" spans="1:15" x14ac:dyDescent="0.3">
      <c r="A296" s="130">
        <v>1613</v>
      </c>
      <c r="B296" s="130">
        <v>30</v>
      </c>
      <c r="C296" s="130" t="s">
        <v>1920</v>
      </c>
      <c r="D296">
        <v>3520</v>
      </c>
      <c r="E296" s="130">
        <v>15482315</v>
      </c>
      <c r="F296" t="s">
        <v>87</v>
      </c>
      <c r="G296">
        <v>78</v>
      </c>
      <c r="H296" t="s">
        <v>8951</v>
      </c>
      <c r="I296" s="130">
        <v>10</v>
      </c>
      <c r="J296" t="s">
        <v>1920</v>
      </c>
      <c r="K296" t="s">
        <v>95</v>
      </c>
      <c r="L296" t="s">
        <v>8951</v>
      </c>
      <c r="M296" t="s">
        <v>103</v>
      </c>
      <c r="N296" t="s">
        <v>122</v>
      </c>
      <c r="O296" t="s">
        <v>1345</v>
      </c>
    </row>
    <row r="297" spans="1:15" x14ac:dyDescent="0.3">
      <c r="A297" s="130">
        <v>1628</v>
      </c>
      <c r="B297" s="130">
        <v>30</v>
      </c>
      <c r="C297" s="130" t="s">
        <v>1921</v>
      </c>
      <c r="D297">
        <v>3544</v>
      </c>
      <c r="E297" s="130">
        <v>15482315</v>
      </c>
      <c r="F297" t="s">
        <v>87</v>
      </c>
      <c r="G297">
        <v>78</v>
      </c>
      <c r="H297" t="s">
        <v>8952</v>
      </c>
      <c r="I297" s="130">
        <v>10</v>
      </c>
      <c r="J297" t="s">
        <v>1921</v>
      </c>
      <c r="K297" t="s">
        <v>95</v>
      </c>
      <c r="L297" t="s">
        <v>8952</v>
      </c>
      <c r="M297" t="s">
        <v>103</v>
      </c>
      <c r="N297" t="s">
        <v>122</v>
      </c>
      <c r="O297" t="s">
        <v>1345</v>
      </c>
    </row>
    <row r="298" spans="1:15" x14ac:dyDescent="0.3">
      <c r="A298" s="130">
        <v>1651</v>
      </c>
      <c r="B298" s="130">
        <v>18</v>
      </c>
      <c r="C298" s="130" t="s">
        <v>1922</v>
      </c>
      <c r="D298">
        <v>3566</v>
      </c>
      <c r="E298" s="130">
        <v>17168907</v>
      </c>
      <c r="F298" t="s">
        <v>87</v>
      </c>
      <c r="G298">
        <v>358</v>
      </c>
      <c r="H298" t="s">
        <v>8953</v>
      </c>
      <c r="I298" s="130">
        <v>18</v>
      </c>
      <c r="J298" t="s">
        <v>1922</v>
      </c>
      <c r="K298" t="s">
        <v>108</v>
      </c>
      <c r="L298" t="s">
        <v>8953</v>
      </c>
      <c r="M298" t="s">
        <v>112</v>
      </c>
      <c r="N298" t="s">
        <v>98</v>
      </c>
      <c r="O298" t="s">
        <v>1345</v>
      </c>
    </row>
    <row r="299" spans="1:15" x14ac:dyDescent="0.3">
      <c r="A299" s="130">
        <v>1652</v>
      </c>
      <c r="B299" s="130">
        <v>18</v>
      </c>
      <c r="C299" s="130" t="s">
        <v>1923</v>
      </c>
      <c r="D299">
        <v>3570</v>
      </c>
      <c r="E299" s="131">
        <v>17168907</v>
      </c>
      <c r="F299" t="s">
        <v>87</v>
      </c>
      <c r="G299">
        <v>358</v>
      </c>
      <c r="H299" t="s">
        <v>8951</v>
      </c>
      <c r="I299" s="131">
        <v>26</v>
      </c>
      <c r="J299" t="s">
        <v>1923</v>
      </c>
      <c r="K299" t="s">
        <v>108</v>
      </c>
      <c r="L299" t="s">
        <v>8951</v>
      </c>
      <c r="M299" t="s">
        <v>112</v>
      </c>
      <c r="N299" t="s">
        <v>98</v>
      </c>
      <c r="O299" t="s">
        <v>1345</v>
      </c>
    </row>
    <row r="300" spans="1:15" x14ac:dyDescent="0.3">
      <c r="A300" s="130">
        <v>1655</v>
      </c>
      <c r="B300" s="130">
        <v>18</v>
      </c>
      <c r="C300" s="130" t="s">
        <v>1924</v>
      </c>
      <c r="D300">
        <v>3574</v>
      </c>
      <c r="E300" s="130">
        <v>27859995</v>
      </c>
      <c r="F300" t="s">
        <v>87</v>
      </c>
      <c r="G300">
        <v>358</v>
      </c>
      <c r="H300" t="s">
        <v>8952</v>
      </c>
      <c r="I300" s="131">
        <v>3</v>
      </c>
      <c r="J300" t="s">
        <v>1924</v>
      </c>
      <c r="K300" t="s">
        <v>108</v>
      </c>
      <c r="L300" t="s">
        <v>8952</v>
      </c>
      <c r="M300" t="s">
        <v>112</v>
      </c>
      <c r="N300" t="s">
        <v>98</v>
      </c>
      <c r="O300" t="s">
        <v>1345</v>
      </c>
    </row>
    <row r="301" spans="1:15" x14ac:dyDescent="0.3">
      <c r="A301" s="130">
        <v>1659</v>
      </c>
      <c r="B301" s="130">
        <v>0</v>
      </c>
      <c r="C301" s="130" t="s">
        <v>1925</v>
      </c>
      <c r="D301">
        <v>3580</v>
      </c>
      <c r="E301" s="131">
        <v>1864998</v>
      </c>
      <c r="F301" t="s">
        <v>87</v>
      </c>
      <c r="G301">
        <v>78</v>
      </c>
      <c r="H301" t="s">
        <v>8953</v>
      </c>
      <c r="I301" s="130">
        <v>43</v>
      </c>
      <c r="J301" t="s">
        <v>1925</v>
      </c>
      <c r="K301" t="s">
        <v>95</v>
      </c>
      <c r="L301" t="s">
        <v>8953</v>
      </c>
      <c r="M301" t="s">
        <v>100</v>
      </c>
      <c r="N301" t="s">
        <v>101</v>
      </c>
      <c r="O301" t="s">
        <v>1345</v>
      </c>
    </row>
    <row r="302" spans="1:15" x14ac:dyDescent="0.3">
      <c r="A302" s="130">
        <v>1660</v>
      </c>
      <c r="B302" s="130">
        <v>30</v>
      </c>
      <c r="C302" s="130" t="s">
        <v>1926</v>
      </c>
      <c r="D302">
        <v>3582</v>
      </c>
      <c r="E302" s="130">
        <v>8928273</v>
      </c>
      <c r="F302" t="s">
        <v>87</v>
      </c>
      <c r="G302">
        <v>78</v>
      </c>
      <c r="H302" t="s">
        <v>8951</v>
      </c>
      <c r="I302" s="130">
        <v>19</v>
      </c>
      <c r="J302" t="s">
        <v>1926</v>
      </c>
      <c r="K302" t="s">
        <v>95</v>
      </c>
      <c r="L302" t="s">
        <v>8951</v>
      </c>
      <c r="M302" t="s">
        <v>103</v>
      </c>
      <c r="N302" t="s">
        <v>98</v>
      </c>
      <c r="O302" t="s">
        <v>1345</v>
      </c>
    </row>
    <row r="303" spans="1:15" x14ac:dyDescent="0.3">
      <c r="A303" s="130">
        <v>1664</v>
      </c>
      <c r="B303" s="130">
        <v>10</v>
      </c>
      <c r="C303" s="130" t="s">
        <v>1927</v>
      </c>
      <c r="D303">
        <v>3269</v>
      </c>
      <c r="E303" s="130">
        <v>2557240</v>
      </c>
      <c r="F303" t="s">
        <v>87</v>
      </c>
      <c r="G303">
        <v>358</v>
      </c>
      <c r="H303" t="s">
        <v>8952</v>
      </c>
      <c r="I303" s="131">
        <v>43</v>
      </c>
      <c r="J303" t="s">
        <v>1927</v>
      </c>
      <c r="K303" t="s">
        <v>95</v>
      </c>
      <c r="L303" t="s">
        <v>8952</v>
      </c>
      <c r="M303" t="s">
        <v>133</v>
      </c>
      <c r="N303" t="s">
        <v>101</v>
      </c>
      <c r="O303" t="s">
        <v>1345</v>
      </c>
    </row>
    <row r="304" spans="1:15" x14ac:dyDescent="0.3">
      <c r="A304" s="130">
        <v>1671</v>
      </c>
      <c r="B304" s="130">
        <v>18</v>
      </c>
      <c r="C304" s="130" t="s">
        <v>1928</v>
      </c>
      <c r="D304">
        <v>3601</v>
      </c>
      <c r="E304" s="130">
        <v>67434639</v>
      </c>
      <c r="F304" t="s">
        <v>87</v>
      </c>
      <c r="G304">
        <v>78</v>
      </c>
      <c r="H304" t="s">
        <v>8953</v>
      </c>
      <c r="I304" s="130">
        <v>9</v>
      </c>
      <c r="J304" t="s">
        <v>1928</v>
      </c>
      <c r="K304" t="s">
        <v>108</v>
      </c>
      <c r="L304" t="s">
        <v>8953</v>
      </c>
      <c r="M304" t="s">
        <v>112</v>
      </c>
      <c r="N304" t="s">
        <v>98</v>
      </c>
      <c r="O304" t="s">
        <v>1345</v>
      </c>
    </row>
    <row r="305" spans="1:15" x14ac:dyDescent="0.3">
      <c r="A305" s="130">
        <v>1672</v>
      </c>
      <c r="B305" s="130">
        <v>30</v>
      </c>
      <c r="C305" s="130" t="s">
        <v>1929</v>
      </c>
      <c r="D305">
        <v>3602</v>
      </c>
      <c r="E305" s="130">
        <v>63827026</v>
      </c>
      <c r="F305" t="s">
        <v>87</v>
      </c>
      <c r="G305">
        <v>78</v>
      </c>
      <c r="H305" t="s">
        <v>8951</v>
      </c>
      <c r="I305" s="131">
        <v>10</v>
      </c>
      <c r="J305" t="s">
        <v>1929</v>
      </c>
      <c r="K305" t="s">
        <v>108</v>
      </c>
      <c r="L305" t="s">
        <v>8951</v>
      </c>
      <c r="M305" t="s">
        <v>103</v>
      </c>
      <c r="N305" t="s">
        <v>118</v>
      </c>
      <c r="O305" t="s">
        <v>1345</v>
      </c>
    </row>
    <row r="306" spans="1:15" x14ac:dyDescent="0.3">
      <c r="A306" s="130">
        <v>1675</v>
      </c>
      <c r="B306" s="130">
        <v>18</v>
      </c>
      <c r="C306" s="130" t="s">
        <v>1930</v>
      </c>
      <c r="D306">
        <v>3609</v>
      </c>
      <c r="E306" s="131">
        <v>7207251</v>
      </c>
      <c r="F306" t="s">
        <v>87</v>
      </c>
      <c r="G306">
        <v>78</v>
      </c>
      <c r="H306" t="s">
        <v>8952</v>
      </c>
      <c r="I306" s="130">
        <v>9</v>
      </c>
      <c r="J306" t="s">
        <v>1930</v>
      </c>
      <c r="K306" t="s">
        <v>108</v>
      </c>
      <c r="L306" t="s">
        <v>8952</v>
      </c>
      <c r="M306" t="s">
        <v>112</v>
      </c>
      <c r="N306" t="s">
        <v>98</v>
      </c>
      <c r="O306" t="s">
        <v>1345</v>
      </c>
    </row>
    <row r="307" spans="1:15" x14ac:dyDescent="0.3">
      <c r="A307" s="130">
        <v>1676</v>
      </c>
      <c r="B307" s="130">
        <v>60</v>
      </c>
      <c r="C307" s="130" t="s">
        <v>1931</v>
      </c>
      <c r="D307">
        <v>3611</v>
      </c>
      <c r="E307" s="131">
        <v>33592510</v>
      </c>
      <c r="F307" t="s">
        <v>87</v>
      </c>
      <c r="G307">
        <v>77</v>
      </c>
      <c r="H307" t="s">
        <v>8953</v>
      </c>
      <c r="I307" s="130">
        <v>41</v>
      </c>
      <c r="J307" t="s">
        <v>1931</v>
      </c>
      <c r="K307" t="s">
        <v>95</v>
      </c>
      <c r="L307" t="s">
        <v>8953</v>
      </c>
      <c r="M307" t="s">
        <v>97</v>
      </c>
      <c r="N307" t="s">
        <v>118</v>
      </c>
      <c r="O307" t="s">
        <v>1345</v>
      </c>
    </row>
    <row r="308" spans="1:15" x14ac:dyDescent="0.3">
      <c r="A308" s="130">
        <v>1679</v>
      </c>
      <c r="B308" s="130">
        <v>60</v>
      </c>
      <c r="C308" s="130" t="s">
        <v>1932</v>
      </c>
      <c r="D308">
        <v>3613</v>
      </c>
      <c r="E308" s="130">
        <v>10279488</v>
      </c>
      <c r="F308" t="s">
        <v>87</v>
      </c>
      <c r="G308">
        <v>77</v>
      </c>
      <c r="H308" t="s">
        <v>8951</v>
      </c>
      <c r="I308" s="130">
        <v>3</v>
      </c>
      <c r="J308" t="s">
        <v>1932</v>
      </c>
      <c r="K308" t="s">
        <v>95</v>
      </c>
      <c r="L308" t="s">
        <v>8951</v>
      </c>
      <c r="M308" t="s">
        <v>97</v>
      </c>
      <c r="N308" t="s">
        <v>118</v>
      </c>
      <c r="O308" t="s">
        <v>1345</v>
      </c>
    </row>
    <row r="309" spans="1:15" x14ac:dyDescent="0.3">
      <c r="A309" s="130">
        <v>1684</v>
      </c>
      <c r="B309" s="130">
        <v>60</v>
      </c>
      <c r="C309" s="130" t="s">
        <v>1933</v>
      </c>
      <c r="D309">
        <v>3621</v>
      </c>
      <c r="E309" s="130">
        <v>3176142</v>
      </c>
      <c r="F309" t="s">
        <v>87</v>
      </c>
      <c r="G309">
        <v>78</v>
      </c>
      <c r="H309" t="s">
        <v>8952</v>
      </c>
      <c r="I309" s="131">
        <v>9</v>
      </c>
      <c r="J309" t="s">
        <v>1933</v>
      </c>
      <c r="K309" t="s">
        <v>108</v>
      </c>
      <c r="L309" t="s">
        <v>8952</v>
      </c>
      <c r="M309" t="s">
        <v>97</v>
      </c>
      <c r="N309" t="s">
        <v>98</v>
      </c>
      <c r="O309" t="s">
        <v>116</v>
      </c>
    </row>
    <row r="310" spans="1:15" x14ac:dyDescent="0.3">
      <c r="A310" s="130">
        <v>1686</v>
      </c>
      <c r="B310" s="130">
        <v>18</v>
      </c>
      <c r="C310" s="130" t="s">
        <v>1934</v>
      </c>
      <c r="D310">
        <v>3622</v>
      </c>
      <c r="E310" s="130">
        <v>25349440</v>
      </c>
      <c r="F310" t="s">
        <v>87</v>
      </c>
      <c r="G310">
        <v>358</v>
      </c>
      <c r="H310" t="s">
        <v>8953</v>
      </c>
      <c r="I310" s="130">
        <v>3</v>
      </c>
      <c r="J310" t="s">
        <v>1934</v>
      </c>
      <c r="K310" t="s">
        <v>95</v>
      </c>
      <c r="L310" t="s">
        <v>8953</v>
      </c>
      <c r="M310" t="s">
        <v>112</v>
      </c>
      <c r="N310" t="s">
        <v>98</v>
      </c>
      <c r="O310" t="s">
        <v>1345</v>
      </c>
    </row>
    <row r="311" spans="1:15" x14ac:dyDescent="0.3">
      <c r="A311" s="130">
        <v>1690</v>
      </c>
      <c r="B311" s="130">
        <v>18</v>
      </c>
      <c r="C311" s="130" t="s">
        <v>1935</v>
      </c>
      <c r="D311">
        <v>3626</v>
      </c>
      <c r="E311" s="131">
        <v>21624671</v>
      </c>
      <c r="F311" t="s">
        <v>87</v>
      </c>
      <c r="G311">
        <v>358</v>
      </c>
      <c r="H311" t="s">
        <v>8951</v>
      </c>
      <c r="I311" s="130">
        <v>3</v>
      </c>
      <c r="J311" t="s">
        <v>1935</v>
      </c>
      <c r="K311" t="s">
        <v>95</v>
      </c>
      <c r="L311" t="s">
        <v>8951</v>
      </c>
      <c r="M311" t="s">
        <v>112</v>
      </c>
      <c r="N311" t="s">
        <v>118</v>
      </c>
      <c r="O311" t="s">
        <v>1345</v>
      </c>
    </row>
    <row r="312" spans="1:15" x14ac:dyDescent="0.3">
      <c r="A312" s="130">
        <v>1693</v>
      </c>
      <c r="B312" s="130">
        <v>30</v>
      </c>
      <c r="C312" s="130" t="s">
        <v>1936</v>
      </c>
      <c r="D312">
        <v>3629</v>
      </c>
      <c r="E312" s="131">
        <v>41795584</v>
      </c>
      <c r="F312" t="s">
        <v>87</v>
      </c>
      <c r="G312">
        <v>358</v>
      </c>
      <c r="H312" t="s">
        <v>8952</v>
      </c>
      <c r="I312" s="130">
        <v>3</v>
      </c>
      <c r="J312" t="s">
        <v>1936</v>
      </c>
      <c r="K312" t="s">
        <v>108</v>
      </c>
      <c r="L312" t="s">
        <v>8952</v>
      </c>
      <c r="M312" t="s">
        <v>103</v>
      </c>
      <c r="N312" t="s">
        <v>98</v>
      </c>
      <c r="O312" t="s">
        <v>1345</v>
      </c>
    </row>
    <row r="313" spans="1:15" x14ac:dyDescent="0.3">
      <c r="A313" s="130">
        <v>1708</v>
      </c>
      <c r="B313" s="130">
        <v>18</v>
      </c>
      <c r="C313" s="130" t="s">
        <v>1937</v>
      </c>
      <c r="D313">
        <v>3643</v>
      </c>
      <c r="E313" s="131">
        <v>33028845</v>
      </c>
      <c r="F313" t="s">
        <v>87</v>
      </c>
      <c r="G313">
        <v>78</v>
      </c>
      <c r="H313" t="s">
        <v>8953</v>
      </c>
      <c r="I313" s="131">
        <v>9</v>
      </c>
      <c r="J313" t="s">
        <v>1937</v>
      </c>
      <c r="K313" t="s">
        <v>108</v>
      </c>
      <c r="L313" t="s">
        <v>8953</v>
      </c>
      <c r="M313" t="s">
        <v>112</v>
      </c>
      <c r="N313" t="s">
        <v>98</v>
      </c>
      <c r="O313" t="s">
        <v>116</v>
      </c>
    </row>
    <row r="314" spans="1:15" x14ac:dyDescent="0.3">
      <c r="A314" s="130">
        <v>1711</v>
      </c>
      <c r="B314" s="130">
        <v>18</v>
      </c>
      <c r="C314" s="130" t="s">
        <v>1938</v>
      </c>
      <c r="D314">
        <v>3660</v>
      </c>
      <c r="E314" s="131">
        <v>3092799</v>
      </c>
      <c r="F314" t="s">
        <v>87</v>
      </c>
      <c r="G314">
        <v>78</v>
      </c>
      <c r="H314" t="s">
        <v>8951</v>
      </c>
      <c r="I314" s="130">
        <v>40</v>
      </c>
      <c r="J314" t="s">
        <v>1938</v>
      </c>
      <c r="K314" t="s">
        <v>95</v>
      </c>
      <c r="L314" t="s">
        <v>8951</v>
      </c>
      <c r="M314" t="s">
        <v>112</v>
      </c>
      <c r="N314" t="s">
        <v>124</v>
      </c>
      <c r="O314" t="s">
        <v>1345</v>
      </c>
    </row>
    <row r="315" spans="1:15" x14ac:dyDescent="0.3">
      <c r="A315" s="130">
        <v>1714</v>
      </c>
      <c r="B315" s="130">
        <v>18</v>
      </c>
      <c r="C315" s="130" t="s">
        <v>1939</v>
      </c>
      <c r="D315">
        <v>3665</v>
      </c>
      <c r="E315" s="131">
        <v>13273219</v>
      </c>
      <c r="F315" t="s">
        <v>87</v>
      </c>
      <c r="G315">
        <v>78</v>
      </c>
      <c r="H315" t="s">
        <v>8952</v>
      </c>
      <c r="I315" s="130">
        <v>38</v>
      </c>
      <c r="J315" t="s">
        <v>1939</v>
      </c>
      <c r="K315" t="s">
        <v>108</v>
      </c>
      <c r="L315" t="s">
        <v>8952</v>
      </c>
      <c r="M315" t="s">
        <v>112</v>
      </c>
      <c r="N315" t="s">
        <v>132</v>
      </c>
      <c r="O315" t="s">
        <v>116</v>
      </c>
    </row>
    <row r="316" spans="1:15" x14ac:dyDescent="0.3">
      <c r="A316" s="130">
        <v>1725</v>
      </c>
      <c r="B316" s="130">
        <v>18</v>
      </c>
      <c r="C316" s="130" t="s">
        <v>1940</v>
      </c>
      <c r="D316">
        <v>3675</v>
      </c>
      <c r="E316" s="131">
        <v>53503652</v>
      </c>
      <c r="F316" t="s">
        <v>87</v>
      </c>
      <c r="G316">
        <v>78</v>
      </c>
      <c r="H316" t="s">
        <v>8953</v>
      </c>
      <c r="I316" s="130">
        <v>9</v>
      </c>
      <c r="J316" t="s">
        <v>1940</v>
      </c>
      <c r="K316" t="s">
        <v>95</v>
      </c>
      <c r="L316" t="s">
        <v>8953</v>
      </c>
      <c r="M316" t="s">
        <v>112</v>
      </c>
      <c r="N316" t="s">
        <v>98</v>
      </c>
      <c r="O316" t="s">
        <v>1345</v>
      </c>
    </row>
    <row r="317" spans="1:15" x14ac:dyDescent="0.3">
      <c r="A317" s="130">
        <v>1734</v>
      </c>
      <c r="B317" s="130">
        <v>30</v>
      </c>
      <c r="C317" s="130" t="s">
        <v>1941</v>
      </c>
      <c r="D317">
        <v>3689</v>
      </c>
      <c r="E317" s="130">
        <v>19739564</v>
      </c>
      <c r="F317" t="s">
        <v>87</v>
      </c>
      <c r="G317">
        <v>78</v>
      </c>
      <c r="H317" t="s">
        <v>8951</v>
      </c>
      <c r="I317" s="130">
        <v>3</v>
      </c>
      <c r="J317" t="s">
        <v>1941</v>
      </c>
      <c r="K317" t="s">
        <v>95</v>
      </c>
      <c r="L317" t="s">
        <v>8951</v>
      </c>
      <c r="M317" t="s">
        <v>103</v>
      </c>
      <c r="N317" t="s">
        <v>98</v>
      </c>
      <c r="O317" t="s">
        <v>1345</v>
      </c>
    </row>
    <row r="318" spans="1:15" x14ac:dyDescent="0.3">
      <c r="A318" s="130">
        <v>1743</v>
      </c>
      <c r="B318" s="130">
        <v>30</v>
      </c>
      <c r="C318" s="130" t="s">
        <v>1942</v>
      </c>
      <c r="D318">
        <v>3702</v>
      </c>
      <c r="E318" s="130">
        <v>7522191</v>
      </c>
      <c r="F318" t="s">
        <v>87</v>
      </c>
      <c r="G318">
        <v>78</v>
      </c>
      <c r="H318" t="s">
        <v>8952</v>
      </c>
      <c r="I318" s="130">
        <v>19</v>
      </c>
      <c r="J318" t="s">
        <v>1942</v>
      </c>
      <c r="K318" t="s">
        <v>95</v>
      </c>
      <c r="L318" t="s">
        <v>8952</v>
      </c>
      <c r="M318" t="s">
        <v>103</v>
      </c>
      <c r="N318" t="s">
        <v>98</v>
      </c>
      <c r="O318" t="s">
        <v>1345</v>
      </c>
    </row>
    <row r="319" spans="1:15" x14ac:dyDescent="0.3">
      <c r="A319" s="130">
        <v>1759</v>
      </c>
      <c r="B319" s="130">
        <v>5</v>
      </c>
      <c r="C319" s="130" t="s">
        <v>1943</v>
      </c>
      <c r="D319">
        <v>3710</v>
      </c>
      <c r="E319" s="130">
        <v>11520665</v>
      </c>
      <c r="F319" t="s">
        <v>87</v>
      </c>
      <c r="G319">
        <v>78</v>
      </c>
      <c r="H319" t="s">
        <v>8953</v>
      </c>
      <c r="I319" s="130">
        <v>19</v>
      </c>
      <c r="J319" t="s">
        <v>1943</v>
      </c>
      <c r="K319" t="s">
        <v>108</v>
      </c>
      <c r="L319" t="s">
        <v>8953</v>
      </c>
      <c r="M319" t="s">
        <v>129</v>
      </c>
      <c r="N319" t="s">
        <v>98</v>
      </c>
      <c r="O319" t="s">
        <v>1345</v>
      </c>
    </row>
    <row r="320" spans="1:15" x14ac:dyDescent="0.3">
      <c r="A320" s="130">
        <v>1766</v>
      </c>
      <c r="B320" s="130">
        <v>64</v>
      </c>
      <c r="C320" s="130" t="s">
        <v>1944</v>
      </c>
      <c r="D320">
        <v>3720</v>
      </c>
      <c r="E320" s="131">
        <v>655209</v>
      </c>
      <c r="F320" t="s">
        <v>87</v>
      </c>
      <c r="G320">
        <v>78</v>
      </c>
      <c r="H320" t="s">
        <v>8951</v>
      </c>
      <c r="I320" s="130">
        <v>9</v>
      </c>
      <c r="J320" t="s">
        <v>1944</v>
      </c>
      <c r="K320" t="s">
        <v>95</v>
      </c>
      <c r="L320" t="s">
        <v>8951</v>
      </c>
      <c r="M320" t="s">
        <v>165</v>
      </c>
      <c r="N320" t="s">
        <v>114</v>
      </c>
      <c r="O320" t="s">
        <v>116</v>
      </c>
    </row>
    <row r="321" spans="1:15" x14ac:dyDescent="0.3">
      <c r="A321" s="130">
        <v>1767</v>
      </c>
      <c r="B321" s="130">
        <v>10</v>
      </c>
      <c r="C321" s="130" t="s">
        <v>1945</v>
      </c>
      <c r="D321">
        <v>3714</v>
      </c>
      <c r="E321" s="130">
        <v>17212069</v>
      </c>
      <c r="F321" t="s">
        <v>87</v>
      </c>
      <c r="G321">
        <v>78</v>
      </c>
      <c r="H321" t="s">
        <v>8952</v>
      </c>
      <c r="I321" s="130">
        <v>2</v>
      </c>
      <c r="J321" t="s">
        <v>1945</v>
      </c>
      <c r="K321" t="s">
        <v>95</v>
      </c>
      <c r="L321" t="s">
        <v>8952</v>
      </c>
      <c r="M321" t="s">
        <v>133</v>
      </c>
      <c r="N321" t="s">
        <v>114</v>
      </c>
      <c r="O321" t="s">
        <v>1345</v>
      </c>
    </row>
    <row r="322" spans="1:15" x14ac:dyDescent="0.3">
      <c r="A322" s="130">
        <v>1774</v>
      </c>
      <c r="B322" s="130">
        <v>18</v>
      </c>
      <c r="C322" s="130" t="s">
        <v>1946</v>
      </c>
      <c r="D322">
        <v>3723</v>
      </c>
      <c r="E322" s="131">
        <v>39566338</v>
      </c>
      <c r="F322" t="s">
        <v>87</v>
      </c>
      <c r="G322">
        <v>358</v>
      </c>
      <c r="H322" t="s">
        <v>8953</v>
      </c>
      <c r="I322" s="131">
        <v>3</v>
      </c>
      <c r="J322" t="s">
        <v>1946</v>
      </c>
      <c r="K322" t="s">
        <v>95</v>
      </c>
      <c r="L322" t="s">
        <v>8953</v>
      </c>
      <c r="M322" t="s">
        <v>112</v>
      </c>
      <c r="N322" t="s">
        <v>118</v>
      </c>
      <c r="O322" t="s">
        <v>1345</v>
      </c>
    </row>
    <row r="323" spans="1:15" x14ac:dyDescent="0.3">
      <c r="A323" s="130">
        <v>1779</v>
      </c>
      <c r="B323" s="130">
        <v>45</v>
      </c>
      <c r="C323" s="130" t="s">
        <v>1947</v>
      </c>
      <c r="D323">
        <v>3726</v>
      </c>
      <c r="E323" s="130">
        <v>60498706</v>
      </c>
      <c r="F323" t="s">
        <v>87</v>
      </c>
      <c r="G323">
        <v>78</v>
      </c>
      <c r="H323" t="s">
        <v>8951</v>
      </c>
      <c r="I323" s="131">
        <v>10</v>
      </c>
      <c r="J323" t="s">
        <v>1947</v>
      </c>
      <c r="K323" t="s">
        <v>95</v>
      </c>
      <c r="L323" t="s">
        <v>8951</v>
      </c>
      <c r="M323" t="s">
        <v>106</v>
      </c>
      <c r="N323" t="s">
        <v>141</v>
      </c>
      <c r="O323" t="s">
        <v>1345</v>
      </c>
    </row>
    <row r="324" spans="1:15" x14ac:dyDescent="0.3">
      <c r="A324" s="130">
        <v>1793</v>
      </c>
      <c r="B324" s="130">
        <v>10</v>
      </c>
      <c r="C324" s="130" t="s">
        <v>1948</v>
      </c>
      <c r="D324">
        <v>3747</v>
      </c>
      <c r="E324" s="130">
        <v>18455423</v>
      </c>
      <c r="F324" t="s">
        <v>87</v>
      </c>
      <c r="G324">
        <v>358</v>
      </c>
      <c r="H324" t="s">
        <v>8952</v>
      </c>
      <c r="I324" s="131">
        <v>3</v>
      </c>
      <c r="J324" t="s">
        <v>1948</v>
      </c>
      <c r="K324" t="s">
        <v>95</v>
      </c>
      <c r="L324" t="s">
        <v>8952</v>
      </c>
      <c r="M324" t="s">
        <v>133</v>
      </c>
      <c r="N324" t="s">
        <v>98</v>
      </c>
      <c r="O324" t="s">
        <v>1345</v>
      </c>
    </row>
    <row r="325" spans="1:15" x14ac:dyDescent="0.3">
      <c r="A325" s="130">
        <v>1806</v>
      </c>
      <c r="B325" s="130">
        <v>15</v>
      </c>
      <c r="C325" s="130" t="s">
        <v>1949</v>
      </c>
      <c r="D325">
        <v>3760</v>
      </c>
      <c r="E325" s="131">
        <v>449291</v>
      </c>
      <c r="F325" t="s">
        <v>87</v>
      </c>
      <c r="G325">
        <v>358</v>
      </c>
      <c r="H325" t="s">
        <v>8953</v>
      </c>
      <c r="I325" s="130">
        <v>24</v>
      </c>
      <c r="J325" t="s">
        <v>1949</v>
      </c>
      <c r="K325" t="s">
        <v>108</v>
      </c>
      <c r="L325" t="s">
        <v>8953</v>
      </c>
      <c r="M325" t="s">
        <v>145</v>
      </c>
      <c r="N325" t="s">
        <v>98</v>
      </c>
      <c r="O325" t="s">
        <v>1345</v>
      </c>
    </row>
    <row r="326" spans="1:15" x14ac:dyDescent="0.3">
      <c r="A326" s="130">
        <v>1810</v>
      </c>
      <c r="B326" s="130">
        <v>-1</v>
      </c>
      <c r="C326" s="130" t="s">
        <v>1950</v>
      </c>
      <c r="D326">
        <v>3768</v>
      </c>
      <c r="E326" s="131">
        <v>19758842</v>
      </c>
      <c r="F326" t="s">
        <v>87</v>
      </c>
      <c r="G326">
        <v>78</v>
      </c>
      <c r="H326" t="s">
        <v>8951</v>
      </c>
      <c r="I326" s="131">
        <v>38</v>
      </c>
      <c r="J326" t="s">
        <v>1950</v>
      </c>
      <c r="K326" t="s">
        <v>108</v>
      </c>
      <c r="L326" t="s">
        <v>8951</v>
      </c>
      <c r="M326" t="s">
        <v>174</v>
      </c>
      <c r="N326" t="s">
        <v>98</v>
      </c>
      <c r="O326" t="s">
        <v>1345</v>
      </c>
    </row>
    <row r="327" spans="1:15" x14ac:dyDescent="0.3">
      <c r="A327" s="130">
        <v>1823</v>
      </c>
      <c r="B327" s="130">
        <v>18</v>
      </c>
      <c r="C327" s="130" t="s">
        <v>1951</v>
      </c>
      <c r="D327">
        <v>3780</v>
      </c>
      <c r="E327" s="130">
        <v>19744298</v>
      </c>
      <c r="F327" t="s">
        <v>87</v>
      </c>
      <c r="G327">
        <v>78</v>
      </c>
      <c r="H327" t="s">
        <v>8952</v>
      </c>
      <c r="I327" s="131">
        <v>38</v>
      </c>
      <c r="J327" t="s">
        <v>1951</v>
      </c>
      <c r="K327" t="s">
        <v>108</v>
      </c>
      <c r="L327" t="s">
        <v>8952</v>
      </c>
      <c r="M327" t="s">
        <v>112</v>
      </c>
      <c r="N327" t="s">
        <v>114</v>
      </c>
      <c r="O327" t="s">
        <v>1345</v>
      </c>
    </row>
    <row r="328" spans="1:15" x14ac:dyDescent="0.3">
      <c r="A328" s="130">
        <v>1824</v>
      </c>
      <c r="B328" s="130">
        <v>30</v>
      </c>
      <c r="C328" s="130" t="s">
        <v>1952</v>
      </c>
      <c r="D328">
        <v>3783</v>
      </c>
      <c r="E328" s="130">
        <v>7522191</v>
      </c>
      <c r="F328" t="s">
        <v>87</v>
      </c>
      <c r="G328">
        <v>358</v>
      </c>
      <c r="H328" t="s">
        <v>8953</v>
      </c>
      <c r="I328" s="131">
        <v>3</v>
      </c>
      <c r="J328" t="s">
        <v>1952</v>
      </c>
      <c r="K328" t="s">
        <v>95</v>
      </c>
      <c r="L328" t="s">
        <v>8953</v>
      </c>
      <c r="M328" t="s">
        <v>103</v>
      </c>
      <c r="N328" t="s">
        <v>98</v>
      </c>
      <c r="O328" t="s">
        <v>1345</v>
      </c>
    </row>
    <row r="329" spans="1:15" x14ac:dyDescent="0.3">
      <c r="A329" s="130">
        <v>1826</v>
      </c>
      <c r="B329" s="130">
        <v>30</v>
      </c>
      <c r="C329" s="130" t="s">
        <v>1953</v>
      </c>
      <c r="D329">
        <v>3785</v>
      </c>
      <c r="E329" s="130">
        <v>7522191</v>
      </c>
      <c r="F329" t="s">
        <v>87</v>
      </c>
      <c r="G329">
        <v>358</v>
      </c>
      <c r="H329" t="s">
        <v>8951</v>
      </c>
      <c r="I329" s="131">
        <v>3</v>
      </c>
      <c r="J329" t="s">
        <v>1953</v>
      </c>
      <c r="K329" t="s">
        <v>95</v>
      </c>
      <c r="L329" t="s">
        <v>8951</v>
      </c>
      <c r="M329" t="s">
        <v>103</v>
      </c>
      <c r="N329" t="s">
        <v>98</v>
      </c>
      <c r="O329" t="s">
        <v>1345</v>
      </c>
    </row>
    <row r="330" spans="1:15" x14ac:dyDescent="0.3">
      <c r="A330" s="130">
        <v>1836</v>
      </c>
      <c r="B330" s="130">
        <v>30</v>
      </c>
      <c r="C330" s="130" t="s">
        <v>1954</v>
      </c>
      <c r="D330">
        <v>3792</v>
      </c>
      <c r="E330" s="130">
        <v>132114</v>
      </c>
      <c r="F330" t="s">
        <v>87</v>
      </c>
      <c r="G330">
        <v>358</v>
      </c>
      <c r="H330" t="s">
        <v>8952</v>
      </c>
      <c r="I330" s="130">
        <v>9</v>
      </c>
      <c r="J330" t="s">
        <v>1954</v>
      </c>
      <c r="K330" t="s">
        <v>108</v>
      </c>
      <c r="L330" t="s">
        <v>8952</v>
      </c>
      <c r="M330" t="s">
        <v>103</v>
      </c>
      <c r="N330" t="s">
        <v>98</v>
      </c>
      <c r="O330" t="s">
        <v>1345</v>
      </c>
    </row>
    <row r="331" spans="1:15" x14ac:dyDescent="0.3">
      <c r="A331" s="130">
        <v>1837</v>
      </c>
      <c r="B331" s="130">
        <v>-1</v>
      </c>
      <c r="C331" s="130" t="s">
        <v>1955</v>
      </c>
      <c r="D331">
        <v>3793</v>
      </c>
      <c r="E331" s="130">
        <v>37746357</v>
      </c>
      <c r="F331" t="s">
        <v>87</v>
      </c>
      <c r="G331">
        <v>358</v>
      </c>
      <c r="H331" t="s">
        <v>8953</v>
      </c>
      <c r="I331" s="131">
        <v>3</v>
      </c>
      <c r="J331" t="s">
        <v>1955</v>
      </c>
      <c r="K331" t="s">
        <v>108</v>
      </c>
      <c r="L331" t="s">
        <v>8953</v>
      </c>
      <c r="M331" t="s">
        <v>174</v>
      </c>
      <c r="N331" t="s">
        <v>98</v>
      </c>
      <c r="O331" t="s">
        <v>1345</v>
      </c>
    </row>
    <row r="332" spans="1:15" x14ac:dyDescent="0.3">
      <c r="A332" s="130">
        <v>1844</v>
      </c>
      <c r="B332" s="130">
        <v>18</v>
      </c>
      <c r="C332" s="130" t="s">
        <v>1956</v>
      </c>
      <c r="D332">
        <v>3802</v>
      </c>
      <c r="E332" s="130">
        <v>30251654</v>
      </c>
      <c r="F332" t="s">
        <v>87</v>
      </c>
      <c r="G332">
        <v>78</v>
      </c>
      <c r="H332" t="s">
        <v>8951</v>
      </c>
      <c r="I332" s="130">
        <v>9</v>
      </c>
      <c r="J332" t="s">
        <v>1956</v>
      </c>
      <c r="K332" t="s">
        <v>95</v>
      </c>
      <c r="L332" t="s">
        <v>8951</v>
      </c>
      <c r="M332" t="s">
        <v>112</v>
      </c>
      <c r="N332" t="s">
        <v>98</v>
      </c>
      <c r="O332" t="s">
        <v>1345</v>
      </c>
    </row>
    <row r="333" spans="1:15" x14ac:dyDescent="0.3">
      <c r="A333" s="130">
        <v>1847</v>
      </c>
      <c r="B333" s="130">
        <v>-1</v>
      </c>
      <c r="C333" s="130" t="s">
        <v>1957</v>
      </c>
      <c r="D333">
        <v>3811</v>
      </c>
      <c r="E333" s="131">
        <v>15821368</v>
      </c>
      <c r="F333" t="s">
        <v>87</v>
      </c>
      <c r="G333">
        <v>78</v>
      </c>
      <c r="H333" t="s">
        <v>8952</v>
      </c>
      <c r="I333" s="130">
        <v>9</v>
      </c>
      <c r="J333" t="s">
        <v>1957</v>
      </c>
      <c r="K333" t="s">
        <v>95</v>
      </c>
      <c r="L333" t="s">
        <v>8952</v>
      </c>
      <c r="M333" t="s">
        <v>174</v>
      </c>
      <c r="N333" t="s">
        <v>98</v>
      </c>
      <c r="O333" t="s">
        <v>1345</v>
      </c>
    </row>
    <row r="334" spans="1:15" x14ac:dyDescent="0.3">
      <c r="A334" s="130">
        <v>1862</v>
      </c>
      <c r="B334" s="130">
        <v>18</v>
      </c>
      <c r="C334" s="130" t="s">
        <v>1958</v>
      </c>
      <c r="D334">
        <v>3825</v>
      </c>
      <c r="E334" s="131">
        <v>61584223</v>
      </c>
      <c r="F334" t="s">
        <v>87</v>
      </c>
      <c r="G334">
        <v>358</v>
      </c>
      <c r="H334" t="s">
        <v>8953</v>
      </c>
      <c r="I334" s="131">
        <v>3</v>
      </c>
      <c r="J334" t="s">
        <v>1958</v>
      </c>
      <c r="K334" t="s">
        <v>95</v>
      </c>
      <c r="L334" t="s">
        <v>8953</v>
      </c>
      <c r="M334" t="s">
        <v>112</v>
      </c>
      <c r="N334" t="s">
        <v>98</v>
      </c>
      <c r="O334" t="s">
        <v>116</v>
      </c>
    </row>
    <row r="335" spans="1:15" x14ac:dyDescent="0.3">
      <c r="A335" s="130">
        <v>1866</v>
      </c>
      <c r="B335" s="130">
        <v>5</v>
      </c>
      <c r="C335" s="130" t="s">
        <v>1959</v>
      </c>
      <c r="D335">
        <v>3830</v>
      </c>
      <c r="E335" s="130">
        <v>9550684</v>
      </c>
      <c r="F335" t="s">
        <v>87</v>
      </c>
      <c r="G335">
        <v>358</v>
      </c>
      <c r="H335" t="s">
        <v>8951</v>
      </c>
      <c r="I335" s="130">
        <v>9</v>
      </c>
      <c r="J335" t="s">
        <v>1959</v>
      </c>
      <c r="K335" t="s">
        <v>108</v>
      </c>
      <c r="L335" t="s">
        <v>8951</v>
      </c>
      <c r="M335" t="s">
        <v>129</v>
      </c>
      <c r="N335" t="s">
        <v>98</v>
      </c>
      <c r="O335" t="s">
        <v>1345</v>
      </c>
    </row>
    <row r="336" spans="1:15" x14ac:dyDescent="0.3">
      <c r="A336" s="130">
        <v>1869</v>
      </c>
      <c r="B336" s="130">
        <v>30</v>
      </c>
      <c r="C336" s="130" t="s">
        <v>1960</v>
      </c>
      <c r="D336">
        <v>3834</v>
      </c>
      <c r="E336" s="130">
        <v>8343492</v>
      </c>
      <c r="F336" t="s">
        <v>87</v>
      </c>
      <c r="G336">
        <v>78</v>
      </c>
      <c r="H336" t="s">
        <v>8952</v>
      </c>
      <c r="I336" s="130">
        <v>24</v>
      </c>
      <c r="J336" t="s">
        <v>1960</v>
      </c>
      <c r="K336" t="s">
        <v>95</v>
      </c>
      <c r="L336" t="s">
        <v>8952</v>
      </c>
      <c r="M336" t="s">
        <v>103</v>
      </c>
      <c r="N336" t="s">
        <v>98</v>
      </c>
      <c r="O336" t="s">
        <v>1345</v>
      </c>
    </row>
    <row r="337" spans="1:15" x14ac:dyDescent="0.3">
      <c r="A337" s="130">
        <v>1876</v>
      </c>
      <c r="B337" s="130">
        <v>30</v>
      </c>
      <c r="C337" s="130" t="s">
        <v>1961</v>
      </c>
      <c r="D337">
        <v>3849</v>
      </c>
      <c r="E337" s="130">
        <v>18540906</v>
      </c>
      <c r="F337" t="s">
        <v>87</v>
      </c>
      <c r="G337">
        <v>78</v>
      </c>
      <c r="H337" t="s">
        <v>8953</v>
      </c>
      <c r="I337" s="131">
        <v>9</v>
      </c>
      <c r="J337" t="s">
        <v>1961</v>
      </c>
      <c r="K337" t="s">
        <v>108</v>
      </c>
      <c r="L337" t="s">
        <v>8953</v>
      </c>
      <c r="M337" t="s">
        <v>103</v>
      </c>
      <c r="N337" t="s">
        <v>98</v>
      </c>
      <c r="O337" t="s">
        <v>116</v>
      </c>
    </row>
    <row r="338" spans="1:15" x14ac:dyDescent="0.3">
      <c r="A338" s="130">
        <v>1878</v>
      </c>
      <c r="B338" s="130">
        <v>60</v>
      </c>
      <c r="C338" s="130" t="s">
        <v>1962</v>
      </c>
      <c r="D338">
        <v>3852</v>
      </c>
      <c r="E338" s="130">
        <v>33592510</v>
      </c>
      <c r="F338" t="s">
        <v>87</v>
      </c>
      <c r="G338">
        <v>77</v>
      </c>
      <c r="H338" t="s">
        <v>8951</v>
      </c>
      <c r="I338" s="130">
        <v>2</v>
      </c>
      <c r="J338" t="s">
        <v>1962</v>
      </c>
      <c r="K338" t="s">
        <v>95</v>
      </c>
      <c r="L338" t="s">
        <v>8951</v>
      </c>
      <c r="M338" t="s">
        <v>97</v>
      </c>
      <c r="N338" t="s">
        <v>118</v>
      </c>
      <c r="O338" t="s">
        <v>1345</v>
      </c>
    </row>
    <row r="339" spans="1:15" x14ac:dyDescent="0.3">
      <c r="A339" s="130">
        <v>1879</v>
      </c>
      <c r="B339" s="130">
        <v>60</v>
      </c>
      <c r="C339" s="130" t="s">
        <v>1963</v>
      </c>
      <c r="D339">
        <v>3854</v>
      </c>
      <c r="E339" s="130">
        <v>9625762</v>
      </c>
      <c r="F339" t="s">
        <v>87</v>
      </c>
      <c r="G339">
        <v>78</v>
      </c>
      <c r="H339" t="s">
        <v>8952</v>
      </c>
      <c r="I339" s="130">
        <v>43</v>
      </c>
      <c r="J339" t="s">
        <v>1963</v>
      </c>
      <c r="K339" t="s">
        <v>95</v>
      </c>
      <c r="L339" t="s">
        <v>8952</v>
      </c>
      <c r="M339" t="s">
        <v>97</v>
      </c>
      <c r="N339" t="s">
        <v>150</v>
      </c>
      <c r="O339" t="s">
        <v>1345</v>
      </c>
    </row>
    <row r="340" spans="1:15" x14ac:dyDescent="0.3">
      <c r="A340" s="130">
        <v>1880</v>
      </c>
      <c r="B340" s="130">
        <v>30</v>
      </c>
      <c r="C340" s="130" t="s">
        <v>1964</v>
      </c>
      <c r="D340">
        <v>3858</v>
      </c>
      <c r="E340" s="130">
        <v>41795584</v>
      </c>
      <c r="F340" t="s">
        <v>87</v>
      </c>
      <c r="G340">
        <v>358</v>
      </c>
      <c r="H340" t="s">
        <v>8953</v>
      </c>
      <c r="I340" s="130">
        <v>3</v>
      </c>
      <c r="J340" t="s">
        <v>1964</v>
      </c>
      <c r="K340" t="s">
        <v>108</v>
      </c>
      <c r="L340" t="s">
        <v>8953</v>
      </c>
      <c r="M340" t="s">
        <v>103</v>
      </c>
      <c r="N340" t="s">
        <v>98</v>
      </c>
      <c r="O340" t="s">
        <v>116</v>
      </c>
    </row>
    <row r="341" spans="1:15" x14ac:dyDescent="0.3">
      <c r="A341" s="130">
        <v>1885</v>
      </c>
      <c r="B341" s="130">
        <v>30</v>
      </c>
      <c r="C341" s="130" t="s">
        <v>1965</v>
      </c>
      <c r="D341">
        <v>3863</v>
      </c>
      <c r="E341" s="130">
        <v>13298043</v>
      </c>
      <c r="F341" t="s">
        <v>87</v>
      </c>
      <c r="G341">
        <v>78</v>
      </c>
      <c r="H341" t="s">
        <v>8951</v>
      </c>
      <c r="I341" s="131">
        <v>18</v>
      </c>
      <c r="J341" t="s">
        <v>1965</v>
      </c>
      <c r="K341" t="s">
        <v>108</v>
      </c>
      <c r="L341" t="s">
        <v>8951</v>
      </c>
      <c r="M341" t="s">
        <v>103</v>
      </c>
      <c r="N341" t="s">
        <v>98</v>
      </c>
      <c r="O341" t="s">
        <v>1345</v>
      </c>
    </row>
    <row r="342" spans="1:15" x14ac:dyDescent="0.3">
      <c r="A342" s="130">
        <v>1887</v>
      </c>
      <c r="B342" s="130">
        <v>18</v>
      </c>
      <c r="C342" s="130" t="s">
        <v>1966</v>
      </c>
      <c r="D342">
        <v>3868</v>
      </c>
      <c r="E342" s="130">
        <v>11387157</v>
      </c>
      <c r="F342" t="s">
        <v>87</v>
      </c>
      <c r="G342">
        <v>78</v>
      </c>
      <c r="H342" t="s">
        <v>8952</v>
      </c>
      <c r="I342" s="131">
        <v>18</v>
      </c>
      <c r="J342" t="s">
        <v>1966</v>
      </c>
      <c r="K342" t="s">
        <v>108</v>
      </c>
      <c r="L342" t="s">
        <v>8952</v>
      </c>
      <c r="M342" t="s">
        <v>112</v>
      </c>
      <c r="N342" t="s">
        <v>98</v>
      </c>
      <c r="O342" t="s">
        <v>1345</v>
      </c>
    </row>
    <row r="343" spans="1:15" x14ac:dyDescent="0.3">
      <c r="A343" s="130">
        <v>1894</v>
      </c>
      <c r="B343" s="130">
        <v>18</v>
      </c>
      <c r="C343" s="130" t="s">
        <v>1967</v>
      </c>
      <c r="D343">
        <v>3872</v>
      </c>
      <c r="E343" s="130">
        <v>41753316</v>
      </c>
      <c r="F343" t="s">
        <v>87</v>
      </c>
      <c r="G343">
        <v>78</v>
      </c>
      <c r="H343" t="s">
        <v>8953</v>
      </c>
      <c r="I343" s="130">
        <v>38</v>
      </c>
      <c r="J343" t="s">
        <v>1967</v>
      </c>
      <c r="K343" t="s">
        <v>108</v>
      </c>
      <c r="L343" t="s">
        <v>8953</v>
      </c>
      <c r="M343" t="s">
        <v>112</v>
      </c>
      <c r="N343" t="s">
        <v>98</v>
      </c>
      <c r="O343" t="s">
        <v>1345</v>
      </c>
    </row>
    <row r="344" spans="1:15" x14ac:dyDescent="0.3">
      <c r="A344" s="130">
        <v>1899</v>
      </c>
      <c r="B344" s="130">
        <v>18</v>
      </c>
      <c r="C344" s="130" t="s">
        <v>1968</v>
      </c>
      <c r="D344">
        <v>3884</v>
      </c>
      <c r="E344" s="130">
        <v>18540906</v>
      </c>
      <c r="F344" t="s">
        <v>87</v>
      </c>
      <c r="G344">
        <v>358</v>
      </c>
      <c r="H344" t="s">
        <v>8951</v>
      </c>
      <c r="I344" s="131">
        <v>10</v>
      </c>
      <c r="J344" t="s">
        <v>1968</v>
      </c>
      <c r="K344" t="s">
        <v>108</v>
      </c>
      <c r="L344" t="s">
        <v>8951</v>
      </c>
      <c r="M344" t="s">
        <v>112</v>
      </c>
      <c r="N344" t="s">
        <v>98</v>
      </c>
      <c r="O344" t="s">
        <v>1345</v>
      </c>
    </row>
    <row r="345" spans="1:15" x14ac:dyDescent="0.3">
      <c r="A345" s="130">
        <v>1911</v>
      </c>
      <c r="B345" s="130">
        <v>28</v>
      </c>
      <c r="C345" s="130" t="s">
        <v>1969</v>
      </c>
      <c r="D345">
        <v>3900</v>
      </c>
      <c r="E345" s="130">
        <v>36991649</v>
      </c>
      <c r="F345" t="s">
        <v>87</v>
      </c>
      <c r="G345">
        <v>78</v>
      </c>
      <c r="H345" t="s">
        <v>8952</v>
      </c>
      <c r="I345" s="131">
        <v>24</v>
      </c>
      <c r="J345" t="s">
        <v>1969</v>
      </c>
      <c r="K345" t="s">
        <v>95</v>
      </c>
      <c r="L345" t="s">
        <v>8952</v>
      </c>
      <c r="M345" t="s">
        <v>130</v>
      </c>
      <c r="N345" t="s">
        <v>98</v>
      </c>
      <c r="O345" t="s">
        <v>1345</v>
      </c>
    </row>
    <row r="346" spans="1:15" x14ac:dyDescent="0.3">
      <c r="A346" s="130">
        <v>1915</v>
      </c>
      <c r="B346" s="130">
        <v>18</v>
      </c>
      <c r="C346" s="130" t="s">
        <v>1970</v>
      </c>
      <c r="D346">
        <v>3907</v>
      </c>
      <c r="E346" s="131">
        <v>7792949</v>
      </c>
      <c r="F346" t="s">
        <v>87</v>
      </c>
      <c r="G346">
        <v>78</v>
      </c>
      <c r="H346" t="s">
        <v>8953</v>
      </c>
      <c r="I346" s="131">
        <v>9</v>
      </c>
      <c r="J346" t="s">
        <v>1970</v>
      </c>
      <c r="K346" t="s">
        <v>95</v>
      </c>
      <c r="L346" t="s">
        <v>8953</v>
      </c>
      <c r="M346" t="s">
        <v>112</v>
      </c>
      <c r="N346" t="s">
        <v>98</v>
      </c>
      <c r="O346" t="s">
        <v>1345</v>
      </c>
    </row>
    <row r="347" spans="1:15" x14ac:dyDescent="0.3">
      <c r="A347" s="130">
        <v>1918</v>
      </c>
      <c r="B347" s="130">
        <v>18</v>
      </c>
      <c r="C347" s="130" t="s">
        <v>1971</v>
      </c>
      <c r="D347">
        <v>3686</v>
      </c>
      <c r="E347" s="130">
        <v>20098146</v>
      </c>
      <c r="F347" t="s">
        <v>87</v>
      </c>
      <c r="G347">
        <v>78</v>
      </c>
      <c r="H347" t="s">
        <v>8951</v>
      </c>
      <c r="I347" s="130">
        <v>9</v>
      </c>
      <c r="J347" t="s">
        <v>1971</v>
      </c>
      <c r="K347" t="s">
        <v>95</v>
      </c>
      <c r="L347" t="s">
        <v>8951</v>
      </c>
      <c r="M347" t="s">
        <v>112</v>
      </c>
      <c r="N347" t="s">
        <v>114</v>
      </c>
      <c r="O347" t="s">
        <v>116</v>
      </c>
    </row>
    <row r="348" spans="1:15" x14ac:dyDescent="0.3">
      <c r="A348" s="130">
        <v>1926</v>
      </c>
      <c r="B348" s="130">
        <v>90</v>
      </c>
      <c r="C348" s="130" t="s">
        <v>1972</v>
      </c>
      <c r="D348">
        <v>3916</v>
      </c>
      <c r="E348" s="130">
        <v>655209</v>
      </c>
      <c r="F348" t="s">
        <v>87</v>
      </c>
      <c r="G348">
        <v>78</v>
      </c>
      <c r="H348" t="s">
        <v>8952</v>
      </c>
      <c r="I348" s="131">
        <v>9</v>
      </c>
      <c r="J348" t="s">
        <v>1972</v>
      </c>
      <c r="K348" t="s">
        <v>95</v>
      </c>
      <c r="L348" t="s">
        <v>8952</v>
      </c>
      <c r="M348" t="s">
        <v>170</v>
      </c>
      <c r="N348" t="s">
        <v>114</v>
      </c>
      <c r="O348" t="s">
        <v>116</v>
      </c>
    </row>
    <row r="349" spans="1:15" x14ac:dyDescent="0.3">
      <c r="A349" s="130">
        <v>1931</v>
      </c>
      <c r="B349" s="130">
        <v>5</v>
      </c>
      <c r="C349" s="130" t="s">
        <v>1973</v>
      </c>
      <c r="D349">
        <v>3926</v>
      </c>
      <c r="E349" s="131">
        <v>12010895</v>
      </c>
      <c r="F349" t="s">
        <v>87</v>
      </c>
      <c r="G349">
        <v>78</v>
      </c>
      <c r="H349" t="s">
        <v>8953</v>
      </c>
      <c r="I349" s="130">
        <v>10</v>
      </c>
      <c r="J349" t="s">
        <v>1973</v>
      </c>
      <c r="K349" t="s">
        <v>108</v>
      </c>
      <c r="L349" t="s">
        <v>8953</v>
      </c>
      <c r="M349" t="s">
        <v>129</v>
      </c>
      <c r="N349" t="s">
        <v>114</v>
      </c>
      <c r="O349" t="s">
        <v>1345</v>
      </c>
    </row>
    <row r="350" spans="1:15" x14ac:dyDescent="0.3">
      <c r="A350" s="130">
        <v>1947</v>
      </c>
      <c r="B350" s="130">
        <v>30</v>
      </c>
      <c r="C350" s="130" t="s">
        <v>1974</v>
      </c>
      <c r="D350">
        <v>3952</v>
      </c>
      <c r="E350" s="131">
        <v>17185786</v>
      </c>
      <c r="F350" t="s">
        <v>87</v>
      </c>
      <c r="G350">
        <v>78</v>
      </c>
      <c r="H350" t="s">
        <v>8951</v>
      </c>
      <c r="I350" s="131">
        <v>3</v>
      </c>
      <c r="J350" t="s">
        <v>1974</v>
      </c>
      <c r="K350" t="s">
        <v>95</v>
      </c>
      <c r="L350" t="s">
        <v>8951</v>
      </c>
      <c r="M350" t="s">
        <v>103</v>
      </c>
      <c r="N350" t="s">
        <v>98</v>
      </c>
      <c r="O350" t="s">
        <v>1345</v>
      </c>
    </row>
    <row r="351" spans="1:15" x14ac:dyDescent="0.3">
      <c r="A351" s="130">
        <v>1953</v>
      </c>
      <c r="B351" s="130">
        <v>18</v>
      </c>
      <c r="C351" s="130" t="s">
        <v>1975</v>
      </c>
      <c r="D351">
        <v>3960</v>
      </c>
      <c r="E351" s="130">
        <v>10558895</v>
      </c>
      <c r="F351" t="s">
        <v>87</v>
      </c>
      <c r="G351">
        <v>78</v>
      </c>
      <c r="H351" t="s">
        <v>8952</v>
      </c>
      <c r="I351" s="131">
        <v>24</v>
      </c>
      <c r="J351" t="s">
        <v>1975</v>
      </c>
      <c r="K351" t="s">
        <v>95</v>
      </c>
      <c r="L351" t="s">
        <v>8952</v>
      </c>
      <c r="M351" t="s">
        <v>112</v>
      </c>
      <c r="N351" t="s">
        <v>98</v>
      </c>
      <c r="O351" t="s">
        <v>1345</v>
      </c>
    </row>
    <row r="352" spans="1:15" x14ac:dyDescent="0.3">
      <c r="A352" s="130">
        <v>1958</v>
      </c>
      <c r="B352" s="130">
        <v>18</v>
      </c>
      <c r="C352" s="130" t="s">
        <v>1976</v>
      </c>
      <c r="D352">
        <v>3967</v>
      </c>
      <c r="E352" s="131">
        <v>29099910</v>
      </c>
      <c r="F352" t="s">
        <v>87</v>
      </c>
      <c r="G352">
        <v>78</v>
      </c>
      <c r="H352" t="s">
        <v>8953</v>
      </c>
      <c r="I352" s="130">
        <v>24</v>
      </c>
      <c r="J352" t="s">
        <v>1976</v>
      </c>
      <c r="K352" t="s">
        <v>108</v>
      </c>
      <c r="L352" t="s">
        <v>8953</v>
      </c>
      <c r="M352" t="s">
        <v>112</v>
      </c>
      <c r="N352" t="s">
        <v>101</v>
      </c>
      <c r="O352" t="s">
        <v>1345</v>
      </c>
    </row>
    <row r="353" spans="1:15" x14ac:dyDescent="0.3">
      <c r="A353" s="130">
        <v>1960</v>
      </c>
      <c r="B353" s="130">
        <v>30</v>
      </c>
      <c r="C353" s="130" t="s">
        <v>1977</v>
      </c>
      <c r="D353">
        <v>3969</v>
      </c>
      <c r="E353" s="130">
        <v>33000167</v>
      </c>
      <c r="F353" t="s">
        <v>87</v>
      </c>
      <c r="G353">
        <v>358</v>
      </c>
      <c r="H353" t="s">
        <v>8951</v>
      </c>
      <c r="I353" s="130">
        <v>24</v>
      </c>
      <c r="J353" t="s">
        <v>1977</v>
      </c>
      <c r="K353" t="s">
        <v>95</v>
      </c>
      <c r="L353" t="s">
        <v>8951</v>
      </c>
      <c r="M353" t="s">
        <v>103</v>
      </c>
      <c r="N353" t="s">
        <v>114</v>
      </c>
      <c r="O353" t="s">
        <v>1345</v>
      </c>
    </row>
    <row r="354" spans="1:15" x14ac:dyDescent="0.3">
      <c r="A354" s="130">
        <v>1969</v>
      </c>
      <c r="B354" s="130">
        <v>18</v>
      </c>
      <c r="C354" s="130" t="s">
        <v>1978</v>
      </c>
      <c r="D354">
        <v>3982</v>
      </c>
      <c r="E354" s="130">
        <v>72367584</v>
      </c>
      <c r="F354" t="s">
        <v>87</v>
      </c>
      <c r="G354">
        <v>78</v>
      </c>
      <c r="H354" t="s">
        <v>8952</v>
      </c>
      <c r="I354" s="131">
        <v>18</v>
      </c>
      <c r="J354" t="s">
        <v>1978</v>
      </c>
      <c r="K354" t="s">
        <v>108</v>
      </c>
      <c r="L354" t="s">
        <v>8952</v>
      </c>
      <c r="M354" t="s">
        <v>112</v>
      </c>
      <c r="N354" t="s">
        <v>98</v>
      </c>
      <c r="O354" t="s">
        <v>1345</v>
      </c>
    </row>
    <row r="355" spans="1:15" x14ac:dyDescent="0.3">
      <c r="A355" s="130">
        <v>1971</v>
      </c>
      <c r="B355" s="130">
        <v>25</v>
      </c>
      <c r="C355" s="130" t="s">
        <v>1979</v>
      </c>
      <c r="D355">
        <v>3985</v>
      </c>
      <c r="E355" s="130">
        <v>237518</v>
      </c>
      <c r="F355" t="s">
        <v>87</v>
      </c>
      <c r="G355">
        <v>78</v>
      </c>
      <c r="H355" t="s">
        <v>8953</v>
      </c>
      <c r="I355" s="130">
        <v>3</v>
      </c>
      <c r="J355" t="s">
        <v>1979</v>
      </c>
      <c r="K355" t="s">
        <v>95</v>
      </c>
      <c r="L355" t="s">
        <v>8953</v>
      </c>
      <c r="M355" t="s">
        <v>164</v>
      </c>
      <c r="N355" t="s">
        <v>98</v>
      </c>
      <c r="O355" t="s">
        <v>1345</v>
      </c>
    </row>
    <row r="356" spans="1:15" x14ac:dyDescent="0.3">
      <c r="A356" s="130">
        <v>1973</v>
      </c>
      <c r="B356" s="130">
        <v>30</v>
      </c>
      <c r="C356" s="130" t="s">
        <v>1980</v>
      </c>
      <c r="D356">
        <v>3989</v>
      </c>
      <c r="E356" s="131">
        <v>17185786</v>
      </c>
      <c r="F356" t="s">
        <v>87</v>
      </c>
      <c r="G356">
        <v>78</v>
      </c>
      <c r="H356" t="s">
        <v>8951</v>
      </c>
      <c r="I356" s="130">
        <v>3</v>
      </c>
      <c r="J356" t="s">
        <v>1980</v>
      </c>
      <c r="K356" t="s">
        <v>95</v>
      </c>
      <c r="L356" t="s">
        <v>8951</v>
      </c>
      <c r="M356" t="s">
        <v>103</v>
      </c>
      <c r="N356" t="s">
        <v>98</v>
      </c>
      <c r="O356" t="s">
        <v>1345</v>
      </c>
    </row>
    <row r="357" spans="1:15" x14ac:dyDescent="0.3">
      <c r="A357" s="130">
        <v>1977</v>
      </c>
      <c r="B357" s="130">
        <v>10</v>
      </c>
      <c r="C357" s="130" t="s">
        <v>1981</v>
      </c>
      <c r="D357">
        <v>3995</v>
      </c>
      <c r="E357" s="130">
        <v>10964887</v>
      </c>
      <c r="F357" t="s">
        <v>87</v>
      </c>
      <c r="G357">
        <v>78</v>
      </c>
      <c r="H357" t="s">
        <v>8952</v>
      </c>
      <c r="I357" s="130">
        <v>10</v>
      </c>
      <c r="J357" t="s">
        <v>1981</v>
      </c>
      <c r="K357" t="s">
        <v>108</v>
      </c>
      <c r="L357" t="s">
        <v>8952</v>
      </c>
      <c r="M357" t="s">
        <v>133</v>
      </c>
      <c r="N357" t="s">
        <v>118</v>
      </c>
      <c r="O357" t="s">
        <v>1345</v>
      </c>
    </row>
    <row r="358" spans="1:15" x14ac:dyDescent="0.3">
      <c r="A358" s="130">
        <v>1987</v>
      </c>
      <c r="B358" s="130">
        <v>18</v>
      </c>
      <c r="C358" s="130" t="s">
        <v>1982</v>
      </c>
      <c r="D358">
        <v>4009</v>
      </c>
      <c r="E358" s="131">
        <v>17168907</v>
      </c>
      <c r="F358" t="s">
        <v>87</v>
      </c>
      <c r="G358">
        <v>358</v>
      </c>
      <c r="H358" t="s">
        <v>8953</v>
      </c>
      <c r="I358" s="130">
        <v>18</v>
      </c>
      <c r="J358" t="s">
        <v>1982</v>
      </c>
      <c r="K358" t="s">
        <v>108</v>
      </c>
      <c r="L358" t="s">
        <v>8953</v>
      </c>
      <c r="M358" t="s">
        <v>112</v>
      </c>
      <c r="N358" t="s">
        <v>98</v>
      </c>
      <c r="O358" t="s">
        <v>1345</v>
      </c>
    </row>
    <row r="359" spans="1:15" x14ac:dyDescent="0.3">
      <c r="A359" s="130">
        <v>1989</v>
      </c>
      <c r="B359" s="130">
        <v>18</v>
      </c>
      <c r="C359" s="130" t="s">
        <v>1983</v>
      </c>
      <c r="D359">
        <v>4012</v>
      </c>
      <c r="E359" s="131">
        <v>27125289</v>
      </c>
      <c r="F359" t="s">
        <v>87</v>
      </c>
      <c r="G359">
        <v>78</v>
      </c>
      <c r="H359" t="s">
        <v>8951</v>
      </c>
      <c r="I359" s="130">
        <v>9</v>
      </c>
      <c r="J359" t="s">
        <v>1983</v>
      </c>
      <c r="K359" t="s">
        <v>108</v>
      </c>
      <c r="L359" t="s">
        <v>8951</v>
      </c>
      <c r="M359" t="s">
        <v>112</v>
      </c>
      <c r="N359" t="s">
        <v>98</v>
      </c>
      <c r="O359" t="s">
        <v>1345</v>
      </c>
    </row>
    <row r="360" spans="1:15" x14ac:dyDescent="0.3">
      <c r="A360" s="130">
        <v>1992</v>
      </c>
      <c r="B360" s="130">
        <v>-1</v>
      </c>
      <c r="C360" s="130" t="s">
        <v>1984</v>
      </c>
      <c r="D360">
        <v>4015</v>
      </c>
      <c r="E360" s="130">
        <v>26366412</v>
      </c>
      <c r="F360" t="s">
        <v>87</v>
      </c>
      <c r="G360">
        <v>78</v>
      </c>
      <c r="H360" t="s">
        <v>8952</v>
      </c>
      <c r="I360" s="131">
        <v>9</v>
      </c>
      <c r="J360" t="s">
        <v>1984</v>
      </c>
      <c r="K360" t="s">
        <v>108</v>
      </c>
      <c r="L360" t="s">
        <v>8952</v>
      </c>
      <c r="M360" t="s">
        <v>174</v>
      </c>
      <c r="N360" t="s">
        <v>98</v>
      </c>
      <c r="O360" t="s">
        <v>116</v>
      </c>
    </row>
    <row r="361" spans="1:15" x14ac:dyDescent="0.3">
      <c r="A361" s="130">
        <v>2003</v>
      </c>
      <c r="B361" s="130">
        <v>10</v>
      </c>
      <c r="C361" s="130" t="s">
        <v>1985</v>
      </c>
      <c r="D361">
        <v>4032</v>
      </c>
      <c r="E361" s="131">
        <v>1535369</v>
      </c>
      <c r="F361" t="s">
        <v>87</v>
      </c>
      <c r="G361">
        <v>358</v>
      </c>
      <c r="H361" t="s">
        <v>8953</v>
      </c>
      <c r="I361" s="130">
        <v>3</v>
      </c>
      <c r="J361" t="s">
        <v>1985</v>
      </c>
      <c r="K361" t="s">
        <v>95</v>
      </c>
      <c r="L361" t="s">
        <v>8953</v>
      </c>
      <c r="M361" t="s">
        <v>133</v>
      </c>
      <c r="N361" t="s">
        <v>98</v>
      </c>
      <c r="O361" t="s">
        <v>1345</v>
      </c>
    </row>
    <row r="362" spans="1:15" x14ac:dyDescent="0.3">
      <c r="A362" s="130">
        <v>2007</v>
      </c>
      <c r="B362" s="130">
        <v>18</v>
      </c>
      <c r="C362" s="130" t="s">
        <v>1986</v>
      </c>
      <c r="D362">
        <v>4037</v>
      </c>
      <c r="E362" s="130">
        <v>3887613</v>
      </c>
      <c r="F362" t="s">
        <v>87</v>
      </c>
      <c r="G362">
        <v>78</v>
      </c>
      <c r="H362" t="s">
        <v>8951</v>
      </c>
      <c r="I362" s="131">
        <v>10</v>
      </c>
      <c r="J362" t="s">
        <v>1986</v>
      </c>
      <c r="K362" t="s">
        <v>108</v>
      </c>
      <c r="L362" t="s">
        <v>8951</v>
      </c>
      <c r="M362" t="s">
        <v>112</v>
      </c>
      <c r="N362" t="s">
        <v>118</v>
      </c>
      <c r="O362" t="s">
        <v>116</v>
      </c>
    </row>
    <row r="363" spans="1:15" x14ac:dyDescent="0.3">
      <c r="A363" s="130">
        <v>2008</v>
      </c>
      <c r="B363" s="130">
        <v>30</v>
      </c>
      <c r="C363" s="130" t="s">
        <v>1987</v>
      </c>
      <c r="D363">
        <v>4023</v>
      </c>
      <c r="E363" s="131">
        <v>41795584</v>
      </c>
      <c r="F363" t="s">
        <v>87</v>
      </c>
      <c r="G363">
        <v>358</v>
      </c>
      <c r="H363" t="s">
        <v>8952</v>
      </c>
      <c r="I363" s="130">
        <v>3</v>
      </c>
      <c r="J363" t="s">
        <v>1987</v>
      </c>
      <c r="K363" t="s">
        <v>108</v>
      </c>
      <c r="L363" t="s">
        <v>8952</v>
      </c>
      <c r="M363" t="s">
        <v>103</v>
      </c>
      <c r="N363" t="s">
        <v>98</v>
      </c>
      <c r="O363" t="s">
        <v>1345</v>
      </c>
    </row>
    <row r="364" spans="1:15" x14ac:dyDescent="0.3">
      <c r="A364" s="130">
        <v>2017</v>
      </c>
      <c r="B364" s="130">
        <v>60</v>
      </c>
      <c r="C364" s="130" t="s">
        <v>1988</v>
      </c>
      <c r="D364">
        <v>4047</v>
      </c>
      <c r="E364" s="131">
        <v>34209835</v>
      </c>
      <c r="F364" t="s">
        <v>87</v>
      </c>
      <c r="G364">
        <v>77</v>
      </c>
      <c r="H364" t="s">
        <v>8953</v>
      </c>
      <c r="I364" s="130">
        <v>10</v>
      </c>
      <c r="J364" t="s">
        <v>1988</v>
      </c>
      <c r="K364" t="s">
        <v>95</v>
      </c>
      <c r="L364" t="s">
        <v>8953</v>
      </c>
      <c r="M364" t="s">
        <v>97</v>
      </c>
      <c r="N364" t="s">
        <v>118</v>
      </c>
      <c r="O364" t="s">
        <v>1345</v>
      </c>
    </row>
    <row r="365" spans="1:15" x14ac:dyDescent="0.3">
      <c r="A365" s="130">
        <v>2025</v>
      </c>
      <c r="B365" s="130">
        <v>10</v>
      </c>
      <c r="C365" s="130" t="s">
        <v>1989</v>
      </c>
      <c r="D365">
        <v>4059</v>
      </c>
      <c r="E365" s="130">
        <v>18720938</v>
      </c>
      <c r="F365" t="s">
        <v>87</v>
      </c>
      <c r="G365">
        <v>77</v>
      </c>
      <c r="H365" t="s">
        <v>8951</v>
      </c>
      <c r="I365" s="131">
        <v>3</v>
      </c>
      <c r="J365" t="s">
        <v>1989</v>
      </c>
      <c r="K365" t="s">
        <v>108</v>
      </c>
      <c r="L365" t="s">
        <v>8951</v>
      </c>
      <c r="M365" t="s">
        <v>133</v>
      </c>
      <c r="N365" t="s">
        <v>131</v>
      </c>
      <c r="O365" t="s">
        <v>116</v>
      </c>
    </row>
    <row r="366" spans="1:15" x14ac:dyDescent="0.3">
      <c r="A366" s="130">
        <v>2043</v>
      </c>
      <c r="B366" s="130">
        <v>25</v>
      </c>
      <c r="C366" s="130" t="s">
        <v>1990</v>
      </c>
      <c r="D366">
        <v>4083</v>
      </c>
      <c r="E366" s="130">
        <v>237518</v>
      </c>
      <c r="F366" t="s">
        <v>87</v>
      </c>
      <c r="G366">
        <v>78</v>
      </c>
      <c r="H366" t="s">
        <v>8952</v>
      </c>
      <c r="I366" s="130">
        <v>3</v>
      </c>
      <c r="J366" t="s">
        <v>1990</v>
      </c>
      <c r="K366" t="s">
        <v>95</v>
      </c>
      <c r="L366" t="s">
        <v>8952</v>
      </c>
      <c r="M366" t="s">
        <v>164</v>
      </c>
      <c r="N366" t="s">
        <v>98</v>
      </c>
      <c r="O366" t="s">
        <v>1345</v>
      </c>
    </row>
    <row r="367" spans="1:15" x14ac:dyDescent="0.3">
      <c r="A367" s="130">
        <v>2045</v>
      </c>
      <c r="B367" s="130">
        <v>18</v>
      </c>
      <c r="C367" s="130" t="s">
        <v>1991</v>
      </c>
      <c r="D367">
        <v>4086</v>
      </c>
      <c r="E367" s="130">
        <v>242184</v>
      </c>
      <c r="F367" t="s">
        <v>87</v>
      </c>
      <c r="G367">
        <v>78</v>
      </c>
      <c r="H367" t="s">
        <v>8953</v>
      </c>
      <c r="I367" s="130">
        <v>9</v>
      </c>
      <c r="J367" t="s">
        <v>1991</v>
      </c>
      <c r="K367" t="s">
        <v>108</v>
      </c>
      <c r="L367" t="s">
        <v>8953</v>
      </c>
      <c r="M367" t="s">
        <v>112</v>
      </c>
      <c r="N367" t="s">
        <v>98</v>
      </c>
      <c r="O367" t="s">
        <v>116</v>
      </c>
    </row>
    <row r="368" spans="1:15" x14ac:dyDescent="0.3">
      <c r="A368" s="130">
        <v>2047</v>
      </c>
      <c r="B368" s="130">
        <v>18</v>
      </c>
      <c r="C368" s="130" t="s">
        <v>1992</v>
      </c>
      <c r="D368">
        <v>4087</v>
      </c>
      <c r="E368" s="131">
        <v>19739564</v>
      </c>
      <c r="F368" t="s">
        <v>87</v>
      </c>
      <c r="G368">
        <v>358</v>
      </c>
      <c r="H368" t="s">
        <v>8951</v>
      </c>
      <c r="I368" s="131">
        <v>3</v>
      </c>
      <c r="J368" t="s">
        <v>1992</v>
      </c>
      <c r="K368" t="s">
        <v>95</v>
      </c>
      <c r="L368" t="s">
        <v>8951</v>
      </c>
      <c r="M368" t="s">
        <v>112</v>
      </c>
      <c r="N368" t="s">
        <v>98</v>
      </c>
      <c r="O368" t="s">
        <v>1345</v>
      </c>
    </row>
    <row r="369" spans="1:15" x14ac:dyDescent="0.3">
      <c r="A369" s="130">
        <v>2054</v>
      </c>
      <c r="B369" s="130">
        <v>18</v>
      </c>
      <c r="C369" s="130" t="s">
        <v>1993</v>
      </c>
      <c r="D369">
        <v>4108</v>
      </c>
      <c r="E369" s="131">
        <v>19727473</v>
      </c>
      <c r="F369" t="s">
        <v>87</v>
      </c>
      <c r="G369">
        <v>358</v>
      </c>
      <c r="H369" t="s">
        <v>8952</v>
      </c>
      <c r="I369" s="130">
        <v>3</v>
      </c>
      <c r="J369" t="s">
        <v>1993</v>
      </c>
      <c r="K369" t="s">
        <v>108</v>
      </c>
      <c r="L369" t="s">
        <v>8952</v>
      </c>
      <c r="M369" t="s">
        <v>112</v>
      </c>
      <c r="N369" t="s">
        <v>98</v>
      </c>
      <c r="O369" t="s">
        <v>116</v>
      </c>
    </row>
    <row r="370" spans="1:15" x14ac:dyDescent="0.3">
      <c r="A370" s="130">
        <v>2060</v>
      </c>
      <c r="B370" s="130">
        <v>30</v>
      </c>
      <c r="C370" s="130" t="s">
        <v>1994</v>
      </c>
      <c r="D370">
        <v>4116</v>
      </c>
      <c r="E370" s="131">
        <v>63081764</v>
      </c>
      <c r="F370" t="s">
        <v>87</v>
      </c>
      <c r="G370">
        <v>358</v>
      </c>
      <c r="H370" t="s">
        <v>8953</v>
      </c>
      <c r="I370" s="130">
        <v>24</v>
      </c>
      <c r="J370" t="s">
        <v>1994</v>
      </c>
      <c r="K370" t="s">
        <v>108</v>
      </c>
      <c r="L370" t="s">
        <v>8953</v>
      </c>
      <c r="M370" t="s">
        <v>103</v>
      </c>
      <c r="N370" t="s">
        <v>114</v>
      </c>
      <c r="O370" t="s">
        <v>1345</v>
      </c>
    </row>
    <row r="371" spans="1:15" x14ac:dyDescent="0.3">
      <c r="A371" s="130">
        <v>2062</v>
      </c>
      <c r="B371" s="130">
        <v>90</v>
      </c>
      <c r="C371" s="130" t="s">
        <v>1995</v>
      </c>
      <c r="D371">
        <v>4121</v>
      </c>
      <c r="E371" s="131">
        <v>655209</v>
      </c>
      <c r="F371" t="s">
        <v>87</v>
      </c>
      <c r="G371">
        <v>78</v>
      </c>
      <c r="H371" t="s">
        <v>8951</v>
      </c>
      <c r="I371" s="130">
        <v>9</v>
      </c>
      <c r="J371" t="s">
        <v>1995</v>
      </c>
      <c r="K371" t="s">
        <v>95</v>
      </c>
      <c r="L371" t="s">
        <v>8951</v>
      </c>
      <c r="M371" t="s">
        <v>170</v>
      </c>
      <c r="N371" t="s">
        <v>114</v>
      </c>
      <c r="O371" t="s">
        <v>116</v>
      </c>
    </row>
    <row r="372" spans="1:15" x14ac:dyDescent="0.3">
      <c r="A372" s="130">
        <v>2063</v>
      </c>
      <c r="B372" s="130">
        <v>30</v>
      </c>
      <c r="C372" s="130" t="s">
        <v>1996</v>
      </c>
      <c r="D372">
        <v>4135</v>
      </c>
      <c r="E372" s="130">
        <v>17185786</v>
      </c>
      <c r="F372" t="s">
        <v>87</v>
      </c>
      <c r="G372">
        <v>78</v>
      </c>
      <c r="H372" t="s">
        <v>8952</v>
      </c>
      <c r="I372" s="131">
        <v>3</v>
      </c>
      <c r="J372" t="s">
        <v>1996</v>
      </c>
      <c r="K372" t="s">
        <v>95</v>
      </c>
      <c r="L372" t="s">
        <v>8952</v>
      </c>
      <c r="M372" t="s">
        <v>103</v>
      </c>
      <c r="N372" t="s">
        <v>98</v>
      </c>
      <c r="O372" t="s">
        <v>1345</v>
      </c>
    </row>
    <row r="373" spans="1:15" x14ac:dyDescent="0.3">
      <c r="A373" s="130">
        <v>2064</v>
      </c>
      <c r="B373" s="130">
        <v>18</v>
      </c>
      <c r="C373" s="130" t="s">
        <v>1997</v>
      </c>
      <c r="D373">
        <v>4137</v>
      </c>
      <c r="E373" s="130">
        <v>5571228</v>
      </c>
      <c r="F373" t="s">
        <v>87</v>
      </c>
      <c r="G373">
        <v>78</v>
      </c>
      <c r="H373" t="s">
        <v>8953</v>
      </c>
      <c r="I373" s="131">
        <v>9</v>
      </c>
      <c r="J373" t="s">
        <v>1997</v>
      </c>
      <c r="K373" t="s">
        <v>108</v>
      </c>
      <c r="L373" t="s">
        <v>8953</v>
      </c>
      <c r="M373" t="s">
        <v>112</v>
      </c>
      <c r="N373" t="s">
        <v>101</v>
      </c>
      <c r="O373" t="s">
        <v>1345</v>
      </c>
    </row>
    <row r="374" spans="1:15" x14ac:dyDescent="0.3">
      <c r="A374" s="130">
        <v>2069</v>
      </c>
      <c r="B374" s="130">
        <v>18</v>
      </c>
      <c r="C374" s="130" t="s">
        <v>1998</v>
      </c>
      <c r="D374">
        <v>4142</v>
      </c>
      <c r="E374" s="131">
        <v>14552591</v>
      </c>
      <c r="F374" t="s">
        <v>87</v>
      </c>
      <c r="G374">
        <v>78</v>
      </c>
      <c r="H374" t="s">
        <v>8951</v>
      </c>
      <c r="I374" s="130">
        <v>3</v>
      </c>
      <c r="J374" t="s">
        <v>1998</v>
      </c>
      <c r="K374" t="s">
        <v>108</v>
      </c>
      <c r="L374" t="s">
        <v>8951</v>
      </c>
      <c r="M374" t="s">
        <v>112</v>
      </c>
      <c r="N374" t="s">
        <v>150</v>
      </c>
      <c r="O374" t="s">
        <v>116</v>
      </c>
    </row>
    <row r="375" spans="1:15" x14ac:dyDescent="0.3">
      <c r="A375" s="130">
        <v>2078</v>
      </c>
      <c r="B375" s="130">
        <v>5</v>
      </c>
      <c r="C375" s="130" t="s">
        <v>1999</v>
      </c>
      <c r="D375">
        <v>4144</v>
      </c>
      <c r="E375" s="131">
        <v>89432702</v>
      </c>
      <c r="F375" t="s">
        <v>87</v>
      </c>
      <c r="G375">
        <v>78</v>
      </c>
      <c r="H375" t="s">
        <v>8952</v>
      </c>
      <c r="I375" s="130">
        <v>10</v>
      </c>
      <c r="J375" t="s">
        <v>1999</v>
      </c>
      <c r="K375" t="s">
        <v>108</v>
      </c>
      <c r="L375" t="s">
        <v>8952</v>
      </c>
      <c r="M375" t="s">
        <v>129</v>
      </c>
      <c r="N375" t="s">
        <v>98</v>
      </c>
      <c r="O375" t="s">
        <v>116</v>
      </c>
    </row>
    <row r="376" spans="1:15" x14ac:dyDescent="0.3">
      <c r="A376" s="130">
        <v>2100</v>
      </c>
      <c r="B376" s="130">
        <v>18</v>
      </c>
      <c r="C376" s="130" t="s">
        <v>2000</v>
      </c>
      <c r="D376">
        <v>4175</v>
      </c>
      <c r="E376" s="130">
        <v>17168907</v>
      </c>
      <c r="F376" t="s">
        <v>87</v>
      </c>
      <c r="G376">
        <v>358</v>
      </c>
      <c r="H376" t="s">
        <v>8953</v>
      </c>
      <c r="I376" s="130">
        <v>24</v>
      </c>
      <c r="J376" t="s">
        <v>2000</v>
      </c>
      <c r="K376" t="s">
        <v>108</v>
      </c>
      <c r="L376" t="s">
        <v>8953</v>
      </c>
      <c r="M376" t="s">
        <v>112</v>
      </c>
      <c r="N376" t="s">
        <v>98</v>
      </c>
      <c r="O376" t="s">
        <v>1345</v>
      </c>
    </row>
    <row r="377" spans="1:15" x14ac:dyDescent="0.3">
      <c r="A377" s="130">
        <v>2113</v>
      </c>
      <c r="C377" s="130" t="s">
        <v>2001</v>
      </c>
      <c r="D377">
        <v>4191</v>
      </c>
      <c r="E377" s="130">
        <v>33559884</v>
      </c>
      <c r="F377" t="s">
        <v>87</v>
      </c>
      <c r="G377">
        <v>78</v>
      </c>
      <c r="H377" t="s">
        <v>8951</v>
      </c>
      <c r="I377" s="131">
        <v>36</v>
      </c>
      <c r="J377" t="s">
        <v>2001</v>
      </c>
      <c r="K377" t="s">
        <v>108</v>
      </c>
      <c r="N377" t="s">
        <v>114</v>
      </c>
      <c r="O377" t="s">
        <v>1256</v>
      </c>
    </row>
    <row r="378" spans="1:15" x14ac:dyDescent="0.3">
      <c r="A378" s="130">
        <v>2114</v>
      </c>
      <c r="B378" s="130">
        <v>5</v>
      </c>
      <c r="C378" s="130" t="s">
        <v>2002</v>
      </c>
      <c r="D378">
        <v>4192</v>
      </c>
      <c r="E378" s="130">
        <v>33559884</v>
      </c>
      <c r="F378" t="s">
        <v>87</v>
      </c>
      <c r="G378">
        <v>78</v>
      </c>
      <c r="H378" t="s">
        <v>8952</v>
      </c>
      <c r="I378" s="130">
        <v>38</v>
      </c>
      <c r="J378" t="s">
        <v>2002</v>
      </c>
      <c r="K378" t="s">
        <v>95</v>
      </c>
      <c r="L378" t="s">
        <v>126</v>
      </c>
      <c r="M378" t="s">
        <v>129</v>
      </c>
      <c r="N378" t="s">
        <v>114</v>
      </c>
      <c r="O378" t="s">
        <v>1345</v>
      </c>
    </row>
    <row r="379" spans="1:15" x14ac:dyDescent="0.3">
      <c r="A379" s="130">
        <v>2119</v>
      </c>
      <c r="B379" s="130">
        <v>18</v>
      </c>
      <c r="C379" s="130" t="s">
        <v>2003</v>
      </c>
      <c r="D379">
        <v>4198</v>
      </c>
      <c r="E379" s="131">
        <v>31683117</v>
      </c>
      <c r="F379" t="s">
        <v>87</v>
      </c>
      <c r="G379">
        <v>78</v>
      </c>
      <c r="H379" t="s">
        <v>8953</v>
      </c>
      <c r="I379" s="131">
        <v>9</v>
      </c>
      <c r="J379" t="s">
        <v>2003</v>
      </c>
      <c r="K379" t="s">
        <v>108</v>
      </c>
      <c r="L379" t="s">
        <v>125</v>
      </c>
      <c r="M379" t="s">
        <v>112</v>
      </c>
      <c r="N379" t="s">
        <v>101</v>
      </c>
      <c r="O379" t="s">
        <v>116</v>
      </c>
    </row>
    <row r="380" spans="1:15" x14ac:dyDescent="0.3">
      <c r="A380" s="130">
        <v>2120</v>
      </c>
      <c r="B380" s="130">
        <v>18</v>
      </c>
      <c r="C380" s="130" t="s">
        <v>2004</v>
      </c>
      <c r="D380">
        <v>4199</v>
      </c>
      <c r="E380" s="131">
        <v>31683117</v>
      </c>
      <c r="F380" t="s">
        <v>87</v>
      </c>
      <c r="G380">
        <v>78</v>
      </c>
      <c r="H380" t="s">
        <v>8951</v>
      </c>
      <c r="I380" s="131">
        <v>9</v>
      </c>
      <c r="J380" t="s">
        <v>2004</v>
      </c>
      <c r="K380" t="s">
        <v>108</v>
      </c>
      <c r="L380" t="s">
        <v>134</v>
      </c>
      <c r="M380" t="s">
        <v>112</v>
      </c>
      <c r="N380" t="s">
        <v>101</v>
      </c>
      <c r="O380" t="s">
        <v>1345</v>
      </c>
    </row>
    <row r="381" spans="1:15" x14ac:dyDescent="0.3">
      <c r="A381" s="130">
        <v>2169</v>
      </c>
      <c r="B381" s="130">
        <v>30</v>
      </c>
      <c r="C381" s="130" t="s">
        <v>2005</v>
      </c>
      <c r="D381">
        <v>4265</v>
      </c>
      <c r="E381" s="130">
        <v>33000167</v>
      </c>
      <c r="F381" t="s">
        <v>87</v>
      </c>
      <c r="G381">
        <v>78</v>
      </c>
      <c r="H381" t="s">
        <v>8952</v>
      </c>
      <c r="I381" s="130">
        <v>24</v>
      </c>
      <c r="J381" t="s">
        <v>2005</v>
      </c>
      <c r="K381" t="s">
        <v>95</v>
      </c>
      <c r="L381" t="s">
        <v>102</v>
      </c>
      <c r="M381" t="s">
        <v>103</v>
      </c>
      <c r="N381" t="s">
        <v>101</v>
      </c>
      <c r="O381" t="s">
        <v>1345</v>
      </c>
    </row>
    <row r="382" spans="1:15" x14ac:dyDescent="0.3">
      <c r="A382" s="130">
        <v>2177</v>
      </c>
      <c r="B382" s="130">
        <v>30</v>
      </c>
      <c r="C382" s="130" t="s">
        <v>2006</v>
      </c>
      <c r="D382">
        <v>4279</v>
      </c>
      <c r="E382" s="131">
        <v>4060779</v>
      </c>
      <c r="F382" t="s">
        <v>87</v>
      </c>
      <c r="G382">
        <v>358</v>
      </c>
      <c r="H382" t="s">
        <v>8953</v>
      </c>
      <c r="I382" s="131">
        <v>24</v>
      </c>
      <c r="J382" t="s">
        <v>2006</v>
      </c>
      <c r="K382" t="s">
        <v>95</v>
      </c>
      <c r="L382" t="s">
        <v>105</v>
      </c>
      <c r="M382" t="s">
        <v>103</v>
      </c>
      <c r="N382" t="s">
        <v>114</v>
      </c>
      <c r="O382" t="s">
        <v>116</v>
      </c>
    </row>
    <row r="383" spans="1:15" x14ac:dyDescent="0.3">
      <c r="A383" s="130">
        <v>2189</v>
      </c>
      <c r="B383" s="130">
        <v>30</v>
      </c>
      <c r="C383" s="130" t="s">
        <v>2007</v>
      </c>
      <c r="D383">
        <v>3880</v>
      </c>
      <c r="E383" s="131">
        <v>60625829</v>
      </c>
      <c r="F383" t="s">
        <v>87</v>
      </c>
      <c r="G383">
        <v>78</v>
      </c>
      <c r="H383" t="s">
        <v>8951</v>
      </c>
      <c r="I383" s="131">
        <v>18</v>
      </c>
      <c r="J383" t="s">
        <v>2007</v>
      </c>
      <c r="K383" t="s">
        <v>95</v>
      </c>
      <c r="L383" t="s">
        <v>123</v>
      </c>
      <c r="M383" t="s">
        <v>103</v>
      </c>
      <c r="N383" t="s">
        <v>98</v>
      </c>
      <c r="O383" t="s">
        <v>116</v>
      </c>
    </row>
    <row r="384" spans="1:15" x14ac:dyDescent="0.3">
      <c r="A384" s="130">
        <v>2192</v>
      </c>
      <c r="B384" s="130">
        <v>18</v>
      </c>
      <c r="C384" s="130" t="s">
        <v>2008</v>
      </c>
      <c r="D384">
        <v>4310</v>
      </c>
      <c r="E384" s="130">
        <v>8387643</v>
      </c>
      <c r="F384" t="s">
        <v>87</v>
      </c>
      <c r="G384">
        <v>78</v>
      </c>
      <c r="H384" t="s">
        <v>8952</v>
      </c>
      <c r="I384" s="131">
        <v>10</v>
      </c>
      <c r="J384" t="s">
        <v>2008</v>
      </c>
      <c r="K384" t="s">
        <v>95</v>
      </c>
      <c r="L384" t="s">
        <v>127</v>
      </c>
      <c r="M384" t="s">
        <v>112</v>
      </c>
      <c r="N384" t="s">
        <v>98</v>
      </c>
      <c r="O384" t="s">
        <v>1345</v>
      </c>
    </row>
    <row r="385" spans="1:15" x14ac:dyDescent="0.3">
      <c r="A385" s="130">
        <v>2195</v>
      </c>
      <c r="B385" s="130">
        <v>18</v>
      </c>
      <c r="C385" s="130" t="s">
        <v>2009</v>
      </c>
      <c r="D385">
        <v>4313</v>
      </c>
      <c r="E385" s="131">
        <v>814584</v>
      </c>
      <c r="F385" t="s">
        <v>87</v>
      </c>
      <c r="G385">
        <v>78</v>
      </c>
      <c r="H385" t="s">
        <v>8953</v>
      </c>
      <c r="I385" s="131">
        <v>18</v>
      </c>
      <c r="J385" t="s">
        <v>2009</v>
      </c>
      <c r="K385" t="s">
        <v>108</v>
      </c>
      <c r="L385" t="s">
        <v>123</v>
      </c>
      <c r="M385" t="s">
        <v>112</v>
      </c>
      <c r="N385" t="s">
        <v>98</v>
      </c>
      <c r="O385" t="s">
        <v>116</v>
      </c>
    </row>
    <row r="386" spans="1:15" x14ac:dyDescent="0.3">
      <c r="A386" s="130">
        <v>2200</v>
      </c>
      <c r="B386" s="130">
        <v>18</v>
      </c>
      <c r="C386" s="130" t="s">
        <v>2010</v>
      </c>
      <c r="D386">
        <v>4304</v>
      </c>
      <c r="E386" s="130">
        <v>36018870886</v>
      </c>
      <c r="F386" t="s">
        <v>87</v>
      </c>
      <c r="G386">
        <v>78</v>
      </c>
      <c r="H386" t="s">
        <v>8951</v>
      </c>
      <c r="I386" s="131">
        <v>24</v>
      </c>
      <c r="J386" t="s">
        <v>2010</v>
      </c>
      <c r="K386" t="s">
        <v>108</v>
      </c>
      <c r="L386" t="s">
        <v>138</v>
      </c>
      <c r="M386" t="s">
        <v>112</v>
      </c>
      <c r="N386" t="s">
        <v>101</v>
      </c>
      <c r="O386" t="s">
        <v>116</v>
      </c>
    </row>
    <row r="387" spans="1:15" x14ac:dyDescent="0.3">
      <c r="A387" s="130">
        <v>2204</v>
      </c>
      <c r="B387" s="130">
        <v>18</v>
      </c>
      <c r="C387" s="130" t="s">
        <v>2011</v>
      </c>
      <c r="D387">
        <v>4128</v>
      </c>
      <c r="E387" s="130">
        <v>17723933</v>
      </c>
      <c r="F387" t="s">
        <v>87</v>
      </c>
      <c r="G387">
        <v>358</v>
      </c>
      <c r="H387" t="s">
        <v>8952</v>
      </c>
      <c r="I387" s="131">
        <v>3</v>
      </c>
      <c r="J387" t="s">
        <v>2011</v>
      </c>
      <c r="K387" t="s">
        <v>95</v>
      </c>
      <c r="L387" t="s">
        <v>1346</v>
      </c>
      <c r="M387" t="s">
        <v>112</v>
      </c>
      <c r="N387" t="s">
        <v>98</v>
      </c>
      <c r="O387" t="s">
        <v>1345</v>
      </c>
    </row>
    <row r="388" spans="1:15" x14ac:dyDescent="0.3">
      <c r="A388" s="130">
        <v>2206</v>
      </c>
      <c r="B388" s="130">
        <v>-1</v>
      </c>
      <c r="C388" s="130" t="s">
        <v>2012</v>
      </c>
      <c r="D388">
        <v>4323</v>
      </c>
      <c r="E388" s="130">
        <v>25036506</v>
      </c>
      <c r="F388" t="s">
        <v>87</v>
      </c>
      <c r="G388">
        <v>78</v>
      </c>
      <c r="H388" t="s">
        <v>8953</v>
      </c>
      <c r="I388" s="131">
        <v>3</v>
      </c>
      <c r="J388" t="s">
        <v>2012</v>
      </c>
      <c r="K388" t="s">
        <v>108</v>
      </c>
      <c r="L388" t="s">
        <v>140</v>
      </c>
      <c r="M388" t="s">
        <v>174</v>
      </c>
      <c r="N388" t="s">
        <v>101</v>
      </c>
      <c r="O388" t="s">
        <v>1345</v>
      </c>
    </row>
    <row r="389" spans="1:15" x14ac:dyDescent="0.3">
      <c r="A389" s="130">
        <v>2208</v>
      </c>
      <c r="B389" s="130">
        <v>18</v>
      </c>
      <c r="C389" s="130" t="s">
        <v>2013</v>
      </c>
      <c r="D389">
        <v>4328</v>
      </c>
      <c r="E389" s="130">
        <v>41735877</v>
      </c>
      <c r="F389" t="s">
        <v>87</v>
      </c>
      <c r="G389">
        <v>78</v>
      </c>
      <c r="H389" t="s">
        <v>8951</v>
      </c>
      <c r="I389" s="130">
        <v>24</v>
      </c>
      <c r="J389" t="s">
        <v>2013</v>
      </c>
      <c r="K389" t="s">
        <v>95</v>
      </c>
      <c r="L389" t="s">
        <v>138</v>
      </c>
      <c r="M389" t="s">
        <v>112</v>
      </c>
      <c r="N389" t="s">
        <v>101</v>
      </c>
      <c r="O389" t="s">
        <v>1345</v>
      </c>
    </row>
    <row r="390" spans="1:15" x14ac:dyDescent="0.3">
      <c r="A390" s="130">
        <v>2242</v>
      </c>
      <c r="B390" s="130">
        <v>30</v>
      </c>
      <c r="C390" s="130" t="s">
        <v>2014</v>
      </c>
      <c r="D390">
        <v>4377</v>
      </c>
      <c r="E390" s="130">
        <v>37971722</v>
      </c>
      <c r="F390" t="s">
        <v>87</v>
      </c>
      <c r="G390">
        <v>78</v>
      </c>
      <c r="H390" t="s">
        <v>8952</v>
      </c>
      <c r="I390" s="130">
        <v>24</v>
      </c>
      <c r="J390" t="s">
        <v>2014</v>
      </c>
      <c r="K390" t="s">
        <v>95</v>
      </c>
      <c r="L390" t="s">
        <v>138</v>
      </c>
      <c r="M390" t="s">
        <v>103</v>
      </c>
      <c r="N390" t="s">
        <v>98</v>
      </c>
      <c r="O390" t="s">
        <v>1345</v>
      </c>
    </row>
    <row r="391" spans="1:15" x14ac:dyDescent="0.3">
      <c r="A391" s="130">
        <v>2245</v>
      </c>
      <c r="B391" s="130">
        <v>30</v>
      </c>
      <c r="C391" s="130" t="s">
        <v>2015</v>
      </c>
      <c r="D391">
        <v>4381</v>
      </c>
      <c r="E391" s="130">
        <v>7522191</v>
      </c>
      <c r="F391" t="s">
        <v>87</v>
      </c>
      <c r="G391">
        <v>358</v>
      </c>
      <c r="H391" t="s">
        <v>8953</v>
      </c>
      <c r="I391" s="131">
        <v>3</v>
      </c>
      <c r="J391" t="s">
        <v>2015</v>
      </c>
      <c r="K391" t="s">
        <v>95</v>
      </c>
      <c r="L391" t="s">
        <v>109</v>
      </c>
      <c r="M391" t="s">
        <v>103</v>
      </c>
      <c r="N391" t="s">
        <v>98</v>
      </c>
      <c r="O391" t="s">
        <v>1345</v>
      </c>
    </row>
    <row r="392" spans="1:15" x14ac:dyDescent="0.3">
      <c r="A392" s="130">
        <v>2246</v>
      </c>
      <c r="B392" s="130">
        <v>10</v>
      </c>
      <c r="C392" s="130" t="s">
        <v>2016</v>
      </c>
      <c r="D392">
        <v>4190</v>
      </c>
      <c r="E392" s="130">
        <v>7899139</v>
      </c>
      <c r="F392" t="s">
        <v>87</v>
      </c>
      <c r="G392">
        <v>358</v>
      </c>
      <c r="H392" t="s">
        <v>8951</v>
      </c>
      <c r="I392" s="130">
        <v>3</v>
      </c>
      <c r="J392" t="s">
        <v>2016</v>
      </c>
      <c r="K392" t="s">
        <v>108</v>
      </c>
      <c r="L392" t="s">
        <v>1346</v>
      </c>
      <c r="M392" t="s">
        <v>133</v>
      </c>
      <c r="N392" t="s">
        <v>118</v>
      </c>
      <c r="O392" t="s">
        <v>1345</v>
      </c>
    </row>
    <row r="393" spans="1:15" x14ac:dyDescent="0.3">
      <c r="A393" s="130">
        <v>2252</v>
      </c>
      <c r="B393" s="130">
        <v>18</v>
      </c>
      <c r="C393" s="130" t="s">
        <v>2017</v>
      </c>
      <c r="D393">
        <v>4393</v>
      </c>
      <c r="E393" s="130">
        <v>34597906</v>
      </c>
      <c r="F393" t="s">
        <v>87</v>
      </c>
      <c r="G393">
        <v>78</v>
      </c>
      <c r="H393" t="s">
        <v>8952</v>
      </c>
      <c r="I393" s="130">
        <v>10</v>
      </c>
      <c r="J393" t="s">
        <v>2017</v>
      </c>
      <c r="K393" t="s">
        <v>108</v>
      </c>
      <c r="L393" t="s">
        <v>127</v>
      </c>
      <c r="M393" t="s">
        <v>112</v>
      </c>
      <c r="N393" t="s">
        <v>118</v>
      </c>
      <c r="O393" t="s">
        <v>1345</v>
      </c>
    </row>
    <row r="394" spans="1:15" x14ac:dyDescent="0.3">
      <c r="A394" s="130">
        <v>2261</v>
      </c>
      <c r="B394" s="130">
        <v>0</v>
      </c>
      <c r="C394" s="130" t="s">
        <v>2018</v>
      </c>
      <c r="D394">
        <v>4404</v>
      </c>
      <c r="E394" s="130">
        <v>36807973</v>
      </c>
      <c r="F394" t="s">
        <v>87</v>
      </c>
      <c r="G394">
        <v>78</v>
      </c>
      <c r="H394" t="s">
        <v>8953</v>
      </c>
      <c r="I394" s="131">
        <v>10</v>
      </c>
      <c r="J394" t="s">
        <v>2018</v>
      </c>
      <c r="K394" t="s">
        <v>108</v>
      </c>
      <c r="L394" t="s">
        <v>105</v>
      </c>
      <c r="M394" t="s">
        <v>100</v>
      </c>
      <c r="N394" t="s">
        <v>98</v>
      </c>
      <c r="O394" t="s">
        <v>1345</v>
      </c>
    </row>
    <row r="395" spans="1:15" x14ac:dyDescent="0.3">
      <c r="A395" s="130">
        <v>2266</v>
      </c>
      <c r="B395" s="130">
        <v>18</v>
      </c>
      <c r="C395" s="130" t="s">
        <v>2019</v>
      </c>
      <c r="D395">
        <v>4420</v>
      </c>
      <c r="E395" s="131">
        <v>59225698</v>
      </c>
      <c r="F395" t="s">
        <v>87</v>
      </c>
      <c r="G395">
        <v>78</v>
      </c>
      <c r="H395" t="s">
        <v>8951</v>
      </c>
      <c r="I395" s="131">
        <v>18</v>
      </c>
      <c r="J395" t="s">
        <v>2019</v>
      </c>
      <c r="K395" t="s">
        <v>108</v>
      </c>
      <c r="L395" t="s">
        <v>123</v>
      </c>
      <c r="M395" t="s">
        <v>112</v>
      </c>
      <c r="N395" t="s">
        <v>98</v>
      </c>
      <c r="O395" t="s">
        <v>1345</v>
      </c>
    </row>
    <row r="396" spans="1:15" x14ac:dyDescent="0.3">
      <c r="A396" s="130">
        <v>2267</v>
      </c>
      <c r="B396" s="130">
        <v>30</v>
      </c>
      <c r="C396" s="130" t="s">
        <v>2020</v>
      </c>
      <c r="D396">
        <v>4423</v>
      </c>
      <c r="E396" s="130">
        <v>7522191</v>
      </c>
      <c r="F396" t="s">
        <v>87</v>
      </c>
      <c r="G396">
        <v>358</v>
      </c>
      <c r="H396" t="s">
        <v>8952</v>
      </c>
      <c r="I396" s="130">
        <v>3</v>
      </c>
      <c r="J396" t="s">
        <v>2020</v>
      </c>
      <c r="K396" t="s">
        <v>95</v>
      </c>
      <c r="L396" t="s">
        <v>109</v>
      </c>
      <c r="M396" t="s">
        <v>103</v>
      </c>
      <c r="N396" t="s">
        <v>98</v>
      </c>
      <c r="O396" t="s">
        <v>1345</v>
      </c>
    </row>
    <row r="397" spans="1:15" x14ac:dyDescent="0.3">
      <c r="A397" s="130">
        <v>2273</v>
      </c>
      <c r="B397" s="130">
        <v>30</v>
      </c>
      <c r="C397" s="130" t="s">
        <v>2021</v>
      </c>
      <c r="D397">
        <v>4428</v>
      </c>
      <c r="E397" s="130">
        <v>7522191</v>
      </c>
      <c r="F397" t="s">
        <v>87</v>
      </c>
      <c r="G397">
        <v>358</v>
      </c>
      <c r="H397" t="s">
        <v>8953</v>
      </c>
      <c r="I397" s="130">
        <v>3</v>
      </c>
      <c r="J397" t="s">
        <v>2021</v>
      </c>
      <c r="K397" t="s">
        <v>95</v>
      </c>
      <c r="L397" t="s">
        <v>109</v>
      </c>
      <c r="M397" t="s">
        <v>103</v>
      </c>
      <c r="N397" t="s">
        <v>98</v>
      </c>
      <c r="O397" t="s">
        <v>1345</v>
      </c>
    </row>
    <row r="398" spans="1:15" x14ac:dyDescent="0.3">
      <c r="A398" s="130">
        <v>2278</v>
      </c>
      <c r="B398" s="130">
        <v>18</v>
      </c>
      <c r="C398" s="130" t="s">
        <v>2022</v>
      </c>
      <c r="D398">
        <v>4436</v>
      </c>
      <c r="E398" s="131">
        <v>22192546</v>
      </c>
      <c r="F398" t="s">
        <v>87</v>
      </c>
      <c r="G398">
        <v>78</v>
      </c>
      <c r="H398" t="s">
        <v>8951</v>
      </c>
      <c r="I398" s="131">
        <v>43</v>
      </c>
      <c r="J398" t="s">
        <v>2022</v>
      </c>
      <c r="K398" t="s">
        <v>95</v>
      </c>
      <c r="L398" t="s">
        <v>252</v>
      </c>
      <c r="M398" t="s">
        <v>112</v>
      </c>
      <c r="N398" t="s">
        <v>118</v>
      </c>
      <c r="O398" t="s">
        <v>116</v>
      </c>
    </row>
    <row r="399" spans="1:15" x14ac:dyDescent="0.3">
      <c r="A399" s="130">
        <v>2288</v>
      </c>
      <c r="B399" s="130">
        <v>28</v>
      </c>
      <c r="C399" s="130" t="s">
        <v>2023</v>
      </c>
      <c r="D399">
        <v>4452</v>
      </c>
      <c r="E399" s="130">
        <v>61584223</v>
      </c>
      <c r="F399" t="s">
        <v>87</v>
      </c>
      <c r="G399">
        <v>358</v>
      </c>
      <c r="H399" t="s">
        <v>8952</v>
      </c>
      <c r="I399" s="131">
        <v>24</v>
      </c>
      <c r="J399" t="s">
        <v>2023</v>
      </c>
      <c r="K399" t="s">
        <v>95</v>
      </c>
      <c r="L399" t="s">
        <v>191</v>
      </c>
      <c r="M399" t="s">
        <v>130</v>
      </c>
      <c r="N399" t="s">
        <v>98</v>
      </c>
      <c r="O399" t="s">
        <v>116</v>
      </c>
    </row>
    <row r="400" spans="1:15" x14ac:dyDescent="0.3">
      <c r="A400" s="130">
        <v>2289</v>
      </c>
      <c r="B400" s="130">
        <v>60</v>
      </c>
      <c r="C400" s="130" t="s">
        <v>2024</v>
      </c>
      <c r="D400">
        <v>4454</v>
      </c>
      <c r="E400" s="130">
        <v>34209835</v>
      </c>
      <c r="F400" t="s">
        <v>87</v>
      </c>
      <c r="G400">
        <v>78</v>
      </c>
      <c r="H400" t="s">
        <v>8953</v>
      </c>
      <c r="I400" s="130">
        <v>3</v>
      </c>
      <c r="J400" t="s">
        <v>2024</v>
      </c>
      <c r="K400" t="s">
        <v>95</v>
      </c>
      <c r="L400" t="s">
        <v>117</v>
      </c>
      <c r="M400" t="s">
        <v>97</v>
      </c>
      <c r="N400" t="s">
        <v>98</v>
      </c>
      <c r="O400" t="s">
        <v>116</v>
      </c>
    </row>
    <row r="401" spans="1:15" x14ac:dyDescent="0.3">
      <c r="A401" s="130">
        <v>2290</v>
      </c>
      <c r="B401" s="130">
        <v>30</v>
      </c>
      <c r="C401" s="130" t="s">
        <v>2025</v>
      </c>
      <c r="D401">
        <v>4455</v>
      </c>
      <c r="E401" s="130">
        <v>17159856</v>
      </c>
      <c r="F401" t="s">
        <v>87</v>
      </c>
      <c r="G401">
        <v>78</v>
      </c>
      <c r="H401" t="s">
        <v>8951</v>
      </c>
      <c r="I401" s="131">
        <v>3</v>
      </c>
      <c r="J401" t="s">
        <v>2025</v>
      </c>
      <c r="K401" t="s">
        <v>95</v>
      </c>
      <c r="L401" t="s">
        <v>109</v>
      </c>
      <c r="M401" t="s">
        <v>103</v>
      </c>
      <c r="N401" t="s">
        <v>98</v>
      </c>
      <c r="O401" t="s">
        <v>1345</v>
      </c>
    </row>
    <row r="402" spans="1:15" x14ac:dyDescent="0.3">
      <c r="A402" s="130">
        <v>2293</v>
      </c>
      <c r="B402" s="130">
        <v>30</v>
      </c>
      <c r="C402" s="130" t="s">
        <v>2026</v>
      </c>
      <c r="D402">
        <v>4461</v>
      </c>
      <c r="E402" s="131">
        <v>2485964</v>
      </c>
      <c r="F402" t="s">
        <v>87</v>
      </c>
      <c r="G402">
        <v>78</v>
      </c>
      <c r="H402" t="s">
        <v>8952</v>
      </c>
      <c r="I402" s="130">
        <v>3</v>
      </c>
      <c r="J402" t="s">
        <v>2026</v>
      </c>
      <c r="K402" t="s">
        <v>95</v>
      </c>
      <c r="L402" t="s">
        <v>96</v>
      </c>
      <c r="M402" t="s">
        <v>103</v>
      </c>
      <c r="N402" t="s">
        <v>98</v>
      </c>
      <c r="O402" t="s">
        <v>1345</v>
      </c>
    </row>
    <row r="403" spans="1:15" x14ac:dyDescent="0.3">
      <c r="A403" s="130">
        <v>2296</v>
      </c>
      <c r="B403" s="130">
        <v>18</v>
      </c>
      <c r="C403" s="130" t="s">
        <v>2027</v>
      </c>
      <c r="D403">
        <v>4463</v>
      </c>
      <c r="E403" s="130">
        <v>33112152</v>
      </c>
      <c r="F403" t="s">
        <v>87</v>
      </c>
      <c r="G403">
        <v>78</v>
      </c>
      <c r="H403" t="s">
        <v>8953</v>
      </c>
      <c r="I403" s="130">
        <v>9</v>
      </c>
      <c r="J403" t="s">
        <v>2027</v>
      </c>
      <c r="K403" t="s">
        <v>95</v>
      </c>
      <c r="L403" t="s">
        <v>111</v>
      </c>
      <c r="M403" t="s">
        <v>112</v>
      </c>
      <c r="N403" t="s">
        <v>98</v>
      </c>
      <c r="O403" t="s">
        <v>116</v>
      </c>
    </row>
    <row r="404" spans="1:15" x14ac:dyDescent="0.3">
      <c r="A404" s="130">
        <v>2299</v>
      </c>
      <c r="B404" s="130">
        <v>18</v>
      </c>
      <c r="C404" s="130" t="s">
        <v>2028</v>
      </c>
      <c r="D404">
        <v>4472</v>
      </c>
      <c r="E404" s="131">
        <v>7195297</v>
      </c>
      <c r="F404" t="s">
        <v>87</v>
      </c>
      <c r="G404">
        <v>78</v>
      </c>
      <c r="H404" t="s">
        <v>8951</v>
      </c>
      <c r="I404" s="130">
        <v>26</v>
      </c>
      <c r="J404" t="s">
        <v>2028</v>
      </c>
      <c r="K404" t="s">
        <v>108</v>
      </c>
      <c r="L404" t="s">
        <v>151</v>
      </c>
      <c r="M404" t="s">
        <v>112</v>
      </c>
      <c r="N404" t="s">
        <v>101</v>
      </c>
      <c r="O404" t="s">
        <v>1345</v>
      </c>
    </row>
    <row r="405" spans="1:15" x14ac:dyDescent="0.3">
      <c r="A405" s="130">
        <v>2302</v>
      </c>
      <c r="B405" s="130">
        <v>18</v>
      </c>
      <c r="C405" s="130" t="s">
        <v>2029</v>
      </c>
      <c r="D405">
        <v>4477</v>
      </c>
      <c r="E405" s="130">
        <v>3887613</v>
      </c>
      <c r="F405" t="s">
        <v>87</v>
      </c>
      <c r="G405">
        <v>78</v>
      </c>
      <c r="H405" t="s">
        <v>8952</v>
      </c>
      <c r="I405" s="130">
        <v>10</v>
      </c>
      <c r="J405" t="s">
        <v>2029</v>
      </c>
      <c r="K405" t="s">
        <v>108</v>
      </c>
      <c r="L405" t="s">
        <v>127</v>
      </c>
      <c r="M405" t="s">
        <v>112</v>
      </c>
      <c r="N405" t="s">
        <v>118</v>
      </c>
      <c r="O405" t="s">
        <v>116</v>
      </c>
    </row>
    <row r="406" spans="1:15" x14ac:dyDescent="0.3">
      <c r="A406" s="130">
        <v>2306</v>
      </c>
      <c r="B406" s="130">
        <v>30</v>
      </c>
      <c r="C406" s="130" t="s">
        <v>2030</v>
      </c>
      <c r="D406">
        <v>4482</v>
      </c>
      <c r="E406" s="130">
        <v>3130160</v>
      </c>
      <c r="F406" t="s">
        <v>87</v>
      </c>
      <c r="G406">
        <v>358</v>
      </c>
      <c r="H406" t="s">
        <v>8953</v>
      </c>
      <c r="I406" s="131">
        <v>24</v>
      </c>
      <c r="J406" t="s">
        <v>2030</v>
      </c>
      <c r="K406" t="s">
        <v>95</v>
      </c>
      <c r="L406" t="s">
        <v>109</v>
      </c>
      <c r="M406" t="s">
        <v>103</v>
      </c>
      <c r="N406" t="s">
        <v>98</v>
      </c>
      <c r="O406" t="s">
        <v>1345</v>
      </c>
    </row>
    <row r="407" spans="1:15" x14ac:dyDescent="0.3">
      <c r="A407" s="130">
        <v>2309</v>
      </c>
      <c r="B407" s="130">
        <v>30</v>
      </c>
      <c r="C407" s="130" t="s">
        <v>2031</v>
      </c>
      <c r="D407">
        <v>4493</v>
      </c>
      <c r="E407" s="130">
        <v>63827026</v>
      </c>
      <c r="F407" t="s">
        <v>87</v>
      </c>
      <c r="G407">
        <v>78</v>
      </c>
      <c r="H407" t="s">
        <v>8951</v>
      </c>
      <c r="I407" s="131">
        <v>10</v>
      </c>
      <c r="J407" t="s">
        <v>2031</v>
      </c>
      <c r="K407" t="s">
        <v>108</v>
      </c>
      <c r="L407" t="s">
        <v>127</v>
      </c>
      <c r="M407" t="s">
        <v>103</v>
      </c>
      <c r="N407" t="s">
        <v>118</v>
      </c>
      <c r="O407" t="s">
        <v>1345</v>
      </c>
    </row>
    <row r="408" spans="1:15" x14ac:dyDescent="0.3">
      <c r="A408" s="130">
        <v>2311</v>
      </c>
      <c r="B408" s="130">
        <v>18</v>
      </c>
      <c r="C408" s="130" t="s">
        <v>2032</v>
      </c>
      <c r="D408">
        <v>4491</v>
      </c>
      <c r="E408" s="130">
        <v>2354917</v>
      </c>
      <c r="F408" t="s">
        <v>87</v>
      </c>
      <c r="G408">
        <v>78</v>
      </c>
      <c r="H408" t="s">
        <v>8952</v>
      </c>
      <c r="I408" s="130">
        <v>18</v>
      </c>
      <c r="J408" t="s">
        <v>2032</v>
      </c>
      <c r="K408" t="s">
        <v>108</v>
      </c>
      <c r="L408" t="s">
        <v>123</v>
      </c>
      <c r="M408" t="s">
        <v>112</v>
      </c>
      <c r="N408" t="s">
        <v>98</v>
      </c>
      <c r="O408" t="s">
        <v>1345</v>
      </c>
    </row>
    <row r="409" spans="1:15" x14ac:dyDescent="0.3">
      <c r="A409" s="130">
        <v>2321</v>
      </c>
      <c r="B409" s="130">
        <v>45</v>
      </c>
      <c r="C409" s="130" t="s">
        <v>2033</v>
      </c>
      <c r="D409">
        <v>4518</v>
      </c>
      <c r="E409" s="131">
        <v>8689024</v>
      </c>
      <c r="F409" t="s">
        <v>87</v>
      </c>
      <c r="G409">
        <v>77</v>
      </c>
      <c r="H409" t="s">
        <v>8953</v>
      </c>
      <c r="I409" s="131">
        <v>3</v>
      </c>
      <c r="J409" t="s">
        <v>2033</v>
      </c>
      <c r="K409" t="s">
        <v>95</v>
      </c>
      <c r="L409" t="s">
        <v>117</v>
      </c>
      <c r="M409" t="s">
        <v>106</v>
      </c>
      <c r="N409" t="s">
        <v>104</v>
      </c>
      <c r="O409" t="s">
        <v>1345</v>
      </c>
    </row>
    <row r="410" spans="1:15" x14ac:dyDescent="0.3">
      <c r="A410" s="130">
        <v>2330</v>
      </c>
      <c r="B410" s="130">
        <v>30</v>
      </c>
      <c r="C410" s="130" t="s">
        <v>2034</v>
      </c>
      <c r="D410">
        <v>4529</v>
      </c>
      <c r="E410" s="130">
        <v>11207083</v>
      </c>
      <c r="F410" t="s">
        <v>87</v>
      </c>
      <c r="G410">
        <v>78</v>
      </c>
      <c r="H410" t="s">
        <v>8951</v>
      </c>
      <c r="I410" s="131">
        <v>24</v>
      </c>
      <c r="J410" t="s">
        <v>2034</v>
      </c>
      <c r="K410" t="s">
        <v>95</v>
      </c>
      <c r="L410" t="s">
        <v>138</v>
      </c>
      <c r="M410" t="s">
        <v>103</v>
      </c>
      <c r="N410" t="s">
        <v>98</v>
      </c>
      <c r="O410" t="s">
        <v>1345</v>
      </c>
    </row>
    <row r="411" spans="1:15" x14ac:dyDescent="0.3">
      <c r="A411" s="130">
        <v>2333</v>
      </c>
      <c r="B411" s="130">
        <v>18</v>
      </c>
      <c r="C411" s="130" t="s">
        <v>2035</v>
      </c>
      <c r="D411">
        <v>4534</v>
      </c>
      <c r="E411" s="130">
        <v>10514417</v>
      </c>
      <c r="F411" t="s">
        <v>87</v>
      </c>
      <c r="G411">
        <v>78</v>
      </c>
      <c r="H411" t="s">
        <v>8952</v>
      </c>
      <c r="I411" s="131">
        <v>10</v>
      </c>
      <c r="J411" t="s">
        <v>2035</v>
      </c>
      <c r="K411" t="s">
        <v>108</v>
      </c>
      <c r="L411" t="s">
        <v>127</v>
      </c>
      <c r="M411" t="s">
        <v>112</v>
      </c>
      <c r="N411" t="s">
        <v>118</v>
      </c>
      <c r="O411" t="s">
        <v>116</v>
      </c>
    </row>
    <row r="412" spans="1:15" x14ac:dyDescent="0.3">
      <c r="A412" s="130">
        <v>2338</v>
      </c>
      <c r="B412" s="130">
        <v>18</v>
      </c>
      <c r="C412" s="130" t="s">
        <v>2036</v>
      </c>
      <c r="D412">
        <v>4545</v>
      </c>
      <c r="E412" s="130">
        <v>60625829</v>
      </c>
      <c r="F412" t="s">
        <v>87</v>
      </c>
      <c r="G412">
        <v>78</v>
      </c>
      <c r="H412" t="s">
        <v>8953</v>
      </c>
      <c r="I412" s="131">
        <v>18</v>
      </c>
      <c r="J412" t="s">
        <v>2036</v>
      </c>
      <c r="K412" t="s">
        <v>95</v>
      </c>
      <c r="L412" t="s">
        <v>123</v>
      </c>
      <c r="M412" t="s">
        <v>112</v>
      </c>
      <c r="N412" t="s">
        <v>98</v>
      </c>
      <c r="O412" t="s">
        <v>1345</v>
      </c>
    </row>
    <row r="413" spans="1:15" x14ac:dyDescent="0.3">
      <c r="A413" s="130">
        <v>2360</v>
      </c>
      <c r="B413" s="130">
        <v>18</v>
      </c>
      <c r="C413" s="130" t="s">
        <v>2037</v>
      </c>
      <c r="D413">
        <v>4577</v>
      </c>
      <c r="E413" s="130">
        <v>1294551</v>
      </c>
      <c r="F413" t="s">
        <v>87</v>
      </c>
      <c r="G413">
        <v>78</v>
      </c>
      <c r="H413" t="s">
        <v>8951</v>
      </c>
      <c r="I413" s="131">
        <v>9</v>
      </c>
      <c r="J413" t="s">
        <v>2037</v>
      </c>
      <c r="K413" t="s">
        <v>95</v>
      </c>
      <c r="L413" t="s">
        <v>125</v>
      </c>
      <c r="M413" t="s">
        <v>112</v>
      </c>
      <c r="N413" t="s">
        <v>98</v>
      </c>
      <c r="O413" t="s">
        <v>1345</v>
      </c>
    </row>
    <row r="414" spans="1:15" x14ac:dyDescent="0.3">
      <c r="A414" s="130">
        <v>2365</v>
      </c>
      <c r="B414" s="130">
        <v>30</v>
      </c>
      <c r="C414" s="130" t="s">
        <v>2038</v>
      </c>
      <c r="D414">
        <v>4582</v>
      </c>
      <c r="E414" s="130">
        <v>92660604</v>
      </c>
      <c r="F414" t="s">
        <v>87</v>
      </c>
      <c r="G414">
        <v>78</v>
      </c>
      <c r="H414" t="s">
        <v>8952</v>
      </c>
      <c r="I414" s="130">
        <v>24</v>
      </c>
      <c r="J414" t="s">
        <v>2038</v>
      </c>
      <c r="K414" t="s">
        <v>95</v>
      </c>
      <c r="L414" t="s">
        <v>117</v>
      </c>
      <c r="M414" t="s">
        <v>103</v>
      </c>
      <c r="N414" t="s">
        <v>114</v>
      </c>
      <c r="O414" t="s">
        <v>1345</v>
      </c>
    </row>
    <row r="415" spans="1:15" x14ac:dyDescent="0.3">
      <c r="A415" s="130">
        <v>2367</v>
      </c>
      <c r="B415" s="130">
        <v>18</v>
      </c>
      <c r="C415" s="130" t="s">
        <v>2039</v>
      </c>
      <c r="D415">
        <v>4588</v>
      </c>
      <c r="E415" s="131">
        <v>3424858</v>
      </c>
      <c r="F415" t="s">
        <v>87</v>
      </c>
      <c r="G415">
        <v>78</v>
      </c>
      <c r="H415" t="s">
        <v>8953</v>
      </c>
      <c r="I415" s="130">
        <v>19</v>
      </c>
      <c r="J415" t="s">
        <v>2039</v>
      </c>
      <c r="K415" t="s">
        <v>108</v>
      </c>
      <c r="L415" t="s">
        <v>146</v>
      </c>
      <c r="M415" t="s">
        <v>112</v>
      </c>
      <c r="N415" t="s">
        <v>98</v>
      </c>
      <c r="O415" t="s">
        <v>1345</v>
      </c>
    </row>
    <row r="416" spans="1:15" x14ac:dyDescent="0.3">
      <c r="A416" s="130">
        <v>2373</v>
      </c>
      <c r="B416" s="130">
        <v>60</v>
      </c>
      <c r="C416" s="130" t="s">
        <v>2040</v>
      </c>
      <c r="D416">
        <v>4600</v>
      </c>
      <c r="E416" s="130">
        <v>17162983</v>
      </c>
      <c r="F416" t="s">
        <v>87</v>
      </c>
      <c r="G416">
        <v>78</v>
      </c>
      <c r="H416" t="s">
        <v>8951</v>
      </c>
      <c r="I416" s="130">
        <v>3</v>
      </c>
      <c r="J416" t="s">
        <v>2040</v>
      </c>
      <c r="K416" t="s">
        <v>95</v>
      </c>
      <c r="L416" t="s">
        <v>105</v>
      </c>
      <c r="M416" t="s">
        <v>97</v>
      </c>
      <c r="N416" t="s">
        <v>98</v>
      </c>
      <c r="O416" t="s">
        <v>116</v>
      </c>
    </row>
    <row r="417" spans="1:15" x14ac:dyDescent="0.3">
      <c r="A417" s="130">
        <v>2378</v>
      </c>
      <c r="B417" s="130" t="s">
        <v>255</v>
      </c>
      <c r="C417" s="130" t="s">
        <v>2041</v>
      </c>
      <c r="D417">
        <v>4606</v>
      </c>
      <c r="E417" s="131">
        <v>10956612</v>
      </c>
      <c r="F417" t="s">
        <v>87</v>
      </c>
      <c r="G417">
        <v>78</v>
      </c>
      <c r="H417" t="s">
        <v>8952</v>
      </c>
      <c r="I417" s="130">
        <v>9</v>
      </c>
      <c r="J417" t="s">
        <v>2041</v>
      </c>
      <c r="K417" t="s">
        <v>108</v>
      </c>
      <c r="L417" t="s">
        <v>125</v>
      </c>
      <c r="M417" t="s">
        <v>255</v>
      </c>
      <c r="N417" t="s">
        <v>150</v>
      </c>
      <c r="O417" t="s">
        <v>116</v>
      </c>
    </row>
    <row r="418" spans="1:15" x14ac:dyDescent="0.3">
      <c r="A418" s="130">
        <v>2395</v>
      </c>
      <c r="B418" s="130">
        <v>30</v>
      </c>
      <c r="C418" s="130" t="s">
        <v>2042</v>
      </c>
      <c r="D418">
        <v>4631</v>
      </c>
      <c r="E418" s="131">
        <v>17155391</v>
      </c>
      <c r="F418" t="s">
        <v>87</v>
      </c>
      <c r="G418">
        <v>78</v>
      </c>
      <c r="H418" t="s">
        <v>8953</v>
      </c>
      <c r="I418" s="130">
        <v>10</v>
      </c>
      <c r="J418" t="s">
        <v>2042</v>
      </c>
      <c r="K418" t="s">
        <v>95</v>
      </c>
      <c r="L418" t="s">
        <v>127</v>
      </c>
      <c r="M418" t="s">
        <v>103</v>
      </c>
      <c r="N418" t="s">
        <v>118</v>
      </c>
      <c r="O418" t="s">
        <v>1345</v>
      </c>
    </row>
    <row r="419" spans="1:15" x14ac:dyDescent="0.3">
      <c r="A419" s="130">
        <v>2396</v>
      </c>
      <c r="B419" s="130">
        <v>18</v>
      </c>
      <c r="C419" s="130" t="s">
        <v>2043</v>
      </c>
      <c r="D419">
        <v>4632</v>
      </c>
      <c r="E419" s="130">
        <v>42035362</v>
      </c>
      <c r="F419" t="s">
        <v>87</v>
      </c>
      <c r="G419">
        <v>78</v>
      </c>
      <c r="H419" t="s">
        <v>8951</v>
      </c>
      <c r="I419" s="130">
        <v>10</v>
      </c>
      <c r="J419" t="s">
        <v>2043</v>
      </c>
      <c r="K419" t="s">
        <v>108</v>
      </c>
      <c r="L419" t="s">
        <v>127</v>
      </c>
      <c r="M419" t="s">
        <v>112</v>
      </c>
      <c r="N419" t="s">
        <v>98</v>
      </c>
      <c r="O419" t="s">
        <v>1345</v>
      </c>
    </row>
    <row r="420" spans="1:15" x14ac:dyDescent="0.3">
      <c r="A420" s="130">
        <v>2412</v>
      </c>
      <c r="B420" s="130">
        <v>30</v>
      </c>
      <c r="C420" s="130" t="s">
        <v>2044</v>
      </c>
      <c r="D420">
        <v>4657</v>
      </c>
      <c r="E420" s="130">
        <v>2336124</v>
      </c>
      <c r="F420" t="s">
        <v>87</v>
      </c>
      <c r="G420">
        <v>78</v>
      </c>
      <c r="H420" t="s">
        <v>8952</v>
      </c>
      <c r="I420" s="131">
        <v>10</v>
      </c>
      <c r="J420" t="s">
        <v>2044</v>
      </c>
      <c r="K420" t="s">
        <v>108</v>
      </c>
      <c r="L420" t="s">
        <v>127</v>
      </c>
      <c r="M420" t="s">
        <v>103</v>
      </c>
      <c r="N420" t="s">
        <v>114</v>
      </c>
      <c r="O420" t="s">
        <v>1345</v>
      </c>
    </row>
    <row r="421" spans="1:15" x14ac:dyDescent="0.3">
      <c r="A421" s="130">
        <v>2414</v>
      </c>
      <c r="B421" s="130">
        <v>30</v>
      </c>
      <c r="C421" s="130" t="s">
        <v>2045</v>
      </c>
      <c r="D421">
        <v>4659</v>
      </c>
      <c r="E421" s="131">
        <v>2336124</v>
      </c>
      <c r="F421" t="s">
        <v>87</v>
      </c>
      <c r="G421">
        <v>78</v>
      </c>
      <c r="H421" t="s">
        <v>8953</v>
      </c>
      <c r="I421" s="130">
        <v>10</v>
      </c>
      <c r="J421" t="s">
        <v>2045</v>
      </c>
      <c r="K421" t="s">
        <v>95</v>
      </c>
      <c r="L421" t="s">
        <v>127</v>
      </c>
      <c r="M421" t="s">
        <v>103</v>
      </c>
      <c r="N421" t="s">
        <v>118</v>
      </c>
      <c r="O421" t="s">
        <v>1345</v>
      </c>
    </row>
    <row r="422" spans="1:15" x14ac:dyDescent="0.3">
      <c r="A422" s="130">
        <v>2423</v>
      </c>
      <c r="B422" s="130">
        <v>10</v>
      </c>
      <c r="C422" s="130" t="s">
        <v>2046</v>
      </c>
      <c r="D422">
        <v>4675</v>
      </c>
      <c r="E422" s="131">
        <v>10220039</v>
      </c>
      <c r="F422" t="s">
        <v>87</v>
      </c>
      <c r="G422">
        <v>358</v>
      </c>
      <c r="H422" t="s">
        <v>8951</v>
      </c>
      <c r="I422" s="131">
        <v>24</v>
      </c>
      <c r="J422" t="s">
        <v>2046</v>
      </c>
      <c r="K422" t="s">
        <v>108</v>
      </c>
      <c r="L422" t="s">
        <v>109</v>
      </c>
      <c r="M422" t="s">
        <v>133</v>
      </c>
      <c r="N422" t="s">
        <v>98</v>
      </c>
      <c r="O422" t="s">
        <v>1345</v>
      </c>
    </row>
    <row r="423" spans="1:15" x14ac:dyDescent="0.3">
      <c r="A423" s="130">
        <v>2428</v>
      </c>
      <c r="B423" s="130">
        <v>10</v>
      </c>
      <c r="C423" s="130" t="s">
        <v>2047</v>
      </c>
      <c r="D423">
        <v>4689</v>
      </c>
      <c r="E423" s="130">
        <v>36634009</v>
      </c>
      <c r="F423" t="s">
        <v>87</v>
      </c>
      <c r="G423">
        <v>78</v>
      </c>
      <c r="H423" t="s">
        <v>8952</v>
      </c>
      <c r="I423" s="131">
        <v>3</v>
      </c>
      <c r="J423" t="s">
        <v>2047</v>
      </c>
      <c r="K423" t="s">
        <v>108</v>
      </c>
      <c r="L423" t="s">
        <v>140</v>
      </c>
      <c r="M423" t="s">
        <v>133</v>
      </c>
      <c r="N423" t="s">
        <v>98</v>
      </c>
      <c r="O423" t="s">
        <v>1345</v>
      </c>
    </row>
    <row r="424" spans="1:15" x14ac:dyDescent="0.3">
      <c r="A424" s="130">
        <v>2432</v>
      </c>
      <c r="B424" s="130">
        <v>18</v>
      </c>
      <c r="C424" s="130" t="s">
        <v>2048</v>
      </c>
      <c r="D424">
        <v>4692</v>
      </c>
      <c r="E424" s="130">
        <v>17162983</v>
      </c>
      <c r="F424" t="s">
        <v>87</v>
      </c>
      <c r="G424">
        <v>78</v>
      </c>
      <c r="H424" t="s">
        <v>8953</v>
      </c>
      <c r="I424" s="130">
        <v>24</v>
      </c>
      <c r="J424" t="s">
        <v>2048</v>
      </c>
      <c r="K424" t="s">
        <v>108</v>
      </c>
      <c r="L424" t="s">
        <v>109</v>
      </c>
      <c r="M424" t="s">
        <v>112</v>
      </c>
      <c r="N424" t="s">
        <v>98</v>
      </c>
      <c r="O424" t="s">
        <v>1345</v>
      </c>
    </row>
    <row r="425" spans="1:15" x14ac:dyDescent="0.3">
      <c r="A425" s="130">
        <v>2450</v>
      </c>
      <c r="B425" s="130">
        <v>64</v>
      </c>
      <c r="C425" s="130" t="s">
        <v>2049</v>
      </c>
      <c r="D425">
        <v>4720</v>
      </c>
      <c r="E425" s="131">
        <v>8637580</v>
      </c>
      <c r="F425" t="s">
        <v>87</v>
      </c>
      <c r="G425">
        <v>78</v>
      </c>
      <c r="H425" t="s">
        <v>8951</v>
      </c>
      <c r="I425" s="130">
        <v>9</v>
      </c>
      <c r="J425" t="s">
        <v>2049</v>
      </c>
      <c r="K425" t="s">
        <v>95</v>
      </c>
      <c r="L425" t="s">
        <v>125</v>
      </c>
      <c r="M425" t="s">
        <v>165</v>
      </c>
      <c r="N425" t="s">
        <v>98</v>
      </c>
      <c r="O425" t="s">
        <v>1345</v>
      </c>
    </row>
    <row r="426" spans="1:15" x14ac:dyDescent="0.3">
      <c r="A426" s="130">
        <v>2453</v>
      </c>
      <c r="B426" s="130">
        <v>18</v>
      </c>
      <c r="C426" s="130" t="s">
        <v>2050</v>
      </c>
      <c r="D426">
        <v>4724</v>
      </c>
      <c r="E426" s="130">
        <v>22372799</v>
      </c>
      <c r="F426" t="s">
        <v>87</v>
      </c>
      <c r="G426">
        <v>358</v>
      </c>
      <c r="H426" t="s">
        <v>8952</v>
      </c>
      <c r="I426" s="131">
        <v>3</v>
      </c>
      <c r="J426" t="s">
        <v>2050</v>
      </c>
      <c r="K426" t="s">
        <v>108</v>
      </c>
      <c r="L426" t="s">
        <v>193</v>
      </c>
      <c r="M426" t="s">
        <v>112</v>
      </c>
      <c r="N426" t="s">
        <v>98</v>
      </c>
      <c r="O426" t="s">
        <v>1345</v>
      </c>
    </row>
    <row r="427" spans="1:15" x14ac:dyDescent="0.3">
      <c r="A427" s="130">
        <v>2457</v>
      </c>
      <c r="B427" s="130">
        <v>18</v>
      </c>
      <c r="C427" s="130" t="s">
        <v>2051</v>
      </c>
      <c r="D427">
        <v>4736</v>
      </c>
      <c r="E427" s="130">
        <v>33767</v>
      </c>
      <c r="F427" t="s">
        <v>87</v>
      </c>
      <c r="G427">
        <v>78</v>
      </c>
      <c r="H427" t="s">
        <v>8953</v>
      </c>
      <c r="I427" s="131">
        <v>9</v>
      </c>
      <c r="J427" t="s">
        <v>2051</v>
      </c>
      <c r="K427" t="s">
        <v>95</v>
      </c>
      <c r="L427" t="s">
        <v>125</v>
      </c>
      <c r="M427" t="s">
        <v>112</v>
      </c>
      <c r="N427" t="s">
        <v>114</v>
      </c>
      <c r="O427" t="s">
        <v>1345</v>
      </c>
    </row>
    <row r="428" spans="1:15" x14ac:dyDescent="0.3">
      <c r="A428" s="130">
        <v>2471</v>
      </c>
      <c r="B428" s="130">
        <v>18</v>
      </c>
      <c r="C428" s="130" t="s">
        <v>2052</v>
      </c>
      <c r="D428">
        <v>4758</v>
      </c>
      <c r="E428" s="131">
        <v>207218</v>
      </c>
      <c r="F428" t="s">
        <v>87</v>
      </c>
      <c r="G428">
        <v>78</v>
      </c>
      <c r="H428" t="s">
        <v>8951</v>
      </c>
      <c r="I428" s="131">
        <v>19</v>
      </c>
      <c r="J428" t="s">
        <v>2052</v>
      </c>
      <c r="K428" t="s">
        <v>95</v>
      </c>
      <c r="L428" t="s">
        <v>146</v>
      </c>
      <c r="M428" t="s">
        <v>112</v>
      </c>
      <c r="N428" t="s">
        <v>98</v>
      </c>
      <c r="O428" t="s">
        <v>1345</v>
      </c>
    </row>
    <row r="429" spans="1:15" x14ac:dyDescent="0.3">
      <c r="A429" s="130">
        <v>2472</v>
      </c>
      <c r="B429" s="130">
        <v>18</v>
      </c>
      <c r="C429" s="130" t="s">
        <v>2053</v>
      </c>
      <c r="D429">
        <v>4760</v>
      </c>
      <c r="E429" s="130">
        <v>19314966</v>
      </c>
      <c r="F429" t="s">
        <v>87</v>
      </c>
      <c r="G429">
        <v>78</v>
      </c>
      <c r="H429" t="s">
        <v>8952</v>
      </c>
      <c r="I429" s="131">
        <v>19</v>
      </c>
      <c r="J429" t="s">
        <v>2053</v>
      </c>
      <c r="K429" t="s">
        <v>108</v>
      </c>
      <c r="L429" t="s">
        <v>146</v>
      </c>
      <c r="M429" t="s">
        <v>112</v>
      </c>
      <c r="N429" t="s">
        <v>98</v>
      </c>
      <c r="O429" t="s">
        <v>1345</v>
      </c>
    </row>
    <row r="430" spans="1:15" x14ac:dyDescent="0.3">
      <c r="A430" s="130">
        <v>2475</v>
      </c>
      <c r="B430" s="130">
        <v>-1</v>
      </c>
      <c r="C430" s="130" t="s">
        <v>2054</v>
      </c>
      <c r="D430">
        <v>4765</v>
      </c>
      <c r="E430" s="131">
        <v>39969812</v>
      </c>
      <c r="F430" t="s">
        <v>87</v>
      </c>
      <c r="G430">
        <v>78</v>
      </c>
      <c r="H430" t="s">
        <v>8953</v>
      </c>
      <c r="I430" s="130">
        <v>19</v>
      </c>
      <c r="J430" t="s">
        <v>2054</v>
      </c>
      <c r="K430" t="s">
        <v>95</v>
      </c>
      <c r="L430" t="s">
        <v>146</v>
      </c>
      <c r="M430" t="s">
        <v>174</v>
      </c>
      <c r="N430" t="s">
        <v>98</v>
      </c>
      <c r="O430" t="s">
        <v>1345</v>
      </c>
    </row>
    <row r="431" spans="1:15" x14ac:dyDescent="0.3">
      <c r="A431" s="130">
        <v>2478</v>
      </c>
      <c r="B431" s="130">
        <v>18</v>
      </c>
      <c r="C431" s="130" t="s">
        <v>2055</v>
      </c>
      <c r="D431">
        <v>4768</v>
      </c>
      <c r="E431" s="130">
        <v>35458303</v>
      </c>
      <c r="F431" t="s">
        <v>87</v>
      </c>
      <c r="G431">
        <v>78</v>
      </c>
      <c r="H431" t="s">
        <v>8951</v>
      </c>
      <c r="I431" s="131">
        <v>38</v>
      </c>
      <c r="J431" t="s">
        <v>2055</v>
      </c>
      <c r="K431" t="s">
        <v>95</v>
      </c>
      <c r="L431" t="s">
        <v>126</v>
      </c>
      <c r="M431" t="s">
        <v>112</v>
      </c>
      <c r="N431" t="s">
        <v>141</v>
      </c>
      <c r="O431" t="s">
        <v>1345</v>
      </c>
    </row>
    <row r="432" spans="1:15" x14ac:dyDescent="0.3">
      <c r="A432" s="130">
        <v>2491</v>
      </c>
      <c r="B432" s="130">
        <v>30</v>
      </c>
      <c r="C432" s="130" t="s">
        <v>2056</v>
      </c>
      <c r="D432">
        <v>4788</v>
      </c>
      <c r="E432" s="130">
        <v>17162983</v>
      </c>
      <c r="F432" t="s">
        <v>87</v>
      </c>
      <c r="G432">
        <v>358</v>
      </c>
      <c r="H432" t="s">
        <v>8952</v>
      </c>
      <c r="I432" s="130">
        <v>24</v>
      </c>
      <c r="J432" t="s">
        <v>2056</v>
      </c>
      <c r="K432" t="s">
        <v>108</v>
      </c>
      <c r="L432" t="s">
        <v>109</v>
      </c>
      <c r="M432" t="s">
        <v>103</v>
      </c>
      <c r="N432" t="s">
        <v>98</v>
      </c>
      <c r="O432" t="s">
        <v>1345</v>
      </c>
    </row>
    <row r="433" spans="1:15" x14ac:dyDescent="0.3">
      <c r="A433" s="130">
        <v>2497</v>
      </c>
      <c r="B433" s="130">
        <v>30</v>
      </c>
      <c r="C433" s="130" t="s">
        <v>2057</v>
      </c>
      <c r="D433">
        <v>4795</v>
      </c>
      <c r="E433" s="131">
        <v>33592510</v>
      </c>
      <c r="F433" t="s">
        <v>87</v>
      </c>
      <c r="G433">
        <v>77</v>
      </c>
      <c r="H433" t="s">
        <v>8953</v>
      </c>
      <c r="I433" s="131">
        <v>28</v>
      </c>
      <c r="J433" t="s">
        <v>2057</v>
      </c>
      <c r="K433" t="s">
        <v>95</v>
      </c>
      <c r="L433" t="s">
        <v>117</v>
      </c>
      <c r="M433" t="s">
        <v>103</v>
      </c>
      <c r="N433" t="s">
        <v>118</v>
      </c>
      <c r="O433" t="s">
        <v>1345</v>
      </c>
    </row>
    <row r="434" spans="1:15" x14ac:dyDescent="0.3">
      <c r="A434" s="130">
        <v>2516</v>
      </c>
      <c r="B434" s="130">
        <v>18</v>
      </c>
      <c r="C434" s="130" t="s">
        <v>2058</v>
      </c>
      <c r="D434">
        <v>4828</v>
      </c>
      <c r="E434" s="130">
        <v>29513405</v>
      </c>
      <c r="F434" t="s">
        <v>87</v>
      </c>
      <c r="G434">
        <v>78</v>
      </c>
      <c r="H434" t="s">
        <v>8951</v>
      </c>
      <c r="I434" s="130">
        <v>18</v>
      </c>
      <c r="J434" t="s">
        <v>2058</v>
      </c>
      <c r="K434" t="s">
        <v>108</v>
      </c>
      <c r="L434" t="s">
        <v>123</v>
      </c>
      <c r="M434" t="s">
        <v>112</v>
      </c>
      <c r="N434" t="s">
        <v>98</v>
      </c>
      <c r="O434" t="s">
        <v>116</v>
      </c>
    </row>
    <row r="435" spans="1:15" x14ac:dyDescent="0.3">
      <c r="A435" s="130">
        <v>2521</v>
      </c>
      <c r="B435" s="130">
        <v>-1</v>
      </c>
      <c r="C435" s="130" t="s">
        <v>2059</v>
      </c>
      <c r="D435">
        <v>4838</v>
      </c>
      <c r="E435" s="130">
        <v>19758842</v>
      </c>
      <c r="F435" t="s">
        <v>87</v>
      </c>
      <c r="G435">
        <v>78</v>
      </c>
      <c r="H435" t="s">
        <v>8952</v>
      </c>
      <c r="I435" s="130">
        <v>38</v>
      </c>
      <c r="J435" t="s">
        <v>2059</v>
      </c>
      <c r="K435" t="s">
        <v>108</v>
      </c>
      <c r="L435" t="s">
        <v>126</v>
      </c>
      <c r="M435" t="s">
        <v>174</v>
      </c>
      <c r="N435" t="s">
        <v>98</v>
      </c>
      <c r="O435" t="s">
        <v>1345</v>
      </c>
    </row>
    <row r="436" spans="1:15" x14ac:dyDescent="0.3">
      <c r="A436" s="130">
        <v>2533</v>
      </c>
      <c r="B436" s="130">
        <v>18</v>
      </c>
      <c r="C436" s="130" t="s">
        <v>2060</v>
      </c>
      <c r="D436">
        <v>4859</v>
      </c>
      <c r="E436" s="130">
        <v>28715526</v>
      </c>
      <c r="F436" t="s">
        <v>87</v>
      </c>
      <c r="G436">
        <v>78</v>
      </c>
      <c r="H436" t="s">
        <v>8953</v>
      </c>
      <c r="I436" s="130">
        <v>9</v>
      </c>
      <c r="J436" t="s">
        <v>2060</v>
      </c>
      <c r="K436" t="s">
        <v>108</v>
      </c>
      <c r="L436" t="s">
        <v>125</v>
      </c>
      <c r="M436" t="s">
        <v>112</v>
      </c>
      <c r="N436" t="s">
        <v>98</v>
      </c>
      <c r="O436" t="s">
        <v>1345</v>
      </c>
    </row>
    <row r="437" spans="1:15" x14ac:dyDescent="0.3">
      <c r="A437" s="130">
        <v>2534</v>
      </c>
      <c r="B437" s="130">
        <v>18</v>
      </c>
      <c r="C437" s="130" t="s">
        <v>2061</v>
      </c>
      <c r="D437">
        <v>4858</v>
      </c>
      <c r="E437" s="131">
        <v>8054995</v>
      </c>
      <c r="F437" t="s">
        <v>87</v>
      </c>
      <c r="G437">
        <v>358</v>
      </c>
      <c r="H437" t="s">
        <v>8951</v>
      </c>
      <c r="I437" s="131">
        <v>10</v>
      </c>
      <c r="J437" t="s">
        <v>2061</v>
      </c>
      <c r="K437" t="s">
        <v>95</v>
      </c>
      <c r="L437" t="s">
        <v>105</v>
      </c>
      <c r="M437" t="s">
        <v>112</v>
      </c>
      <c r="N437" t="s">
        <v>98</v>
      </c>
      <c r="O437" t="s">
        <v>1345</v>
      </c>
    </row>
    <row r="438" spans="1:15" x14ac:dyDescent="0.3">
      <c r="A438" s="130">
        <v>2540</v>
      </c>
      <c r="B438" s="130">
        <v>30</v>
      </c>
      <c r="C438" s="130" t="s">
        <v>2062</v>
      </c>
      <c r="D438">
        <v>4865</v>
      </c>
      <c r="E438" s="130">
        <v>33000167</v>
      </c>
      <c r="F438" t="s">
        <v>87</v>
      </c>
      <c r="G438">
        <v>78</v>
      </c>
      <c r="H438" t="s">
        <v>8952</v>
      </c>
      <c r="I438" s="130">
        <v>24</v>
      </c>
      <c r="J438" t="s">
        <v>2062</v>
      </c>
      <c r="K438" t="s">
        <v>95</v>
      </c>
      <c r="L438" t="s">
        <v>102</v>
      </c>
      <c r="M438" t="s">
        <v>103</v>
      </c>
      <c r="N438" t="s">
        <v>98</v>
      </c>
      <c r="O438" t="s">
        <v>116</v>
      </c>
    </row>
    <row r="439" spans="1:15" x14ac:dyDescent="0.3">
      <c r="A439" s="130">
        <v>2541</v>
      </c>
      <c r="B439" s="130">
        <v>30</v>
      </c>
      <c r="C439" s="130" t="s">
        <v>2063</v>
      </c>
      <c r="D439">
        <v>4870</v>
      </c>
      <c r="E439" s="130">
        <v>35234509</v>
      </c>
      <c r="F439" t="s">
        <v>87</v>
      </c>
      <c r="G439">
        <v>78</v>
      </c>
      <c r="H439" t="s">
        <v>8953</v>
      </c>
      <c r="I439" s="131">
        <v>19</v>
      </c>
      <c r="J439" t="s">
        <v>2063</v>
      </c>
      <c r="K439" t="s">
        <v>95</v>
      </c>
      <c r="L439" t="s">
        <v>102</v>
      </c>
      <c r="M439" t="s">
        <v>103</v>
      </c>
      <c r="N439" t="s">
        <v>98</v>
      </c>
      <c r="O439" t="s">
        <v>1345</v>
      </c>
    </row>
    <row r="440" spans="1:15" x14ac:dyDescent="0.3">
      <c r="A440" s="130">
        <v>2545</v>
      </c>
      <c r="B440" s="130">
        <v>30</v>
      </c>
      <c r="C440" s="130" t="s">
        <v>2064</v>
      </c>
      <c r="D440">
        <v>4874</v>
      </c>
      <c r="E440" s="130">
        <v>31260473</v>
      </c>
      <c r="F440" t="s">
        <v>87</v>
      </c>
      <c r="G440">
        <v>78</v>
      </c>
      <c r="H440" t="s">
        <v>8951</v>
      </c>
      <c r="I440" s="130">
        <v>18</v>
      </c>
      <c r="J440" t="s">
        <v>2064</v>
      </c>
      <c r="K440" t="s">
        <v>95</v>
      </c>
      <c r="L440" t="s">
        <v>123</v>
      </c>
      <c r="M440" t="s">
        <v>103</v>
      </c>
      <c r="N440" t="s">
        <v>150</v>
      </c>
      <c r="O440" t="s">
        <v>1345</v>
      </c>
    </row>
    <row r="441" spans="1:15" x14ac:dyDescent="0.3">
      <c r="A441" s="130">
        <v>2555</v>
      </c>
      <c r="B441" s="130">
        <v>18</v>
      </c>
      <c r="C441" s="130" t="s">
        <v>2065</v>
      </c>
      <c r="D441">
        <v>4881</v>
      </c>
      <c r="E441" s="131">
        <v>21062047</v>
      </c>
      <c r="F441" t="s">
        <v>87</v>
      </c>
      <c r="G441">
        <v>78</v>
      </c>
      <c r="H441" t="s">
        <v>8952</v>
      </c>
      <c r="I441" s="130">
        <v>26</v>
      </c>
      <c r="J441" t="s">
        <v>2065</v>
      </c>
      <c r="K441" t="s">
        <v>95</v>
      </c>
      <c r="L441" t="s">
        <v>151</v>
      </c>
      <c r="M441" t="s">
        <v>112</v>
      </c>
      <c r="N441" t="s">
        <v>98</v>
      </c>
      <c r="O441" t="s">
        <v>1345</v>
      </c>
    </row>
    <row r="442" spans="1:15" x14ac:dyDescent="0.3">
      <c r="A442" s="130">
        <v>2565</v>
      </c>
      <c r="B442" s="130">
        <v>28</v>
      </c>
      <c r="C442" s="130" t="s">
        <v>2066</v>
      </c>
      <c r="D442">
        <v>4899</v>
      </c>
      <c r="E442" s="130">
        <v>10764189</v>
      </c>
      <c r="F442" t="s">
        <v>87</v>
      </c>
      <c r="G442">
        <v>78</v>
      </c>
      <c r="H442" t="s">
        <v>8953</v>
      </c>
      <c r="I442" s="130">
        <v>3</v>
      </c>
      <c r="J442" t="s">
        <v>2066</v>
      </c>
      <c r="K442" t="s">
        <v>108</v>
      </c>
      <c r="L442" t="s">
        <v>140</v>
      </c>
      <c r="M442" t="s">
        <v>130</v>
      </c>
      <c r="N442" t="s">
        <v>98</v>
      </c>
      <c r="O442" t="s">
        <v>1345</v>
      </c>
    </row>
    <row r="443" spans="1:15" x14ac:dyDescent="0.3">
      <c r="A443" s="130">
        <v>2566</v>
      </c>
      <c r="B443" s="130">
        <v>18</v>
      </c>
      <c r="C443" s="130" t="s">
        <v>2067</v>
      </c>
      <c r="D443">
        <v>4900</v>
      </c>
      <c r="E443" s="130">
        <v>79078481</v>
      </c>
      <c r="F443" t="s">
        <v>87</v>
      </c>
      <c r="G443">
        <v>78</v>
      </c>
      <c r="H443" t="s">
        <v>8951</v>
      </c>
      <c r="I443" s="131">
        <v>9</v>
      </c>
      <c r="J443" t="s">
        <v>2067</v>
      </c>
      <c r="K443" t="s">
        <v>95</v>
      </c>
      <c r="L443" t="s">
        <v>125</v>
      </c>
      <c r="M443" t="s">
        <v>112</v>
      </c>
      <c r="N443" t="s">
        <v>98</v>
      </c>
      <c r="O443" t="s">
        <v>1345</v>
      </c>
    </row>
    <row r="444" spans="1:15" x14ac:dyDescent="0.3">
      <c r="A444" s="130">
        <v>2569</v>
      </c>
      <c r="B444" s="130">
        <v>-1</v>
      </c>
      <c r="C444" s="130" t="s">
        <v>2068</v>
      </c>
      <c r="D444">
        <v>4905</v>
      </c>
      <c r="E444" s="131">
        <v>8573695</v>
      </c>
      <c r="F444" t="s">
        <v>87</v>
      </c>
      <c r="G444">
        <v>78</v>
      </c>
      <c r="H444" t="s">
        <v>8952</v>
      </c>
      <c r="I444" s="130">
        <v>19</v>
      </c>
      <c r="J444" t="s">
        <v>2068</v>
      </c>
      <c r="K444" t="s">
        <v>108</v>
      </c>
      <c r="L444" t="s">
        <v>146</v>
      </c>
      <c r="M444" t="s">
        <v>174</v>
      </c>
      <c r="N444" t="s">
        <v>152</v>
      </c>
      <c r="O444" t="s">
        <v>1345</v>
      </c>
    </row>
    <row r="445" spans="1:15" x14ac:dyDescent="0.3">
      <c r="A445" s="130">
        <v>2581</v>
      </c>
      <c r="B445" s="130">
        <v>30</v>
      </c>
      <c r="C445" s="130" t="s">
        <v>2069</v>
      </c>
      <c r="D445">
        <v>4920</v>
      </c>
      <c r="E445" s="130">
        <v>17159856</v>
      </c>
      <c r="F445" t="s">
        <v>87</v>
      </c>
      <c r="G445">
        <v>78</v>
      </c>
      <c r="H445" t="s">
        <v>8953</v>
      </c>
      <c r="I445" s="131">
        <v>24</v>
      </c>
      <c r="J445" t="s">
        <v>2069</v>
      </c>
      <c r="K445" t="s">
        <v>95</v>
      </c>
      <c r="L445" t="s">
        <v>111</v>
      </c>
      <c r="M445" t="s">
        <v>103</v>
      </c>
      <c r="N445" t="s">
        <v>98</v>
      </c>
      <c r="O445" t="s">
        <v>1345</v>
      </c>
    </row>
    <row r="446" spans="1:15" x14ac:dyDescent="0.3">
      <c r="A446" s="130">
        <v>2592</v>
      </c>
      <c r="B446" s="130">
        <v>45</v>
      </c>
      <c r="C446" s="130" t="s">
        <v>2070</v>
      </c>
      <c r="D446">
        <v>4933</v>
      </c>
      <c r="E446" s="131">
        <v>33572408</v>
      </c>
      <c r="F446" t="s">
        <v>87</v>
      </c>
      <c r="G446">
        <v>78</v>
      </c>
      <c r="H446" t="s">
        <v>8951</v>
      </c>
      <c r="I446" s="130">
        <v>24</v>
      </c>
      <c r="J446" t="s">
        <v>2070</v>
      </c>
      <c r="K446" t="s">
        <v>95</v>
      </c>
      <c r="L446" t="s">
        <v>138</v>
      </c>
      <c r="M446" t="s">
        <v>106</v>
      </c>
      <c r="N446" t="s">
        <v>98</v>
      </c>
      <c r="O446" t="s">
        <v>1345</v>
      </c>
    </row>
    <row r="447" spans="1:15" x14ac:dyDescent="0.3">
      <c r="A447" s="130">
        <v>2599</v>
      </c>
      <c r="B447" s="130">
        <v>18</v>
      </c>
      <c r="C447" s="130" t="s">
        <v>2071</v>
      </c>
      <c r="D447">
        <v>4946</v>
      </c>
      <c r="E447" s="130">
        <v>5501201</v>
      </c>
      <c r="F447" t="s">
        <v>87</v>
      </c>
      <c r="G447">
        <v>78</v>
      </c>
      <c r="H447" t="s">
        <v>8952</v>
      </c>
      <c r="I447" s="131">
        <v>10</v>
      </c>
      <c r="J447" t="s">
        <v>2071</v>
      </c>
      <c r="K447" t="s">
        <v>108</v>
      </c>
      <c r="L447" t="s">
        <v>105</v>
      </c>
      <c r="M447" t="s">
        <v>112</v>
      </c>
      <c r="N447" t="s">
        <v>114</v>
      </c>
      <c r="O447" t="s">
        <v>1345</v>
      </c>
    </row>
    <row r="448" spans="1:15" x14ac:dyDescent="0.3">
      <c r="A448" s="130">
        <v>2614</v>
      </c>
      <c r="B448" s="130">
        <v>-1</v>
      </c>
      <c r="C448" s="130" t="s">
        <v>2072</v>
      </c>
      <c r="D448">
        <v>4963</v>
      </c>
      <c r="E448" s="131">
        <v>1021713</v>
      </c>
      <c r="F448" t="s">
        <v>87</v>
      </c>
      <c r="G448">
        <v>358</v>
      </c>
      <c r="H448" t="s">
        <v>8953</v>
      </c>
      <c r="I448" s="130">
        <v>3</v>
      </c>
      <c r="J448" t="s">
        <v>2072</v>
      </c>
      <c r="K448" t="s">
        <v>95</v>
      </c>
      <c r="L448" t="s">
        <v>109</v>
      </c>
      <c r="M448" t="s">
        <v>174</v>
      </c>
      <c r="N448" t="s">
        <v>98</v>
      </c>
      <c r="O448" t="s">
        <v>1345</v>
      </c>
    </row>
    <row r="449" spans="1:15" x14ac:dyDescent="0.3">
      <c r="A449" s="130">
        <v>2620</v>
      </c>
      <c r="B449" s="130">
        <v>30</v>
      </c>
      <c r="C449" s="130" t="s">
        <v>2073</v>
      </c>
      <c r="D449">
        <v>4973</v>
      </c>
      <c r="E449" s="131">
        <v>4618010</v>
      </c>
      <c r="F449" t="s">
        <v>87</v>
      </c>
      <c r="G449">
        <v>358</v>
      </c>
      <c r="H449" t="s">
        <v>8951</v>
      </c>
      <c r="I449" s="131">
        <v>10</v>
      </c>
      <c r="J449" t="s">
        <v>2073</v>
      </c>
      <c r="K449" t="s">
        <v>108</v>
      </c>
      <c r="L449" t="s">
        <v>105</v>
      </c>
      <c r="M449" t="s">
        <v>103</v>
      </c>
      <c r="N449" t="s">
        <v>98</v>
      </c>
      <c r="O449" t="s">
        <v>1345</v>
      </c>
    </row>
    <row r="450" spans="1:15" x14ac:dyDescent="0.3">
      <c r="A450" s="130">
        <v>2624</v>
      </c>
      <c r="B450" s="130">
        <v>35</v>
      </c>
      <c r="C450" s="130" t="s">
        <v>2074</v>
      </c>
      <c r="D450">
        <v>4979</v>
      </c>
      <c r="E450" s="130">
        <v>5416618</v>
      </c>
      <c r="F450" t="s">
        <v>87</v>
      </c>
      <c r="G450">
        <v>358</v>
      </c>
      <c r="H450" t="s">
        <v>8952</v>
      </c>
      <c r="I450" s="130">
        <v>10</v>
      </c>
      <c r="J450" t="s">
        <v>2074</v>
      </c>
      <c r="K450" t="s">
        <v>108</v>
      </c>
      <c r="L450" t="s">
        <v>105</v>
      </c>
      <c r="M450" t="s">
        <v>161</v>
      </c>
      <c r="N450" t="s">
        <v>98</v>
      </c>
      <c r="O450" t="s">
        <v>116</v>
      </c>
    </row>
    <row r="451" spans="1:15" x14ac:dyDescent="0.3">
      <c r="A451" s="130">
        <v>2648</v>
      </c>
      <c r="B451" s="130">
        <v>18</v>
      </c>
      <c r="C451" s="130" t="s">
        <v>2075</v>
      </c>
      <c r="D451">
        <v>5010</v>
      </c>
      <c r="E451" s="130">
        <v>10872355</v>
      </c>
      <c r="F451" t="s">
        <v>87</v>
      </c>
      <c r="G451">
        <v>78</v>
      </c>
      <c r="H451" t="s">
        <v>8953</v>
      </c>
      <c r="I451" s="130">
        <v>9</v>
      </c>
      <c r="J451" t="s">
        <v>2075</v>
      </c>
      <c r="K451" t="s">
        <v>108</v>
      </c>
      <c r="L451" t="s">
        <v>125</v>
      </c>
      <c r="M451" t="s">
        <v>112</v>
      </c>
      <c r="N451" t="s">
        <v>98</v>
      </c>
      <c r="O451" t="s">
        <v>1345</v>
      </c>
    </row>
    <row r="452" spans="1:15" x14ac:dyDescent="0.3">
      <c r="A452" s="130">
        <v>2655</v>
      </c>
      <c r="B452" s="130">
        <v>-1</v>
      </c>
      <c r="C452" s="130" t="s">
        <v>2076</v>
      </c>
      <c r="D452">
        <v>5017</v>
      </c>
      <c r="E452" s="130">
        <v>13083109</v>
      </c>
      <c r="F452" t="s">
        <v>87</v>
      </c>
      <c r="G452">
        <v>358</v>
      </c>
      <c r="H452" t="s">
        <v>8951</v>
      </c>
      <c r="I452" s="130">
        <v>26</v>
      </c>
      <c r="J452" t="s">
        <v>2076</v>
      </c>
      <c r="K452" t="s">
        <v>108</v>
      </c>
      <c r="L452" t="s">
        <v>109</v>
      </c>
      <c r="M452" t="s">
        <v>174</v>
      </c>
      <c r="N452" t="s">
        <v>101</v>
      </c>
      <c r="O452" t="s">
        <v>1345</v>
      </c>
    </row>
    <row r="453" spans="1:15" x14ac:dyDescent="0.3">
      <c r="A453" s="130">
        <v>2670</v>
      </c>
      <c r="B453" s="130">
        <v>18</v>
      </c>
      <c r="C453" s="130" t="s">
        <v>2077</v>
      </c>
      <c r="D453">
        <v>5031</v>
      </c>
      <c r="E453" s="130">
        <v>51446573</v>
      </c>
      <c r="F453" t="s">
        <v>87</v>
      </c>
      <c r="G453">
        <v>358</v>
      </c>
      <c r="H453" t="s">
        <v>8952</v>
      </c>
      <c r="I453" s="130">
        <v>24</v>
      </c>
      <c r="J453" t="s">
        <v>2077</v>
      </c>
      <c r="K453" t="s">
        <v>95</v>
      </c>
      <c r="L453" t="s">
        <v>105</v>
      </c>
      <c r="M453" t="s">
        <v>112</v>
      </c>
      <c r="N453" t="s">
        <v>98</v>
      </c>
      <c r="O453" t="s">
        <v>1345</v>
      </c>
    </row>
    <row r="454" spans="1:15" x14ac:dyDescent="0.3">
      <c r="A454" s="130">
        <v>2674</v>
      </c>
      <c r="B454" s="130">
        <v>28</v>
      </c>
      <c r="C454" s="130" t="s">
        <v>2078</v>
      </c>
      <c r="D454">
        <v>5041</v>
      </c>
      <c r="E454" s="131">
        <v>36991649</v>
      </c>
      <c r="F454" t="s">
        <v>87</v>
      </c>
      <c r="G454">
        <v>78</v>
      </c>
      <c r="H454" t="s">
        <v>8953</v>
      </c>
      <c r="I454" s="130">
        <v>37</v>
      </c>
      <c r="J454" t="s">
        <v>2078</v>
      </c>
      <c r="K454" t="s">
        <v>95</v>
      </c>
      <c r="L454" t="s">
        <v>138</v>
      </c>
      <c r="M454" t="s">
        <v>130</v>
      </c>
      <c r="N454" t="s">
        <v>98</v>
      </c>
      <c r="O454" t="s">
        <v>1345</v>
      </c>
    </row>
    <row r="455" spans="1:15" x14ac:dyDescent="0.3">
      <c r="A455" s="130">
        <v>2675</v>
      </c>
      <c r="B455" s="130">
        <v>18</v>
      </c>
      <c r="C455" s="130" t="s">
        <v>2079</v>
      </c>
      <c r="D455">
        <v>5034</v>
      </c>
      <c r="E455" s="130">
        <v>36843573835</v>
      </c>
      <c r="F455" t="s">
        <v>87</v>
      </c>
      <c r="G455">
        <v>78</v>
      </c>
      <c r="H455" t="s">
        <v>8951</v>
      </c>
      <c r="I455" s="131">
        <v>38</v>
      </c>
      <c r="J455" t="s">
        <v>2079</v>
      </c>
      <c r="K455" t="s">
        <v>108</v>
      </c>
      <c r="L455" t="s">
        <v>126</v>
      </c>
      <c r="M455" t="s">
        <v>112</v>
      </c>
      <c r="N455" t="s">
        <v>110</v>
      </c>
      <c r="O455" t="s">
        <v>1345</v>
      </c>
    </row>
    <row r="456" spans="1:15" x14ac:dyDescent="0.3">
      <c r="A456" s="130">
        <v>2679</v>
      </c>
      <c r="B456" s="130">
        <v>-1</v>
      </c>
      <c r="C456" s="130" t="s">
        <v>2080</v>
      </c>
      <c r="D456">
        <v>5047</v>
      </c>
      <c r="E456" s="130">
        <v>12820518</v>
      </c>
      <c r="F456" t="s">
        <v>87</v>
      </c>
      <c r="G456">
        <v>78</v>
      </c>
      <c r="H456" t="s">
        <v>8952</v>
      </c>
      <c r="I456" s="130">
        <v>9</v>
      </c>
      <c r="J456" t="s">
        <v>2080</v>
      </c>
      <c r="K456" t="s">
        <v>108</v>
      </c>
      <c r="L456" t="s">
        <v>134</v>
      </c>
      <c r="M456" t="s">
        <v>174</v>
      </c>
      <c r="N456" t="s">
        <v>101</v>
      </c>
      <c r="O456" t="s">
        <v>1345</v>
      </c>
    </row>
    <row r="457" spans="1:15" x14ac:dyDescent="0.3">
      <c r="A457" s="130">
        <v>2682</v>
      </c>
      <c r="B457" s="130">
        <v>18</v>
      </c>
      <c r="C457" s="130" t="s">
        <v>2081</v>
      </c>
      <c r="D457">
        <v>5050</v>
      </c>
      <c r="E457" s="131">
        <v>6977665</v>
      </c>
      <c r="F457" t="s">
        <v>87</v>
      </c>
      <c r="G457">
        <v>78</v>
      </c>
      <c r="H457" t="s">
        <v>8953</v>
      </c>
      <c r="I457" s="131">
        <v>9</v>
      </c>
      <c r="J457" t="s">
        <v>2081</v>
      </c>
      <c r="K457" t="s">
        <v>108</v>
      </c>
      <c r="L457" t="s">
        <v>125</v>
      </c>
      <c r="M457" t="s">
        <v>112</v>
      </c>
      <c r="N457" t="s">
        <v>101</v>
      </c>
      <c r="O457" t="s">
        <v>116</v>
      </c>
    </row>
    <row r="458" spans="1:15" x14ac:dyDescent="0.3">
      <c r="A458" s="130">
        <v>2683</v>
      </c>
      <c r="B458" s="130">
        <v>45</v>
      </c>
      <c r="C458" s="130" t="s">
        <v>2082</v>
      </c>
      <c r="D458">
        <v>4774</v>
      </c>
      <c r="E458" s="130">
        <v>33390170</v>
      </c>
      <c r="F458" t="s">
        <v>87</v>
      </c>
      <c r="G458">
        <v>78</v>
      </c>
      <c r="H458" t="s">
        <v>8951</v>
      </c>
      <c r="I458" s="130">
        <v>3</v>
      </c>
      <c r="J458" t="s">
        <v>2082</v>
      </c>
      <c r="K458" t="s">
        <v>108</v>
      </c>
      <c r="L458" t="s">
        <v>111</v>
      </c>
      <c r="M458" t="s">
        <v>106</v>
      </c>
      <c r="N458" t="s">
        <v>114</v>
      </c>
      <c r="O458" t="s">
        <v>116</v>
      </c>
    </row>
    <row r="459" spans="1:15" x14ac:dyDescent="0.3">
      <c r="A459" s="130">
        <v>2686</v>
      </c>
      <c r="B459" s="130">
        <v>18</v>
      </c>
      <c r="C459" s="130" t="s">
        <v>2083</v>
      </c>
      <c r="D459">
        <v>5056</v>
      </c>
      <c r="E459" s="130">
        <v>25349440</v>
      </c>
      <c r="F459" t="s">
        <v>87</v>
      </c>
      <c r="G459">
        <v>358</v>
      </c>
      <c r="H459" t="s">
        <v>8952</v>
      </c>
      <c r="I459" s="130">
        <v>3</v>
      </c>
      <c r="J459" t="s">
        <v>2083</v>
      </c>
      <c r="K459" t="s">
        <v>95</v>
      </c>
      <c r="L459" t="s">
        <v>109</v>
      </c>
      <c r="M459" t="s">
        <v>112</v>
      </c>
      <c r="N459" t="s">
        <v>98</v>
      </c>
      <c r="O459" t="s">
        <v>1345</v>
      </c>
    </row>
    <row r="460" spans="1:15" x14ac:dyDescent="0.3">
      <c r="A460" s="130">
        <v>2697</v>
      </c>
      <c r="B460" s="130">
        <v>18</v>
      </c>
      <c r="C460" s="130" t="s">
        <v>2084</v>
      </c>
      <c r="D460">
        <v>5076</v>
      </c>
      <c r="E460" s="131">
        <v>17162983</v>
      </c>
      <c r="F460" t="s">
        <v>87</v>
      </c>
      <c r="G460">
        <v>358</v>
      </c>
      <c r="H460" t="s">
        <v>8953</v>
      </c>
      <c r="I460" s="131">
        <v>3</v>
      </c>
      <c r="J460" t="s">
        <v>2084</v>
      </c>
      <c r="K460" t="s">
        <v>95</v>
      </c>
      <c r="L460" t="s">
        <v>109</v>
      </c>
      <c r="M460" t="s">
        <v>112</v>
      </c>
      <c r="N460" t="s">
        <v>98</v>
      </c>
      <c r="O460" t="s">
        <v>1345</v>
      </c>
    </row>
    <row r="461" spans="1:15" x14ac:dyDescent="0.3">
      <c r="A461" s="130">
        <v>2702</v>
      </c>
      <c r="B461" s="130">
        <v>18</v>
      </c>
      <c r="C461" s="130" t="s">
        <v>2085</v>
      </c>
      <c r="D461">
        <v>5085</v>
      </c>
      <c r="E461" s="130">
        <v>36554798</v>
      </c>
      <c r="F461" t="s">
        <v>87</v>
      </c>
      <c r="G461">
        <v>78</v>
      </c>
      <c r="H461" t="s">
        <v>8951</v>
      </c>
      <c r="I461" s="130">
        <v>18</v>
      </c>
      <c r="J461" t="s">
        <v>2085</v>
      </c>
      <c r="K461" t="s">
        <v>108</v>
      </c>
      <c r="L461" t="s">
        <v>123</v>
      </c>
      <c r="M461" t="s">
        <v>112</v>
      </c>
      <c r="N461" t="s">
        <v>98</v>
      </c>
      <c r="O461" t="s">
        <v>1345</v>
      </c>
    </row>
    <row r="462" spans="1:15" x14ac:dyDescent="0.3">
      <c r="A462" s="130">
        <v>2705</v>
      </c>
      <c r="B462" s="130">
        <v>18</v>
      </c>
      <c r="C462" s="130" t="s">
        <v>2086</v>
      </c>
      <c r="D462">
        <v>5090</v>
      </c>
      <c r="E462" s="130">
        <v>3424858</v>
      </c>
      <c r="F462" t="s">
        <v>87</v>
      </c>
      <c r="G462">
        <v>78</v>
      </c>
      <c r="H462" t="s">
        <v>8952</v>
      </c>
      <c r="I462" s="130">
        <v>40</v>
      </c>
      <c r="J462" t="s">
        <v>2086</v>
      </c>
      <c r="K462" t="s">
        <v>108</v>
      </c>
      <c r="L462" t="s">
        <v>1349</v>
      </c>
      <c r="M462" t="s">
        <v>112</v>
      </c>
      <c r="N462" t="s">
        <v>98</v>
      </c>
      <c r="O462" t="s">
        <v>1345</v>
      </c>
    </row>
    <row r="463" spans="1:15" x14ac:dyDescent="0.3">
      <c r="A463" s="130">
        <v>2706</v>
      </c>
      <c r="B463" s="130">
        <v>30</v>
      </c>
      <c r="C463" s="130" t="s">
        <v>2087</v>
      </c>
      <c r="D463">
        <v>5092</v>
      </c>
      <c r="E463" s="130">
        <v>42441965</v>
      </c>
      <c r="F463" t="s">
        <v>87</v>
      </c>
      <c r="G463">
        <v>358</v>
      </c>
      <c r="H463" t="s">
        <v>8953</v>
      </c>
      <c r="I463" s="130">
        <v>10</v>
      </c>
      <c r="J463" t="s">
        <v>2087</v>
      </c>
      <c r="K463" t="s">
        <v>95</v>
      </c>
      <c r="L463" t="s">
        <v>105</v>
      </c>
      <c r="M463" t="s">
        <v>103</v>
      </c>
      <c r="N463" t="s">
        <v>98</v>
      </c>
      <c r="O463" t="s">
        <v>1345</v>
      </c>
    </row>
    <row r="464" spans="1:15" x14ac:dyDescent="0.3">
      <c r="A464" s="130">
        <v>2712</v>
      </c>
      <c r="B464" s="130">
        <v>28</v>
      </c>
      <c r="C464" s="130" t="s">
        <v>2088</v>
      </c>
      <c r="D464">
        <v>5099</v>
      </c>
      <c r="E464" s="131">
        <v>5962234</v>
      </c>
      <c r="F464" t="s">
        <v>87</v>
      </c>
      <c r="G464">
        <v>78</v>
      </c>
      <c r="H464" t="s">
        <v>8951</v>
      </c>
      <c r="I464" s="131">
        <v>37</v>
      </c>
      <c r="J464" t="s">
        <v>2088</v>
      </c>
      <c r="K464" t="s">
        <v>95</v>
      </c>
      <c r="L464" t="s">
        <v>138</v>
      </c>
      <c r="M464" t="s">
        <v>130</v>
      </c>
      <c r="N464" t="s">
        <v>98</v>
      </c>
      <c r="O464" t="s">
        <v>1345</v>
      </c>
    </row>
    <row r="465" spans="1:15" x14ac:dyDescent="0.3">
      <c r="A465" s="130">
        <v>2713</v>
      </c>
      <c r="B465" s="130">
        <v>15</v>
      </c>
      <c r="C465" s="130" t="s">
        <v>2089</v>
      </c>
      <c r="D465">
        <v>5102</v>
      </c>
      <c r="E465" s="131">
        <v>18455423</v>
      </c>
      <c r="F465" t="s">
        <v>87</v>
      </c>
      <c r="G465">
        <v>358</v>
      </c>
      <c r="H465" t="s">
        <v>8952</v>
      </c>
      <c r="I465" s="130">
        <v>24</v>
      </c>
      <c r="J465" t="s">
        <v>2089</v>
      </c>
      <c r="K465" t="s">
        <v>108</v>
      </c>
      <c r="L465" t="s">
        <v>109</v>
      </c>
      <c r="M465" t="s">
        <v>145</v>
      </c>
      <c r="N465" t="s">
        <v>98</v>
      </c>
      <c r="O465" t="s">
        <v>1345</v>
      </c>
    </row>
    <row r="466" spans="1:15" x14ac:dyDescent="0.3">
      <c r="A466" s="130">
        <v>2715</v>
      </c>
      <c r="B466" s="130">
        <v>28</v>
      </c>
      <c r="C466" s="130" t="s">
        <v>2090</v>
      </c>
      <c r="D466">
        <v>5103</v>
      </c>
      <c r="E466" s="130">
        <v>35002488</v>
      </c>
      <c r="F466" t="s">
        <v>87</v>
      </c>
      <c r="G466">
        <v>78</v>
      </c>
      <c r="H466" t="s">
        <v>8953</v>
      </c>
      <c r="I466" s="130">
        <v>37</v>
      </c>
      <c r="J466" t="s">
        <v>2090</v>
      </c>
      <c r="K466" t="s">
        <v>95</v>
      </c>
      <c r="L466" t="s">
        <v>138</v>
      </c>
      <c r="M466" t="s">
        <v>130</v>
      </c>
      <c r="N466" t="s">
        <v>98</v>
      </c>
      <c r="O466" t="s">
        <v>1345</v>
      </c>
    </row>
    <row r="467" spans="1:15" x14ac:dyDescent="0.3">
      <c r="A467" s="130">
        <v>2716</v>
      </c>
      <c r="B467" s="130">
        <v>30</v>
      </c>
      <c r="C467" s="130" t="s">
        <v>2091</v>
      </c>
      <c r="D467">
        <v>5106</v>
      </c>
      <c r="E467" s="130">
        <v>23341686</v>
      </c>
      <c r="F467" t="s">
        <v>87</v>
      </c>
      <c r="G467">
        <v>78</v>
      </c>
      <c r="H467" t="s">
        <v>8951</v>
      </c>
      <c r="I467" s="130">
        <v>18</v>
      </c>
      <c r="J467" t="s">
        <v>2091</v>
      </c>
      <c r="K467" t="s">
        <v>108</v>
      </c>
      <c r="L467" t="s">
        <v>123</v>
      </c>
      <c r="M467" t="s">
        <v>103</v>
      </c>
      <c r="N467" t="s">
        <v>98</v>
      </c>
      <c r="O467" t="s">
        <v>1345</v>
      </c>
    </row>
    <row r="468" spans="1:15" x14ac:dyDescent="0.3">
      <c r="A468" s="130">
        <v>2722</v>
      </c>
      <c r="B468" s="130">
        <v>18</v>
      </c>
      <c r="C468" s="130" t="s">
        <v>2092</v>
      </c>
      <c r="D468">
        <v>5114</v>
      </c>
      <c r="E468" s="130">
        <v>5208211</v>
      </c>
      <c r="F468" t="s">
        <v>87</v>
      </c>
      <c r="G468">
        <v>78</v>
      </c>
      <c r="H468" t="s">
        <v>8952</v>
      </c>
      <c r="I468" s="131">
        <v>9</v>
      </c>
      <c r="J468" t="s">
        <v>2092</v>
      </c>
      <c r="K468" t="s">
        <v>108</v>
      </c>
      <c r="L468" t="s">
        <v>125</v>
      </c>
      <c r="M468" t="s">
        <v>112</v>
      </c>
      <c r="N468" t="s">
        <v>101</v>
      </c>
      <c r="O468" t="s">
        <v>1345</v>
      </c>
    </row>
    <row r="469" spans="1:15" x14ac:dyDescent="0.3">
      <c r="A469" s="130">
        <v>2728</v>
      </c>
      <c r="B469" s="130">
        <v>30</v>
      </c>
      <c r="C469" s="130" t="s">
        <v>2093</v>
      </c>
      <c r="D469">
        <v>5122</v>
      </c>
      <c r="E469" s="130">
        <v>41164796</v>
      </c>
      <c r="F469" t="s">
        <v>87</v>
      </c>
      <c r="G469">
        <v>78</v>
      </c>
      <c r="H469" t="s">
        <v>8953</v>
      </c>
      <c r="I469" s="130">
        <v>3</v>
      </c>
      <c r="J469" t="s">
        <v>2093</v>
      </c>
      <c r="K469" t="s">
        <v>95</v>
      </c>
      <c r="L469" t="s">
        <v>96</v>
      </c>
      <c r="M469" t="s">
        <v>103</v>
      </c>
      <c r="N469" t="s">
        <v>98</v>
      </c>
      <c r="O469" t="s">
        <v>116</v>
      </c>
    </row>
    <row r="470" spans="1:15" x14ac:dyDescent="0.3">
      <c r="A470" s="130">
        <v>2731</v>
      </c>
      <c r="B470" s="130">
        <v>10</v>
      </c>
      <c r="C470" s="130" t="s">
        <v>2094</v>
      </c>
      <c r="D470">
        <v>5128</v>
      </c>
      <c r="E470" s="130">
        <v>2052511</v>
      </c>
      <c r="F470" t="s">
        <v>87</v>
      </c>
      <c r="G470">
        <v>78</v>
      </c>
      <c r="H470" t="s">
        <v>8951</v>
      </c>
      <c r="I470" s="131">
        <v>3</v>
      </c>
      <c r="J470" t="s">
        <v>2094</v>
      </c>
      <c r="K470" t="s">
        <v>108</v>
      </c>
      <c r="L470" t="s">
        <v>111</v>
      </c>
      <c r="M470" t="s">
        <v>133</v>
      </c>
      <c r="N470" t="s">
        <v>132</v>
      </c>
      <c r="O470" t="s">
        <v>1345</v>
      </c>
    </row>
    <row r="471" spans="1:15" x14ac:dyDescent="0.3">
      <c r="A471" s="130">
        <v>2733</v>
      </c>
      <c r="B471" s="130">
        <v>30</v>
      </c>
      <c r="C471" s="130" t="s">
        <v>2095</v>
      </c>
      <c r="D471">
        <v>5133</v>
      </c>
      <c r="E471" s="130">
        <v>4980542</v>
      </c>
      <c r="F471" t="s">
        <v>87</v>
      </c>
      <c r="G471">
        <v>358</v>
      </c>
      <c r="H471" t="s">
        <v>8952</v>
      </c>
      <c r="I471" s="131">
        <v>3</v>
      </c>
      <c r="J471" t="s">
        <v>2095</v>
      </c>
      <c r="K471" t="s">
        <v>95</v>
      </c>
      <c r="L471" t="s">
        <v>109</v>
      </c>
      <c r="M471" t="s">
        <v>103</v>
      </c>
      <c r="N471" t="s">
        <v>98</v>
      </c>
      <c r="O471" t="s">
        <v>1345</v>
      </c>
    </row>
    <row r="472" spans="1:15" x14ac:dyDescent="0.3">
      <c r="A472" s="130">
        <v>2735</v>
      </c>
      <c r="B472" s="130">
        <v>18</v>
      </c>
      <c r="C472" s="130" t="s">
        <v>2096</v>
      </c>
      <c r="D472">
        <v>5136</v>
      </c>
      <c r="E472" s="130">
        <v>5979550</v>
      </c>
      <c r="F472" t="s">
        <v>87</v>
      </c>
      <c r="G472">
        <v>358</v>
      </c>
      <c r="H472" t="s">
        <v>8953</v>
      </c>
      <c r="I472" s="131">
        <v>24</v>
      </c>
      <c r="J472" t="s">
        <v>2096</v>
      </c>
      <c r="K472" t="s">
        <v>108</v>
      </c>
      <c r="L472" t="s">
        <v>111</v>
      </c>
      <c r="M472" t="s">
        <v>112</v>
      </c>
      <c r="N472" t="s">
        <v>98</v>
      </c>
      <c r="O472" t="s">
        <v>1345</v>
      </c>
    </row>
    <row r="473" spans="1:15" x14ac:dyDescent="0.3">
      <c r="A473" s="130">
        <v>2739</v>
      </c>
      <c r="B473" s="130">
        <v>30</v>
      </c>
      <c r="C473" s="130" t="s">
        <v>2097</v>
      </c>
      <c r="D473">
        <v>5139</v>
      </c>
      <c r="E473" s="131">
        <v>17162983</v>
      </c>
      <c r="F473" t="s">
        <v>87</v>
      </c>
      <c r="G473">
        <v>358</v>
      </c>
      <c r="H473" t="s">
        <v>8951</v>
      </c>
      <c r="I473" s="131">
        <v>24</v>
      </c>
      <c r="J473" t="s">
        <v>2097</v>
      </c>
      <c r="K473" t="s">
        <v>95</v>
      </c>
      <c r="L473" t="s">
        <v>109</v>
      </c>
      <c r="M473" t="s">
        <v>103</v>
      </c>
      <c r="N473" t="s">
        <v>98</v>
      </c>
      <c r="O473" t="s">
        <v>116</v>
      </c>
    </row>
    <row r="474" spans="1:15" x14ac:dyDescent="0.3">
      <c r="A474" s="130">
        <v>2742</v>
      </c>
      <c r="B474" s="130">
        <v>18</v>
      </c>
      <c r="C474" s="130" t="s">
        <v>2098</v>
      </c>
      <c r="D474">
        <v>5142</v>
      </c>
      <c r="E474" s="130">
        <v>21097159</v>
      </c>
      <c r="F474" t="s">
        <v>87</v>
      </c>
      <c r="G474">
        <v>78</v>
      </c>
      <c r="H474" t="s">
        <v>8952</v>
      </c>
      <c r="I474" s="130">
        <v>18</v>
      </c>
      <c r="J474" t="s">
        <v>2098</v>
      </c>
      <c r="K474" t="s">
        <v>108</v>
      </c>
      <c r="L474" t="s">
        <v>123</v>
      </c>
      <c r="M474" t="s">
        <v>112</v>
      </c>
      <c r="N474" t="s">
        <v>98</v>
      </c>
      <c r="O474" t="s">
        <v>1345</v>
      </c>
    </row>
    <row r="475" spans="1:15" x14ac:dyDescent="0.3">
      <c r="A475" s="130">
        <v>2743</v>
      </c>
      <c r="B475" s="130">
        <v>18</v>
      </c>
      <c r="C475" s="130" t="s">
        <v>2099</v>
      </c>
      <c r="D475">
        <v>5143</v>
      </c>
      <c r="E475" s="130">
        <v>73454788820</v>
      </c>
      <c r="F475" t="s">
        <v>87</v>
      </c>
      <c r="G475">
        <v>9135</v>
      </c>
      <c r="H475" t="s">
        <v>8953</v>
      </c>
      <c r="I475" s="130">
        <v>38</v>
      </c>
      <c r="J475" t="s">
        <v>2099</v>
      </c>
      <c r="K475" t="s">
        <v>108</v>
      </c>
      <c r="L475" t="s">
        <v>185</v>
      </c>
      <c r="M475" t="s">
        <v>112</v>
      </c>
      <c r="N475" t="s">
        <v>110</v>
      </c>
      <c r="O475" t="s">
        <v>1345</v>
      </c>
    </row>
    <row r="476" spans="1:15" x14ac:dyDescent="0.3">
      <c r="A476" s="130">
        <v>2749</v>
      </c>
      <c r="B476" s="130">
        <v>-1</v>
      </c>
      <c r="C476" s="130" t="s">
        <v>2100</v>
      </c>
      <c r="D476">
        <v>5157</v>
      </c>
      <c r="E476" s="131">
        <v>17764252</v>
      </c>
      <c r="F476" t="s">
        <v>87</v>
      </c>
      <c r="G476">
        <v>358</v>
      </c>
      <c r="H476" t="s">
        <v>8951</v>
      </c>
      <c r="I476" s="131">
        <v>24</v>
      </c>
      <c r="J476" t="s">
        <v>2100</v>
      </c>
      <c r="K476" t="s">
        <v>95</v>
      </c>
      <c r="L476" t="s">
        <v>109</v>
      </c>
      <c r="M476" t="s">
        <v>174</v>
      </c>
      <c r="N476" t="s">
        <v>98</v>
      </c>
      <c r="O476" t="s">
        <v>1345</v>
      </c>
    </row>
    <row r="477" spans="1:15" x14ac:dyDescent="0.3">
      <c r="A477" s="130">
        <v>2750</v>
      </c>
      <c r="B477" s="130">
        <v>60</v>
      </c>
      <c r="C477" s="130" t="s">
        <v>2101</v>
      </c>
      <c r="D477">
        <v>5159</v>
      </c>
      <c r="E477" s="131">
        <v>10279488</v>
      </c>
      <c r="F477" t="s">
        <v>87</v>
      </c>
      <c r="G477">
        <v>77</v>
      </c>
      <c r="H477" t="s">
        <v>8952</v>
      </c>
      <c r="I477" s="130">
        <v>2</v>
      </c>
      <c r="J477" t="s">
        <v>2101</v>
      </c>
      <c r="K477" t="s">
        <v>95</v>
      </c>
      <c r="L477" t="s">
        <v>117</v>
      </c>
      <c r="M477" t="s">
        <v>97</v>
      </c>
      <c r="N477" t="s">
        <v>118</v>
      </c>
      <c r="O477" t="s">
        <v>1345</v>
      </c>
    </row>
    <row r="478" spans="1:15" x14ac:dyDescent="0.3">
      <c r="A478" s="130">
        <v>2776</v>
      </c>
      <c r="B478" s="130">
        <v>10</v>
      </c>
      <c r="C478" s="130" t="s">
        <v>2102</v>
      </c>
      <c r="D478">
        <v>5188</v>
      </c>
      <c r="E478" s="131">
        <v>8054995</v>
      </c>
      <c r="F478" t="s">
        <v>87</v>
      </c>
      <c r="G478">
        <v>358</v>
      </c>
      <c r="H478" t="s">
        <v>8953</v>
      </c>
      <c r="I478" s="131">
        <v>10</v>
      </c>
      <c r="J478" t="s">
        <v>2102</v>
      </c>
      <c r="K478" t="s">
        <v>95</v>
      </c>
      <c r="L478" t="s">
        <v>105</v>
      </c>
      <c r="M478" t="s">
        <v>133</v>
      </c>
      <c r="N478" t="s">
        <v>98</v>
      </c>
      <c r="O478" t="s">
        <v>1345</v>
      </c>
    </row>
    <row r="479" spans="1:15" x14ac:dyDescent="0.3">
      <c r="A479" s="130">
        <v>2804</v>
      </c>
      <c r="B479" s="130">
        <v>18</v>
      </c>
      <c r="C479" s="130" t="s">
        <v>2103</v>
      </c>
      <c r="D479">
        <v>5222</v>
      </c>
      <c r="E479" s="130">
        <v>33028845</v>
      </c>
      <c r="F479" t="s">
        <v>87</v>
      </c>
      <c r="G479">
        <v>78</v>
      </c>
      <c r="H479" t="s">
        <v>8951</v>
      </c>
      <c r="I479" s="131">
        <v>9</v>
      </c>
      <c r="J479" t="s">
        <v>2103</v>
      </c>
      <c r="K479" t="s">
        <v>95</v>
      </c>
      <c r="L479" t="s">
        <v>134</v>
      </c>
      <c r="M479" t="s">
        <v>112</v>
      </c>
      <c r="N479" t="s">
        <v>98</v>
      </c>
      <c r="O479" t="s">
        <v>1345</v>
      </c>
    </row>
    <row r="480" spans="1:15" x14ac:dyDescent="0.3">
      <c r="A480" s="130">
        <v>2805</v>
      </c>
      <c r="B480" s="130">
        <v>18</v>
      </c>
      <c r="C480" s="130" t="s">
        <v>2104</v>
      </c>
      <c r="D480">
        <v>5220</v>
      </c>
      <c r="E480" s="130">
        <v>4016153</v>
      </c>
      <c r="F480" t="s">
        <v>87</v>
      </c>
      <c r="G480">
        <v>78</v>
      </c>
      <c r="H480" t="s">
        <v>8952</v>
      </c>
      <c r="I480" s="130">
        <v>24</v>
      </c>
      <c r="J480" t="s">
        <v>2104</v>
      </c>
      <c r="K480" t="s">
        <v>95</v>
      </c>
      <c r="L480" t="s">
        <v>144</v>
      </c>
      <c r="M480" t="s">
        <v>112</v>
      </c>
      <c r="N480" t="s">
        <v>98</v>
      </c>
      <c r="O480" t="s">
        <v>1345</v>
      </c>
    </row>
    <row r="481" spans="1:15" x14ac:dyDescent="0.3">
      <c r="A481" s="130">
        <v>2807</v>
      </c>
      <c r="B481" s="130">
        <v>30</v>
      </c>
      <c r="C481" s="130" t="s">
        <v>2105</v>
      </c>
      <c r="D481">
        <v>5225</v>
      </c>
      <c r="E481" s="131">
        <v>42441965</v>
      </c>
      <c r="F481" t="s">
        <v>87</v>
      </c>
      <c r="G481">
        <v>78</v>
      </c>
      <c r="H481" t="s">
        <v>8953</v>
      </c>
      <c r="I481" s="131">
        <v>10</v>
      </c>
      <c r="J481" t="s">
        <v>2105</v>
      </c>
      <c r="K481" t="s">
        <v>95</v>
      </c>
      <c r="L481" t="s">
        <v>96</v>
      </c>
      <c r="M481" t="s">
        <v>103</v>
      </c>
      <c r="N481" t="s">
        <v>98</v>
      </c>
      <c r="O481" t="s">
        <v>1345</v>
      </c>
    </row>
    <row r="482" spans="1:15" x14ac:dyDescent="0.3">
      <c r="A482" s="130">
        <v>2811</v>
      </c>
      <c r="B482" s="130">
        <v>10</v>
      </c>
      <c r="C482" s="130" t="s">
        <v>2106</v>
      </c>
      <c r="D482">
        <v>5229</v>
      </c>
      <c r="E482" s="130">
        <v>29296671</v>
      </c>
      <c r="F482" t="s">
        <v>87</v>
      </c>
      <c r="G482">
        <v>358</v>
      </c>
      <c r="H482" t="s">
        <v>8951</v>
      </c>
      <c r="I482" s="130">
        <v>10</v>
      </c>
      <c r="J482" t="s">
        <v>2106</v>
      </c>
      <c r="K482" t="s">
        <v>108</v>
      </c>
      <c r="L482" t="s">
        <v>105</v>
      </c>
      <c r="M482" t="s">
        <v>133</v>
      </c>
      <c r="N482" t="s">
        <v>98</v>
      </c>
      <c r="O482" t="s">
        <v>116</v>
      </c>
    </row>
    <row r="483" spans="1:15" x14ac:dyDescent="0.3">
      <c r="A483" s="130">
        <v>2813</v>
      </c>
      <c r="B483" s="130">
        <v>30</v>
      </c>
      <c r="C483" s="130" t="s">
        <v>2107</v>
      </c>
      <c r="D483">
        <v>5233</v>
      </c>
      <c r="E483" s="130">
        <v>18363929</v>
      </c>
      <c r="F483" t="s">
        <v>87</v>
      </c>
      <c r="G483">
        <v>77</v>
      </c>
      <c r="H483" t="s">
        <v>8952</v>
      </c>
      <c r="I483" s="131">
        <v>3</v>
      </c>
      <c r="J483" t="s">
        <v>2107</v>
      </c>
      <c r="K483" t="s">
        <v>95</v>
      </c>
      <c r="L483" t="s">
        <v>117</v>
      </c>
      <c r="M483" t="s">
        <v>103</v>
      </c>
      <c r="N483" t="s">
        <v>131</v>
      </c>
      <c r="O483" t="s">
        <v>1345</v>
      </c>
    </row>
    <row r="484" spans="1:15" x14ac:dyDescent="0.3">
      <c r="A484" s="130">
        <v>2814</v>
      </c>
      <c r="B484" s="130">
        <v>30</v>
      </c>
      <c r="C484" s="130" t="s">
        <v>2108</v>
      </c>
      <c r="D484">
        <v>5234</v>
      </c>
      <c r="E484" s="130">
        <v>2617158</v>
      </c>
      <c r="F484" t="s">
        <v>87</v>
      </c>
      <c r="G484">
        <v>358</v>
      </c>
      <c r="H484" t="s">
        <v>8953</v>
      </c>
      <c r="I484" s="130">
        <v>10</v>
      </c>
      <c r="J484" t="s">
        <v>2108</v>
      </c>
      <c r="K484" t="s">
        <v>108</v>
      </c>
      <c r="L484" t="s">
        <v>105</v>
      </c>
      <c r="M484" t="s">
        <v>103</v>
      </c>
      <c r="N484" t="s">
        <v>98</v>
      </c>
      <c r="O484" t="s">
        <v>1345</v>
      </c>
    </row>
    <row r="485" spans="1:15" x14ac:dyDescent="0.3">
      <c r="A485" s="130">
        <v>2815</v>
      </c>
      <c r="B485" s="130">
        <v>18</v>
      </c>
      <c r="C485" s="130" t="s">
        <v>2109</v>
      </c>
      <c r="D485">
        <v>5236</v>
      </c>
      <c r="E485" s="131">
        <v>5515245</v>
      </c>
      <c r="F485" t="s">
        <v>87</v>
      </c>
      <c r="G485">
        <v>78</v>
      </c>
      <c r="H485" t="s">
        <v>8951</v>
      </c>
      <c r="I485" s="130">
        <v>9</v>
      </c>
      <c r="J485" t="s">
        <v>2109</v>
      </c>
      <c r="K485" t="s">
        <v>95</v>
      </c>
      <c r="L485" t="s">
        <v>163</v>
      </c>
      <c r="M485" t="s">
        <v>112</v>
      </c>
      <c r="N485" t="s">
        <v>98</v>
      </c>
      <c r="O485" t="s">
        <v>116</v>
      </c>
    </row>
    <row r="486" spans="1:15" x14ac:dyDescent="0.3">
      <c r="A486" s="130">
        <v>2827</v>
      </c>
      <c r="B486" s="130">
        <v>18</v>
      </c>
      <c r="C486" s="130" t="s">
        <v>2110</v>
      </c>
      <c r="D486">
        <v>5251</v>
      </c>
      <c r="E486" s="130">
        <v>1506543</v>
      </c>
      <c r="F486" t="s">
        <v>87</v>
      </c>
      <c r="G486">
        <v>78</v>
      </c>
      <c r="H486" t="s">
        <v>8952</v>
      </c>
      <c r="I486" s="130">
        <v>19</v>
      </c>
      <c r="J486" t="s">
        <v>2110</v>
      </c>
      <c r="K486" t="s">
        <v>108</v>
      </c>
      <c r="L486" t="s">
        <v>1349</v>
      </c>
      <c r="M486" t="s">
        <v>112</v>
      </c>
      <c r="N486" t="s">
        <v>98</v>
      </c>
      <c r="O486" t="s">
        <v>1345</v>
      </c>
    </row>
    <row r="487" spans="1:15" x14ac:dyDescent="0.3">
      <c r="A487" s="130">
        <v>2828</v>
      </c>
      <c r="B487" s="130">
        <v>18</v>
      </c>
      <c r="C487" s="130" t="s">
        <v>2111</v>
      </c>
      <c r="D487">
        <v>5252</v>
      </c>
      <c r="E487" s="130">
        <v>5685282</v>
      </c>
      <c r="F487" t="s">
        <v>87</v>
      </c>
      <c r="G487">
        <v>78</v>
      </c>
      <c r="H487" t="s">
        <v>8953</v>
      </c>
      <c r="I487" s="130">
        <v>3</v>
      </c>
      <c r="J487" t="s">
        <v>2111</v>
      </c>
      <c r="K487" t="s">
        <v>95</v>
      </c>
      <c r="L487" t="s">
        <v>96</v>
      </c>
      <c r="M487" t="s">
        <v>112</v>
      </c>
      <c r="N487" t="s">
        <v>114</v>
      </c>
      <c r="O487" t="s">
        <v>1345</v>
      </c>
    </row>
    <row r="488" spans="1:15" x14ac:dyDescent="0.3">
      <c r="A488" s="130">
        <v>2829</v>
      </c>
      <c r="B488" s="130">
        <v>60</v>
      </c>
      <c r="C488" s="130" t="s">
        <v>2112</v>
      </c>
      <c r="D488">
        <v>5253</v>
      </c>
      <c r="E488" s="131">
        <v>34209835</v>
      </c>
      <c r="F488" t="s">
        <v>87</v>
      </c>
      <c r="G488">
        <v>77</v>
      </c>
      <c r="H488" t="s">
        <v>8951</v>
      </c>
      <c r="I488" s="130">
        <v>10</v>
      </c>
      <c r="J488" t="s">
        <v>2112</v>
      </c>
      <c r="K488" t="s">
        <v>95</v>
      </c>
      <c r="L488" t="s">
        <v>117</v>
      </c>
      <c r="M488" t="s">
        <v>97</v>
      </c>
      <c r="N488" t="s">
        <v>118</v>
      </c>
      <c r="O488" t="s">
        <v>116</v>
      </c>
    </row>
    <row r="489" spans="1:15" x14ac:dyDescent="0.3">
      <c r="A489" s="130">
        <v>2830</v>
      </c>
      <c r="B489" s="130">
        <v>18</v>
      </c>
      <c r="C489" s="130" t="s">
        <v>2113</v>
      </c>
      <c r="D489">
        <v>5256</v>
      </c>
      <c r="E489" s="130">
        <v>17162280</v>
      </c>
      <c r="F489" t="s">
        <v>87</v>
      </c>
      <c r="G489">
        <v>358</v>
      </c>
      <c r="H489" t="s">
        <v>8952</v>
      </c>
      <c r="I489" s="131">
        <v>3</v>
      </c>
      <c r="J489" t="s">
        <v>2113</v>
      </c>
      <c r="K489" t="s">
        <v>95</v>
      </c>
      <c r="L489" t="s">
        <v>109</v>
      </c>
      <c r="M489" t="s">
        <v>112</v>
      </c>
      <c r="N489" t="s">
        <v>98</v>
      </c>
      <c r="O489" t="s">
        <v>1345</v>
      </c>
    </row>
    <row r="490" spans="1:15" x14ac:dyDescent="0.3">
      <c r="A490" s="130">
        <v>2841</v>
      </c>
      <c r="B490" s="130">
        <v>15</v>
      </c>
      <c r="C490" s="130" t="s">
        <v>2114</v>
      </c>
      <c r="D490">
        <v>5274</v>
      </c>
      <c r="E490" s="130">
        <v>29316596</v>
      </c>
      <c r="F490" t="s">
        <v>87</v>
      </c>
      <c r="G490">
        <v>358</v>
      </c>
      <c r="H490" t="s">
        <v>8953</v>
      </c>
      <c r="I490" s="130">
        <v>37</v>
      </c>
      <c r="J490" t="s">
        <v>2114</v>
      </c>
      <c r="K490" t="s">
        <v>95</v>
      </c>
      <c r="L490" t="s">
        <v>111</v>
      </c>
      <c r="M490" t="s">
        <v>145</v>
      </c>
      <c r="N490" t="s">
        <v>98</v>
      </c>
      <c r="O490" t="s">
        <v>1345</v>
      </c>
    </row>
    <row r="491" spans="1:15" x14ac:dyDescent="0.3">
      <c r="A491" s="130">
        <v>2842</v>
      </c>
      <c r="B491" s="130">
        <v>30</v>
      </c>
      <c r="C491" s="130" t="s">
        <v>2115</v>
      </c>
      <c r="D491">
        <v>5279</v>
      </c>
      <c r="E491" s="130">
        <v>532740</v>
      </c>
      <c r="F491" t="s">
        <v>87</v>
      </c>
      <c r="G491">
        <v>78</v>
      </c>
      <c r="H491" t="s">
        <v>8951</v>
      </c>
      <c r="I491" s="130">
        <v>10</v>
      </c>
      <c r="J491" t="s">
        <v>2115</v>
      </c>
      <c r="K491" t="s">
        <v>95</v>
      </c>
      <c r="L491" t="s">
        <v>96</v>
      </c>
      <c r="M491" t="s">
        <v>103</v>
      </c>
      <c r="N491" t="s">
        <v>101</v>
      </c>
      <c r="O491" t="s">
        <v>1345</v>
      </c>
    </row>
    <row r="492" spans="1:15" x14ac:dyDescent="0.3">
      <c r="A492" s="130">
        <v>2843</v>
      </c>
      <c r="B492" s="130">
        <v>18</v>
      </c>
      <c r="C492" s="130" t="s">
        <v>2116</v>
      </c>
      <c r="D492">
        <v>5276</v>
      </c>
      <c r="E492" s="130">
        <v>46874947</v>
      </c>
      <c r="F492" t="s">
        <v>87</v>
      </c>
      <c r="G492">
        <v>78</v>
      </c>
      <c r="H492" t="s">
        <v>8952</v>
      </c>
      <c r="I492" s="130">
        <v>37</v>
      </c>
      <c r="J492" t="s">
        <v>2116</v>
      </c>
      <c r="K492" t="s">
        <v>95</v>
      </c>
      <c r="L492" t="s">
        <v>138</v>
      </c>
      <c r="M492" t="s">
        <v>112</v>
      </c>
      <c r="N492" t="s">
        <v>98</v>
      </c>
      <c r="O492" t="s">
        <v>1345</v>
      </c>
    </row>
    <row r="493" spans="1:15" x14ac:dyDescent="0.3">
      <c r="A493" s="130">
        <v>2846</v>
      </c>
      <c r="B493" s="130" t="s">
        <v>1353</v>
      </c>
      <c r="C493" s="130" t="s">
        <v>2117</v>
      </c>
      <c r="D493">
        <v>5261</v>
      </c>
      <c r="E493" s="130">
        <v>34847881</v>
      </c>
      <c r="F493" t="s">
        <v>87</v>
      </c>
      <c r="G493">
        <v>78</v>
      </c>
      <c r="H493" t="s">
        <v>8953</v>
      </c>
      <c r="I493" s="130">
        <v>24</v>
      </c>
      <c r="J493" t="s">
        <v>2117</v>
      </c>
      <c r="K493" t="s">
        <v>95</v>
      </c>
      <c r="L493" t="s">
        <v>109</v>
      </c>
      <c r="M493" t="s">
        <v>1354</v>
      </c>
      <c r="N493" t="s">
        <v>101</v>
      </c>
      <c r="O493" t="s">
        <v>1345</v>
      </c>
    </row>
    <row r="494" spans="1:15" x14ac:dyDescent="0.3">
      <c r="A494" s="130">
        <v>2848</v>
      </c>
      <c r="B494" s="130">
        <v>-1</v>
      </c>
      <c r="C494" s="130" t="s">
        <v>2118</v>
      </c>
      <c r="D494">
        <v>5284</v>
      </c>
      <c r="E494" s="131">
        <v>41267272</v>
      </c>
      <c r="F494" t="s">
        <v>87</v>
      </c>
      <c r="G494">
        <v>78</v>
      </c>
      <c r="H494" t="s">
        <v>8951</v>
      </c>
      <c r="I494" s="131">
        <v>9</v>
      </c>
      <c r="J494" t="s">
        <v>2118</v>
      </c>
      <c r="K494" t="s">
        <v>108</v>
      </c>
      <c r="L494" t="s">
        <v>125</v>
      </c>
      <c r="M494" t="s">
        <v>174</v>
      </c>
      <c r="N494" t="s">
        <v>101</v>
      </c>
      <c r="O494" t="s">
        <v>1345</v>
      </c>
    </row>
    <row r="495" spans="1:15" x14ac:dyDescent="0.3">
      <c r="A495" s="130">
        <v>2849</v>
      </c>
      <c r="B495" s="130">
        <v>10</v>
      </c>
      <c r="C495" s="130" t="s">
        <v>2119</v>
      </c>
      <c r="D495">
        <v>3646</v>
      </c>
      <c r="E495" s="131">
        <v>13732348</v>
      </c>
      <c r="F495" t="s">
        <v>87</v>
      </c>
      <c r="G495">
        <v>358</v>
      </c>
      <c r="H495" t="s">
        <v>8952</v>
      </c>
      <c r="I495" s="131">
        <v>10</v>
      </c>
      <c r="J495" t="s">
        <v>2119</v>
      </c>
      <c r="K495" t="s">
        <v>108</v>
      </c>
      <c r="L495" t="s">
        <v>105</v>
      </c>
      <c r="M495" t="s">
        <v>133</v>
      </c>
      <c r="N495" t="s">
        <v>118</v>
      </c>
      <c r="O495" t="s">
        <v>1345</v>
      </c>
    </row>
    <row r="496" spans="1:15" x14ac:dyDescent="0.3">
      <c r="A496" s="130">
        <v>2850</v>
      </c>
      <c r="B496" s="130">
        <v>60</v>
      </c>
      <c r="C496" s="130" t="s">
        <v>2120</v>
      </c>
      <c r="D496">
        <v>5285</v>
      </c>
      <c r="E496" s="130">
        <v>61142766</v>
      </c>
      <c r="F496" t="s">
        <v>87</v>
      </c>
      <c r="G496">
        <v>358</v>
      </c>
      <c r="H496" t="s">
        <v>8953</v>
      </c>
      <c r="I496" s="130">
        <v>26</v>
      </c>
      <c r="J496" t="s">
        <v>2120</v>
      </c>
      <c r="K496" t="s">
        <v>95</v>
      </c>
      <c r="L496" t="s">
        <v>117</v>
      </c>
      <c r="M496" t="s">
        <v>97</v>
      </c>
      <c r="N496" t="s">
        <v>114</v>
      </c>
      <c r="O496" t="s">
        <v>116</v>
      </c>
    </row>
    <row r="497" spans="1:15" x14ac:dyDescent="0.3">
      <c r="A497" s="130">
        <v>2852</v>
      </c>
      <c r="B497" s="130">
        <v>18</v>
      </c>
      <c r="C497" s="130" t="s">
        <v>2121</v>
      </c>
      <c r="D497">
        <v>5289</v>
      </c>
      <c r="E497" s="130">
        <v>14579853</v>
      </c>
      <c r="F497" t="s">
        <v>87</v>
      </c>
      <c r="G497">
        <v>78</v>
      </c>
      <c r="H497" t="s">
        <v>8951</v>
      </c>
      <c r="I497" s="131">
        <v>9</v>
      </c>
      <c r="J497" t="s">
        <v>2121</v>
      </c>
      <c r="K497" t="s">
        <v>108</v>
      </c>
      <c r="L497" t="s">
        <v>125</v>
      </c>
      <c r="M497" t="s">
        <v>112</v>
      </c>
      <c r="N497" t="s">
        <v>98</v>
      </c>
      <c r="O497" t="s">
        <v>1345</v>
      </c>
    </row>
    <row r="498" spans="1:15" x14ac:dyDescent="0.3">
      <c r="A498" s="130">
        <v>2853</v>
      </c>
      <c r="B498" s="130">
        <v>90</v>
      </c>
      <c r="C498" s="130" t="s">
        <v>2122</v>
      </c>
      <c r="D498">
        <v>5290</v>
      </c>
      <c r="E498" s="131">
        <v>655209</v>
      </c>
      <c r="F498" t="s">
        <v>87</v>
      </c>
      <c r="G498">
        <v>78</v>
      </c>
      <c r="H498" t="s">
        <v>8952</v>
      </c>
      <c r="I498" s="131">
        <v>9</v>
      </c>
      <c r="J498" t="s">
        <v>2122</v>
      </c>
      <c r="K498" t="s">
        <v>95</v>
      </c>
      <c r="L498" t="s">
        <v>125</v>
      </c>
      <c r="M498" t="s">
        <v>170</v>
      </c>
      <c r="N498" t="s">
        <v>114</v>
      </c>
      <c r="O498" t="s">
        <v>116</v>
      </c>
    </row>
    <row r="499" spans="1:15" x14ac:dyDescent="0.3">
      <c r="A499" s="130">
        <v>2868</v>
      </c>
      <c r="B499" s="130">
        <v>18</v>
      </c>
      <c r="C499" s="130" t="s">
        <v>2123</v>
      </c>
      <c r="D499">
        <v>5312</v>
      </c>
      <c r="E499" s="130">
        <v>2102318</v>
      </c>
      <c r="F499" t="s">
        <v>87</v>
      </c>
      <c r="G499">
        <v>358</v>
      </c>
      <c r="H499" t="s">
        <v>8953</v>
      </c>
      <c r="I499" s="130">
        <v>18</v>
      </c>
      <c r="J499" t="s">
        <v>2123</v>
      </c>
      <c r="K499" t="s">
        <v>95</v>
      </c>
      <c r="L499" t="s">
        <v>111</v>
      </c>
      <c r="M499" t="s">
        <v>112</v>
      </c>
      <c r="N499" t="s">
        <v>98</v>
      </c>
      <c r="O499" t="s">
        <v>1345</v>
      </c>
    </row>
    <row r="500" spans="1:15" x14ac:dyDescent="0.3">
      <c r="A500" s="130">
        <v>2872</v>
      </c>
      <c r="B500" s="130">
        <v>30</v>
      </c>
      <c r="C500" s="130" t="s">
        <v>2124</v>
      </c>
      <c r="D500">
        <v>5318</v>
      </c>
      <c r="E500" s="131">
        <v>35588111</v>
      </c>
      <c r="F500" t="s">
        <v>87</v>
      </c>
      <c r="G500">
        <v>78</v>
      </c>
      <c r="H500" t="s">
        <v>8951</v>
      </c>
      <c r="I500" s="131">
        <v>3</v>
      </c>
      <c r="J500" t="s">
        <v>2124</v>
      </c>
      <c r="K500" t="s">
        <v>95</v>
      </c>
      <c r="L500" t="s">
        <v>96</v>
      </c>
      <c r="M500" t="s">
        <v>103</v>
      </c>
      <c r="N500" t="s">
        <v>98</v>
      </c>
      <c r="O500" t="s">
        <v>1345</v>
      </c>
    </row>
    <row r="501" spans="1:15" x14ac:dyDescent="0.3">
      <c r="A501" s="130">
        <v>2873</v>
      </c>
      <c r="B501" s="130">
        <v>18</v>
      </c>
      <c r="C501" s="130" t="s">
        <v>2125</v>
      </c>
      <c r="D501">
        <v>5320</v>
      </c>
      <c r="E501" s="131">
        <v>32142695</v>
      </c>
      <c r="F501" t="s">
        <v>87</v>
      </c>
      <c r="G501">
        <v>78</v>
      </c>
      <c r="H501" t="s">
        <v>8952</v>
      </c>
      <c r="I501" s="131">
        <v>9</v>
      </c>
      <c r="J501" t="s">
        <v>2125</v>
      </c>
      <c r="K501" t="s">
        <v>95</v>
      </c>
      <c r="L501" t="s">
        <v>134</v>
      </c>
      <c r="M501" t="s">
        <v>112</v>
      </c>
      <c r="N501" t="s">
        <v>101</v>
      </c>
      <c r="O501" t="s">
        <v>1345</v>
      </c>
    </row>
    <row r="502" spans="1:15" x14ac:dyDescent="0.3">
      <c r="A502" s="130">
        <v>2874</v>
      </c>
      <c r="B502" s="130">
        <v>10</v>
      </c>
      <c r="C502" s="130" t="s">
        <v>2126</v>
      </c>
      <c r="D502">
        <v>5324</v>
      </c>
      <c r="E502" s="130">
        <v>15474048</v>
      </c>
      <c r="F502" t="s">
        <v>87</v>
      </c>
      <c r="G502">
        <v>358</v>
      </c>
      <c r="H502" t="s">
        <v>8953</v>
      </c>
      <c r="I502" s="130">
        <v>3</v>
      </c>
      <c r="J502" t="s">
        <v>2126</v>
      </c>
      <c r="K502" t="s">
        <v>95</v>
      </c>
      <c r="L502" t="s">
        <v>109</v>
      </c>
      <c r="M502" t="s">
        <v>133</v>
      </c>
      <c r="N502" t="s">
        <v>98</v>
      </c>
      <c r="O502" t="s">
        <v>1345</v>
      </c>
    </row>
    <row r="503" spans="1:15" x14ac:dyDescent="0.3">
      <c r="A503" s="130">
        <v>2876</v>
      </c>
      <c r="B503" s="130">
        <v>30</v>
      </c>
      <c r="C503" s="130" t="s">
        <v>2127</v>
      </c>
      <c r="D503">
        <v>5326</v>
      </c>
      <c r="E503" s="130">
        <v>29177369</v>
      </c>
      <c r="F503" t="s">
        <v>87</v>
      </c>
      <c r="G503">
        <v>77</v>
      </c>
      <c r="H503" t="s">
        <v>8951</v>
      </c>
      <c r="I503" s="130">
        <v>3</v>
      </c>
      <c r="J503" t="s">
        <v>2127</v>
      </c>
      <c r="K503" t="s">
        <v>95</v>
      </c>
      <c r="L503" t="s">
        <v>256</v>
      </c>
      <c r="M503" t="s">
        <v>103</v>
      </c>
      <c r="N503" t="s">
        <v>98</v>
      </c>
      <c r="O503" t="s">
        <v>1345</v>
      </c>
    </row>
    <row r="504" spans="1:15" x14ac:dyDescent="0.3">
      <c r="A504" s="130">
        <v>2877</v>
      </c>
      <c r="B504" s="130">
        <v>30</v>
      </c>
      <c r="C504" s="130" t="s">
        <v>2128</v>
      </c>
      <c r="D504">
        <v>5329</v>
      </c>
      <c r="E504" s="130">
        <v>18540906</v>
      </c>
      <c r="F504" t="s">
        <v>87</v>
      </c>
      <c r="G504">
        <v>78</v>
      </c>
      <c r="H504" t="s">
        <v>8952</v>
      </c>
      <c r="I504" s="130">
        <v>10</v>
      </c>
      <c r="J504" t="s">
        <v>2128</v>
      </c>
      <c r="K504" t="s">
        <v>95</v>
      </c>
      <c r="L504" t="s">
        <v>127</v>
      </c>
      <c r="M504" t="s">
        <v>103</v>
      </c>
      <c r="N504" t="s">
        <v>118</v>
      </c>
      <c r="O504" t="s">
        <v>1345</v>
      </c>
    </row>
    <row r="505" spans="1:15" x14ac:dyDescent="0.3">
      <c r="A505" s="130">
        <v>2889</v>
      </c>
      <c r="B505" s="130">
        <v>10</v>
      </c>
      <c r="C505" s="130" t="s">
        <v>2129</v>
      </c>
      <c r="D505">
        <v>5340</v>
      </c>
      <c r="E505" s="130">
        <v>150478</v>
      </c>
      <c r="F505" t="s">
        <v>87</v>
      </c>
      <c r="G505">
        <v>358</v>
      </c>
      <c r="H505" t="s">
        <v>8953</v>
      </c>
      <c r="I505" s="130">
        <v>3</v>
      </c>
      <c r="J505" t="s">
        <v>2129</v>
      </c>
      <c r="K505" t="s">
        <v>95</v>
      </c>
      <c r="L505" t="s">
        <v>109</v>
      </c>
      <c r="M505" t="s">
        <v>133</v>
      </c>
      <c r="N505" t="s">
        <v>98</v>
      </c>
      <c r="O505" t="s">
        <v>1345</v>
      </c>
    </row>
    <row r="506" spans="1:15" x14ac:dyDescent="0.3">
      <c r="A506" s="130">
        <v>2891</v>
      </c>
      <c r="B506" s="130">
        <v>18</v>
      </c>
      <c r="C506" s="130" t="s">
        <v>2130</v>
      </c>
      <c r="D506">
        <v>5342</v>
      </c>
      <c r="E506" s="130">
        <v>3687657</v>
      </c>
      <c r="F506" t="s">
        <v>87</v>
      </c>
      <c r="G506">
        <v>78</v>
      </c>
      <c r="H506" t="s">
        <v>8951</v>
      </c>
      <c r="I506" s="130">
        <v>38</v>
      </c>
      <c r="J506" t="s">
        <v>2130</v>
      </c>
      <c r="K506" t="s">
        <v>108</v>
      </c>
      <c r="L506" t="s">
        <v>185</v>
      </c>
      <c r="M506" t="s">
        <v>112</v>
      </c>
      <c r="N506" t="s">
        <v>98</v>
      </c>
      <c r="O506" t="s">
        <v>1345</v>
      </c>
    </row>
    <row r="507" spans="1:15" x14ac:dyDescent="0.3">
      <c r="A507" s="130">
        <v>2892</v>
      </c>
      <c r="B507" s="130">
        <v>0</v>
      </c>
      <c r="C507" s="130" t="s">
        <v>2131</v>
      </c>
      <c r="D507">
        <v>5343</v>
      </c>
      <c r="E507" s="130">
        <v>41858057</v>
      </c>
      <c r="F507" t="s">
        <v>87</v>
      </c>
      <c r="G507">
        <v>358</v>
      </c>
      <c r="H507" t="s">
        <v>8952</v>
      </c>
      <c r="I507" s="130">
        <v>3</v>
      </c>
      <c r="J507" t="s">
        <v>2131</v>
      </c>
      <c r="K507" t="s">
        <v>108</v>
      </c>
      <c r="L507" t="s">
        <v>105</v>
      </c>
      <c r="M507" t="s">
        <v>100</v>
      </c>
      <c r="N507" t="s">
        <v>98</v>
      </c>
      <c r="O507" t="s">
        <v>1345</v>
      </c>
    </row>
    <row r="508" spans="1:15" x14ac:dyDescent="0.3">
      <c r="A508" s="130">
        <v>2894</v>
      </c>
      <c r="B508" s="130">
        <v>15</v>
      </c>
      <c r="C508" s="130" t="s">
        <v>2132</v>
      </c>
      <c r="D508">
        <v>5345</v>
      </c>
      <c r="E508" s="130">
        <v>5427215</v>
      </c>
      <c r="F508" t="s">
        <v>87</v>
      </c>
      <c r="G508">
        <v>78</v>
      </c>
      <c r="H508" t="s">
        <v>8953</v>
      </c>
      <c r="I508" s="130">
        <v>10</v>
      </c>
      <c r="J508" t="s">
        <v>2132</v>
      </c>
      <c r="K508" t="s">
        <v>108</v>
      </c>
      <c r="L508" t="s">
        <v>127</v>
      </c>
      <c r="M508" t="s">
        <v>145</v>
      </c>
      <c r="N508" t="s">
        <v>101</v>
      </c>
      <c r="O508" t="s">
        <v>1345</v>
      </c>
    </row>
    <row r="509" spans="1:15" x14ac:dyDescent="0.3">
      <c r="A509" s="130">
        <v>2895</v>
      </c>
      <c r="B509" s="130">
        <v>18</v>
      </c>
      <c r="C509" s="130" t="s">
        <v>2133</v>
      </c>
      <c r="D509">
        <v>5322</v>
      </c>
      <c r="E509" s="130">
        <v>13494918</v>
      </c>
      <c r="F509" t="s">
        <v>87</v>
      </c>
      <c r="G509">
        <v>78</v>
      </c>
      <c r="H509" t="s">
        <v>8951</v>
      </c>
      <c r="I509" s="130">
        <v>43</v>
      </c>
      <c r="J509" t="s">
        <v>2133</v>
      </c>
      <c r="K509" t="s">
        <v>95</v>
      </c>
      <c r="L509" t="s">
        <v>105</v>
      </c>
      <c r="M509" t="s">
        <v>112</v>
      </c>
      <c r="N509" t="s">
        <v>98</v>
      </c>
      <c r="O509" t="s">
        <v>1345</v>
      </c>
    </row>
    <row r="510" spans="1:15" x14ac:dyDescent="0.3">
      <c r="A510" s="130">
        <v>2898</v>
      </c>
      <c r="C510" s="130" t="s">
        <v>2134</v>
      </c>
      <c r="D510">
        <v>5350</v>
      </c>
      <c r="E510" s="130">
        <v>13494918</v>
      </c>
      <c r="F510" t="s">
        <v>87</v>
      </c>
      <c r="G510">
        <v>78</v>
      </c>
      <c r="H510" t="s">
        <v>8952</v>
      </c>
      <c r="I510" s="130">
        <v>43</v>
      </c>
      <c r="J510" t="s">
        <v>2134</v>
      </c>
      <c r="K510" t="s">
        <v>95</v>
      </c>
      <c r="L510" t="s">
        <v>1241</v>
      </c>
      <c r="N510" t="s">
        <v>98</v>
      </c>
      <c r="O510" t="s">
        <v>1256</v>
      </c>
    </row>
    <row r="511" spans="1:15" x14ac:dyDescent="0.3">
      <c r="A511" s="130">
        <v>2905</v>
      </c>
      <c r="B511" s="130">
        <v>30</v>
      </c>
      <c r="C511" s="130" t="s">
        <v>2135</v>
      </c>
      <c r="D511">
        <v>5360</v>
      </c>
      <c r="E511" s="130">
        <v>8928273</v>
      </c>
      <c r="F511" t="s">
        <v>87</v>
      </c>
      <c r="G511">
        <v>78</v>
      </c>
      <c r="H511" t="s">
        <v>8953</v>
      </c>
      <c r="I511" s="131">
        <v>18</v>
      </c>
      <c r="J511" t="s">
        <v>2135</v>
      </c>
      <c r="K511" t="s">
        <v>95</v>
      </c>
      <c r="L511" t="s">
        <v>123</v>
      </c>
      <c r="M511" t="s">
        <v>103</v>
      </c>
      <c r="N511" t="s">
        <v>169</v>
      </c>
      <c r="O511" t="s">
        <v>1345</v>
      </c>
    </row>
    <row r="512" spans="1:15" x14ac:dyDescent="0.3">
      <c r="A512" s="130">
        <v>2906</v>
      </c>
      <c r="B512" s="130">
        <v>30</v>
      </c>
      <c r="C512" s="130" t="s">
        <v>2136</v>
      </c>
      <c r="D512">
        <v>5361</v>
      </c>
      <c r="E512" s="131">
        <v>34692778</v>
      </c>
      <c r="F512" t="s">
        <v>87</v>
      </c>
      <c r="G512">
        <v>77</v>
      </c>
      <c r="H512" t="s">
        <v>8951</v>
      </c>
      <c r="I512" s="130">
        <v>18</v>
      </c>
      <c r="J512" t="s">
        <v>2136</v>
      </c>
      <c r="K512" t="s">
        <v>95</v>
      </c>
      <c r="L512" t="s">
        <v>1255</v>
      </c>
      <c r="M512" t="s">
        <v>103</v>
      </c>
      <c r="N512" t="s">
        <v>98</v>
      </c>
      <c r="O512" t="s">
        <v>1345</v>
      </c>
    </row>
    <row r="513" spans="1:15" x14ac:dyDescent="0.3">
      <c r="A513" s="130">
        <v>2912</v>
      </c>
      <c r="B513" s="130">
        <v>30</v>
      </c>
      <c r="C513" s="130" t="s">
        <v>2137</v>
      </c>
      <c r="D513">
        <v>5367</v>
      </c>
      <c r="E513" s="131">
        <v>4618010</v>
      </c>
      <c r="F513" t="s">
        <v>87</v>
      </c>
      <c r="G513">
        <v>358</v>
      </c>
      <c r="H513" t="s">
        <v>8952</v>
      </c>
      <c r="I513" s="130">
        <v>10</v>
      </c>
      <c r="J513" t="s">
        <v>2137</v>
      </c>
      <c r="K513" t="s">
        <v>108</v>
      </c>
      <c r="L513" t="s">
        <v>105</v>
      </c>
      <c r="M513" t="s">
        <v>103</v>
      </c>
      <c r="N513" t="s">
        <v>98</v>
      </c>
      <c r="O513" t="s">
        <v>1345</v>
      </c>
    </row>
    <row r="514" spans="1:15" x14ac:dyDescent="0.3">
      <c r="A514" s="130">
        <v>2919</v>
      </c>
      <c r="B514" s="130">
        <v>18</v>
      </c>
      <c r="C514" s="130" t="s">
        <v>2138</v>
      </c>
      <c r="D514">
        <v>5379</v>
      </c>
      <c r="E514" s="130">
        <v>29060647</v>
      </c>
      <c r="F514" t="s">
        <v>87</v>
      </c>
      <c r="G514">
        <v>78</v>
      </c>
      <c r="H514" t="s">
        <v>8953</v>
      </c>
      <c r="I514" s="131">
        <v>10</v>
      </c>
      <c r="J514" t="s">
        <v>2138</v>
      </c>
      <c r="K514" t="s">
        <v>95</v>
      </c>
      <c r="L514" t="s">
        <v>96</v>
      </c>
      <c r="M514" t="s">
        <v>112</v>
      </c>
      <c r="N514" t="s">
        <v>98</v>
      </c>
      <c r="O514" t="s">
        <v>1345</v>
      </c>
    </row>
    <row r="515" spans="1:15" x14ac:dyDescent="0.3">
      <c r="A515" s="130">
        <v>2920</v>
      </c>
      <c r="B515" s="130">
        <v>30</v>
      </c>
      <c r="C515" s="130" t="s">
        <v>2139</v>
      </c>
      <c r="D515">
        <v>5380</v>
      </c>
      <c r="E515" s="131">
        <v>7522191</v>
      </c>
      <c r="F515" t="s">
        <v>87</v>
      </c>
      <c r="G515">
        <v>358</v>
      </c>
      <c r="H515" t="s">
        <v>8951</v>
      </c>
      <c r="I515" s="131">
        <v>3</v>
      </c>
      <c r="J515" t="s">
        <v>2139</v>
      </c>
      <c r="K515" t="s">
        <v>95</v>
      </c>
      <c r="L515" t="s">
        <v>109</v>
      </c>
      <c r="M515" t="s">
        <v>103</v>
      </c>
      <c r="N515" t="s">
        <v>98</v>
      </c>
      <c r="O515" t="s">
        <v>1345</v>
      </c>
    </row>
    <row r="516" spans="1:15" x14ac:dyDescent="0.3">
      <c r="A516" s="130">
        <v>2928</v>
      </c>
      <c r="B516" s="130">
        <v>18</v>
      </c>
      <c r="C516" s="130" t="s">
        <v>2140</v>
      </c>
      <c r="D516">
        <v>5393</v>
      </c>
      <c r="E516" s="131">
        <v>7134777</v>
      </c>
      <c r="F516" t="s">
        <v>87</v>
      </c>
      <c r="G516">
        <v>78</v>
      </c>
      <c r="H516" t="s">
        <v>8952</v>
      </c>
      <c r="I516" s="130">
        <v>10</v>
      </c>
      <c r="J516" t="s">
        <v>2140</v>
      </c>
      <c r="K516" t="s">
        <v>108</v>
      </c>
      <c r="L516" t="s">
        <v>127</v>
      </c>
      <c r="M516" t="s">
        <v>112</v>
      </c>
      <c r="N516" t="s">
        <v>118</v>
      </c>
      <c r="O516" t="s">
        <v>1345</v>
      </c>
    </row>
    <row r="517" spans="1:15" x14ac:dyDescent="0.3">
      <c r="A517" s="130">
        <v>2931</v>
      </c>
      <c r="B517" s="130">
        <v>30</v>
      </c>
      <c r="C517" s="130" t="s">
        <v>2141</v>
      </c>
      <c r="D517">
        <v>5400</v>
      </c>
      <c r="E517" s="130">
        <v>7147444</v>
      </c>
      <c r="F517" t="s">
        <v>87</v>
      </c>
      <c r="G517">
        <v>358</v>
      </c>
      <c r="H517" t="s">
        <v>8953</v>
      </c>
      <c r="I517" s="130">
        <v>10</v>
      </c>
      <c r="J517" t="s">
        <v>2141</v>
      </c>
      <c r="K517" t="s">
        <v>95</v>
      </c>
      <c r="L517" t="s">
        <v>105</v>
      </c>
      <c r="M517" t="s">
        <v>103</v>
      </c>
      <c r="N517" t="s">
        <v>98</v>
      </c>
      <c r="O517" t="s">
        <v>1345</v>
      </c>
    </row>
    <row r="518" spans="1:15" x14ac:dyDescent="0.3">
      <c r="A518" s="130">
        <v>2934</v>
      </c>
      <c r="B518" s="130">
        <v>18</v>
      </c>
      <c r="C518" s="130" t="s">
        <v>2142</v>
      </c>
      <c r="D518">
        <v>5402</v>
      </c>
      <c r="E518" s="130">
        <v>33176727</v>
      </c>
      <c r="F518" t="s">
        <v>87</v>
      </c>
      <c r="G518">
        <v>78</v>
      </c>
      <c r="H518" t="s">
        <v>8951</v>
      </c>
      <c r="I518" s="131">
        <v>9</v>
      </c>
      <c r="J518" t="s">
        <v>2142</v>
      </c>
      <c r="K518" t="s">
        <v>108</v>
      </c>
      <c r="L518" t="s">
        <v>125</v>
      </c>
      <c r="M518" t="s">
        <v>112</v>
      </c>
      <c r="N518" t="s">
        <v>101</v>
      </c>
      <c r="O518" t="s">
        <v>1345</v>
      </c>
    </row>
    <row r="519" spans="1:15" x14ac:dyDescent="0.3">
      <c r="A519" s="130">
        <v>2965</v>
      </c>
      <c r="B519" s="130">
        <v>18</v>
      </c>
      <c r="C519" s="130" t="s">
        <v>2143</v>
      </c>
      <c r="D519">
        <v>5436</v>
      </c>
      <c r="E519" s="130">
        <v>2102318</v>
      </c>
      <c r="F519" t="s">
        <v>87</v>
      </c>
      <c r="G519">
        <v>358</v>
      </c>
      <c r="H519" t="s">
        <v>8952</v>
      </c>
      <c r="I519" s="130">
        <v>18</v>
      </c>
      <c r="J519" t="s">
        <v>2143</v>
      </c>
      <c r="K519" t="s">
        <v>95</v>
      </c>
      <c r="L519" t="s">
        <v>111</v>
      </c>
      <c r="M519" t="s">
        <v>112</v>
      </c>
      <c r="N519" t="s">
        <v>98</v>
      </c>
      <c r="O519" t="s">
        <v>1345</v>
      </c>
    </row>
    <row r="520" spans="1:15" x14ac:dyDescent="0.3">
      <c r="A520" s="130">
        <v>2982</v>
      </c>
      <c r="B520" s="130">
        <v>30</v>
      </c>
      <c r="C520" s="130" t="s">
        <v>2144</v>
      </c>
      <c r="D520">
        <v>5456</v>
      </c>
      <c r="E520" s="130">
        <v>28763819</v>
      </c>
      <c r="F520" t="s">
        <v>87</v>
      </c>
      <c r="G520">
        <v>78</v>
      </c>
      <c r="H520" t="s">
        <v>8953</v>
      </c>
      <c r="I520" s="130">
        <v>3</v>
      </c>
      <c r="J520" t="s">
        <v>2144</v>
      </c>
      <c r="K520" t="s">
        <v>108</v>
      </c>
      <c r="L520" t="s">
        <v>1293</v>
      </c>
      <c r="M520" t="s">
        <v>103</v>
      </c>
      <c r="N520" t="s">
        <v>98</v>
      </c>
      <c r="O520" t="s">
        <v>116</v>
      </c>
    </row>
    <row r="521" spans="1:15" x14ac:dyDescent="0.3">
      <c r="A521" s="130">
        <v>2986</v>
      </c>
      <c r="B521" s="130">
        <v>5</v>
      </c>
      <c r="C521" s="130" t="s">
        <v>2145</v>
      </c>
      <c r="D521">
        <v>5461</v>
      </c>
      <c r="E521" s="130">
        <v>25486560630</v>
      </c>
      <c r="F521" t="s">
        <v>87</v>
      </c>
      <c r="G521">
        <v>78</v>
      </c>
      <c r="H521" t="s">
        <v>8951</v>
      </c>
      <c r="I521" s="130">
        <v>3</v>
      </c>
      <c r="J521" t="s">
        <v>2145</v>
      </c>
      <c r="K521" t="s">
        <v>108</v>
      </c>
      <c r="L521" t="s">
        <v>153</v>
      </c>
      <c r="M521" t="s">
        <v>129</v>
      </c>
      <c r="N521" t="s">
        <v>110</v>
      </c>
      <c r="O521" t="s">
        <v>1345</v>
      </c>
    </row>
    <row r="522" spans="1:15" x14ac:dyDescent="0.3">
      <c r="A522" s="130">
        <v>2987</v>
      </c>
      <c r="B522" s="130">
        <v>30</v>
      </c>
      <c r="C522" s="130" t="s">
        <v>2146</v>
      </c>
      <c r="D522">
        <v>5462</v>
      </c>
      <c r="E522" s="131">
        <v>63081764</v>
      </c>
      <c r="F522" t="s">
        <v>87</v>
      </c>
      <c r="G522">
        <v>358</v>
      </c>
      <c r="H522" t="s">
        <v>8952</v>
      </c>
      <c r="I522" s="130">
        <v>3</v>
      </c>
      <c r="J522" t="s">
        <v>2146</v>
      </c>
      <c r="K522" t="s">
        <v>108</v>
      </c>
      <c r="L522" t="s">
        <v>109</v>
      </c>
      <c r="M522" t="s">
        <v>103</v>
      </c>
      <c r="N522" t="s">
        <v>98</v>
      </c>
      <c r="O522" t="s">
        <v>1345</v>
      </c>
    </row>
    <row r="523" spans="1:15" x14ac:dyDescent="0.3">
      <c r="A523" s="130">
        <v>2989</v>
      </c>
      <c r="B523" s="130">
        <v>30</v>
      </c>
      <c r="C523" s="130" t="s">
        <v>2147</v>
      </c>
      <c r="D523">
        <v>5464</v>
      </c>
      <c r="E523" s="130">
        <v>7522191</v>
      </c>
      <c r="F523" t="s">
        <v>87</v>
      </c>
      <c r="G523">
        <v>78</v>
      </c>
      <c r="H523" t="s">
        <v>8953</v>
      </c>
      <c r="I523" s="130">
        <v>10</v>
      </c>
      <c r="J523" t="s">
        <v>2147</v>
      </c>
      <c r="K523" t="s">
        <v>95</v>
      </c>
      <c r="L523" t="s">
        <v>127</v>
      </c>
      <c r="M523" t="s">
        <v>103</v>
      </c>
      <c r="N523" t="s">
        <v>118</v>
      </c>
      <c r="O523" t="s">
        <v>116</v>
      </c>
    </row>
    <row r="524" spans="1:15" x14ac:dyDescent="0.3">
      <c r="A524" s="130">
        <v>2990</v>
      </c>
      <c r="B524" s="130">
        <v>30</v>
      </c>
      <c r="C524" s="130" t="s">
        <v>2148</v>
      </c>
      <c r="D524">
        <v>5466</v>
      </c>
      <c r="E524" s="131">
        <v>17155391</v>
      </c>
      <c r="F524" t="s">
        <v>87</v>
      </c>
      <c r="G524">
        <v>358</v>
      </c>
      <c r="H524" t="s">
        <v>8951</v>
      </c>
      <c r="I524" s="131">
        <v>10</v>
      </c>
      <c r="J524" t="s">
        <v>2148</v>
      </c>
      <c r="K524" t="s">
        <v>95</v>
      </c>
      <c r="L524" t="s">
        <v>105</v>
      </c>
      <c r="M524" t="s">
        <v>103</v>
      </c>
      <c r="N524" t="s">
        <v>98</v>
      </c>
      <c r="O524" t="s">
        <v>1345</v>
      </c>
    </row>
    <row r="525" spans="1:15" x14ac:dyDescent="0.3">
      <c r="A525" s="130">
        <v>2994</v>
      </c>
      <c r="B525" s="130">
        <v>30</v>
      </c>
      <c r="C525" s="130" t="s">
        <v>2149</v>
      </c>
      <c r="D525">
        <v>5468</v>
      </c>
      <c r="E525" s="130">
        <v>17159856</v>
      </c>
      <c r="F525" t="s">
        <v>87</v>
      </c>
      <c r="G525">
        <v>78</v>
      </c>
      <c r="H525" t="s">
        <v>8952</v>
      </c>
      <c r="I525" s="131">
        <v>1</v>
      </c>
      <c r="J525" t="s">
        <v>2149</v>
      </c>
      <c r="K525" t="s">
        <v>95</v>
      </c>
      <c r="L525" t="s">
        <v>146</v>
      </c>
      <c r="M525" t="s">
        <v>103</v>
      </c>
      <c r="N525" t="s">
        <v>98</v>
      </c>
      <c r="O525" t="s">
        <v>1256</v>
      </c>
    </row>
    <row r="526" spans="1:15" x14ac:dyDescent="0.3">
      <c r="A526" s="130">
        <v>2996</v>
      </c>
      <c r="B526" s="130">
        <v>30</v>
      </c>
      <c r="C526" s="130" t="s">
        <v>2150</v>
      </c>
      <c r="D526">
        <v>5469</v>
      </c>
      <c r="E526" s="130">
        <v>4739720</v>
      </c>
      <c r="F526" t="s">
        <v>87</v>
      </c>
      <c r="G526">
        <v>358</v>
      </c>
      <c r="H526" t="s">
        <v>8953</v>
      </c>
      <c r="I526" s="131">
        <v>24</v>
      </c>
      <c r="J526" t="s">
        <v>2150</v>
      </c>
      <c r="K526" t="s">
        <v>108</v>
      </c>
      <c r="L526" t="s">
        <v>1346</v>
      </c>
      <c r="M526" t="s">
        <v>103</v>
      </c>
      <c r="N526" t="s">
        <v>124</v>
      </c>
      <c r="O526" t="s">
        <v>1345</v>
      </c>
    </row>
    <row r="527" spans="1:15" x14ac:dyDescent="0.3">
      <c r="A527" s="130">
        <v>3000</v>
      </c>
      <c r="B527" s="130">
        <v>90</v>
      </c>
      <c r="C527" s="130" t="s">
        <v>2151</v>
      </c>
      <c r="D527">
        <v>5474</v>
      </c>
      <c r="E527" s="130">
        <v>35234509</v>
      </c>
      <c r="F527" t="s">
        <v>87</v>
      </c>
      <c r="G527">
        <v>78</v>
      </c>
      <c r="H527" t="s">
        <v>8951</v>
      </c>
      <c r="I527" s="130">
        <v>18</v>
      </c>
      <c r="J527" t="s">
        <v>2151</v>
      </c>
      <c r="K527" t="s">
        <v>95</v>
      </c>
      <c r="L527" t="s">
        <v>102</v>
      </c>
      <c r="M527" t="s">
        <v>170</v>
      </c>
      <c r="N527" t="s">
        <v>98</v>
      </c>
      <c r="O527" t="s">
        <v>116</v>
      </c>
    </row>
    <row r="528" spans="1:15" x14ac:dyDescent="0.3">
      <c r="A528" s="130">
        <v>3002</v>
      </c>
      <c r="B528" s="130">
        <v>90</v>
      </c>
      <c r="C528" s="130" t="s">
        <v>2152</v>
      </c>
      <c r="D528">
        <v>5476</v>
      </c>
      <c r="E528" s="130">
        <v>35234509</v>
      </c>
      <c r="F528" t="s">
        <v>87</v>
      </c>
      <c r="G528">
        <v>78</v>
      </c>
      <c r="H528" t="s">
        <v>8952</v>
      </c>
      <c r="I528" s="131">
        <v>19</v>
      </c>
      <c r="J528" t="s">
        <v>2152</v>
      </c>
      <c r="K528" t="s">
        <v>95</v>
      </c>
      <c r="L528" t="s">
        <v>102</v>
      </c>
      <c r="M528" t="s">
        <v>170</v>
      </c>
      <c r="N528" t="s">
        <v>98</v>
      </c>
      <c r="O528" t="s">
        <v>116</v>
      </c>
    </row>
    <row r="529" spans="1:15" x14ac:dyDescent="0.3">
      <c r="A529" s="130">
        <v>3005</v>
      </c>
      <c r="B529" s="130">
        <v>18</v>
      </c>
      <c r="C529" s="130" t="s">
        <v>2153</v>
      </c>
      <c r="D529">
        <v>5478</v>
      </c>
      <c r="E529" s="130">
        <v>30098217</v>
      </c>
      <c r="F529" t="s">
        <v>87</v>
      </c>
      <c r="G529">
        <v>78</v>
      </c>
      <c r="H529" t="s">
        <v>8953</v>
      </c>
      <c r="I529" s="130">
        <v>18</v>
      </c>
      <c r="J529" t="s">
        <v>2153</v>
      </c>
      <c r="K529" t="s">
        <v>108</v>
      </c>
      <c r="L529" t="s">
        <v>123</v>
      </c>
      <c r="M529" t="s">
        <v>112</v>
      </c>
      <c r="N529" t="s">
        <v>98</v>
      </c>
      <c r="O529" t="s">
        <v>1345</v>
      </c>
    </row>
    <row r="530" spans="1:15" x14ac:dyDescent="0.3">
      <c r="A530" s="130">
        <v>3009</v>
      </c>
      <c r="B530" s="130">
        <v>0</v>
      </c>
      <c r="C530" s="130" t="s">
        <v>2154</v>
      </c>
      <c r="D530">
        <v>5483</v>
      </c>
      <c r="E530" s="130">
        <v>24019926</v>
      </c>
      <c r="F530" t="s">
        <v>87</v>
      </c>
      <c r="G530">
        <v>78</v>
      </c>
      <c r="H530" t="s">
        <v>8951</v>
      </c>
      <c r="I530" s="131">
        <v>3</v>
      </c>
      <c r="J530" t="s">
        <v>2154</v>
      </c>
      <c r="K530" t="s">
        <v>108</v>
      </c>
      <c r="L530" t="s">
        <v>111</v>
      </c>
      <c r="M530" t="s">
        <v>100</v>
      </c>
      <c r="N530" t="s">
        <v>98</v>
      </c>
      <c r="O530" t="s">
        <v>116</v>
      </c>
    </row>
    <row r="531" spans="1:15" x14ac:dyDescent="0.3">
      <c r="A531" s="130">
        <v>3010</v>
      </c>
      <c r="B531" s="130">
        <v>10</v>
      </c>
      <c r="C531" s="130" t="s">
        <v>2155</v>
      </c>
      <c r="D531">
        <v>5487</v>
      </c>
      <c r="E531" s="130">
        <v>27136273</v>
      </c>
      <c r="F531" t="s">
        <v>87</v>
      </c>
      <c r="G531">
        <v>78</v>
      </c>
      <c r="H531" t="s">
        <v>8952</v>
      </c>
      <c r="I531" s="130">
        <v>38</v>
      </c>
      <c r="J531" t="s">
        <v>2155</v>
      </c>
      <c r="K531" t="s">
        <v>108</v>
      </c>
      <c r="L531" t="s">
        <v>126</v>
      </c>
      <c r="M531" t="s">
        <v>133</v>
      </c>
      <c r="N531" t="s">
        <v>98</v>
      </c>
      <c r="O531" t="s">
        <v>1345</v>
      </c>
    </row>
    <row r="532" spans="1:15" x14ac:dyDescent="0.3">
      <c r="A532" s="130">
        <v>3016</v>
      </c>
      <c r="B532" s="130">
        <v>18</v>
      </c>
      <c r="C532" s="130" t="s">
        <v>2156</v>
      </c>
      <c r="D532">
        <v>5495</v>
      </c>
      <c r="E532" s="130">
        <v>8573695</v>
      </c>
      <c r="F532" t="s">
        <v>87</v>
      </c>
      <c r="G532">
        <v>78</v>
      </c>
      <c r="H532" t="s">
        <v>8953</v>
      </c>
      <c r="I532" s="131">
        <v>19</v>
      </c>
      <c r="J532" t="s">
        <v>2156</v>
      </c>
      <c r="K532" t="s">
        <v>95</v>
      </c>
      <c r="L532" t="s">
        <v>146</v>
      </c>
      <c r="M532" t="s">
        <v>112</v>
      </c>
      <c r="N532" t="s">
        <v>107</v>
      </c>
      <c r="O532" t="s">
        <v>1345</v>
      </c>
    </row>
    <row r="533" spans="1:15" x14ac:dyDescent="0.3">
      <c r="A533" s="130">
        <v>3017</v>
      </c>
      <c r="B533" s="130">
        <v>18</v>
      </c>
      <c r="C533" s="130" t="s">
        <v>2157</v>
      </c>
      <c r="D533">
        <v>5498</v>
      </c>
      <c r="E533" s="130">
        <v>22929707</v>
      </c>
      <c r="F533" t="s">
        <v>87</v>
      </c>
      <c r="G533">
        <v>78</v>
      </c>
      <c r="H533" t="s">
        <v>8951</v>
      </c>
      <c r="I533" s="131">
        <v>10</v>
      </c>
      <c r="J533" t="s">
        <v>2157</v>
      </c>
      <c r="K533" t="s">
        <v>108</v>
      </c>
      <c r="L533" t="s">
        <v>127</v>
      </c>
      <c r="M533" t="s">
        <v>112</v>
      </c>
      <c r="N533" t="s">
        <v>118</v>
      </c>
      <c r="O533" t="s">
        <v>1345</v>
      </c>
    </row>
    <row r="534" spans="1:15" x14ac:dyDescent="0.3">
      <c r="A534" s="130">
        <v>3020</v>
      </c>
      <c r="B534" s="130">
        <v>30</v>
      </c>
      <c r="C534" s="130" t="s">
        <v>2158</v>
      </c>
      <c r="D534">
        <v>5502</v>
      </c>
      <c r="E534" s="130">
        <v>17161464</v>
      </c>
      <c r="F534" t="s">
        <v>87</v>
      </c>
      <c r="G534">
        <v>78</v>
      </c>
      <c r="H534" t="s">
        <v>8952</v>
      </c>
      <c r="I534" s="130">
        <v>3</v>
      </c>
      <c r="J534" t="s">
        <v>2158</v>
      </c>
      <c r="K534" t="s">
        <v>95</v>
      </c>
      <c r="L534" t="s">
        <v>96</v>
      </c>
      <c r="M534" t="s">
        <v>103</v>
      </c>
      <c r="N534" t="s">
        <v>98</v>
      </c>
      <c r="O534" t="s">
        <v>1345</v>
      </c>
    </row>
    <row r="535" spans="1:15" x14ac:dyDescent="0.3">
      <c r="A535" s="130">
        <v>3029</v>
      </c>
      <c r="B535" s="130">
        <v>21</v>
      </c>
      <c r="C535" s="130" t="s">
        <v>2159</v>
      </c>
      <c r="D535">
        <v>5519</v>
      </c>
      <c r="E535" s="130">
        <v>36328635</v>
      </c>
      <c r="F535" t="s">
        <v>87</v>
      </c>
      <c r="G535">
        <v>78</v>
      </c>
      <c r="H535" t="s">
        <v>8953</v>
      </c>
      <c r="I535" s="130">
        <v>43</v>
      </c>
      <c r="J535" t="s">
        <v>2159</v>
      </c>
      <c r="K535" t="s">
        <v>95</v>
      </c>
      <c r="L535" t="s">
        <v>159</v>
      </c>
      <c r="M535" t="s">
        <v>137</v>
      </c>
      <c r="N535" t="s">
        <v>150</v>
      </c>
      <c r="O535" t="s">
        <v>1345</v>
      </c>
    </row>
    <row r="536" spans="1:15" x14ac:dyDescent="0.3">
      <c r="A536" s="130">
        <v>3036</v>
      </c>
      <c r="B536" s="130">
        <v>30</v>
      </c>
      <c r="C536" s="130" t="s">
        <v>2160</v>
      </c>
      <c r="D536">
        <v>5525</v>
      </c>
      <c r="E536" s="130">
        <v>7522191</v>
      </c>
      <c r="F536" t="s">
        <v>87</v>
      </c>
      <c r="G536">
        <v>358</v>
      </c>
      <c r="H536" t="s">
        <v>8951</v>
      </c>
      <c r="I536" s="131">
        <v>38</v>
      </c>
      <c r="J536" t="s">
        <v>2160</v>
      </c>
      <c r="K536" t="s">
        <v>95</v>
      </c>
      <c r="L536" t="s">
        <v>109</v>
      </c>
      <c r="M536" t="s">
        <v>103</v>
      </c>
      <c r="N536" t="s">
        <v>114</v>
      </c>
      <c r="O536" t="s">
        <v>1345</v>
      </c>
    </row>
    <row r="537" spans="1:15" x14ac:dyDescent="0.3">
      <c r="A537" s="130">
        <v>3039</v>
      </c>
      <c r="B537" s="130">
        <v>30</v>
      </c>
      <c r="C537" s="130" t="s">
        <v>2161</v>
      </c>
      <c r="D537">
        <v>5533</v>
      </c>
      <c r="E537" s="131">
        <v>3672857</v>
      </c>
      <c r="F537" t="s">
        <v>87</v>
      </c>
      <c r="G537">
        <v>78</v>
      </c>
      <c r="H537" t="s">
        <v>8952</v>
      </c>
      <c r="I537" s="131">
        <v>10</v>
      </c>
      <c r="J537" t="s">
        <v>2161</v>
      </c>
      <c r="K537" t="s">
        <v>108</v>
      </c>
      <c r="L537" t="s">
        <v>127</v>
      </c>
      <c r="M537" t="s">
        <v>103</v>
      </c>
      <c r="N537" t="s">
        <v>118</v>
      </c>
      <c r="O537" t="s">
        <v>116</v>
      </c>
    </row>
    <row r="538" spans="1:15" x14ac:dyDescent="0.3">
      <c r="A538" s="130">
        <v>3045</v>
      </c>
      <c r="B538" s="130">
        <v>60</v>
      </c>
      <c r="C538" s="130" t="s">
        <v>2162</v>
      </c>
      <c r="D538">
        <v>4809</v>
      </c>
      <c r="E538" s="130">
        <v>8902291</v>
      </c>
      <c r="F538" t="s">
        <v>87</v>
      </c>
      <c r="G538">
        <v>77</v>
      </c>
      <c r="H538" t="s">
        <v>8953</v>
      </c>
      <c r="I538" s="130">
        <v>3</v>
      </c>
      <c r="J538" t="s">
        <v>2162</v>
      </c>
      <c r="K538" t="s">
        <v>95</v>
      </c>
      <c r="L538" t="s">
        <v>117</v>
      </c>
      <c r="M538" t="s">
        <v>97</v>
      </c>
      <c r="N538" t="s">
        <v>118</v>
      </c>
      <c r="O538" t="s">
        <v>1345</v>
      </c>
    </row>
    <row r="539" spans="1:15" x14ac:dyDescent="0.3">
      <c r="A539" s="130">
        <v>3053</v>
      </c>
      <c r="B539" s="130">
        <v>18</v>
      </c>
      <c r="C539" s="130" t="s">
        <v>2163</v>
      </c>
      <c r="D539">
        <v>5549</v>
      </c>
      <c r="E539" s="131">
        <v>11286032</v>
      </c>
      <c r="F539" t="s">
        <v>87</v>
      </c>
      <c r="G539">
        <v>78</v>
      </c>
      <c r="H539" t="s">
        <v>8951</v>
      </c>
      <c r="I539" s="131">
        <v>38</v>
      </c>
      <c r="J539" t="s">
        <v>2163</v>
      </c>
      <c r="K539" t="s">
        <v>108</v>
      </c>
      <c r="L539" t="s">
        <v>126</v>
      </c>
      <c r="M539" t="s">
        <v>112</v>
      </c>
      <c r="N539" t="s">
        <v>98</v>
      </c>
      <c r="O539" t="s">
        <v>1345</v>
      </c>
    </row>
    <row r="540" spans="1:15" x14ac:dyDescent="0.3">
      <c r="A540" s="130">
        <v>3057</v>
      </c>
      <c r="B540" s="130">
        <v>18</v>
      </c>
      <c r="C540" s="130" t="s">
        <v>2164</v>
      </c>
      <c r="D540">
        <v>5553</v>
      </c>
      <c r="E540" s="130">
        <v>20651311</v>
      </c>
      <c r="F540" t="s">
        <v>87</v>
      </c>
      <c r="G540">
        <v>78</v>
      </c>
      <c r="H540" t="s">
        <v>8952</v>
      </c>
      <c r="I540" s="130">
        <v>24</v>
      </c>
      <c r="J540" t="s">
        <v>2164</v>
      </c>
      <c r="K540" t="s">
        <v>95</v>
      </c>
      <c r="L540" t="s">
        <v>144</v>
      </c>
      <c r="M540" t="s">
        <v>112</v>
      </c>
      <c r="N540" t="s">
        <v>98</v>
      </c>
      <c r="O540" t="s">
        <v>1345</v>
      </c>
    </row>
    <row r="541" spans="1:15" x14ac:dyDescent="0.3">
      <c r="A541" s="130">
        <v>3063</v>
      </c>
      <c r="B541" s="130">
        <v>64</v>
      </c>
      <c r="C541" s="130" t="s">
        <v>2165</v>
      </c>
      <c r="D541">
        <v>5563</v>
      </c>
      <c r="E541" s="131">
        <v>655209</v>
      </c>
      <c r="F541" t="s">
        <v>87</v>
      </c>
      <c r="G541">
        <v>78</v>
      </c>
      <c r="H541" t="s">
        <v>8953</v>
      </c>
      <c r="I541" s="130">
        <v>9</v>
      </c>
      <c r="J541" t="s">
        <v>2165</v>
      </c>
      <c r="K541" t="s">
        <v>95</v>
      </c>
      <c r="L541" t="s">
        <v>125</v>
      </c>
      <c r="M541" t="s">
        <v>165</v>
      </c>
      <c r="N541" t="s">
        <v>114</v>
      </c>
      <c r="O541" t="s">
        <v>1345</v>
      </c>
    </row>
    <row r="542" spans="1:15" x14ac:dyDescent="0.3">
      <c r="A542" s="130">
        <v>3083</v>
      </c>
      <c r="B542" s="130">
        <v>30</v>
      </c>
      <c r="C542" s="130" t="s">
        <v>2166</v>
      </c>
      <c r="D542">
        <v>5584</v>
      </c>
      <c r="E542" s="130">
        <v>15363867</v>
      </c>
      <c r="F542" t="s">
        <v>87</v>
      </c>
      <c r="G542">
        <v>78</v>
      </c>
      <c r="H542" t="s">
        <v>8951</v>
      </c>
      <c r="I542" s="131">
        <v>18</v>
      </c>
      <c r="J542" t="s">
        <v>2166</v>
      </c>
      <c r="K542" t="s">
        <v>95</v>
      </c>
      <c r="L542" t="s">
        <v>123</v>
      </c>
      <c r="M542" t="s">
        <v>103</v>
      </c>
      <c r="N542" t="s">
        <v>118</v>
      </c>
      <c r="O542" t="s">
        <v>1345</v>
      </c>
    </row>
    <row r="543" spans="1:15" x14ac:dyDescent="0.3">
      <c r="A543" s="130">
        <v>3087</v>
      </c>
      <c r="B543" s="130">
        <v>18</v>
      </c>
      <c r="C543" s="130" t="s">
        <v>2167</v>
      </c>
      <c r="D543">
        <v>5588</v>
      </c>
      <c r="E543" s="131">
        <v>72030927</v>
      </c>
      <c r="F543" t="s">
        <v>87</v>
      </c>
      <c r="G543">
        <v>78</v>
      </c>
      <c r="H543" t="s">
        <v>8952</v>
      </c>
      <c r="I543" s="130">
        <v>10</v>
      </c>
      <c r="J543" t="s">
        <v>2167</v>
      </c>
      <c r="K543" t="s">
        <v>108</v>
      </c>
      <c r="L543" t="s">
        <v>105</v>
      </c>
      <c r="M543" t="s">
        <v>112</v>
      </c>
      <c r="N543" t="s">
        <v>98</v>
      </c>
      <c r="O543" t="s">
        <v>1345</v>
      </c>
    </row>
    <row r="544" spans="1:15" x14ac:dyDescent="0.3">
      <c r="A544" s="130">
        <v>3096</v>
      </c>
      <c r="B544" s="130">
        <v>30</v>
      </c>
      <c r="C544" s="130" t="s">
        <v>2168</v>
      </c>
      <c r="D544">
        <v>5601</v>
      </c>
      <c r="E544" s="130">
        <v>7617805</v>
      </c>
      <c r="F544" t="s">
        <v>87</v>
      </c>
      <c r="G544">
        <v>78</v>
      </c>
      <c r="H544" t="s">
        <v>8953</v>
      </c>
      <c r="I544" s="130">
        <v>19</v>
      </c>
      <c r="J544" t="s">
        <v>2168</v>
      </c>
      <c r="K544" t="s">
        <v>108</v>
      </c>
      <c r="L544" t="s">
        <v>146</v>
      </c>
      <c r="M544" t="s">
        <v>103</v>
      </c>
      <c r="N544" t="s">
        <v>114</v>
      </c>
      <c r="O544" t="s">
        <v>1345</v>
      </c>
    </row>
    <row r="545" spans="1:15" x14ac:dyDescent="0.3">
      <c r="A545" s="130">
        <v>3108</v>
      </c>
      <c r="B545" s="130">
        <v>30</v>
      </c>
      <c r="C545" s="130" t="s">
        <v>2169</v>
      </c>
      <c r="D545">
        <v>5617</v>
      </c>
      <c r="E545" s="130">
        <v>28585239</v>
      </c>
      <c r="F545" t="s">
        <v>87</v>
      </c>
      <c r="G545">
        <v>77</v>
      </c>
      <c r="H545" t="s">
        <v>8951</v>
      </c>
      <c r="I545" s="131">
        <v>3</v>
      </c>
      <c r="J545" t="s">
        <v>2169</v>
      </c>
      <c r="K545" t="s">
        <v>95</v>
      </c>
      <c r="L545" t="s">
        <v>256</v>
      </c>
      <c r="M545" t="s">
        <v>103</v>
      </c>
      <c r="N545" t="s">
        <v>98</v>
      </c>
      <c r="O545" t="s">
        <v>116</v>
      </c>
    </row>
    <row r="546" spans="1:15" x14ac:dyDescent="0.3">
      <c r="A546" s="130">
        <v>3109</v>
      </c>
      <c r="B546" s="130">
        <v>2</v>
      </c>
      <c r="C546" s="130" t="s">
        <v>2170</v>
      </c>
      <c r="D546">
        <v>5623</v>
      </c>
      <c r="E546" s="131">
        <v>75534974</v>
      </c>
      <c r="F546" t="s">
        <v>87</v>
      </c>
      <c r="G546">
        <v>78</v>
      </c>
      <c r="H546" t="s">
        <v>8952</v>
      </c>
      <c r="I546" s="130">
        <v>19</v>
      </c>
      <c r="J546" t="s">
        <v>2170</v>
      </c>
      <c r="K546" t="s">
        <v>108</v>
      </c>
      <c r="L546" t="s">
        <v>146</v>
      </c>
      <c r="M546" t="s">
        <v>1261</v>
      </c>
      <c r="N546" t="s">
        <v>124</v>
      </c>
      <c r="O546" t="s">
        <v>1345</v>
      </c>
    </row>
    <row r="547" spans="1:15" x14ac:dyDescent="0.3">
      <c r="A547" s="130">
        <v>3128</v>
      </c>
      <c r="B547" s="130">
        <v>18</v>
      </c>
      <c r="C547" s="130" t="s">
        <v>2171</v>
      </c>
      <c r="D547">
        <v>5652</v>
      </c>
      <c r="E547" s="131">
        <v>1851342</v>
      </c>
      <c r="F547" t="s">
        <v>87</v>
      </c>
      <c r="G547">
        <v>78</v>
      </c>
      <c r="H547" t="s">
        <v>8953</v>
      </c>
      <c r="I547" s="130">
        <v>37</v>
      </c>
      <c r="J547" t="s">
        <v>2171</v>
      </c>
      <c r="K547" t="s">
        <v>95</v>
      </c>
      <c r="L547" t="s">
        <v>138</v>
      </c>
      <c r="M547" t="s">
        <v>112</v>
      </c>
      <c r="N547" t="s">
        <v>98</v>
      </c>
      <c r="O547" t="s">
        <v>1345</v>
      </c>
    </row>
    <row r="548" spans="1:15" x14ac:dyDescent="0.3">
      <c r="A548" s="130">
        <v>3131</v>
      </c>
      <c r="B548" s="130">
        <v>30</v>
      </c>
      <c r="C548" s="130" t="s">
        <v>2172</v>
      </c>
      <c r="D548">
        <v>5657</v>
      </c>
      <c r="E548" s="130">
        <v>2617158</v>
      </c>
      <c r="F548" t="s">
        <v>87</v>
      </c>
      <c r="G548">
        <v>358</v>
      </c>
      <c r="H548" t="s">
        <v>8951</v>
      </c>
      <c r="I548" s="130">
        <v>10</v>
      </c>
      <c r="J548" t="s">
        <v>2172</v>
      </c>
      <c r="K548" t="s">
        <v>108</v>
      </c>
      <c r="L548" t="s">
        <v>105</v>
      </c>
      <c r="M548" t="s">
        <v>103</v>
      </c>
      <c r="N548" t="s">
        <v>98</v>
      </c>
      <c r="O548" t="s">
        <v>1345</v>
      </c>
    </row>
    <row r="549" spans="1:15" x14ac:dyDescent="0.3">
      <c r="A549" s="130">
        <v>3134</v>
      </c>
      <c r="B549" s="130">
        <v>-1</v>
      </c>
      <c r="C549" s="130" t="s">
        <v>2173</v>
      </c>
      <c r="D549">
        <v>5659</v>
      </c>
      <c r="E549" s="130">
        <v>6070362</v>
      </c>
      <c r="F549" t="s">
        <v>87</v>
      </c>
      <c r="G549">
        <v>358</v>
      </c>
      <c r="H549" t="s">
        <v>8952</v>
      </c>
      <c r="I549" s="131">
        <v>18</v>
      </c>
      <c r="J549" t="s">
        <v>2173</v>
      </c>
      <c r="K549" t="s">
        <v>95</v>
      </c>
      <c r="L549" t="s">
        <v>109</v>
      </c>
      <c r="M549" t="s">
        <v>174</v>
      </c>
      <c r="N549" t="s">
        <v>98</v>
      </c>
      <c r="O549" t="s">
        <v>1345</v>
      </c>
    </row>
    <row r="550" spans="1:15" x14ac:dyDescent="0.3">
      <c r="A550" s="130">
        <v>3136</v>
      </c>
      <c r="B550" s="130">
        <v>18</v>
      </c>
      <c r="C550" s="130" t="s">
        <v>2174</v>
      </c>
      <c r="D550">
        <v>5662</v>
      </c>
      <c r="E550" s="130">
        <v>2763210</v>
      </c>
      <c r="F550" t="s">
        <v>87</v>
      </c>
      <c r="G550">
        <v>78</v>
      </c>
      <c r="H550" t="s">
        <v>8953</v>
      </c>
      <c r="I550" s="130">
        <v>24</v>
      </c>
      <c r="J550" t="s">
        <v>2174</v>
      </c>
      <c r="K550" t="s">
        <v>95</v>
      </c>
      <c r="L550" t="s">
        <v>138</v>
      </c>
      <c r="M550" t="s">
        <v>112</v>
      </c>
      <c r="N550" t="s">
        <v>98</v>
      </c>
      <c r="O550" t="s">
        <v>116</v>
      </c>
    </row>
    <row r="551" spans="1:15" x14ac:dyDescent="0.3">
      <c r="A551" s="130">
        <v>3137</v>
      </c>
      <c r="B551" s="130">
        <v>30</v>
      </c>
      <c r="C551" s="130" t="s">
        <v>2175</v>
      </c>
      <c r="D551">
        <v>5655</v>
      </c>
      <c r="E551" s="130">
        <v>10630328</v>
      </c>
      <c r="F551" t="s">
        <v>87</v>
      </c>
      <c r="G551">
        <v>78</v>
      </c>
      <c r="H551" t="s">
        <v>8951</v>
      </c>
      <c r="I551" s="130">
        <v>28</v>
      </c>
      <c r="J551" t="s">
        <v>2175</v>
      </c>
      <c r="K551" t="s">
        <v>95</v>
      </c>
      <c r="L551" t="s">
        <v>102</v>
      </c>
      <c r="M551" t="s">
        <v>103</v>
      </c>
      <c r="N551" t="s">
        <v>132</v>
      </c>
      <c r="O551" t="s">
        <v>1345</v>
      </c>
    </row>
    <row r="552" spans="1:15" x14ac:dyDescent="0.3">
      <c r="A552" s="130">
        <v>3143</v>
      </c>
      <c r="B552" s="130">
        <v>18</v>
      </c>
      <c r="C552" s="130" t="s">
        <v>2176</v>
      </c>
      <c r="D552">
        <v>5668</v>
      </c>
      <c r="E552" s="131">
        <v>21425083</v>
      </c>
      <c r="F552" t="s">
        <v>87</v>
      </c>
      <c r="G552">
        <v>78</v>
      </c>
      <c r="H552" t="s">
        <v>8952</v>
      </c>
      <c r="I552" s="130">
        <v>37</v>
      </c>
      <c r="J552" t="s">
        <v>2176</v>
      </c>
      <c r="K552" t="s">
        <v>95</v>
      </c>
      <c r="L552" t="s">
        <v>138</v>
      </c>
      <c r="M552" t="s">
        <v>112</v>
      </c>
      <c r="N552" t="s">
        <v>98</v>
      </c>
      <c r="O552" t="s">
        <v>1345</v>
      </c>
    </row>
    <row r="553" spans="1:15" x14ac:dyDescent="0.3">
      <c r="A553" s="130">
        <v>3144</v>
      </c>
      <c r="B553" s="131">
        <v>18</v>
      </c>
      <c r="C553" s="130" t="s">
        <v>2177</v>
      </c>
      <c r="D553">
        <v>5670</v>
      </c>
      <c r="E553" s="131">
        <v>2072779</v>
      </c>
      <c r="F553" t="s">
        <v>87</v>
      </c>
      <c r="G553">
        <v>78</v>
      </c>
      <c r="H553" t="s">
        <v>8953</v>
      </c>
      <c r="I553" s="131">
        <v>3</v>
      </c>
      <c r="J553" t="s">
        <v>2177</v>
      </c>
      <c r="K553" t="s">
        <v>108</v>
      </c>
      <c r="L553" t="s">
        <v>99</v>
      </c>
      <c r="M553" t="s">
        <v>112</v>
      </c>
      <c r="N553" t="s">
        <v>101</v>
      </c>
      <c r="O553" t="s">
        <v>1345</v>
      </c>
    </row>
    <row r="554" spans="1:15" x14ac:dyDescent="0.3">
      <c r="A554" s="130">
        <v>3146</v>
      </c>
      <c r="B554" s="130">
        <v>30</v>
      </c>
      <c r="C554" s="130" t="s">
        <v>2178</v>
      </c>
      <c r="D554">
        <v>5671</v>
      </c>
      <c r="E554" s="131">
        <v>83693366</v>
      </c>
      <c r="F554" t="s">
        <v>87</v>
      </c>
      <c r="G554">
        <v>78</v>
      </c>
      <c r="H554" t="s">
        <v>8951</v>
      </c>
      <c r="I554" s="130">
        <v>9</v>
      </c>
      <c r="J554" t="s">
        <v>2178</v>
      </c>
      <c r="K554" t="s">
        <v>95</v>
      </c>
      <c r="L554" t="s">
        <v>125</v>
      </c>
      <c r="M554" t="s">
        <v>103</v>
      </c>
      <c r="N554" t="s">
        <v>98</v>
      </c>
      <c r="O554" t="s">
        <v>1345</v>
      </c>
    </row>
    <row r="555" spans="1:15" x14ac:dyDescent="0.3">
      <c r="A555" s="130">
        <v>3149</v>
      </c>
      <c r="B555" s="130">
        <v>0</v>
      </c>
      <c r="C555" s="130" t="s">
        <v>2179</v>
      </c>
      <c r="D555">
        <v>5677</v>
      </c>
      <c r="E555" s="130">
        <v>1021713</v>
      </c>
      <c r="F555" t="s">
        <v>87</v>
      </c>
      <c r="G555">
        <v>358</v>
      </c>
      <c r="H555" t="s">
        <v>8952</v>
      </c>
      <c r="I555" s="130">
        <v>3</v>
      </c>
      <c r="J555" t="s">
        <v>2179</v>
      </c>
      <c r="K555" t="s">
        <v>95</v>
      </c>
      <c r="L555" t="s">
        <v>109</v>
      </c>
      <c r="M555" t="s">
        <v>100</v>
      </c>
      <c r="N555" t="s">
        <v>98</v>
      </c>
      <c r="O555" t="s">
        <v>116</v>
      </c>
    </row>
    <row r="556" spans="1:15" x14ac:dyDescent="0.3">
      <c r="A556" s="130">
        <v>3168</v>
      </c>
      <c r="B556" s="130">
        <v>15</v>
      </c>
      <c r="C556" s="130" t="s">
        <v>2180</v>
      </c>
      <c r="D556">
        <v>5695</v>
      </c>
      <c r="E556" s="130">
        <v>26727204</v>
      </c>
      <c r="F556" t="s">
        <v>87</v>
      </c>
      <c r="G556">
        <v>358</v>
      </c>
      <c r="H556" t="s">
        <v>8953</v>
      </c>
      <c r="I556" s="130">
        <v>24</v>
      </c>
      <c r="J556" t="s">
        <v>2180</v>
      </c>
      <c r="K556" t="s">
        <v>108</v>
      </c>
      <c r="L556" t="s">
        <v>153</v>
      </c>
      <c r="M556" t="s">
        <v>145</v>
      </c>
      <c r="N556" t="s">
        <v>152</v>
      </c>
      <c r="O556" t="s">
        <v>1345</v>
      </c>
    </row>
    <row r="557" spans="1:15" x14ac:dyDescent="0.3">
      <c r="A557" s="130">
        <v>3170</v>
      </c>
      <c r="B557" s="130">
        <v>18</v>
      </c>
      <c r="C557" s="130" t="s">
        <v>2181</v>
      </c>
      <c r="D557">
        <v>5697</v>
      </c>
      <c r="E557" s="131">
        <v>814584</v>
      </c>
      <c r="F557" t="s">
        <v>87</v>
      </c>
      <c r="G557">
        <v>78</v>
      </c>
      <c r="H557" t="s">
        <v>8951</v>
      </c>
      <c r="I557" s="131">
        <v>18</v>
      </c>
      <c r="J557" t="s">
        <v>2181</v>
      </c>
      <c r="K557" t="s">
        <v>108</v>
      </c>
      <c r="L557" t="s">
        <v>123</v>
      </c>
      <c r="M557" t="s">
        <v>112</v>
      </c>
      <c r="N557" t="s">
        <v>98</v>
      </c>
      <c r="O557" t="s">
        <v>1345</v>
      </c>
    </row>
    <row r="558" spans="1:15" x14ac:dyDescent="0.3">
      <c r="A558" s="130">
        <v>3173</v>
      </c>
      <c r="B558" s="130">
        <v>64</v>
      </c>
      <c r="C558" s="130" t="s">
        <v>2182</v>
      </c>
      <c r="D558">
        <v>5704</v>
      </c>
      <c r="E558" s="130">
        <v>655209</v>
      </c>
      <c r="F558" t="s">
        <v>87</v>
      </c>
      <c r="G558">
        <v>78</v>
      </c>
      <c r="H558" t="s">
        <v>8952</v>
      </c>
      <c r="I558" s="131">
        <v>9</v>
      </c>
      <c r="J558" t="s">
        <v>2182</v>
      </c>
      <c r="K558" t="s">
        <v>95</v>
      </c>
      <c r="L558" t="s">
        <v>125</v>
      </c>
      <c r="M558" t="s">
        <v>165</v>
      </c>
      <c r="N558" t="s">
        <v>114</v>
      </c>
      <c r="O558" t="s">
        <v>1345</v>
      </c>
    </row>
    <row r="559" spans="1:15" x14ac:dyDescent="0.3">
      <c r="A559" s="130">
        <v>3181</v>
      </c>
      <c r="B559" s="130">
        <v>18</v>
      </c>
      <c r="C559" s="130" t="s">
        <v>2183</v>
      </c>
      <c r="D559">
        <v>5714</v>
      </c>
      <c r="E559" s="131">
        <v>51466860</v>
      </c>
      <c r="F559" t="s">
        <v>87</v>
      </c>
      <c r="G559">
        <v>78</v>
      </c>
      <c r="H559" t="s">
        <v>8953</v>
      </c>
      <c r="I559" s="131">
        <v>37</v>
      </c>
      <c r="J559" t="s">
        <v>2183</v>
      </c>
      <c r="K559" t="s">
        <v>95</v>
      </c>
      <c r="L559" t="s">
        <v>144</v>
      </c>
      <c r="M559" t="s">
        <v>112</v>
      </c>
      <c r="N559" t="s">
        <v>98</v>
      </c>
      <c r="O559" t="s">
        <v>1345</v>
      </c>
    </row>
    <row r="560" spans="1:15" x14ac:dyDescent="0.3">
      <c r="A560" s="130">
        <v>3182</v>
      </c>
      <c r="B560" s="130">
        <v>30</v>
      </c>
      <c r="C560" s="130" t="s">
        <v>2184</v>
      </c>
      <c r="D560">
        <v>5716</v>
      </c>
      <c r="E560" s="130">
        <v>13623957</v>
      </c>
      <c r="F560" t="s">
        <v>87</v>
      </c>
      <c r="G560">
        <v>358</v>
      </c>
      <c r="H560" t="s">
        <v>8951</v>
      </c>
      <c r="I560" s="131">
        <v>3</v>
      </c>
      <c r="J560" t="s">
        <v>2184</v>
      </c>
      <c r="K560" t="s">
        <v>95</v>
      </c>
      <c r="L560" t="s">
        <v>111</v>
      </c>
      <c r="M560" t="s">
        <v>103</v>
      </c>
      <c r="N560" t="s">
        <v>114</v>
      </c>
      <c r="O560" t="s">
        <v>1345</v>
      </c>
    </row>
    <row r="561" spans="1:15" x14ac:dyDescent="0.3">
      <c r="A561" s="130">
        <v>3186</v>
      </c>
      <c r="B561" s="130">
        <v>60</v>
      </c>
      <c r="C561" s="130" t="s">
        <v>2185</v>
      </c>
      <c r="D561">
        <v>5627</v>
      </c>
      <c r="E561" s="131">
        <v>16628281</v>
      </c>
      <c r="F561" t="s">
        <v>87</v>
      </c>
      <c r="G561">
        <v>77</v>
      </c>
      <c r="H561" t="s">
        <v>8952</v>
      </c>
      <c r="I561" s="130">
        <v>26</v>
      </c>
      <c r="J561" t="s">
        <v>2185</v>
      </c>
      <c r="K561" t="s">
        <v>95</v>
      </c>
      <c r="L561" t="s">
        <v>1255</v>
      </c>
      <c r="M561" t="s">
        <v>97</v>
      </c>
      <c r="N561" t="s">
        <v>118</v>
      </c>
      <c r="O561" t="s">
        <v>1345</v>
      </c>
    </row>
    <row r="562" spans="1:15" x14ac:dyDescent="0.3">
      <c r="A562" s="130">
        <v>3187</v>
      </c>
      <c r="B562" s="130">
        <v>30</v>
      </c>
      <c r="C562" s="130" t="s">
        <v>2186</v>
      </c>
      <c r="D562">
        <v>5719</v>
      </c>
      <c r="E562" s="131">
        <v>29286001</v>
      </c>
      <c r="F562" t="s">
        <v>87</v>
      </c>
      <c r="G562">
        <v>78</v>
      </c>
      <c r="H562" t="s">
        <v>8953</v>
      </c>
      <c r="I562" s="130">
        <v>18</v>
      </c>
      <c r="J562" t="s">
        <v>2186</v>
      </c>
      <c r="K562" t="s">
        <v>95</v>
      </c>
      <c r="L562" t="s">
        <v>123</v>
      </c>
      <c r="M562" t="s">
        <v>103</v>
      </c>
      <c r="N562" t="s">
        <v>169</v>
      </c>
      <c r="O562" t="s">
        <v>1345</v>
      </c>
    </row>
    <row r="563" spans="1:15" x14ac:dyDescent="0.3">
      <c r="A563" s="130">
        <v>3193</v>
      </c>
      <c r="B563" s="130">
        <v>18</v>
      </c>
      <c r="C563" s="130" t="s">
        <v>2187</v>
      </c>
      <c r="D563">
        <v>5724</v>
      </c>
      <c r="E563" s="131">
        <v>16724068</v>
      </c>
      <c r="F563" t="s">
        <v>87</v>
      </c>
      <c r="G563">
        <v>78</v>
      </c>
      <c r="H563" t="s">
        <v>8951</v>
      </c>
      <c r="I563" s="131">
        <v>19</v>
      </c>
      <c r="J563" t="s">
        <v>2187</v>
      </c>
      <c r="K563" t="s">
        <v>108</v>
      </c>
      <c r="L563" t="s">
        <v>105</v>
      </c>
      <c r="M563" t="s">
        <v>112</v>
      </c>
      <c r="N563" t="s">
        <v>98</v>
      </c>
      <c r="O563" t="s">
        <v>1345</v>
      </c>
    </row>
    <row r="564" spans="1:15" x14ac:dyDescent="0.3">
      <c r="A564" s="130">
        <v>3194</v>
      </c>
      <c r="B564" s="130">
        <v>30</v>
      </c>
      <c r="C564" s="130" t="s">
        <v>2188</v>
      </c>
      <c r="D564">
        <v>5725</v>
      </c>
      <c r="E564" s="130">
        <v>24516682</v>
      </c>
      <c r="F564" t="s">
        <v>87</v>
      </c>
      <c r="G564">
        <v>77</v>
      </c>
      <c r="H564" t="s">
        <v>8952</v>
      </c>
      <c r="I564" s="130">
        <v>26</v>
      </c>
      <c r="J564" t="s">
        <v>2188</v>
      </c>
      <c r="K564" t="s">
        <v>95</v>
      </c>
      <c r="L564" t="s">
        <v>1255</v>
      </c>
      <c r="M564" t="s">
        <v>103</v>
      </c>
      <c r="N564" t="s">
        <v>98</v>
      </c>
      <c r="O564" t="s">
        <v>1345</v>
      </c>
    </row>
    <row r="565" spans="1:15" x14ac:dyDescent="0.3">
      <c r="A565" s="130">
        <v>3197</v>
      </c>
      <c r="B565" s="130">
        <v>18</v>
      </c>
      <c r="C565" s="130" t="s">
        <v>2189</v>
      </c>
      <c r="D565">
        <v>5364</v>
      </c>
      <c r="E565" s="130">
        <v>4905424</v>
      </c>
      <c r="F565" t="s">
        <v>87</v>
      </c>
      <c r="G565">
        <v>78</v>
      </c>
      <c r="H565" t="s">
        <v>8953</v>
      </c>
      <c r="I565" s="131">
        <v>9</v>
      </c>
      <c r="J565" t="s">
        <v>2189</v>
      </c>
      <c r="K565" t="s">
        <v>108</v>
      </c>
      <c r="L565" t="s">
        <v>1298</v>
      </c>
      <c r="M565" t="s">
        <v>112</v>
      </c>
      <c r="N565" t="s">
        <v>98</v>
      </c>
      <c r="O565" t="s">
        <v>116</v>
      </c>
    </row>
    <row r="566" spans="1:15" x14ac:dyDescent="0.3">
      <c r="A566" s="130">
        <v>3200</v>
      </c>
      <c r="B566" s="130">
        <v>-1</v>
      </c>
      <c r="C566" s="130" t="s">
        <v>2190</v>
      </c>
      <c r="D566">
        <v>5517</v>
      </c>
      <c r="E566" s="131">
        <v>37751116</v>
      </c>
      <c r="F566" t="s">
        <v>87</v>
      </c>
      <c r="G566">
        <v>358</v>
      </c>
      <c r="H566" t="s">
        <v>8951</v>
      </c>
      <c r="I566" s="130">
        <v>24</v>
      </c>
      <c r="J566" t="s">
        <v>2190</v>
      </c>
      <c r="K566" t="s">
        <v>108</v>
      </c>
      <c r="L566" t="s">
        <v>1346</v>
      </c>
      <c r="M566" t="s">
        <v>174</v>
      </c>
      <c r="N566" t="s">
        <v>150</v>
      </c>
      <c r="O566" t="s">
        <v>1345</v>
      </c>
    </row>
    <row r="567" spans="1:15" x14ac:dyDescent="0.3">
      <c r="A567" s="130">
        <v>3201</v>
      </c>
      <c r="B567" s="130">
        <v>20</v>
      </c>
      <c r="C567" s="130" t="s">
        <v>2191</v>
      </c>
      <c r="D567">
        <v>5730</v>
      </c>
      <c r="E567" s="131">
        <v>10736565</v>
      </c>
      <c r="F567" t="s">
        <v>87</v>
      </c>
      <c r="G567">
        <v>78</v>
      </c>
      <c r="H567" t="s">
        <v>8952</v>
      </c>
      <c r="I567" s="131">
        <v>3</v>
      </c>
      <c r="J567" t="s">
        <v>2191</v>
      </c>
      <c r="K567" t="s">
        <v>95</v>
      </c>
      <c r="L567" t="s">
        <v>111</v>
      </c>
      <c r="M567" t="s">
        <v>148</v>
      </c>
      <c r="N567" t="s">
        <v>98</v>
      </c>
      <c r="O567" t="s">
        <v>1345</v>
      </c>
    </row>
    <row r="568" spans="1:15" x14ac:dyDescent="0.3">
      <c r="A568" s="130">
        <v>3211</v>
      </c>
      <c r="B568" s="130">
        <v>0</v>
      </c>
      <c r="C568" s="130" t="s">
        <v>2192</v>
      </c>
      <c r="D568">
        <v>5742</v>
      </c>
      <c r="E568" s="131">
        <v>88119122020</v>
      </c>
      <c r="F568" t="s">
        <v>87</v>
      </c>
      <c r="G568">
        <v>78</v>
      </c>
      <c r="H568" t="s">
        <v>8953</v>
      </c>
      <c r="I568" s="130">
        <v>38</v>
      </c>
      <c r="J568" t="s">
        <v>2192</v>
      </c>
      <c r="K568" t="s">
        <v>108</v>
      </c>
      <c r="L568" t="s">
        <v>126</v>
      </c>
      <c r="M568" t="s">
        <v>100</v>
      </c>
      <c r="N568" t="s">
        <v>110</v>
      </c>
      <c r="O568" t="s">
        <v>1345</v>
      </c>
    </row>
    <row r="569" spans="1:15" x14ac:dyDescent="0.3">
      <c r="A569" s="130">
        <v>3222</v>
      </c>
      <c r="B569" s="130">
        <v>5</v>
      </c>
      <c r="C569" s="130" t="s">
        <v>2193</v>
      </c>
      <c r="D569">
        <v>5762</v>
      </c>
      <c r="E569" s="130">
        <v>21102562</v>
      </c>
      <c r="F569" t="s">
        <v>87</v>
      </c>
      <c r="G569">
        <v>78</v>
      </c>
      <c r="H569" t="s">
        <v>8951</v>
      </c>
      <c r="I569" s="131">
        <v>3</v>
      </c>
      <c r="J569" t="s">
        <v>2193</v>
      </c>
      <c r="K569" t="s">
        <v>108</v>
      </c>
      <c r="L569" t="s">
        <v>140</v>
      </c>
      <c r="M569" t="s">
        <v>129</v>
      </c>
      <c r="N569" t="s">
        <v>98</v>
      </c>
      <c r="O569" t="s">
        <v>1345</v>
      </c>
    </row>
    <row r="570" spans="1:15" x14ac:dyDescent="0.3">
      <c r="A570" s="130">
        <v>3236</v>
      </c>
      <c r="B570" s="130">
        <v>5</v>
      </c>
      <c r="C570" s="130" t="s">
        <v>2194</v>
      </c>
      <c r="D570">
        <v>5787</v>
      </c>
      <c r="E570" s="131">
        <v>12819294</v>
      </c>
      <c r="F570" t="s">
        <v>87</v>
      </c>
      <c r="G570">
        <v>78</v>
      </c>
      <c r="H570" t="s">
        <v>8952</v>
      </c>
      <c r="I570" s="131">
        <v>3</v>
      </c>
      <c r="J570" t="s">
        <v>2194</v>
      </c>
      <c r="K570" t="s">
        <v>108</v>
      </c>
      <c r="L570" t="s">
        <v>1293</v>
      </c>
      <c r="M570" t="s">
        <v>129</v>
      </c>
      <c r="N570" t="s">
        <v>141</v>
      </c>
      <c r="O570" t="s">
        <v>116</v>
      </c>
    </row>
    <row r="571" spans="1:15" x14ac:dyDescent="0.3">
      <c r="A571" s="130">
        <v>3239</v>
      </c>
      <c r="B571" s="131">
        <v>30</v>
      </c>
      <c r="C571" s="130" t="s">
        <v>2195</v>
      </c>
      <c r="D571">
        <v>5790</v>
      </c>
      <c r="E571" s="130">
        <v>15482315</v>
      </c>
      <c r="F571" t="s">
        <v>87</v>
      </c>
      <c r="G571">
        <v>78</v>
      </c>
      <c r="H571" t="s">
        <v>8953</v>
      </c>
      <c r="I571" s="131">
        <v>10</v>
      </c>
      <c r="J571" t="s">
        <v>2195</v>
      </c>
      <c r="K571" t="s">
        <v>95</v>
      </c>
      <c r="L571" t="s">
        <v>127</v>
      </c>
      <c r="M571" t="s">
        <v>103</v>
      </c>
      <c r="N571" t="s">
        <v>98</v>
      </c>
      <c r="O571" t="s">
        <v>1345</v>
      </c>
    </row>
    <row r="572" spans="1:15" x14ac:dyDescent="0.3">
      <c r="A572" s="130">
        <v>3248</v>
      </c>
      <c r="B572" s="130">
        <v>60</v>
      </c>
      <c r="C572" s="130" t="s">
        <v>2196</v>
      </c>
      <c r="D572">
        <v>5797</v>
      </c>
      <c r="E572" s="131">
        <v>33592510</v>
      </c>
      <c r="F572" t="s">
        <v>87</v>
      </c>
      <c r="G572">
        <v>77</v>
      </c>
      <c r="H572" t="s">
        <v>8951</v>
      </c>
      <c r="I572" s="130">
        <v>2</v>
      </c>
      <c r="J572" t="s">
        <v>2196</v>
      </c>
      <c r="K572" t="s">
        <v>95</v>
      </c>
      <c r="L572" t="s">
        <v>117</v>
      </c>
      <c r="M572" t="s">
        <v>97</v>
      </c>
      <c r="N572" t="s">
        <v>118</v>
      </c>
      <c r="O572" t="s">
        <v>1345</v>
      </c>
    </row>
    <row r="573" spans="1:15" x14ac:dyDescent="0.3">
      <c r="A573" s="130">
        <v>3257</v>
      </c>
      <c r="B573" s="130" t="s">
        <v>201</v>
      </c>
      <c r="C573" s="130" t="s">
        <v>2197</v>
      </c>
      <c r="D573">
        <v>5809</v>
      </c>
      <c r="E573" s="130">
        <v>17162983</v>
      </c>
      <c r="F573" t="s">
        <v>87</v>
      </c>
      <c r="G573">
        <v>358</v>
      </c>
      <c r="H573" t="s">
        <v>8952</v>
      </c>
      <c r="I573" s="130">
        <v>3</v>
      </c>
      <c r="J573" t="s">
        <v>2197</v>
      </c>
      <c r="K573" t="s">
        <v>95</v>
      </c>
      <c r="L573" t="s">
        <v>109</v>
      </c>
      <c r="M573" t="s">
        <v>201</v>
      </c>
      <c r="N573" t="s">
        <v>98</v>
      </c>
      <c r="O573" t="s">
        <v>116</v>
      </c>
    </row>
    <row r="574" spans="1:15" x14ac:dyDescent="0.3">
      <c r="A574" s="130">
        <v>3263</v>
      </c>
      <c r="B574" s="130">
        <v>10</v>
      </c>
      <c r="C574" s="130" t="s">
        <v>2198</v>
      </c>
      <c r="D574">
        <v>5816</v>
      </c>
      <c r="E574" s="130">
        <v>20651311</v>
      </c>
      <c r="F574" t="s">
        <v>87</v>
      </c>
      <c r="G574">
        <v>358</v>
      </c>
      <c r="H574" t="s">
        <v>8953</v>
      </c>
      <c r="I574" s="131">
        <v>3</v>
      </c>
      <c r="J574" t="s">
        <v>2198</v>
      </c>
      <c r="K574" t="s">
        <v>95</v>
      </c>
      <c r="L574" t="s">
        <v>109</v>
      </c>
      <c r="M574" t="s">
        <v>133</v>
      </c>
      <c r="N574" t="s">
        <v>98</v>
      </c>
      <c r="O574" t="s">
        <v>116</v>
      </c>
    </row>
    <row r="575" spans="1:15" x14ac:dyDescent="0.3">
      <c r="A575" s="130">
        <v>3268</v>
      </c>
      <c r="B575" s="130">
        <v>30</v>
      </c>
      <c r="C575" s="130" t="s">
        <v>2199</v>
      </c>
      <c r="D575">
        <v>5823</v>
      </c>
      <c r="E575" s="131">
        <v>41857780</v>
      </c>
      <c r="F575" t="s">
        <v>87</v>
      </c>
      <c r="G575">
        <v>78</v>
      </c>
      <c r="H575" t="s">
        <v>8951</v>
      </c>
      <c r="I575" s="130">
        <v>3</v>
      </c>
      <c r="J575" t="s">
        <v>2199</v>
      </c>
      <c r="K575" t="s">
        <v>108</v>
      </c>
      <c r="L575" t="s">
        <v>109</v>
      </c>
      <c r="M575" t="s">
        <v>103</v>
      </c>
      <c r="N575" t="s">
        <v>114</v>
      </c>
      <c r="O575" t="s">
        <v>1345</v>
      </c>
    </row>
    <row r="576" spans="1:15" x14ac:dyDescent="0.3">
      <c r="A576" s="130">
        <v>3269</v>
      </c>
      <c r="B576" s="130">
        <v>10</v>
      </c>
      <c r="C576" s="130" t="s">
        <v>2200</v>
      </c>
      <c r="D576">
        <v>5824</v>
      </c>
      <c r="E576" s="130">
        <v>36499875</v>
      </c>
      <c r="F576" t="s">
        <v>87</v>
      </c>
      <c r="G576">
        <v>358</v>
      </c>
      <c r="H576" t="s">
        <v>8952</v>
      </c>
      <c r="I576" s="130">
        <v>19</v>
      </c>
      <c r="J576" t="s">
        <v>2200</v>
      </c>
      <c r="K576" t="s">
        <v>95</v>
      </c>
      <c r="L576" t="s">
        <v>105</v>
      </c>
      <c r="M576" t="s">
        <v>133</v>
      </c>
      <c r="N576" t="s">
        <v>98</v>
      </c>
      <c r="O576" t="s">
        <v>1345</v>
      </c>
    </row>
    <row r="577" spans="1:15" x14ac:dyDescent="0.3">
      <c r="A577" s="130">
        <v>3274</v>
      </c>
      <c r="B577" s="130">
        <v>0</v>
      </c>
      <c r="C577" s="130" t="s">
        <v>2201</v>
      </c>
      <c r="D577">
        <v>5830</v>
      </c>
      <c r="E577" s="130">
        <v>446918</v>
      </c>
      <c r="F577" t="s">
        <v>87</v>
      </c>
      <c r="G577">
        <v>78</v>
      </c>
      <c r="H577" t="s">
        <v>8953</v>
      </c>
      <c r="I577" s="130">
        <v>14</v>
      </c>
      <c r="J577" t="s">
        <v>2201</v>
      </c>
      <c r="K577" t="s">
        <v>108</v>
      </c>
      <c r="L577" t="s">
        <v>138</v>
      </c>
      <c r="M577" t="s">
        <v>154</v>
      </c>
      <c r="N577" t="s">
        <v>150</v>
      </c>
      <c r="O577" t="s">
        <v>1256</v>
      </c>
    </row>
    <row r="578" spans="1:15" x14ac:dyDescent="0.3">
      <c r="A578" s="130">
        <v>3291</v>
      </c>
      <c r="B578" s="130">
        <v>18</v>
      </c>
      <c r="C578" s="130" t="s">
        <v>2202</v>
      </c>
      <c r="D578">
        <v>5855</v>
      </c>
      <c r="E578" s="130">
        <v>31130799</v>
      </c>
      <c r="F578" t="s">
        <v>87</v>
      </c>
      <c r="G578">
        <v>78</v>
      </c>
      <c r="H578" t="s">
        <v>8951</v>
      </c>
      <c r="I578" s="131">
        <v>19</v>
      </c>
      <c r="J578" t="s">
        <v>2202</v>
      </c>
      <c r="K578" t="s">
        <v>108</v>
      </c>
      <c r="L578" t="s">
        <v>146</v>
      </c>
      <c r="M578" t="s">
        <v>112</v>
      </c>
      <c r="N578" t="s">
        <v>169</v>
      </c>
      <c r="O578" t="s">
        <v>1345</v>
      </c>
    </row>
    <row r="579" spans="1:15" x14ac:dyDescent="0.3">
      <c r="A579" s="130">
        <v>3292</v>
      </c>
      <c r="B579" s="130">
        <v>18</v>
      </c>
      <c r="C579" s="130" t="s">
        <v>2203</v>
      </c>
      <c r="D579">
        <v>5856</v>
      </c>
      <c r="E579" s="131">
        <v>23768603</v>
      </c>
      <c r="F579" t="s">
        <v>87</v>
      </c>
      <c r="G579">
        <v>78</v>
      </c>
      <c r="H579" t="s">
        <v>8952</v>
      </c>
      <c r="I579" s="131">
        <v>9</v>
      </c>
      <c r="J579" t="s">
        <v>2203</v>
      </c>
      <c r="K579" t="s">
        <v>108</v>
      </c>
      <c r="L579" t="s">
        <v>163</v>
      </c>
      <c r="M579" t="s">
        <v>112</v>
      </c>
      <c r="N579" t="s">
        <v>98</v>
      </c>
      <c r="O579" t="s">
        <v>1345</v>
      </c>
    </row>
    <row r="580" spans="1:15" x14ac:dyDescent="0.3">
      <c r="A580" s="130">
        <v>3301</v>
      </c>
      <c r="B580" s="130">
        <v>30</v>
      </c>
      <c r="C580" s="130" t="s">
        <v>2204</v>
      </c>
      <c r="D580">
        <v>5873</v>
      </c>
      <c r="E580" s="131">
        <v>33000167</v>
      </c>
      <c r="F580" t="s">
        <v>87</v>
      </c>
      <c r="G580">
        <v>78</v>
      </c>
      <c r="H580" t="s">
        <v>8953</v>
      </c>
      <c r="I580" s="130">
        <v>18</v>
      </c>
      <c r="J580" t="s">
        <v>2204</v>
      </c>
      <c r="K580" t="s">
        <v>95</v>
      </c>
      <c r="L580" t="s">
        <v>102</v>
      </c>
      <c r="M580" t="s">
        <v>103</v>
      </c>
      <c r="N580" t="s">
        <v>114</v>
      </c>
      <c r="O580" t="s">
        <v>116</v>
      </c>
    </row>
    <row r="581" spans="1:15" x14ac:dyDescent="0.3">
      <c r="A581" s="130">
        <v>3311</v>
      </c>
      <c r="B581" s="130">
        <v>18</v>
      </c>
      <c r="C581" s="130" t="s">
        <v>2205</v>
      </c>
      <c r="D581">
        <v>5884</v>
      </c>
      <c r="E581" s="131">
        <v>18593815</v>
      </c>
      <c r="F581" t="s">
        <v>87</v>
      </c>
      <c r="G581">
        <v>78</v>
      </c>
      <c r="H581" t="s">
        <v>8951</v>
      </c>
      <c r="I581" s="130">
        <v>37</v>
      </c>
      <c r="J581" t="s">
        <v>2205</v>
      </c>
      <c r="K581" t="s">
        <v>95</v>
      </c>
      <c r="L581" t="s">
        <v>138</v>
      </c>
      <c r="M581" t="s">
        <v>112</v>
      </c>
      <c r="N581" t="s">
        <v>98</v>
      </c>
      <c r="O581" t="s">
        <v>1345</v>
      </c>
    </row>
    <row r="582" spans="1:15" x14ac:dyDescent="0.3">
      <c r="A582" s="130">
        <v>3318</v>
      </c>
      <c r="B582" s="130">
        <v>60</v>
      </c>
      <c r="C582" s="130" t="s">
        <v>2206</v>
      </c>
      <c r="D582">
        <v>5890</v>
      </c>
      <c r="E582" s="130">
        <v>36328635</v>
      </c>
      <c r="F582" t="s">
        <v>87</v>
      </c>
      <c r="G582">
        <v>78</v>
      </c>
      <c r="H582" t="s">
        <v>8952</v>
      </c>
      <c r="I582" s="130">
        <v>43</v>
      </c>
      <c r="J582" t="s">
        <v>2206</v>
      </c>
      <c r="K582" t="s">
        <v>95</v>
      </c>
      <c r="L582" t="s">
        <v>159</v>
      </c>
      <c r="M582" t="s">
        <v>97</v>
      </c>
      <c r="N582" t="s">
        <v>150</v>
      </c>
      <c r="O582" t="s">
        <v>1345</v>
      </c>
    </row>
    <row r="583" spans="1:15" x14ac:dyDescent="0.3">
      <c r="A583" s="130">
        <v>3324</v>
      </c>
      <c r="B583" s="130">
        <v>28</v>
      </c>
      <c r="C583" s="130" t="s">
        <v>2207</v>
      </c>
      <c r="D583">
        <v>5907</v>
      </c>
      <c r="E583" s="130">
        <v>21658572</v>
      </c>
      <c r="F583" t="s">
        <v>87</v>
      </c>
      <c r="G583">
        <v>78</v>
      </c>
      <c r="H583" t="s">
        <v>8953</v>
      </c>
      <c r="I583" s="130">
        <v>19</v>
      </c>
      <c r="J583" t="s">
        <v>2207</v>
      </c>
      <c r="K583" t="s">
        <v>108</v>
      </c>
      <c r="L583" t="s">
        <v>1349</v>
      </c>
      <c r="M583" t="s">
        <v>130</v>
      </c>
      <c r="N583" t="s">
        <v>98</v>
      </c>
      <c r="O583" t="s">
        <v>1345</v>
      </c>
    </row>
    <row r="584" spans="1:15" x14ac:dyDescent="0.3">
      <c r="A584" s="130">
        <v>3331</v>
      </c>
      <c r="B584" s="130">
        <v>30</v>
      </c>
      <c r="C584" s="130" t="s">
        <v>2208</v>
      </c>
      <c r="D584">
        <v>5915</v>
      </c>
      <c r="E584" s="130">
        <v>7522191</v>
      </c>
      <c r="F584" t="s">
        <v>87</v>
      </c>
      <c r="G584">
        <v>358</v>
      </c>
      <c r="H584" t="s">
        <v>8951</v>
      </c>
      <c r="I584" s="131">
        <v>3</v>
      </c>
      <c r="J584" t="s">
        <v>2208</v>
      </c>
      <c r="K584" t="s">
        <v>95</v>
      </c>
      <c r="L584" t="s">
        <v>109</v>
      </c>
      <c r="M584" t="s">
        <v>103</v>
      </c>
      <c r="N584" t="s">
        <v>98</v>
      </c>
      <c r="O584" t="s">
        <v>1345</v>
      </c>
    </row>
    <row r="585" spans="1:15" x14ac:dyDescent="0.3">
      <c r="A585" s="130">
        <v>3333</v>
      </c>
      <c r="B585" s="130">
        <v>10</v>
      </c>
      <c r="C585" s="130" t="s">
        <v>2209</v>
      </c>
      <c r="D585">
        <v>5918</v>
      </c>
      <c r="E585" s="130">
        <v>10701905</v>
      </c>
      <c r="F585" t="s">
        <v>87</v>
      </c>
      <c r="G585">
        <v>358</v>
      </c>
      <c r="H585" t="s">
        <v>8952</v>
      </c>
      <c r="I585" s="130">
        <v>3</v>
      </c>
      <c r="J585" t="s">
        <v>2209</v>
      </c>
      <c r="K585" t="s">
        <v>108</v>
      </c>
      <c r="L585" t="s">
        <v>109</v>
      </c>
      <c r="M585" t="s">
        <v>133</v>
      </c>
      <c r="N585" t="s">
        <v>114</v>
      </c>
      <c r="O585" t="s">
        <v>1345</v>
      </c>
    </row>
    <row r="586" spans="1:15" x14ac:dyDescent="0.3">
      <c r="A586" s="130">
        <v>3344</v>
      </c>
      <c r="B586" s="130">
        <v>18</v>
      </c>
      <c r="C586" s="130" t="s">
        <v>2210</v>
      </c>
      <c r="D586">
        <v>5929</v>
      </c>
      <c r="E586" s="130">
        <v>7328256</v>
      </c>
      <c r="F586" t="s">
        <v>87</v>
      </c>
      <c r="G586">
        <v>78</v>
      </c>
      <c r="H586" t="s">
        <v>8953</v>
      </c>
      <c r="I586" s="130">
        <v>38</v>
      </c>
      <c r="J586" t="s">
        <v>2210</v>
      </c>
      <c r="K586" t="s">
        <v>108</v>
      </c>
      <c r="L586" t="s">
        <v>126</v>
      </c>
      <c r="M586" t="s">
        <v>112</v>
      </c>
      <c r="N586" t="s">
        <v>98</v>
      </c>
      <c r="O586" t="s">
        <v>1345</v>
      </c>
    </row>
    <row r="587" spans="1:15" x14ac:dyDescent="0.3">
      <c r="A587" s="130">
        <v>3353</v>
      </c>
      <c r="B587" s="130">
        <v>30</v>
      </c>
      <c r="C587" s="130" t="s">
        <v>2211</v>
      </c>
      <c r="D587">
        <v>5938</v>
      </c>
      <c r="E587" s="130">
        <v>25421735</v>
      </c>
      <c r="F587" t="s">
        <v>87</v>
      </c>
      <c r="G587">
        <v>78</v>
      </c>
      <c r="H587" t="s">
        <v>8951</v>
      </c>
      <c r="I587" s="131">
        <v>9</v>
      </c>
      <c r="J587" t="s">
        <v>2211</v>
      </c>
      <c r="K587" t="s">
        <v>95</v>
      </c>
      <c r="L587" t="s">
        <v>125</v>
      </c>
      <c r="M587" t="s">
        <v>103</v>
      </c>
      <c r="N587" t="s">
        <v>118</v>
      </c>
      <c r="O587" t="s">
        <v>116</v>
      </c>
    </row>
    <row r="588" spans="1:15" x14ac:dyDescent="0.3">
      <c r="A588" s="130">
        <v>3355</v>
      </c>
      <c r="B588" s="130">
        <v>28</v>
      </c>
      <c r="C588" s="130" t="s">
        <v>2212</v>
      </c>
      <c r="D588">
        <v>5942</v>
      </c>
      <c r="E588" s="130">
        <v>17855027</v>
      </c>
      <c r="F588" t="s">
        <v>87</v>
      </c>
      <c r="G588">
        <v>358</v>
      </c>
      <c r="H588" t="s">
        <v>8952</v>
      </c>
      <c r="I588" s="131">
        <v>18</v>
      </c>
      <c r="J588" t="s">
        <v>2212</v>
      </c>
      <c r="K588" t="s">
        <v>108</v>
      </c>
      <c r="L588" t="s">
        <v>109</v>
      </c>
      <c r="M588" t="s">
        <v>130</v>
      </c>
      <c r="N588" t="s">
        <v>114</v>
      </c>
      <c r="O588" t="s">
        <v>1345</v>
      </c>
    </row>
    <row r="589" spans="1:15" x14ac:dyDescent="0.3">
      <c r="A589" s="130">
        <v>3359</v>
      </c>
      <c r="B589" s="130">
        <v>30</v>
      </c>
      <c r="C589" s="130" t="s">
        <v>2213</v>
      </c>
      <c r="D589">
        <v>5946</v>
      </c>
      <c r="E589" s="130">
        <v>10785166</v>
      </c>
      <c r="F589" t="s">
        <v>87</v>
      </c>
      <c r="G589">
        <v>78</v>
      </c>
      <c r="H589" t="s">
        <v>8953</v>
      </c>
      <c r="I589" s="130">
        <v>18</v>
      </c>
      <c r="J589" t="s">
        <v>2213</v>
      </c>
      <c r="K589" t="s">
        <v>108</v>
      </c>
      <c r="L589" t="s">
        <v>123</v>
      </c>
      <c r="M589" t="s">
        <v>103</v>
      </c>
      <c r="N589" t="s">
        <v>98</v>
      </c>
      <c r="O589" t="s">
        <v>1345</v>
      </c>
    </row>
    <row r="590" spans="1:15" x14ac:dyDescent="0.3">
      <c r="A590" s="130">
        <v>3361</v>
      </c>
      <c r="B590" s="130">
        <v>18</v>
      </c>
      <c r="C590" s="130" t="s">
        <v>2214</v>
      </c>
      <c r="D590">
        <v>5948</v>
      </c>
      <c r="E590" s="130">
        <v>1157555</v>
      </c>
      <c r="F590" t="s">
        <v>87</v>
      </c>
      <c r="G590">
        <v>78</v>
      </c>
      <c r="H590" t="s">
        <v>8951</v>
      </c>
      <c r="I590" s="130">
        <v>37</v>
      </c>
      <c r="J590" t="s">
        <v>2214</v>
      </c>
      <c r="K590" t="s">
        <v>95</v>
      </c>
      <c r="L590" t="s">
        <v>138</v>
      </c>
      <c r="M590" t="s">
        <v>112</v>
      </c>
      <c r="N590" t="s">
        <v>101</v>
      </c>
      <c r="O590" t="s">
        <v>1345</v>
      </c>
    </row>
    <row r="591" spans="1:15" x14ac:dyDescent="0.3">
      <c r="A591" s="130">
        <v>3364</v>
      </c>
      <c r="B591" s="130">
        <v>30</v>
      </c>
      <c r="C591" s="130" t="s">
        <v>2215</v>
      </c>
      <c r="D591">
        <v>5952</v>
      </c>
      <c r="E591" s="130">
        <v>83693366</v>
      </c>
      <c r="F591" t="s">
        <v>87</v>
      </c>
      <c r="G591">
        <v>78</v>
      </c>
      <c r="H591" t="s">
        <v>8952</v>
      </c>
      <c r="I591" s="130">
        <v>9</v>
      </c>
      <c r="J591" t="s">
        <v>2215</v>
      </c>
      <c r="K591" t="s">
        <v>95</v>
      </c>
      <c r="L591" t="s">
        <v>125</v>
      </c>
      <c r="M591" t="s">
        <v>103</v>
      </c>
      <c r="N591" t="s">
        <v>98</v>
      </c>
      <c r="O591" t="s">
        <v>1345</v>
      </c>
    </row>
    <row r="592" spans="1:15" x14ac:dyDescent="0.3">
      <c r="A592" s="130">
        <v>3368</v>
      </c>
      <c r="B592" s="130">
        <v>18</v>
      </c>
      <c r="C592" s="130" t="s">
        <v>2216</v>
      </c>
      <c r="D592">
        <v>5957</v>
      </c>
      <c r="E592" s="131">
        <v>1232885</v>
      </c>
      <c r="F592" t="s">
        <v>87</v>
      </c>
      <c r="G592">
        <v>78</v>
      </c>
      <c r="H592" t="s">
        <v>8953</v>
      </c>
      <c r="I592" s="131">
        <v>3</v>
      </c>
      <c r="J592" t="s">
        <v>2216</v>
      </c>
      <c r="K592" t="s">
        <v>95</v>
      </c>
      <c r="L592" t="s">
        <v>144</v>
      </c>
      <c r="M592" t="s">
        <v>112</v>
      </c>
      <c r="N592" t="s">
        <v>98</v>
      </c>
      <c r="O592" t="s">
        <v>1345</v>
      </c>
    </row>
    <row r="593" spans="1:15" x14ac:dyDescent="0.3">
      <c r="A593" s="130">
        <v>3374</v>
      </c>
      <c r="B593" s="130">
        <v>18</v>
      </c>
      <c r="C593" s="130" t="s">
        <v>2217</v>
      </c>
      <c r="D593">
        <v>5973</v>
      </c>
      <c r="E593" s="130">
        <v>23073420</v>
      </c>
      <c r="F593" t="s">
        <v>87</v>
      </c>
      <c r="G593">
        <v>78</v>
      </c>
      <c r="H593" t="s">
        <v>8951</v>
      </c>
      <c r="I593" s="131">
        <v>38</v>
      </c>
      <c r="J593" t="s">
        <v>2217</v>
      </c>
      <c r="K593" t="s">
        <v>108</v>
      </c>
      <c r="L593" t="s">
        <v>126</v>
      </c>
      <c r="M593" t="s">
        <v>112</v>
      </c>
      <c r="N593" t="s">
        <v>98</v>
      </c>
      <c r="O593" t="s">
        <v>1345</v>
      </c>
    </row>
    <row r="594" spans="1:15" x14ac:dyDescent="0.3">
      <c r="A594" s="130">
        <v>3378</v>
      </c>
      <c r="B594" s="130">
        <v>-1</v>
      </c>
      <c r="C594" s="130" t="s">
        <v>2218</v>
      </c>
      <c r="D594">
        <v>5979</v>
      </c>
      <c r="E594" s="130">
        <v>75534974</v>
      </c>
      <c r="F594" t="s">
        <v>87</v>
      </c>
      <c r="G594">
        <v>78</v>
      </c>
      <c r="H594" t="s">
        <v>8952</v>
      </c>
      <c r="I594" s="130">
        <v>19</v>
      </c>
      <c r="J594" t="s">
        <v>2218</v>
      </c>
      <c r="K594" t="s">
        <v>108</v>
      </c>
      <c r="L594" t="s">
        <v>146</v>
      </c>
      <c r="M594" t="s">
        <v>174</v>
      </c>
      <c r="N594" t="s">
        <v>169</v>
      </c>
      <c r="O594" t="s">
        <v>1345</v>
      </c>
    </row>
    <row r="595" spans="1:15" x14ac:dyDescent="0.3">
      <c r="A595" s="130">
        <v>3379</v>
      </c>
      <c r="B595" s="130">
        <v>18</v>
      </c>
      <c r="C595" s="130" t="s">
        <v>2219</v>
      </c>
      <c r="D595">
        <v>5982</v>
      </c>
      <c r="E595" s="130">
        <v>45184488</v>
      </c>
      <c r="F595" t="s">
        <v>87</v>
      </c>
      <c r="G595">
        <v>78</v>
      </c>
      <c r="H595" t="s">
        <v>8953</v>
      </c>
      <c r="I595" s="131">
        <v>19</v>
      </c>
      <c r="J595" t="s">
        <v>2219</v>
      </c>
      <c r="K595" t="s">
        <v>108</v>
      </c>
      <c r="L595" t="s">
        <v>146</v>
      </c>
      <c r="M595" t="s">
        <v>112</v>
      </c>
      <c r="N595" t="s">
        <v>98</v>
      </c>
      <c r="O595" t="s">
        <v>1345</v>
      </c>
    </row>
    <row r="596" spans="1:15" x14ac:dyDescent="0.3">
      <c r="A596" s="130">
        <v>3383</v>
      </c>
      <c r="B596" s="130">
        <v>30</v>
      </c>
      <c r="C596" s="130" t="s">
        <v>2220</v>
      </c>
      <c r="D596">
        <v>5987</v>
      </c>
      <c r="E596" s="130">
        <v>5451496</v>
      </c>
      <c r="F596" t="s">
        <v>87</v>
      </c>
      <c r="G596">
        <v>78</v>
      </c>
      <c r="H596" t="s">
        <v>8951</v>
      </c>
      <c r="I596" s="130">
        <v>3</v>
      </c>
      <c r="J596" t="s">
        <v>2220</v>
      </c>
      <c r="K596" t="s">
        <v>108</v>
      </c>
      <c r="L596" t="s">
        <v>111</v>
      </c>
      <c r="M596" t="s">
        <v>103</v>
      </c>
      <c r="N596" t="s">
        <v>98</v>
      </c>
      <c r="O596" t="s">
        <v>1345</v>
      </c>
    </row>
    <row r="597" spans="1:15" x14ac:dyDescent="0.3">
      <c r="A597" s="130">
        <v>3390</v>
      </c>
      <c r="B597" s="130">
        <v>30</v>
      </c>
      <c r="C597" s="130" t="s">
        <v>2221</v>
      </c>
      <c r="D597">
        <v>5994</v>
      </c>
      <c r="E597" s="131">
        <v>2617158</v>
      </c>
      <c r="F597" t="s">
        <v>87</v>
      </c>
      <c r="G597">
        <v>358</v>
      </c>
      <c r="H597" t="s">
        <v>8952</v>
      </c>
      <c r="I597" s="130">
        <v>10</v>
      </c>
      <c r="J597" t="s">
        <v>2221</v>
      </c>
      <c r="K597" t="s">
        <v>108</v>
      </c>
      <c r="L597" t="s">
        <v>105</v>
      </c>
      <c r="M597" t="s">
        <v>103</v>
      </c>
      <c r="N597" t="s">
        <v>98</v>
      </c>
      <c r="O597" t="s">
        <v>1345</v>
      </c>
    </row>
    <row r="598" spans="1:15" x14ac:dyDescent="0.3">
      <c r="A598" s="130">
        <v>3408</v>
      </c>
      <c r="B598" s="130">
        <v>30</v>
      </c>
      <c r="C598" s="130" t="s">
        <v>2222</v>
      </c>
      <c r="D598">
        <v>6012</v>
      </c>
      <c r="E598" s="130">
        <v>83934067</v>
      </c>
      <c r="F598" t="s">
        <v>87</v>
      </c>
      <c r="G598">
        <v>78</v>
      </c>
      <c r="H598" t="s">
        <v>8953</v>
      </c>
      <c r="I598" s="131">
        <v>10</v>
      </c>
      <c r="J598" t="s">
        <v>2222</v>
      </c>
      <c r="K598" t="s">
        <v>108</v>
      </c>
      <c r="L598" t="s">
        <v>127</v>
      </c>
      <c r="M598" t="s">
        <v>103</v>
      </c>
      <c r="N598" t="s">
        <v>118</v>
      </c>
      <c r="O598" t="s">
        <v>116</v>
      </c>
    </row>
    <row r="599" spans="1:15" x14ac:dyDescent="0.3">
      <c r="A599" s="130">
        <v>3428</v>
      </c>
      <c r="B599" s="130">
        <v>18</v>
      </c>
      <c r="C599" s="130" t="s">
        <v>2223</v>
      </c>
      <c r="D599">
        <v>6043</v>
      </c>
      <c r="E599" s="130">
        <v>26137235</v>
      </c>
      <c r="F599" t="s">
        <v>87</v>
      </c>
      <c r="G599">
        <v>78</v>
      </c>
      <c r="H599" t="s">
        <v>8951</v>
      </c>
      <c r="I599" s="130">
        <v>19</v>
      </c>
      <c r="J599" t="s">
        <v>2223</v>
      </c>
      <c r="K599" t="s">
        <v>108</v>
      </c>
      <c r="L599" t="s">
        <v>146</v>
      </c>
      <c r="M599" t="s">
        <v>112</v>
      </c>
      <c r="N599" t="s">
        <v>98</v>
      </c>
      <c r="O599" t="s">
        <v>1345</v>
      </c>
    </row>
    <row r="600" spans="1:15" x14ac:dyDescent="0.3">
      <c r="A600" s="130">
        <v>3434</v>
      </c>
      <c r="B600" s="130">
        <v>15</v>
      </c>
      <c r="C600" s="130" t="s">
        <v>2224</v>
      </c>
      <c r="D600">
        <v>6048</v>
      </c>
      <c r="E600" s="130">
        <v>835301</v>
      </c>
      <c r="F600" t="s">
        <v>87</v>
      </c>
      <c r="G600">
        <v>78</v>
      </c>
      <c r="H600" t="s">
        <v>8952</v>
      </c>
      <c r="I600" s="131">
        <v>37</v>
      </c>
      <c r="J600" t="s">
        <v>2224</v>
      </c>
      <c r="K600" t="s">
        <v>95</v>
      </c>
      <c r="L600" t="s">
        <v>138</v>
      </c>
      <c r="M600" t="s">
        <v>145</v>
      </c>
      <c r="N600" t="s">
        <v>98</v>
      </c>
      <c r="O600" t="s">
        <v>1345</v>
      </c>
    </row>
    <row r="601" spans="1:15" x14ac:dyDescent="0.3">
      <c r="A601" s="130">
        <v>3440</v>
      </c>
      <c r="B601" s="130">
        <v>18</v>
      </c>
      <c r="C601" s="130" t="s">
        <v>2225</v>
      </c>
      <c r="D601">
        <v>6054</v>
      </c>
      <c r="E601" s="131">
        <v>28983487</v>
      </c>
      <c r="F601" t="s">
        <v>87</v>
      </c>
      <c r="G601">
        <v>78</v>
      </c>
      <c r="H601" t="s">
        <v>8953</v>
      </c>
      <c r="I601" s="130">
        <v>19</v>
      </c>
      <c r="J601" t="s">
        <v>2225</v>
      </c>
      <c r="K601" t="s">
        <v>108</v>
      </c>
      <c r="L601" t="s">
        <v>146</v>
      </c>
      <c r="M601" t="s">
        <v>112</v>
      </c>
      <c r="N601" t="s">
        <v>98</v>
      </c>
      <c r="O601" t="s">
        <v>1345</v>
      </c>
    </row>
    <row r="602" spans="1:15" x14ac:dyDescent="0.3">
      <c r="A602" s="130">
        <v>3449</v>
      </c>
      <c r="B602" s="130">
        <v>18</v>
      </c>
      <c r="C602" s="130" t="s">
        <v>2226</v>
      </c>
      <c r="D602">
        <v>6066</v>
      </c>
      <c r="E602" s="130">
        <v>94480480</v>
      </c>
      <c r="F602" t="s">
        <v>87</v>
      </c>
      <c r="G602">
        <v>78</v>
      </c>
      <c r="H602" t="s">
        <v>8951</v>
      </c>
      <c r="I602" s="131">
        <v>19</v>
      </c>
      <c r="J602" t="s">
        <v>2226</v>
      </c>
      <c r="K602" t="s">
        <v>95</v>
      </c>
      <c r="L602" t="s">
        <v>146</v>
      </c>
      <c r="M602" t="s">
        <v>112</v>
      </c>
      <c r="N602" t="s">
        <v>169</v>
      </c>
      <c r="O602" t="s">
        <v>1345</v>
      </c>
    </row>
    <row r="603" spans="1:15" x14ac:dyDescent="0.3">
      <c r="A603" s="130">
        <v>3450</v>
      </c>
      <c r="B603" s="130">
        <v>30</v>
      </c>
      <c r="C603" s="130" t="s">
        <v>2227</v>
      </c>
      <c r="D603">
        <v>6068</v>
      </c>
      <c r="E603" s="131">
        <v>19739564</v>
      </c>
      <c r="F603" t="s">
        <v>87</v>
      </c>
      <c r="G603">
        <v>78</v>
      </c>
      <c r="H603" t="s">
        <v>8952</v>
      </c>
      <c r="I603" s="130">
        <v>9</v>
      </c>
      <c r="J603" t="s">
        <v>2227</v>
      </c>
      <c r="K603" t="s">
        <v>95</v>
      </c>
      <c r="L603" t="s">
        <v>125</v>
      </c>
      <c r="M603" t="s">
        <v>103</v>
      </c>
      <c r="N603" t="s">
        <v>98</v>
      </c>
      <c r="O603" t="s">
        <v>1345</v>
      </c>
    </row>
    <row r="604" spans="1:15" x14ac:dyDescent="0.3">
      <c r="A604" s="130">
        <v>3461</v>
      </c>
      <c r="B604" s="130">
        <v>30</v>
      </c>
      <c r="C604" s="130" t="s">
        <v>2228</v>
      </c>
      <c r="D604">
        <v>5996</v>
      </c>
      <c r="E604" s="131">
        <v>7522191</v>
      </c>
      <c r="F604" t="s">
        <v>87</v>
      </c>
      <c r="G604">
        <v>77</v>
      </c>
      <c r="H604" t="s">
        <v>8953</v>
      </c>
      <c r="I604" s="130">
        <v>3</v>
      </c>
      <c r="J604" t="s">
        <v>2228</v>
      </c>
      <c r="K604" t="s">
        <v>95</v>
      </c>
      <c r="L604" t="s">
        <v>119</v>
      </c>
      <c r="M604" t="s">
        <v>103</v>
      </c>
      <c r="N604" t="s">
        <v>104</v>
      </c>
      <c r="O604" t="s">
        <v>1345</v>
      </c>
    </row>
    <row r="605" spans="1:15" x14ac:dyDescent="0.3">
      <c r="A605" s="130">
        <v>3466</v>
      </c>
      <c r="B605" s="130">
        <v>30</v>
      </c>
      <c r="C605" s="130" t="s">
        <v>2229</v>
      </c>
      <c r="D605">
        <v>6088</v>
      </c>
      <c r="E605" s="130">
        <v>5513679</v>
      </c>
      <c r="F605" t="s">
        <v>87</v>
      </c>
      <c r="G605">
        <v>78</v>
      </c>
      <c r="H605" t="s">
        <v>8951</v>
      </c>
      <c r="I605" s="131">
        <v>10</v>
      </c>
      <c r="J605" t="s">
        <v>2229</v>
      </c>
      <c r="K605" t="s">
        <v>95</v>
      </c>
      <c r="L605" t="s">
        <v>127</v>
      </c>
      <c r="M605" t="s">
        <v>103</v>
      </c>
      <c r="N605" t="s">
        <v>118</v>
      </c>
      <c r="O605" t="s">
        <v>1345</v>
      </c>
    </row>
    <row r="606" spans="1:15" x14ac:dyDescent="0.3">
      <c r="A606" s="130">
        <v>3468</v>
      </c>
      <c r="B606" s="130">
        <v>-1</v>
      </c>
      <c r="C606" s="130" t="s">
        <v>2230</v>
      </c>
      <c r="D606">
        <v>6095</v>
      </c>
      <c r="E606" s="130">
        <v>37514042</v>
      </c>
      <c r="F606" t="s">
        <v>87</v>
      </c>
      <c r="G606">
        <v>78</v>
      </c>
      <c r="H606" t="s">
        <v>8952</v>
      </c>
      <c r="I606" s="131">
        <v>18</v>
      </c>
      <c r="J606" t="s">
        <v>2230</v>
      </c>
      <c r="K606" t="s">
        <v>95</v>
      </c>
      <c r="L606" t="s">
        <v>123</v>
      </c>
      <c r="M606" t="s">
        <v>174</v>
      </c>
      <c r="N606" t="s">
        <v>107</v>
      </c>
      <c r="O606" t="s">
        <v>1345</v>
      </c>
    </row>
    <row r="607" spans="1:15" x14ac:dyDescent="0.3">
      <c r="A607" s="130">
        <v>3470</v>
      </c>
      <c r="B607" s="130">
        <v>18</v>
      </c>
      <c r="C607" s="130" t="s">
        <v>2231</v>
      </c>
      <c r="D607">
        <v>6097</v>
      </c>
      <c r="E607" s="130">
        <v>22192546</v>
      </c>
      <c r="F607" t="s">
        <v>87</v>
      </c>
      <c r="G607">
        <v>78</v>
      </c>
      <c r="H607" t="s">
        <v>8953</v>
      </c>
      <c r="I607" s="130">
        <v>9</v>
      </c>
      <c r="J607" t="s">
        <v>2231</v>
      </c>
      <c r="K607" t="s">
        <v>95</v>
      </c>
      <c r="L607" t="s">
        <v>125</v>
      </c>
      <c r="M607" t="s">
        <v>112</v>
      </c>
      <c r="N607" t="s">
        <v>98</v>
      </c>
      <c r="O607" t="s">
        <v>1345</v>
      </c>
    </row>
    <row r="608" spans="1:15" x14ac:dyDescent="0.3">
      <c r="A608" s="130">
        <v>3475</v>
      </c>
      <c r="B608" s="130">
        <v>18</v>
      </c>
      <c r="C608" s="130" t="s">
        <v>2232</v>
      </c>
      <c r="D608">
        <v>6101</v>
      </c>
      <c r="E608" s="131">
        <v>31463065</v>
      </c>
      <c r="F608" t="s">
        <v>87</v>
      </c>
      <c r="G608">
        <v>78</v>
      </c>
      <c r="H608" t="s">
        <v>8951</v>
      </c>
      <c r="I608" s="131">
        <v>9</v>
      </c>
      <c r="J608" t="s">
        <v>2232</v>
      </c>
      <c r="K608" t="s">
        <v>95</v>
      </c>
      <c r="L608" t="s">
        <v>125</v>
      </c>
      <c r="M608" t="s">
        <v>112</v>
      </c>
      <c r="N608" t="s">
        <v>98</v>
      </c>
      <c r="O608" t="s">
        <v>1345</v>
      </c>
    </row>
    <row r="609" spans="1:15" x14ac:dyDescent="0.3">
      <c r="A609" s="130">
        <v>3504</v>
      </c>
      <c r="B609" s="130">
        <v>64</v>
      </c>
      <c r="C609" s="130" t="s">
        <v>2233</v>
      </c>
      <c r="D609">
        <v>6129</v>
      </c>
      <c r="E609" s="130">
        <v>655209</v>
      </c>
      <c r="F609" t="s">
        <v>87</v>
      </c>
      <c r="G609">
        <v>78</v>
      </c>
      <c r="H609" t="s">
        <v>8952</v>
      </c>
      <c r="I609" s="130">
        <v>9</v>
      </c>
      <c r="J609" t="s">
        <v>2233</v>
      </c>
      <c r="K609" t="s">
        <v>95</v>
      </c>
      <c r="L609" t="s">
        <v>125</v>
      </c>
      <c r="M609" t="s">
        <v>165</v>
      </c>
      <c r="N609" t="s">
        <v>114</v>
      </c>
      <c r="O609" t="s">
        <v>1345</v>
      </c>
    </row>
    <row r="610" spans="1:15" x14ac:dyDescent="0.3">
      <c r="A610" s="130">
        <v>3512</v>
      </c>
      <c r="B610" s="130">
        <v>0</v>
      </c>
      <c r="C610" s="130" t="s">
        <v>2234</v>
      </c>
      <c r="D610">
        <v>6109</v>
      </c>
      <c r="E610" s="130">
        <v>31228836</v>
      </c>
      <c r="F610" t="s">
        <v>87</v>
      </c>
      <c r="G610">
        <v>78</v>
      </c>
      <c r="H610" t="s">
        <v>8953</v>
      </c>
      <c r="I610" s="131">
        <v>9</v>
      </c>
      <c r="J610" t="s">
        <v>2234</v>
      </c>
      <c r="K610" t="s">
        <v>108</v>
      </c>
      <c r="L610" t="s">
        <v>134</v>
      </c>
      <c r="M610" t="s">
        <v>100</v>
      </c>
      <c r="N610" t="s">
        <v>101</v>
      </c>
      <c r="O610" t="s">
        <v>1345</v>
      </c>
    </row>
    <row r="611" spans="1:15" x14ac:dyDescent="0.3">
      <c r="A611" s="130">
        <v>3514</v>
      </c>
      <c r="B611" s="130">
        <v>30</v>
      </c>
      <c r="C611" s="130" t="s">
        <v>2235</v>
      </c>
      <c r="D611">
        <v>6142</v>
      </c>
      <c r="E611" s="131">
        <v>18565382</v>
      </c>
      <c r="F611" t="s">
        <v>87</v>
      </c>
      <c r="G611">
        <v>77</v>
      </c>
      <c r="H611" t="s">
        <v>8951</v>
      </c>
      <c r="I611" s="131">
        <v>2</v>
      </c>
      <c r="J611" t="s">
        <v>2235</v>
      </c>
      <c r="K611" t="s">
        <v>95</v>
      </c>
      <c r="L611" t="s">
        <v>119</v>
      </c>
      <c r="M611" t="s">
        <v>103</v>
      </c>
      <c r="N611" t="s">
        <v>98</v>
      </c>
      <c r="O611" t="s">
        <v>1345</v>
      </c>
    </row>
    <row r="612" spans="1:15" x14ac:dyDescent="0.3">
      <c r="A612" s="130">
        <v>3522</v>
      </c>
      <c r="B612" s="130">
        <v>30</v>
      </c>
      <c r="C612" s="130" t="s">
        <v>2236</v>
      </c>
      <c r="D612">
        <v>6155</v>
      </c>
      <c r="E612" s="131">
        <v>37325799</v>
      </c>
      <c r="F612" t="s">
        <v>87</v>
      </c>
      <c r="G612">
        <v>78</v>
      </c>
      <c r="H612" t="s">
        <v>8952</v>
      </c>
      <c r="I612" s="130">
        <v>18</v>
      </c>
      <c r="J612" t="s">
        <v>2236</v>
      </c>
      <c r="K612" t="s">
        <v>95</v>
      </c>
      <c r="L612" t="s">
        <v>123</v>
      </c>
      <c r="M612" t="s">
        <v>103</v>
      </c>
      <c r="N612" t="s">
        <v>98</v>
      </c>
      <c r="O612" t="s">
        <v>116</v>
      </c>
    </row>
    <row r="613" spans="1:15" x14ac:dyDescent="0.3">
      <c r="A613" s="130">
        <v>3540</v>
      </c>
      <c r="B613" s="130">
        <v>28</v>
      </c>
      <c r="C613" s="130" t="s">
        <v>2237</v>
      </c>
      <c r="D613">
        <v>6184</v>
      </c>
      <c r="E613" s="130">
        <v>9625762</v>
      </c>
      <c r="F613" t="s">
        <v>87</v>
      </c>
      <c r="G613">
        <v>358</v>
      </c>
      <c r="H613" t="s">
        <v>8953</v>
      </c>
      <c r="I613" s="131">
        <v>24</v>
      </c>
      <c r="J613" t="s">
        <v>2237</v>
      </c>
      <c r="K613" t="s">
        <v>95</v>
      </c>
      <c r="L613" t="s">
        <v>140</v>
      </c>
      <c r="M613" t="s">
        <v>130</v>
      </c>
      <c r="N613" t="s">
        <v>150</v>
      </c>
      <c r="O613" t="s">
        <v>1345</v>
      </c>
    </row>
    <row r="614" spans="1:15" x14ac:dyDescent="0.3">
      <c r="A614" s="130">
        <v>3541</v>
      </c>
      <c r="B614" s="130">
        <v>28</v>
      </c>
      <c r="C614" s="130" t="s">
        <v>2238</v>
      </c>
      <c r="D614">
        <v>6185</v>
      </c>
      <c r="E614" s="130">
        <v>2602726</v>
      </c>
      <c r="F614" t="s">
        <v>87</v>
      </c>
      <c r="G614">
        <v>78</v>
      </c>
      <c r="H614" t="s">
        <v>8951</v>
      </c>
      <c r="I614" s="130">
        <v>3</v>
      </c>
      <c r="J614" t="s">
        <v>2238</v>
      </c>
      <c r="K614" t="s">
        <v>108</v>
      </c>
      <c r="L614" t="s">
        <v>1293</v>
      </c>
      <c r="M614" t="s">
        <v>130</v>
      </c>
      <c r="N614" t="s">
        <v>98</v>
      </c>
      <c r="O614" t="s">
        <v>116</v>
      </c>
    </row>
    <row r="615" spans="1:15" x14ac:dyDescent="0.3">
      <c r="A615" s="130">
        <v>3545</v>
      </c>
      <c r="B615" s="130">
        <v>60</v>
      </c>
      <c r="C615" s="130" t="s">
        <v>2239</v>
      </c>
      <c r="D615">
        <v>1795</v>
      </c>
      <c r="E615" s="131">
        <v>33592510</v>
      </c>
      <c r="F615" t="s">
        <v>87</v>
      </c>
      <c r="G615">
        <v>77</v>
      </c>
      <c r="H615" t="s">
        <v>8952</v>
      </c>
      <c r="I615" s="131">
        <v>41</v>
      </c>
      <c r="J615" t="s">
        <v>2239</v>
      </c>
      <c r="K615" t="s">
        <v>95</v>
      </c>
      <c r="L615" t="s">
        <v>117</v>
      </c>
      <c r="M615" t="s">
        <v>97</v>
      </c>
      <c r="N615" t="s">
        <v>118</v>
      </c>
      <c r="O615" t="s">
        <v>116</v>
      </c>
    </row>
    <row r="616" spans="1:15" x14ac:dyDescent="0.3">
      <c r="A616" s="130">
        <v>3548</v>
      </c>
      <c r="B616" s="130">
        <v>60</v>
      </c>
      <c r="C616" s="130" t="s">
        <v>2240</v>
      </c>
      <c r="D616">
        <v>6195</v>
      </c>
      <c r="E616" s="131">
        <v>9625762</v>
      </c>
      <c r="F616" t="s">
        <v>87</v>
      </c>
      <c r="G616">
        <v>78</v>
      </c>
      <c r="H616" t="s">
        <v>8953</v>
      </c>
      <c r="I616" s="130">
        <v>43</v>
      </c>
      <c r="J616" t="s">
        <v>2240</v>
      </c>
      <c r="K616" t="s">
        <v>95</v>
      </c>
      <c r="L616" t="s">
        <v>159</v>
      </c>
      <c r="M616" t="s">
        <v>97</v>
      </c>
      <c r="N616" t="s">
        <v>150</v>
      </c>
      <c r="O616" t="s">
        <v>1345</v>
      </c>
    </row>
    <row r="617" spans="1:15" x14ac:dyDescent="0.3">
      <c r="A617" s="130">
        <v>3550</v>
      </c>
      <c r="B617" s="130">
        <v>28</v>
      </c>
      <c r="C617" s="130" t="s">
        <v>2241</v>
      </c>
      <c r="D617">
        <v>6199</v>
      </c>
      <c r="E617" s="131">
        <v>37265348</v>
      </c>
      <c r="F617" t="s">
        <v>87</v>
      </c>
      <c r="G617">
        <v>78</v>
      </c>
      <c r="H617" t="s">
        <v>8951</v>
      </c>
      <c r="I617" s="131">
        <v>37</v>
      </c>
      <c r="J617" t="s">
        <v>2241</v>
      </c>
      <c r="K617" t="s">
        <v>95</v>
      </c>
      <c r="L617" t="s">
        <v>138</v>
      </c>
      <c r="M617" t="s">
        <v>130</v>
      </c>
      <c r="N617" t="s">
        <v>98</v>
      </c>
      <c r="O617" t="s">
        <v>1345</v>
      </c>
    </row>
    <row r="618" spans="1:15" x14ac:dyDescent="0.3">
      <c r="A618" s="130">
        <v>3551</v>
      </c>
      <c r="B618" s="130">
        <v>35</v>
      </c>
      <c r="C618" s="130" t="s">
        <v>2242</v>
      </c>
      <c r="D618">
        <v>6202</v>
      </c>
      <c r="E618" s="130">
        <v>3992929</v>
      </c>
      <c r="F618" t="s">
        <v>87</v>
      </c>
      <c r="G618">
        <v>78</v>
      </c>
      <c r="H618" t="s">
        <v>8952</v>
      </c>
      <c r="I618" s="130">
        <v>9</v>
      </c>
      <c r="J618" t="s">
        <v>2242</v>
      </c>
      <c r="K618" t="s">
        <v>95</v>
      </c>
      <c r="L618" t="s">
        <v>125</v>
      </c>
      <c r="M618" t="s">
        <v>161</v>
      </c>
      <c r="N618" t="s">
        <v>98</v>
      </c>
      <c r="O618" t="s">
        <v>116</v>
      </c>
    </row>
    <row r="619" spans="1:15" x14ac:dyDescent="0.3">
      <c r="A619" s="130">
        <v>3552</v>
      </c>
      <c r="B619" s="130">
        <v>60</v>
      </c>
      <c r="C619" s="130" t="s">
        <v>2243</v>
      </c>
      <c r="D619">
        <v>6201</v>
      </c>
      <c r="E619" s="130">
        <v>27462720</v>
      </c>
      <c r="F619" t="s">
        <v>87</v>
      </c>
      <c r="G619">
        <v>358</v>
      </c>
      <c r="H619" t="s">
        <v>8953</v>
      </c>
      <c r="I619" s="131">
        <v>26</v>
      </c>
      <c r="J619" t="s">
        <v>2243</v>
      </c>
      <c r="K619" t="s">
        <v>108</v>
      </c>
      <c r="L619" t="s">
        <v>109</v>
      </c>
      <c r="M619" t="s">
        <v>97</v>
      </c>
      <c r="N619" t="s">
        <v>98</v>
      </c>
      <c r="O619" t="s">
        <v>116</v>
      </c>
    </row>
    <row r="620" spans="1:15" x14ac:dyDescent="0.3">
      <c r="A620" s="130">
        <v>3555</v>
      </c>
      <c r="B620" s="130">
        <v>30</v>
      </c>
      <c r="C620" s="130" t="s">
        <v>2244</v>
      </c>
      <c r="D620">
        <v>6208</v>
      </c>
      <c r="E620" s="131">
        <v>19726111</v>
      </c>
      <c r="F620" t="s">
        <v>87</v>
      </c>
      <c r="G620">
        <v>78</v>
      </c>
      <c r="H620" t="s">
        <v>8951</v>
      </c>
      <c r="I620" s="131">
        <v>18</v>
      </c>
      <c r="J620" t="s">
        <v>2244</v>
      </c>
      <c r="K620" t="s">
        <v>95</v>
      </c>
      <c r="L620" t="s">
        <v>123</v>
      </c>
      <c r="M620" t="s">
        <v>103</v>
      </c>
      <c r="N620" t="s">
        <v>122</v>
      </c>
      <c r="O620" t="s">
        <v>1345</v>
      </c>
    </row>
    <row r="621" spans="1:15" x14ac:dyDescent="0.3">
      <c r="A621" s="130">
        <v>3565</v>
      </c>
      <c r="B621" s="130">
        <v>10</v>
      </c>
      <c r="C621" s="130" t="s">
        <v>2245</v>
      </c>
      <c r="D621">
        <v>6224</v>
      </c>
      <c r="E621" s="130">
        <v>21062047</v>
      </c>
      <c r="F621" t="s">
        <v>87</v>
      </c>
      <c r="G621">
        <v>358</v>
      </c>
      <c r="H621" t="s">
        <v>8952</v>
      </c>
      <c r="I621" s="131">
        <v>18</v>
      </c>
      <c r="J621" t="s">
        <v>2245</v>
      </c>
      <c r="K621" t="s">
        <v>95</v>
      </c>
      <c r="L621" t="s">
        <v>109</v>
      </c>
      <c r="M621" t="s">
        <v>133</v>
      </c>
      <c r="N621" t="s">
        <v>98</v>
      </c>
      <c r="O621" t="s">
        <v>1345</v>
      </c>
    </row>
    <row r="622" spans="1:15" x14ac:dyDescent="0.3">
      <c r="A622" s="130">
        <v>3566</v>
      </c>
      <c r="B622" s="130">
        <v>30</v>
      </c>
      <c r="C622" s="130" t="s">
        <v>2246</v>
      </c>
      <c r="D622">
        <v>6225</v>
      </c>
      <c r="E622" s="131">
        <v>17159856</v>
      </c>
      <c r="F622" t="s">
        <v>87</v>
      </c>
      <c r="G622">
        <v>358</v>
      </c>
      <c r="H622" t="s">
        <v>8953</v>
      </c>
      <c r="I622" s="130">
        <v>24</v>
      </c>
      <c r="J622" t="s">
        <v>2246</v>
      </c>
      <c r="K622" t="s">
        <v>95</v>
      </c>
      <c r="L622" t="s">
        <v>99</v>
      </c>
      <c r="M622" t="s">
        <v>103</v>
      </c>
      <c r="N622" t="s">
        <v>98</v>
      </c>
      <c r="O622" t="s">
        <v>1345</v>
      </c>
    </row>
    <row r="623" spans="1:15" x14ac:dyDescent="0.3">
      <c r="A623" s="130">
        <v>3573</v>
      </c>
      <c r="B623" s="130">
        <v>18</v>
      </c>
      <c r="C623" s="130" t="s">
        <v>2247</v>
      </c>
      <c r="D623">
        <v>6234</v>
      </c>
      <c r="E623" s="131">
        <v>7336695</v>
      </c>
      <c r="F623" t="s">
        <v>87</v>
      </c>
      <c r="G623">
        <v>358</v>
      </c>
      <c r="H623" t="s">
        <v>8951</v>
      </c>
      <c r="I623" s="131">
        <v>10</v>
      </c>
      <c r="J623" t="s">
        <v>2247</v>
      </c>
      <c r="K623" t="s">
        <v>95</v>
      </c>
      <c r="L623" t="s">
        <v>105</v>
      </c>
      <c r="M623" t="s">
        <v>112</v>
      </c>
      <c r="N623" t="s">
        <v>141</v>
      </c>
      <c r="O623" t="s">
        <v>116</v>
      </c>
    </row>
    <row r="624" spans="1:15" x14ac:dyDescent="0.3">
      <c r="A624" s="130">
        <v>3577</v>
      </c>
      <c r="B624" s="130">
        <v>30</v>
      </c>
      <c r="C624" s="130" t="s">
        <v>2248</v>
      </c>
      <c r="D624">
        <v>6237</v>
      </c>
      <c r="E624" s="130">
        <v>42441965</v>
      </c>
      <c r="F624" t="s">
        <v>87</v>
      </c>
      <c r="G624">
        <v>78</v>
      </c>
      <c r="H624" t="s">
        <v>8952</v>
      </c>
      <c r="I624" s="130">
        <v>10</v>
      </c>
      <c r="J624" t="s">
        <v>2248</v>
      </c>
      <c r="K624" t="s">
        <v>95</v>
      </c>
      <c r="L624" t="s">
        <v>96</v>
      </c>
      <c r="M624" t="s">
        <v>103</v>
      </c>
      <c r="N624" t="s">
        <v>98</v>
      </c>
      <c r="O624" t="s">
        <v>1345</v>
      </c>
    </row>
    <row r="625" spans="1:15" x14ac:dyDescent="0.3">
      <c r="A625" s="130">
        <v>3580</v>
      </c>
      <c r="B625" s="130">
        <v>18</v>
      </c>
      <c r="C625" s="130" t="s">
        <v>2249</v>
      </c>
      <c r="D625">
        <v>6243</v>
      </c>
      <c r="E625" s="130">
        <v>22259902</v>
      </c>
      <c r="F625" t="s">
        <v>87</v>
      </c>
      <c r="G625">
        <v>78</v>
      </c>
      <c r="H625" t="s">
        <v>8953</v>
      </c>
      <c r="I625" s="130">
        <v>10</v>
      </c>
      <c r="J625" t="s">
        <v>2249</v>
      </c>
      <c r="K625" t="s">
        <v>108</v>
      </c>
      <c r="L625" t="s">
        <v>127</v>
      </c>
      <c r="M625" t="s">
        <v>112</v>
      </c>
      <c r="N625" t="s">
        <v>132</v>
      </c>
      <c r="O625" t="s">
        <v>1345</v>
      </c>
    </row>
    <row r="626" spans="1:15" x14ac:dyDescent="0.3">
      <c r="A626" s="130">
        <v>3625</v>
      </c>
      <c r="B626" s="130">
        <v>18</v>
      </c>
      <c r="C626" s="130" t="s">
        <v>2250</v>
      </c>
      <c r="D626">
        <v>6275</v>
      </c>
      <c r="E626" s="131">
        <v>74174095</v>
      </c>
      <c r="F626" t="s">
        <v>87</v>
      </c>
      <c r="G626">
        <v>78</v>
      </c>
      <c r="H626" t="s">
        <v>8951</v>
      </c>
      <c r="I626" s="130">
        <v>10</v>
      </c>
      <c r="J626" t="s">
        <v>2250</v>
      </c>
      <c r="K626" t="s">
        <v>108</v>
      </c>
      <c r="L626" t="s">
        <v>127</v>
      </c>
      <c r="M626" t="s">
        <v>112</v>
      </c>
      <c r="N626" t="s">
        <v>98</v>
      </c>
      <c r="O626" t="s">
        <v>1345</v>
      </c>
    </row>
    <row r="627" spans="1:15" x14ac:dyDescent="0.3">
      <c r="A627" s="130">
        <v>3626</v>
      </c>
      <c r="B627" s="130">
        <v>18</v>
      </c>
      <c r="C627" s="130" t="s">
        <v>2251</v>
      </c>
      <c r="D627">
        <v>6278</v>
      </c>
      <c r="E627" s="130">
        <v>19235340</v>
      </c>
      <c r="F627" t="s">
        <v>87</v>
      </c>
      <c r="G627">
        <v>78</v>
      </c>
      <c r="H627" t="s">
        <v>8952</v>
      </c>
      <c r="I627" s="131">
        <v>9</v>
      </c>
      <c r="J627" t="s">
        <v>2251</v>
      </c>
      <c r="K627" t="s">
        <v>95</v>
      </c>
      <c r="L627" t="s">
        <v>96</v>
      </c>
      <c r="M627" t="s">
        <v>112</v>
      </c>
      <c r="N627" t="s">
        <v>98</v>
      </c>
      <c r="O627" t="s">
        <v>1345</v>
      </c>
    </row>
    <row r="628" spans="1:15" x14ac:dyDescent="0.3">
      <c r="A628" s="130">
        <v>3627</v>
      </c>
      <c r="B628" s="130">
        <v>30</v>
      </c>
      <c r="C628" s="130" t="s">
        <v>2252</v>
      </c>
      <c r="D628">
        <v>6277</v>
      </c>
      <c r="E628" s="131">
        <v>8217851</v>
      </c>
      <c r="F628" t="s">
        <v>87</v>
      </c>
      <c r="G628">
        <v>78</v>
      </c>
      <c r="H628" t="s">
        <v>8953</v>
      </c>
      <c r="I628" s="130">
        <v>18</v>
      </c>
      <c r="J628" t="s">
        <v>2252</v>
      </c>
      <c r="K628" t="s">
        <v>95</v>
      </c>
      <c r="L628" t="s">
        <v>123</v>
      </c>
      <c r="M628" t="s">
        <v>103</v>
      </c>
      <c r="N628" t="s">
        <v>98</v>
      </c>
      <c r="O628" t="s">
        <v>1345</v>
      </c>
    </row>
    <row r="629" spans="1:15" x14ac:dyDescent="0.3">
      <c r="A629" s="130">
        <v>3634</v>
      </c>
      <c r="B629" s="130">
        <v>18</v>
      </c>
      <c r="C629" s="130" t="s">
        <v>2253</v>
      </c>
      <c r="D629">
        <v>6286</v>
      </c>
      <c r="E629" s="130">
        <v>1848287</v>
      </c>
      <c r="F629" t="s">
        <v>87</v>
      </c>
      <c r="G629">
        <v>358</v>
      </c>
      <c r="H629" t="s">
        <v>8951</v>
      </c>
      <c r="I629" s="130">
        <v>43</v>
      </c>
      <c r="J629" t="s">
        <v>2253</v>
      </c>
      <c r="K629" t="s">
        <v>95</v>
      </c>
      <c r="L629" t="s">
        <v>105</v>
      </c>
      <c r="M629" t="s">
        <v>112</v>
      </c>
      <c r="N629" t="s">
        <v>98</v>
      </c>
      <c r="O629" t="s">
        <v>1345</v>
      </c>
    </row>
    <row r="630" spans="1:15" x14ac:dyDescent="0.3">
      <c r="A630" s="130">
        <v>3642</v>
      </c>
      <c r="B630" s="130">
        <v>30</v>
      </c>
      <c r="C630" s="130" t="s">
        <v>2254</v>
      </c>
      <c r="D630">
        <v>6296</v>
      </c>
      <c r="E630" s="130">
        <v>20458968</v>
      </c>
      <c r="F630" t="s">
        <v>87</v>
      </c>
      <c r="G630">
        <v>78</v>
      </c>
      <c r="H630" t="s">
        <v>8952</v>
      </c>
      <c r="I630" s="130">
        <v>3</v>
      </c>
      <c r="J630" t="s">
        <v>2254</v>
      </c>
      <c r="K630" t="s">
        <v>95</v>
      </c>
      <c r="L630" t="s">
        <v>111</v>
      </c>
      <c r="M630" t="s">
        <v>103</v>
      </c>
      <c r="N630" t="s">
        <v>114</v>
      </c>
      <c r="O630" t="s">
        <v>1345</v>
      </c>
    </row>
    <row r="631" spans="1:15" x14ac:dyDescent="0.3">
      <c r="A631" s="130">
        <v>3644</v>
      </c>
      <c r="B631" s="130">
        <v>30</v>
      </c>
      <c r="C631" s="130" t="s">
        <v>2255</v>
      </c>
      <c r="D631">
        <v>6300</v>
      </c>
      <c r="E631" s="130">
        <v>2265872</v>
      </c>
      <c r="F631" t="s">
        <v>87</v>
      </c>
      <c r="G631">
        <v>358</v>
      </c>
      <c r="H631" t="s">
        <v>8953</v>
      </c>
      <c r="I631" s="130">
        <v>3</v>
      </c>
      <c r="J631" t="s">
        <v>2255</v>
      </c>
      <c r="K631" t="s">
        <v>95</v>
      </c>
      <c r="L631" t="s">
        <v>96</v>
      </c>
      <c r="M631" t="s">
        <v>103</v>
      </c>
      <c r="N631" t="s">
        <v>114</v>
      </c>
      <c r="O631" t="s">
        <v>1345</v>
      </c>
    </row>
    <row r="632" spans="1:15" x14ac:dyDescent="0.3">
      <c r="A632" s="130">
        <v>3654</v>
      </c>
      <c r="B632" s="130">
        <v>18</v>
      </c>
      <c r="C632" s="130" t="s">
        <v>2256</v>
      </c>
      <c r="D632">
        <v>6304</v>
      </c>
      <c r="E632" s="130">
        <v>16594889</v>
      </c>
      <c r="F632" t="s">
        <v>87</v>
      </c>
      <c r="G632">
        <v>78</v>
      </c>
      <c r="H632" t="s">
        <v>8951</v>
      </c>
      <c r="I632" s="130">
        <v>9</v>
      </c>
      <c r="J632" t="s">
        <v>2256</v>
      </c>
      <c r="K632" t="s">
        <v>95</v>
      </c>
      <c r="L632" t="s">
        <v>125</v>
      </c>
      <c r="M632" t="s">
        <v>112</v>
      </c>
      <c r="N632" t="s">
        <v>98</v>
      </c>
      <c r="O632" t="s">
        <v>1345</v>
      </c>
    </row>
    <row r="633" spans="1:15" x14ac:dyDescent="0.3">
      <c r="A633" s="130">
        <v>3675</v>
      </c>
      <c r="B633" s="130">
        <v>28</v>
      </c>
      <c r="C633" s="130" t="s">
        <v>2257</v>
      </c>
      <c r="D633">
        <v>6331</v>
      </c>
      <c r="E633" s="130">
        <v>33412792</v>
      </c>
      <c r="F633" t="s">
        <v>87</v>
      </c>
      <c r="G633">
        <v>78</v>
      </c>
      <c r="H633" t="s">
        <v>8952</v>
      </c>
      <c r="I633" s="130">
        <v>24</v>
      </c>
      <c r="J633" t="s">
        <v>2257</v>
      </c>
      <c r="K633" t="s">
        <v>95</v>
      </c>
      <c r="L633" t="s">
        <v>191</v>
      </c>
      <c r="M633" t="s">
        <v>130</v>
      </c>
      <c r="N633" t="s">
        <v>98</v>
      </c>
      <c r="O633" t="s">
        <v>1345</v>
      </c>
    </row>
    <row r="634" spans="1:15" x14ac:dyDescent="0.3">
      <c r="A634" s="130">
        <v>3680</v>
      </c>
      <c r="B634" s="130">
        <v>18</v>
      </c>
      <c r="C634" s="130" t="s">
        <v>2258</v>
      </c>
      <c r="D634">
        <v>6342</v>
      </c>
      <c r="E634" s="130">
        <v>2617158</v>
      </c>
      <c r="F634" t="s">
        <v>87</v>
      </c>
      <c r="G634">
        <v>78</v>
      </c>
      <c r="H634" t="s">
        <v>8953</v>
      </c>
      <c r="I634" s="130">
        <v>10</v>
      </c>
      <c r="J634" t="s">
        <v>2258</v>
      </c>
      <c r="K634" t="s">
        <v>108</v>
      </c>
      <c r="L634" t="s">
        <v>105</v>
      </c>
      <c r="M634" t="s">
        <v>112</v>
      </c>
      <c r="N634" t="s">
        <v>98</v>
      </c>
      <c r="O634" t="s">
        <v>1345</v>
      </c>
    </row>
    <row r="635" spans="1:15" x14ac:dyDescent="0.3">
      <c r="A635" s="130">
        <v>3684</v>
      </c>
      <c r="B635" s="130">
        <v>20</v>
      </c>
      <c r="C635" s="130" t="s">
        <v>2259</v>
      </c>
      <c r="D635">
        <v>6353</v>
      </c>
      <c r="E635" s="130">
        <v>10736565</v>
      </c>
      <c r="F635" t="s">
        <v>87</v>
      </c>
      <c r="G635">
        <v>78</v>
      </c>
      <c r="H635" t="s">
        <v>8951</v>
      </c>
      <c r="I635" s="131">
        <v>18</v>
      </c>
      <c r="J635" t="s">
        <v>2259</v>
      </c>
      <c r="K635" t="s">
        <v>108</v>
      </c>
      <c r="L635" t="s">
        <v>140</v>
      </c>
      <c r="M635" t="s">
        <v>148</v>
      </c>
      <c r="N635" t="s">
        <v>98</v>
      </c>
      <c r="O635" t="s">
        <v>1345</v>
      </c>
    </row>
    <row r="636" spans="1:15" x14ac:dyDescent="0.3">
      <c r="A636" s="130">
        <v>3687</v>
      </c>
      <c r="B636" s="130">
        <v>18</v>
      </c>
      <c r="C636" s="130" t="s">
        <v>2260</v>
      </c>
      <c r="D636">
        <v>6350</v>
      </c>
      <c r="E636" s="130">
        <v>40648726</v>
      </c>
      <c r="F636" t="s">
        <v>87</v>
      </c>
      <c r="G636">
        <v>78</v>
      </c>
      <c r="H636" t="s">
        <v>8952</v>
      </c>
      <c r="I636" s="130">
        <v>10</v>
      </c>
      <c r="J636" t="s">
        <v>2260</v>
      </c>
      <c r="K636" t="s">
        <v>108</v>
      </c>
      <c r="L636" t="s">
        <v>1355</v>
      </c>
      <c r="M636" t="s">
        <v>112</v>
      </c>
      <c r="N636" t="s">
        <v>114</v>
      </c>
      <c r="O636" t="s">
        <v>1345</v>
      </c>
    </row>
    <row r="637" spans="1:15" x14ac:dyDescent="0.3">
      <c r="A637" s="130">
        <v>3694</v>
      </c>
      <c r="B637" s="130">
        <v>18</v>
      </c>
      <c r="C637" s="130" t="s">
        <v>2261</v>
      </c>
      <c r="D637">
        <v>6367</v>
      </c>
      <c r="E637" s="130">
        <v>5427215</v>
      </c>
      <c r="F637" t="s">
        <v>87</v>
      </c>
      <c r="G637">
        <v>78</v>
      </c>
      <c r="H637" t="s">
        <v>8953</v>
      </c>
      <c r="I637" s="131">
        <v>10</v>
      </c>
      <c r="J637" t="s">
        <v>2261</v>
      </c>
      <c r="K637" t="s">
        <v>108</v>
      </c>
      <c r="L637" t="s">
        <v>127</v>
      </c>
      <c r="M637" t="s">
        <v>112</v>
      </c>
      <c r="N637" t="s">
        <v>98</v>
      </c>
      <c r="O637" t="s">
        <v>1345</v>
      </c>
    </row>
    <row r="638" spans="1:15" x14ac:dyDescent="0.3">
      <c r="A638" s="130">
        <v>3700</v>
      </c>
      <c r="B638" s="130">
        <v>30</v>
      </c>
      <c r="C638" s="130" t="s">
        <v>2262</v>
      </c>
      <c r="D638">
        <v>6377</v>
      </c>
      <c r="E638" s="130">
        <v>17193590</v>
      </c>
      <c r="F638" t="s">
        <v>87</v>
      </c>
      <c r="G638">
        <v>78</v>
      </c>
      <c r="H638" t="s">
        <v>8951</v>
      </c>
      <c r="I638" s="131">
        <v>3</v>
      </c>
      <c r="J638" t="s">
        <v>2262</v>
      </c>
      <c r="K638" t="s">
        <v>95</v>
      </c>
      <c r="L638" t="s">
        <v>111</v>
      </c>
      <c r="M638" t="s">
        <v>103</v>
      </c>
      <c r="N638" t="s">
        <v>98</v>
      </c>
      <c r="O638" t="s">
        <v>116</v>
      </c>
    </row>
    <row r="639" spans="1:15" x14ac:dyDescent="0.3">
      <c r="A639" s="130">
        <v>3704</v>
      </c>
      <c r="B639" s="130">
        <v>18</v>
      </c>
      <c r="C639" s="130" t="s">
        <v>2263</v>
      </c>
      <c r="D639">
        <v>6380</v>
      </c>
      <c r="E639" s="131">
        <v>23283284</v>
      </c>
      <c r="F639" t="s">
        <v>87</v>
      </c>
      <c r="G639">
        <v>78</v>
      </c>
      <c r="H639" t="s">
        <v>8952</v>
      </c>
      <c r="I639" s="130">
        <v>24</v>
      </c>
      <c r="J639" t="s">
        <v>2263</v>
      </c>
      <c r="K639" t="s">
        <v>108</v>
      </c>
      <c r="L639" t="s">
        <v>191</v>
      </c>
      <c r="M639" t="s">
        <v>112</v>
      </c>
      <c r="N639" t="s">
        <v>114</v>
      </c>
      <c r="O639" t="s">
        <v>1345</v>
      </c>
    </row>
    <row r="640" spans="1:15" x14ac:dyDescent="0.3">
      <c r="A640" s="130">
        <v>3705</v>
      </c>
      <c r="B640" s="130">
        <v>18</v>
      </c>
      <c r="C640" s="130" t="s">
        <v>2264</v>
      </c>
      <c r="D640">
        <v>6381</v>
      </c>
      <c r="E640" s="131">
        <v>33360733</v>
      </c>
      <c r="F640" t="s">
        <v>87</v>
      </c>
      <c r="G640">
        <v>78</v>
      </c>
      <c r="H640" t="s">
        <v>8953</v>
      </c>
      <c r="I640" s="131">
        <v>37</v>
      </c>
      <c r="J640" t="s">
        <v>2264</v>
      </c>
      <c r="K640" t="s">
        <v>95</v>
      </c>
      <c r="L640" t="s">
        <v>138</v>
      </c>
      <c r="M640" t="s">
        <v>112</v>
      </c>
      <c r="N640" t="s">
        <v>98</v>
      </c>
      <c r="O640" t="s">
        <v>1345</v>
      </c>
    </row>
    <row r="641" spans="1:15" x14ac:dyDescent="0.3">
      <c r="A641" s="130">
        <v>3707</v>
      </c>
      <c r="B641" s="130">
        <v>5</v>
      </c>
      <c r="C641" s="130" t="s">
        <v>2265</v>
      </c>
      <c r="D641">
        <v>6385</v>
      </c>
      <c r="E641" s="131">
        <v>5515245</v>
      </c>
      <c r="F641" t="s">
        <v>87</v>
      </c>
      <c r="G641">
        <v>78</v>
      </c>
      <c r="H641" t="s">
        <v>8951</v>
      </c>
      <c r="I641" s="131">
        <v>3</v>
      </c>
      <c r="J641" t="s">
        <v>2265</v>
      </c>
      <c r="K641" t="s">
        <v>108</v>
      </c>
      <c r="L641" t="s">
        <v>109</v>
      </c>
      <c r="M641" t="s">
        <v>129</v>
      </c>
      <c r="N641" t="s">
        <v>98</v>
      </c>
      <c r="O641" t="s">
        <v>116</v>
      </c>
    </row>
    <row r="642" spans="1:15" x14ac:dyDescent="0.3">
      <c r="A642" s="130">
        <v>3709</v>
      </c>
      <c r="B642" s="130">
        <v>30</v>
      </c>
      <c r="C642" s="130" t="s">
        <v>2266</v>
      </c>
      <c r="D642">
        <v>6387</v>
      </c>
      <c r="E642" s="130">
        <v>2617158</v>
      </c>
      <c r="F642" t="s">
        <v>87</v>
      </c>
      <c r="G642">
        <v>358</v>
      </c>
      <c r="H642" t="s">
        <v>8952</v>
      </c>
      <c r="I642" s="130">
        <v>10</v>
      </c>
      <c r="J642" t="s">
        <v>2266</v>
      </c>
      <c r="K642" t="s">
        <v>108</v>
      </c>
      <c r="L642" t="s">
        <v>105</v>
      </c>
      <c r="M642" t="s">
        <v>103</v>
      </c>
      <c r="N642" t="s">
        <v>98</v>
      </c>
      <c r="O642" t="s">
        <v>1345</v>
      </c>
    </row>
    <row r="643" spans="1:15" x14ac:dyDescent="0.3">
      <c r="A643" s="130">
        <v>3729</v>
      </c>
      <c r="B643" s="130">
        <v>18</v>
      </c>
      <c r="C643" s="130" t="s">
        <v>2267</v>
      </c>
      <c r="D643">
        <v>6408</v>
      </c>
      <c r="E643" s="130">
        <v>1157555</v>
      </c>
      <c r="F643" t="s">
        <v>87</v>
      </c>
      <c r="G643">
        <v>78</v>
      </c>
      <c r="H643" t="s">
        <v>8953</v>
      </c>
      <c r="I643" s="130">
        <v>37</v>
      </c>
      <c r="J643" t="s">
        <v>2267</v>
      </c>
      <c r="K643" t="s">
        <v>95</v>
      </c>
      <c r="L643" t="s">
        <v>138</v>
      </c>
      <c r="M643" t="s">
        <v>112</v>
      </c>
      <c r="N643" t="s">
        <v>101</v>
      </c>
      <c r="O643" t="s">
        <v>1345</v>
      </c>
    </row>
    <row r="644" spans="1:15" x14ac:dyDescent="0.3">
      <c r="A644" s="130">
        <v>3734</v>
      </c>
      <c r="B644" s="130">
        <v>30</v>
      </c>
      <c r="C644" s="130" t="s">
        <v>2268</v>
      </c>
      <c r="D644">
        <v>6415</v>
      </c>
      <c r="E644" s="130">
        <v>33968740</v>
      </c>
      <c r="F644" t="s">
        <v>87</v>
      </c>
      <c r="G644">
        <v>78</v>
      </c>
      <c r="H644" t="s">
        <v>8951</v>
      </c>
      <c r="I644" s="131">
        <v>3</v>
      </c>
      <c r="J644" t="s">
        <v>2268</v>
      </c>
      <c r="K644" t="s">
        <v>95</v>
      </c>
      <c r="L644" t="s">
        <v>111</v>
      </c>
      <c r="M644" t="s">
        <v>103</v>
      </c>
      <c r="N644" t="s">
        <v>98</v>
      </c>
      <c r="O644" t="s">
        <v>1345</v>
      </c>
    </row>
    <row r="645" spans="1:15" x14ac:dyDescent="0.3">
      <c r="A645" s="130">
        <v>3747</v>
      </c>
      <c r="B645" s="130">
        <v>18</v>
      </c>
      <c r="C645" s="130" t="s">
        <v>2269</v>
      </c>
      <c r="D645">
        <v>6433</v>
      </c>
      <c r="E645" s="130">
        <v>5515245</v>
      </c>
      <c r="F645" t="s">
        <v>87</v>
      </c>
      <c r="G645">
        <v>78</v>
      </c>
      <c r="H645" t="s">
        <v>8952</v>
      </c>
      <c r="I645" s="131">
        <v>24</v>
      </c>
      <c r="J645" t="s">
        <v>2269</v>
      </c>
      <c r="K645" t="s">
        <v>108</v>
      </c>
      <c r="L645" t="s">
        <v>109</v>
      </c>
      <c r="M645" t="s">
        <v>112</v>
      </c>
      <c r="N645" t="s">
        <v>98</v>
      </c>
      <c r="O645" t="s">
        <v>116</v>
      </c>
    </row>
    <row r="646" spans="1:15" x14ac:dyDescent="0.3">
      <c r="A646" s="130">
        <v>3758</v>
      </c>
      <c r="B646" s="130">
        <v>30</v>
      </c>
      <c r="C646" s="130" t="s">
        <v>2270</v>
      </c>
      <c r="D646">
        <v>6446</v>
      </c>
      <c r="E646" s="130">
        <v>28763819</v>
      </c>
      <c r="F646" t="s">
        <v>87</v>
      </c>
      <c r="G646">
        <v>78</v>
      </c>
      <c r="H646" t="s">
        <v>8953</v>
      </c>
      <c r="I646" s="130">
        <v>10</v>
      </c>
      <c r="J646" t="s">
        <v>2270</v>
      </c>
      <c r="K646" t="s">
        <v>108</v>
      </c>
      <c r="L646" t="s">
        <v>105</v>
      </c>
      <c r="M646" t="s">
        <v>103</v>
      </c>
      <c r="N646" t="s">
        <v>118</v>
      </c>
      <c r="O646" t="s">
        <v>116</v>
      </c>
    </row>
    <row r="647" spans="1:15" x14ac:dyDescent="0.3">
      <c r="A647" s="130">
        <v>3761</v>
      </c>
      <c r="B647" s="130">
        <v>-1</v>
      </c>
      <c r="C647" s="130" t="s">
        <v>2271</v>
      </c>
      <c r="D647">
        <v>6449</v>
      </c>
      <c r="E647" s="131">
        <v>18600765</v>
      </c>
      <c r="F647" t="s">
        <v>87</v>
      </c>
      <c r="G647">
        <v>78</v>
      </c>
      <c r="H647" t="s">
        <v>8951</v>
      </c>
      <c r="I647" s="130">
        <v>10</v>
      </c>
      <c r="J647" t="s">
        <v>2271</v>
      </c>
      <c r="K647" t="s">
        <v>108</v>
      </c>
      <c r="L647" t="s">
        <v>127</v>
      </c>
      <c r="M647" t="s">
        <v>174</v>
      </c>
      <c r="N647" t="s">
        <v>118</v>
      </c>
      <c r="O647" t="s">
        <v>116</v>
      </c>
    </row>
    <row r="648" spans="1:15" x14ac:dyDescent="0.3">
      <c r="A648" s="130">
        <v>3766</v>
      </c>
      <c r="B648" s="130">
        <v>60</v>
      </c>
      <c r="C648" s="130" t="s">
        <v>2272</v>
      </c>
      <c r="D648">
        <v>6457</v>
      </c>
      <c r="E648" s="130">
        <v>9625762</v>
      </c>
      <c r="F648" t="s">
        <v>87</v>
      </c>
      <c r="G648">
        <v>78</v>
      </c>
      <c r="H648" t="s">
        <v>8952</v>
      </c>
      <c r="I648" s="131">
        <v>43</v>
      </c>
      <c r="J648" t="s">
        <v>2272</v>
      </c>
      <c r="K648" t="s">
        <v>95</v>
      </c>
      <c r="L648" t="s">
        <v>1368</v>
      </c>
      <c r="M648" t="s">
        <v>97</v>
      </c>
      <c r="N648" t="s">
        <v>150</v>
      </c>
      <c r="O648" t="s">
        <v>116</v>
      </c>
    </row>
    <row r="649" spans="1:15" x14ac:dyDescent="0.3">
      <c r="A649" s="130">
        <v>3771</v>
      </c>
      <c r="B649" s="130">
        <v>10</v>
      </c>
      <c r="C649" s="130" t="s">
        <v>2273</v>
      </c>
      <c r="D649">
        <v>6462</v>
      </c>
      <c r="E649" s="131">
        <v>35728517</v>
      </c>
      <c r="F649" t="s">
        <v>87</v>
      </c>
      <c r="G649">
        <v>78</v>
      </c>
      <c r="H649" t="s">
        <v>8953</v>
      </c>
      <c r="I649" s="130">
        <v>18</v>
      </c>
      <c r="J649" t="s">
        <v>2273</v>
      </c>
      <c r="K649" t="s">
        <v>108</v>
      </c>
      <c r="L649" t="s">
        <v>111</v>
      </c>
      <c r="M649" t="s">
        <v>133</v>
      </c>
      <c r="N649" t="s">
        <v>98</v>
      </c>
      <c r="O649" t="s">
        <v>1345</v>
      </c>
    </row>
    <row r="650" spans="1:15" x14ac:dyDescent="0.3">
      <c r="A650" s="130">
        <v>3773</v>
      </c>
      <c r="B650" s="130">
        <v>18</v>
      </c>
      <c r="C650" s="130" t="s">
        <v>2274</v>
      </c>
      <c r="D650">
        <v>6466</v>
      </c>
      <c r="E650" s="131">
        <v>15063096</v>
      </c>
      <c r="F650" t="s">
        <v>87</v>
      </c>
      <c r="G650">
        <v>78</v>
      </c>
      <c r="H650" t="s">
        <v>8951</v>
      </c>
      <c r="I650" s="130">
        <v>18</v>
      </c>
      <c r="J650" t="s">
        <v>2274</v>
      </c>
      <c r="K650" t="s">
        <v>95</v>
      </c>
      <c r="L650" t="s">
        <v>140</v>
      </c>
      <c r="M650" t="s">
        <v>112</v>
      </c>
      <c r="N650" t="s">
        <v>98</v>
      </c>
      <c r="O650" t="s">
        <v>1345</v>
      </c>
    </row>
    <row r="651" spans="1:15" x14ac:dyDescent="0.3">
      <c r="A651" s="130">
        <v>3774</v>
      </c>
      <c r="B651" s="130">
        <v>30</v>
      </c>
      <c r="C651" s="130" t="s">
        <v>2275</v>
      </c>
      <c r="D651">
        <v>6465</v>
      </c>
      <c r="E651" s="131">
        <v>532740</v>
      </c>
      <c r="F651" t="s">
        <v>87</v>
      </c>
      <c r="G651">
        <v>78</v>
      </c>
      <c r="H651" t="s">
        <v>8952</v>
      </c>
      <c r="I651" s="131">
        <v>10</v>
      </c>
      <c r="J651" t="s">
        <v>2275</v>
      </c>
      <c r="K651" t="s">
        <v>95</v>
      </c>
      <c r="L651" t="s">
        <v>127</v>
      </c>
      <c r="M651" t="s">
        <v>103</v>
      </c>
      <c r="N651" t="s">
        <v>118</v>
      </c>
      <c r="O651" t="s">
        <v>116</v>
      </c>
    </row>
    <row r="652" spans="1:15" x14ac:dyDescent="0.3">
      <c r="A652" s="130">
        <v>3776</v>
      </c>
      <c r="B652" s="130">
        <v>10</v>
      </c>
      <c r="C652" s="130" t="s">
        <v>2276</v>
      </c>
      <c r="D652">
        <v>6469</v>
      </c>
      <c r="E652" s="131">
        <v>21062047</v>
      </c>
      <c r="F652" t="s">
        <v>87</v>
      </c>
      <c r="G652">
        <v>358</v>
      </c>
      <c r="H652" t="s">
        <v>8953</v>
      </c>
      <c r="I652" s="131">
        <v>18</v>
      </c>
      <c r="J652" t="s">
        <v>2276</v>
      </c>
      <c r="K652" t="s">
        <v>95</v>
      </c>
      <c r="L652" t="s">
        <v>109</v>
      </c>
      <c r="M652" t="s">
        <v>133</v>
      </c>
      <c r="N652" t="s">
        <v>98</v>
      </c>
      <c r="O652" t="s">
        <v>116</v>
      </c>
    </row>
    <row r="653" spans="1:15" x14ac:dyDescent="0.3">
      <c r="A653" s="130">
        <v>3780</v>
      </c>
      <c r="B653" s="130">
        <v>30</v>
      </c>
      <c r="C653" s="130" t="s">
        <v>2277</v>
      </c>
      <c r="D653">
        <v>6475</v>
      </c>
      <c r="E653" s="130">
        <v>20177671</v>
      </c>
      <c r="F653" t="s">
        <v>87</v>
      </c>
      <c r="G653">
        <v>78</v>
      </c>
      <c r="H653" t="s">
        <v>8951</v>
      </c>
      <c r="I653" s="131">
        <v>10</v>
      </c>
      <c r="J653" t="s">
        <v>2277</v>
      </c>
      <c r="K653" t="s">
        <v>95</v>
      </c>
      <c r="L653" t="s">
        <v>127</v>
      </c>
      <c r="M653" t="s">
        <v>103</v>
      </c>
      <c r="N653" t="s">
        <v>118</v>
      </c>
      <c r="O653" t="s">
        <v>1345</v>
      </c>
    </row>
    <row r="654" spans="1:15" x14ac:dyDescent="0.3">
      <c r="A654" s="130">
        <v>3781</v>
      </c>
      <c r="B654" s="130">
        <v>18</v>
      </c>
      <c r="C654" s="130" t="s">
        <v>2278</v>
      </c>
      <c r="D654">
        <v>6476</v>
      </c>
      <c r="E654" s="130">
        <v>9434048605</v>
      </c>
      <c r="F654" t="s">
        <v>87</v>
      </c>
      <c r="G654">
        <v>78</v>
      </c>
      <c r="H654" t="s">
        <v>8952</v>
      </c>
      <c r="I654" s="130">
        <v>3</v>
      </c>
      <c r="J654" t="s">
        <v>2278</v>
      </c>
      <c r="K654" t="s">
        <v>108</v>
      </c>
      <c r="L654" t="s">
        <v>140</v>
      </c>
      <c r="M654" t="s">
        <v>112</v>
      </c>
      <c r="N654" t="s">
        <v>110</v>
      </c>
      <c r="O654" t="s">
        <v>1345</v>
      </c>
    </row>
    <row r="655" spans="1:15" x14ac:dyDescent="0.3">
      <c r="A655" s="130">
        <v>3787</v>
      </c>
      <c r="B655" s="130">
        <v>0</v>
      </c>
      <c r="C655" s="130" t="s">
        <v>2279</v>
      </c>
      <c r="D655">
        <v>6487</v>
      </c>
      <c r="E655" s="130">
        <v>33412792</v>
      </c>
      <c r="F655" t="s">
        <v>87</v>
      </c>
      <c r="G655">
        <v>78</v>
      </c>
      <c r="H655" t="s">
        <v>8953</v>
      </c>
      <c r="I655" s="130">
        <v>1</v>
      </c>
      <c r="J655" t="s">
        <v>2279</v>
      </c>
      <c r="K655" t="s">
        <v>95</v>
      </c>
      <c r="L655" t="s">
        <v>191</v>
      </c>
      <c r="M655" t="s">
        <v>100</v>
      </c>
      <c r="N655" t="s">
        <v>98</v>
      </c>
      <c r="O655" t="s">
        <v>1256</v>
      </c>
    </row>
    <row r="656" spans="1:15" x14ac:dyDescent="0.3">
      <c r="A656" s="130">
        <v>3794</v>
      </c>
      <c r="B656" s="130">
        <v>0</v>
      </c>
      <c r="C656" s="130" t="s">
        <v>2280</v>
      </c>
      <c r="D656">
        <v>6437</v>
      </c>
      <c r="E656" s="131">
        <v>31859111</v>
      </c>
      <c r="F656" t="s">
        <v>87</v>
      </c>
      <c r="G656">
        <v>78</v>
      </c>
      <c r="H656" t="s">
        <v>8951</v>
      </c>
      <c r="I656" s="130">
        <v>19</v>
      </c>
      <c r="J656" t="s">
        <v>2280</v>
      </c>
      <c r="K656" t="s">
        <v>108</v>
      </c>
      <c r="L656" t="s">
        <v>1349</v>
      </c>
      <c r="M656" t="s">
        <v>100</v>
      </c>
      <c r="N656" t="s">
        <v>98</v>
      </c>
      <c r="O656" t="s">
        <v>1345</v>
      </c>
    </row>
    <row r="657" spans="1:15" x14ac:dyDescent="0.3">
      <c r="A657" s="130">
        <v>3795</v>
      </c>
      <c r="B657" s="130">
        <v>30</v>
      </c>
      <c r="C657" s="130" t="s">
        <v>2281</v>
      </c>
      <c r="D657">
        <v>6503</v>
      </c>
      <c r="E657" s="130">
        <v>51930986653</v>
      </c>
      <c r="F657" t="s">
        <v>87</v>
      </c>
      <c r="G657">
        <v>78</v>
      </c>
      <c r="H657" t="s">
        <v>8952</v>
      </c>
      <c r="I657" s="131">
        <v>3</v>
      </c>
      <c r="J657" t="s">
        <v>2281</v>
      </c>
      <c r="K657" t="s">
        <v>108</v>
      </c>
      <c r="L657" t="s">
        <v>140</v>
      </c>
      <c r="M657" t="s">
        <v>103</v>
      </c>
      <c r="N657" t="s">
        <v>98</v>
      </c>
      <c r="O657" t="s">
        <v>1345</v>
      </c>
    </row>
    <row r="658" spans="1:15" x14ac:dyDescent="0.3">
      <c r="A658" s="130">
        <v>3804</v>
      </c>
      <c r="B658" s="130">
        <v>10</v>
      </c>
      <c r="C658" s="130" t="s">
        <v>2282</v>
      </c>
      <c r="D658">
        <v>6525</v>
      </c>
      <c r="E658" s="130">
        <v>7565678</v>
      </c>
      <c r="F658" t="s">
        <v>87</v>
      </c>
      <c r="G658">
        <v>78</v>
      </c>
      <c r="H658" t="s">
        <v>8953</v>
      </c>
      <c r="I658" s="130">
        <v>18</v>
      </c>
      <c r="J658" t="s">
        <v>2282</v>
      </c>
      <c r="K658" t="s">
        <v>108</v>
      </c>
      <c r="L658" t="s">
        <v>111</v>
      </c>
      <c r="M658" t="s">
        <v>133</v>
      </c>
      <c r="N658" t="s">
        <v>98</v>
      </c>
      <c r="O658" t="s">
        <v>1345</v>
      </c>
    </row>
    <row r="659" spans="1:15" x14ac:dyDescent="0.3">
      <c r="A659" s="130">
        <v>3807</v>
      </c>
      <c r="B659" s="130">
        <v>30</v>
      </c>
      <c r="C659" s="130" t="s">
        <v>2283</v>
      </c>
      <c r="D659">
        <v>6528</v>
      </c>
      <c r="E659" s="131">
        <v>8217851</v>
      </c>
      <c r="F659" t="s">
        <v>87</v>
      </c>
      <c r="G659">
        <v>78</v>
      </c>
      <c r="H659" t="s">
        <v>8951</v>
      </c>
      <c r="I659" s="130">
        <v>18</v>
      </c>
      <c r="J659" t="s">
        <v>2283</v>
      </c>
      <c r="K659" t="s">
        <v>95</v>
      </c>
      <c r="L659" t="s">
        <v>123</v>
      </c>
      <c r="M659" t="s">
        <v>103</v>
      </c>
      <c r="N659" t="s">
        <v>98</v>
      </c>
      <c r="O659" t="s">
        <v>116</v>
      </c>
    </row>
    <row r="660" spans="1:15" x14ac:dyDescent="0.3">
      <c r="A660" s="130">
        <v>3825</v>
      </c>
      <c r="B660" s="130">
        <v>-1</v>
      </c>
      <c r="C660" s="130" t="s">
        <v>2284</v>
      </c>
      <c r="D660">
        <v>6552</v>
      </c>
      <c r="E660" s="130">
        <v>23732026</v>
      </c>
      <c r="F660" t="s">
        <v>87</v>
      </c>
      <c r="G660">
        <v>78</v>
      </c>
      <c r="H660" t="s">
        <v>8952</v>
      </c>
      <c r="I660" s="130">
        <v>10</v>
      </c>
      <c r="J660" t="s">
        <v>2284</v>
      </c>
      <c r="K660" t="s">
        <v>108</v>
      </c>
      <c r="L660" t="s">
        <v>127</v>
      </c>
      <c r="M660" t="s">
        <v>174</v>
      </c>
      <c r="N660" t="s">
        <v>118</v>
      </c>
      <c r="O660" t="s">
        <v>116</v>
      </c>
    </row>
    <row r="661" spans="1:15" x14ac:dyDescent="0.3">
      <c r="A661" s="130">
        <v>3826</v>
      </c>
      <c r="B661" s="130">
        <v>18</v>
      </c>
      <c r="C661" s="130" t="s">
        <v>2285</v>
      </c>
      <c r="D661">
        <v>6553</v>
      </c>
      <c r="E661" s="130">
        <v>23742410</v>
      </c>
      <c r="F661" t="s">
        <v>87</v>
      </c>
      <c r="G661">
        <v>78</v>
      </c>
      <c r="H661" t="s">
        <v>8953</v>
      </c>
      <c r="I661" s="130">
        <v>18</v>
      </c>
      <c r="J661" t="s">
        <v>2285</v>
      </c>
      <c r="K661" t="s">
        <v>108</v>
      </c>
      <c r="L661" t="s">
        <v>123</v>
      </c>
      <c r="M661" t="s">
        <v>112</v>
      </c>
      <c r="N661" t="s">
        <v>98</v>
      </c>
      <c r="O661" t="s">
        <v>1345</v>
      </c>
    </row>
    <row r="662" spans="1:15" x14ac:dyDescent="0.3">
      <c r="A662" s="130">
        <v>3827</v>
      </c>
      <c r="B662" s="130">
        <v>30</v>
      </c>
      <c r="C662" s="130" t="s">
        <v>2286</v>
      </c>
      <c r="D662">
        <v>6554</v>
      </c>
      <c r="E662" s="131">
        <v>17193590</v>
      </c>
      <c r="F662" t="s">
        <v>87</v>
      </c>
      <c r="G662">
        <v>77</v>
      </c>
      <c r="H662" t="s">
        <v>8951</v>
      </c>
      <c r="I662" s="131">
        <v>3</v>
      </c>
      <c r="J662" t="s">
        <v>2286</v>
      </c>
      <c r="K662" t="s">
        <v>95</v>
      </c>
      <c r="L662" t="s">
        <v>1255</v>
      </c>
      <c r="M662" t="s">
        <v>103</v>
      </c>
      <c r="N662" t="s">
        <v>98</v>
      </c>
      <c r="O662" t="s">
        <v>1345</v>
      </c>
    </row>
    <row r="663" spans="1:15" x14ac:dyDescent="0.3">
      <c r="A663" s="130">
        <v>3830</v>
      </c>
      <c r="B663" s="130">
        <v>35</v>
      </c>
      <c r="C663" s="130" t="s">
        <v>2287</v>
      </c>
      <c r="D663">
        <v>6557</v>
      </c>
      <c r="E663" s="130">
        <v>5416618</v>
      </c>
      <c r="F663" t="s">
        <v>87</v>
      </c>
      <c r="G663">
        <v>78</v>
      </c>
      <c r="H663" t="s">
        <v>8952</v>
      </c>
      <c r="I663" s="130">
        <v>10</v>
      </c>
      <c r="J663" t="s">
        <v>2287</v>
      </c>
      <c r="K663" t="s">
        <v>108</v>
      </c>
      <c r="L663" t="s">
        <v>127</v>
      </c>
      <c r="M663" t="s">
        <v>161</v>
      </c>
      <c r="N663" t="s">
        <v>118</v>
      </c>
      <c r="O663" t="s">
        <v>116</v>
      </c>
    </row>
    <row r="664" spans="1:15" x14ac:dyDescent="0.3">
      <c r="A664" s="130">
        <v>3832</v>
      </c>
      <c r="B664" s="130">
        <v>30</v>
      </c>
      <c r="C664" s="130" t="s">
        <v>2288</v>
      </c>
      <c r="D664">
        <v>6561</v>
      </c>
      <c r="E664" s="130">
        <v>4980542</v>
      </c>
      <c r="F664" t="s">
        <v>87</v>
      </c>
      <c r="G664">
        <v>358</v>
      </c>
      <c r="H664" t="s">
        <v>8953</v>
      </c>
      <c r="I664" s="130">
        <v>3</v>
      </c>
      <c r="J664" t="s">
        <v>2288</v>
      </c>
      <c r="K664" t="s">
        <v>95</v>
      </c>
      <c r="L664" t="s">
        <v>109</v>
      </c>
      <c r="M664" t="s">
        <v>103</v>
      </c>
      <c r="N664" t="s">
        <v>98</v>
      </c>
      <c r="O664" t="s">
        <v>116</v>
      </c>
    </row>
    <row r="665" spans="1:15" x14ac:dyDescent="0.3">
      <c r="A665" s="130">
        <v>3837</v>
      </c>
      <c r="B665" s="130">
        <v>30</v>
      </c>
      <c r="C665" s="130" t="s">
        <v>2289</v>
      </c>
      <c r="D665">
        <v>6567</v>
      </c>
      <c r="E665" s="130">
        <v>63827026</v>
      </c>
      <c r="F665" t="s">
        <v>87</v>
      </c>
      <c r="G665">
        <v>78</v>
      </c>
      <c r="H665" t="s">
        <v>8951</v>
      </c>
      <c r="I665" s="130">
        <v>10</v>
      </c>
      <c r="J665" t="s">
        <v>2289</v>
      </c>
      <c r="K665" t="s">
        <v>108</v>
      </c>
      <c r="L665" t="s">
        <v>127</v>
      </c>
      <c r="M665" t="s">
        <v>103</v>
      </c>
      <c r="N665" t="s">
        <v>118</v>
      </c>
      <c r="O665" t="s">
        <v>1345</v>
      </c>
    </row>
    <row r="666" spans="1:15" x14ac:dyDescent="0.3">
      <c r="A666" s="130">
        <v>3842</v>
      </c>
      <c r="B666" s="130">
        <v>10</v>
      </c>
      <c r="C666" s="130" t="s">
        <v>2290</v>
      </c>
      <c r="D666">
        <v>6573</v>
      </c>
      <c r="E666" s="130">
        <v>18863616</v>
      </c>
      <c r="F666" t="s">
        <v>87</v>
      </c>
      <c r="G666">
        <v>358</v>
      </c>
      <c r="H666" t="s">
        <v>8952</v>
      </c>
      <c r="I666" s="130">
        <v>3</v>
      </c>
      <c r="J666" t="s">
        <v>2290</v>
      </c>
      <c r="K666" t="s">
        <v>95</v>
      </c>
      <c r="L666" t="s">
        <v>109</v>
      </c>
      <c r="M666" t="s">
        <v>133</v>
      </c>
      <c r="N666" t="s">
        <v>98</v>
      </c>
      <c r="O666" t="s">
        <v>1345</v>
      </c>
    </row>
    <row r="667" spans="1:15" x14ac:dyDescent="0.3">
      <c r="A667" s="130">
        <v>3843</v>
      </c>
      <c r="B667" s="130">
        <v>30</v>
      </c>
      <c r="C667" s="130" t="s">
        <v>2291</v>
      </c>
      <c r="D667">
        <v>6574</v>
      </c>
      <c r="E667" s="130">
        <v>13548038</v>
      </c>
      <c r="F667" t="s">
        <v>87</v>
      </c>
      <c r="G667">
        <v>78</v>
      </c>
      <c r="H667" t="s">
        <v>8953</v>
      </c>
      <c r="I667" s="130">
        <v>9</v>
      </c>
      <c r="J667" t="s">
        <v>2291</v>
      </c>
      <c r="K667" t="s">
        <v>95</v>
      </c>
      <c r="L667" t="s">
        <v>125</v>
      </c>
      <c r="M667" t="s">
        <v>103</v>
      </c>
      <c r="N667" t="s">
        <v>98</v>
      </c>
      <c r="O667" t="s">
        <v>1345</v>
      </c>
    </row>
    <row r="668" spans="1:15" x14ac:dyDescent="0.3">
      <c r="A668" s="130">
        <v>3845</v>
      </c>
      <c r="B668" s="130">
        <v>30</v>
      </c>
      <c r="C668" s="130" t="s">
        <v>2292</v>
      </c>
      <c r="D668">
        <v>6575</v>
      </c>
      <c r="E668" s="130">
        <v>35234509</v>
      </c>
      <c r="F668" t="s">
        <v>87</v>
      </c>
      <c r="G668">
        <v>78</v>
      </c>
      <c r="H668" t="s">
        <v>8951</v>
      </c>
      <c r="I668" s="130">
        <v>19</v>
      </c>
      <c r="J668" t="s">
        <v>2292</v>
      </c>
      <c r="K668" t="s">
        <v>95</v>
      </c>
      <c r="L668" t="s">
        <v>102</v>
      </c>
      <c r="M668" t="s">
        <v>103</v>
      </c>
      <c r="N668" t="s">
        <v>98</v>
      </c>
      <c r="O668" t="s">
        <v>1345</v>
      </c>
    </row>
    <row r="669" spans="1:15" x14ac:dyDescent="0.3">
      <c r="A669" s="130">
        <v>3847</v>
      </c>
      <c r="B669" s="130">
        <v>30</v>
      </c>
      <c r="C669" s="130" t="s">
        <v>2293</v>
      </c>
      <c r="D669">
        <v>6579</v>
      </c>
      <c r="E669" s="130">
        <v>28763819</v>
      </c>
      <c r="F669" t="s">
        <v>87</v>
      </c>
      <c r="G669">
        <v>78</v>
      </c>
      <c r="H669" t="s">
        <v>8952</v>
      </c>
      <c r="I669" s="130">
        <v>3</v>
      </c>
      <c r="J669" t="s">
        <v>2293</v>
      </c>
      <c r="K669" t="s">
        <v>108</v>
      </c>
      <c r="L669" t="s">
        <v>1293</v>
      </c>
      <c r="M669" t="s">
        <v>103</v>
      </c>
      <c r="N669" t="s">
        <v>101</v>
      </c>
      <c r="O669" t="s">
        <v>1345</v>
      </c>
    </row>
    <row r="670" spans="1:15" x14ac:dyDescent="0.3">
      <c r="A670" s="130">
        <v>3853</v>
      </c>
      <c r="B670" s="130">
        <v>18</v>
      </c>
      <c r="C670" s="130" t="s">
        <v>2294</v>
      </c>
      <c r="D670">
        <v>6576</v>
      </c>
      <c r="E670" s="131">
        <v>63827026</v>
      </c>
      <c r="F670" t="s">
        <v>87</v>
      </c>
      <c r="G670">
        <v>78</v>
      </c>
      <c r="H670" t="s">
        <v>8953</v>
      </c>
      <c r="I670" s="131">
        <v>9</v>
      </c>
      <c r="J670" t="s">
        <v>2294</v>
      </c>
      <c r="K670" t="s">
        <v>108</v>
      </c>
      <c r="L670" t="s">
        <v>125</v>
      </c>
      <c r="M670" t="s">
        <v>112</v>
      </c>
      <c r="N670" t="s">
        <v>101</v>
      </c>
      <c r="O670" t="s">
        <v>116</v>
      </c>
    </row>
    <row r="671" spans="1:15" x14ac:dyDescent="0.3">
      <c r="A671" s="130">
        <v>3860</v>
      </c>
      <c r="B671" s="130">
        <v>18</v>
      </c>
      <c r="C671" s="130" t="s">
        <v>2295</v>
      </c>
      <c r="D671">
        <v>6597</v>
      </c>
      <c r="E671" s="131">
        <v>16622284</v>
      </c>
      <c r="F671" t="s">
        <v>87</v>
      </c>
      <c r="G671">
        <v>78</v>
      </c>
      <c r="H671" t="s">
        <v>8951</v>
      </c>
      <c r="I671" s="130">
        <v>10</v>
      </c>
      <c r="J671" t="s">
        <v>2295</v>
      </c>
      <c r="K671" t="s">
        <v>95</v>
      </c>
      <c r="L671" t="s">
        <v>105</v>
      </c>
      <c r="M671" t="s">
        <v>112</v>
      </c>
      <c r="N671" t="s">
        <v>114</v>
      </c>
      <c r="O671" t="s">
        <v>1345</v>
      </c>
    </row>
    <row r="672" spans="1:15" x14ac:dyDescent="0.3">
      <c r="A672" s="130">
        <v>3863</v>
      </c>
      <c r="B672" s="130">
        <v>10</v>
      </c>
      <c r="C672" s="130" t="s">
        <v>2296</v>
      </c>
      <c r="D672">
        <v>6599</v>
      </c>
      <c r="E672" s="130">
        <v>21062047</v>
      </c>
      <c r="F672" t="s">
        <v>87</v>
      </c>
      <c r="G672">
        <v>358</v>
      </c>
      <c r="H672" t="s">
        <v>8952</v>
      </c>
      <c r="I672" s="130">
        <v>3</v>
      </c>
      <c r="J672" t="s">
        <v>2296</v>
      </c>
      <c r="K672" t="s">
        <v>95</v>
      </c>
      <c r="L672" t="s">
        <v>109</v>
      </c>
      <c r="M672" t="s">
        <v>133</v>
      </c>
      <c r="N672" t="s">
        <v>98</v>
      </c>
      <c r="O672" t="s">
        <v>1345</v>
      </c>
    </row>
    <row r="673" spans="1:15" x14ac:dyDescent="0.3">
      <c r="A673" s="130">
        <v>3867</v>
      </c>
      <c r="B673" s="130">
        <v>30</v>
      </c>
      <c r="C673" s="130" t="s">
        <v>2297</v>
      </c>
      <c r="D673">
        <v>6603</v>
      </c>
      <c r="E673" s="131">
        <v>10279488</v>
      </c>
      <c r="F673" t="s">
        <v>87</v>
      </c>
      <c r="G673">
        <v>77</v>
      </c>
      <c r="H673" t="s">
        <v>8953</v>
      </c>
      <c r="I673" s="130">
        <v>10</v>
      </c>
      <c r="J673" t="s">
        <v>2297</v>
      </c>
      <c r="K673" t="s">
        <v>95</v>
      </c>
      <c r="L673" t="s">
        <v>119</v>
      </c>
      <c r="M673" t="s">
        <v>103</v>
      </c>
      <c r="N673" t="s">
        <v>114</v>
      </c>
      <c r="O673" t="s">
        <v>1345</v>
      </c>
    </row>
    <row r="674" spans="1:15" x14ac:dyDescent="0.3">
      <c r="A674" s="130">
        <v>3869</v>
      </c>
      <c r="B674" s="130">
        <v>18</v>
      </c>
      <c r="C674" s="130" t="s">
        <v>2298</v>
      </c>
      <c r="D674">
        <v>6606</v>
      </c>
      <c r="E674" s="130">
        <v>12165888</v>
      </c>
      <c r="F674" t="s">
        <v>87</v>
      </c>
      <c r="G674">
        <v>78</v>
      </c>
      <c r="H674" t="s">
        <v>8951</v>
      </c>
      <c r="I674" s="130">
        <v>9</v>
      </c>
      <c r="J674" t="s">
        <v>2298</v>
      </c>
      <c r="K674" t="s">
        <v>108</v>
      </c>
      <c r="L674" t="s">
        <v>163</v>
      </c>
      <c r="M674" t="s">
        <v>112</v>
      </c>
      <c r="N674" t="s">
        <v>132</v>
      </c>
      <c r="O674" t="s">
        <v>116</v>
      </c>
    </row>
    <row r="675" spans="1:15" x14ac:dyDescent="0.3">
      <c r="A675" s="130">
        <v>3870</v>
      </c>
      <c r="B675" s="130">
        <v>18</v>
      </c>
      <c r="C675" s="130" t="s">
        <v>2299</v>
      </c>
      <c r="D675">
        <v>6607</v>
      </c>
      <c r="E675" s="130">
        <v>7102198</v>
      </c>
      <c r="F675" t="s">
        <v>87</v>
      </c>
      <c r="G675">
        <v>78</v>
      </c>
      <c r="H675" t="s">
        <v>8952</v>
      </c>
      <c r="I675" s="131">
        <v>10</v>
      </c>
      <c r="J675" t="s">
        <v>2299</v>
      </c>
      <c r="K675" t="s">
        <v>95</v>
      </c>
      <c r="L675" t="s">
        <v>127</v>
      </c>
      <c r="M675" t="s">
        <v>112</v>
      </c>
      <c r="N675" t="s">
        <v>98</v>
      </c>
      <c r="O675" t="s">
        <v>1345</v>
      </c>
    </row>
    <row r="676" spans="1:15" x14ac:dyDescent="0.3">
      <c r="A676" s="130">
        <v>3879</v>
      </c>
      <c r="B676" s="130">
        <v>-1</v>
      </c>
      <c r="C676" s="130" t="s">
        <v>2300</v>
      </c>
      <c r="D676">
        <v>6622</v>
      </c>
      <c r="E676" s="130">
        <v>8723106</v>
      </c>
      <c r="F676" t="s">
        <v>87</v>
      </c>
      <c r="G676">
        <v>78</v>
      </c>
      <c r="H676" t="s">
        <v>8953</v>
      </c>
      <c r="I676" s="131">
        <v>18</v>
      </c>
      <c r="J676" t="s">
        <v>2300</v>
      </c>
      <c r="K676" t="s">
        <v>108</v>
      </c>
      <c r="L676" t="s">
        <v>123</v>
      </c>
      <c r="M676" t="s">
        <v>174</v>
      </c>
      <c r="N676" t="s">
        <v>101</v>
      </c>
      <c r="O676" t="s">
        <v>1345</v>
      </c>
    </row>
    <row r="677" spans="1:15" x14ac:dyDescent="0.3">
      <c r="A677" s="130">
        <v>3883</v>
      </c>
      <c r="B677" s="130">
        <v>18</v>
      </c>
      <c r="C677" s="130" t="s">
        <v>2301</v>
      </c>
      <c r="D677">
        <v>6629</v>
      </c>
      <c r="E677" s="131">
        <v>3672857</v>
      </c>
      <c r="F677" t="s">
        <v>87</v>
      </c>
      <c r="G677">
        <v>78</v>
      </c>
      <c r="H677" t="s">
        <v>8951</v>
      </c>
      <c r="I677" s="130">
        <v>9</v>
      </c>
      <c r="J677" t="s">
        <v>2301</v>
      </c>
      <c r="K677" t="s">
        <v>108</v>
      </c>
      <c r="L677" t="s">
        <v>125</v>
      </c>
      <c r="M677" t="s">
        <v>112</v>
      </c>
      <c r="N677" t="s">
        <v>98</v>
      </c>
      <c r="O677" t="s">
        <v>1345</v>
      </c>
    </row>
    <row r="678" spans="1:15" x14ac:dyDescent="0.3">
      <c r="A678" s="130">
        <v>3897</v>
      </c>
      <c r="B678" s="130">
        <v>30</v>
      </c>
      <c r="C678" s="130" t="s">
        <v>2302</v>
      </c>
      <c r="D678">
        <v>6647</v>
      </c>
      <c r="E678" s="130">
        <v>27467498</v>
      </c>
      <c r="F678" t="s">
        <v>87</v>
      </c>
      <c r="G678">
        <v>78</v>
      </c>
      <c r="H678" t="s">
        <v>8952</v>
      </c>
      <c r="I678" s="131">
        <v>18</v>
      </c>
      <c r="J678" t="s">
        <v>2302</v>
      </c>
      <c r="K678" t="s">
        <v>95</v>
      </c>
      <c r="L678" t="s">
        <v>123</v>
      </c>
      <c r="M678" t="s">
        <v>103</v>
      </c>
      <c r="N678" t="s">
        <v>98</v>
      </c>
      <c r="O678" t="s">
        <v>1345</v>
      </c>
    </row>
    <row r="679" spans="1:15" x14ac:dyDescent="0.3">
      <c r="A679" s="130">
        <v>3901</v>
      </c>
      <c r="B679" s="130">
        <v>18</v>
      </c>
      <c r="C679" s="130" t="s">
        <v>2303</v>
      </c>
      <c r="D679">
        <v>6651</v>
      </c>
      <c r="E679" s="131">
        <v>18117723</v>
      </c>
      <c r="F679" t="s">
        <v>87</v>
      </c>
      <c r="G679">
        <v>78</v>
      </c>
      <c r="H679" t="s">
        <v>8953</v>
      </c>
      <c r="I679" s="131">
        <v>10</v>
      </c>
      <c r="J679" t="s">
        <v>2303</v>
      </c>
      <c r="K679" t="s">
        <v>108</v>
      </c>
      <c r="L679" t="s">
        <v>127</v>
      </c>
      <c r="M679" t="s">
        <v>112</v>
      </c>
      <c r="N679" t="s">
        <v>118</v>
      </c>
      <c r="O679" t="s">
        <v>1345</v>
      </c>
    </row>
    <row r="680" spans="1:15" x14ac:dyDescent="0.3">
      <c r="A680" s="130">
        <v>3903</v>
      </c>
      <c r="B680" s="130">
        <v>30</v>
      </c>
      <c r="C680" s="130" t="s">
        <v>2304</v>
      </c>
      <c r="D680">
        <v>6653</v>
      </c>
      <c r="E680" s="130">
        <v>25566035</v>
      </c>
      <c r="F680" t="s">
        <v>87</v>
      </c>
      <c r="G680">
        <v>358</v>
      </c>
      <c r="H680" t="s">
        <v>8951</v>
      </c>
      <c r="I680" s="131">
        <v>10</v>
      </c>
      <c r="J680" t="s">
        <v>2304</v>
      </c>
      <c r="K680" t="s">
        <v>108</v>
      </c>
      <c r="L680" t="s">
        <v>105</v>
      </c>
      <c r="M680" t="s">
        <v>103</v>
      </c>
      <c r="N680" t="s">
        <v>98</v>
      </c>
      <c r="O680" t="s">
        <v>1345</v>
      </c>
    </row>
    <row r="681" spans="1:15" x14ac:dyDescent="0.3">
      <c r="A681" s="130">
        <v>3908</v>
      </c>
      <c r="B681" s="130">
        <v>30</v>
      </c>
      <c r="C681" s="130" t="s">
        <v>2305</v>
      </c>
      <c r="D681">
        <v>6659</v>
      </c>
      <c r="E681" s="130">
        <v>3860998</v>
      </c>
      <c r="F681" t="s">
        <v>87</v>
      </c>
      <c r="G681">
        <v>78</v>
      </c>
      <c r="H681" t="s">
        <v>8952</v>
      </c>
      <c r="I681" s="131">
        <v>37</v>
      </c>
      <c r="J681" t="s">
        <v>2305</v>
      </c>
      <c r="K681" t="s">
        <v>95</v>
      </c>
      <c r="L681" t="s">
        <v>144</v>
      </c>
      <c r="M681" t="s">
        <v>103</v>
      </c>
      <c r="N681" t="s">
        <v>114</v>
      </c>
      <c r="O681" t="s">
        <v>1345</v>
      </c>
    </row>
    <row r="682" spans="1:15" x14ac:dyDescent="0.3">
      <c r="A682" s="130">
        <v>3914</v>
      </c>
      <c r="B682" s="130">
        <v>30</v>
      </c>
      <c r="C682" s="130" t="s">
        <v>2306</v>
      </c>
      <c r="D682">
        <v>6667</v>
      </c>
      <c r="E682" s="130">
        <v>19739564</v>
      </c>
      <c r="F682" t="s">
        <v>87</v>
      </c>
      <c r="G682">
        <v>78</v>
      </c>
      <c r="H682" t="s">
        <v>8953</v>
      </c>
      <c r="I682" s="130">
        <v>3</v>
      </c>
      <c r="J682" t="s">
        <v>2306</v>
      </c>
      <c r="K682" t="s">
        <v>108</v>
      </c>
      <c r="L682" t="s">
        <v>140</v>
      </c>
      <c r="M682" t="s">
        <v>103</v>
      </c>
      <c r="N682" t="s">
        <v>98</v>
      </c>
      <c r="O682" t="s">
        <v>1345</v>
      </c>
    </row>
    <row r="683" spans="1:15" x14ac:dyDescent="0.3">
      <c r="A683" s="130">
        <v>3927</v>
      </c>
      <c r="B683" s="130">
        <v>18</v>
      </c>
      <c r="C683" s="130" t="s">
        <v>2307</v>
      </c>
      <c r="D683">
        <v>6691</v>
      </c>
      <c r="E683" s="130">
        <v>63827026</v>
      </c>
      <c r="F683" t="s">
        <v>87</v>
      </c>
      <c r="G683">
        <v>78</v>
      </c>
      <c r="H683" t="s">
        <v>8951</v>
      </c>
      <c r="I683" s="131">
        <v>9</v>
      </c>
      <c r="J683" t="s">
        <v>2307</v>
      </c>
      <c r="K683" t="s">
        <v>108</v>
      </c>
      <c r="L683" t="s">
        <v>125</v>
      </c>
      <c r="M683" t="s">
        <v>112</v>
      </c>
      <c r="N683" t="s">
        <v>101</v>
      </c>
      <c r="O683" t="s">
        <v>1345</v>
      </c>
    </row>
    <row r="684" spans="1:15" x14ac:dyDescent="0.3">
      <c r="A684" s="130">
        <v>3931</v>
      </c>
      <c r="B684" s="130">
        <v>18</v>
      </c>
      <c r="C684" s="130" t="s">
        <v>2308</v>
      </c>
      <c r="D684">
        <v>6698</v>
      </c>
      <c r="E684" s="130">
        <v>3672857</v>
      </c>
      <c r="F684" t="s">
        <v>87</v>
      </c>
      <c r="G684">
        <v>78</v>
      </c>
      <c r="H684" t="s">
        <v>8952</v>
      </c>
      <c r="I684" s="130">
        <v>9</v>
      </c>
      <c r="J684" t="s">
        <v>2308</v>
      </c>
      <c r="K684" t="s">
        <v>108</v>
      </c>
      <c r="L684" t="s">
        <v>125</v>
      </c>
      <c r="M684" t="s">
        <v>112</v>
      </c>
      <c r="N684" t="s">
        <v>98</v>
      </c>
      <c r="O684" t="s">
        <v>1345</v>
      </c>
    </row>
    <row r="685" spans="1:15" x14ac:dyDescent="0.3">
      <c r="A685" s="130">
        <v>3942</v>
      </c>
      <c r="B685" s="130">
        <v>28</v>
      </c>
      <c r="C685" s="130" t="s">
        <v>2309</v>
      </c>
      <c r="D685">
        <v>6714</v>
      </c>
      <c r="E685" s="131">
        <v>25566035</v>
      </c>
      <c r="F685" t="s">
        <v>87</v>
      </c>
      <c r="G685">
        <v>358</v>
      </c>
      <c r="H685" t="s">
        <v>8953</v>
      </c>
      <c r="I685" s="130">
        <v>3</v>
      </c>
      <c r="J685" t="s">
        <v>2309</v>
      </c>
      <c r="K685" t="s">
        <v>108</v>
      </c>
      <c r="L685" t="s">
        <v>109</v>
      </c>
      <c r="M685" t="s">
        <v>130</v>
      </c>
      <c r="N685" t="s">
        <v>98</v>
      </c>
      <c r="O685" t="s">
        <v>1345</v>
      </c>
    </row>
    <row r="686" spans="1:15" x14ac:dyDescent="0.3">
      <c r="A686" s="130">
        <v>3943</v>
      </c>
      <c r="B686" s="130">
        <v>18</v>
      </c>
      <c r="C686" s="130" t="s">
        <v>2310</v>
      </c>
      <c r="D686">
        <v>6715</v>
      </c>
      <c r="E686" s="130">
        <v>3992929</v>
      </c>
      <c r="F686" t="s">
        <v>87</v>
      </c>
      <c r="G686">
        <v>78</v>
      </c>
      <c r="H686" t="s">
        <v>8951</v>
      </c>
      <c r="I686" s="130">
        <v>10</v>
      </c>
      <c r="J686" t="s">
        <v>2310</v>
      </c>
      <c r="K686" t="s">
        <v>108</v>
      </c>
      <c r="L686" t="s">
        <v>127</v>
      </c>
      <c r="M686" t="s">
        <v>112</v>
      </c>
      <c r="N686" t="s">
        <v>118</v>
      </c>
      <c r="O686" t="s">
        <v>1345</v>
      </c>
    </row>
    <row r="687" spans="1:15" x14ac:dyDescent="0.3">
      <c r="A687" s="130">
        <v>3956</v>
      </c>
      <c r="B687" s="130">
        <v>18</v>
      </c>
      <c r="C687" s="130" t="s">
        <v>2311</v>
      </c>
      <c r="D687">
        <v>6709</v>
      </c>
      <c r="E687" s="131">
        <v>51466860</v>
      </c>
      <c r="F687" t="s">
        <v>87</v>
      </c>
      <c r="G687">
        <v>78</v>
      </c>
      <c r="H687" t="s">
        <v>8952</v>
      </c>
      <c r="I687" s="131">
        <v>37</v>
      </c>
      <c r="J687" t="s">
        <v>2311</v>
      </c>
      <c r="K687" t="s">
        <v>108</v>
      </c>
      <c r="L687" t="s">
        <v>144</v>
      </c>
      <c r="M687" t="s">
        <v>112</v>
      </c>
      <c r="N687" t="s">
        <v>114</v>
      </c>
      <c r="O687" t="s">
        <v>1345</v>
      </c>
    </row>
    <row r="688" spans="1:15" x14ac:dyDescent="0.3">
      <c r="A688" s="130">
        <v>3959</v>
      </c>
      <c r="B688" s="130">
        <v>35</v>
      </c>
      <c r="C688" s="130" t="s">
        <v>2312</v>
      </c>
      <c r="D688">
        <v>6735</v>
      </c>
      <c r="E688" s="130">
        <v>49930514</v>
      </c>
      <c r="F688" t="s">
        <v>87</v>
      </c>
      <c r="G688">
        <v>78</v>
      </c>
      <c r="H688" t="s">
        <v>8953</v>
      </c>
      <c r="I688" s="130">
        <v>24</v>
      </c>
      <c r="J688" t="s">
        <v>2312</v>
      </c>
      <c r="K688" t="s">
        <v>108</v>
      </c>
      <c r="L688" t="s">
        <v>1346</v>
      </c>
      <c r="M688" t="s">
        <v>161</v>
      </c>
      <c r="N688" t="s">
        <v>101</v>
      </c>
      <c r="O688" t="s">
        <v>1345</v>
      </c>
    </row>
    <row r="689" spans="1:15" x14ac:dyDescent="0.3">
      <c r="A689" s="130">
        <v>3960</v>
      </c>
      <c r="B689" s="130">
        <v>30</v>
      </c>
      <c r="C689" s="130" t="s">
        <v>2313</v>
      </c>
      <c r="D689">
        <v>6738</v>
      </c>
      <c r="E689" s="130">
        <v>10736565</v>
      </c>
      <c r="F689" t="s">
        <v>87</v>
      </c>
      <c r="G689">
        <v>78</v>
      </c>
      <c r="H689" t="s">
        <v>8951</v>
      </c>
      <c r="I689" s="130">
        <v>18</v>
      </c>
      <c r="J689" t="s">
        <v>2313</v>
      </c>
      <c r="K689" t="s">
        <v>95</v>
      </c>
      <c r="L689" t="s">
        <v>111</v>
      </c>
      <c r="M689" t="s">
        <v>103</v>
      </c>
      <c r="N689" t="s">
        <v>98</v>
      </c>
      <c r="O689" t="s">
        <v>1345</v>
      </c>
    </row>
    <row r="690" spans="1:15" x14ac:dyDescent="0.3">
      <c r="A690" s="130">
        <v>3974</v>
      </c>
      <c r="B690" s="130">
        <v>30</v>
      </c>
      <c r="C690" s="130" t="s">
        <v>2314</v>
      </c>
      <c r="D690">
        <v>6758</v>
      </c>
      <c r="E690" s="130">
        <v>2617158</v>
      </c>
      <c r="F690" t="s">
        <v>87</v>
      </c>
      <c r="G690">
        <v>358</v>
      </c>
      <c r="H690" t="s">
        <v>8952</v>
      </c>
      <c r="I690" s="131">
        <v>10</v>
      </c>
      <c r="J690" t="s">
        <v>2314</v>
      </c>
      <c r="K690" t="s">
        <v>108</v>
      </c>
      <c r="L690" t="s">
        <v>105</v>
      </c>
      <c r="M690" t="s">
        <v>103</v>
      </c>
      <c r="N690" t="s">
        <v>98</v>
      </c>
      <c r="O690" t="s">
        <v>1345</v>
      </c>
    </row>
    <row r="691" spans="1:15" x14ac:dyDescent="0.3">
      <c r="A691" s="130">
        <v>3976</v>
      </c>
      <c r="B691" s="130" t="s">
        <v>1356</v>
      </c>
      <c r="C691" s="130" t="s">
        <v>2315</v>
      </c>
      <c r="D691">
        <v>6763</v>
      </c>
      <c r="E691" s="130">
        <v>16622284</v>
      </c>
      <c r="F691" t="s">
        <v>87</v>
      </c>
      <c r="G691">
        <v>78</v>
      </c>
      <c r="H691" t="s">
        <v>8953</v>
      </c>
      <c r="I691" s="130">
        <v>10</v>
      </c>
      <c r="J691" t="s">
        <v>2315</v>
      </c>
      <c r="K691" t="s">
        <v>108</v>
      </c>
      <c r="L691" t="s">
        <v>127</v>
      </c>
      <c r="M691" t="s">
        <v>1357</v>
      </c>
      <c r="N691" t="s">
        <v>118</v>
      </c>
      <c r="O691" t="s">
        <v>1345</v>
      </c>
    </row>
    <row r="692" spans="1:15" x14ac:dyDescent="0.3">
      <c r="A692" s="130">
        <v>3978</v>
      </c>
      <c r="B692" s="130">
        <v>28</v>
      </c>
      <c r="C692" s="130" t="s">
        <v>2316</v>
      </c>
      <c r="D692">
        <v>6766</v>
      </c>
      <c r="E692" s="131">
        <v>22673347</v>
      </c>
      <c r="F692" t="s">
        <v>87</v>
      </c>
      <c r="G692">
        <v>78</v>
      </c>
      <c r="H692" t="s">
        <v>8951</v>
      </c>
      <c r="I692" s="130">
        <v>3</v>
      </c>
      <c r="J692" t="s">
        <v>2316</v>
      </c>
      <c r="K692" t="s">
        <v>108</v>
      </c>
      <c r="L692" t="s">
        <v>140</v>
      </c>
      <c r="M692" t="s">
        <v>130</v>
      </c>
      <c r="N692" t="s">
        <v>101</v>
      </c>
      <c r="O692" t="s">
        <v>116</v>
      </c>
    </row>
    <row r="693" spans="1:15" x14ac:dyDescent="0.3">
      <c r="A693" s="130">
        <v>3981</v>
      </c>
      <c r="B693" s="130">
        <v>60</v>
      </c>
      <c r="C693" s="130" t="s">
        <v>2317</v>
      </c>
      <c r="D693">
        <v>6770</v>
      </c>
      <c r="E693" s="130">
        <v>42150391</v>
      </c>
      <c r="F693" t="s">
        <v>87</v>
      </c>
      <c r="G693">
        <v>77</v>
      </c>
      <c r="H693" t="s">
        <v>8952</v>
      </c>
      <c r="I693" s="130">
        <v>24</v>
      </c>
      <c r="J693" t="s">
        <v>2317</v>
      </c>
      <c r="K693" t="s">
        <v>95</v>
      </c>
      <c r="L693" t="s">
        <v>117</v>
      </c>
      <c r="M693" t="s">
        <v>97</v>
      </c>
      <c r="N693" t="s">
        <v>114</v>
      </c>
      <c r="O693" t="s">
        <v>1345</v>
      </c>
    </row>
    <row r="694" spans="1:15" x14ac:dyDescent="0.3">
      <c r="A694" s="130">
        <v>3984</v>
      </c>
      <c r="B694" s="130">
        <v>30</v>
      </c>
      <c r="C694" s="130" t="s">
        <v>2318</v>
      </c>
      <c r="D694">
        <v>6772</v>
      </c>
      <c r="E694" s="130">
        <v>10736565</v>
      </c>
      <c r="F694" t="s">
        <v>87</v>
      </c>
      <c r="G694">
        <v>78</v>
      </c>
      <c r="H694" t="s">
        <v>8953</v>
      </c>
      <c r="I694" s="130">
        <v>18</v>
      </c>
      <c r="J694" t="s">
        <v>2318</v>
      </c>
      <c r="K694" t="s">
        <v>95</v>
      </c>
      <c r="L694" t="s">
        <v>140</v>
      </c>
      <c r="M694" t="s">
        <v>103</v>
      </c>
      <c r="N694" t="s">
        <v>98</v>
      </c>
      <c r="O694" t="s">
        <v>1345</v>
      </c>
    </row>
    <row r="695" spans="1:15" x14ac:dyDescent="0.3">
      <c r="A695" s="130">
        <v>3991</v>
      </c>
      <c r="B695" s="130">
        <v>18</v>
      </c>
      <c r="C695" s="130" t="s">
        <v>2319</v>
      </c>
      <c r="D695">
        <v>6784</v>
      </c>
      <c r="E695" s="130">
        <v>240568</v>
      </c>
      <c r="F695" t="s">
        <v>87</v>
      </c>
      <c r="G695">
        <v>78</v>
      </c>
      <c r="H695" t="s">
        <v>8951</v>
      </c>
      <c r="I695" s="130">
        <v>18</v>
      </c>
      <c r="J695" t="s">
        <v>2319</v>
      </c>
      <c r="K695" t="s">
        <v>108</v>
      </c>
      <c r="L695" t="s">
        <v>123</v>
      </c>
      <c r="M695" t="s">
        <v>112</v>
      </c>
      <c r="N695" t="s">
        <v>114</v>
      </c>
      <c r="O695" t="s">
        <v>1345</v>
      </c>
    </row>
    <row r="696" spans="1:15" x14ac:dyDescent="0.3">
      <c r="A696" s="130">
        <v>3995</v>
      </c>
      <c r="B696" s="130">
        <v>60</v>
      </c>
      <c r="C696" s="130" t="s">
        <v>2320</v>
      </c>
      <c r="D696">
        <v>6789</v>
      </c>
      <c r="E696" s="130">
        <v>34209835</v>
      </c>
      <c r="F696" t="s">
        <v>87</v>
      </c>
      <c r="G696">
        <v>77</v>
      </c>
      <c r="H696" t="s">
        <v>8952</v>
      </c>
      <c r="I696" s="130">
        <v>9</v>
      </c>
      <c r="J696" t="s">
        <v>2320</v>
      </c>
      <c r="K696" t="s">
        <v>95</v>
      </c>
      <c r="L696" t="s">
        <v>117</v>
      </c>
      <c r="M696" t="s">
        <v>97</v>
      </c>
      <c r="N696" t="s">
        <v>98</v>
      </c>
      <c r="O696" t="s">
        <v>1345</v>
      </c>
    </row>
    <row r="697" spans="1:15" x14ac:dyDescent="0.3">
      <c r="A697" s="130">
        <v>3999</v>
      </c>
      <c r="B697" s="130">
        <v>18</v>
      </c>
      <c r="C697" s="130" t="s">
        <v>2321</v>
      </c>
      <c r="D697">
        <v>6719</v>
      </c>
      <c r="E697" s="130">
        <v>4892580</v>
      </c>
      <c r="F697" t="s">
        <v>87</v>
      </c>
      <c r="G697">
        <v>78</v>
      </c>
      <c r="H697" t="s">
        <v>8953</v>
      </c>
      <c r="I697" s="131">
        <v>9</v>
      </c>
      <c r="J697" t="s">
        <v>2321</v>
      </c>
      <c r="K697" t="s">
        <v>108</v>
      </c>
      <c r="L697" t="s">
        <v>125</v>
      </c>
      <c r="M697" t="s">
        <v>112</v>
      </c>
      <c r="N697" t="s">
        <v>98</v>
      </c>
      <c r="O697" t="s">
        <v>1345</v>
      </c>
    </row>
    <row r="698" spans="1:15" x14ac:dyDescent="0.3">
      <c r="A698" s="130">
        <v>4001</v>
      </c>
      <c r="B698" s="130">
        <v>30</v>
      </c>
      <c r="C698" s="130" t="s">
        <v>2322</v>
      </c>
      <c r="D698">
        <v>6796</v>
      </c>
      <c r="E698" s="130">
        <v>33193996</v>
      </c>
      <c r="F698" t="s">
        <v>87</v>
      </c>
      <c r="G698">
        <v>78</v>
      </c>
      <c r="H698" t="s">
        <v>8951</v>
      </c>
      <c r="I698" s="130">
        <v>3</v>
      </c>
      <c r="J698" t="s">
        <v>2322</v>
      </c>
      <c r="K698" t="s">
        <v>95</v>
      </c>
      <c r="L698" t="s">
        <v>111</v>
      </c>
      <c r="M698" t="s">
        <v>103</v>
      </c>
      <c r="N698" t="s">
        <v>98</v>
      </c>
      <c r="O698" t="s">
        <v>1345</v>
      </c>
    </row>
    <row r="699" spans="1:15" x14ac:dyDescent="0.3">
      <c r="A699" s="130">
        <v>4005</v>
      </c>
      <c r="B699" s="130">
        <v>18</v>
      </c>
      <c r="C699" s="130" t="s">
        <v>2323</v>
      </c>
      <c r="D699">
        <v>6805</v>
      </c>
      <c r="E699" s="130">
        <v>3887613</v>
      </c>
      <c r="F699" t="s">
        <v>87</v>
      </c>
      <c r="G699">
        <v>78</v>
      </c>
      <c r="H699" t="s">
        <v>8952</v>
      </c>
      <c r="I699" s="130">
        <v>10</v>
      </c>
      <c r="J699" t="s">
        <v>2323</v>
      </c>
      <c r="K699" t="s">
        <v>108</v>
      </c>
      <c r="L699" t="s">
        <v>127</v>
      </c>
      <c r="M699" t="s">
        <v>112</v>
      </c>
      <c r="N699" t="s">
        <v>118</v>
      </c>
      <c r="O699" t="s">
        <v>116</v>
      </c>
    </row>
    <row r="700" spans="1:15" x14ac:dyDescent="0.3">
      <c r="A700" s="130">
        <v>4009</v>
      </c>
      <c r="B700" s="130">
        <v>30</v>
      </c>
      <c r="C700" s="130" t="s">
        <v>2324</v>
      </c>
      <c r="D700">
        <v>6810</v>
      </c>
      <c r="E700" s="130">
        <v>33000167</v>
      </c>
      <c r="F700" t="s">
        <v>87</v>
      </c>
      <c r="G700">
        <v>78</v>
      </c>
      <c r="H700" t="s">
        <v>8953</v>
      </c>
      <c r="I700" s="131">
        <v>24</v>
      </c>
      <c r="J700" t="s">
        <v>2324</v>
      </c>
      <c r="K700" t="s">
        <v>95</v>
      </c>
      <c r="L700" t="s">
        <v>102</v>
      </c>
      <c r="M700" t="s">
        <v>103</v>
      </c>
      <c r="N700" t="s">
        <v>114</v>
      </c>
      <c r="O700" t="s">
        <v>1345</v>
      </c>
    </row>
    <row r="701" spans="1:15" x14ac:dyDescent="0.3">
      <c r="A701" s="130">
        <v>4010</v>
      </c>
      <c r="B701" s="130">
        <v>18</v>
      </c>
      <c r="C701" s="130" t="s">
        <v>2325</v>
      </c>
      <c r="D701">
        <v>6812</v>
      </c>
      <c r="E701" s="131">
        <v>22929707</v>
      </c>
      <c r="F701" t="s">
        <v>87</v>
      </c>
      <c r="G701">
        <v>78</v>
      </c>
      <c r="H701" t="s">
        <v>8951</v>
      </c>
      <c r="I701" s="130">
        <v>10</v>
      </c>
      <c r="J701" t="s">
        <v>2325</v>
      </c>
      <c r="K701" t="s">
        <v>108</v>
      </c>
      <c r="L701" t="s">
        <v>127</v>
      </c>
      <c r="M701" t="s">
        <v>112</v>
      </c>
      <c r="N701" t="s">
        <v>118</v>
      </c>
      <c r="O701" t="s">
        <v>1345</v>
      </c>
    </row>
    <row r="702" spans="1:15" x14ac:dyDescent="0.3">
      <c r="A702" s="130">
        <v>4020</v>
      </c>
      <c r="B702" s="130">
        <v>18</v>
      </c>
      <c r="C702" s="130" t="s">
        <v>2326</v>
      </c>
      <c r="D702">
        <v>6824</v>
      </c>
      <c r="E702" s="131">
        <v>37716258</v>
      </c>
      <c r="F702" t="s">
        <v>87</v>
      </c>
      <c r="G702">
        <v>78</v>
      </c>
      <c r="H702" t="s">
        <v>8952</v>
      </c>
      <c r="I702" s="130">
        <v>10</v>
      </c>
      <c r="J702" t="s">
        <v>2326</v>
      </c>
      <c r="K702" t="s">
        <v>108</v>
      </c>
      <c r="L702" t="s">
        <v>127</v>
      </c>
      <c r="M702" t="s">
        <v>112</v>
      </c>
      <c r="N702" t="s">
        <v>98</v>
      </c>
      <c r="O702" t="s">
        <v>1345</v>
      </c>
    </row>
    <row r="703" spans="1:15" x14ac:dyDescent="0.3">
      <c r="A703" s="130">
        <v>4028</v>
      </c>
      <c r="B703" s="130">
        <v>2</v>
      </c>
      <c r="C703" s="130" t="s">
        <v>2327</v>
      </c>
      <c r="D703">
        <v>6835</v>
      </c>
      <c r="E703" s="130">
        <v>29658922</v>
      </c>
      <c r="F703" t="s">
        <v>87</v>
      </c>
      <c r="G703">
        <v>358</v>
      </c>
      <c r="H703" t="s">
        <v>8953</v>
      </c>
      <c r="I703" s="131">
        <v>10</v>
      </c>
      <c r="J703" t="s">
        <v>2327</v>
      </c>
      <c r="K703" t="s">
        <v>108</v>
      </c>
      <c r="L703" t="s">
        <v>105</v>
      </c>
      <c r="M703" t="s">
        <v>1261</v>
      </c>
      <c r="N703" t="s">
        <v>98</v>
      </c>
      <c r="O703" t="s">
        <v>1345</v>
      </c>
    </row>
    <row r="704" spans="1:15" x14ac:dyDescent="0.3">
      <c r="A704" s="130">
        <v>4035</v>
      </c>
      <c r="B704" s="130">
        <v>30</v>
      </c>
      <c r="C704" s="130" t="s">
        <v>2328</v>
      </c>
      <c r="D704">
        <v>6844</v>
      </c>
      <c r="E704" s="130">
        <v>34692778</v>
      </c>
      <c r="F704" t="s">
        <v>87</v>
      </c>
      <c r="G704">
        <v>77</v>
      </c>
      <c r="H704" t="s">
        <v>8951</v>
      </c>
      <c r="I704" s="130">
        <v>18</v>
      </c>
      <c r="J704" t="s">
        <v>2328</v>
      </c>
      <c r="K704" t="s">
        <v>95</v>
      </c>
      <c r="L704" t="s">
        <v>1255</v>
      </c>
      <c r="M704" t="s">
        <v>103</v>
      </c>
      <c r="N704" t="s">
        <v>98</v>
      </c>
      <c r="O704" t="s">
        <v>1345</v>
      </c>
    </row>
    <row r="705" spans="1:15" x14ac:dyDescent="0.3">
      <c r="A705" s="130">
        <v>4042</v>
      </c>
      <c r="B705" s="130">
        <v>30</v>
      </c>
      <c r="C705" s="130" t="s">
        <v>2329</v>
      </c>
      <c r="D705">
        <v>6850</v>
      </c>
      <c r="E705" s="130">
        <v>33000167</v>
      </c>
      <c r="F705" t="s">
        <v>87</v>
      </c>
      <c r="G705">
        <v>78</v>
      </c>
      <c r="H705" t="s">
        <v>8952</v>
      </c>
      <c r="I705" s="130">
        <v>24</v>
      </c>
      <c r="J705" t="s">
        <v>2329</v>
      </c>
      <c r="K705" t="s">
        <v>95</v>
      </c>
      <c r="L705" t="s">
        <v>102</v>
      </c>
      <c r="M705" t="s">
        <v>103</v>
      </c>
      <c r="N705" t="s">
        <v>114</v>
      </c>
      <c r="O705" t="s">
        <v>1345</v>
      </c>
    </row>
    <row r="706" spans="1:15" x14ac:dyDescent="0.3">
      <c r="A706" s="130">
        <v>4045</v>
      </c>
      <c r="B706" s="130">
        <v>18</v>
      </c>
      <c r="C706" s="130" t="s">
        <v>2330</v>
      </c>
      <c r="D706">
        <v>6859</v>
      </c>
      <c r="E706" s="130">
        <v>90309405653</v>
      </c>
      <c r="F706" t="s">
        <v>87</v>
      </c>
      <c r="G706">
        <v>78</v>
      </c>
      <c r="H706" t="s">
        <v>8953</v>
      </c>
      <c r="I706" s="130">
        <v>3</v>
      </c>
      <c r="J706" t="s">
        <v>2330</v>
      </c>
      <c r="K706" t="s">
        <v>108</v>
      </c>
      <c r="L706" t="s">
        <v>193</v>
      </c>
      <c r="M706" t="s">
        <v>112</v>
      </c>
      <c r="N706" t="s">
        <v>110</v>
      </c>
      <c r="O706" t="s">
        <v>116</v>
      </c>
    </row>
    <row r="707" spans="1:15" x14ac:dyDescent="0.3">
      <c r="A707" s="130">
        <v>4057</v>
      </c>
      <c r="B707" s="130">
        <v>18</v>
      </c>
      <c r="C707" s="130" t="s">
        <v>2331</v>
      </c>
      <c r="D707">
        <v>6871</v>
      </c>
      <c r="E707" s="131">
        <v>19216844</v>
      </c>
      <c r="F707" t="s">
        <v>87</v>
      </c>
      <c r="G707">
        <v>78</v>
      </c>
      <c r="H707" t="s">
        <v>8951</v>
      </c>
      <c r="I707" s="131">
        <v>19</v>
      </c>
      <c r="J707" t="s">
        <v>2331</v>
      </c>
      <c r="K707" t="s">
        <v>108</v>
      </c>
      <c r="L707" t="s">
        <v>146</v>
      </c>
      <c r="M707" t="s">
        <v>112</v>
      </c>
      <c r="N707" t="s">
        <v>169</v>
      </c>
      <c r="O707" t="s">
        <v>1345</v>
      </c>
    </row>
    <row r="708" spans="1:15" x14ac:dyDescent="0.3">
      <c r="A708" s="130">
        <v>4066</v>
      </c>
      <c r="B708" s="130">
        <v>30</v>
      </c>
      <c r="C708" s="130" t="s">
        <v>2332</v>
      </c>
      <c r="D708">
        <v>6477</v>
      </c>
      <c r="E708" s="130">
        <v>8217851</v>
      </c>
      <c r="F708" t="s">
        <v>87</v>
      </c>
      <c r="G708">
        <v>78</v>
      </c>
      <c r="H708" t="s">
        <v>8952</v>
      </c>
      <c r="I708" s="131">
        <v>18</v>
      </c>
      <c r="J708" t="s">
        <v>2332</v>
      </c>
      <c r="K708" t="s">
        <v>95</v>
      </c>
      <c r="L708" t="s">
        <v>123</v>
      </c>
      <c r="M708" t="s">
        <v>103</v>
      </c>
      <c r="N708" t="s">
        <v>98</v>
      </c>
      <c r="O708" t="s">
        <v>116</v>
      </c>
    </row>
    <row r="709" spans="1:15" x14ac:dyDescent="0.3">
      <c r="A709" s="130">
        <v>4085</v>
      </c>
      <c r="B709" s="130">
        <v>18</v>
      </c>
      <c r="C709" s="130" t="s">
        <v>2333</v>
      </c>
      <c r="D709">
        <v>6915</v>
      </c>
      <c r="E709" s="131">
        <v>19739564</v>
      </c>
      <c r="F709" t="s">
        <v>87</v>
      </c>
      <c r="G709">
        <v>78</v>
      </c>
      <c r="H709" t="s">
        <v>8953</v>
      </c>
      <c r="I709" s="131">
        <v>9</v>
      </c>
      <c r="J709" t="s">
        <v>2333</v>
      </c>
      <c r="K709" t="s">
        <v>95</v>
      </c>
      <c r="L709" t="s">
        <v>96</v>
      </c>
      <c r="M709" t="s">
        <v>112</v>
      </c>
      <c r="N709" t="s">
        <v>98</v>
      </c>
      <c r="O709" t="s">
        <v>1345</v>
      </c>
    </row>
    <row r="710" spans="1:15" x14ac:dyDescent="0.3">
      <c r="A710" s="130">
        <v>4092</v>
      </c>
      <c r="B710" s="130">
        <v>18</v>
      </c>
      <c r="C710" s="130" t="s">
        <v>2334</v>
      </c>
      <c r="D710">
        <v>6923</v>
      </c>
      <c r="E710" s="130">
        <v>63827026</v>
      </c>
      <c r="F710" t="s">
        <v>87</v>
      </c>
      <c r="G710">
        <v>78</v>
      </c>
      <c r="H710" t="s">
        <v>8951</v>
      </c>
      <c r="I710" s="130">
        <v>9</v>
      </c>
      <c r="J710" t="s">
        <v>2334</v>
      </c>
      <c r="K710" t="s">
        <v>108</v>
      </c>
      <c r="L710" t="s">
        <v>163</v>
      </c>
      <c r="M710" t="s">
        <v>112</v>
      </c>
      <c r="N710" t="s">
        <v>101</v>
      </c>
      <c r="O710" t="s">
        <v>1345</v>
      </c>
    </row>
    <row r="711" spans="1:15" x14ac:dyDescent="0.3">
      <c r="A711" s="130">
        <v>4099</v>
      </c>
      <c r="B711" s="130">
        <v>18</v>
      </c>
      <c r="C711" s="130" t="s">
        <v>2335</v>
      </c>
      <c r="D711">
        <v>6933</v>
      </c>
      <c r="E711" s="130">
        <v>414608</v>
      </c>
      <c r="F711" t="s">
        <v>87</v>
      </c>
      <c r="G711">
        <v>78</v>
      </c>
      <c r="H711" t="s">
        <v>8952</v>
      </c>
      <c r="I711" s="130">
        <v>19</v>
      </c>
      <c r="J711" t="s">
        <v>2335</v>
      </c>
      <c r="K711" t="s">
        <v>108</v>
      </c>
      <c r="L711" t="s">
        <v>146</v>
      </c>
      <c r="M711" t="s">
        <v>112</v>
      </c>
      <c r="N711" t="s">
        <v>98</v>
      </c>
      <c r="O711" t="s">
        <v>1345</v>
      </c>
    </row>
    <row r="712" spans="1:15" x14ac:dyDescent="0.3">
      <c r="A712" s="130">
        <v>4103</v>
      </c>
      <c r="B712" s="130">
        <v>18</v>
      </c>
      <c r="C712" s="130" t="s">
        <v>2336</v>
      </c>
      <c r="D712">
        <v>6937</v>
      </c>
      <c r="E712" s="131">
        <v>15002381</v>
      </c>
      <c r="F712" t="s">
        <v>87</v>
      </c>
      <c r="G712">
        <v>78</v>
      </c>
      <c r="H712" t="s">
        <v>8953</v>
      </c>
      <c r="I712" s="131">
        <v>37</v>
      </c>
      <c r="J712" t="s">
        <v>2336</v>
      </c>
      <c r="K712" t="s">
        <v>95</v>
      </c>
      <c r="L712" t="s">
        <v>138</v>
      </c>
      <c r="M712" t="s">
        <v>112</v>
      </c>
      <c r="N712" t="s">
        <v>98</v>
      </c>
      <c r="O712" t="s">
        <v>1345</v>
      </c>
    </row>
    <row r="713" spans="1:15" x14ac:dyDescent="0.3">
      <c r="A713" s="130">
        <v>4112</v>
      </c>
      <c r="B713" s="130">
        <v>60</v>
      </c>
      <c r="C713" s="130" t="s">
        <v>2337</v>
      </c>
      <c r="D713">
        <v>6502</v>
      </c>
      <c r="E713" s="130">
        <v>33592510</v>
      </c>
      <c r="F713" t="s">
        <v>87</v>
      </c>
      <c r="G713">
        <v>77</v>
      </c>
      <c r="H713" t="s">
        <v>8951</v>
      </c>
      <c r="I713" s="131">
        <v>10</v>
      </c>
      <c r="J713" t="s">
        <v>2337</v>
      </c>
      <c r="K713" t="s">
        <v>95</v>
      </c>
      <c r="L713" t="s">
        <v>117</v>
      </c>
      <c r="M713" t="s">
        <v>97</v>
      </c>
      <c r="N713" t="s">
        <v>118</v>
      </c>
      <c r="O713" t="s">
        <v>1345</v>
      </c>
    </row>
    <row r="714" spans="1:15" x14ac:dyDescent="0.3">
      <c r="A714" s="130">
        <v>4116</v>
      </c>
      <c r="B714" s="130">
        <v>-1</v>
      </c>
      <c r="C714" s="130" t="s">
        <v>2338</v>
      </c>
      <c r="D714">
        <v>6960</v>
      </c>
      <c r="E714" s="130">
        <v>42553111</v>
      </c>
      <c r="F714" t="s">
        <v>87</v>
      </c>
      <c r="G714">
        <v>78</v>
      </c>
      <c r="H714" t="s">
        <v>8952</v>
      </c>
      <c r="I714" s="130">
        <v>18</v>
      </c>
      <c r="J714" t="s">
        <v>2338</v>
      </c>
      <c r="K714" t="s">
        <v>108</v>
      </c>
      <c r="L714" t="s">
        <v>123</v>
      </c>
      <c r="M714" t="s">
        <v>174</v>
      </c>
      <c r="N714" t="s">
        <v>101</v>
      </c>
      <c r="O714" t="s">
        <v>1345</v>
      </c>
    </row>
    <row r="715" spans="1:15" x14ac:dyDescent="0.3">
      <c r="A715" s="130">
        <v>4121</v>
      </c>
      <c r="B715" s="130">
        <v>18</v>
      </c>
      <c r="C715" s="130" t="s">
        <v>2339</v>
      </c>
      <c r="D715">
        <v>6970</v>
      </c>
      <c r="E715" s="130">
        <v>3646245</v>
      </c>
      <c r="F715" t="s">
        <v>87</v>
      </c>
      <c r="G715">
        <v>78</v>
      </c>
      <c r="H715" t="s">
        <v>8953</v>
      </c>
      <c r="I715" s="130">
        <v>19</v>
      </c>
      <c r="J715" t="s">
        <v>2339</v>
      </c>
      <c r="K715" t="s">
        <v>108</v>
      </c>
      <c r="L715" t="s">
        <v>146</v>
      </c>
      <c r="M715" t="s">
        <v>112</v>
      </c>
      <c r="N715" t="s">
        <v>98</v>
      </c>
      <c r="O715" t="s">
        <v>1345</v>
      </c>
    </row>
    <row r="716" spans="1:15" x14ac:dyDescent="0.3">
      <c r="A716" s="130">
        <v>4127</v>
      </c>
      <c r="B716" s="130">
        <v>30</v>
      </c>
      <c r="C716" s="130" t="s">
        <v>2340</v>
      </c>
      <c r="D716">
        <v>6979</v>
      </c>
      <c r="E716" s="130">
        <v>61584223</v>
      </c>
      <c r="F716" t="s">
        <v>87</v>
      </c>
      <c r="G716">
        <v>358</v>
      </c>
      <c r="H716" t="s">
        <v>8951</v>
      </c>
      <c r="I716" s="131">
        <v>3</v>
      </c>
      <c r="J716" t="s">
        <v>2340</v>
      </c>
      <c r="K716" t="s">
        <v>95</v>
      </c>
      <c r="L716" t="s">
        <v>111</v>
      </c>
      <c r="M716" t="s">
        <v>103</v>
      </c>
      <c r="N716" t="s">
        <v>98</v>
      </c>
      <c r="O716" t="s">
        <v>1345</v>
      </c>
    </row>
    <row r="717" spans="1:15" x14ac:dyDescent="0.3">
      <c r="A717" s="130">
        <v>4148</v>
      </c>
      <c r="B717" s="130">
        <v>18</v>
      </c>
      <c r="C717" s="130" t="s">
        <v>2341</v>
      </c>
      <c r="D717">
        <v>6941</v>
      </c>
      <c r="E717" s="131">
        <v>37739435</v>
      </c>
      <c r="F717" t="s">
        <v>87</v>
      </c>
      <c r="G717">
        <v>78</v>
      </c>
      <c r="H717" t="s">
        <v>8952</v>
      </c>
      <c r="I717" s="131">
        <v>9</v>
      </c>
      <c r="J717" t="s">
        <v>2341</v>
      </c>
      <c r="K717" t="s">
        <v>108</v>
      </c>
      <c r="L717" t="s">
        <v>125</v>
      </c>
      <c r="M717" t="s">
        <v>112</v>
      </c>
      <c r="N717" t="s">
        <v>114</v>
      </c>
      <c r="O717" t="s">
        <v>1345</v>
      </c>
    </row>
    <row r="718" spans="1:15" x14ac:dyDescent="0.3">
      <c r="A718" s="130">
        <v>4149</v>
      </c>
      <c r="B718" s="130">
        <v>30</v>
      </c>
      <c r="C718" s="130" t="s">
        <v>2342</v>
      </c>
      <c r="D718">
        <v>7009</v>
      </c>
      <c r="E718" s="131">
        <v>33000167</v>
      </c>
      <c r="F718" t="s">
        <v>87</v>
      </c>
      <c r="G718">
        <v>78</v>
      </c>
      <c r="H718" t="s">
        <v>8953</v>
      </c>
      <c r="I718" s="130">
        <v>24</v>
      </c>
      <c r="J718" t="s">
        <v>2342</v>
      </c>
      <c r="K718" t="s">
        <v>95</v>
      </c>
      <c r="L718" t="s">
        <v>102</v>
      </c>
      <c r="M718" t="s">
        <v>103</v>
      </c>
      <c r="N718" t="s">
        <v>114</v>
      </c>
      <c r="O718" t="s">
        <v>116</v>
      </c>
    </row>
    <row r="719" spans="1:15" x14ac:dyDescent="0.3">
      <c r="A719" s="130">
        <v>4162</v>
      </c>
      <c r="B719" s="130">
        <v>18</v>
      </c>
      <c r="C719" s="130" t="s">
        <v>2343</v>
      </c>
      <c r="D719">
        <v>7027</v>
      </c>
      <c r="E719" s="130">
        <v>44124899</v>
      </c>
      <c r="F719" t="s">
        <v>87</v>
      </c>
      <c r="G719">
        <v>78</v>
      </c>
      <c r="H719" t="s">
        <v>8951</v>
      </c>
      <c r="I719" s="130">
        <v>18</v>
      </c>
      <c r="J719" t="s">
        <v>2343</v>
      </c>
      <c r="K719" t="s">
        <v>108</v>
      </c>
      <c r="L719" t="s">
        <v>123</v>
      </c>
      <c r="M719" t="s">
        <v>112</v>
      </c>
      <c r="N719" t="s">
        <v>169</v>
      </c>
      <c r="O719" t="s">
        <v>1345</v>
      </c>
    </row>
    <row r="720" spans="1:15" x14ac:dyDescent="0.3">
      <c r="A720" s="130">
        <v>4164</v>
      </c>
      <c r="B720" s="130">
        <v>18</v>
      </c>
      <c r="C720" s="130" t="s">
        <v>2344</v>
      </c>
      <c r="D720">
        <v>7029</v>
      </c>
      <c r="E720" s="130">
        <v>16594889</v>
      </c>
      <c r="F720" t="s">
        <v>87</v>
      </c>
      <c r="G720">
        <v>78</v>
      </c>
      <c r="H720" t="s">
        <v>8952</v>
      </c>
      <c r="I720" s="130">
        <v>9</v>
      </c>
      <c r="J720" t="s">
        <v>2344</v>
      </c>
      <c r="K720" t="s">
        <v>95</v>
      </c>
      <c r="L720" t="s">
        <v>111</v>
      </c>
      <c r="M720" t="s">
        <v>112</v>
      </c>
      <c r="N720" t="s">
        <v>98</v>
      </c>
      <c r="O720" t="s">
        <v>116</v>
      </c>
    </row>
    <row r="721" spans="1:15" x14ac:dyDescent="0.3">
      <c r="A721" s="130">
        <v>4167</v>
      </c>
      <c r="B721" s="130">
        <v>30</v>
      </c>
      <c r="C721" s="130" t="s">
        <v>2345</v>
      </c>
      <c r="D721">
        <v>7031</v>
      </c>
      <c r="E721" s="131">
        <v>16724068</v>
      </c>
      <c r="F721" t="s">
        <v>87</v>
      </c>
      <c r="G721">
        <v>78</v>
      </c>
      <c r="H721" t="s">
        <v>8953</v>
      </c>
      <c r="I721" s="130">
        <v>19</v>
      </c>
      <c r="J721" t="s">
        <v>2345</v>
      </c>
      <c r="K721" t="s">
        <v>108</v>
      </c>
      <c r="L721" t="s">
        <v>146</v>
      </c>
      <c r="M721" t="s">
        <v>103</v>
      </c>
      <c r="N721" t="s">
        <v>114</v>
      </c>
      <c r="O721" t="s">
        <v>1345</v>
      </c>
    </row>
    <row r="722" spans="1:15" x14ac:dyDescent="0.3">
      <c r="A722" s="130">
        <v>4169</v>
      </c>
      <c r="B722" s="130">
        <v>30</v>
      </c>
      <c r="C722" s="130" t="s">
        <v>2346</v>
      </c>
      <c r="D722">
        <v>7035</v>
      </c>
      <c r="E722" s="131">
        <v>13548038</v>
      </c>
      <c r="F722" t="s">
        <v>87</v>
      </c>
      <c r="G722">
        <v>78</v>
      </c>
      <c r="H722" t="s">
        <v>8951</v>
      </c>
      <c r="I722" s="130">
        <v>9</v>
      </c>
      <c r="J722" t="s">
        <v>2346</v>
      </c>
      <c r="K722" t="s">
        <v>95</v>
      </c>
      <c r="L722" t="s">
        <v>125</v>
      </c>
      <c r="M722" t="s">
        <v>103</v>
      </c>
      <c r="N722" t="s">
        <v>118</v>
      </c>
      <c r="O722" t="s">
        <v>1345</v>
      </c>
    </row>
    <row r="723" spans="1:15" x14ac:dyDescent="0.3">
      <c r="A723" s="130">
        <v>4170</v>
      </c>
      <c r="B723" s="130">
        <v>30</v>
      </c>
      <c r="C723" s="130" t="s">
        <v>2347</v>
      </c>
      <c r="D723">
        <v>7036</v>
      </c>
      <c r="E723" s="130">
        <v>27821761</v>
      </c>
      <c r="F723" t="s">
        <v>87</v>
      </c>
      <c r="G723">
        <v>78</v>
      </c>
      <c r="H723" t="s">
        <v>8952</v>
      </c>
      <c r="I723" s="131">
        <v>9</v>
      </c>
      <c r="J723" t="s">
        <v>2347</v>
      </c>
      <c r="K723" t="s">
        <v>95</v>
      </c>
      <c r="L723" t="s">
        <v>125</v>
      </c>
      <c r="M723" t="s">
        <v>103</v>
      </c>
      <c r="N723" t="s">
        <v>124</v>
      </c>
      <c r="O723" t="s">
        <v>1345</v>
      </c>
    </row>
    <row r="724" spans="1:15" x14ac:dyDescent="0.3">
      <c r="A724" s="130">
        <v>4174</v>
      </c>
      <c r="B724" s="130">
        <v>0</v>
      </c>
      <c r="C724" s="130" t="s">
        <v>2348</v>
      </c>
      <c r="D724">
        <v>7040</v>
      </c>
      <c r="E724" s="131">
        <v>20675025</v>
      </c>
      <c r="F724" t="s">
        <v>87</v>
      </c>
      <c r="G724">
        <v>78</v>
      </c>
      <c r="H724" t="s">
        <v>8953</v>
      </c>
      <c r="I724" s="130">
        <v>10</v>
      </c>
      <c r="J724" t="s">
        <v>2348</v>
      </c>
      <c r="K724" t="s">
        <v>95</v>
      </c>
      <c r="L724" t="s">
        <v>127</v>
      </c>
      <c r="M724" t="s">
        <v>100</v>
      </c>
      <c r="N724" t="s">
        <v>98</v>
      </c>
      <c r="O724" t="s">
        <v>1345</v>
      </c>
    </row>
    <row r="725" spans="1:15" x14ac:dyDescent="0.3">
      <c r="A725" s="130">
        <v>4179</v>
      </c>
      <c r="B725" s="130">
        <v>18</v>
      </c>
      <c r="C725" s="130" t="s">
        <v>2349</v>
      </c>
      <c r="D725">
        <v>7044</v>
      </c>
      <c r="E725" s="131">
        <v>4784802</v>
      </c>
      <c r="F725" t="s">
        <v>87</v>
      </c>
      <c r="G725">
        <v>78</v>
      </c>
      <c r="H725" t="s">
        <v>8951</v>
      </c>
      <c r="I725" s="130">
        <v>9</v>
      </c>
      <c r="J725" t="s">
        <v>2349</v>
      </c>
      <c r="K725" t="s">
        <v>108</v>
      </c>
      <c r="L725" t="s">
        <v>125</v>
      </c>
      <c r="M725" t="s">
        <v>112</v>
      </c>
      <c r="N725" t="s">
        <v>122</v>
      </c>
      <c r="O725" t="s">
        <v>1345</v>
      </c>
    </row>
    <row r="726" spans="1:15" x14ac:dyDescent="0.3">
      <c r="A726" s="130">
        <v>4180</v>
      </c>
      <c r="B726" s="130">
        <v>30</v>
      </c>
      <c r="C726" s="130" t="s">
        <v>2350</v>
      </c>
      <c r="D726">
        <v>7053</v>
      </c>
      <c r="E726" s="131">
        <v>8343492</v>
      </c>
      <c r="F726" t="s">
        <v>87</v>
      </c>
      <c r="G726">
        <v>77</v>
      </c>
      <c r="H726" t="s">
        <v>8952</v>
      </c>
      <c r="I726" s="131">
        <v>18</v>
      </c>
      <c r="J726" t="s">
        <v>2350</v>
      </c>
      <c r="K726" t="s">
        <v>95</v>
      </c>
      <c r="L726" t="s">
        <v>256</v>
      </c>
      <c r="M726" t="s">
        <v>103</v>
      </c>
      <c r="N726" t="s">
        <v>98</v>
      </c>
      <c r="O726" t="s">
        <v>116</v>
      </c>
    </row>
    <row r="727" spans="1:15" x14ac:dyDescent="0.3">
      <c r="A727" s="130">
        <v>4184</v>
      </c>
      <c r="B727" s="130">
        <v>18</v>
      </c>
      <c r="C727" s="130" t="s">
        <v>2351</v>
      </c>
      <c r="D727">
        <v>7052</v>
      </c>
      <c r="E727" s="131">
        <v>21792837</v>
      </c>
      <c r="F727" t="s">
        <v>87</v>
      </c>
      <c r="G727">
        <v>78</v>
      </c>
      <c r="H727" t="s">
        <v>8953</v>
      </c>
      <c r="I727" s="131">
        <v>9</v>
      </c>
      <c r="J727" t="s">
        <v>2351</v>
      </c>
      <c r="K727" t="s">
        <v>108</v>
      </c>
      <c r="L727" t="s">
        <v>125</v>
      </c>
      <c r="M727" t="s">
        <v>112</v>
      </c>
      <c r="N727" t="s">
        <v>101</v>
      </c>
      <c r="O727" t="s">
        <v>1345</v>
      </c>
    </row>
    <row r="728" spans="1:15" x14ac:dyDescent="0.3">
      <c r="A728" s="130">
        <v>4185</v>
      </c>
      <c r="B728" s="130">
        <v>18</v>
      </c>
      <c r="C728" s="130" t="s">
        <v>2352</v>
      </c>
      <c r="D728">
        <v>7058</v>
      </c>
      <c r="E728" s="130">
        <v>10759717</v>
      </c>
      <c r="F728" t="s">
        <v>87</v>
      </c>
      <c r="G728">
        <v>78</v>
      </c>
      <c r="H728" t="s">
        <v>8951</v>
      </c>
      <c r="I728" s="131">
        <v>10</v>
      </c>
      <c r="J728" t="s">
        <v>2352</v>
      </c>
      <c r="K728" t="s">
        <v>108</v>
      </c>
      <c r="L728" t="s">
        <v>127</v>
      </c>
      <c r="M728" t="s">
        <v>112</v>
      </c>
      <c r="N728" t="s">
        <v>98</v>
      </c>
      <c r="O728" t="s">
        <v>1345</v>
      </c>
    </row>
    <row r="729" spans="1:15" x14ac:dyDescent="0.3">
      <c r="A729" s="130">
        <v>4187</v>
      </c>
      <c r="B729" s="130">
        <v>30</v>
      </c>
      <c r="C729" s="130" t="s">
        <v>2353</v>
      </c>
      <c r="D729">
        <v>7060</v>
      </c>
      <c r="E729" s="130">
        <v>61584223</v>
      </c>
      <c r="F729" t="s">
        <v>87</v>
      </c>
      <c r="G729">
        <v>358</v>
      </c>
      <c r="H729" t="s">
        <v>8952</v>
      </c>
      <c r="I729" s="130">
        <v>3</v>
      </c>
      <c r="J729" t="s">
        <v>2353</v>
      </c>
      <c r="K729" t="s">
        <v>95</v>
      </c>
      <c r="L729" t="s">
        <v>111</v>
      </c>
      <c r="M729" t="s">
        <v>103</v>
      </c>
      <c r="N729" t="s">
        <v>98</v>
      </c>
      <c r="O729" t="s">
        <v>1345</v>
      </c>
    </row>
    <row r="730" spans="1:15" x14ac:dyDescent="0.3">
      <c r="A730" s="130">
        <v>4188</v>
      </c>
      <c r="B730" s="130">
        <v>18</v>
      </c>
      <c r="C730" s="130" t="s">
        <v>2354</v>
      </c>
      <c r="D730">
        <v>7062</v>
      </c>
      <c r="E730" s="130">
        <v>8387643</v>
      </c>
      <c r="F730" t="s">
        <v>87</v>
      </c>
      <c r="G730">
        <v>78</v>
      </c>
      <c r="H730" t="s">
        <v>8953</v>
      </c>
      <c r="I730" s="131">
        <v>10</v>
      </c>
      <c r="J730" t="s">
        <v>2354</v>
      </c>
      <c r="K730" t="s">
        <v>108</v>
      </c>
      <c r="L730" t="s">
        <v>127</v>
      </c>
      <c r="M730" t="s">
        <v>112</v>
      </c>
      <c r="N730" t="s">
        <v>98</v>
      </c>
      <c r="O730" t="s">
        <v>1345</v>
      </c>
    </row>
    <row r="731" spans="1:15" x14ac:dyDescent="0.3">
      <c r="A731" s="130">
        <v>4194</v>
      </c>
      <c r="B731" s="130">
        <v>30</v>
      </c>
      <c r="C731" s="130" t="s">
        <v>2355</v>
      </c>
      <c r="D731">
        <v>7072</v>
      </c>
      <c r="E731" s="130">
        <v>27821761</v>
      </c>
      <c r="F731" t="s">
        <v>87</v>
      </c>
      <c r="G731">
        <v>78</v>
      </c>
      <c r="H731" t="s">
        <v>8951</v>
      </c>
      <c r="I731" s="130">
        <v>9</v>
      </c>
      <c r="J731" t="s">
        <v>2355</v>
      </c>
      <c r="K731" t="s">
        <v>95</v>
      </c>
      <c r="L731" t="s">
        <v>125</v>
      </c>
      <c r="M731" t="s">
        <v>103</v>
      </c>
      <c r="N731" t="s">
        <v>124</v>
      </c>
      <c r="O731" t="s">
        <v>1345</v>
      </c>
    </row>
    <row r="732" spans="1:15" x14ac:dyDescent="0.3">
      <c r="A732" s="130">
        <v>4209</v>
      </c>
      <c r="B732" s="130">
        <v>-1</v>
      </c>
      <c r="C732" s="130" t="s">
        <v>2356</v>
      </c>
      <c r="D732">
        <v>7096</v>
      </c>
      <c r="E732" s="131">
        <v>3015977</v>
      </c>
      <c r="F732" t="s">
        <v>87</v>
      </c>
      <c r="G732">
        <v>78</v>
      </c>
      <c r="H732" t="s">
        <v>8952</v>
      </c>
      <c r="I732" s="131">
        <v>24</v>
      </c>
      <c r="J732" t="s">
        <v>2356</v>
      </c>
      <c r="K732" t="s">
        <v>108</v>
      </c>
      <c r="L732" t="s">
        <v>191</v>
      </c>
      <c r="M732" t="s">
        <v>174</v>
      </c>
      <c r="N732" t="s">
        <v>114</v>
      </c>
      <c r="O732" t="s">
        <v>1345</v>
      </c>
    </row>
    <row r="733" spans="1:15" x14ac:dyDescent="0.3">
      <c r="A733" s="130">
        <v>4217</v>
      </c>
      <c r="B733" s="130">
        <v>30</v>
      </c>
      <c r="C733" s="130" t="s">
        <v>2357</v>
      </c>
      <c r="D733">
        <v>7106</v>
      </c>
      <c r="E733" s="130">
        <v>27821761</v>
      </c>
      <c r="F733" t="s">
        <v>87</v>
      </c>
      <c r="G733">
        <v>78</v>
      </c>
      <c r="H733" t="s">
        <v>8953</v>
      </c>
      <c r="I733" s="130">
        <v>9</v>
      </c>
      <c r="J733" t="s">
        <v>2357</v>
      </c>
      <c r="K733" t="s">
        <v>95</v>
      </c>
      <c r="L733" t="s">
        <v>125</v>
      </c>
      <c r="M733" t="s">
        <v>103</v>
      </c>
      <c r="N733" t="s">
        <v>124</v>
      </c>
      <c r="O733" t="s">
        <v>1345</v>
      </c>
    </row>
    <row r="734" spans="1:15" x14ac:dyDescent="0.3">
      <c r="A734" s="130">
        <v>4221</v>
      </c>
      <c r="B734" s="130">
        <v>18</v>
      </c>
      <c r="C734" s="130" t="s">
        <v>2358</v>
      </c>
      <c r="D734">
        <v>7116</v>
      </c>
      <c r="E734" s="130">
        <v>27492351</v>
      </c>
      <c r="F734" t="s">
        <v>87</v>
      </c>
      <c r="G734">
        <v>78</v>
      </c>
      <c r="H734" t="s">
        <v>8951</v>
      </c>
      <c r="I734" s="130">
        <v>37</v>
      </c>
      <c r="J734" t="s">
        <v>2358</v>
      </c>
      <c r="K734" t="s">
        <v>108</v>
      </c>
      <c r="L734" t="s">
        <v>144</v>
      </c>
      <c r="M734" t="s">
        <v>112</v>
      </c>
      <c r="N734" t="s">
        <v>101</v>
      </c>
      <c r="O734" t="s">
        <v>1345</v>
      </c>
    </row>
    <row r="735" spans="1:15" x14ac:dyDescent="0.3">
      <c r="A735" s="130">
        <v>4231</v>
      </c>
      <c r="B735" s="130">
        <v>30</v>
      </c>
      <c r="C735" s="130" t="s">
        <v>2359</v>
      </c>
      <c r="D735">
        <v>7129</v>
      </c>
      <c r="E735" s="130">
        <v>17193590</v>
      </c>
      <c r="F735" t="s">
        <v>87</v>
      </c>
      <c r="G735">
        <v>358</v>
      </c>
      <c r="H735" t="s">
        <v>8952</v>
      </c>
      <c r="I735" s="130">
        <v>3</v>
      </c>
      <c r="J735" t="s">
        <v>2359</v>
      </c>
      <c r="K735" t="s">
        <v>95</v>
      </c>
      <c r="L735" t="s">
        <v>109</v>
      </c>
      <c r="M735" t="s">
        <v>103</v>
      </c>
      <c r="N735" t="s">
        <v>98</v>
      </c>
      <c r="O735" t="s">
        <v>1345</v>
      </c>
    </row>
    <row r="736" spans="1:15" x14ac:dyDescent="0.3">
      <c r="A736" s="130">
        <v>4239</v>
      </c>
      <c r="B736" s="130">
        <v>10</v>
      </c>
      <c r="C736" s="130" t="s">
        <v>2360</v>
      </c>
      <c r="D736">
        <v>7144</v>
      </c>
      <c r="E736" s="130">
        <v>2973476</v>
      </c>
      <c r="F736" t="s">
        <v>87</v>
      </c>
      <c r="G736">
        <v>78</v>
      </c>
      <c r="H736" t="s">
        <v>8953</v>
      </c>
      <c r="I736" s="131">
        <v>3</v>
      </c>
      <c r="J736" t="s">
        <v>2360</v>
      </c>
      <c r="K736" t="s">
        <v>108</v>
      </c>
      <c r="L736" t="s">
        <v>111</v>
      </c>
      <c r="M736" t="s">
        <v>133</v>
      </c>
      <c r="N736" t="s">
        <v>98</v>
      </c>
      <c r="O736" t="s">
        <v>1345</v>
      </c>
    </row>
    <row r="737" spans="1:15" x14ac:dyDescent="0.3">
      <c r="A737" s="130">
        <v>4240</v>
      </c>
      <c r="B737" s="130">
        <v>30</v>
      </c>
      <c r="C737" s="130" t="s">
        <v>2361</v>
      </c>
      <c r="D737">
        <v>7145</v>
      </c>
      <c r="E737" s="130">
        <v>7101952</v>
      </c>
      <c r="F737" t="s">
        <v>87</v>
      </c>
      <c r="G737">
        <v>78</v>
      </c>
      <c r="H737" t="s">
        <v>8951</v>
      </c>
      <c r="I737" s="130">
        <v>18</v>
      </c>
      <c r="J737" t="s">
        <v>2361</v>
      </c>
      <c r="K737" t="s">
        <v>108</v>
      </c>
      <c r="L737" t="s">
        <v>123</v>
      </c>
      <c r="M737" t="s">
        <v>103</v>
      </c>
      <c r="N737" t="s">
        <v>98</v>
      </c>
      <c r="O737" t="s">
        <v>1345</v>
      </c>
    </row>
    <row r="738" spans="1:15" x14ac:dyDescent="0.3">
      <c r="A738" s="130">
        <v>4243</v>
      </c>
      <c r="B738" s="130">
        <v>30</v>
      </c>
      <c r="C738" s="130" t="s">
        <v>2362</v>
      </c>
      <c r="D738">
        <v>7140</v>
      </c>
      <c r="E738" s="130">
        <v>82502196</v>
      </c>
      <c r="F738" t="s">
        <v>87</v>
      </c>
      <c r="G738">
        <v>78</v>
      </c>
      <c r="H738" t="s">
        <v>8952</v>
      </c>
      <c r="I738" s="130">
        <v>10</v>
      </c>
      <c r="J738" t="s">
        <v>2362</v>
      </c>
      <c r="K738" t="s">
        <v>95</v>
      </c>
      <c r="L738" t="s">
        <v>127</v>
      </c>
      <c r="M738" t="s">
        <v>103</v>
      </c>
      <c r="N738" t="s">
        <v>118</v>
      </c>
      <c r="O738" t="s">
        <v>1345</v>
      </c>
    </row>
    <row r="739" spans="1:15" x14ac:dyDescent="0.3">
      <c r="A739" s="130">
        <v>4244</v>
      </c>
      <c r="B739" s="130">
        <v>18</v>
      </c>
      <c r="C739" s="130" t="s">
        <v>2363</v>
      </c>
      <c r="D739">
        <v>7148</v>
      </c>
      <c r="E739" s="130">
        <v>23347255</v>
      </c>
      <c r="F739" t="s">
        <v>87</v>
      </c>
      <c r="G739">
        <v>78</v>
      </c>
      <c r="H739" t="s">
        <v>8953</v>
      </c>
      <c r="I739" s="131">
        <v>3</v>
      </c>
      <c r="J739" t="s">
        <v>2363</v>
      </c>
      <c r="K739" t="s">
        <v>108</v>
      </c>
      <c r="L739" t="s">
        <v>111</v>
      </c>
      <c r="M739" t="s">
        <v>112</v>
      </c>
      <c r="N739" t="s">
        <v>98</v>
      </c>
      <c r="O739" t="s">
        <v>1345</v>
      </c>
    </row>
    <row r="740" spans="1:15" x14ac:dyDescent="0.3">
      <c r="A740" s="130">
        <v>4245</v>
      </c>
      <c r="B740" s="130">
        <v>30</v>
      </c>
      <c r="C740" s="130" t="s">
        <v>2364</v>
      </c>
      <c r="D740">
        <v>7149</v>
      </c>
      <c r="E740" s="130">
        <v>4060779</v>
      </c>
      <c r="F740" t="s">
        <v>87</v>
      </c>
      <c r="G740">
        <v>78</v>
      </c>
      <c r="H740" t="s">
        <v>8951</v>
      </c>
      <c r="I740" s="130">
        <v>18</v>
      </c>
      <c r="J740" t="s">
        <v>2364</v>
      </c>
      <c r="K740" t="s">
        <v>95</v>
      </c>
      <c r="L740" t="s">
        <v>123</v>
      </c>
      <c r="M740" t="s">
        <v>103</v>
      </c>
      <c r="N740" t="s">
        <v>98</v>
      </c>
      <c r="O740" t="s">
        <v>116</v>
      </c>
    </row>
    <row r="741" spans="1:15" x14ac:dyDescent="0.3">
      <c r="A741" s="130">
        <v>4246</v>
      </c>
      <c r="B741" s="130">
        <v>28</v>
      </c>
      <c r="C741" s="130" t="s">
        <v>2365</v>
      </c>
      <c r="D741">
        <v>7151</v>
      </c>
      <c r="E741" s="131">
        <v>439965</v>
      </c>
      <c r="F741" t="s">
        <v>87</v>
      </c>
      <c r="G741">
        <v>78</v>
      </c>
      <c r="H741" t="s">
        <v>8952</v>
      </c>
      <c r="I741" s="130">
        <v>3</v>
      </c>
      <c r="J741" t="s">
        <v>2365</v>
      </c>
      <c r="K741" t="s">
        <v>108</v>
      </c>
      <c r="L741" t="s">
        <v>111</v>
      </c>
      <c r="M741" t="s">
        <v>130</v>
      </c>
      <c r="N741" t="s">
        <v>98</v>
      </c>
      <c r="O741" t="s">
        <v>116</v>
      </c>
    </row>
    <row r="742" spans="1:15" x14ac:dyDescent="0.3">
      <c r="A742" s="130">
        <v>4251</v>
      </c>
      <c r="B742" s="130">
        <v>18</v>
      </c>
      <c r="C742" s="130" t="s">
        <v>2366</v>
      </c>
      <c r="D742">
        <v>7164</v>
      </c>
      <c r="E742" s="131">
        <v>28839121</v>
      </c>
      <c r="F742" t="s">
        <v>87</v>
      </c>
      <c r="G742">
        <v>78</v>
      </c>
      <c r="H742" t="s">
        <v>8953</v>
      </c>
      <c r="I742" s="131">
        <v>18</v>
      </c>
      <c r="J742" t="s">
        <v>2366</v>
      </c>
      <c r="K742" t="s">
        <v>108</v>
      </c>
      <c r="L742" t="s">
        <v>123</v>
      </c>
      <c r="M742" t="s">
        <v>112</v>
      </c>
      <c r="N742" t="s">
        <v>114</v>
      </c>
      <c r="O742" t="s">
        <v>116</v>
      </c>
    </row>
    <row r="743" spans="1:15" x14ac:dyDescent="0.3">
      <c r="A743" s="130">
        <v>4264</v>
      </c>
      <c r="B743" s="130">
        <v>45</v>
      </c>
      <c r="C743" s="130" t="s">
        <v>2367</v>
      </c>
      <c r="D743">
        <v>7179</v>
      </c>
      <c r="E743" s="130">
        <v>60498706</v>
      </c>
      <c r="F743" t="s">
        <v>87</v>
      </c>
      <c r="G743">
        <v>78</v>
      </c>
      <c r="H743" t="s">
        <v>8951</v>
      </c>
      <c r="I743" s="131">
        <v>10</v>
      </c>
      <c r="J743" t="s">
        <v>2367</v>
      </c>
      <c r="K743" t="s">
        <v>95</v>
      </c>
      <c r="L743" t="s">
        <v>127</v>
      </c>
      <c r="M743" t="s">
        <v>106</v>
      </c>
      <c r="N743" t="s">
        <v>141</v>
      </c>
      <c r="O743" t="s">
        <v>1345</v>
      </c>
    </row>
    <row r="744" spans="1:15" x14ac:dyDescent="0.3">
      <c r="A744" s="130">
        <v>4265</v>
      </c>
      <c r="B744" s="130">
        <v>18</v>
      </c>
      <c r="C744" s="130" t="s">
        <v>2368</v>
      </c>
      <c r="D744">
        <v>7176</v>
      </c>
      <c r="E744" s="130">
        <v>42881356</v>
      </c>
      <c r="F744" t="s">
        <v>87</v>
      </c>
      <c r="G744">
        <v>78</v>
      </c>
      <c r="H744" t="s">
        <v>8952</v>
      </c>
      <c r="I744" s="130">
        <v>37</v>
      </c>
      <c r="J744" t="s">
        <v>2368</v>
      </c>
      <c r="K744" t="s">
        <v>108</v>
      </c>
      <c r="L744" t="s">
        <v>138</v>
      </c>
      <c r="M744" t="s">
        <v>112</v>
      </c>
      <c r="N744" t="s">
        <v>101</v>
      </c>
      <c r="O744" t="s">
        <v>1345</v>
      </c>
    </row>
    <row r="745" spans="1:15" x14ac:dyDescent="0.3">
      <c r="A745" s="130">
        <v>4273</v>
      </c>
      <c r="B745" s="130">
        <v>10</v>
      </c>
      <c r="C745" s="130" t="s">
        <v>2369</v>
      </c>
      <c r="D745">
        <v>7189</v>
      </c>
      <c r="E745" s="130">
        <v>18726947</v>
      </c>
      <c r="F745" t="s">
        <v>87</v>
      </c>
      <c r="G745">
        <v>78</v>
      </c>
      <c r="H745" t="s">
        <v>8953</v>
      </c>
      <c r="I745" s="130">
        <v>3</v>
      </c>
      <c r="J745" t="s">
        <v>2369</v>
      </c>
      <c r="K745" t="s">
        <v>108</v>
      </c>
      <c r="L745" t="s">
        <v>111</v>
      </c>
      <c r="M745" t="s">
        <v>133</v>
      </c>
      <c r="N745" t="s">
        <v>98</v>
      </c>
      <c r="O745" t="s">
        <v>1345</v>
      </c>
    </row>
    <row r="746" spans="1:15" x14ac:dyDescent="0.3">
      <c r="A746" s="130">
        <v>4275</v>
      </c>
      <c r="B746" s="131">
        <v>30</v>
      </c>
      <c r="C746" s="130" t="s">
        <v>2370</v>
      </c>
      <c r="D746">
        <v>7191</v>
      </c>
      <c r="E746" s="130">
        <v>15063096</v>
      </c>
      <c r="F746" t="s">
        <v>87</v>
      </c>
      <c r="G746">
        <v>78</v>
      </c>
      <c r="H746" t="s">
        <v>8951</v>
      </c>
      <c r="I746" s="130">
        <v>10</v>
      </c>
      <c r="J746" t="s">
        <v>2370</v>
      </c>
      <c r="K746" t="s">
        <v>95</v>
      </c>
      <c r="L746" t="s">
        <v>127</v>
      </c>
      <c r="M746" t="s">
        <v>103</v>
      </c>
      <c r="N746" t="s">
        <v>118</v>
      </c>
      <c r="O746" t="s">
        <v>1345</v>
      </c>
    </row>
    <row r="747" spans="1:15" x14ac:dyDescent="0.3">
      <c r="A747" s="130">
        <v>4276</v>
      </c>
      <c r="B747" s="130">
        <v>18</v>
      </c>
      <c r="C747" s="130" t="s">
        <v>2371</v>
      </c>
      <c r="D747">
        <v>7192</v>
      </c>
      <c r="E747" s="131">
        <v>21084632</v>
      </c>
      <c r="F747" t="s">
        <v>87</v>
      </c>
      <c r="G747">
        <v>78</v>
      </c>
      <c r="H747" t="s">
        <v>8952</v>
      </c>
      <c r="I747" s="131">
        <v>19</v>
      </c>
      <c r="J747" t="s">
        <v>2371</v>
      </c>
      <c r="K747" t="s">
        <v>95</v>
      </c>
      <c r="L747" t="s">
        <v>146</v>
      </c>
      <c r="M747" t="s">
        <v>112</v>
      </c>
      <c r="N747" t="s">
        <v>98</v>
      </c>
      <c r="O747" t="s">
        <v>1345</v>
      </c>
    </row>
    <row r="748" spans="1:15" x14ac:dyDescent="0.3">
      <c r="A748" s="130">
        <v>4287</v>
      </c>
      <c r="B748" s="130" t="s">
        <v>1358</v>
      </c>
      <c r="C748" s="130" t="s">
        <v>2372</v>
      </c>
      <c r="D748">
        <v>7208</v>
      </c>
      <c r="E748" s="130">
        <v>6965292</v>
      </c>
      <c r="F748" t="s">
        <v>87</v>
      </c>
      <c r="G748">
        <v>337</v>
      </c>
      <c r="H748" t="s">
        <v>8953</v>
      </c>
      <c r="I748" s="131">
        <v>24</v>
      </c>
      <c r="J748" t="s">
        <v>2372</v>
      </c>
      <c r="K748" t="s">
        <v>95</v>
      </c>
      <c r="L748" t="s">
        <v>144</v>
      </c>
      <c r="M748" t="s">
        <v>1358</v>
      </c>
      <c r="N748" t="s">
        <v>98</v>
      </c>
      <c r="O748" t="s">
        <v>1345</v>
      </c>
    </row>
    <row r="749" spans="1:15" x14ac:dyDescent="0.3">
      <c r="A749" s="130">
        <v>4290</v>
      </c>
      <c r="B749" s="130">
        <v>28</v>
      </c>
      <c r="C749" s="130" t="s">
        <v>2373</v>
      </c>
      <c r="D749">
        <v>7218</v>
      </c>
      <c r="E749" s="130">
        <v>36417724</v>
      </c>
      <c r="F749" t="s">
        <v>87</v>
      </c>
      <c r="G749">
        <v>78</v>
      </c>
      <c r="H749" t="s">
        <v>8951</v>
      </c>
      <c r="I749" s="130">
        <v>37</v>
      </c>
      <c r="J749" t="s">
        <v>2373</v>
      </c>
      <c r="K749" t="s">
        <v>95</v>
      </c>
      <c r="L749" t="s">
        <v>138</v>
      </c>
      <c r="M749" t="s">
        <v>130</v>
      </c>
      <c r="N749" t="s">
        <v>98</v>
      </c>
      <c r="O749" t="s">
        <v>1345</v>
      </c>
    </row>
    <row r="750" spans="1:15" x14ac:dyDescent="0.3">
      <c r="A750" s="130">
        <v>4302</v>
      </c>
      <c r="B750" s="130">
        <v>90</v>
      </c>
      <c r="C750" s="130" t="s">
        <v>2374</v>
      </c>
      <c r="D750">
        <v>7231</v>
      </c>
      <c r="E750" s="130">
        <v>35234509</v>
      </c>
      <c r="F750" t="s">
        <v>87</v>
      </c>
      <c r="G750">
        <v>78</v>
      </c>
      <c r="H750" t="s">
        <v>8952</v>
      </c>
      <c r="I750" s="130">
        <v>18</v>
      </c>
      <c r="J750" t="s">
        <v>2374</v>
      </c>
      <c r="K750" t="s">
        <v>95</v>
      </c>
      <c r="L750" t="s">
        <v>102</v>
      </c>
      <c r="M750" t="s">
        <v>170</v>
      </c>
      <c r="N750" t="s">
        <v>98</v>
      </c>
      <c r="O750" t="s">
        <v>116</v>
      </c>
    </row>
    <row r="751" spans="1:15" x14ac:dyDescent="0.3">
      <c r="A751" s="130">
        <v>4304</v>
      </c>
      <c r="B751" s="130">
        <v>-1</v>
      </c>
      <c r="C751" s="130" t="s">
        <v>2375</v>
      </c>
      <c r="D751">
        <v>6471</v>
      </c>
      <c r="E751" s="130">
        <v>3254082</v>
      </c>
      <c r="F751" t="s">
        <v>87</v>
      </c>
      <c r="G751">
        <v>78</v>
      </c>
      <c r="H751" t="s">
        <v>8953</v>
      </c>
      <c r="I751" s="131">
        <v>9</v>
      </c>
      <c r="J751" t="s">
        <v>2375</v>
      </c>
      <c r="K751" t="s">
        <v>108</v>
      </c>
      <c r="L751" t="s">
        <v>134</v>
      </c>
      <c r="M751" t="s">
        <v>174</v>
      </c>
      <c r="N751" t="s">
        <v>121</v>
      </c>
      <c r="O751" t="s">
        <v>1345</v>
      </c>
    </row>
    <row r="752" spans="1:15" x14ac:dyDescent="0.3">
      <c r="A752" s="130">
        <v>4310</v>
      </c>
      <c r="B752" s="130">
        <v>18</v>
      </c>
      <c r="C752" s="130" t="s">
        <v>2376</v>
      </c>
      <c r="D752">
        <v>7241</v>
      </c>
      <c r="E752" s="131">
        <v>30090575</v>
      </c>
      <c r="F752" t="s">
        <v>87</v>
      </c>
      <c r="G752">
        <v>78</v>
      </c>
      <c r="H752" t="s">
        <v>8951</v>
      </c>
      <c r="I752" s="130">
        <v>18</v>
      </c>
      <c r="J752" t="s">
        <v>2376</v>
      </c>
      <c r="K752" t="s">
        <v>108</v>
      </c>
      <c r="L752" t="s">
        <v>123</v>
      </c>
      <c r="M752" t="s">
        <v>112</v>
      </c>
      <c r="N752" t="s">
        <v>98</v>
      </c>
      <c r="O752" t="s">
        <v>1345</v>
      </c>
    </row>
    <row r="753" spans="1:15" x14ac:dyDescent="0.3">
      <c r="A753" s="130">
        <v>4313</v>
      </c>
      <c r="B753" s="130">
        <v>-1</v>
      </c>
      <c r="C753" s="130" t="s">
        <v>2377</v>
      </c>
      <c r="D753">
        <v>7250</v>
      </c>
      <c r="E753" s="130">
        <v>9587854</v>
      </c>
      <c r="F753" t="s">
        <v>87</v>
      </c>
      <c r="G753">
        <v>78</v>
      </c>
      <c r="H753" t="s">
        <v>8952</v>
      </c>
      <c r="I753" s="130">
        <v>3</v>
      </c>
      <c r="J753" t="s">
        <v>2377</v>
      </c>
      <c r="K753" t="s">
        <v>108</v>
      </c>
      <c r="L753" t="s">
        <v>140</v>
      </c>
      <c r="M753" t="s">
        <v>174</v>
      </c>
      <c r="N753" t="s">
        <v>101</v>
      </c>
      <c r="O753" t="s">
        <v>1345</v>
      </c>
    </row>
    <row r="754" spans="1:15" x14ac:dyDescent="0.3">
      <c r="A754" s="130">
        <v>4317</v>
      </c>
      <c r="B754" s="130">
        <v>-1</v>
      </c>
      <c r="C754" s="130" t="s">
        <v>2378</v>
      </c>
      <c r="D754">
        <v>7242</v>
      </c>
      <c r="E754" s="130">
        <v>30028493</v>
      </c>
      <c r="F754" t="s">
        <v>87</v>
      </c>
      <c r="G754">
        <v>78</v>
      </c>
      <c r="H754" t="s">
        <v>8953</v>
      </c>
      <c r="I754" s="131">
        <v>9</v>
      </c>
      <c r="J754" t="s">
        <v>2378</v>
      </c>
      <c r="K754" t="s">
        <v>108</v>
      </c>
      <c r="L754" t="s">
        <v>125</v>
      </c>
      <c r="M754" t="s">
        <v>174</v>
      </c>
      <c r="N754" t="s">
        <v>98</v>
      </c>
      <c r="O754" t="s">
        <v>116</v>
      </c>
    </row>
    <row r="755" spans="1:15" x14ac:dyDescent="0.3">
      <c r="A755" s="130">
        <v>4321</v>
      </c>
      <c r="B755" s="130">
        <v>10</v>
      </c>
      <c r="C755" s="130" t="s">
        <v>2379</v>
      </c>
      <c r="D755">
        <v>7254</v>
      </c>
      <c r="E755" s="130">
        <v>31732344</v>
      </c>
      <c r="F755" t="s">
        <v>87</v>
      </c>
      <c r="G755">
        <v>78</v>
      </c>
      <c r="H755" t="s">
        <v>8951</v>
      </c>
      <c r="I755" s="130">
        <v>19</v>
      </c>
      <c r="J755" t="s">
        <v>2379</v>
      </c>
      <c r="K755" t="s">
        <v>108</v>
      </c>
      <c r="L755" t="s">
        <v>146</v>
      </c>
      <c r="M755" t="s">
        <v>133</v>
      </c>
      <c r="N755" t="s">
        <v>98</v>
      </c>
      <c r="O755" t="s">
        <v>1345</v>
      </c>
    </row>
    <row r="756" spans="1:15" x14ac:dyDescent="0.3">
      <c r="A756" s="130">
        <v>4324</v>
      </c>
      <c r="B756" s="130">
        <v>10</v>
      </c>
      <c r="C756" s="130" t="s">
        <v>2380</v>
      </c>
      <c r="D756">
        <v>7258</v>
      </c>
      <c r="E756" s="131">
        <v>9238252</v>
      </c>
      <c r="F756" t="s">
        <v>87</v>
      </c>
      <c r="G756">
        <v>358</v>
      </c>
      <c r="H756" t="s">
        <v>8952</v>
      </c>
      <c r="I756" s="131">
        <v>9</v>
      </c>
      <c r="J756" t="s">
        <v>2380</v>
      </c>
      <c r="K756" t="s">
        <v>95</v>
      </c>
      <c r="L756" t="s">
        <v>109</v>
      </c>
      <c r="M756" t="s">
        <v>133</v>
      </c>
      <c r="N756" t="s">
        <v>98</v>
      </c>
      <c r="O756" t="s">
        <v>1345</v>
      </c>
    </row>
    <row r="757" spans="1:15" x14ac:dyDescent="0.3">
      <c r="A757" s="130">
        <v>4326</v>
      </c>
      <c r="B757" s="130">
        <v>18</v>
      </c>
      <c r="C757" s="130" t="s">
        <v>2381</v>
      </c>
      <c r="D757">
        <v>7259</v>
      </c>
      <c r="E757" s="130">
        <v>16844462</v>
      </c>
      <c r="F757" t="s">
        <v>87</v>
      </c>
      <c r="G757">
        <v>78</v>
      </c>
      <c r="H757" t="s">
        <v>8953</v>
      </c>
      <c r="I757" s="131">
        <v>24</v>
      </c>
      <c r="J757" t="s">
        <v>2381</v>
      </c>
      <c r="K757" t="s">
        <v>108</v>
      </c>
      <c r="L757" t="s">
        <v>191</v>
      </c>
      <c r="M757" t="s">
        <v>112</v>
      </c>
      <c r="N757" t="s">
        <v>114</v>
      </c>
      <c r="O757" t="s">
        <v>1345</v>
      </c>
    </row>
    <row r="758" spans="1:15" x14ac:dyDescent="0.3">
      <c r="A758" s="130">
        <v>4330</v>
      </c>
      <c r="B758" s="130">
        <v>15</v>
      </c>
      <c r="C758" s="130" t="s">
        <v>2382</v>
      </c>
      <c r="D758">
        <v>7263</v>
      </c>
      <c r="E758" s="131">
        <v>5721735</v>
      </c>
      <c r="F758" t="s">
        <v>87</v>
      </c>
      <c r="G758">
        <v>358</v>
      </c>
      <c r="H758" t="s">
        <v>8951</v>
      </c>
      <c r="I758" s="130">
        <v>18</v>
      </c>
      <c r="J758" t="s">
        <v>2382</v>
      </c>
      <c r="K758" t="s">
        <v>95</v>
      </c>
      <c r="L758" t="s">
        <v>1246</v>
      </c>
      <c r="M758" t="s">
        <v>145</v>
      </c>
      <c r="N758" t="s">
        <v>122</v>
      </c>
      <c r="O758" t="s">
        <v>1256</v>
      </c>
    </row>
    <row r="759" spans="1:15" x14ac:dyDescent="0.3">
      <c r="A759" s="130">
        <v>4337</v>
      </c>
      <c r="B759" s="130">
        <v>30</v>
      </c>
      <c r="C759" s="130" t="s">
        <v>2383</v>
      </c>
      <c r="D759">
        <v>7272</v>
      </c>
      <c r="E759" s="130">
        <v>532740</v>
      </c>
      <c r="F759" t="s">
        <v>87</v>
      </c>
      <c r="G759">
        <v>78</v>
      </c>
      <c r="H759" t="s">
        <v>8952</v>
      </c>
      <c r="I759" s="130">
        <v>10</v>
      </c>
      <c r="J759" t="s">
        <v>2383</v>
      </c>
      <c r="K759" t="s">
        <v>95</v>
      </c>
      <c r="L759" t="s">
        <v>127</v>
      </c>
      <c r="M759" t="s">
        <v>103</v>
      </c>
      <c r="N759" t="s">
        <v>118</v>
      </c>
      <c r="O759" t="s">
        <v>1345</v>
      </c>
    </row>
    <row r="760" spans="1:15" x14ac:dyDescent="0.3">
      <c r="A760" s="130">
        <v>4338</v>
      </c>
      <c r="B760" s="130">
        <v>30</v>
      </c>
      <c r="C760" s="130" t="s">
        <v>2384</v>
      </c>
      <c r="D760">
        <v>7273</v>
      </c>
      <c r="E760" s="130">
        <v>4060779</v>
      </c>
      <c r="F760" t="s">
        <v>87</v>
      </c>
      <c r="G760">
        <v>358</v>
      </c>
      <c r="H760" t="s">
        <v>8953</v>
      </c>
      <c r="I760" s="130">
        <v>24</v>
      </c>
      <c r="J760" t="s">
        <v>2384</v>
      </c>
      <c r="K760" t="s">
        <v>95</v>
      </c>
      <c r="L760" t="s">
        <v>1293</v>
      </c>
      <c r="M760" t="s">
        <v>103</v>
      </c>
      <c r="N760" t="s">
        <v>98</v>
      </c>
      <c r="O760" t="s">
        <v>116</v>
      </c>
    </row>
    <row r="761" spans="1:15" x14ac:dyDescent="0.3">
      <c r="A761" s="130">
        <v>4339</v>
      </c>
      <c r="B761" s="130">
        <v>18</v>
      </c>
      <c r="C761" s="130" t="s">
        <v>2385</v>
      </c>
      <c r="D761">
        <v>7274</v>
      </c>
      <c r="E761" s="130">
        <v>23664494</v>
      </c>
      <c r="F761" t="s">
        <v>87</v>
      </c>
      <c r="G761">
        <v>78</v>
      </c>
      <c r="H761" t="s">
        <v>8951</v>
      </c>
      <c r="I761" s="131">
        <v>18</v>
      </c>
      <c r="J761" t="s">
        <v>2385</v>
      </c>
      <c r="K761" t="s">
        <v>108</v>
      </c>
      <c r="L761" t="s">
        <v>123</v>
      </c>
      <c r="M761" t="s">
        <v>112</v>
      </c>
      <c r="N761" t="s">
        <v>98</v>
      </c>
      <c r="O761" t="s">
        <v>1345</v>
      </c>
    </row>
    <row r="762" spans="1:15" x14ac:dyDescent="0.3">
      <c r="A762" s="130">
        <v>4366</v>
      </c>
      <c r="B762" s="130">
        <v>64</v>
      </c>
      <c r="C762" s="130" t="s">
        <v>2386</v>
      </c>
      <c r="D762">
        <v>7310</v>
      </c>
      <c r="E762" s="130">
        <v>655209</v>
      </c>
      <c r="F762" t="s">
        <v>87</v>
      </c>
      <c r="G762">
        <v>78</v>
      </c>
      <c r="H762" t="s">
        <v>8952</v>
      </c>
      <c r="I762" s="130">
        <v>9</v>
      </c>
      <c r="J762" t="s">
        <v>2386</v>
      </c>
      <c r="K762" t="s">
        <v>95</v>
      </c>
      <c r="L762" t="s">
        <v>125</v>
      </c>
      <c r="M762" t="s">
        <v>165</v>
      </c>
      <c r="N762" t="s">
        <v>114</v>
      </c>
      <c r="O762" t="s">
        <v>1345</v>
      </c>
    </row>
    <row r="763" spans="1:15" x14ac:dyDescent="0.3">
      <c r="A763" s="130">
        <v>4378</v>
      </c>
      <c r="B763" s="130">
        <v>-1</v>
      </c>
      <c r="C763" s="130" t="s">
        <v>2387</v>
      </c>
      <c r="D763">
        <v>7327</v>
      </c>
      <c r="E763" s="130">
        <v>8011784</v>
      </c>
      <c r="F763" t="s">
        <v>87</v>
      </c>
      <c r="G763">
        <v>78</v>
      </c>
      <c r="H763" t="s">
        <v>8953</v>
      </c>
      <c r="I763" s="131">
        <v>3</v>
      </c>
      <c r="J763" t="s">
        <v>2387</v>
      </c>
      <c r="K763" t="s">
        <v>108</v>
      </c>
      <c r="L763" t="s">
        <v>111</v>
      </c>
      <c r="M763" t="s">
        <v>174</v>
      </c>
      <c r="N763" t="s">
        <v>114</v>
      </c>
      <c r="O763" t="s">
        <v>1345</v>
      </c>
    </row>
    <row r="764" spans="1:15" x14ac:dyDescent="0.3">
      <c r="A764" s="130">
        <v>4380</v>
      </c>
      <c r="B764" s="130">
        <v>18</v>
      </c>
      <c r="C764" s="130" t="s">
        <v>2388</v>
      </c>
      <c r="D764">
        <v>7330</v>
      </c>
      <c r="E764" s="130">
        <v>10248815</v>
      </c>
      <c r="F764" t="s">
        <v>87</v>
      </c>
      <c r="G764">
        <v>78</v>
      </c>
      <c r="H764" t="s">
        <v>8951</v>
      </c>
      <c r="I764" s="131">
        <v>10</v>
      </c>
      <c r="J764" t="s">
        <v>2388</v>
      </c>
      <c r="K764" t="s">
        <v>108</v>
      </c>
      <c r="L764" t="s">
        <v>127</v>
      </c>
      <c r="M764" t="s">
        <v>112</v>
      </c>
      <c r="N764" t="s">
        <v>118</v>
      </c>
      <c r="O764" t="s">
        <v>1345</v>
      </c>
    </row>
    <row r="765" spans="1:15" x14ac:dyDescent="0.3">
      <c r="A765" s="130">
        <v>4383</v>
      </c>
      <c r="B765" s="130">
        <v>18</v>
      </c>
      <c r="C765" s="130" t="s">
        <v>2389</v>
      </c>
      <c r="D765">
        <v>7334</v>
      </c>
      <c r="E765" s="131">
        <v>39685821</v>
      </c>
      <c r="F765" t="s">
        <v>87</v>
      </c>
      <c r="G765">
        <v>78</v>
      </c>
      <c r="H765" t="s">
        <v>8952</v>
      </c>
      <c r="I765" s="131">
        <v>26</v>
      </c>
      <c r="J765" t="s">
        <v>2389</v>
      </c>
      <c r="K765" t="s">
        <v>108</v>
      </c>
      <c r="L765" t="s">
        <v>151</v>
      </c>
      <c r="M765" t="s">
        <v>112</v>
      </c>
      <c r="N765" t="s">
        <v>114</v>
      </c>
      <c r="O765" t="s">
        <v>1345</v>
      </c>
    </row>
    <row r="766" spans="1:15" x14ac:dyDescent="0.3">
      <c r="A766" s="130">
        <v>4391</v>
      </c>
      <c r="B766" s="130">
        <v>30</v>
      </c>
      <c r="C766" s="130" t="s">
        <v>2390</v>
      </c>
      <c r="D766">
        <v>7341</v>
      </c>
      <c r="E766" s="130">
        <v>16594889</v>
      </c>
      <c r="F766" t="s">
        <v>87</v>
      </c>
      <c r="G766">
        <v>78</v>
      </c>
      <c r="H766" t="s">
        <v>8953</v>
      </c>
      <c r="I766" s="131">
        <v>9</v>
      </c>
      <c r="J766" t="s">
        <v>2390</v>
      </c>
      <c r="K766" t="s">
        <v>95</v>
      </c>
      <c r="L766" t="s">
        <v>125</v>
      </c>
      <c r="M766" t="s">
        <v>103</v>
      </c>
      <c r="N766" t="s">
        <v>98</v>
      </c>
      <c r="O766" t="s">
        <v>1345</v>
      </c>
    </row>
    <row r="767" spans="1:15" x14ac:dyDescent="0.3">
      <c r="A767" s="130">
        <v>4395</v>
      </c>
      <c r="B767" s="130">
        <v>18</v>
      </c>
      <c r="C767" s="130" t="s">
        <v>2391</v>
      </c>
      <c r="D767">
        <v>7348</v>
      </c>
      <c r="E767" s="130">
        <v>13623957</v>
      </c>
      <c r="F767" t="s">
        <v>87</v>
      </c>
      <c r="G767">
        <v>78</v>
      </c>
      <c r="H767" t="s">
        <v>8951</v>
      </c>
      <c r="I767" s="130">
        <v>9</v>
      </c>
      <c r="J767" t="s">
        <v>2391</v>
      </c>
      <c r="K767" t="s">
        <v>95</v>
      </c>
      <c r="L767" t="s">
        <v>125</v>
      </c>
      <c r="M767" t="s">
        <v>112</v>
      </c>
      <c r="N767" t="s">
        <v>98</v>
      </c>
      <c r="O767" t="s">
        <v>1345</v>
      </c>
    </row>
    <row r="768" spans="1:15" x14ac:dyDescent="0.3">
      <c r="A768" s="130">
        <v>4397</v>
      </c>
      <c r="B768" s="130">
        <v>-1</v>
      </c>
      <c r="C768" s="130" t="s">
        <v>2392</v>
      </c>
      <c r="D768">
        <v>7350</v>
      </c>
      <c r="E768" s="131">
        <v>1665347</v>
      </c>
      <c r="F768" t="s">
        <v>87</v>
      </c>
      <c r="G768">
        <v>78</v>
      </c>
      <c r="H768" t="s">
        <v>8952</v>
      </c>
      <c r="I768" s="131">
        <v>28</v>
      </c>
      <c r="J768" t="s">
        <v>2392</v>
      </c>
      <c r="K768" t="s">
        <v>95</v>
      </c>
      <c r="L768" t="s">
        <v>102</v>
      </c>
      <c r="M768" t="s">
        <v>1263</v>
      </c>
      <c r="N768" t="s">
        <v>132</v>
      </c>
      <c r="O768" t="s">
        <v>1345</v>
      </c>
    </row>
    <row r="769" spans="1:15" x14ac:dyDescent="0.3">
      <c r="A769" s="130">
        <v>4420</v>
      </c>
      <c r="B769" s="130">
        <v>30</v>
      </c>
      <c r="C769" s="130" t="s">
        <v>2393</v>
      </c>
      <c r="D769">
        <v>7386</v>
      </c>
      <c r="E769" s="131">
        <v>19739564</v>
      </c>
      <c r="F769" t="s">
        <v>87</v>
      </c>
      <c r="G769">
        <v>78</v>
      </c>
      <c r="H769" t="s">
        <v>8953</v>
      </c>
      <c r="I769" s="131">
        <v>18</v>
      </c>
      <c r="J769" t="s">
        <v>2393</v>
      </c>
      <c r="K769" t="s">
        <v>95</v>
      </c>
      <c r="L769" t="s">
        <v>1293</v>
      </c>
      <c r="M769" t="s">
        <v>103</v>
      </c>
      <c r="N769" t="s">
        <v>98</v>
      </c>
      <c r="O769" t="s">
        <v>1345</v>
      </c>
    </row>
    <row r="770" spans="1:15" x14ac:dyDescent="0.3">
      <c r="A770" s="130">
        <v>4421</v>
      </c>
      <c r="B770" s="130">
        <v>30</v>
      </c>
      <c r="C770" s="130" t="s">
        <v>2394</v>
      </c>
      <c r="D770">
        <v>7387</v>
      </c>
      <c r="E770" s="131">
        <v>19739564</v>
      </c>
      <c r="F770" t="s">
        <v>87</v>
      </c>
      <c r="G770">
        <v>78</v>
      </c>
      <c r="H770" t="s">
        <v>8951</v>
      </c>
      <c r="I770" s="130">
        <v>18</v>
      </c>
      <c r="J770" t="s">
        <v>2394</v>
      </c>
      <c r="K770" t="s">
        <v>95</v>
      </c>
      <c r="L770" t="s">
        <v>140</v>
      </c>
      <c r="M770" t="s">
        <v>103</v>
      </c>
      <c r="N770" t="s">
        <v>98</v>
      </c>
      <c r="O770" t="s">
        <v>1345</v>
      </c>
    </row>
    <row r="771" spans="1:15" x14ac:dyDescent="0.3">
      <c r="A771" s="130">
        <v>4424</v>
      </c>
      <c r="B771" s="130">
        <v>0</v>
      </c>
      <c r="C771" s="130" t="s">
        <v>2395</v>
      </c>
      <c r="D771">
        <v>7390</v>
      </c>
      <c r="E771" s="130">
        <v>7401114</v>
      </c>
      <c r="F771" t="s">
        <v>87</v>
      </c>
      <c r="G771">
        <v>78</v>
      </c>
      <c r="H771" t="s">
        <v>8952</v>
      </c>
      <c r="I771" s="130">
        <v>3</v>
      </c>
      <c r="J771" t="s">
        <v>2395</v>
      </c>
      <c r="K771" t="s">
        <v>95</v>
      </c>
      <c r="L771" t="s">
        <v>109</v>
      </c>
      <c r="M771" t="s">
        <v>100</v>
      </c>
      <c r="N771" t="s">
        <v>122</v>
      </c>
      <c r="O771" t="s">
        <v>1345</v>
      </c>
    </row>
    <row r="772" spans="1:15" x14ac:dyDescent="0.3">
      <c r="A772" s="130">
        <v>4426</v>
      </c>
      <c r="B772" s="130">
        <v>18</v>
      </c>
      <c r="C772" s="130" t="s">
        <v>2396</v>
      </c>
      <c r="D772">
        <v>7392</v>
      </c>
      <c r="E772" s="130">
        <v>1740627</v>
      </c>
      <c r="F772" t="s">
        <v>87</v>
      </c>
      <c r="G772">
        <v>78</v>
      </c>
      <c r="H772" t="s">
        <v>8953</v>
      </c>
      <c r="I772" s="130">
        <v>9</v>
      </c>
      <c r="J772" t="s">
        <v>2396</v>
      </c>
      <c r="K772" t="s">
        <v>108</v>
      </c>
      <c r="L772" t="s">
        <v>125</v>
      </c>
      <c r="M772" t="s">
        <v>112</v>
      </c>
      <c r="N772" t="s">
        <v>101</v>
      </c>
      <c r="O772" t="s">
        <v>1345</v>
      </c>
    </row>
    <row r="773" spans="1:15" x14ac:dyDescent="0.3">
      <c r="A773" s="130">
        <v>4427</v>
      </c>
      <c r="B773" s="130">
        <v>-1</v>
      </c>
      <c r="C773" s="130" t="s">
        <v>2397</v>
      </c>
      <c r="D773">
        <v>7393</v>
      </c>
      <c r="E773" s="131">
        <v>8573695</v>
      </c>
      <c r="F773" t="s">
        <v>87</v>
      </c>
      <c r="G773">
        <v>78</v>
      </c>
      <c r="H773" t="s">
        <v>8951</v>
      </c>
      <c r="I773" s="131">
        <v>19</v>
      </c>
      <c r="J773" t="s">
        <v>2397</v>
      </c>
      <c r="K773" t="s">
        <v>108</v>
      </c>
      <c r="L773" t="s">
        <v>146</v>
      </c>
      <c r="M773" t="s">
        <v>174</v>
      </c>
      <c r="N773" t="s">
        <v>152</v>
      </c>
      <c r="O773" t="s">
        <v>1345</v>
      </c>
    </row>
    <row r="774" spans="1:15" x14ac:dyDescent="0.3">
      <c r="A774" s="130">
        <v>4429</v>
      </c>
      <c r="B774" s="130">
        <v>30</v>
      </c>
      <c r="C774" s="130" t="s">
        <v>2398</v>
      </c>
      <c r="D774">
        <v>7397</v>
      </c>
      <c r="E774" s="131">
        <v>19739564</v>
      </c>
      <c r="F774" t="s">
        <v>87</v>
      </c>
      <c r="G774">
        <v>78</v>
      </c>
      <c r="H774" t="s">
        <v>8952</v>
      </c>
      <c r="I774" s="131">
        <v>9</v>
      </c>
      <c r="J774" t="s">
        <v>2398</v>
      </c>
      <c r="K774" t="s">
        <v>95</v>
      </c>
      <c r="L774" t="s">
        <v>96</v>
      </c>
      <c r="M774" t="s">
        <v>103</v>
      </c>
      <c r="N774" t="s">
        <v>98</v>
      </c>
      <c r="O774" t="s">
        <v>1345</v>
      </c>
    </row>
    <row r="775" spans="1:15" x14ac:dyDescent="0.3">
      <c r="A775" s="130">
        <v>4443</v>
      </c>
      <c r="B775" s="130">
        <v>18</v>
      </c>
      <c r="C775" s="130" t="s">
        <v>2399</v>
      </c>
      <c r="D775">
        <v>7413</v>
      </c>
      <c r="E775" s="131">
        <v>5353545</v>
      </c>
      <c r="F775" t="s">
        <v>87</v>
      </c>
      <c r="G775">
        <v>78</v>
      </c>
      <c r="H775" t="s">
        <v>8953</v>
      </c>
      <c r="I775" s="130">
        <v>9</v>
      </c>
      <c r="J775" t="s">
        <v>2399</v>
      </c>
      <c r="K775" t="s">
        <v>95</v>
      </c>
      <c r="L775" t="s">
        <v>134</v>
      </c>
      <c r="M775" t="s">
        <v>112</v>
      </c>
      <c r="N775" t="s">
        <v>98</v>
      </c>
      <c r="O775" t="s">
        <v>1345</v>
      </c>
    </row>
    <row r="776" spans="1:15" x14ac:dyDescent="0.3">
      <c r="A776" s="130">
        <v>4447</v>
      </c>
      <c r="B776" s="130">
        <v>10</v>
      </c>
      <c r="C776" s="130" t="s">
        <v>2400</v>
      </c>
      <c r="D776">
        <v>7256</v>
      </c>
      <c r="E776" s="130">
        <v>20651683</v>
      </c>
      <c r="F776" t="s">
        <v>87</v>
      </c>
      <c r="G776">
        <v>78</v>
      </c>
      <c r="H776" t="s">
        <v>8951</v>
      </c>
      <c r="I776" s="130">
        <v>3</v>
      </c>
      <c r="J776" t="s">
        <v>2400</v>
      </c>
      <c r="K776" t="s">
        <v>108</v>
      </c>
      <c r="L776" t="s">
        <v>111</v>
      </c>
      <c r="M776" t="s">
        <v>133</v>
      </c>
      <c r="N776" t="s">
        <v>118</v>
      </c>
      <c r="O776" t="s">
        <v>1345</v>
      </c>
    </row>
    <row r="777" spans="1:15" x14ac:dyDescent="0.3">
      <c r="A777" s="130">
        <v>4448</v>
      </c>
      <c r="B777" s="130">
        <v>18</v>
      </c>
      <c r="C777" s="130" t="s">
        <v>2401</v>
      </c>
      <c r="D777">
        <v>7421</v>
      </c>
      <c r="E777" s="130">
        <v>41735877</v>
      </c>
      <c r="F777" t="s">
        <v>87</v>
      </c>
      <c r="G777">
        <v>78</v>
      </c>
      <c r="H777" t="s">
        <v>8952</v>
      </c>
      <c r="I777" s="131">
        <v>37</v>
      </c>
      <c r="J777" t="s">
        <v>2401</v>
      </c>
      <c r="K777" t="s">
        <v>95</v>
      </c>
      <c r="L777" t="s">
        <v>138</v>
      </c>
      <c r="M777" t="s">
        <v>112</v>
      </c>
      <c r="N777" t="s">
        <v>101</v>
      </c>
      <c r="O777" t="s">
        <v>1345</v>
      </c>
    </row>
    <row r="778" spans="1:15" x14ac:dyDescent="0.3">
      <c r="A778" s="130">
        <v>4449</v>
      </c>
      <c r="B778" s="130">
        <v>60</v>
      </c>
      <c r="C778" s="130" t="s">
        <v>2402</v>
      </c>
      <c r="D778">
        <v>7422</v>
      </c>
      <c r="E778" s="130">
        <v>34209835</v>
      </c>
      <c r="F778" t="s">
        <v>87</v>
      </c>
      <c r="G778">
        <v>77</v>
      </c>
      <c r="H778" t="s">
        <v>8953</v>
      </c>
      <c r="I778" s="130">
        <v>3</v>
      </c>
      <c r="J778" t="s">
        <v>2402</v>
      </c>
      <c r="K778" t="s">
        <v>95</v>
      </c>
      <c r="L778" t="s">
        <v>1255</v>
      </c>
      <c r="M778" t="s">
        <v>97</v>
      </c>
      <c r="N778" t="s">
        <v>118</v>
      </c>
      <c r="O778" t="s">
        <v>1345</v>
      </c>
    </row>
    <row r="779" spans="1:15" x14ac:dyDescent="0.3">
      <c r="A779" s="130">
        <v>4450</v>
      </c>
      <c r="B779" s="130">
        <v>30</v>
      </c>
      <c r="C779" s="130" t="s">
        <v>2403</v>
      </c>
      <c r="D779">
        <v>7423</v>
      </c>
      <c r="E779" s="130">
        <v>2617158</v>
      </c>
      <c r="F779" t="s">
        <v>87</v>
      </c>
      <c r="G779">
        <v>78</v>
      </c>
      <c r="H779" t="s">
        <v>8951</v>
      </c>
      <c r="I779" s="131">
        <v>10</v>
      </c>
      <c r="J779" t="s">
        <v>2403</v>
      </c>
      <c r="K779" t="s">
        <v>108</v>
      </c>
      <c r="L779" t="s">
        <v>105</v>
      </c>
      <c r="M779" t="s">
        <v>103</v>
      </c>
      <c r="N779" t="s">
        <v>118</v>
      </c>
      <c r="O779" t="s">
        <v>1345</v>
      </c>
    </row>
    <row r="780" spans="1:15" x14ac:dyDescent="0.3">
      <c r="A780" s="130">
        <v>4455</v>
      </c>
      <c r="B780" s="130">
        <v>64</v>
      </c>
      <c r="C780" s="130" t="s">
        <v>2404</v>
      </c>
      <c r="D780">
        <v>7430</v>
      </c>
      <c r="E780" s="130">
        <v>655209</v>
      </c>
      <c r="F780" t="s">
        <v>87</v>
      </c>
      <c r="G780">
        <v>78</v>
      </c>
      <c r="H780" t="s">
        <v>8952</v>
      </c>
      <c r="I780" s="131">
        <v>9</v>
      </c>
      <c r="J780" t="s">
        <v>2404</v>
      </c>
      <c r="K780" t="s">
        <v>95</v>
      </c>
      <c r="L780" t="s">
        <v>125</v>
      </c>
      <c r="M780" t="s">
        <v>165</v>
      </c>
      <c r="N780" t="s">
        <v>114</v>
      </c>
      <c r="O780" t="s">
        <v>116</v>
      </c>
    </row>
    <row r="781" spans="1:15" x14ac:dyDescent="0.3">
      <c r="A781" s="130">
        <v>4456</v>
      </c>
      <c r="B781" s="130">
        <v>4</v>
      </c>
      <c r="C781" s="130" t="s">
        <v>2405</v>
      </c>
      <c r="D781">
        <v>6310</v>
      </c>
      <c r="E781" s="131">
        <v>42946280</v>
      </c>
      <c r="F781" t="s">
        <v>87</v>
      </c>
      <c r="G781">
        <v>78</v>
      </c>
      <c r="H781" t="s">
        <v>8953</v>
      </c>
      <c r="I781" s="131">
        <v>3</v>
      </c>
      <c r="J781" t="s">
        <v>2405</v>
      </c>
      <c r="K781" t="s">
        <v>108</v>
      </c>
      <c r="L781" t="s">
        <v>1293</v>
      </c>
      <c r="M781" t="s">
        <v>208</v>
      </c>
      <c r="N781" t="s">
        <v>152</v>
      </c>
      <c r="O781" t="s">
        <v>116</v>
      </c>
    </row>
    <row r="782" spans="1:15" x14ac:dyDescent="0.3">
      <c r="A782" s="130">
        <v>4458</v>
      </c>
      <c r="B782" s="130">
        <v>5</v>
      </c>
      <c r="C782" s="130" t="s">
        <v>2406</v>
      </c>
      <c r="D782">
        <v>7432</v>
      </c>
      <c r="E782" s="131">
        <v>40840136</v>
      </c>
      <c r="F782" t="s">
        <v>87</v>
      </c>
      <c r="G782">
        <v>78</v>
      </c>
      <c r="H782" t="s">
        <v>8951</v>
      </c>
      <c r="I782" s="131">
        <v>18</v>
      </c>
      <c r="J782" t="s">
        <v>2406</v>
      </c>
      <c r="K782" t="s">
        <v>108</v>
      </c>
      <c r="L782" t="s">
        <v>193</v>
      </c>
      <c r="M782" t="s">
        <v>129</v>
      </c>
      <c r="N782" t="s">
        <v>124</v>
      </c>
      <c r="O782" t="s">
        <v>1345</v>
      </c>
    </row>
    <row r="783" spans="1:15" x14ac:dyDescent="0.3">
      <c r="A783" s="130">
        <v>4465</v>
      </c>
      <c r="B783" s="130">
        <v>30</v>
      </c>
      <c r="C783" s="130" t="s">
        <v>2407</v>
      </c>
      <c r="D783">
        <v>7074</v>
      </c>
      <c r="E783" s="131">
        <v>4060779</v>
      </c>
      <c r="F783" t="s">
        <v>87</v>
      </c>
      <c r="G783">
        <v>78</v>
      </c>
      <c r="H783" t="s">
        <v>8952</v>
      </c>
      <c r="I783" s="131">
        <v>3</v>
      </c>
      <c r="J783" t="s">
        <v>2407</v>
      </c>
      <c r="K783" t="s">
        <v>95</v>
      </c>
      <c r="L783" t="s">
        <v>1293</v>
      </c>
      <c r="M783" t="s">
        <v>103</v>
      </c>
      <c r="N783" t="s">
        <v>98</v>
      </c>
      <c r="O783" t="s">
        <v>116</v>
      </c>
    </row>
    <row r="784" spans="1:15" x14ac:dyDescent="0.3">
      <c r="A784" s="130">
        <v>4466</v>
      </c>
      <c r="B784" s="130">
        <v>30</v>
      </c>
      <c r="C784" s="130" t="s">
        <v>2408</v>
      </c>
      <c r="D784">
        <v>7443</v>
      </c>
      <c r="E784" s="131">
        <v>17159856</v>
      </c>
      <c r="F784" t="s">
        <v>87</v>
      </c>
      <c r="G784">
        <v>78</v>
      </c>
      <c r="H784" t="s">
        <v>8953</v>
      </c>
      <c r="I784" s="130">
        <v>3</v>
      </c>
      <c r="J784" t="s">
        <v>2408</v>
      </c>
      <c r="K784" t="s">
        <v>95</v>
      </c>
      <c r="L784" t="s">
        <v>96</v>
      </c>
      <c r="M784" t="s">
        <v>103</v>
      </c>
      <c r="N784" t="s">
        <v>114</v>
      </c>
      <c r="O784" t="s">
        <v>1345</v>
      </c>
    </row>
    <row r="785" spans="1:15" x14ac:dyDescent="0.3">
      <c r="A785" s="130">
        <v>4468</v>
      </c>
      <c r="B785" s="130">
        <v>-1</v>
      </c>
      <c r="C785" s="130" t="s">
        <v>2409</v>
      </c>
      <c r="D785">
        <v>7446</v>
      </c>
      <c r="E785" s="130">
        <v>15447369</v>
      </c>
      <c r="F785" t="s">
        <v>87</v>
      </c>
      <c r="G785">
        <v>78</v>
      </c>
      <c r="H785" t="s">
        <v>8951</v>
      </c>
      <c r="I785" s="131">
        <v>9</v>
      </c>
      <c r="J785" t="s">
        <v>2409</v>
      </c>
      <c r="K785" t="s">
        <v>95</v>
      </c>
      <c r="L785" t="s">
        <v>125</v>
      </c>
      <c r="M785" t="s">
        <v>174</v>
      </c>
      <c r="N785" t="s">
        <v>98</v>
      </c>
      <c r="O785" t="s">
        <v>1345</v>
      </c>
    </row>
    <row r="786" spans="1:15" x14ac:dyDescent="0.3">
      <c r="A786" s="130">
        <v>4474</v>
      </c>
      <c r="B786" s="130">
        <v>18</v>
      </c>
      <c r="C786" s="130" t="s">
        <v>2410</v>
      </c>
      <c r="D786">
        <v>7453</v>
      </c>
      <c r="E786" s="130">
        <v>24219445</v>
      </c>
      <c r="F786" t="s">
        <v>87</v>
      </c>
      <c r="G786">
        <v>78</v>
      </c>
      <c r="H786" t="s">
        <v>8952</v>
      </c>
      <c r="I786" s="130">
        <v>19</v>
      </c>
      <c r="J786" t="s">
        <v>2410</v>
      </c>
      <c r="K786" t="s">
        <v>108</v>
      </c>
      <c r="L786" t="s">
        <v>146</v>
      </c>
      <c r="M786" t="s">
        <v>112</v>
      </c>
      <c r="N786" t="s">
        <v>101</v>
      </c>
      <c r="O786" t="s">
        <v>1345</v>
      </c>
    </row>
    <row r="787" spans="1:15" x14ac:dyDescent="0.3">
      <c r="A787" s="130">
        <v>4476</v>
      </c>
      <c r="B787" s="130">
        <v>18</v>
      </c>
      <c r="C787" s="130" t="s">
        <v>2411</v>
      </c>
      <c r="D787">
        <v>7454</v>
      </c>
      <c r="E787" s="130">
        <v>66294976</v>
      </c>
      <c r="F787" t="s">
        <v>87</v>
      </c>
      <c r="G787">
        <v>78</v>
      </c>
      <c r="H787" t="s">
        <v>8953</v>
      </c>
      <c r="I787" s="130">
        <v>10</v>
      </c>
      <c r="J787" t="s">
        <v>2411</v>
      </c>
      <c r="K787" t="s">
        <v>108</v>
      </c>
      <c r="L787" t="s">
        <v>127</v>
      </c>
      <c r="M787" t="s">
        <v>112</v>
      </c>
      <c r="N787" t="s">
        <v>118</v>
      </c>
      <c r="O787" t="s">
        <v>1345</v>
      </c>
    </row>
    <row r="788" spans="1:15" x14ac:dyDescent="0.3">
      <c r="A788" s="130">
        <v>4478</v>
      </c>
      <c r="B788" s="130">
        <v>18</v>
      </c>
      <c r="C788" s="130" t="s">
        <v>2412</v>
      </c>
      <c r="D788">
        <v>7457</v>
      </c>
      <c r="E788" s="131">
        <v>31911806</v>
      </c>
      <c r="F788" t="s">
        <v>87</v>
      </c>
      <c r="G788">
        <v>78</v>
      </c>
      <c r="H788" t="s">
        <v>8951</v>
      </c>
      <c r="I788" s="131">
        <v>10</v>
      </c>
      <c r="J788" t="s">
        <v>2412</v>
      </c>
      <c r="K788" t="s">
        <v>108</v>
      </c>
      <c r="L788" t="s">
        <v>127</v>
      </c>
      <c r="M788" t="s">
        <v>112</v>
      </c>
      <c r="N788" t="s">
        <v>118</v>
      </c>
      <c r="O788" t="s">
        <v>1345</v>
      </c>
    </row>
    <row r="789" spans="1:15" x14ac:dyDescent="0.3">
      <c r="A789" s="130">
        <v>4482</v>
      </c>
      <c r="B789" s="130">
        <v>10</v>
      </c>
      <c r="C789" s="130" t="s">
        <v>2413</v>
      </c>
      <c r="D789">
        <v>7461</v>
      </c>
      <c r="E789" s="130">
        <v>7333136</v>
      </c>
      <c r="F789" t="s">
        <v>87</v>
      </c>
      <c r="G789">
        <v>78</v>
      </c>
      <c r="H789" t="s">
        <v>8952</v>
      </c>
      <c r="I789" s="130">
        <v>3</v>
      </c>
      <c r="J789" t="s">
        <v>2413</v>
      </c>
      <c r="K789" t="s">
        <v>108</v>
      </c>
      <c r="L789" t="s">
        <v>140</v>
      </c>
      <c r="M789" t="s">
        <v>133</v>
      </c>
      <c r="N789" t="s">
        <v>101</v>
      </c>
      <c r="O789" t="s">
        <v>1345</v>
      </c>
    </row>
    <row r="790" spans="1:15" x14ac:dyDescent="0.3">
      <c r="A790" s="130">
        <v>4483</v>
      </c>
      <c r="B790" s="130">
        <v>28</v>
      </c>
      <c r="C790" s="130" t="s">
        <v>2414</v>
      </c>
      <c r="D790">
        <v>7462</v>
      </c>
      <c r="E790" s="131">
        <v>8056030</v>
      </c>
      <c r="F790" t="s">
        <v>87</v>
      </c>
      <c r="G790">
        <v>78</v>
      </c>
      <c r="H790" t="s">
        <v>8953</v>
      </c>
      <c r="I790" s="131">
        <v>26</v>
      </c>
      <c r="J790" t="s">
        <v>2414</v>
      </c>
      <c r="K790" t="s">
        <v>95</v>
      </c>
      <c r="L790" t="s">
        <v>151</v>
      </c>
      <c r="M790" t="s">
        <v>130</v>
      </c>
      <c r="N790" t="s">
        <v>98</v>
      </c>
      <c r="O790" t="s">
        <v>1345</v>
      </c>
    </row>
    <row r="791" spans="1:15" x14ac:dyDescent="0.3">
      <c r="A791" s="130">
        <v>4485</v>
      </c>
      <c r="B791" s="130">
        <v>20</v>
      </c>
      <c r="C791" s="130" t="s">
        <v>2415</v>
      </c>
      <c r="D791">
        <v>7465</v>
      </c>
      <c r="E791" s="130">
        <v>33158874</v>
      </c>
      <c r="F791" t="s">
        <v>87</v>
      </c>
      <c r="G791">
        <v>78</v>
      </c>
      <c r="H791" t="s">
        <v>8951</v>
      </c>
      <c r="I791" s="131">
        <v>3</v>
      </c>
      <c r="J791" t="s">
        <v>2415</v>
      </c>
      <c r="K791" t="s">
        <v>95</v>
      </c>
      <c r="L791" t="s">
        <v>111</v>
      </c>
      <c r="M791" t="s">
        <v>148</v>
      </c>
      <c r="N791" t="s">
        <v>98</v>
      </c>
      <c r="O791" t="s">
        <v>1345</v>
      </c>
    </row>
    <row r="792" spans="1:15" x14ac:dyDescent="0.3">
      <c r="A792" s="130">
        <v>4487</v>
      </c>
      <c r="B792" s="130">
        <v>28</v>
      </c>
      <c r="C792" s="130" t="s">
        <v>2416</v>
      </c>
      <c r="D792">
        <v>7468</v>
      </c>
      <c r="E792" s="130">
        <v>13623957</v>
      </c>
      <c r="F792" t="s">
        <v>87</v>
      </c>
      <c r="G792">
        <v>78</v>
      </c>
      <c r="H792" t="s">
        <v>8952</v>
      </c>
      <c r="I792" s="131">
        <v>3</v>
      </c>
      <c r="J792" t="s">
        <v>2416</v>
      </c>
      <c r="K792" t="s">
        <v>95</v>
      </c>
      <c r="L792" t="s">
        <v>111</v>
      </c>
      <c r="M792" t="s">
        <v>130</v>
      </c>
      <c r="N792" t="s">
        <v>98</v>
      </c>
      <c r="O792" t="s">
        <v>1345</v>
      </c>
    </row>
    <row r="793" spans="1:15" x14ac:dyDescent="0.3">
      <c r="A793" s="130">
        <v>4489</v>
      </c>
      <c r="B793" s="130">
        <v>30</v>
      </c>
      <c r="C793" s="130" t="s">
        <v>2417</v>
      </c>
      <c r="D793">
        <v>7472</v>
      </c>
      <c r="E793" s="131">
        <v>63827026</v>
      </c>
      <c r="F793" t="s">
        <v>87</v>
      </c>
      <c r="G793">
        <v>78</v>
      </c>
      <c r="H793" t="s">
        <v>8953</v>
      </c>
      <c r="I793" s="130">
        <v>10</v>
      </c>
      <c r="J793" t="s">
        <v>2417</v>
      </c>
      <c r="K793" t="s">
        <v>108</v>
      </c>
      <c r="L793" t="s">
        <v>127</v>
      </c>
      <c r="M793" t="s">
        <v>103</v>
      </c>
      <c r="N793" t="s">
        <v>118</v>
      </c>
      <c r="O793" t="s">
        <v>1345</v>
      </c>
    </row>
    <row r="794" spans="1:15" x14ac:dyDescent="0.3">
      <c r="A794" s="130">
        <v>4490</v>
      </c>
      <c r="B794" s="130">
        <v>30</v>
      </c>
      <c r="C794" s="130" t="s">
        <v>2418</v>
      </c>
      <c r="D794">
        <v>7473</v>
      </c>
      <c r="E794" s="130">
        <v>63827026</v>
      </c>
      <c r="F794" t="s">
        <v>87</v>
      </c>
      <c r="G794">
        <v>78</v>
      </c>
      <c r="H794" t="s">
        <v>8951</v>
      </c>
      <c r="I794" s="131">
        <v>10</v>
      </c>
      <c r="J794" t="s">
        <v>2418</v>
      </c>
      <c r="K794" t="s">
        <v>108</v>
      </c>
      <c r="L794" t="s">
        <v>127</v>
      </c>
      <c r="M794" t="s">
        <v>103</v>
      </c>
      <c r="N794" t="s">
        <v>118</v>
      </c>
      <c r="O794" t="s">
        <v>116</v>
      </c>
    </row>
    <row r="795" spans="1:15" x14ac:dyDescent="0.3">
      <c r="A795" s="130">
        <v>4491</v>
      </c>
      <c r="B795" s="130">
        <v>30</v>
      </c>
      <c r="C795" s="130" t="s">
        <v>2419</v>
      </c>
      <c r="D795">
        <v>7475</v>
      </c>
      <c r="E795" s="130">
        <v>34151100</v>
      </c>
      <c r="F795" t="s">
        <v>87</v>
      </c>
      <c r="G795">
        <v>77</v>
      </c>
      <c r="H795" t="s">
        <v>8952</v>
      </c>
      <c r="I795" s="130">
        <v>3</v>
      </c>
      <c r="J795" t="s">
        <v>2419</v>
      </c>
      <c r="K795" t="s">
        <v>108</v>
      </c>
      <c r="L795" t="s">
        <v>235</v>
      </c>
      <c r="M795" t="s">
        <v>103</v>
      </c>
      <c r="N795" t="s">
        <v>118</v>
      </c>
      <c r="O795" t="s">
        <v>116</v>
      </c>
    </row>
    <row r="796" spans="1:15" x14ac:dyDescent="0.3">
      <c r="A796" s="130">
        <v>4492</v>
      </c>
      <c r="B796" s="130">
        <v>30</v>
      </c>
      <c r="C796" s="130" t="s">
        <v>2420</v>
      </c>
      <c r="D796">
        <v>7477</v>
      </c>
      <c r="E796" s="131">
        <v>82502196</v>
      </c>
      <c r="F796" t="s">
        <v>87</v>
      </c>
      <c r="G796">
        <v>78</v>
      </c>
      <c r="H796" t="s">
        <v>8953</v>
      </c>
      <c r="I796" s="130">
        <v>10</v>
      </c>
      <c r="J796" t="s">
        <v>2420</v>
      </c>
      <c r="K796" t="s">
        <v>95</v>
      </c>
      <c r="L796" t="s">
        <v>127</v>
      </c>
      <c r="M796" t="s">
        <v>103</v>
      </c>
      <c r="N796" t="s">
        <v>118</v>
      </c>
      <c r="O796" t="s">
        <v>1345</v>
      </c>
    </row>
    <row r="797" spans="1:15" x14ac:dyDescent="0.3">
      <c r="A797" s="130">
        <v>4493</v>
      </c>
      <c r="B797" s="130">
        <v>20</v>
      </c>
      <c r="C797" s="130" t="s">
        <v>2421</v>
      </c>
      <c r="D797">
        <v>7480</v>
      </c>
      <c r="E797" s="130">
        <v>10736565</v>
      </c>
      <c r="F797" t="s">
        <v>87</v>
      </c>
      <c r="G797">
        <v>78</v>
      </c>
      <c r="H797" t="s">
        <v>8951</v>
      </c>
      <c r="I797" s="130">
        <v>18</v>
      </c>
      <c r="J797" t="s">
        <v>2421</v>
      </c>
      <c r="K797" t="s">
        <v>95</v>
      </c>
      <c r="L797" t="s">
        <v>1293</v>
      </c>
      <c r="M797" t="s">
        <v>148</v>
      </c>
      <c r="N797" t="s">
        <v>98</v>
      </c>
      <c r="O797" t="s">
        <v>116</v>
      </c>
    </row>
    <row r="798" spans="1:15" x14ac:dyDescent="0.3">
      <c r="A798" s="130">
        <v>4498</v>
      </c>
      <c r="B798" s="130">
        <v>30</v>
      </c>
      <c r="C798" s="130" t="s">
        <v>2422</v>
      </c>
      <c r="D798">
        <v>7488</v>
      </c>
      <c r="E798" s="130">
        <v>3992929</v>
      </c>
      <c r="F798" t="s">
        <v>87</v>
      </c>
      <c r="G798">
        <v>78</v>
      </c>
      <c r="H798" t="s">
        <v>8952</v>
      </c>
      <c r="I798" s="131">
        <v>9</v>
      </c>
      <c r="J798" t="s">
        <v>2422</v>
      </c>
      <c r="K798" t="s">
        <v>95</v>
      </c>
      <c r="L798" t="s">
        <v>125</v>
      </c>
      <c r="M798" t="s">
        <v>103</v>
      </c>
      <c r="N798" t="s">
        <v>98</v>
      </c>
      <c r="O798" t="s">
        <v>1345</v>
      </c>
    </row>
    <row r="799" spans="1:15" x14ac:dyDescent="0.3">
      <c r="A799" s="130">
        <v>4516</v>
      </c>
      <c r="B799" s="130">
        <v>30</v>
      </c>
      <c r="C799" s="130" t="s">
        <v>2423</v>
      </c>
      <c r="D799">
        <v>7518</v>
      </c>
      <c r="E799" s="130">
        <v>2617158</v>
      </c>
      <c r="F799" t="s">
        <v>87</v>
      </c>
      <c r="G799">
        <v>358</v>
      </c>
      <c r="H799" t="s">
        <v>8953</v>
      </c>
      <c r="I799" s="131">
        <v>10</v>
      </c>
      <c r="J799" t="s">
        <v>2423</v>
      </c>
      <c r="K799" t="s">
        <v>95</v>
      </c>
      <c r="L799" t="s">
        <v>105</v>
      </c>
      <c r="M799" t="s">
        <v>103</v>
      </c>
      <c r="N799" t="s">
        <v>98</v>
      </c>
      <c r="O799" t="s">
        <v>1345</v>
      </c>
    </row>
    <row r="800" spans="1:15" x14ac:dyDescent="0.3">
      <c r="A800" s="130">
        <v>4522</v>
      </c>
      <c r="B800" s="130">
        <v>18</v>
      </c>
      <c r="C800" s="130" t="s">
        <v>2424</v>
      </c>
      <c r="D800">
        <v>7487</v>
      </c>
      <c r="E800" s="131">
        <v>3284231</v>
      </c>
      <c r="F800" t="s">
        <v>87</v>
      </c>
      <c r="G800">
        <v>78</v>
      </c>
      <c r="H800" t="s">
        <v>8951</v>
      </c>
      <c r="I800" s="131">
        <v>9</v>
      </c>
      <c r="J800" t="s">
        <v>2424</v>
      </c>
      <c r="K800" t="s">
        <v>108</v>
      </c>
      <c r="L800" t="s">
        <v>125</v>
      </c>
      <c r="M800" t="s">
        <v>112</v>
      </c>
      <c r="N800" t="s">
        <v>98</v>
      </c>
      <c r="O800" t="s">
        <v>1345</v>
      </c>
    </row>
    <row r="801" spans="1:15" x14ac:dyDescent="0.3">
      <c r="A801" s="130">
        <v>4531</v>
      </c>
      <c r="B801" s="130" t="s">
        <v>156</v>
      </c>
      <c r="C801" s="130" t="s">
        <v>2425</v>
      </c>
      <c r="D801">
        <v>7534</v>
      </c>
      <c r="E801" s="130">
        <v>4518190</v>
      </c>
      <c r="F801" t="s">
        <v>87</v>
      </c>
      <c r="G801">
        <v>358</v>
      </c>
      <c r="H801" t="s">
        <v>8952</v>
      </c>
      <c r="I801" s="131">
        <v>18</v>
      </c>
      <c r="J801" t="s">
        <v>2425</v>
      </c>
      <c r="K801" t="s">
        <v>108</v>
      </c>
      <c r="L801" t="s">
        <v>111</v>
      </c>
      <c r="M801" t="s">
        <v>156</v>
      </c>
      <c r="N801" t="s">
        <v>122</v>
      </c>
      <c r="O801" t="s">
        <v>116</v>
      </c>
    </row>
    <row r="802" spans="1:15" x14ac:dyDescent="0.3">
      <c r="A802" s="130">
        <v>4539</v>
      </c>
      <c r="B802" s="130">
        <v>30</v>
      </c>
      <c r="C802" s="130" t="s">
        <v>2426</v>
      </c>
      <c r="D802">
        <v>7543</v>
      </c>
      <c r="E802" s="130">
        <v>37325799</v>
      </c>
      <c r="F802" t="s">
        <v>87</v>
      </c>
      <c r="G802">
        <v>78</v>
      </c>
      <c r="H802" t="s">
        <v>8953</v>
      </c>
      <c r="I802" s="131">
        <v>18</v>
      </c>
      <c r="J802" t="s">
        <v>2426</v>
      </c>
      <c r="K802" t="s">
        <v>95</v>
      </c>
      <c r="L802" t="s">
        <v>123</v>
      </c>
      <c r="M802" t="s">
        <v>103</v>
      </c>
      <c r="N802" t="s">
        <v>98</v>
      </c>
      <c r="O802" t="s">
        <v>1345</v>
      </c>
    </row>
    <row r="803" spans="1:15" x14ac:dyDescent="0.3">
      <c r="A803" s="130">
        <v>4554</v>
      </c>
      <c r="B803" s="130">
        <v>30</v>
      </c>
      <c r="C803" s="130" t="s">
        <v>2427</v>
      </c>
      <c r="D803">
        <v>7562</v>
      </c>
      <c r="E803" s="130">
        <v>33000167</v>
      </c>
      <c r="F803" t="s">
        <v>87</v>
      </c>
      <c r="G803">
        <v>78</v>
      </c>
      <c r="H803" t="s">
        <v>8951</v>
      </c>
      <c r="I803" s="130">
        <v>18</v>
      </c>
      <c r="J803" t="s">
        <v>2427</v>
      </c>
      <c r="K803" t="s">
        <v>95</v>
      </c>
      <c r="L803" t="s">
        <v>102</v>
      </c>
      <c r="M803" t="s">
        <v>103</v>
      </c>
      <c r="N803" t="s">
        <v>114</v>
      </c>
      <c r="O803" t="s">
        <v>1345</v>
      </c>
    </row>
    <row r="804" spans="1:15" x14ac:dyDescent="0.3">
      <c r="A804" s="130">
        <v>4556</v>
      </c>
      <c r="B804" s="130">
        <v>30</v>
      </c>
      <c r="C804" s="130" t="s">
        <v>2428</v>
      </c>
      <c r="D804">
        <v>7564</v>
      </c>
      <c r="E804" s="130">
        <v>8720614</v>
      </c>
      <c r="F804" t="s">
        <v>87</v>
      </c>
      <c r="G804">
        <v>77</v>
      </c>
      <c r="H804" t="s">
        <v>8952</v>
      </c>
      <c r="I804" s="130">
        <v>10</v>
      </c>
      <c r="J804" t="s">
        <v>2428</v>
      </c>
      <c r="K804" t="s">
        <v>95</v>
      </c>
      <c r="L804" t="s">
        <v>1255</v>
      </c>
      <c r="M804" t="s">
        <v>103</v>
      </c>
      <c r="N804" t="s">
        <v>118</v>
      </c>
      <c r="O804" t="s">
        <v>1345</v>
      </c>
    </row>
    <row r="805" spans="1:15" x14ac:dyDescent="0.3">
      <c r="A805" s="130">
        <v>4557</v>
      </c>
      <c r="B805" s="130">
        <v>60</v>
      </c>
      <c r="C805" s="130" t="s">
        <v>2429</v>
      </c>
      <c r="D805">
        <v>7565</v>
      </c>
      <c r="E805" s="131">
        <v>33592510</v>
      </c>
      <c r="F805" t="s">
        <v>87</v>
      </c>
      <c r="G805">
        <v>77</v>
      </c>
      <c r="H805" t="s">
        <v>8953</v>
      </c>
      <c r="I805" s="131">
        <v>2</v>
      </c>
      <c r="J805" t="s">
        <v>2429</v>
      </c>
      <c r="K805" t="s">
        <v>95</v>
      </c>
      <c r="L805" t="s">
        <v>117</v>
      </c>
      <c r="M805" t="s">
        <v>97</v>
      </c>
      <c r="N805" t="s">
        <v>118</v>
      </c>
      <c r="O805" t="s">
        <v>1345</v>
      </c>
    </row>
    <row r="806" spans="1:15" x14ac:dyDescent="0.3">
      <c r="A806" s="130">
        <v>4562</v>
      </c>
      <c r="B806" s="130">
        <v>30</v>
      </c>
      <c r="C806" s="130" t="s">
        <v>2430</v>
      </c>
      <c r="D806">
        <v>7570</v>
      </c>
      <c r="E806" s="131">
        <v>7522191</v>
      </c>
      <c r="F806" t="s">
        <v>87</v>
      </c>
      <c r="G806">
        <v>358</v>
      </c>
      <c r="H806" t="s">
        <v>8951</v>
      </c>
      <c r="I806" s="131">
        <v>18</v>
      </c>
      <c r="J806" t="s">
        <v>2430</v>
      </c>
      <c r="K806" t="s">
        <v>95</v>
      </c>
      <c r="L806" t="s">
        <v>111</v>
      </c>
      <c r="M806" t="s">
        <v>103</v>
      </c>
      <c r="N806" t="s">
        <v>98</v>
      </c>
      <c r="O806" t="s">
        <v>116</v>
      </c>
    </row>
    <row r="807" spans="1:15" x14ac:dyDescent="0.3">
      <c r="A807" s="130">
        <v>4576</v>
      </c>
      <c r="B807" s="130">
        <v>28</v>
      </c>
      <c r="C807" s="130" t="s">
        <v>2431</v>
      </c>
      <c r="D807">
        <v>7589</v>
      </c>
      <c r="E807" s="130">
        <v>34767630</v>
      </c>
      <c r="F807" t="s">
        <v>87</v>
      </c>
      <c r="G807">
        <v>78</v>
      </c>
      <c r="H807" t="s">
        <v>8952</v>
      </c>
      <c r="I807" s="131">
        <v>37</v>
      </c>
      <c r="J807" t="s">
        <v>2431</v>
      </c>
      <c r="K807" t="s">
        <v>95</v>
      </c>
      <c r="L807" t="s">
        <v>138</v>
      </c>
      <c r="M807" t="s">
        <v>130</v>
      </c>
      <c r="N807" t="s">
        <v>98</v>
      </c>
      <c r="O807" t="s">
        <v>1345</v>
      </c>
    </row>
    <row r="808" spans="1:15" x14ac:dyDescent="0.3">
      <c r="A808" s="130">
        <v>4577</v>
      </c>
      <c r="B808" s="130">
        <v>30</v>
      </c>
      <c r="C808" s="130" t="s">
        <v>2432</v>
      </c>
      <c r="D808">
        <v>7590</v>
      </c>
      <c r="E808" s="130">
        <v>33000167</v>
      </c>
      <c r="F808" t="s">
        <v>87</v>
      </c>
      <c r="G808">
        <v>78</v>
      </c>
      <c r="H808" t="s">
        <v>8953</v>
      </c>
      <c r="I808" s="131">
        <v>24</v>
      </c>
      <c r="J808" t="s">
        <v>2432</v>
      </c>
      <c r="K808" t="s">
        <v>95</v>
      </c>
      <c r="L808" t="s">
        <v>102</v>
      </c>
      <c r="M808" t="s">
        <v>103</v>
      </c>
      <c r="N808" t="s">
        <v>114</v>
      </c>
      <c r="O808" t="s">
        <v>1345</v>
      </c>
    </row>
    <row r="809" spans="1:15" x14ac:dyDescent="0.3">
      <c r="A809" s="130">
        <v>4579</v>
      </c>
      <c r="B809" s="130">
        <v>18</v>
      </c>
      <c r="C809" s="130" t="s">
        <v>2433</v>
      </c>
      <c r="D809">
        <v>7592</v>
      </c>
      <c r="E809" s="130">
        <v>7413622</v>
      </c>
      <c r="F809" t="s">
        <v>87</v>
      </c>
      <c r="G809">
        <v>78</v>
      </c>
      <c r="H809" t="s">
        <v>8951</v>
      </c>
      <c r="I809" s="130">
        <v>24</v>
      </c>
      <c r="J809" t="s">
        <v>2433</v>
      </c>
      <c r="K809" t="s">
        <v>95</v>
      </c>
      <c r="L809" t="s">
        <v>191</v>
      </c>
      <c r="M809" t="s">
        <v>112</v>
      </c>
      <c r="N809" t="s">
        <v>98</v>
      </c>
      <c r="O809" t="s">
        <v>1345</v>
      </c>
    </row>
    <row r="810" spans="1:15" x14ac:dyDescent="0.3">
      <c r="A810" s="130">
        <v>4587</v>
      </c>
      <c r="B810" s="130">
        <v>30</v>
      </c>
      <c r="C810" s="130" t="s">
        <v>2434</v>
      </c>
      <c r="D810">
        <v>7606</v>
      </c>
      <c r="E810" s="130">
        <v>19739564</v>
      </c>
      <c r="F810" t="s">
        <v>87</v>
      </c>
      <c r="G810">
        <v>78</v>
      </c>
      <c r="H810" t="s">
        <v>8952</v>
      </c>
      <c r="I810" s="131">
        <v>9</v>
      </c>
      <c r="J810" t="s">
        <v>2434</v>
      </c>
      <c r="K810" t="s">
        <v>95</v>
      </c>
      <c r="L810" t="s">
        <v>96</v>
      </c>
      <c r="M810" t="s">
        <v>103</v>
      </c>
      <c r="N810" t="s">
        <v>98</v>
      </c>
      <c r="O810" t="s">
        <v>1345</v>
      </c>
    </row>
    <row r="811" spans="1:15" x14ac:dyDescent="0.3">
      <c r="A811" s="130">
        <v>4607</v>
      </c>
      <c r="B811" s="130">
        <v>30</v>
      </c>
      <c r="C811" s="130" t="s">
        <v>2435</v>
      </c>
      <c r="D811">
        <v>7641</v>
      </c>
      <c r="E811" s="130">
        <v>42441965</v>
      </c>
      <c r="F811" t="s">
        <v>87</v>
      </c>
      <c r="G811">
        <v>78</v>
      </c>
      <c r="H811" t="s">
        <v>8953</v>
      </c>
      <c r="I811" s="130">
        <v>10</v>
      </c>
      <c r="J811" t="s">
        <v>2435</v>
      </c>
      <c r="K811" t="s">
        <v>95</v>
      </c>
      <c r="L811" t="s">
        <v>96</v>
      </c>
      <c r="M811" t="s">
        <v>103</v>
      </c>
      <c r="N811" t="s">
        <v>98</v>
      </c>
      <c r="O811" t="s">
        <v>1345</v>
      </c>
    </row>
    <row r="812" spans="1:15" x14ac:dyDescent="0.3">
      <c r="A812" s="130">
        <v>4608</v>
      </c>
      <c r="B812" s="130">
        <v>10</v>
      </c>
      <c r="C812" s="130" t="s">
        <v>2436</v>
      </c>
      <c r="D812">
        <v>7642</v>
      </c>
      <c r="E812" s="130">
        <v>23347255</v>
      </c>
      <c r="F812" t="s">
        <v>87</v>
      </c>
      <c r="G812">
        <v>78</v>
      </c>
      <c r="H812" t="s">
        <v>8951</v>
      </c>
      <c r="I812" s="130">
        <v>3</v>
      </c>
      <c r="J812" t="s">
        <v>2436</v>
      </c>
      <c r="K812" t="s">
        <v>108</v>
      </c>
      <c r="L812" t="s">
        <v>111</v>
      </c>
      <c r="M812" t="s">
        <v>133</v>
      </c>
      <c r="N812" t="s">
        <v>98</v>
      </c>
      <c r="O812" t="s">
        <v>1345</v>
      </c>
    </row>
    <row r="813" spans="1:15" x14ac:dyDescent="0.3">
      <c r="A813" s="130">
        <v>4609</v>
      </c>
      <c r="B813" s="130">
        <v>30</v>
      </c>
      <c r="C813" s="130" t="s">
        <v>2437</v>
      </c>
      <c r="D813">
        <v>7643</v>
      </c>
      <c r="E813" s="130">
        <v>42441965</v>
      </c>
      <c r="F813" t="s">
        <v>87</v>
      </c>
      <c r="G813">
        <v>78</v>
      </c>
      <c r="H813" t="s">
        <v>8952</v>
      </c>
      <c r="I813" s="131">
        <v>10</v>
      </c>
      <c r="J813" t="s">
        <v>2437</v>
      </c>
      <c r="K813" t="s">
        <v>95</v>
      </c>
      <c r="L813" t="s">
        <v>96</v>
      </c>
      <c r="M813" t="s">
        <v>103</v>
      </c>
      <c r="N813" t="s">
        <v>98</v>
      </c>
      <c r="O813" t="s">
        <v>1345</v>
      </c>
    </row>
    <row r="814" spans="1:15" x14ac:dyDescent="0.3">
      <c r="A814" s="130">
        <v>4610</v>
      </c>
      <c r="B814" s="130">
        <v>30</v>
      </c>
      <c r="C814" s="130" t="s">
        <v>2438</v>
      </c>
      <c r="D814">
        <v>7645</v>
      </c>
      <c r="E814" s="131">
        <v>33000167</v>
      </c>
      <c r="F814" t="s">
        <v>87</v>
      </c>
      <c r="G814">
        <v>78</v>
      </c>
      <c r="H814" t="s">
        <v>8953</v>
      </c>
      <c r="I814" s="130">
        <v>24</v>
      </c>
      <c r="J814" t="s">
        <v>2438</v>
      </c>
      <c r="K814" t="s">
        <v>95</v>
      </c>
      <c r="L814" t="s">
        <v>102</v>
      </c>
      <c r="M814" t="s">
        <v>103</v>
      </c>
      <c r="N814" t="s">
        <v>114</v>
      </c>
      <c r="O814" t="s">
        <v>1345</v>
      </c>
    </row>
    <row r="815" spans="1:15" x14ac:dyDescent="0.3">
      <c r="A815" s="130">
        <v>4617</v>
      </c>
      <c r="B815" s="130">
        <v>18</v>
      </c>
      <c r="C815" s="130" t="s">
        <v>2439</v>
      </c>
      <c r="D815">
        <v>7655</v>
      </c>
      <c r="E815" s="130">
        <v>36332716</v>
      </c>
      <c r="F815" t="s">
        <v>87</v>
      </c>
      <c r="G815">
        <v>78</v>
      </c>
      <c r="H815" t="s">
        <v>8951</v>
      </c>
      <c r="I815" s="130">
        <v>24</v>
      </c>
      <c r="J815" t="s">
        <v>2439</v>
      </c>
      <c r="K815" t="s">
        <v>108</v>
      </c>
      <c r="L815" t="s">
        <v>191</v>
      </c>
      <c r="M815" t="s">
        <v>112</v>
      </c>
      <c r="N815" t="s">
        <v>124</v>
      </c>
      <c r="O815" t="s">
        <v>1345</v>
      </c>
    </row>
    <row r="816" spans="1:15" x14ac:dyDescent="0.3">
      <c r="A816" s="130">
        <v>4619</v>
      </c>
      <c r="B816" s="130">
        <v>30</v>
      </c>
      <c r="C816" s="130" t="s">
        <v>2440</v>
      </c>
      <c r="D816">
        <v>7658</v>
      </c>
      <c r="E816" s="130">
        <v>8726496</v>
      </c>
      <c r="F816" t="s">
        <v>87</v>
      </c>
      <c r="G816">
        <v>78</v>
      </c>
      <c r="H816" t="s">
        <v>8952</v>
      </c>
      <c r="I816" s="131">
        <v>18</v>
      </c>
      <c r="J816" t="s">
        <v>2440</v>
      </c>
      <c r="K816" t="s">
        <v>108</v>
      </c>
      <c r="L816" t="s">
        <v>123</v>
      </c>
      <c r="M816" t="s">
        <v>103</v>
      </c>
      <c r="N816" t="s">
        <v>98</v>
      </c>
      <c r="O816" t="s">
        <v>1345</v>
      </c>
    </row>
    <row r="817" spans="1:15" x14ac:dyDescent="0.3">
      <c r="A817" s="130">
        <v>4621</v>
      </c>
      <c r="B817" s="130">
        <v>30</v>
      </c>
      <c r="C817" s="130" t="s">
        <v>2441</v>
      </c>
      <c r="D817">
        <v>7659</v>
      </c>
      <c r="E817" s="130">
        <v>4060779</v>
      </c>
      <c r="F817" t="s">
        <v>87</v>
      </c>
      <c r="G817">
        <v>358</v>
      </c>
      <c r="H817" t="s">
        <v>8953</v>
      </c>
      <c r="I817" s="130">
        <v>24</v>
      </c>
      <c r="J817" t="s">
        <v>2441</v>
      </c>
      <c r="K817" t="s">
        <v>95</v>
      </c>
      <c r="L817" t="s">
        <v>1293</v>
      </c>
      <c r="M817" t="s">
        <v>103</v>
      </c>
      <c r="N817" t="s">
        <v>98</v>
      </c>
      <c r="O817" t="s">
        <v>116</v>
      </c>
    </row>
    <row r="818" spans="1:15" x14ac:dyDescent="0.3">
      <c r="A818" s="130">
        <v>4633</v>
      </c>
      <c r="B818" s="130">
        <v>20</v>
      </c>
      <c r="C818" s="130" t="s">
        <v>2442</v>
      </c>
      <c r="D818">
        <v>7672</v>
      </c>
      <c r="E818" s="130">
        <v>10736565</v>
      </c>
      <c r="F818" t="s">
        <v>87</v>
      </c>
      <c r="G818">
        <v>78</v>
      </c>
      <c r="H818" t="s">
        <v>8951</v>
      </c>
      <c r="I818" s="131">
        <v>18</v>
      </c>
      <c r="J818" t="s">
        <v>2442</v>
      </c>
      <c r="K818" t="s">
        <v>95</v>
      </c>
      <c r="L818" t="s">
        <v>111</v>
      </c>
      <c r="M818" t="s">
        <v>148</v>
      </c>
      <c r="N818" t="s">
        <v>98</v>
      </c>
      <c r="O818" t="s">
        <v>1345</v>
      </c>
    </row>
    <row r="819" spans="1:15" x14ac:dyDescent="0.3">
      <c r="A819" s="130">
        <v>4634</v>
      </c>
      <c r="B819" s="130">
        <v>-1</v>
      </c>
      <c r="C819" s="130" t="s">
        <v>2443</v>
      </c>
      <c r="D819">
        <v>7673</v>
      </c>
      <c r="E819" s="131">
        <v>11860729</v>
      </c>
      <c r="F819" t="s">
        <v>87</v>
      </c>
      <c r="G819">
        <v>78</v>
      </c>
      <c r="H819" t="s">
        <v>8952</v>
      </c>
      <c r="I819" s="131">
        <v>10</v>
      </c>
      <c r="J819" t="s">
        <v>2443</v>
      </c>
      <c r="K819" t="s">
        <v>108</v>
      </c>
      <c r="L819" t="s">
        <v>127</v>
      </c>
      <c r="M819" t="s">
        <v>174</v>
      </c>
      <c r="N819" t="s">
        <v>118</v>
      </c>
      <c r="O819" t="s">
        <v>1345</v>
      </c>
    </row>
    <row r="820" spans="1:15" x14ac:dyDescent="0.3">
      <c r="A820" s="130">
        <v>4637</v>
      </c>
      <c r="B820" s="130">
        <v>18</v>
      </c>
      <c r="C820" s="130" t="s">
        <v>2444</v>
      </c>
      <c r="D820">
        <v>7678</v>
      </c>
      <c r="E820" s="130">
        <v>43312312</v>
      </c>
      <c r="F820" t="s">
        <v>87</v>
      </c>
      <c r="G820">
        <v>78</v>
      </c>
      <c r="H820" t="s">
        <v>8953</v>
      </c>
      <c r="I820" s="131">
        <v>43</v>
      </c>
      <c r="J820" t="s">
        <v>2444</v>
      </c>
      <c r="K820" t="s">
        <v>95</v>
      </c>
      <c r="L820" t="s">
        <v>111</v>
      </c>
      <c r="M820" t="s">
        <v>112</v>
      </c>
      <c r="N820" t="s">
        <v>98</v>
      </c>
      <c r="O820" t="s">
        <v>116</v>
      </c>
    </row>
    <row r="821" spans="1:15" x14ac:dyDescent="0.3">
      <c r="A821" s="130">
        <v>4643</v>
      </c>
      <c r="B821" s="130">
        <v>0</v>
      </c>
      <c r="C821" s="130" t="s">
        <v>2445</v>
      </c>
      <c r="D821">
        <v>7692</v>
      </c>
      <c r="E821" s="130">
        <v>25166417372</v>
      </c>
      <c r="F821" t="s">
        <v>87</v>
      </c>
      <c r="G821">
        <v>78</v>
      </c>
      <c r="H821" t="s">
        <v>8951</v>
      </c>
      <c r="I821" s="130">
        <v>9</v>
      </c>
      <c r="J821" t="s">
        <v>2445</v>
      </c>
      <c r="K821" t="s">
        <v>108</v>
      </c>
      <c r="L821" t="s">
        <v>134</v>
      </c>
      <c r="M821" t="s">
        <v>100</v>
      </c>
      <c r="N821" t="s">
        <v>101</v>
      </c>
      <c r="O821" t="s">
        <v>1345</v>
      </c>
    </row>
    <row r="822" spans="1:15" x14ac:dyDescent="0.3">
      <c r="A822" s="130">
        <v>4646</v>
      </c>
      <c r="B822" s="130">
        <v>30</v>
      </c>
      <c r="C822" s="130" t="s">
        <v>2446</v>
      </c>
      <c r="D822">
        <v>7699</v>
      </c>
      <c r="E822" s="130">
        <v>2617158</v>
      </c>
      <c r="F822" t="s">
        <v>87</v>
      </c>
      <c r="G822">
        <v>358</v>
      </c>
      <c r="H822" t="s">
        <v>8952</v>
      </c>
      <c r="I822" s="130">
        <v>10</v>
      </c>
      <c r="J822" t="s">
        <v>2446</v>
      </c>
      <c r="K822" t="s">
        <v>108</v>
      </c>
      <c r="L822" t="s">
        <v>105</v>
      </c>
      <c r="M822" t="s">
        <v>103</v>
      </c>
      <c r="N822" t="s">
        <v>98</v>
      </c>
      <c r="O822" t="s">
        <v>1345</v>
      </c>
    </row>
    <row r="823" spans="1:15" x14ac:dyDescent="0.3">
      <c r="A823" s="130">
        <v>4650</v>
      </c>
      <c r="B823" s="130">
        <v>30</v>
      </c>
      <c r="C823" s="130" t="s">
        <v>2447</v>
      </c>
      <c r="D823">
        <v>7706</v>
      </c>
      <c r="E823" s="130">
        <v>26287057</v>
      </c>
      <c r="F823" t="s">
        <v>87</v>
      </c>
      <c r="G823">
        <v>77</v>
      </c>
      <c r="H823" t="s">
        <v>8953</v>
      </c>
      <c r="I823" s="130">
        <v>3</v>
      </c>
      <c r="J823" t="s">
        <v>2447</v>
      </c>
      <c r="K823" t="s">
        <v>95</v>
      </c>
      <c r="L823" t="s">
        <v>256</v>
      </c>
      <c r="M823" t="s">
        <v>103</v>
      </c>
      <c r="N823" t="s">
        <v>98</v>
      </c>
      <c r="O823" t="s">
        <v>1345</v>
      </c>
    </row>
    <row r="824" spans="1:15" x14ac:dyDescent="0.3">
      <c r="A824" s="130">
        <v>4667</v>
      </c>
      <c r="B824" s="130">
        <v>18</v>
      </c>
      <c r="C824" s="130" t="s">
        <v>2448</v>
      </c>
      <c r="D824">
        <v>7722</v>
      </c>
      <c r="E824" s="130">
        <v>41735877</v>
      </c>
      <c r="F824" t="s">
        <v>87</v>
      </c>
      <c r="G824">
        <v>78</v>
      </c>
      <c r="H824" t="s">
        <v>8951</v>
      </c>
      <c r="I824" s="131">
        <v>37</v>
      </c>
      <c r="J824" t="s">
        <v>2448</v>
      </c>
      <c r="K824" t="s">
        <v>95</v>
      </c>
      <c r="L824" t="s">
        <v>138</v>
      </c>
      <c r="M824" t="s">
        <v>112</v>
      </c>
      <c r="N824" t="s">
        <v>98</v>
      </c>
      <c r="O824" t="s">
        <v>1345</v>
      </c>
    </row>
    <row r="825" spans="1:15" x14ac:dyDescent="0.3">
      <c r="A825" s="130">
        <v>4672</v>
      </c>
      <c r="B825" s="130">
        <v>30</v>
      </c>
      <c r="C825" s="130" t="s">
        <v>2449</v>
      </c>
      <c r="D825">
        <v>7723</v>
      </c>
      <c r="E825" s="130">
        <v>8217851</v>
      </c>
      <c r="F825" t="s">
        <v>87</v>
      </c>
      <c r="G825">
        <v>78</v>
      </c>
      <c r="H825" t="s">
        <v>8952</v>
      </c>
      <c r="I825" s="130">
        <v>18</v>
      </c>
      <c r="J825" t="s">
        <v>2449</v>
      </c>
      <c r="K825" t="s">
        <v>95</v>
      </c>
      <c r="L825" t="s">
        <v>123</v>
      </c>
      <c r="M825" t="s">
        <v>103</v>
      </c>
      <c r="N825" t="s">
        <v>98</v>
      </c>
      <c r="O825" t="s">
        <v>1345</v>
      </c>
    </row>
    <row r="826" spans="1:15" x14ac:dyDescent="0.3">
      <c r="A826" s="130">
        <v>4674</v>
      </c>
      <c r="B826" s="130">
        <v>10</v>
      </c>
      <c r="C826" s="130" t="s">
        <v>2450</v>
      </c>
      <c r="D826">
        <v>7730</v>
      </c>
      <c r="E826" s="130">
        <v>5057914</v>
      </c>
      <c r="F826" t="s">
        <v>87</v>
      </c>
      <c r="G826">
        <v>358</v>
      </c>
      <c r="H826" t="s">
        <v>8953</v>
      </c>
      <c r="I826" s="131">
        <v>9</v>
      </c>
      <c r="J826" t="s">
        <v>2450</v>
      </c>
      <c r="K826" t="s">
        <v>95</v>
      </c>
      <c r="L826" t="s">
        <v>109</v>
      </c>
      <c r="M826" t="s">
        <v>133</v>
      </c>
      <c r="N826" t="s">
        <v>118</v>
      </c>
      <c r="O826" t="s">
        <v>1345</v>
      </c>
    </row>
    <row r="827" spans="1:15" x14ac:dyDescent="0.3">
      <c r="A827" s="130">
        <v>4680</v>
      </c>
      <c r="B827" s="130">
        <v>18</v>
      </c>
      <c r="C827" s="130" t="s">
        <v>2451</v>
      </c>
      <c r="D827">
        <v>7735</v>
      </c>
      <c r="E827" s="130">
        <v>14567063</v>
      </c>
      <c r="F827" t="s">
        <v>87</v>
      </c>
      <c r="G827">
        <v>78</v>
      </c>
      <c r="H827" t="s">
        <v>8951</v>
      </c>
      <c r="I827" s="131">
        <v>10</v>
      </c>
      <c r="J827" t="s">
        <v>2451</v>
      </c>
      <c r="K827" t="s">
        <v>108</v>
      </c>
      <c r="L827" t="s">
        <v>127</v>
      </c>
      <c r="M827" t="s">
        <v>112</v>
      </c>
      <c r="N827" t="s">
        <v>118</v>
      </c>
      <c r="O827" t="s">
        <v>1345</v>
      </c>
    </row>
    <row r="828" spans="1:15" x14ac:dyDescent="0.3">
      <c r="A828" s="130">
        <v>4681</v>
      </c>
      <c r="B828" s="130">
        <v>74</v>
      </c>
      <c r="C828" s="130" t="s">
        <v>2452</v>
      </c>
      <c r="D828">
        <v>7736</v>
      </c>
      <c r="E828" s="130">
        <v>42150391</v>
      </c>
      <c r="F828" t="s">
        <v>87</v>
      </c>
      <c r="G828">
        <v>77</v>
      </c>
      <c r="H828" t="s">
        <v>8952</v>
      </c>
      <c r="I828" s="131">
        <v>24</v>
      </c>
      <c r="J828" t="s">
        <v>2452</v>
      </c>
      <c r="K828" t="s">
        <v>95</v>
      </c>
      <c r="L828" t="s">
        <v>117</v>
      </c>
      <c r="M828" t="s">
        <v>210</v>
      </c>
      <c r="N828" t="s">
        <v>114</v>
      </c>
      <c r="O828" t="s">
        <v>1345</v>
      </c>
    </row>
    <row r="829" spans="1:15" x14ac:dyDescent="0.3">
      <c r="A829" s="130">
        <v>4686</v>
      </c>
      <c r="B829" s="130">
        <v>30</v>
      </c>
      <c r="C829" s="130" t="s">
        <v>2453</v>
      </c>
      <c r="D829">
        <v>7742</v>
      </c>
      <c r="E829" s="130">
        <v>33189131</v>
      </c>
      <c r="F829" t="s">
        <v>87</v>
      </c>
      <c r="G829">
        <v>358</v>
      </c>
      <c r="H829" t="s">
        <v>8953</v>
      </c>
      <c r="I829" s="130">
        <v>24</v>
      </c>
      <c r="J829" t="s">
        <v>2453</v>
      </c>
      <c r="K829" t="s">
        <v>95</v>
      </c>
      <c r="L829" t="s">
        <v>1346</v>
      </c>
      <c r="M829" t="s">
        <v>103</v>
      </c>
      <c r="N829" t="s">
        <v>98</v>
      </c>
      <c r="O829" t="s">
        <v>1345</v>
      </c>
    </row>
    <row r="830" spans="1:15" x14ac:dyDescent="0.3">
      <c r="A830" s="130">
        <v>4687</v>
      </c>
      <c r="B830" s="130">
        <v>30</v>
      </c>
      <c r="C830" s="130" t="s">
        <v>2454</v>
      </c>
      <c r="D830">
        <v>7744</v>
      </c>
      <c r="E830" s="130">
        <v>42441965</v>
      </c>
      <c r="F830" t="s">
        <v>87</v>
      </c>
      <c r="G830">
        <v>78</v>
      </c>
      <c r="H830" t="s">
        <v>8951</v>
      </c>
      <c r="I830" s="131">
        <v>10</v>
      </c>
      <c r="J830" t="s">
        <v>2454</v>
      </c>
      <c r="K830" t="s">
        <v>95</v>
      </c>
      <c r="L830" t="s">
        <v>96</v>
      </c>
      <c r="M830" t="s">
        <v>103</v>
      </c>
      <c r="N830" t="s">
        <v>98</v>
      </c>
      <c r="O830" t="s">
        <v>1345</v>
      </c>
    </row>
    <row r="831" spans="1:15" x14ac:dyDescent="0.3">
      <c r="A831" s="130">
        <v>4688</v>
      </c>
      <c r="B831" s="130">
        <v>30</v>
      </c>
      <c r="C831" s="130" t="s">
        <v>2455</v>
      </c>
      <c r="D831">
        <v>7745</v>
      </c>
      <c r="E831" s="130">
        <v>21658572</v>
      </c>
      <c r="F831" t="s">
        <v>87</v>
      </c>
      <c r="G831">
        <v>78</v>
      </c>
      <c r="H831" t="s">
        <v>8952</v>
      </c>
      <c r="I831" s="130">
        <v>19</v>
      </c>
      <c r="J831" t="s">
        <v>2455</v>
      </c>
      <c r="K831" t="s">
        <v>108</v>
      </c>
      <c r="L831" t="s">
        <v>146</v>
      </c>
      <c r="M831" t="s">
        <v>103</v>
      </c>
      <c r="N831" t="s">
        <v>98</v>
      </c>
      <c r="O831" t="s">
        <v>1345</v>
      </c>
    </row>
    <row r="832" spans="1:15" x14ac:dyDescent="0.3">
      <c r="A832" s="130">
        <v>4696</v>
      </c>
      <c r="B832" s="130">
        <v>18</v>
      </c>
      <c r="C832" s="130" t="s">
        <v>2456</v>
      </c>
      <c r="D832">
        <v>7623</v>
      </c>
      <c r="E832" s="130">
        <v>14742012</v>
      </c>
      <c r="F832" t="s">
        <v>87</v>
      </c>
      <c r="G832">
        <v>78</v>
      </c>
      <c r="H832" t="s">
        <v>8953</v>
      </c>
      <c r="I832" s="130">
        <v>9</v>
      </c>
      <c r="J832" t="s">
        <v>2456</v>
      </c>
      <c r="K832" t="s">
        <v>108</v>
      </c>
      <c r="L832" t="s">
        <v>125</v>
      </c>
      <c r="M832" t="s">
        <v>112</v>
      </c>
      <c r="N832" t="s">
        <v>98</v>
      </c>
      <c r="O832" t="s">
        <v>1345</v>
      </c>
    </row>
    <row r="833" spans="1:15" x14ac:dyDescent="0.3">
      <c r="A833" s="130">
        <v>4698</v>
      </c>
      <c r="B833" s="130">
        <v>60</v>
      </c>
      <c r="C833" s="130" t="s">
        <v>2457</v>
      </c>
      <c r="D833">
        <v>7760</v>
      </c>
      <c r="E833" s="130">
        <v>48246920</v>
      </c>
      <c r="F833" t="s">
        <v>87</v>
      </c>
      <c r="G833">
        <v>77</v>
      </c>
      <c r="H833" t="s">
        <v>8951</v>
      </c>
      <c r="I833" s="130">
        <v>9</v>
      </c>
      <c r="J833" t="s">
        <v>2457</v>
      </c>
      <c r="K833" t="s">
        <v>95</v>
      </c>
      <c r="L833" t="s">
        <v>117</v>
      </c>
      <c r="M833" t="s">
        <v>97</v>
      </c>
      <c r="N833" t="s">
        <v>98</v>
      </c>
      <c r="O833" t="s">
        <v>1345</v>
      </c>
    </row>
    <row r="834" spans="1:15" x14ac:dyDescent="0.3">
      <c r="A834" s="130">
        <v>4711</v>
      </c>
      <c r="B834" s="130">
        <v>11</v>
      </c>
      <c r="C834" s="130" t="s">
        <v>2458</v>
      </c>
      <c r="D834">
        <v>7772</v>
      </c>
      <c r="E834" s="130">
        <v>69318186</v>
      </c>
      <c r="F834" t="s">
        <v>87</v>
      </c>
      <c r="G834">
        <v>358</v>
      </c>
      <c r="H834" t="s">
        <v>8952</v>
      </c>
      <c r="I834" s="130">
        <v>10</v>
      </c>
      <c r="J834" t="s">
        <v>2458</v>
      </c>
      <c r="K834" t="s">
        <v>108</v>
      </c>
      <c r="L834" t="s">
        <v>105</v>
      </c>
      <c r="M834" t="s">
        <v>1243</v>
      </c>
      <c r="N834" t="s">
        <v>98</v>
      </c>
      <c r="O834" t="s">
        <v>1345</v>
      </c>
    </row>
    <row r="835" spans="1:15" x14ac:dyDescent="0.3">
      <c r="A835" s="130">
        <v>4712</v>
      </c>
      <c r="B835" s="130">
        <v>30</v>
      </c>
      <c r="C835" s="130" t="s">
        <v>2459</v>
      </c>
      <c r="D835">
        <v>7775</v>
      </c>
      <c r="E835" s="131">
        <v>42441965</v>
      </c>
      <c r="F835" t="s">
        <v>87</v>
      </c>
      <c r="G835">
        <v>78</v>
      </c>
      <c r="H835" t="s">
        <v>8953</v>
      </c>
      <c r="I835" s="131">
        <v>10</v>
      </c>
      <c r="J835" t="s">
        <v>2459</v>
      </c>
      <c r="K835" t="s">
        <v>95</v>
      </c>
      <c r="L835" t="s">
        <v>96</v>
      </c>
      <c r="M835" t="s">
        <v>103</v>
      </c>
      <c r="N835" t="s">
        <v>98</v>
      </c>
      <c r="O835" t="s">
        <v>1345</v>
      </c>
    </row>
    <row r="836" spans="1:15" x14ac:dyDescent="0.3">
      <c r="A836" s="130">
        <v>4714</v>
      </c>
      <c r="B836" s="130">
        <v>30</v>
      </c>
      <c r="C836" s="130" t="s">
        <v>2460</v>
      </c>
      <c r="D836">
        <v>7777</v>
      </c>
      <c r="E836" s="130">
        <v>2693750</v>
      </c>
      <c r="F836" t="s">
        <v>87</v>
      </c>
      <c r="G836">
        <v>78</v>
      </c>
      <c r="H836" t="s">
        <v>8951</v>
      </c>
      <c r="I836" s="131">
        <v>10</v>
      </c>
      <c r="J836" t="s">
        <v>2460</v>
      </c>
      <c r="K836" t="s">
        <v>108</v>
      </c>
      <c r="L836" t="s">
        <v>127</v>
      </c>
      <c r="M836" t="s">
        <v>103</v>
      </c>
      <c r="N836" t="s">
        <v>118</v>
      </c>
      <c r="O836" t="s">
        <v>1345</v>
      </c>
    </row>
    <row r="837" spans="1:15" x14ac:dyDescent="0.3">
      <c r="A837" s="130">
        <v>4715</v>
      </c>
      <c r="B837" s="130">
        <v>30</v>
      </c>
      <c r="C837" s="130" t="s">
        <v>2461</v>
      </c>
      <c r="D837">
        <v>7778</v>
      </c>
      <c r="E837" s="131">
        <v>42441965</v>
      </c>
      <c r="F837" t="s">
        <v>87</v>
      </c>
      <c r="G837">
        <v>78</v>
      </c>
      <c r="H837" t="s">
        <v>8952</v>
      </c>
      <c r="I837" s="131">
        <v>10</v>
      </c>
      <c r="J837" t="s">
        <v>2461</v>
      </c>
      <c r="K837" t="s">
        <v>95</v>
      </c>
      <c r="L837" t="s">
        <v>96</v>
      </c>
      <c r="M837" t="s">
        <v>103</v>
      </c>
      <c r="N837" t="s">
        <v>98</v>
      </c>
      <c r="O837" t="s">
        <v>1345</v>
      </c>
    </row>
    <row r="838" spans="1:15" x14ac:dyDescent="0.3">
      <c r="A838" s="130">
        <v>4722</v>
      </c>
      <c r="B838" s="130">
        <v>-1</v>
      </c>
      <c r="C838" s="130" t="s">
        <v>2462</v>
      </c>
      <c r="D838">
        <v>7788</v>
      </c>
      <c r="E838" s="131">
        <v>33704144</v>
      </c>
      <c r="F838" t="s">
        <v>87</v>
      </c>
      <c r="G838">
        <v>78</v>
      </c>
      <c r="H838" t="s">
        <v>8953</v>
      </c>
      <c r="I838" s="130">
        <v>3</v>
      </c>
      <c r="J838" t="s">
        <v>2462</v>
      </c>
      <c r="K838" t="s">
        <v>108</v>
      </c>
      <c r="L838" t="s">
        <v>109</v>
      </c>
      <c r="M838" t="s">
        <v>174</v>
      </c>
      <c r="N838" t="s">
        <v>124</v>
      </c>
      <c r="O838" t="s">
        <v>116</v>
      </c>
    </row>
    <row r="839" spans="1:15" x14ac:dyDescent="0.3">
      <c r="A839" s="130">
        <v>4727</v>
      </c>
      <c r="B839" s="130">
        <v>5</v>
      </c>
      <c r="C839" s="130" t="s">
        <v>2463</v>
      </c>
      <c r="D839">
        <v>7793</v>
      </c>
      <c r="E839" s="130">
        <v>22836185</v>
      </c>
      <c r="F839" t="s">
        <v>87</v>
      </c>
      <c r="G839">
        <v>78</v>
      </c>
      <c r="H839" t="s">
        <v>8951</v>
      </c>
      <c r="I839" s="131">
        <v>19</v>
      </c>
      <c r="J839" t="s">
        <v>2463</v>
      </c>
      <c r="K839" t="s">
        <v>108</v>
      </c>
      <c r="L839" t="s">
        <v>146</v>
      </c>
      <c r="M839" t="s">
        <v>129</v>
      </c>
      <c r="N839" t="s">
        <v>101</v>
      </c>
      <c r="O839" t="s">
        <v>1345</v>
      </c>
    </row>
    <row r="840" spans="1:15" x14ac:dyDescent="0.3">
      <c r="A840" s="130">
        <v>4729</v>
      </c>
      <c r="B840" s="130">
        <v>-1</v>
      </c>
      <c r="C840" s="130" t="s">
        <v>2464</v>
      </c>
      <c r="D840">
        <v>7795</v>
      </c>
      <c r="E840" s="130">
        <v>38311198</v>
      </c>
      <c r="F840" t="s">
        <v>87</v>
      </c>
      <c r="G840">
        <v>78</v>
      </c>
      <c r="H840" t="s">
        <v>8952</v>
      </c>
      <c r="I840" s="130">
        <v>9</v>
      </c>
      <c r="J840" t="s">
        <v>2464</v>
      </c>
      <c r="K840" t="s">
        <v>108</v>
      </c>
      <c r="L840" t="s">
        <v>134</v>
      </c>
      <c r="M840" t="s">
        <v>174</v>
      </c>
      <c r="N840" t="s">
        <v>98</v>
      </c>
      <c r="O840" t="s">
        <v>1345</v>
      </c>
    </row>
    <row r="841" spans="1:15" x14ac:dyDescent="0.3">
      <c r="A841" s="130">
        <v>4732</v>
      </c>
      <c r="B841" s="130">
        <v>18</v>
      </c>
      <c r="C841" s="130" t="s">
        <v>2465</v>
      </c>
      <c r="D841">
        <v>7797</v>
      </c>
      <c r="E841" s="130">
        <v>507949</v>
      </c>
      <c r="F841" t="s">
        <v>87</v>
      </c>
      <c r="G841">
        <v>78</v>
      </c>
      <c r="H841" t="s">
        <v>8953</v>
      </c>
      <c r="I841" s="131">
        <v>19</v>
      </c>
      <c r="J841" t="s">
        <v>2465</v>
      </c>
      <c r="K841" t="s">
        <v>95</v>
      </c>
      <c r="L841" t="s">
        <v>146</v>
      </c>
      <c r="M841" t="s">
        <v>112</v>
      </c>
      <c r="N841" t="s">
        <v>98</v>
      </c>
      <c r="O841" t="s">
        <v>1345</v>
      </c>
    </row>
    <row r="842" spans="1:15" x14ac:dyDescent="0.3">
      <c r="A842" s="130">
        <v>4735</v>
      </c>
      <c r="B842" s="130">
        <v>30</v>
      </c>
      <c r="C842" s="130" t="s">
        <v>2466</v>
      </c>
      <c r="D842">
        <v>7803</v>
      </c>
      <c r="E842" s="130">
        <v>33000167</v>
      </c>
      <c r="F842" t="s">
        <v>87</v>
      </c>
      <c r="G842">
        <v>78</v>
      </c>
      <c r="H842" t="s">
        <v>8951</v>
      </c>
      <c r="I842" s="130">
        <v>24</v>
      </c>
      <c r="J842" t="s">
        <v>2466</v>
      </c>
      <c r="K842" t="s">
        <v>95</v>
      </c>
      <c r="L842" t="s">
        <v>102</v>
      </c>
      <c r="M842" t="s">
        <v>103</v>
      </c>
      <c r="N842" t="s">
        <v>114</v>
      </c>
      <c r="O842" t="s">
        <v>116</v>
      </c>
    </row>
    <row r="843" spans="1:15" x14ac:dyDescent="0.3">
      <c r="A843" s="130">
        <v>4736</v>
      </c>
      <c r="B843" s="130">
        <v>15</v>
      </c>
      <c r="C843" s="130" t="s">
        <v>2467</v>
      </c>
      <c r="D843">
        <v>7805</v>
      </c>
      <c r="E843" s="130">
        <v>5057914</v>
      </c>
      <c r="F843" t="s">
        <v>87</v>
      </c>
      <c r="G843">
        <v>358</v>
      </c>
      <c r="H843" t="s">
        <v>8952</v>
      </c>
      <c r="I843" s="131">
        <v>3</v>
      </c>
      <c r="J843" t="s">
        <v>2467</v>
      </c>
      <c r="K843" t="s">
        <v>95</v>
      </c>
      <c r="L843" t="s">
        <v>109</v>
      </c>
      <c r="M843" t="s">
        <v>145</v>
      </c>
      <c r="N843" t="s">
        <v>118</v>
      </c>
      <c r="O843" t="s">
        <v>1345</v>
      </c>
    </row>
    <row r="844" spans="1:15" x14ac:dyDescent="0.3">
      <c r="A844" s="130">
        <v>4742</v>
      </c>
      <c r="B844" s="130">
        <v>30</v>
      </c>
      <c r="C844" s="130" t="s">
        <v>2468</v>
      </c>
      <c r="D844">
        <v>7816</v>
      </c>
      <c r="E844" s="131">
        <v>4060779</v>
      </c>
      <c r="F844" t="s">
        <v>87</v>
      </c>
      <c r="G844">
        <v>358</v>
      </c>
      <c r="H844" t="s">
        <v>8953</v>
      </c>
      <c r="I844" s="131">
        <v>18</v>
      </c>
      <c r="J844" t="s">
        <v>2468</v>
      </c>
      <c r="K844" t="s">
        <v>95</v>
      </c>
      <c r="L844" t="s">
        <v>111</v>
      </c>
      <c r="M844" t="s">
        <v>103</v>
      </c>
      <c r="N844" t="s">
        <v>98</v>
      </c>
      <c r="O844" t="s">
        <v>1345</v>
      </c>
    </row>
    <row r="845" spans="1:15" x14ac:dyDescent="0.3">
      <c r="A845" s="130">
        <v>4743</v>
      </c>
      <c r="B845" s="130">
        <v>60</v>
      </c>
      <c r="C845" s="130" t="s">
        <v>2469</v>
      </c>
      <c r="D845">
        <v>7817</v>
      </c>
      <c r="E845" s="130">
        <v>3176142</v>
      </c>
      <c r="F845" t="s">
        <v>87</v>
      </c>
      <c r="G845">
        <v>78</v>
      </c>
      <c r="H845" t="s">
        <v>8951</v>
      </c>
      <c r="I845" s="131">
        <v>18</v>
      </c>
      <c r="J845" t="s">
        <v>2469</v>
      </c>
      <c r="K845" t="s">
        <v>95</v>
      </c>
      <c r="L845" t="s">
        <v>123</v>
      </c>
      <c r="M845" t="s">
        <v>97</v>
      </c>
      <c r="N845" t="s">
        <v>98</v>
      </c>
      <c r="O845" t="s">
        <v>1345</v>
      </c>
    </row>
    <row r="846" spans="1:15" x14ac:dyDescent="0.3">
      <c r="A846" s="130">
        <v>4746</v>
      </c>
      <c r="B846" s="130">
        <v>30</v>
      </c>
      <c r="C846" s="130" t="s">
        <v>2470</v>
      </c>
      <c r="D846">
        <v>7822</v>
      </c>
      <c r="E846" s="130">
        <v>2102318</v>
      </c>
      <c r="F846" t="s">
        <v>87</v>
      </c>
      <c r="G846">
        <v>78</v>
      </c>
      <c r="H846" t="s">
        <v>8952</v>
      </c>
      <c r="I846" s="131">
        <v>18</v>
      </c>
      <c r="J846" t="s">
        <v>2470</v>
      </c>
      <c r="K846" t="s">
        <v>95</v>
      </c>
      <c r="L846" t="s">
        <v>123</v>
      </c>
      <c r="M846" t="s">
        <v>103</v>
      </c>
      <c r="N846" t="s">
        <v>98</v>
      </c>
      <c r="O846" t="s">
        <v>1345</v>
      </c>
    </row>
    <row r="847" spans="1:15" x14ac:dyDescent="0.3">
      <c r="A847" s="130">
        <v>4747</v>
      </c>
      <c r="B847" s="130">
        <v>18</v>
      </c>
      <c r="C847" s="130" t="s">
        <v>2471</v>
      </c>
      <c r="D847">
        <v>7826</v>
      </c>
      <c r="E847" s="131">
        <v>63827026</v>
      </c>
      <c r="F847" t="s">
        <v>87</v>
      </c>
      <c r="G847">
        <v>78</v>
      </c>
      <c r="H847" t="s">
        <v>8953</v>
      </c>
      <c r="I847" s="130">
        <v>9</v>
      </c>
      <c r="J847" t="s">
        <v>2471</v>
      </c>
      <c r="K847" t="s">
        <v>108</v>
      </c>
      <c r="L847" t="s">
        <v>125</v>
      </c>
      <c r="M847" t="s">
        <v>112</v>
      </c>
      <c r="N847" t="s">
        <v>101</v>
      </c>
      <c r="O847" t="s">
        <v>116</v>
      </c>
    </row>
    <row r="848" spans="1:15" x14ac:dyDescent="0.3">
      <c r="A848" s="130">
        <v>4757</v>
      </c>
      <c r="B848" s="130">
        <v>18</v>
      </c>
      <c r="C848" s="130" t="s">
        <v>2472</v>
      </c>
      <c r="D848">
        <v>7651</v>
      </c>
      <c r="E848" s="130">
        <v>32516008</v>
      </c>
      <c r="F848" t="s">
        <v>87</v>
      </c>
      <c r="G848">
        <v>78</v>
      </c>
      <c r="H848" t="s">
        <v>8951</v>
      </c>
      <c r="I848" s="130">
        <v>9</v>
      </c>
      <c r="J848" t="s">
        <v>2472</v>
      </c>
      <c r="K848" t="s">
        <v>108</v>
      </c>
      <c r="L848" t="s">
        <v>163</v>
      </c>
      <c r="M848" t="s">
        <v>112</v>
      </c>
      <c r="N848" t="s">
        <v>98</v>
      </c>
      <c r="O848" t="s">
        <v>116</v>
      </c>
    </row>
    <row r="849" spans="1:15" x14ac:dyDescent="0.3">
      <c r="A849" s="130">
        <v>4762</v>
      </c>
      <c r="B849" s="130">
        <v>18</v>
      </c>
      <c r="C849" s="130" t="s">
        <v>2473</v>
      </c>
      <c r="D849">
        <v>7841</v>
      </c>
      <c r="E849" s="130">
        <v>86826443</v>
      </c>
      <c r="F849" t="s">
        <v>87</v>
      </c>
      <c r="G849">
        <v>78</v>
      </c>
      <c r="H849" t="s">
        <v>8952</v>
      </c>
      <c r="I849" s="130">
        <v>10</v>
      </c>
      <c r="J849" t="s">
        <v>2473</v>
      </c>
      <c r="K849" t="s">
        <v>108</v>
      </c>
      <c r="L849" t="s">
        <v>127</v>
      </c>
      <c r="M849" t="s">
        <v>112</v>
      </c>
      <c r="N849" t="s">
        <v>124</v>
      </c>
      <c r="O849" t="s">
        <v>1345</v>
      </c>
    </row>
    <row r="850" spans="1:15" x14ac:dyDescent="0.3">
      <c r="A850" s="130">
        <v>4764</v>
      </c>
      <c r="B850" s="130">
        <v>21</v>
      </c>
      <c r="C850" s="130" t="s">
        <v>2474</v>
      </c>
      <c r="D850">
        <v>7844</v>
      </c>
      <c r="E850" s="131">
        <v>5150719</v>
      </c>
      <c r="F850" t="s">
        <v>87</v>
      </c>
      <c r="G850">
        <v>78</v>
      </c>
      <c r="H850" t="s">
        <v>8953</v>
      </c>
      <c r="I850" s="130">
        <v>10</v>
      </c>
      <c r="J850" t="s">
        <v>2474</v>
      </c>
      <c r="K850" t="s">
        <v>95</v>
      </c>
      <c r="L850" t="s">
        <v>127</v>
      </c>
      <c r="M850" t="s">
        <v>137</v>
      </c>
      <c r="N850" t="s">
        <v>98</v>
      </c>
      <c r="O850" t="s">
        <v>116</v>
      </c>
    </row>
    <row r="851" spans="1:15" x14ac:dyDescent="0.3">
      <c r="A851" s="130">
        <v>4766</v>
      </c>
      <c r="B851" s="130">
        <v>30</v>
      </c>
      <c r="C851" s="130" t="s">
        <v>2475</v>
      </c>
      <c r="D851">
        <v>7847</v>
      </c>
      <c r="E851" s="130">
        <v>42441965</v>
      </c>
      <c r="F851" t="s">
        <v>87</v>
      </c>
      <c r="G851">
        <v>78</v>
      </c>
      <c r="H851" t="s">
        <v>8951</v>
      </c>
      <c r="I851" s="131">
        <v>10</v>
      </c>
      <c r="J851" t="s">
        <v>2475</v>
      </c>
      <c r="K851" t="s">
        <v>95</v>
      </c>
      <c r="L851" t="s">
        <v>96</v>
      </c>
      <c r="M851" t="s">
        <v>103</v>
      </c>
      <c r="N851" t="s">
        <v>98</v>
      </c>
      <c r="O851" t="s">
        <v>1345</v>
      </c>
    </row>
    <row r="852" spans="1:15" x14ac:dyDescent="0.3">
      <c r="A852" s="130">
        <v>4777</v>
      </c>
      <c r="B852" s="130">
        <v>30</v>
      </c>
      <c r="C852" s="130" t="s">
        <v>2476</v>
      </c>
      <c r="D852">
        <v>7861</v>
      </c>
      <c r="E852" s="130">
        <v>42441965</v>
      </c>
      <c r="F852" t="s">
        <v>87</v>
      </c>
      <c r="G852">
        <v>78</v>
      </c>
      <c r="H852" t="s">
        <v>8952</v>
      </c>
      <c r="I852" s="130">
        <v>10</v>
      </c>
      <c r="J852" t="s">
        <v>2476</v>
      </c>
      <c r="K852" t="s">
        <v>95</v>
      </c>
      <c r="L852" t="s">
        <v>96</v>
      </c>
      <c r="M852" t="s">
        <v>103</v>
      </c>
      <c r="N852" t="s">
        <v>98</v>
      </c>
      <c r="O852" t="s">
        <v>1345</v>
      </c>
    </row>
    <row r="853" spans="1:15" x14ac:dyDescent="0.3">
      <c r="A853" s="130">
        <v>4778</v>
      </c>
      <c r="B853" s="130">
        <v>30</v>
      </c>
      <c r="C853" s="130" t="s">
        <v>2477</v>
      </c>
      <c r="D853">
        <v>7862</v>
      </c>
      <c r="E853" s="130">
        <v>42441965</v>
      </c>
      <c r="F853" t="s">
        <v>87</v>
      </c>
      <c r="G853">
        <v>78</v>
      </c>
      <c r="H853" t="s">
        <v>8953</v>
      </c>
      <c r="I853" s="130">
        <v>10</v>
      </c>
      <c r="J853" t="s">
        <v>2477</v>
      </c>
      <c r="K853" t="s">
        <v>95</v>
      </c>
      <c r="L853" t="s">
        <v>96</v>
      </c>
      <c r="M853" t="s">
        <v>103</v>
      </c>
      <c r="N853" t="s">
        <v>98</v>
      </c>
      <c r="O853" t="s">
        <v>1345</v>
      </c>
    </row>
    <row r="854" spans="1:15" x14ac:dyDescent="0.3">
      <c r="A854" s="130">
        <v>4783</v>
      </c>
      <c r="B854" s="130">
        <v>18</v>
      </c>
      <c r="C854" s="130" t="s">
        <v>2478</v>
      </c>
      <c r="D854">
        <v>7870</v>
      </c>
      <c r="E854" s="131">
        <v>13190609</v>
      </c>
      <c r="F854" t="s">
        <v>87</v>
      </c>
      <c r="G854">
        <v>78</v>
      </c>
      <c r="H854" t="s">
        <v>8951</v>
      </c>
      <c r="I854" s="131">
        <v>26</v>
      </c>
      <c r="J854" t="s">
        <v>2478</v>
      </c>
      <c r="K854" t="s">
        <v>108</v>
      </c>
      <c r="L854" t="s">
        <v>151</v>
      </c>
      <c r="M854" t="s">
        <v>112</v>
      </c>
      <c r="N854" t="s">
        <v>114</v>
      </c>
      <c r="O854" t="s">
        <v>1345</v>
      </c>
    </row>
    <row r="855" spans="1:15" x14ac:dyDescent="0.3">
      <c r="A855" s="130">
        <v>4789</v>
      </c>
      <c r="B855" s="130">
        <v>30</v>
      </c>
      <c r="C855" s="130" t="s">
        <v>2479</v>
      </c>
      <c r="D855">
        <v>7873</v>
      </c>
      <c r="E855" s="130">
        <v>33000167</v>
      </c>
      <c r="F855" t="s">
        <v>87</v>
      </c>
      <c r="G855">
        <v>78</v>
      </c>
      <c r="H855" t="s">
        <v>8952</v>
      </c>
      <c r="I855" s="131">
        <v>18</v>
      </c>
      <c r="J855" t="s">
        <v>2479</v>
      </c>
      <c r="K855" t="s">
        <v>95</v>
      </c>
      <c r="L855" t="s">
        <v>102</v>
      </c>
      <c r="M855" t="s">
        <v>103</v>
      </c>
      <c r="N855" t="s">
        <v>114</v>
      </c>
      <c r="O855" t="s">
        <v>1345</v>
      </c>
    </row>
    <row r="856" spans="1:15" x14ac:dyDescent="0.3">
      <c r="A856" s="130">
        <v>4793</v>
      </c>
      <c r="B856" s="130">
        <v>30</v>
      </c>
      <c r="C856" s="130" t="s">
        <v>2480</v>
      </c>
      <c r="D856">
        <v>7882</v>
      </c>
      <c r="E856" s="130">
        <v>17572903</v>
      </c>
      <c r="F856" t="s">
        <v>87</v>
      </c>
      <c r="G856">
        <v>78</v>
      </c>
      <c r="H856" t="s">
        <v>8953</v>
      </c>
      <c r="I856" s="131">
        <v>9</v>
      </c>
      <c r="J856" t="s">
        <v>2480</v>
      </c>
      <c r="K856" t="s">
        <v>108</v>
      </c>
      <c r="L856" t="s">
        <v>125</v>
      </c>
      <c r="M856" t="s">
        <v>103</v>
      </c>
      <c r="N856" t="s">
        <v>98</v>
      </c>
      <c r="O856" t="s">
        <v>1345</v>
      </c>
    </row>
    <row r="857" spans="1:15" x14ac:dyDescent="0.3">
      <c r="A857" s="130">
        <v>4794</v>
      </c>
      <c r="B857" s="130">
        <v>30</v>
      </c>
      <c r="C857" s="130" t="s">
        <v>2481</v>
      </c>
      <c r="D857">
        <v>7881</v>
      </c>
      <c r="E857" s="130">
        <v>17572903</v>
      </c>
      <c r="F857" t="s">
        <v>87</v>
      </c>
      <c r="G857">
        <v>78</v>
      </c>
      <c r="H857" t="s">
        <v>8951</v>
      </c>
      <c r="I857" s="130">
        <v>9</v>
      </c>
      <c r="J857" t="s">
        <v>2481</v>
      </c>
      <c r="K857" t="s">
        <v>108</v>
      </c>
      <c r="L857" t="s">
        <v>125</v>
      </c>
      <c r="M857" t="s">
        <v>103</v>
      </c>
      <c r="N857" t="s">
        <v>98</v>
      </c>
      <c r="O857" t="s">
        <v>1345</v>
      </c>
    </row>
    <row r="858" spans="1:15" x14ac:dyDescent="0.3">
      <c r="A858" s="130">
        <v>4798</v>
      </c>
      <c r="B858" s="130">
        <v>-1</v>
      </c>
      <c r="C858" s="130" t="s">
        <v>2482</v>
      </c>
      <c r="D858">
        <v>7892</v>
      </c>
      <c r="E858" s="131">
        <v>17606870659</v>
      </c>
      <c r="F858" t="s">
        <v>87</v>
      </c>
      <c r="G858">
        <v>78</v>
      </c>
      <c r="H858" t="s">
        <v>8952</v>
      </c>
      <c r="I858" s="131">
        <v>3</v>
      </c>
      <c r="J858" t="s">
        <v>2482</v>
      </c>
      <c r="K858" t="s">
        <v>108</v>
      </c>
      <c r="L858" t="s">
        <v>140</v>
      </c>
      <c r="M858" t="s">
        <v>174</v>
      </c>
      <c r="N858" t="s">
        <v>110</v>
      </c>
      <c r="O858" t="s">
        <v>1345</v>
      </c>
    </row>
    <row r="859" spans="1:15" x14ac:dyDescent="0.3">
      <c r="A859" s="130">
        <v>4817</v>
      </c>
      <c r="B859" s="130">
        <v>15</v>
      </c>
      <c r="C859" s="130" t="s">
        <v>2483</v>
      </c>
      <c r="D859">
        <v>7924</v>
      </c>
      <c r="E859" s="130">
        <v>5057914</v>
      </c>
      <c r="F859" t="s">
        <v>87</v>
      </c>
      <c r="G859">
        <v>358</v>
      </c>
      <c r="H859" t="s">
        <v>8953</v>
      </c>
      <c r="I859" s="130">
        <v>9</v>
      </c>
      <c r="J859" t="s">
        <v>2483</v>
      </c>
      <c r="K859" t="s">
        <v>95</v>
      </c>
      <c r="L859" t="s">
        <v>109</v>
      </c>
      <c r="M859" t="s">
        <v>145</v>
      </c>
      <c r="N859" t="s">
        <v>118</v>
      </c>
      <c r="O859" t="s">
        <v>1345</v>
      </c>
    </row>
    <row r="860" spans="1:15" x14ac:dyDescent="0.3">
      <c r="A860" s="130">
        <v>4826</v>
      </c>
      <c r="B860" s="130">
        <v>6</v>
      </c>
      <c r="C860" s="130" t="s">
        <v>2484</v>
      </c>
      <c r="D860">
        <v>7937</v>
      </c>
      <c r="E860" s="130">
        <v>32736323</v>
      </c>
      <c r="F860" t="s">
        <v>87</v>
      </c>
      <c r="G860">
        <v>78</v>
      </c>
      <c r="H860" t="s">
        <v>8951</v>
      </c>
      <c r="I860" s="130">
        <v>3</v>
      </c>
      <c r="J860" t="s">
        <v>2484</v>
      </c>
      <c r="K860" t="s">
        <v>108</v>
      </c>
      <c r="L860" t="s">
        <v>140</v>
      </c>
      <c r="M860" t="s">
        <v>205</v>
      </c>
      <c r="N860" t="s">
        <v>150</v>
      </c>
      <c r="O860" t="s">
        <v>1345</v>
      </c>
    </row>
    <row r="861" spans="1:15" x14ac:dyDescent="0.3">
      <c r="A861" s="130">
        <v>4835</v>
      </c>
      <c r="B861" s="130">
        <v>30</v>
      </c>
      <c r="C861" s="130" t="s">
        <v>2485</v>
      </c>
      <c r="D861">
        <v>7952</v>
      </c>
      <c r="E861" s="131">
        <v>19339804</v>
      </c>
      <c r="F861" t="s">
        <v>87</v>
      </c>
      <c r="G861">
        <v>78</v>
      </c>
      <c r="H861" t="s">
        <v>8952</v>
      </c>
      <c r="I861" s="130">
        <v>19</v>
      </c>
      <c r="J861" t="s">
        <v>2485</v>
      </c>
      <c r="K861" t="s">
        <v>108</v>
      </c>
      <c r="L861" t="s">
        <v>146</v>
      </c>
      <c r="M861" t="s">
        <v>103</v>
      </c>
      <c r="N861" t="s">
        <v>98</v>
      </c>
      <c r="O861" t="s">
        <v>1345</v>
      </c>
    </row>
    <row r="862" spans="1:15" x14ac:dyDescent="0.3">
      <c r="A862" s="130">
        <v>4843</v>
      </c>
      <c r="B862" s="130">
        <v>18</v>
      </c>
      <c r="C862" s="130" t="s">
        <v>2486</v>
      </c>
      <c r="D862">
        <v>7964</v>
      </c>
      <c r="E862" s="130">
        <v>23585778</v>
      </c>
      <c r="F862" t="s">
        <v>87</v>
      </c>
      <c r="G862">
        <v>78</v>
      </c>
      <c r="H862" t="s">
        <v>8953</v>
      </c>
      <c r="I862" s="130">
        <v>18</v>
      </c>
      <c r="J862" t="s">
        <v>2486</v>
      </c>
      <c r="K862" t="s">
        <v>108</v>
      </c>
      <c r="L862" t="s">
        <v>123</v>
      </c>
      <c r="M862" t="s">
        <v>112</v>
      </c>
      <c r="N862" t="s">
        <v>98</v>
      </c>
      <c r="O862" t="s">
        <v>1345</v>
      </c>
    </row>
    <row r="863" spans="1:15" x14ac:dyDescent="0.3">
      <c r="A863" s="130">
        <v>4846</v>
      </c>
      <c r="B863" s="130">
        <v>60</v>
      </c>
      <c r="C863" s="130" t="s">
        <v>2487</v>
      </c>
      <c r="D863">
        <v>7969</v>
      </c>
      <c r="E863" s="130">
        <v>42150391</v>
      </c>
      <c r="F863" t="s">
        <v>87</v>
      </c>
      <c r="G863">
        <v>77</v>
      </c>
      <c r="H863" t="s">
        <v>8951</v>
      </c>
      <c r="I863" s="130">
        <v>24</v>
      </c>
      <c r="J863" t="s">
        <v>2487</v>
      </c>
      <c r="K863" t="s">
        <v>95</v>
      </c>
      <c r="L863" t="s">
        <v>117</v>
      </c>
      <c r="M863" t="s">
        <v>97</v>
      </c>
      <c r="N863" t="s">
        <v>114</v>
      </c>
      <c r="O863" t="s">
        <v>1345</v>
      </c>
    </row>
    <row r="864" spans="1:15" x14ac:dyDescent="0.3">
      <c r="A864" s="130">
        <v>4853</v>
      </c>
      <c r="B864" s="130">
        <v>30</v>
      </c>
      <c r="C864" s="130" t="s">
        <v>2488</v>
      </c>
      <c r="D864">
        <v>7979</v>
      </c>
      <c r="E864" s="131">
        <v>63827026</v>
      </c>
      <c r="F864" t="s">
        <v>87</v>
      </c>
      <c r="G864">
        <v>78</v>
      </c>
      <c r="H864" t="s">
        <v>8952</v>
      </c>
      <c r="I864" s="131">
        <v>10</v>
      </c>
      <c r="J864" t="s">
        <v>2488</v>
      </c>
      <c r="K864" t="s">
        <v>108</v>
      </c>
      <c r="L864" t="s">
        <v>127</v>
      </c>
      <c r="M864" t="s">
        <v>103</v>
      </c>
      <c r="N864" t="s">
        <v>118</v>
      </c>
      <c r="O864" t="s">
        <v>116</v>
      </c>
    </row>
    <row r="865" spans="1:15" x14ac:dyDescent="0.3">
      <c r="A865" s="130">
        <v>4857</v>
      </c>
      <c r="B865" s="130">
        <v>10</v>
      </c>
      <c r="C865" s="130" t="s">
        <v>2489</v>
      </c>
      <c r="D865">
        <v>7987</v>
      </c>
      <c r="E865" s="130">
        <v>11331066</v>
      </c>
      <c r="F865" t="s">
        <v>87</v>
      </c>
      <c r="G865">
        <v>78</v>
      </c>
      <c r="H865" t="s">
        <v>8953</v>
      </c>
      <c r="I865" s="130">
        <v>3</v>
      </c>
      <c r="J865" t="s">
        <v>2489</v>
      </c>
      <c r="K865" t="s">
        <v>108</v>
      </c>
      <c r="L865" t="s">
        <v>111</v>
      </c>
      <c r="M865" t="s">
        <v>133</v>
      </c>
      <c r="N865" t="s">
        <v>98</v>
      </c>
      <c r="O865" t="s">
        <v>1345</v>
      </c>
    </row>
    <row r="866" spans="1:15" x14ac:dyDescent="0.3">
      <c r="A866" s="130">
        <v>4858</v>
      </c>
      <c r="B866" s="130">
        <v>18</v>
      </c>
      <c r="C866" s="130" t="s">
        <v>2490</v>
      </c>
      <c r="D866">
        <v>7988</v>
      </c>
      <c r="E866" s="130">
        <v>28017837</v>
      </c>
      <c r="F866" t="s">
        <v>87</v>
      </c>
      <c r="G866">
        <v>78</v>
      </c>
      <c r="H866" t="s">
        <v>8951</v>
      </c>
      <c r="I866" s="130">
        <v>26</v>
      </c>
      <c r="J866" t="s">
        <v>2490</v>
      </c>
      <c r="K866" t="s">
        <v>108</v>
      </c>
      <c r="L866" t="s">
        <v>151</v>
      </c>
      <c r="M866" t="s">
        <v>112</v>
      </c>
      <c r="N866" t="s">
        <v>98</v>
      </c>
      <c r="O866" t="s">
        <v>1345</v>
      </c>
    </row>
    <row r="867" spans="1:15" x14ac:dyDescent="0.3">
      <c r="A867" s="130">
        <v>4864</v>
      </c>
      <c r="B867" s="130">
        <v>-1</v>
      </c>
      <c r="C867" s="130" t="s">
        <v>2491</v>
      </c>
      <c r="D867">
        <v>7934</v>
      </c>
      <c r="E867" s="130">
        <v>19919779</v>
      </c>
      <c r="F867" t="s">
        <v>87</v>
      </c>
      <c r="G867">
        <v>78</v>
      </c>
      <c r="H867" t="s">
        <v>8952</v>
      </c>
      <c r="I867" s="131">
        <v>9</v>
      </c>
      <c r="J867" t="s">
        <v>2491</v>
      </c>
      <c r="K867" t="s">
        <v>108</v>
      </c>
      <c r="L867" t="s">
        <v>125</v>
      </c>
      <c r="M867" t="s">
        <v>174</v>
      </c>
      <c r="N867" t="s">
        <v>101</v>
      </c>
      <c r="O867" t="s">
        <v>1345</v>
      </c>
    </row>
    <row r="868" spans="1:15" x14ac:dyDescent="0.3">
      <c r="A868" s="130">
        <v>4872</v>
      </c>
      <c r="B868" s="130">
        <v>18</v>
      </c>
      <c r="C868" s="130" t="s">
        <v>2492</v>
      </c>
      <c r="D868">
        <v>8011</v>
      </c>
      <c r="E868" s="131">
        <v>12843446</v>
      </c>
      <c r="F868" t="s">
        <v>87</v>
      </c>
      <c r="G868">
        <v>78</v>
      </c>
      <c r="H868" t="s">
        <v>8953</v>
      </c>
      <c r="I868" s="131">
        <v>19</v>
      </c>
      <c r="J868" t="s">
        <v>2492</v>
      </c>
      <c r="K868" t="s">
        <v>108</v>
      </c>
      <c r="L868" t="s">
        <v>146</v>
      </c>
      <c r="M868" t="s">
        <v>112</v>
      </c>
      <c r="N868" t="s">
        <v>150</v>
      </c>
      <c r="O868" t="s">
        <v>1345</v>
      </c>
    </row>
    <row r="869" spans="1:15" x14ac:dyDescent="0.3">
      <c r="A869" s="130">
        <v>4891</v>
      </c>
      <c r="B869" s="130">
        <v>30</v>
      </c>
      <c r="C869" s="130" t="s">
        <v>2493</v>
      </c>
      <c r="D869">
        <v>7995</v>
      </c>
      <c r="E869" s="131">
        <v>7522191</v>
      </c>
      <c r="F869" t="s">
        <v>87</v>
      </c>
      <c r="G869">
        <v>78</v>
      </c>
      <c r="H869" t="s">
        <v>8951</v>
      </c>
      <c r="I869" s="131">
        <v>3</v>
      </c>
      <c r="J869" t="s">
        <v>2493</v>
      </c>
      <c r="K869" t="s">
        <v>95</v>
      </c>
      <c r="L869" t="s">
        <v>109</v>
      </c>
      <c r="M869" t="s">
        <v>103</v>
      </c>
      <c r="N869" t="s">
        <v>114</v>
      </c>
      <c r="O869" t="s">
        <v>116</v>
      </c>
    </row>
    <row r="870" spans="1:15" x14ac:dyDescent="0.3">
      <c r="A870" s="130">
        <v>4901</v>
      </c>
      <c r="B870" s="130">
        <v>10</v>
      </c>
      <c r="C870" s="130" t="s">
        <v>2494</v>
      </c>
      <c r="D870">
        <v>8055</v>
      </c>
      <c r="E870" s="130">
        <v>75911438</v>
      </c>
      <c r="F870" t="s">
        <v>87</v>
      </c>
      <c r="G870">
        <v>358</v>
      </c>
      <c r="H870" t="s">
        <v>8952</v>
      </c>
      <c r="I870" s="130">
        <v>3</v>
      </c>
      <c r="J870" t="s">
        <v>2494</v>
      </c>
      <c r="K870" t="s">
        <v>95</v>
      </c>
      <c r="L870" t="s">
        <v>109</v>
      </c>
      <c r="M870" t="s">
        <v>133</v>
      </c>
      <c r="N870" t="s">
        <v>98</v>
      </c>
      <c r="O870" t="s">
        <v>1345</v>
      </c>
    </row>
    <row r="871" spans="1:15" x14ac:dyDescent="0.3">
      <c r="A871" s="130">
        <v>4907</v>
      </c>
      <c r="B871" s="130">
        <v>18</v>
      </c>
      <c r="C871" s="130" t="s">
        <v>2495</v>
      </c>
      <c r="D871">
        <v>8069</v>
      </c>
      <c r="E871" s="130">
        <v>25421735</v>
      </c>
      <c r="F871" t="s">
        <v>87</v>
      </c>
      <c r="G871">
        <v>78</v>
      </c>
      <c r="H871" t="s">
        <v>8953</v>
      </c>
      <c r="I871" s="130">
        <v>10</v>
      </c>
      <c r="J871" t="s">
        <v>2495</v>
      </c>
      <c r="K871" t="s">
        <v>95</v>
      </c>
      <c r="L871" t="s">
        <v>127</v>
      </c>
      <c r="M871" t="s">
        <v>112</v>
      </c>
      <c r="N871" t="s">
        <v>124</v>
      </c>
      <c r="O871" t="s">
        <v>1345</v>
      </c>
    </row>
    <row r="872" spans="1:15" x14ac:dyDescent="0.3">
      <c r="A872" s="130">
        <v>4908</v>
      </c>
      <c r="B872" s="130">
        <v>15</v>
      </c>
      <c r="C872" s="130" t="s">
        <v>2496</v>
      </c>
      <c r="D872">
        <v>8072</v>
      </c>
      <c r="E872" s="131">
        <v>31107261</v>
      </c>
      <c r="F872" t="s">
        <v>87</v>
      </c>
      <c r="G872">
        <v>358</v>
      </c>
      <c r="H872" t="s">
        <v>8951</v>
      </c>
      <c r="I872" s="130">
        <v>18</v>
      </c>
      <c r="J872" t="s">
        <v>2496</v>
      </c>
      <c r="K872" t="s">
        <v>108</v>
      </c>
      <c r="L872" t="s">
        <v>109</v>
      </c>
      <c r="M872" t="s">
        <v>145</v>
      </c>
      <c r="N872" t="s">
        <v>122</v>
      </c>
      <c r="O872" t="s">
        <v>116</v>
      </c>
    </row>
    <row r="873" spans="1:15" x14ac:dyDescent="0.3">
      <c r="A873" s="130">
        <v>4920</v>
      </c>
      <c r="B873" s="130">
        <v>18</v>
      </c>
      <c r="C873" s="130" t="s">
        <v>2497</v>
      </c>
      <c r="D873">
        <v>8094</v>
      </c>
      <c r="E873" s="131">
        <v>17162983</v>
      </c>
      <c r="F873" t="s">
        <v>87</v>
      </c>
      <c r="G873">
        <v>78</v>
      </c>
      <c r="H873" t="s">
        <v>8952</v>
      </c>
      <c r="I873" s="130">
        <v>18</v>
      </c>
      <c r="J873" t="s">
        <v>2497</v>
      </c>
      <c r="K873" t="s">
        <v>95</v>
      </c>
      <c r="L873" t="s">
        <v>111</v>
      </c>
      <c r="M873" t="s">
        <v>112</v>
      </c>
      <c r="N873" t="s">
        <v>98</v>
      </c>
      <c r="O873" t="s">
        <v>1345</v>
      </c>
    </row>
    <row r="874" spans="1:15" x14ac:dyDescent="0.3">
      <c r="A874" s="130">
        <v>4929</v>
      </c>
      <c r="B874" s="130">
        <v>18</v>
      </c>
      <c r="C874" s="130" t="s">
        <v>2498</v>
      </c>
      <c r="D874">
        <v>8022</v>
      </c>
      <c r="E874" s="131">
        <v>9001545</v>
      </c>
      <c r="F874" t="s">
        <v>87</v>
      </c>
      <c r="G874">
        <v>78</v>
      </c>
      <c r="H874" t="s">
        <v>8953</v>
      </c>
      <c r="I874" s="130">
        <v>10</v>
      </c>
      <c r="J874" t="s">
        <v>2498</v>
      </c>
      <c r="K874" t="s">
        <v>108</v>
      </c>
      <c r="L874" t="s">
        <v>127</v>
      </c>
      <c r="M874" t="s">
        <v>112</v>
      </c>
      <c r="N874" t="s">
        <v>118</v>
      </c>
      <c r="O874" t="s">
        <v>116</v>
      </c>
    </row>
    <row r="875" spans="1:15" x14ac:dyDescent="0.3">
      <c r="A875" s="130">
        <v>4930</v>
      </c>
      <c r="B875" s="130">
        <v>30</v>
      </c>
      <c r="C875" s="130" t="s">
        <v>2499</v>
      </c>
      <c r="D875">
        <v>8105</v>
      </c>
      <c r="E875" s="130">
        <v>2617158</v>
      </c>
      <c r="F875" t="s">
        <v>87</v>
      </c>
      <c r="G875">
        <v>78</v>
      </c>
      <c r="H875" t="s">
        <v>8951</v>
      </c>
      <c r="I875" s="130">
        <v>10</v>
      </c>
      <c r="J875" t="s">
        <v>2499</v>
      </c>
      <c r="K875" t="s">
        <v>108</v>
      </c>
      <c r="L875" t="s">
        <v>127</v>
      </c>
      <c r="M875" t="s">
        <v>103</v>
      </c>
      <c r="N875" t="s">
        <v>118</v>
      </c>
      <c r="O875" t="s">
        <v>1345</v>
      </c>
    </row>
    <row r="876" spans="1:15" x14ac:dyDescent="0.3">
      <c r="A876" s="130">
        <v>4936</v>
      </c>
      <c r="B876" s="130">
        <v>60</v>
      </c>
      <c r="C876" s="130" t="s">
        <v>2500</v>
      </c>
      <c r="D876">
        <v>8113</v>
      </c>
      <c r="E876" s="130">
        <v>242184</v>
      </c>
      <c r="F876" t="s">
        <v>87</v>
      </c>
      <c r="G876">
        <v>358</v>
      </c>
      <c r="H876" t="s">
        <v>8952</v>
      </c>
      <c r="I876" s="130">
        <v>18</v>
      </c>
      <c r="J876" t="s">
        <v>2500</v>
      </c>
      <c r="K876" t="s">
        <v>108</v>
      </c>
      <c r="L876" t="s">
        <v>111</v>
      </c>
      <c r="M876" t="s">
        <v>97</v>
      </c>
      <c r="N876" t="s">
        <v>98</v>
      </c>
      <c r="O876" t="s">
        <v>1345</v>
      </c>
    </row>
    <row r="877" spans="1:15" x14ac:dyDescent="0.3">
      <c r="A877" s="130">
        <v>4943</v>
      </c>
      <c r="B877" s="130">
        <v>30</v>
      </c>
      <c r="C877" s="130" t="s">
        <v>2501</v>
      </c>
      <c r="D877">
        <v>8123</v>
      </c>
      <c r="E877" s="130">
        <v>14753893</v>
      </c>
      <c r="F877" t="s">
        <v>87</v>
      </c>
      <c r="G877">
        <v>78</v>
      </c>
      <c r="H877" t="s">
        <v>8953</v>
      </c>
      <c r="I877" s="130">
        <v>19</v>
      </c>
      <c r="J877" t="s">
        <v>2501</v>
      </c>
      <c r="K877" t="s">
        <v>108</v>
      </c>
      <c r="L877" t="s">
        <v>146</v>
      </c>
      <c r="M877" t="s">
        <v>103</v>
      </c>
      <c r="N877" t="s">
        <v>98</v>
      </c>
      <c r="O877" t="s">
        <v>1345</v>
      </c>
    </row>
    <row r="878" spans="1:15" x14ac:dyDescent="0.3">
      <c r="A878" s="130">
        <v>4945</v>
      </c>
      <c r="B878" s="130">
        <v>21</v>
      </c>
      <c r="C878" s="130" t="s">
        <v>2502</v>
      </c>
      <c r="D878">
        <v>8125</v>
      </c>
      <c r="E878" s="130">
        <v>33841727</v>
      </c>
      <c r="F878" t="s">
        <v>87</v>
      </c>
      <c r="G878">
        <v>78</v>
      </c>
      <c r="H878" t="s">
        <v>8951</v>
      </c>
      <c r="I878" s="130">
        <v>43</v>
      </c>
      <c r="J878" t="s">
        <v>2502</v>
      </c>
      <c r="K878" t="s">
        <v>95</v>
      </c>
      <c r="L878" t="s">
        <v>159</v>
      </c>
      <c r="M878" t="s">
        <v>137</v>
      </c>
      <c r="N878" t="s">
        <v>98</v>
      </c>
      <c r="O878" t="s">
        <v>1345</v>
      </c>
    </row>
    <row r="879" spans="1:15" x14ac:dyDescent="0.3">
      <c r="A879" s="130">
        <v>4946</v>
      </c>
      <c r="B879" s="130">
        <v>10</v>
      </c>
      <c r="C879" s="130" t="s">
        <v>2503</v>
      </c>
      <c r="D879">
        <v>8126</v>
      </c>
      <c r="E879" s="130">
        <v>9535153</v>
      </c>
      <c r="F879" t="s">
        <v>87</v>
      </c>
      <c r="G879">
        <v>78</v>
      </c>
      <c r="H879" t="s">
        <v>8952</v>
      </c>
      <c r="I879" s="131">
        <v>3</v>
      </c>
      <c r="J879" t="s">
        <v>2503</v>
      </c>
      <c r="K879" t="s">
        <v>108</v>
      </c>
      <c r="L879" t="s">
        <v>111</v>
      </c>
      <c r="M879" t="s">
        <v>133</v>
      </c>
      <c r="N879" t="s">
        <v>98</v>
      </c>
      <c r="O879" t="s">
        <v>1345</v>
      </c>
    </row>
    <row r="880" spans="1:15" x14ac:dyDescent="0.3">
      <c r="A880" s="130">
        <v>4949</v>
      </c>
      <c r="B880" s="130">
        <v>18</v>
      </c>
      <c r="C880" s="130" t="s">
        <v>2504</v>
      </c>
      <c r="D880">
        <v>8132</v>
      </c>
      <c r="E880" s="130">
        <v>5515245</v>
      </c>
      <c r="F880" t="s">
        <v>87</v>
      </c>
      <c r="G880">
        <v>78</v>
      </c>
      <c r="H880" t="s">
        <v>8953</v>
      </c>
      <c r="I880" s="130">
        <v>9</v>
      </c>
      <c r="J880" t="s">
        <v>2504</v>
      </c>
      <c r="K880" t="s">
        <v>95</v>
      </c>
      <c r="L880" t="s">
        <v>125</v>
      </c>
      <c r="M880" t="s">
        <v>112</v>
      </c>
      <c r="N880" t="s">
        <v>98</v>
      </c>
      <c r="O880" t="s">
        <v>116</v>
      </c>
    </row>
    <row r="881" spans="1:15" x14ac:dyDescent="0.3">
      <c r="A881" s="130">
        <v>4952</v>
      </c>
      <c r="B881" s="130">
        <v>18</v>
      </c>
      <c r="C881" s="130" t="s">
        <v>2505</v>
      </c>
      <c r="D881">
        <v>8134</v>
      </c>
      <c r="E881" s="130">
        <v>14767790</v>
      </c>
      <c r="F881" t="s">
        <v>87</v>
      </c>
      <c r="G881">
        <v>78</v>
      </c>
      <c r="H881" t="s">
        <v>8951</v>
      </c>
      <c r="I881" s="130">
        <v>37</v>
      </c>
      <c r="J881" t="s">
        <v>2505</v>
      </c>
      <c r="K881" t="s">
        <v>95</v>
      </c>
      <c r="L881" t="s">
        <v>138</v>
      </c>
      <c r="M881" t="s">
        <v>112</v>
      </c>
      <c r="N881" t="s">
        <v>98</v>
      </c>
      <c r="O881" t="s">
        <v>1345</v>
      </c>
    </row>
    <row r="882" spans="1:15" x14ac:dyDescent="0.3">
      <c r="A882" s="130">
        <v>4954</v>
      </c>
      <c r="B882" s="130">
        <v>10</v>
      </c>
      <c r="C882" s="130" t="s">
        <v>2506</v>
      </c>
      <c r="D882">
        <v>8139</v>
      </c>
      <c r="E882" s="130">
        <v>2004496</v>
      </c>
      <c r="F882" t="s">
        <v>87</v>
      </c>
      <c r="G882">
        <v>78</v>
      </c>
      <c r="H882" t="s">
        <v>8952</v>
      </c>
      <c r="I882" s="130">
        <v>3</v>
      </c>
      <c r="J882" t="s">
        <v>2506</v>
      </c>
      <c r="K882" t="s">
        <v>108</v>
      </c>
      <c r="L882" t="s">
        <v>111</v>
      </c>
      <c r="M882" t="s">
        <v>133</v>
      </c>
      <c r="N882" t="s">
        <v>101</v>
      </c>
      <c r="O882" t="s">
        <v>116</v>
      </c>
    </row>
    <row r="883" spans="1:15" x14ac:dyDescent="0.3">
      <c r="A883" s="130">
        <v>4955</v>
      </c>
      <c r="B883" s="130">
        <v>30</v>
      </c>
      <c r="C883" s="130" t="s">
        <v>2507</v>
      </c>
      <c r="D883">
        <v>8140</v>
      </c>
      <c r="E883" s="130">
        <v>21658572</v>
      </c>
      <c r="F883" t="s">
        <v>87</v>
      </c>
      <c r="G883">
        <v>78</v>
      </c>
      <c r="H883" t="s">
        <v>8953</v>
      </c>
      <c r="I883" s="131">
        <v>19</v>
      </c>
      <c r="J883" t="s">
        <v>2507</v>
      </c>
      <c r="K883" t="s">
        <v>108</v>
      </c>
      <c r="L883" t="s">
        <v>146</v>
      </c>
      <c r="M883" t="s">
        <v>103</v>
      </c>
      <c r="N883" t="s">
        <v>98</v>
      </c>
      <c r="O883" t="s">
        <v>1345</v>
      </c>
    </row>
    <row r="884" spans="1:15" x14ac:dyDescent="0.3">
      <c r="A884" s="130">
        <v>4959</v>
      </c>
      <c r="B884" s="130">
        <v>10</v>
      </c>
      <c r="C884" s="130" t="s">
        <v>2508</v>
      </c>
      <c r="D884">
        <v>8136</v>
      </c>
      <c r="E884" s="131">
        <v>14417362</v>
      </c>
      <c r="F884" t="s">
        <v>87</v>
      </c>
      <c r="G884">
        <v>78</v>
      </c>
      <c r="H884" t="s">
        <v>8951</v>
      </c>
      <c r="I884" s="131">
        <v>3</v>
      </c>
      <c r="J884" t="s">
        <v>2508</v>
      </c>
      <c r="K884" t="s">
        <v>108</v>
      </c>
      <c r="L884" t="s">
        <v>1293</v>
      </c>
      <c r="M884" t="s">
        <v>133</v>
      </c>
      <c r="N884" t="s">
        <v>98</v>
      </c>
      <c r="O884" t="s">
        <v>116</v>
      </c>
    </row>
    <row r="885" spans="1:15" x14ac:dyDescent="0.3">
      <c r="A885" s="130">
        <v>4961</v>
      </c>
      <c r="B885" s="130">
        <v>18</v>
      </c>
      <c r="C885" s="130" t="s">
        <v>2509</v>
      </c>
      <c r="D885">
        <v>8151</v>
      </c>
      <c r="E885" s="130">
        <v>2577145</v>
      </c>
      <c r="F885" t="s">
        <v>87</v>
      </c>
      <c r="G885">
        <v>78</v>
      </c>
      <c r="H885" t="s">
        <v>8952</v>
      </c>
      <c r="I885" s="130">
        <v>10</v>
      </c>
      <c r="J885" t="s">
        <v>2509</v>
      </c>
      <c r="K885" t="s">
        <v>108</v>
      </c>
      <c r="L885" t="s">
        <v>127</v>
      </c>
      <c r="M885" t="s">
        <v>112</v>
      </c>
      <c r="N885" t="s">
        <v>98</v>
      </c>
      <c r="O885" t="s">
        <v>1345</v>
      </c>
    </row>
    <row r="886" spans="1:15" x14ac:dyDescent="0.3">
      <c r="A886" s="130">
        <v>4962</v>
      </c>
      <c r="B886" s="130">
        <v>10</v>
      </c>
      <c r="C886" s="130" t="s">
        <v>2510</v>
      </c>
      <c r="D886">
        <v>7867</v>
      </c>
      <c r="E886" s="131">
        <v>14417362</v>
      </c>
      <c r="F886" t="s">
        <v>87</v>
      </c>
      <c r="G886">
        <v>78</v>
      </c>
      <c r="H886" t="s">
        <v>8953</v>
      </c>
      <c r="I886" s="130">
        <v>3</v>
      </c>
      <c r="J886" t="s">
        <v>2510</v>
      </c>
      <c r="K886" t="s">
        <v>108</v>
      </c>
      <c r="L886" t="s">
        <v>109</v>
      </c>
      <c r="M886" t="s">
        <v>133</v>
      </c>
      <c r="N886" t="s">
        <v>98</v>
      </c>
      <c r="O886" t="s">
        <v>1345</v>
      </c>
    </row>
    <row r="887" spans="1:15" x14ac:dyDescent="0.3">
      <c r="A887" s="130">
        <v>4963</v>
      </c>
      <c r="B887" s="130">
        <v>18</v>
      </c>
      <c r="C887" s="130" t="s">
        <v>2511</v>
      </c>
      <c r="D887">
        <v>8152</v>
      </c>
      <c r="E887" s="130">
        <v>22192546</v>
      </c>
      <c r="F887" t="s">
        <v>87</v>
      </c>
      <c r="G887">
        <v>78</v>
      </c>
      <c r="H887" t="s">
        <v>8951</v>
      </c>
      <c r="I887" s="130">
        <v>9</v>
      </c>
      <c r="J887" t="s">
        <v>2511</v>
      </c>
      <c r="K887" t="s">
        <v>95</v>
      </c>
      <c r="L887" t="s">
        <v>125</v>
      </c>
      <c r="M887" t="s">
        <v>112</v>
      </c>
      <c r="N887" t="s">
        <v>98</v>
      </c>
      <c r="O887" t="s">
        <v>1345</v>
      </c>
    </row>
    <row r="888" spans="1:15" x14ac:dyDescent="0.3">
      <c r="A888" s="130">
        <v>4965</v>
      </c>
      <c r="B888" s="130">
        <v>18</v>
      </c>
      <c r="C888" s="130" t="s">
        <v>2512</v>
      </c>
      <c r="D888">
        <v>8156</v>
      </c>
      <c r="E888" s="130">
        <v>25316870</v>
      </c>
      <c r="F888" t="s">
        <v>87</v>
      </c>
      <c r="G888">
        <v>78</v>
      </c>
      <c r="H888" t="s">
        <v>8952</v>
      </c>
      <c r="I888" s="130">
        <v>19</v>
      </c>
      <c r="J888" t="s">
        <v>2512</v>
      </c>
      <c r="K888" t="s">
        <v>108</v>
      </c>
      <c r="L888" t="s">
        <v>146</v>
      </c>
      <c r="M888" t="s">
        <v>112</v>
      </c>
      <c r="N888" t="s">
        <v>98</v>
      </c>
      <c r="O888" t="s">
        <v>1345</v>
      </c>
    </row>
    <row r="889" spans="1:15" x14ac:dyDescent="0.3">
      <c r="A889" s="130">
        <v>4966</v>
      </c>
      <c r="B889" s="130">
        <v>18</v>
      </c>
      <c r="C889" s="130" t="s">
        <v>2513</v>
      </c>
      <c r="D889">
        <v>8157</v>
      </c>
      <c r="E889" s="130">
        <v>10558895</v>
      </c>
      <c r="F889" t="s">
        <v>87</v>
      </c>
      <c r="G889">
        <v>78</v>
      </c>
      <c r="H889" t="s">
        <v>8953</v>
      </c>
      <c r="I889" s="130">
        <v>37</v>
      </c>
      <c r="J889" t="s">
        <v>2513</v>
      </c>
      <c r="K889" t="s">
        <v>95</v>
      </c>
      <c r="L889" t="s">
        <v>138</v>
      </c>
      <c r="M889" t="s">
        <v>112</v>
      </c>
      <c r="N889" t="s">
        <v>98</v>
      </c>
      <c r="O889" t="s">
        <v>1345</v>
      </c>
    </row>
    <row r="890" spans="1:15" x14ac:dyDescent="0.3">
      <c r="A890" s="130">
        <v>4967</v>
      </c>
      <c r="B890" s="130">
        <v>18</v>
      </c>
      <c r="C890" s="130" t="s">
        <v>2514</v>
      </c>
      <c r="D890">
        <v>8159</v>
      </c>
      <c r="E890" s="131">
        <v>10558895</v>
      </c>
      <c r="F890" t="s">
        <v>87</v>
      </c>
      <c r="G890">
        <v>78</v>
      </c>
      <c r="H890" t="s">
        <v>8951</v>
      </c>
      <c r="I890" s="130">
        <v>37</v>
      </c>
      <c r="J890" t="s">
        <v>2514</v>
      </c>
      <c r="K890" t="s">
        <v>95</v>
      </c>
      <c r="L890" t="s">
        <v>138</v>
      </c>
      <c r="M890" t="s">
        <v>112</v>
      </c>
      <c r="N890" t="s">
        <v>98</v>
      </c>
      <c r="O890" t="s">
        <v>1345</v>
      </c>
    </row>
    <row r="891" spans="1:15" x14ac:dyDescent="0.3">
      <c r="A891" s="130">
        <v>4969</v>
      </c>
      <c r="B891" s="130">
        <v>18</v>
      </c>
      <c r="C891" s="130" t="s">
        <v>2515</v>
      </c>
      <c r="D891">
        <v>8164</v>
      </c>
      <c r="E891" s="130">
        <v>3887613</v>
      </c>
      <c r="F891" t="s">
        <v>87</v>
      </c>
      <c r="G891">
        <v>78</v>
      </c>
      <c r="H891" t="s">
        <v>8952</v>
      </c>
      <c r="I891" s="131">
        <v>10</v>
      </c>
      <c r="J891" t="s">
        <v>2515</v>
      </c>
      <c r="K891" t="s">
        <v>108</v>
      </c>
      <c r="L891" t="s">
        <v>127</v>
      </c>
      <c r="M891" t="s">
        <v>112</v>
      </c>
      <c r="N891" t="s">
        <v>118</v>
      </c>
      <c r="O891" t="s">
        <v>116</v>
      </c>
    </row>
    <row r="892" spans="1:15" x14ac:dyDescent="0.3">
      <c r="A892" s="130">
        <v>4972</v>
      </c>
      <c r="B892" s="130">
        <v>35</v>
      </c>
      <c r="C892" s="130" t="s">
        <v>2516</v>
      </c>
      <c r="D892">
        <v>8167</v>
      </c>
      <c r="E892" s="130">
        <v>5416618</v>
      </c>
      <c r="F892" t="s">
        <v>87</v>
      </c>
      <c r="G892">
        <v>78</v>
      </c>
      <c r="H892" t="s">
        <v>8953</v>
      </c>
      <c r="I892" s="130">
        <v>10</v>
      </c>
      <c r="J892" t="s">
        <v>2516</v>
      </c>
      <c r="K892" t="s">
        <v>95</v>
      </c>
      <c r="L892" t="s">
        <v>127</v>
      </c>
      <c r="M892" t="s">
        <v>161</v>
      </c>
      <c r="N892" t="s">
        <v>118</v>
      </c>
      <c r="O892" t="s">
        <v>116</v>
      </c>
    </row>
    <row r="893" spans="1:15" x14ac:dyDescent="0.3">
      <c r="A893" s="130">
        <v>4973</v>
      </c>
      <c r="B893" s="130">
        <v>30</v>
      </c>
      <c r="C893" s="130" t="s">
        <v>2517</v>
      </c>
      <c r="D893">
        <v>8170</v>
      </c>
      <c r="E893" s="130">
        <v>63827026</v>
      </c>
      <c r="F893" t="s">
        <v>87</v>
      </c>
      <c r="G893">
        <v>78</v>
      </c>
      <c r="H893" t="s">
        <v>8951</v>
      </c>
      <c r="I893" s="131">
        <v>10</v>
      </c>
      <c r="J893" t="s">
        <v>2517</v>
      </c>
      <c r="K893" t="s">
        <v>108</v>
      </c>
      <c r="L893" t="s">
        <v>127</v>
      </c>
      <c r="M893" t="s">
        <v>103</v>
      </c>
      <c r="N893" t="s">
        <v>118</v>
      </c>
      <c r="O893" t="s">
        <v>1345</v>
      </c>
    </row>
    <row r="894" spans="1:15" x14ac:dyDescent="0.3">
      <c r="A894" s="130">
        <v>4975</v>
      </c>
      <c r="B894" s="130">
        <v>18</v>
      </c>
      <c r="C894" s="130" t="s">
        <v>2518</v>
      </c>
      <c r="D894">
        <v>8172</v>
      </c>
      <c r="E894" s="130">
        <v>9495170</v>
      </c>
      <c r="F894" t="s">
        <v>87</v>
      </c>
      <c r="G894">
        <v>78</v>
      </c>
      <c r="H894" t="s">
        <v>8952</v>
      </c>
      <c r="I894" s="131">
        <v>26</v>
      </c>
      <c r="J894" t="s">
        <v>2518</v>
      </c>
      <c r="K894" t="s">
        <v>108</v>
      </c>
      <c r="L894" t="s">
        <v>151</v>
      </c>
      <c r="M894" t="s">
        <v>112</v>
      </c>
      <c r="N894" t="s">
        <v>98</v>
      </c>
      <c r="O894" t="s">
        <v>1345</v>
      </c>
    </row>
    <row r="895" spans="1:15" x14ac:dyDescent="0.3">
      <c r="A895" s="130">
        <v>4977</v>
      </c>
      <c r="B895" s="130">
        <v>30</v>
      </c>
      <c r="C895" s="130" t="s">
        <v>2519</v>
      </c>
      <c r="D895">
        <v>8174</v>
      </c>
      <c r="E895" s="131">
        <v>33189131</v>
      </c>
      <c r="F895" t="s">
        <v>87</v>
      </c>
      <c r="G895">
        <v>358</v>
      </c>
      <c r="H895" t="s">
        <v>8953</v>
      </c>
      <c r="I895" s="130">
        <v>24</v>
      </c>
      <c r="J895" t="s">
        <v>2519</v>
      </c>
      <c r="K895" t="s">
        <v>95</v>
      </c>
      <c r="L895" t="s">
        <v>111</v>
      </c>
      <c r="M895" t="s">
        <v>103</v>
      </c>
      <c r="N895" t="s">
        <v>132</v>
      </c>
      <c r="O895" t="s">
        <v>116</v>
      </c>
    </row>
    <row r="896" spans="1:15" x14ac:dyDescent="0.3">
      <c r="A896" s="130">
        <v>4979</v>
      </c>
      <c r="B896" s="130">
        <v>-1</v>
      </c>
      <c r="C896" s="130" t="s">
        <v>2520</v>
      </c>
      <c r="D896">
        <v>8168</v>
      </c>
      <c r="E896" s="130">
        <v>29132853</v>
      </c>
      <c r="F896" t="s">
        <v>87</v>
      </c>
      <c r="G896">
        <v>78</v>
      </c>
      <c r="H896" t="s">
        <v>8951</v>
      </c>
      <c r="I896" s="130">
        <v>9</v>
      </c>
      <c r="J896" t="s">
        <v>2520</v>
      </c>
      <c r="K896" t="s">
        <v>108</v>
      </c>
      <c r="L896" t="s">
        <v>134</v>
      </c>
      <c r="M896" t="s">
        <v>174</v>
      </c>
      <c r="N896" t="s">
        <v>98</v>
      </c>
      <c r="O896" t="s">
        <v>1345</v>
      </c>
    </row>
    <row r="897" spans="1:15" x14ac:dyDescent="0.3">
      <c r="A897" s="130">
        <v>4982</v>
      </c>
      <c r="B897" s="130">
        <v>18</v>
      </c>
      <c r="C897" s="130" t="s">
        <v>2521</v>
      </c>
      <c r="D897">
        <v>8184</v>
      </c>
      <c r="E897" s="130">
        <v>17162983</v>
      </c>
      <c r="F897" t="s">
        <v>87</v>
      </c>
      <c r="G897">
        <v>78</v>
      </c>
      <c r="H897" t="s">
        <v>8952</v>
      </c>
      <c r="I897" s="131">
        <v>3</v>
      </c>
      <c r="J897" t="s">
        <v>2521</v>
      </c>
      <c r="K897" t="s">
        <v>95</v>
      </c>
      <c r="L897" t="s">
        <v>111</v>
      </c>
      <c r="M897" t="s">
        <v>112</v>
      </c>
      <c r="N897" t="s">
        <v>98</v>
      </c>
      <c r="O897" t="s">
        <v>116</v>
      </c>
    </row>
    <row r="898" spans="1:15" x14ac:dyDescent="0.3">
      <c r="A898" s="130">
        <v>4985</v>
      </c>
      <c r="B898" s="130">
        <v>18</v>
      </c>
      <c r="C898" s="130" t="s">
        <v>2522</v>
      </c>
      <c r="D898">
        <v>8193</v>
      </c>
      <c r="E898" s="131">
        <v>21146497</v>
      </c>
      <c r="F898" t="s">
        <v>87</v>
      </c>
      <c r="G898">
        <v>78</v>
      </c>
      <c r="H898" t="s">
        <v>8953</v>
      </c>
      <c r="I898" s="131">
        <v>19</v>
      </c>
      <c r="J898" t="s">
        <v>2522</v>
      </c>
      <c r="K898" t="s">
        <v>108</v>
      </c>
      <c r="L898" t="s">
        <v>146</v>
      </c>
      <c r="M898" t="s">
        <v>112</v>
      </c>
      <c r="N898" t="s">
        <v>114</v>
      </c>
      <c r="O898" t="s">
        <v>116</v>
      </c>
    </row>
    <row r="899" spans="1:15" x14ac:dyDescent="0.3">
      <c r="A899" s="130">
        <v>4991</v>
      </c>
      <c r="B899" s="130">
        <v>10</v>
      </c>
      <c r="C899" s="130" t="s">
        <v>2523</v>
      </c>
      <c r="D899">
        <v>8200</v>
      </c>
      <c r="E899" s="131">
        <v>1911689</v>
      </c>
      <c r="F899" t="s">
        <v>87</v>
      </c>
      <c r="G899">
        <v>358</v>
      </c>
      <c r="H899" t="s">
        <v>8951</v>
      </c>
      <c r="I899" s="130">
        <v>9</v>
      </c>
      <c r="J899" t="s">
        <v>2523</v>
      </c>
      <c r="K899" t="s">
        <v>108</v>
      </c>
      <c r="L899" t="s">
        <v>109</v>
      </c>
      <c r="M899" t="s">
        <v>133</v>
      </c>
      <c r="N899" t="s">
        <v>98</v>
      </c>
      <c r="O899" t="s">
        <v>1345</v>
      </c>
    </row>
    <row r="900" spans="1:15" x14ac:dyDescent="0.3">
      <c r="A900" s="130">
        <v>4997</v>
      </c>
      <c r="B900" s="130">
        <v>28</v>
      </c>
      <c r="C900" s="130" t="s">
        <v>2524</v>
      </c>
      <c r="D900">
        <v>8208</v>
      </c>
      <c r="E900" s="130">
        <v>8260577</v>
      </c>
      <c r="F900" t="s">
        <v>87</v>
      </c>
      <c r="G900">
        <v>78</v>
      </c>
      <c r="H900" t="s">
        <v>8952</v>
      </c>
      <c r="I900" s="130">
        <v>3</v>
      </c>
      <c r="J900" t="s">
        <v>2524</v>
      </c>
      <c r="K900" t="s">
        <v>95</v>
      </c>
      <c r="L900" t="s">
        <v>111</v>
      </c>
      <c r="M900" t="s">
        <v>130</v>
      </c>
      <c r="N900" t="s">
        <v>98</v>
      </c>
      <c r="O900" t="s">
        <v>116</v>
      </c>
    </row>
    <row r="901" spans="1:15" x14ac:dyDescent="0.3">
      <c r="A901" s="130">
        <v>5002</v>
      </c>
      <c r="B901" s="130">
        <v>18</v>
      </c>
      <c r="C901" s="130" t="s">
        <v>2525</v>
      </c>
      <c r="D901">
        <v>8216</v>
      </c>
      <c r="E901" s="130">
        <v>2577145</v>
      </c>
      <c r="F901" t="s">
        <v>87</v>
      </c>
      <c r="G901">
        <v>78</v>
      </c>
      <c r="H901" t="s">
        <v>8953</v>
      </c>
      <c r="I901" s="131">
        <v>10</v>
      </c>
      <c r="J901" t="s">
        <v>2525</v>
      </c>
      <c r="K901" t="s">
        <v>108</v>
      </c>
      <c r="L901" t="s">
        <v>127</v>
      </c>
      <c r="M901" t="s">
        <v>112</v>
      </c>
      <c r="N901" t="s">
        <v>98</v>
      </c>
      <c r="O901" t="s">
        <v>1345</v>
      </c>
    </row>
    <row r="902" spans="1:15" x14ac:dyDescent="0.3">
      <c r="A902" s="130">
        <v>5003</v>
      </c>
      <c r="B902" s="130">
        <v>30</v>
      </c>
      <c r="C902" s="130" t="s">
        <v>2526</v>
      </c>
      <c r="D902">
        <v>8218</v>
      </c>
      <c r="E902" s="130">
        <v>41795584</v>
      </c>
      <c r="F902" t="s">
        <v>87</v>
      </c>
      <c r="G902">
        <v>358</v>
      </c>
      <c r="H902" t="s">
        <v>8951</v>
      </c>
      <c r="I902" s="130">
        <v>3</v>
      </c>
      <c r="J902" t="s">
        <v>2526</v>
      </c>
      <c r="K902" t="s">
        <v>108</v>
      </c>
      <c r="L902" t="s">
        <v>109</v>
      </c>
      <c r="M902" t="s">
        <v>103</v>
      </c>
      <c r="N902" t="s">
        <v>98</v>
      </c>
      <c r="O902" t="s">
        <v>116</v>
      </c>
    </row>
    <row r="903" spans="1:15" x14ac:dyDescent="0.3">
      <c r="A903" s="130">
        <v>5005</v>
      </c>
      <c r="B903" s="130">
        <v>30</v>
      </c>
      <c r="C903" s="130" t="s">
        <v>2527</v>
      </c>
      <c r="D903">
        <v>8221</v>
      </c>
      <c r="E903" s="130">
        <v>8726496</v>
      </c>
      <c r="F903" t="s">
        <v>87</v>
      </c>
      <c r="G903">
        <v>78</v>
      </c>
      <c r="H903" t="s">
        <v>8952</v>
      </c>
      <c r="I903" s="130">
        <v>18</v>
      </c>
      <c r="J903" t="s">
        <v>2527</v>
      </c>
      <c r="K903" t="s">
        <v>108</v>
      </c>
      <c r="L903" t="s">
        <v>123</v>
      </c>
      <c r="M903" t="s">
        <v>103</v>
      </c>
      <c r="N903" t="s">
        <v>98</v>
      </c>
      <c r="O903" t="s">
        <v>1345</v>
      </c>
    </row>
    <row r="904" spans="1:15" x14ac:dyDescent="0.3">
      <c r="A904" s="130">
        <v>5008</v>
      </c>
      <c r="B904" s="130">
        <v>30</v>
      </c>
      <c r="C904" s="130" t="s">
        <v>2528</v>
      </c>
      <c r="D904">
        <v>8224</v>
      </c>
      <c r="E904" s="130">
        <v>13356524</v>
      </c>
      <c r="F904" t="s">
        <v>87</v>
      </c>
      <c r="G904">
        <v>78</v>
      </c>
      <c r="H904" t="s">
        <v>8953</v>
      </c>
      <c r="I904" s="130">
        <v>3</v>
      </c>
      <c r="J904" t="s">
        <v>2528</v>
      </c>
      <c r="K904" t="s">
        <v>108</v>
      </c>
      <c r="L904" t="s">
        <v>111</v>
      </c>
      <c r="M904" t="s">
        <v>103</v>
      </c>
      <c r="N904" t="s">
        <v>98</v>
      </c>
      <c r="O904" t="s">
        <v>1345</v>
      </c>
    </row>
    <row r="905" spans="1:15" x14ac:dyDescent="0.3">
      <c r="A905" s="130">
        <v>5015</v>
      </c>
      <c r="B905" s="130">
        <v>30</v>
      </c>
      <c r="C905" s="130" t="s">
        <v>2529</v>
      </c>
      <c r="D905">
        <v>8236</v>
      </c>
      <c r="E905" s="130">
        <v>8217851</v>
      </c>
      <c r="F905" t="s">
        <v>87</v>
      </c>
      <c r="G905">
        <v>78</v>
      </c>
      <c r="H905" t="s">
        <v>8951</v>
      </c>
      <c r="I905" s="131">
        <v>18</v>
      </c>
      <c r="J905" t="s">
        <v>2529</v>
      </c>
      <c r="K905" t="s">
        <v>95</v>
      </c>
      <c r="L905" t="s">
        <v>123</v>
      </c>
      <c r="M905" t="s">
        <v>103</v>
      </c>
      <c r="N905" t="s">
        <v>98</v>
      </c>
      <c r="O905" t="s">
        <v>116</v>
      </c>
    </row>
    <row r="906" spans="1:15" x14ac:dyDescent="0.3">
      <c r="A906" s="130">
        <v>5019</v>
      </c>
      <c r="B906" s="130">
        <v>21</v>
      </c>
      <c r="C906" s="130" t="s">
        <v>2530</v>
      </c>
      <c r="D906">
        <v>8237</v>
      </c>
      <c r="E906" s="130">
        <v>19867404</v>
      </c>
      <c r="F906" t="s">
        <v>87</v>
      </c>
      <c r="G906">
        <v>78</v>
      </c>
      <c r="H906" t="s">
        <v>8952</v>
      </c>
      <c r="I906" s="130">
        <v>10</v>
      </c>
      <c r="J906" t="s">
        <v>2530</v>
      </c>
      <c r="K906" t="s">
        <v>108</v>
      </c>
      <c r="L906" t="s">
        <v>127</v>
      </c>
      <c r="M906" t="s">
        <v>137</v>
      </c>
      <c r="N906" t="s">
        <v>98</v>
      </c>
      <c r="O906" t="s">
        <v>1345</v>
      </c>
    </row>
    <row r="907" spans="1:15" x14ac:dyDescent="0.3">
      <c r="A907" s="130">
        <v>5024</v>
      </c>
      <c r="B907" s="130">
        <v>-1</v>
      </c>
      <c r="C907" s="130" t="s">
        <v>2531</v>
      </c>
      <c r="D907">
        <v>8244</v>
      </c>
      <c r="E907" s="130">
        <v>24282082</v>
      </c>
      <c r="F907" t="s">
        <v>87</v>
      </c>
      <c r="G907">
        <v>78</v>
      </c>
      <c r="H907" t="s">
        <v>8953</v>
      </c>
      <c r="I907" s="130">
        <v>10</v>
      </c>
      <c r="J907" t="s">
        <v>2531</v>
      </c>
      <c r="K907" t="s">
        <v>108</v>
      </c>
      <c r="L907" t="s">
        <v>127</v>
      </c>
      <c r="M907" t="s">
        <v>174</v>
      </c>
      <c r="N907" t="s">
        <v>98</v>
      </c>
      <c r="O907" t="s">
        <v>1345</v>
      </c>
    </row>
    <row r="908" spans="1:15" x14ac:dyDescent="0.3">
      <c r="A908" s="130">
        <v>5030</v>
      </c>
      <c r="B908" s="130">
        <v>18</v>
      </c>
      <c r="C908" s="130" t="s">
        <v>2532</v>
      </c>
      <c r="D908">
        <v>8252</v>
      </c>
      <c r="E908" s="131">
        <v>40517194</v>
      </c>
      <c r="F908" t="s">
        <v>87</v>
      </c>
      <c r="G908">
        <v>78</v>
      </c>
      <c r="H908" t="s">
        <v>8951</v>
      </c>
      <c r="I908" s="131">
        <v>26</v>
      </c>
      <c r="J908" t="s">
        <v>2532</v>
      </c>
      <c r="K908" t="s">
        <v>108</v>
      </c>
      <c r="L908" t="s">
        <v>151</v>
      </c>
      <c r="M908" t="s">
        <v>112</v>
      </c>
      <c r="N908" t="s">
        <v>98</v>
      </c>
      <c r="O908" t="s">
        <v>1345</v>
      </c>
    </row>
    <row r="909" spans="1:15" x14ac:dyDescent="0.3">
      <c r="A909" s="130">
        <v>5035</v>
      </c>
      <c r="B909" s="130">
        <v>30</v>
      </c>
      <c r="C909" s="130" t="s">
        <v>2533</v>
      </c>
      <c r="D909">
        <v>8258</v>
      </c>
      <c r="E909" s="131">
        <v>17155391</v>
      </c>
      <c r="F909" t="s">
        <v>87</v>
      </c>
      <c r="G909">
        <v>358</v>
      </c>
      <c r="H909" t="s">
        <v>8952</v>
      </c>
      <c r="I909" s="131">
        <v>10</v>
      </c>
      <c r="J909" t="s">
        <v>2533</v>
      </c>
      <c r="K909" t="s">
        <v>95</v>
      </c>
      <c r="L909" t="s">
        <v>105</v>
      </c>
      <c r="M909" t="s">
        <v>103</v>
      </c>
      <c r="N909" t="s">
        <v>98</v>
      </c>
      <c r="O909" t="s">
        <v>1345</v>
      </c>
    </row>
    <row r="910" spans="1:15" x14ac:dyDescent="0.3">
      <c r="A910" s="130">
        <v>5036</v>
      </c>
      <c r="B910" s="130">
        <v>21</v>
      </c>
      <c r="C910" s="130" t="s">
        <v>2534</v>
      </c>
      <c r="D910">
        <v>8259</v>
      </c>
      <c r="E910" s="130">
        <v>14916797</v>
      </c>
      <c r="F910" t="s">
        <v>87</v>
      </c>
      <c r="G910">
        <v>78</v>
      </c>
      <c r="H910" t="s">
        <v>8953</v>
      </c>
      <c r="I910" s="131">
        <v>10</v>
      </c>
      <c r="J910" t="s">
        <v>2534</v>
      </c>
      <c r="K910" t="s">
        <v>95</v>
      </c>
      <c r="L910" t="s">
        <v>127</v>
      </c>
      <c r="M910" t="s">
        <v>137</v>
      </c>
      <c r="N910" t="s">
        <v>98</v>
      </c>
      <c r="O910" t="s">
        <v>1345</v>
      </c>
    </row>
    <row r="911" spans="1:15" x14ac:dyDescent="0.3">
      <c r="A911" s="130">
        <v>5037</v>
      </c>
      <c r="B911" s="130">
        <v>18</v>
      </c>
      <c r="C911" s="130" t="s">
        <v>2535</v>
      </c>
      <c r="D911">
        <v>8260</v>
      </c>
      <c r="E911" s="130">
        <v>3887613</v>
      </c>
      <c r="F911" t="s">
        <v>87</v>
      </c>
      <c r="G911">
        <v>78</v>
      </c>
      <c r="H911" t="s">
        <v>8951</v>
      </c>
      <c r="I911" s="130">
        <v>10</v>
      </c>
      <c r="J911" t="s">
        <v>2535</v>
      </c>
      <c r="K911" t="s">
        <v>108</v>
      </c>
      <c r="L911" t="s">
        <v>127</v>
      </c>
      <c r="M911" t="s">
        <v>112</v>
      </c>
      <c r="N911" t="s">
        <v>118</v>
      </c>
      <c r="O911" t="s">
        <v>116</v>
      </c>
    </row>
    <row r="912" spans="1:15" x14ac:dyDescent="0.3">
      <c r="A912" s="130">
        <v>5039</v>
      </c>
      <c r="B912" s="130">
        <v>0</v>
      </c>
      <c r="C912" s="130" t="s">
        <v>2536</v>
      </c>
      <c r="D912">
        <v>6044</v>
      </c>
      <c r="E912" s="130">
        <v>36067466</v>
      </c>
      <c r="F912" t="s">
        <v>87</v>
      </c>
      <c r="G912">
        <v>78</v>
      </c>
      <c r="H912" t="s">
        <v>8952</v>
      </c>
      <c r="I912" s="131">
        <v>9</v>
      </c>
      <c r="J912" t="s">
        <v>2536</v>
      </c>
      <c r="K912" t="s">
        <v>95</v>
      </c>
      <c r="L912" t="s">
        <v>125</v>
      </c>
      <c r="M912" t="s">
        <v>100</v>
      </c>
      <c r="N912" t="s">
        <v>98</v>
      </c>
      <c r="O912" t="s">
        <v>1345</v>
      </c>
    </row>
    <row r="913" spans="1:15" x14ac:dyDescent="0.3">
      <c r="A913" s="130">
        <v>5041</v>
      </c>
      <c r="B913" s="130">
        <v>30</v>
      </c>
      <c r="C913" s="130" t="s">
        <v>2537</v>
      </c>
      <c r="D913">
        <v>8264</v>
      </c>
      <c r="E913" s="130">
        <v>25349440</v>
      </c>
      <c r="F913" t="s">
        <v>87</v>
      </c>
      <c r="G913">
        <v>358</v>
      </c>
      <c r="H913" t="s">
        <v>8953</v>
      </c>
      <c r="I913" s="130">
        <v>3</v>
      </c>
      <c r="J913" t="s">
        <v>2537</v>
      </c>
      <c r="K913" t="s">
        <v>95</v>
      </c>
      <c r="L913" t="s">
        <v>109</v>
      </c>
      <c r="M913" t="s">
        <v>103</v>
      </c>
      <c r="N913" t="s">
        <v>98</v>
      </c>
      <c r="O913" t="s">
        <v>1345</v>
      </c>
    </row>
    <row r="914" spans="1:15" x14ac:dyDescent="0.3">
      <c r="A914" s="130">
        <v>5042</v>
      </c>
      <c r="B914" s="130">
        <v>18</v>
      </c>
      <c r="C914" s="130" t="s">
        <v>2538</v>
      </c>
      <c r="D914">
        <v>8266</v>
      </c>
      <c r="E914" s="130">
        <v>22347147</v>
      </c>
      <c r="F914" t="s">
        <v>87</v>
      </c>
      <c r="G914">
        <v>78</v>
      </c>
      <c r="H914" t="s">
        <v>8951</v>
      </c>
      <c r="I914" s="131">
        <v>24</v>
      </c>
      <c r="J914" t="s">
        <v>2538</v>
      </c>
      <c r="K914" t="s">
        <v>108</v>
      </c>
      <c r="L914" t="s">
        <v>191</v>
      </c>
      <c r="M914" t="s">
        <v>112</v>
      </c>
      <c r="N914" t="s">
        <v>98</v>
      </c>
      <c r="O914" t="s">
        <v>1345</v>
      </c>
    </row>
    <row r="915" spans="1:15" x14ac:dyDescent="0.3">
      <c r="A915" s="130">
        <v>5046</v>
      </c>
      <c r="B915" s="130">
        <v>18</v>
      </c>
      <c r="C915" s="130" t="s">
        <v>2539</v>
      </c>
      <c r="D915">
        <v>8271</v>
      </c>
      <c r="E915" s="131">
        <v>11155874</v>
      </c>
      <c r="F915" t="s">
        <v>87</v>
      </c>
      <c r="G915">
        <v>78</v>
      </c>
      <c r="H915" t="s">
        <v>8952</v>
      </c>
      <c r="I915" s="130">
        <v>26</v>
      </c>
      <c r="J915" t="s">
        <v>2539</v>
      </c>
      <c r="K915" t="s">
        <v>108</v>
      </c>
      <c r="L915" t="s">
        <v>151</v>
      </c>
      <c r="M915" t="s">
        <v>112</v>
      </c>
      <c r="N915" t="s">
        <v>98</v>
      </c>
      <c r="O915" t="s">
        <v>1345</v>
      </c>
    </row>
    <row r="916" spans="1:15" x14ac:dyDescent="0.3">
      <c r="A916" s="130">
        <v>5054</v>
      </c>
      <c r="B916" s="130">
        <v>30</v>
      </c>
      <c r="C916" s="130" t="s">
        <v>2540</v>
      </c>
      <c r="D916">
        <v>8280</v>
      </c>
      <c r="E916" s="130">
        <v>7522191</v>
      </c>
      <c r="F916" t="s">
        <v>87</v>
      </c>
      <c r="G916">
        <v>78</v>
      </c>
      <c r="H916" t="s">
        <v>8953</v>
      </c>
      <c r="I916" s="130">
        <v>10</v>
      </c>
      <c r="J916" t="s">
        <v>2540</v>
      </c>
      <c r="K916" t="s">
        <v>95</v>
      </c>
      <c r="L916" t="s">
        <v>127</v>
      </c>
      <c r="M916" t="s">
        <v>103</v>
      </c>
      <c r="N916" t="s">
        <v>118</v>
      </c>
      <c r="O916" t="s">
        <v>116</v>
      </c>
    </row>
    <row r="917" spans="1:15" x14ac:dyDescent="0.3">
      <c r="A917" s="130">
        <v>5061</v>
      </c>
      <c r="B917" s="130">
        <v>-1</v>
      </c>
      <c r="C917" s="130" t="s">
        <v>2541</v>
      </c>
      <c r="D917">
        <v>8162</v>
      </c>
      <c r="E917" s="130">
        <v>28893883</v>
      </c>
      <c r="F917" t="s">
        <v>87</v>
      </c>
      <c r="G917">
        <v>78</v>
      </c>
      <c r="H917" t="s">
        <v>8951</v>
      </c>
      <c r="I917" s="130">
        <v>9</v>
      </c>
      <c r="J917" t="s">
        <v>2541</v>
      </c>
      <c r="K917" t="s">
        <v>108</v>
      </c>
      <c r="L917" t="s">
        <v>134</v>
      </c>
      <c r="M917" t="s">
        <v>174</v>
      </c>
      <c r="N917" t="s">
        <v>101</v>
      </c>
      <c r="O917" t="s">
        <v>1345</v>
      </c>
    </row>
    <row r="918" spans="1:15" x14ac:dyDescent="0.3">
      <c r="A918" s="130">
        <v>5062</v>
      </c>
      <c r="B918" s="131">
        <v>18</v>
      </c>
      <c r="C918" s="130" t="s">
        <v>2542</v>
      </c>
      <c r="D918">
        <v>8290</v>
      </c>
      <c r="E918" s="131">
        <v>58853169</v>
      </c>
      <c r="F918" t="s">
        <v>87</v>
      </c>
      <c r="G918">
        <v>78</v>
      </c>
      <c r="H918" t="s">
        <v>8952</v>
      </c>
      <c r="I918" s="131">
        <v>37</v>
      </c>
      <c r="J918" t="s">
        <v>2542</v>
      </c>
      <c r="K918" t="s">
        <v>95</v>
      </c>
      <c r="L918" t="s">
        <v>138</v>
      </c>
      <c r="M918" t="s">
        <v>112</v>
      </c>
      <c r="N918" t="s">
        <v>98</v>
      </c>
      <c r="O918" t="s">
        <v>1345</v>
      </c>
    </row>
    <row r="919" spans="1:15" x14ac:dyDescent="0.3">
      <c r="A919" s="130">
        <v>5064</v>
      </c>
      <c r="B919" s="130">
        <v>0</v>
      </c>
      <c r="C919" s="130" t="s">
        <v>2543</v>
      </c>
      <c r="D919">
        <v>8292</v>
      </c>
      <c r="E919" s="130">
        <v>42642451</v>
      </c>
      <c r="F919" t="s">
        <v>87</v>
      </c>
      <c r="G919">
        <v>78</v>
      </c>
      <c r="H919" t="s">
        <v>8953</v>
      </c>
      <c r="I919" s="131">
        <v>19</v>
      </c>
      <c r="J919" t="s">
        <v>2543</v>
      </c>
      <c r="K919" t="s">
        <v>108</v>
      </c>
      <c r="L919" t="s">
        <v>146</v>
      </c>
      <c r="M919" t="s">
        <v>100</v>
      </c>
      <c r="N919" t="s">
        <v>152</v>
      </c>
      <c r="O919" t="s">
        <v>1345</v>
      </c>
    </row>
    <row r="920" spans="1:15" x14ac:dyDescent="0.3">
      <c r="A920" s="130">
        <v>5066</v>
      </c>
      <c r="B920" s="130">
        <v>28</v>
      </c>
      <c r="C920" s="130" t="s">
        <v>2544</v>
      </c>
      <c r="D920">
        <v>8296</v>
      </c>
      <c r="E920" s="130">
        <v>4737552</v>
      </c>
      <c r="F920" t="s">
        <v>87</v>
      </c>
      <c r="G920">
        <v>78</v>
      </c>
      <c r="H920" t="s">
        <v>8951</v>
      </c>
      <c r="I920" s="130">
        <v>3</v>
      </c>
      <c r="J920" t="s">
        <v>2544</v>
      </c>
      <c r="K920" t="s">
        <v>108</v>
      </c>
      <c r="L920" t="s">
        <v>111</v>
      </c>
      <c r="M920" t="s">
        <v>130</v>
      </c>
      <c r="N920" t="s">
        <v>101</v>
      </c>
      <c r="O920" t="s">
        <v>1345</v>
      </c>
    </row>
    <row r="921" spans="1:15" x14ac:dyDescent="0.3">
      <c r="A921" s="130">
        <v>5071</v>
      </c>
      <c r="B921" s="130">
        <v>18</v>
      </c>
      <c r="C921" s="130" t="s">
        <v>2545</v>
      </c>
      <c r="D921">
        <v>8302</v>
      </c>
      <c r="E921" s="130">
        <v>20177671</v>
      </c>
      <c r="F921" t="s">
        <v>87</v>
      </c>
      <c r="G921">
        <v>78</v>
      </c>
      <c r="H921" t="s">
        <v>8952</v>
      </c>
      <c r="I921" s="130">
        <v>10</v>
      </c>
      <c r="J921" t="s">
        <v>2545</v>
      </c>
      <c r="K921" t="s">
        <v>95</v>
      </c>
      <c r="L921" t="s">
        <v>127</v>
      </c>
      <c r="M921" t="s">
        <v>112</v>
      </c>
      <c r="N921" t="s">
        <v>118</v>
      </c>
      <c r="O921" t="s">
        <v>1345</v>
      </c>
    </row>
    <row r="922" spans="1:15" x14ac:dyDescent="0.3">
      <c r="A922" s="130">
        <v>5075</v>
      </c>
      <c r="B922" s="130">
        <v>60</v>
      </c>
      <c r="C922" s="130" t="s">
        <v>2546</v>
      </c>
      <c r="D922">
        <v>8306</v>
      </c>
      <c r="E922" s="130">
        <v>9625762</v>
      </c>
      <c r="F922" t="s">
        <v>87</v>
      </c>
      <c r="G922">
        <v>78</v>
      </c>
      <c r="H922" t="s">
        <v>8953</v>
      </c>
      <c r="I922" s="130">
        <v>43</v>
      </c>
      <c r="J922" t="s">
        <v>2546</v>
      </c>
      <c r="K922" t="s">
        <v>95</v>
      </c>
      <c r="L922" t="s">
        <v>159</v>
      </c>
      <c r="M922" t="s">
        <v>97</v>
      </c>
      <c r="N922" t="s">
        <v>150</v>
      </c>
      <c r="O922" t="s">
        <v>1345</v>
      </c>
    </row>
    <row r="923" spans="1:15" x14ac:dyDescent="0.3">
      <c r="A923" s="130">
        <v>5081</v>
      </c>
      <c r="C923" s="130" t="s">
        <v>2547</v>
      </c>
      <c r="D923">
        <v>8315</v>
      </c>
      <c r="E923" s="130">
        <v>36049641</v>
      </c>
      <c r="F923" t="s">
        <v>113</v>
      </c>
      <c r="G923">
        <v>358</v>
      </c>
      <c r="H923" t="s">
        <v>8951</v>
      </c>
      <c r="I923" s="131">
        <v>26</v>
      </c>
      <c r="J923" t="s">
        <v>2547</v>
      </c>
      <c r="K923" t="s">
        <v>108</v>
      </c>
      <c r="L923" t="s">
        <v>1246</v>
      </c>
      <c r="N923" t="s">
        <v>107</v>
      </c>
      <c r="O923" t="s">
        <v>1256</v>
      </c>
    </row>
    <row r="924" spans="1:15" x14ac:dyDescent="0.3">
      <c r="A924" s="130">
        <v>5092</v>
      </c>
      <c r="B924" s="130">
        <v>-1</v>
      </c>
      <c r="C924" s="130" t="s">
        <v>2548</v>
      </c>
      <c r="D924">
        <v>7630</v>
      </c>
      <c r="E924" s="130">
        <v>10515785</v>
      </c>
      <c r="F924" t="s">
        <v>87</v>
      </c>
      <c r="G924">
        <v>78</v>
      </c>
      <c r="H924" t="s">
        <v>8952</v>
      </c>
      <c r="I924" s="130">
        <v>9</v>
      </c>
      <c r="J924" t="s">
        <v>2548</v>
      </c>
      <c r="K924" t="s">
        <v>108</v>
      </c>
      <c r="L924" t="s">
        <v>1298</v>
      </c>
      <c r="M924" t="s">
        <v>174</v>
      </c>
      <c r="N924" t="s">
        <v>98</v>
      </c>
      <c r="O924" t="s">
        <v>116</v>
      </c>
    </row>
    <row r="925" spans="1:15" x14ac:dyDescent="0.3">
      <c r="A925" s="130">
        <v>5093</v>
      </c>
      <c r="B925" s="130">
        <v>18</v>
      </c>
      <c r="C925" s="130" t="s">
        <v>2549</v>
      </c>
      <c r="D925">
        <v>8331</v>
      </c>
      <c r="E925" s="131">
        <v>32065250</v>
      </c>
      <c r="F925" t="s">
        <v>87</v>
      </c>
      <c r="G925">
        <v>78</v>
      </c>
      <c r="H925" t="s">
        <v>8953</v>
      </c>
      <c r="I925" s="131">
        <v>37</v>
      </c>
      <c r="J925" t="s">
        <v>2549</v>
      </c>
      <c r="K925" t="s">
        <v>108</v>
      </c>
      <c r="L925" t="s">
        <v>138</v>
      </c>
      <c r="M925" t="s">
        <v>112</v>
      </c>
      <c r="N925" t="s">
        <v>114</v>
      </c>
      <c r="O925" t="s">
        <v>1345</v>
      </c>
    </row>
    <row r="926" spans="1:15" x14ac:dyDescent="0.3">
      <c r="A926" s="130">
        <v>5099</v>
      </c>
      <c r="B926" s="130">
        <v>10</v>
      </c>
      <c r="C926" s="130" t="s">
        <v>2550</v>
      </c>
      <c r="D926">
        <v>8339</v>
      </c>
      <c r="E926" s="130">
        <v>15649751</v>
      </c>
      <c r="F926" t="s">
        <v>87</v>
      </c>
      <c r="G926">
        <v>358</v>
      </c>
      <c r="H926" t="s">
        <v>8951</v>
      </c>
      <c r="I926" s="130">
        <v>3</v>
      </c>
      <c r="J926" t="s">
        <v>2550</v>
      </c>
      <c r="K926" t="s">
        <v>108</v>
      </c>
      <c r="L926" t="s">
        <v>109</v>
      </c>
      <c r="M926" t="s">
        <v>133</v>
      </c>
      <c r="N926" t="s">
        <v>98</v>
      </c>
      <c r="O926" t="s">
        <v>116</v>
      </c>
    </row>
    <row r="927" spans="1:15" x14ac:dyDescent="0.3">
      <c r="A927" s="130">
        <v>5100</v>
      </c>
      <c r="B927" s="130">
        <v>-1</v>
      </c>
      <c r="C927" s="130" t="s">
        <v>2551</v>
      </c>
      <c r="D927">
        <v>8341</v>
      </c>
      <c r="E927" s="130">
        <v>24416087</v>
      </c>
      <c r="F927" t="s">
        <v>87</v>
      </c>
      <c r="G927">
        <v>78</v>
      </c>
      <c r="H927" t="s">
        <v>8952</v>
      </c>
      <c r="I927" s="131">
        <v>9</v>
      </c>
      <c r="J927" t="s">
        <v>2551</v>
      </c>
      <c r="K927" t="s">
        <v>95</v>
      </c>
      <c r="L927" t="s">
        <v>125</v>
      </c>
      <c r="M927" t="s">
        <v>174</v>
      </c>
      <c r="N927" t="s">
        <v>98</v>
      </c>
      <c r="O927" t="s">
        <v>116</v>
      </c>
    </row>
    <row r="928" spans="1:15" x14ac:dyDescent="0.3">
      <c r="A928" s="130">
        <v>5101</v>
      </c>
      <c r="B928" s="130">
        <v>60</v>
      </c>
      <c r="C928" s="130" t="s">
        <v>2552</v>
      </c>
      <c r="D928">
        <v>8342</v>
      </c>
      <c r="E928" s="130">
        <v>532740</v>
      </c>
      <c r="F928" t="s">
        <v>87</v>
      </c>
      <c r="G928">
        <v>78</v>
      </c>
      <c r="H928" t="s">
        <v>8953</v>
      </c>
      <c r="I928" s="130">
        <v>3</v>
      </c>
      <c r="J928" t="s">
        <v>2552</v>
      </c>
      <c r="K928" t="s">
        <v>95</v>
      </c>
      <c r="L928" t="s">
        <v>111</v>
      </c>
      <c r="M928" t="s">
        <v>97</v>
      </c>
      <c r="N928" t="s">
        <v>98</v>
      </c>
      <c r="O928" t="s">
        <v>1345</v>
      </c>
    </row>
    <row r="929" spans="1:15" x14ac:dyDescent="0.3">
      <c r="A929" s="130">
        <v>5105</v>
      </c>
      <c r="B929" s="130">
        <v>6</v>
      </c>
      <c r="C929" s="130" t="s">
        <v>2553</v>
      </c>
      <c r="D929">
        <v>8347</v>
      </c>
      <c r="E929" s="130">
        <v>84907393</v>
      </c>
      <c r="F929" t="s">
        <v>87</v>
      </c>
      <c r="G929">
        <v>358</v>
      </c>
      <c r="H929" t="s">
        <v>8951</v>
      </c>
      <c r="I929" s="130">
        <v>26</v>
      </c>
      <c r="J929" t="s">
        <v>2553</v>
      </c>
      <c r="K929" t="s">
        <v>108</v>
      </c>
      <c r="L929" t="s">
        <v>109</v>
      </c>
      <c r="M929" t="s">
        <v>205</v>
      </c>
      <c r="N929" t="s">
        <v>98</v>
      </c>
      <c r="O929" t="s">
        <v>116</v>
      </c>
    </row>
    <row r="930" spans="1:15" x14ac:dyDescent="0.3">
      <c r="A930" s="130">
        <v>5106</v>
      </c>
      <c r="B930" s="130">
        <v>-1</v>
      </c>
      <c r="C930" s="130" t="s">
        <v>2554</v>
      </c>
      <c r="D930">
        <v>8348</v>
      </c>
      <c r="E930" s="130">
        <v>63411623</v>
      </c>
      <c r="F930" t="s">
        <v>87</v>
      </c>
      <c r="G930">
        <v>78</v>
      </c>
      <c r="H930" t="s">
        <v>8952</v>
      </c>
      <c r="I930" s="130">
        <v>9</v>
      </c>
      <c r="J930" t="s">
        <v>2554</v>
      </c>
      <c r="K930" t="s">
        <v>108</v>
      </c>
      <c r="L930" t="s">
        <v>163</v>
      </c>
      <c r="M930" t="s">
        <v>174</v>
      </c>
      <c r="N930" t="s">
        <v>101</v>
      </c>
      <c r="O930" t="s">
        <v>1345</v>
      </c>
    </row>
    <row r="931" spans="1:15" x14ac:dyDescent="0.3">
      <c r="A931" s="130">
        <v>5113</v>
      </c>
      <c r="B931" s="130">
        <v>-1</v>
      </c>
      <c r="C931" s="130" t="s">
        <v>2555</v>
      </c>
      <c r="D931">
        <v>8354</v>
      </c>
      <c r="E931" s="130">
        <v>32960547</v>
      </c>
      <c r="F931" t="s">
        <v>87</v>
      </c>
      <c r="G931">
        <v>78</v>
      </c>
      <c r="H931" t="s">
        <v>8953</v>
      </c>
      <c r="I931" s="130">
        <v>10</v>
      </c>
      <c r="J931" t="s">
        <v>2555</v>
      </c>
      <c r="K931" t="s">
        <v>108</v>
      </c>
      <c r="L931" t="s">
        <v>127</v>
      </c>
      <c r="M931" t="s">
        <v>174</v>
      </c>
      <c r="N931" t="s">
        <v>98</v>
      </c>
      <c r="O931" t="s">
        <v>1345</v>
      </c>
    </row>
    <row r="932" spans="1:15" x14ac:dyDescent="0.3">
      <c r="A932" s="130">
        <v>5114</v>
      </c>
      <c r="B932" s="130">
        <v>60</v>
      </c>
      <c r="C932" s="130" t="s">
        <v>2556</v>
      </c>
      <c r="D932">
        <v>8356</v>
      </c>
      <c r="E932" s="130">
        <v>92660604</v>
      </c>
      <c r="F932" t="s">
        <v>87</v>
      </c>
      <c r="G932">
        <v>77</v>
      </c>
      <c r="H932" t="s">
        <v>8951</v>
      </c>
      <c r="I932" s="130">
        <v>24</v>
      </c>
      <c r="J932" t="s">
        <v>2556</v>
      </c>
      <c r="K932" t="s">
        <v>95</v>
      </c>
      <c r="L932" t="s">
        <v>117</v>
      </c>
      <c r="M932" t="s">
        <v>97</v>
      </c>
      <c r="N932" t="s">
        <v>114</v>
      </c>
      <c r="O932" t="s">
        <v>116</v>
      </c>
    </row>
    <row r="933" spans="1:15" x14ac:dyDescent="0.3">
      <c r="A933" s="130">
        <v>5115</v>
      </c>
      <c r="B933" s="130">
        <v>10</v>
      </c>
      <c r="C933" s="130" t="s">
        <v>2557</v>
      </c>
      <c r="D933">
        <v>8357</v>
      </c>
      <c r="E933" s="130">
        <v>7899139</v>
      </c>
      <c r="F933" t="s">
        <v>87</v>
      </c>
      <c r="G933">
        <v>78</v>
      </c>
      <c r="H933" t="s">
        <v>8952</v>
      </c>
      <c r="I933" s="130">
        <v>3</v>
      </c>
      <c r="J933" t="s">
        <v>2557</v>
      </c>
      <c r="K933" t="s">
        <v>108</v>
      </c>
      <c r="L933" t="s">
        <v>111</v>
      </c>
      <c r="M933" t="s">
        <v>133</v>
      </c>
      <c r="N933" t="s">
        <v>98</v>
      </c>
      <c r="O933" t="s">
        <v>116</v>
      </c>
    </row>
    <row r="934" spans="1:15" x14ac:dyDescent="0.3">
      <c r="A934" s="130">
        <v>5117</v>
      </c>
      <c r="B934" s="130">
        <v>18</v>
      </c>
      <c r="C934" s="130" t="s">
        <v>2558</v>
      </c>
      <c r="D934">
        <v>8361</v>
      </c>
      <c r="E934" s="131">
        <v>40648726</v>
      </c>
      <c r="F934" t="s">
        <v>87</v>
      </c>
      <c r="G934">
        <v>78</v>
      </c>
      <c r="H934" t="s">
        <v>8953</v>
      </c>
      <c r="I934" s="130">
        <v>10</v>
      </c>
      <c r="J934" t="s">
        <v>2558</v>
      </c>
      <c r="K934" t="s">
        <v>108</v>
      </c>
      <c r="L934" t="s">
        <v>127</v>
      </c>
      <c r="M934" t="s">
        <v>112</v>
      </c>
      <c r="N934" t="s">
        <v>114</v>
      </c>
      <c r="O934" t="s">
        <v>1345</v>
      </c>
    </row>
    <row r="935" spans="1:15" x14ac:dyDescent="0.3">
      <c r="A935" s="130">
        <v>5127</v>
      </c>
      <c r="B935" s="130">
        <v>30</v>
      </c>
      <c r="C935" s="130" t="s">
        <v>2559</v>
      </c>
      <c r="D935">
        <v>8375</v>
      </c>
      <c r="E935" s="130">
        <v>92660604</v>
      </c>
      <c r="F935" t="s">
        <v>87</v>
      </c>
      <c r="G935">
        <v>77</v>
      </c>
      <c r="H935" t="s">
        <v>8951</v>
      </c>
      <c r="I935" s="130">
        <v>24</v>
      </c>
      <c r="J935" t="s">
        <v>2559</v>
      </c>
      <c r="K935" t="s">
        <v>95</v>
      </c>
      <c r="L935" t="s">
        <v>117</v>
      </c>
      <c r="M935" t="s">
        <v>103</v>
      </c>
      <c r="N935" t="s">
        <v>114</v>
      </c>
      <c r="O935" t="s">
        <v>1345</v>
      </c>
    </row>
    <row r="936" spans="1:15" x14ac:dyDescent="0.3">
      <c r="A936" s="130">
        <v>5130</v>
      </c>
      <c r="B936" s="130">
        <v>30</v>
      </c>
      <c r="C936" s="130" t="s">
        <v>2560</v>
      </c>
      <c r="D936">
        <v>8379</v>
      </c>
      <c r="E936" s="131">
        <v>13085979</v>
      </c>
      <c r="F936" t="s">
        <v>87</v>
      </c>
      <c r="G936">
        <v>78</v>
      </c>
      <c r="H936" t="s">
        <v>8952</v>
      </c>
      <c r="I936" s="130">
        <v>18</v>
      </c>
      <c r="J936" t="s">
        <v>2560</v>
      </c>
      <c r="K936" t="s">
        <v>108</v>
      </c>
      <c r="L936" t="s">
        <v>123</v>
      </c>
      <c r="M936" t="s">
        <v>103</v>
      </c>
      <c r="N936" t="s">
        <v>101</v>
      </c>
      <c r="O936" t="s">
        <v>1345</v>
      </c>
    </row>
    <row r="937" spans="1:15" x14ac:dyDescent="0.3">
      <c r="A937" s="130">
        <v>5131</v>
      </c>
      <c r="B937" s="130">
        <v>18</v>
      </c>
      <c r="C937" s="130" t="s">
        <v>2561</v>
      </c>
      <c r="D937">
        <v>8381</v>
      </c>
      <c r="E937" s="131">
        <v>22745178</v>
      </c>
      <c r="F937" t="s">
        <v>87</v>
      </c>
      <c r="G937">
        <v>358</v>
      </c>
      <c r="H937" t="s">
        <v>8953</v>
      </c>
      <c r="I937" s="130">
        <v>3</v>
      </c>
      <c r="J937" t="s">
        <v>2561</v>
      </c>
      <c r="K937" t="s">
        <v>108</v>
      </c>
      <c r="L937" t="s">
        <v>111</v>
      </c>
      <c r="M937" t="s">
        <v>112</v>
      </c>
      <c r="N937" t="s">
        <v>98</v>
      </c>
      <c r="O937" t="s">
        <v>116</v>
      </c>
    </row>
    <row r="938" spans="1:15" x14ac:dyDescent="0.3">
      <c r="A938" s="130">
        <v>5133</v>
      </c>
      <c r="B938" s="130">
        <v>10</v>
      </c>
      <c r="C938" s="130" t="s">
        <v>2562</v>
      </c>
      <c r="D938">
        <v>8385</v>
      </c>
      <c r="E938" s="130">
        <v>26389015</v>
      </c>
      <c r="F938" t="s">
        <v>87</v>
      </c>
      <c r="G938">
        <v>78</v>
      </c>
      <c r="H938" t="s">
        <v>8951</v>
      </c>
      <c r="I938" s="130">
        <v>3</v>
      </c>
      <c r="J938" t="s">
        <v>2562</v>
      </c>
      <c r="K938" t="s">
        <v>108</v>
      </c>
      <c r="L938" t="s">
        <v>140</v>
      </c>
      <c r="M938" t="s">
        <v>133</v>
      </c>
      <c r="N938" t="s">
        <v>98</v>
      </c>
      <c r="O938" t="s">
        <v>1345</v>
      </c>
    </row>
    <row r="939" spans="1:15" x14ac:dyDescent="0.3">
      <c r="A939" s="130">
        <v>5134</v>
      </c>
      <c r="B939" s="130">
        <v>18</v>
      </c>
      <c r="C939" s="130" t="s">
        <v>2563</v>
      </c>
      <c r="D939">
        <v>8380</v>
      </c>
      <c r="E939" s="131">
        <v>53503652</v>
      </c>
      <c r="F939" t="s">
        <v>87</v>
      </c>
      <c r="G939">
        <v>78</v>
      </c>
      <c r="H939" t="s">
        <v>8952</v>
      </c>
      <c r="I939" s="131">
        <v>9</v>
      </c>
      <c r="J939" t="s">
        <v>2563</v>
      </c>
      <c r="K939" t="s">
        <v>95</v>
      </c>
      <c r="L939" t="s">
        <v>163</v>
      </c>
      <c r="M939" t="s">
        <v>112</v>
      </c>
      <c r="N939" t="s">
        <v>98</v>
      </c>
      <c r="O939" t="s">
        <v>116</v>
      </c>
    </row>
    <row r="940" spans="1:15" x14ac:dyDescent="0.3">
      <c r="A940" s="130">
        <v>5142</v>
      </c>
      <c r="B940" s="130" t="s">
        <v>213</v>
      </c>
      <c r="C940" s="130" t="s">
        <v>2564</v>
      </c>
      <c r="D940">
        <v>8398</v>
      </c>
      <c r="E940" s="130">
        <v>43312312</v>
      </c>
      <c r="F940" t="s">
        <v>87</v>
      </c>
      <c r="G940">
        <v>78</v>
      </c>
      <c r="H940" t="s">
        <v>8953</v>
      </c>
      <c r="I940" s="130">
        <v>3</v>
      </c>
      <c r="J940" t="s">
        <v>2564</v>
      </c>
      <c r="K940" t="s">
        <v>95</v>
      </c>
      <c r="L940" t="s">
        <v>105</v>
      </c>
      <c r="M940" t="s">
        <v>213</v>
      </c>
      <c r="N940" t="s">
        <v>124</v>
      </c>
      <c r="O940" t="s">
        <v>1345</v>
      </c>
    </row>
    <row r="941" spans="1:15" x14ac:dyDescent="0.3">
      <c r="A941" s="130">
        <v>5150</v>
      </c>
      <c r="B941" s="130">
        <v>18</v>
      </c>
      <c r="C941" s="130" t="s">
        <v>2565</v>
      </c>
      <c r="D941">
        <v>8412</v>
      </c>
      <c r="E941" s="130">
        <v>8054995</v>
      </c>
      <c r="F941" t="s">
        <v>87</v>
      </c>
      <c r="G941">
        <v>358</v>
      </c>
      <c r="H941" t="s">
        <v>8951</v>
      </c>
      <c r="I941" s="131">
        <v>10</v>
      </c>
      <c r="J941" t="s">
        <v>2565</v>
      </c>
      <c r="K941" t="s">
        <v>95</v>
      </c>
      <c r="L941" t="s">
        <v>105</v>
      </c>
      <c r="M941" t="s">
        <v>112</v>
      </c>
      <c r="N941" t="s">
        <v>98</v>
      </c>
      <c r="O941" t="s">
        <v>1345</v>
      </c>
    </row>
    <row r="942" spans="1:15" x14ac:dyDescent="0.3">
      <c r="A942" s="130">
        <v>5153</v>
      </c>
      <c r="B942" s="130">
        <v>-1</v>
      </c>
      <c r="C942" s="130" t="s">
        <v>2566</v>
      </c>
      <c r="D942">
        <v>8416</v>
      </c>
      <c r="E942" s="130">
        <v>783475</v>
      </c>
      <c r="F942" t="s">
        <v>87</v>
      </c>
      <c r="G942">
        <v>78</v>
      </c>
      <c r="H942" t="s">
        <v>8952</v>
      </c>
      <c r="I942" s="131">
        <v>24</v>
      </c>
      <c r="J942" t="s">
        <v>2566</v>
      </c>
      <c r="K942" t="s">
        <v>108</v>
      </c>
      <c r="L942" t="s">
        <v>191</v>
      </c>
      <c r="M942" t="s">
        <v>174</v>
      </c>
      <c r="N942" t="s">
        <v>98</v>
      </c>
      <c r="O942" t="s">
        <v>116</v>
      </c>
    </row>
    <row r="943" spans="1:15" x14ac:dyDescent="0.3">
      <c r="A943" s="130">
        <v>5161</v>
      </c>
      <c r="B943" s="130">
        <v>21</v>
      </c>
      <c r="C943" s="130" t="s">
        <v>2567</v>
      </c>
      <c r="D943">
        <v>8432</v>
      </c>
      <c r="E943" s="130">
        <v>930087</v>
      </c>
      <c r="F943" t="s">
        <v>87</v>
      </c>
      <c r="G943">
        <v>78</v>
      </c>
      <c r="H943" t="s">
        <v>8953</v>
      </c>
      <c r="I943" s="130">
        <v>43</v>
      </c>
      <c r="J943" t="s">
        <v>2567</v>
      </c>
      <c r="K943" t="s">
        <v>95</v>
      </c>
      <c r="L943" t="s">
        <v>159</v>
      </c>
      <c r="M943" t="s">
        <v>137</v>
      </c>
      <c r="N943" t="s">
        <v>98</v>
      </c>
      <c r="O943" t="s">
        <v>1345</v>
      </c>
    </row>
    <row r="944" spans="1:15" x14ac:dyDescent="0.3">
      <c r="A944" s="130">
        <v>5162</v>
      </c>
      <c r="B944" s="130">
        <v>18</v>
      </c>
      <c r="C944" s="130" t="s">
        <v>2568</v>
      </c>
      <c r="D944">
        <v>8434</v>
      </c>
      <c r="E944" s="130">
        <v>3284231</v>
      </c>
      <c r="F944" t="s">
        <v>87</v>
      </c>
      <c r="G944">
        <v>78</v>
      </c>
      <c r="H944" t="s">
        <v>8951</v>
      </c>
      <c r="I944" s="130">
        <v>19</v>
      </c>
      <c r="J944" t="s">
        <v>2568</v>
      </c>
      <c r="K944" t="s">
        <v>108</v>
      </c>
      <c r="L944" t="s">
        <v>146</v>
      </c>
      <c r="M944" t="s">
        <v>112</v>
      </c>
      <c r="N944" t="s">
        <v>98</v>
      </c>
      <c r="O944" t="s">
        <v>1345</v>
      </c>
    </row>
    <row r="945" spans="1:15" x14ac:dyDescent="0.3">
      <c r="A945" s="130">
        <v>5169</v>
      </c>
      <c r="B945" s="130">
        <v>18</v>
      </c>
      <c r="C945" s="130" t="s">
        <v>2569</v>
      </c>
      <c r="D945">
        <v>8438</v>
      </c>
      <c r="E945" s="130">
        <v>14767790</v>
      </c>
      <c r="F945" t="s">
        <v>87</v>
      </c>
      <c r="G945">
        <v>78</v>
      </c>
      <c r="H945" t="s">
        <v>8952</v>
      </c>
      <c r="I945" s="130">
        <v>37</v>
      </c>
      <c r="J945" t="s">
        <v>2569</v>
      </c>
      <c r="K945" t="s">
        <v>95</v>
      </c>
      <c r="L945" t="s">
        <v>138</v>
      </c>
      <c r="M945" t="s">
        <v>112</v>
      </c>
      <c r="N945" t="s">
        <v>98</v>
      </c>
      <c r="O945" t="s">
        <v>116</v>
      </c>
    </row>
    <row r="946" spans="1:15" x14ac:dyDescent="0.3">
      <c r="A946" s="130">
        <v>5173</v>
      </c>
      <c r="B946" s="130">
        <v>30</v>
      </c>
      <c r="C946" s="130" t="s">
        <v>2570</v>
      </c>
      <c r="D946">
        <v>8443</v>
      </c>
      <c r="E946" s="131">
        <v>17155391</v>
      </c>
      <c r="F946" t="s">
        <v>87</v>
      </c>
      <c r="G946">
        <v>358</v>
      </c>
      <c r="H946" t="s">
        <v>8953</v>
      </c>
      <c r="I946" s="131">
        <v>10</v>
      </c>
      <c r="J946" t="s">
        <v>2570</v>
      </c>
      <c r="K946" t="s">
        <v>95</v>
      </c>
      <c r="L946" t="s">
        <v>105</v>
      </c>
      <c r="M946" t="s">
        <v>103</v>
      </c>
      <c r="N946" t="s">
        <v>98</v>
      </c>
      <c r="O946" t="s">
        <v>1345</v>
      </c>
    </row>
    <row r="947" spans="1:15" x14ac:dyDescent="0.3">
      <c r="A947" s="130">
        <v>5174</v>
      </c>
      <c r="B947" s="130">
        <v>-1</v>
      </c>
      <c r="C947" s="130" t="s">
        <v>2571</v>
      </c>
      <c r="D947">
        <v>8444</v>
      </c>
      <c r="E947" s="130">
        <v>23086464</v>
      </c>
      <c r="F947" t="s">
        <v>87</v>
      </c>
      <c r="G947">
        <v>78</v>
      </c>
      <c r="H947" t="s">
        <v>8951</v>
      </c>
      <c r="I947" s="131">
        <v>9</v>
      </c>
      <c r="J947" t="s">
        <v>2571</v>
      </c>
      <c r="K947" t="s">
        <v>108</v>
      </c>
      <c r="L947" t="s">
        <v>111</v>
      </c>
      <c r="M947" t="s">
        <v>174</v>
      </c>
      <c r="N947" t="s">
        <v>101</v>
      </c>
      <c r="O947" t="s">
        <v>116</v>
      </c>
    </row>
    <row r="948" spans="1:15" x14ac:dyDescent="0.3">
      <c r="A948" s="130">
        <v>5194</v>
      </c>
      <c r="B948" s="130">
        <v>5</v>
      </c>
      <c r="C948" s="130" t="s">
        <v>2572</v>
      </c>
      <c r="D948">
        <v>8477</v>
      </c>
      <c r="E948" s="131">
        <v>2052511</v>
      </c>
      <c r="F948" t="s">
        <v>87</v>
      </c>
      <c r="G948">
        <v>78</v>
      </c>
      <c r="H948" t="s">
        <v>8952</v>
      </c>
      <c r="I948" s="131">
        <v>3</v>
      </c>
      <c r="J948" t="s">
        <v>2572</v>
      </c>
      <c r="K948" t="s">
        <v>108</v>
      </c>
      <c r="L948" t="s">
        <v>111</v>
      </c>
      <c r="M948" t="s">
        <v>129</v>
      </c>
      <c r="N948" t="s">
        <v>101</v>
      </c>
      <c r="O948" t="s">
        <v>1345</v>
      </c>
    </row>
    <row r="949" spans="1:15" x14ac:dyDescent="0.3">
      <c r="A949" s="130">
        <v>5195</v>
      </c>
      <c r="B949" s="130">
        <v>30</v>
      </c>
      <c r="C949" s="130" t="s">
        <v>2573</v>
      </c>
      <c r="D949">
        <v>8417</v>
      </c>
      <c r="E949" s="131">
        <v>12557849</v>
      </c>
      <c r="F949" t="s">
        <v>87</v>
      </c>
      <c r="G949">
        <v>78</v>
      </c>
      <c r="H949" t="s">
        <v>8953</v>
      </c>
      <c r="I949" s="131">
        <v>9</v>
      </c>
      <c r="J949" t="s">
        <v>2573</v>
      </c>
      <c r="K949" t="s">
        <v>108</v>
      </c>
      <c r="L949" t="s">
        <v>181</v>
      </c>
      <c r="M949" t="s">
        <v>103</v>
      </c>
      <c r="N949" t="s">
        <v>98</v>
      </c>
      <c r="O949" t="s">
        <v>116</v>
      </c>
    </row>
    <row r="950" spans="1:15" x14ac:dyDescent="0.3">
      <c r="A950" s="130">
        <v>5197</v>
      </c>
      <c r="B950" s="130">
        <v>18</v>
      </c>
      <c r="C950" s="130" t="s">
        <v>2574</v>
      </c>
      <c r="D950">
        <v>8474</v>
      </c>
      <c r="E950" s="131">
        <v>7746677</v>
      </c>
      <c r="F950" t="s">
        <v>87</v>
      </c>
      <c r="G950">
        <v>78</v>
      </c>
      <c r="H950" t="s">
        <v>8951</v>
      </c>
      <c r="I950" s="131">
        <v>18</v>
      </c>
      <c r="J950" t="s">
        <v>2574</v>
      </c>
      <c r="K950" t="s">
        <v>108</v>
      </c>
      <c r="L950" t="s">
        <v>123</v>
      </c>
      <c r="M950" t="s">
        <v>112</v>
      </c>
      <c r="N950" t="s">
        <v>98</v>
      </c>
      <c r="O950" t="s">
        <v>116</v>
      </c>
    </row>
    <row r="951" spans="1:15" x14ac:dyDescent="0.3">
      <c r="A951" s="130">
        <v>5198</v>
      </c>
      <c r="B951" s="130">
        <v>18</v>
      </c>
      <c r="C951" s="130" t="s">
        <v>2575</v>
      </c>
      <c r="D951">
        <v>8250</v>
      </c>
      <c r="E951" s="130">
        <v>14742012</v>
      </c>
      <c r="F951" t="s">
        <v>87</v>
      </c>
      <c r="G951">
        <v>78</v>
      </c>
      <c r="H951" t="s">
        <v>8952</v>
      </c>
      <c r="I951" s="131">
        <v>9</v>
      </c>
      <c r="J951" t="s">
        <v>2575</v>
      </c>
      <c r="K951" t="s">
        <v>108</v>
      </c>
      <c r="L951" t="s">
        <v>125</v>
      </c>
      <c r="M951" t="s">
        <v>112</v>
      </c>
      <c r="N951" t="s">
        <v>98</v>
      </c>
      <c r="O951" t="s">
        <v>1345</v>
      </c>
    </row>
    <row r="952" spans="1:15" x14ac:dyDescent="0.3">
      <c r="A952" s="130">
        <v>5205</v>
      </c>
      <c r="B952" s="130">
        <v>10</v>
      </c>
      <c r="C952" s="130" t="s">
        <v>2576</v>
      </c>
      <c r="D952">
        <v>8489</v>
      </c>
      <c r="E952" s="130">
        <v>84907393</v>
      </c>
      <c r="F952" t="s">
        <v>87</v>
      </c>
      <c r="G952">
        <v>358</v>
      </c>
      <c r="H952" t="s">
        <v>8953</v>
      </c>
      <c r="I952" s="131">
        <v>18</v>
      </c>
      <c r="J952" t="s">
        <v>2576</v>
      </c>
      <c r="K952" t="s">
        <v>108</v>
      </c>
      <c r="L952" t="s">
        <v>109</v>
      </c>
      <c r="M952" t="s">
        <v>133</v>
      </c>
      <c r="N952" t="s">
        <v>98</v>
      </c>
      <c r="O952" t="s">
        <v>116</v>
      </c>
    </row>
    <row r="953" spans="1:15" x14ac:dyDescent="0.3">
      <c r="A953" s="130">
        <v>5210</v>
      </c>
      <c r="B953" s="130">
        <v>60</v>
      </c>
      <c r="C953" s="130" t="s">
        <v>2577</v>
      </c>
      <c r="D953">
        <v>8494</v>
      </c>
      <c r="E953" s="130">
        <v>43821266</v>
      </c>
      <c r="F953" t="s">
        <v>87</v>
      </c>
      <c r="G953">
        <v>77</v>
      </c>
      <c r="H953" t="s">
        <v>8951</v>
      </c>
      <c r="I953" s="130">
        <v>9</v>
      </c>
      <c r="J953" t="s">
        <v>2577</v>
      </c>
      <c r="K953" t="s">
        <v>95</v>
      </c>
      <c r="L953" t="s">
        <v>117</v>
      </c>
      <c r="M953" t="s">
        <v>97</v>
      </c>
      <c r="N953" t="s">
        <v>98</v>
      </c>
      <c r="O953" t="s">
        <v>116</v>
      </c>
    </row>
    <row r="954" spans="1:15" x14ac:dyDescent="0.3">
      <c r="A954" s="130">
        <v>5215</v>
      </c>
      <c r="B954" s="130">
        <v>15</v>
      </c>
      <c r="C954" s="130" t="s">
        <v>2578</v>
      </c>
      <c r="D954">
        <v>8510</v>
      </c>
      <c r="E954" s="131">
        <v>30845475</v>
      </c>
      <c r="F954" t="s">
        <v>87</v>
      </c>
      <c r="G954">
        <v>358</v>
      </c>
      <c r="H954" t="s">
        <v>8952</v>
      </c>
      <c r="I954" s="130">
        <v>24</v>
      </c>
      <c r="J954" t="s">
        <v>2578</v>
      </c>
      <c r="K954" t="s">
        <v>95</v>
      </c>
      <c r="L954" t="s">
        <v>140</v>
      </c>
      <c r="M954" t="s">
        <v>145</v>
      </c>
      <c r="N954" t="s">
        <v>150</v>
      </c>
      <c r="O954" t="s">
        <v>1345</v>
      </c>
    </row>
    <row r="955" spans="1:15" x14ac:dyDescent="0.3">
      <c r="A955" s="130">
        <v>5216</v>
      </c>
      <c r="B955" s="130">
        <v>-1</v>
      </c>
      <c r="C955" s="130" t="s">
        <v>2579</v>
      </c>
      <c r="D955">
        <v>8513</v>
      </c>
      <c r="E955" s="131">
        <v>9485006</v>
      </c>
      <c r="F955" t="s">
        <v>87</v>
      </c>
      <c r="G955">
        <v>78</v>
      </c>
      <c r="H955" t="s">
        <v>8953</v>
      </c>
      <c r="I955" s="131">
        <v>24</v>
      </c>
      <c r="J955" t="s">
        <v>2579</v>
      </c>
      <c r="K955" t="s">
        <v>108</v>
      </c>
      <c r="L955" t="s">
        <v>191</v>
      </c>
      <c r="M955" t="s">
        <v>174</v>
      </c>
      <c r="N955" t="s">
        <v>114</v>
      </c>
      <c r="O955" t="s">
        <v>1345</v>
      </c>
    </row>
    <row r="956" spans="1:15" x14ac:dyDescent="0.3">
      <c r="A956" s="130">
        <v>5221</v>
      </c>
      <c r="B956" s="130">
        <v>18</v>
      </c>
      <c r="C956" s="130" t="s">
        <v>2580</v>
      </c>
      <c r="D956">
        <v>8519</v>
      </c>
      <c r="E956" s="130">
        <v>36561742</v>
      </c>
      <c r="F956" t="s">
        <v>87</v>
      </c>
      <c r="G956">
        <v>358</v>
      </c>
      <c r="H956" t="s">
        <v>8951</v>
      </c>
      <c r="I956" s="131">
        <v>3</v>
      </c>
      <c r="J956" t="s">
        <v>2580</v>
      </c>
      <c r="K956" t="s">
        <v>95</v>
      </c>
      <c r="L956" t="s">
        <v>153</v>
      </c>
      <c r="M956" t="s">
        <v>112</v>
      </c>
      <c r="N956" t="s">
        <v>101</v>
      </c>
      <c r="O956" t="s">
        <v>1345</v>
      </c>
    </row>
    <row r="957" spans="1:15" x14ac:dyDescent="0.3">
      <c r="A957" s="130">
        <v>5223</v>
      </c>
      <c r="B957" s="130">
        <v>18</v>
      </c>
      <c r="C957" s="130" t="s">
        <v>2581</v>
      </c>
      <c r="D957">
        <v>8520</v>
      </c>
      <c r="E957" s="131">
        <v>28839121</v>
      </c>
      <c r="F957" t="s">
        <v>87</v>
      </c>
      <c r="G957">
        <v>78</v>
      </c>
      <c r="H957" t="s">
        <v>8952</v>
      </c>
      <c r="I957" s="131">
        <v>9</v>
      </c>
      <c r="J957" t="s">
        <v>2581</v>
      </c>
      <c r="K957" t="s">
        <v>108</v>
      </c>
      <c r="L957" t="s">
        <v>125</v>
      </c>
      <c r="M957" t="s">
        <v>112</v>
      </c>
      <c r="N957" t="s">
        <v>101</v>
      </c>
      <c r="O957" t="s">
        <v>116</v>
      </c>
    </row>
    <row r="958" spans="1:15" x14ac:dyDescent="0.3">
      <c r="A958" s="130">
        <v>5228</v>
      </c>
      <c r="B958" s="130">
        <v>60</v>
      </c>
      <c r="C958" s="130" t="s">
        <v>2582</v>
      </c>
      <c r="D958">
        <v>8529</v>
      </c>
      <c r="E958" s="130">
        <v>17185786</v>
      </c>
      <c r="F958" t="s">
        <v>87</v>
      </c>
      <c r="G958">
        <v>358</v>
      </c>
      <c r="H958" t="s">
        <v>8953</v>
      </c>
      <c r="I958" s="130">
        <v>10</v>
      </c>
      <c r="J958" t="s">
        <v>2582</v>
      </c>
      <c r="K958" t="s">
        <v>95</v>
      </c>
      <c r="L958" t="s">
        <v>105</v>
      </c>
      <c r="M958" t="s">
        <v>97</v>
      </c>
      <c r="N958" t="s">
        <v>98</v>
      </c>
      <c r="O958" t="s">
        <v>1345</v>
      </c>
    </row>
    <row r="959" spans="1:15" x14ac:dyDescent="0.3">
      <c r="A959" s="130">
        <v>5231</v>
      </c>
      <c r="B959" s="130">
        <v>18</v>
      </c>
      <c r="C959" s="130" t="s">
        <v>2583</v>
      </c>
      <c r="D959">
        <v>8534</v>
      </c>
      <c r="E959" s="130">
        <v>60109576</v>
      </c>
      <c r="F959" t="s">
        <v>87</v>
      </c>
      <c r="G959">
        <v>78</v>
      </c>
      <c r="H959" t="s">
        <v>8951</v>
      </c>
      <c r="I959" s="130">
        <v>37</v>
      </c>
      <c r="J959" t="s">
        <v>2583</v>
      </c>
      <c r="K959" t="s">
        <v>95</v>
      </c>
      <c r="L959" t="s">
        <v>138</v>
      </c>
      <c r="M959" t="s">
        <v>112</v>
      </c>
      <c r="N959" t="s">
        <v>98</v>
      </c>
      <c r="O959" t="s">
        <v>1345</v>
      </c>
    </row>
    <row r="960" spans="1:15" x14ac:dyDescent="0.3">
      <c r="A960" s="130">
        <v>5234</v>
      </c>
      <c r="B960" s="130">
        <v>18</v>
      </c>
      <c r="C960" s="130" t="s">
        <v>2584</v>
      </c>
      <c r="D960">
        <v>8536</v>
      </c>
      <c r="E960" s="130">
        <v>2577145</v>
      </c>
      <c r="F960" t="s">
        <v>87</v>
      </c>
      <c r="G960">
        <v>78</v>
      </c>
      <c r="H960" t="s">
        <v>8952</v>
      </c>
      <c r="I960" s="130">
        <v>10</v>
      </c>
      <c r="J960" t="s">
        <v>2584</v>
      </c>
      <c r="K960" t="s">
        <v>108</v>
      </c>
      <c r="L960" t="s">
        <v>127</v>
      </c>
      <c r="M960" t="s">
        <v>112</v>
      </c>
      <c r="N960" t="s">
        <v>98</v>
      </c>
      <c r="O960" t="s">
        <v>116</v>
      </c>
    </row>
    <row r="961" spans="1:15" x14ac:dyDescent="0.3">
      <c r="A961" s="130">
        <v>5241</v>
      </c>
      <c r="B961" s="130">
        <v>21</v>
      </c>
      <c r="C961" s="130" t="s">
        <v>2585</v>
      </c>
      <c r="D961">
        <v>8545</v>
      </c>
      <c r="E961" s="130">
        <v>24899026</v>
      </c>
      <c r="F961" t="s">
        <v>87</v>
      </c>
      <c r="G961">
        <v>78</v>
      </c>
      <c r="H961" t="s">
        <v>8953</v>
      </c>
      <c r="I961" s="131">
        <v>10</v>
      </c>
      <c r="J961" t="s">
        <v>2585</v>
      </c>
      <c r="K961" t="s">
        <v>95</v>
      </c>
      <c r="L961" t="s">
        <v>127</v>
      </c>
      <c r="M961" t="s">
        <v>137</v>
      </c>
      <c r="N961" t="s">
        <v>118</v>
      </c>
      <c r="O961" t="s">
        <v>1345</v>
      </c>
    </row>
    <row r="962" spans="1:15" x14ac:dyDescent="0.3">
      <c r="A962" s="130">
        <v>5243</v>
      </c>
      <c r="B962" s="130">
        <v>30</v>
      </c>
      <c r="C962" s="130" t="s">
        <v>2586</v>
      </c>
      <c r="D962">
        <v>8546</v>
      </c>
      <c r="E962" s="130">
        <v>8343492</v>
      </c>
      <c r="F962" t="s">
        <v>87</v>
      </c>
      <c r="G962">
        <v>78</v>
      </c>
      <c r="H962" t="s">
        <v>8951</v>
      </c>
      <c r="I962" s="131">
        <v>37</v>
      </c>
      <c r="J962" t="s">
        <v>2586</v>
      </c>
      <c r="K962" t="s">
        <v>95</v>
      </c>
      <c r="L962" t="s">
        <v>138</v>
      </c>
      <c r="M962" t="s">
        <v>103</v>
      </c>
      <c r="N962" t="s">
        <v>98</v>
      </c>
      <c r="O962" t="s">
        <v>1345</v>
      </c>
    </row>
    <row r="963" spans="1:15" x14ac:dyDescent="0.3">
      <c r="A963" s="130">
        <v>5244</v>
      </c>
      <c r="B963" s="130">
        <v>30</v>
      </c>
      <c r="C963" s="130" t="s">
        <v>2587</v>
      </c>
      <c r="D963">
        <v>8547</v>
      </c>
      <c r="E963" s="130">
        <v>15527906</v>
      </c>
      <c r="F963" t="s">
        <v>87</v>
      </c>
      <c r="G963">
        <v>358</v>
      </c>
      <c r="H963" t="s">
        <v>8952</v>
      </c>
      <c r="I963" s="130">
        <v>3</v>
      </c>
      <c r="J963" t="s">
        <v>2587</v>
      </c>
      <c r="K963" t="s">
        <v>95</v>
      </c>
      <c r="L963" t="s">
        <v>1346</v>
      </c>
      <c r="M963" t="s">
        <v>103</v>
      </c>
      <c r="N963" t="s">
        <v>114</v>
      </c>
      <c r="O963" t="s">
        <v>1345</v>
      </c>
    </row>
    <row r="964" spans="1:15" x14ac:dyDescent="0.3">
      <c r="A964" s="130">
        <v>5245</v>
      </c>
      <c r="B964" s="130">
        <v>10</v>
      </c>
      <c r="C964" s="130" t="s">
        <v>2588</v>
      </c>
      <c r="D964">
        <v>8549</v>
      </c>
      <c r="E964" s="130">
        <v>20654377</v>
      </c>
      <c r="F964" t="s">
        <v>87</v>
      </c>
      <c r="G964">
        <v>78</v>
      </c>
      <c r="H964" t="s">
        <v>8953</v>
      </c>
      <c r="I964" s="130">
        <v>3</v>
      </c>
      <c r="J964" t="s">
        <v>2588</v>
      </c>
      <c r="K964" t="s">
        <v>108</v>
      </c>
      <c r="L964" t="s">
        <v>109</v>
      </c>
      <c r="M964" t="s">
        <v>133</v>
      </c>
      <c r="N964" t="s">
        <v>124</v>
      </c>
      <c r="O964" t="s">
        <v>1345</v>
      </c>
    </row>
    <row r="965" spans="1:15" x14ac:dyDescent="0.3">
      <c r="A965" s="130">
        <v>5248</v>
      </c>
      <c r="B965" s="130">
        <v>18</v>
      </c>
      <c r="C965" s="130" t="s">
        <v>2589</v>
      </c>
      <c r="D965">
        <v>8554</v>
      </c>
      <c r="E965" s="131">
        <v>10279488</v>
      </c>
      <c r="F965" t="s">
        <v>87</v>
      </c>
      <c r="G965">
        <v>78</v>
      </c>
      <c r="H965" t="s">
        <v>8951</v>
      </c>
      <c r="I965" s="131">
        <v>37</v>
      </c>
      <c r="J965" t="s">
        <v>2589</v>
      </c>
      <c r="K965" t="s">
        <v>95</v>
      </c>
      <c r="L965" t="s">
        <v>138</v>
      </c>
      <c r="M965" t="s">
        <v>112</v>
      </c>
      <c r="N965" t="s">
        <v>98</v>
      </c>
      <c r="O965" t="s">
        <v>1345</v>
      </c>
    </row>
    <row r="966" spans="1:15" x14ac:dyDescent="0.3">
      <c r="A966" s="130">
        <v>5251</v>
      </c>
      <c r="B966" s="130">
        <v>18</v>
      </c>
      <c r="C966" s="130" t="s">
        <v>2590</v>
      </c>
      <c r="D966">
        <v>8499</v>
      </c>
      <c r="E966" s="130">
        <v>41705476</v>
      </c>
      <c r="F966" t="s">
        <v>87</v>
      </c>
      <c r="G966">
        <v>78</v>
      </c>
      <c r="H966" t="s">
        <v>8952</v>
      </c>
      <c r="I966" s="130">
        <v>3</v>
      </c>
      <c r="J966" t="s">
        <v>2590</v>
      </c>
      <c r="K966" t="s">
        <v>108</v>
      </c>
      <c r="L966" t="s">
        <v>140</v>
      </c>
      <c r="M966" t="s">
        <v>112</v>
      </c>
      <c r="N966" t="s">
        <v>98</v>
      </c>
      <c r="O966" t="s">
        <v>1345</v>
      </c>
    </row>
    <row r="967" spans="1:15" x14ac:dyDescent="0.3">
      <c r="A967" s="130">
        <v>5252</v>
      </c>
      <c r="B967" s="130">
        <v>30</v>
      </c>
      <c r="C967" s="130" t="s">
        <v>2591</v>
      </c>
      <c r="D967">
        <v>8560</v>
      </c>
      <c r="E967" s="130">
        <v>7522191</v>
      </c>
      <c r="F967" t="s">
        <v>87</v>
      </c>
      <c r="G967">
        <v>358</v>
      </c>
      <c r="H967" t="s">
        <v>8953</v>
      </c>
      <c r="I967" s="131">
        <v>3</v>
      </c>
      <c r="J967" t="s">
        <v>2591</v>
      </c>
      <c r="K967" t="s">
        <v>95</v>
      </c>
      <c r="L967" t="s">
        <v>109</v>
      </c>
      <c r="M967" t="s">
        <v>103</v>
      </c>
      <c r="N967" t="s">
        <v>98</v>
      </c>
      <c r="O967" t="s">
        <v>1345</v>
      </c>
    </row>
    <row r="968" spans="1:15" x14ac:dyDescent="0.3">
      <c r="A968" s="130">
        <v>5255</v>
      </c>
      <c r="B968" s="130">
        <v>21</v>
      </c>
      <c r="C968" s="130" t="s">
        <v>2592</v>
      </c>
      <c r="D968">
        <v>8563</v>
      </c>
      <c r="E968" s="130">
        <v>33679778</v>
      </c>
      <c r="F968" t="s">
        <v>87</v>
      </c>
      <c r="G968">
        <v>78</v>
      </c>
      <c r="H968" t="s">
        <v>8951</v>
      </c>
      <c r="I968" s="130">
        <v>37</v>
      </c>
      <c r="J968" t="s">
        <v>2592</v>
      </c>
      <c r="K968" t="s">
        <v>95</v>
      </c>
      <c r="L968" t="s">
        <v>138</v>
      </c>
      <c r="M968" t="s">
        <v>137</v>
      </c>
      <c r="N968" t="s">
        <v>98</v>
      </c>
      <c r="O968" t="s">
        <v>1345</v>
      </c>
    </row>
    <row r="969" spans="1:15" x14ac:dyDescent="0.3">
      <c r="A969" s="130">
        <v>5263</v>
      </c>
      <c r="B969" s="130">
        <v>90</v>
      </c>
      <c r="C969" s="130" t="s">
        <v>2593</v>
      </c>
      <c r="D969">
        <v>8580</v>
      </c>
      <c r="E969" s="130">
        <v>655209</v>
      </c>
      <c r="F969" t="s">
        <v>87</v>
      </c>
      <c r="G969">
        <v>78</v>
      </c>
      <c r="H969" t="s">
        <v>8952</v>
      </c>
      <c r="I969" s="131">
        <v>9</v>
      </c>
      <c r="J969" t="s">
        <v>2593</v>
      </c>
      <c r="K969" t="s">
        <v>95</v>
      </c>
      <c r="L969" t="s">
        <v>163</v>
      </c>
      <c r="M969" t="s">
        <v>170</v>
      </c>
      <c r="N969" t="s">
        <v>114</v>
      </c>
      <c r="O969" t="s">
        <v>116</v>
      </c>
    </row>
    <row r="970" spans="1:15" x14ac:dyDescent="0.3">
      <c r="A970" s="130">
        <v>5266</v>
      </c>
      <c r="B970" s="130">
        <v>18</v>
      </c>
      <c r="C970" s="130" t="s">
        <v>2594</v>
      </c>
      <c r="D970">
        <v>8583</v>
      </c>
      <c r="E970" s="130">
        <v>7634590</v>
      </c>
      <c r="F970" t="s">
        <v>87</v>
      </c>
      <c r="G970">
        <v>358</v>
      </c>
      <c r="H970" t="s">
        <v>8953</v>
      </c>
      <c r="I970" s="131">
        <v>9</v>
      </c>
      <c r="J970" t="s">
        <v>2594</v>
      </c>
      <c r="K970" t="s">
        <v>95</v>
      </c>
      <c r="L970" t="s">
        <v>109</v>
      </c>
      <c r="M970" t="s">
        <v>112</v>
      </c>
      <c r="N970" t="s">
        <v>118</v>
      </c>
      <c r="O970" t="s">
        <v>1345</v>
      </c>
    </row>
    <row r="971" spans="1:15" x14ac:dyDescent="0.3">
      <c r="A971" s="130">
        <v>5268</v>
      </c>
      <c r="B971" s="130">
        <v>0</v>
      </c>
      <c r="C971" s="130" t="s">
        <v>2595</v>
      </c>
      <c r="D971">
        <v>8590</v>
      </c>
      <c r="E971" s="130">
        <v>4446606</v>
      </c>
      <c r="F971" t="s">
        <v>87</v>
      </c>
      <c r="G971">
        <v>78</v>
      </c>
      <c r="H971" t="s">
        <v>8951</v>
      </c>
      <c r="I971" s="131">
        <v>1</v>
      </c>
      <c r="J971" t="s">
        <v>2595</v>
      </c>
      <c r="K971" t="s">
        <v>95</v>
      </c>
      <c r="L971" t="s">
        <v>146</v>
      </c>
      <c r="M971" t="s">
        <v>100</v>
      </c>
      <c r="N971" t="s">
        <v>169</v>
      </c>
      <c r="O971" t="s">
        <v>1256</v>
      </c>
    </row>
    <row r="972" spans="1:15" x14ac:dyDescent="0.3">
      <c r="A972" s="130">
        <v>5270</v>
      </c>
      <c r="B972" s="130">
        <v>18</v>
      </c>
      <c r="C972" s="130" t="s">
        <v>2596</v>
      </c>
      <c r="D972">
        <v>8592</v>
      </c>
      <c r="E972" s="131">
        <v>3514701</v>
      </c>
      <c r="F972" t="s">
        <v>87</v>
      </c>
      <c r="G972">
        <v>78</v>
      </c>
      <c r="H972" t="s">
        <v>8952</v>
      </c>
      <c r="I972" s="130">
        <v>10</v>
      </c>
      <c r="J972" t="s">
        <v>2596</v>
      </c>
      <c r="K972" t="s">
        <v>108</v>
      </c>
      <c r="L972" t="s">
        <v>127</v>
      </c>
      <c r="M972" t="s">
        <v>112</v>
      </c>
      <c r="N972" t="s">
        <v>104</v>
      </c>
      <c r="O972" t="s">
        <v>1345</v>
      </c>
    </row>
    <row r="973" spans="1:15" x14ac:dyDescent="0.3">
      <c r="A973" s="130">
        <v>5287</v>
      </c>
      <c r="B973" s="130">
        <v>18</v>
      </c>
      <c r="C973" s="130" t="s">
        <v>2597</v>
      </c>
      <c r="D973">
        <v>8622</v>
      </c>
      <c r="E973" s="130">
        <v>28178342</v>
      </c>
      <c r="F973" t="s">
        <v>87</v>
      </c>
      <c r="G973">
        <v>358</v>
      </c>
      <c r="H973" t="s">
        <v>8953</v>
      </c>
      <c r="I973" s="130">
        <v>3</v>
      </c>
      <c r="J973" t="s">
        <v>2597</v>
      </c>
      <c r="K973" t="s">
        <v>95</v>
      </c>
      <c r="L973" t="s">
        <v>109</v>
      </c>
      <c r="M973" t="s">
        <v>112</v>
      </c>
      <c r="N973" t="s">
        <v>98</v>
      </c>
      <c r="O973" t="s">
        <v>1345</v>
      </c>
    </row>
    <row r="974" spans="1:15" x14ac:dyDescent="0.3">
      <c r="A974" s="130">
        <v>5290</v>
      </c>
      <c r="B974" s="130">
        <v>6</v>
      </c>
      <c r="C974" s="130" t="s">
        <v>2598</v>
      </c>
      <c r="D974">
        <v>8624</v>
      </c>
      <c r="E974" s="131">
        <v>33475296</v>
      </c>
      <c r="F974" t="s">
        <v>87</v>
      </c>
      <c r="G974">
        <v>358</v>
      </c>
      <c r="H974" t="s">
        <v>8951</v>
      </c>
      <c r="I974" s="130">
        <v>10</v>
      </c>
      <c r="J974" t="s">
        <v>2598</v>
      </c>
      <c r="K974" t="s">
        <v>95</v>
      </c>
      <c r="L974" t="s">
        <v>105</v>
      </c>
      <c r="M974" t="s">
        <v>205</v>
      </c>
      <c r="N974" t="s">
        <v>98</v>
      </c>
      <c r="O974" t="s">
        <v>1345</v>
      </c>
    </row>
    <row r="975" spans="1:15" x14ac:dyDescent="0.3">
      <c r="A975" s="130">
        <v>5292</v>
      </c>
      <c r="B975" s="130">
        <v>-1</v>
      </c>
      <c r="C975" s="130" t="s">
        <v>2599</v>
      </c>
      <c r="D975">
        <v>8628</v>
      </c>
      <c r="E975" s="130">
        <v>6070362</v>
      </c>
      <c r="F975" t="s">
        <v>87</v>
      </c>
      <c r="G975">
        <v>358</v>
      </c>
      <c r="H975" t="s">
        <v>8952</v>
      </c>
      <c r="I975" s="130">
        <v>18</v>
      </c>
      <c r="J975" t="s">
        <v>2599</v>
      </c>
      <c r="K975" t="s">
        <v>108</v>
      </c>
      <c r="L975" t="s">
        <v>109</v>
      </c>
      <c r="M975" t="s">
        <v>174</v>
      </c>
      <c r="N975" t="s">
        <v>98</v>
      </c>
      <c r="O975" t="s">
        <v>1345</v>
      </c>
    </row>
    <row r="976" spans="1:15" x14ac:dyDescent="0.3">
      <c r="A976" s="130">
        <v>5301</v>
      </c>
      <c r="B976" s="130">
        <v>18</v>
      </c>
      <c r="C976" s="130" t="s">
        <v>2600</v>
      </c>
      <c r="D976">
        <v>8639</v>
      </c>
      <c r="E976" s="130">
        <v>7336695</v>
      </c>
      <c r="F976" t="s">
        <v>87</v>
      </c>
      <c r="G976">
        <v>358</v>
      </c>
      <c r="H976" t="s">
        <v>8953</v>
      </c>
      <c r="I976" s="131">
        <v>10</v>
      </c>
      <c r="J976" t="s">
        <v>2600</v>
      </c>
      <c r="K976" t="s">
        <v>95</v>
      </c>
      <c r="L976" t="s">
        <v>105</v>
      </c>
      <c r="M976" t="s">
        <v>112</v>
      </c>
      <c r="N976" t="s">
        <v>141</v>
      </c>
      <c r="O976" t="s">
        <v>1345</v>
      </c>
    </row>
    <row r="977" spans="1:15" x14ac:dyDescent="0.3">
      <c r="A977" s="130">
        <v>5303</v>
      </c>
      <c r="B977" s="130">
        <v>30</v>
      </c>
      <c r="C977" s="130" t="s">
        <v>2601</v>
      </c>
      <c r="D977">
        <v>8641</v>
      </c>
      <c r="E977" s="130">
        <v>5208211</v>
      </c>
      <c r="F977" t="s">
        <v>87</v>
      </c>
      <c r="G977">
        <v>78</v>
      </c>
      <c r="H977" t="s">
        <v>8951</v>
      </c>
      <c r="I977" s="131">
        <v>3</v>
      </c>
      <c r="J977" t="s">
        <v>2601</v>
      </c>
      <c r="K977" t="s">
        <v>95</v>
      </c>
      <c r="L977" t="s">
        <v>111</v>
      </c>
      <c r="M977" t="s">
        <v>103</v>
      </c>
      <c r="N977" t="s">
        <v>98</v>
      </c>
      <c r="O977" t="s">
        <v>116</v>
      </c>
    </row>
    <row r="978" spans="1:15" x14ac:dyDescent="0.3">
      <c r="A978" s="130">
        <v>5304</v>
      </c>
      <c r="B978" s="130">
        <v>30</v>
      </c>
      <c r="C978" s="130" t="s">
        <v>2602</v>
      </c>
      <c r="D978">
        <v>8642</v>
      </c>
      <c r="E978" s="131">
        <v>5208211</v>
      </c>
      <c r="F978" t="s">
        <v>87</v>
      </c>
      <c r="G978">
        <v>78</v>
      </c>
      <c r="H978" t="s">
        <v>8952</v>
      </c>
      <c r="I978" s="130">
        <v>3</v>
      </c>
      <c r="J978" t="s">
        <v>2602</v>
      </c>
      <c r="K978" t="s">
        <v>95</v>
      </c>
      <c r="L978" t="s">
        <v>111</v>
      </c>
      <c r="M978" t="s">
        <v>103</v>
      </c>
      <c r="N978" t="s">
        <v>98</v>
      </c>
      <c r="O978" t="s">
        <v>116</v>
      </c>
    </row>
    <row r="979" spans="1:15" x14ac:dyDescent="0.3">
      <c r="A979" s="130">
        <v>5305</v>
      </c>
      <c r="B979" s="130">
        <v>30</v>
      </c>
      <c r="C979" s="130" t="s">
        <v>2603</v>
      </c>
      <c r="D979">
        <v>8645</v>
      </c>
      <c r="E979" s="130">
        <v>17185786</v>
      </c>
      <c r="F979" t="s">
        <v>87</v>
      </c>
      <c r="G979">
        <v>358</v>
      </c>
      <c r="H979" t="s">
        <v>8953</v>
      </c>
      <c r="I979" s="131">
        <v>3</v>
      </c>
      <c r="J979" t="s">
        <v>2603</v>
      </c>
      <c r="K979" t="s">
        <v>95</v>
      </c>
      <c r="L979" t="s">
        <v>105</v>
      </c>
      <c r="M979" t="s">
        <v>103</v>
      </c>
      <c r="N979" t="s">
        <v>98</v>
      </c>
      <c r="O979" t="s">
        <v>116</v>
      </c>
    </row>
    <row r="980" spans="1:15" x14ac:dyDescent="0.3">
      <c r="A980" s="130">
        <v>5315</v>
      </c>
      <c r="B980" s="130">
        <v>30</v>
      </c>
      <c r="C980" s="130" t="s">
        <v>2604</v>
      </c>
      <c r="D980">
        <v>8671</v>
      </c>
      <c r="E980" s="131">
        <v>5427215</v>
      </c>
      <c r="F980" t="s">
        <v>87</v>
      </c>
      <c r="G980">
        <v>78</v>
      </c>
      <c r="H980" t="s">
        <v>8951</v>
      </c>
      <c r="I980" s="130">
        <v>19</v>
      </c>
      <c r="J980" t="s">
        <v>2604</v>
      </c>
      <c r="K980" t="s">
        <v>108</v>
      </c>
      <c r="L980" t="s">
        <v>146</v>
      </c>
      <c r="M980" t="s">
        <v>103</v>
      </c>
      <c r="N980" t="s">
        <v>114</v>
      </c>
      <c r="O980" t="s">
        <v>1345</v>
      </c>
    </row>
    <row r="981" spans="1:15" x14ac:dyDescent="0.3">
      <c r="A981" s="130">
        <v>5317</v>
      </c>
      <c r="B981" s="130">
        <v>18</v>
      </c>
      <c r="C981" s="130" t="s">
        <v>2605</v>
      </c>
      <c r="D981">
        <v>8672</v>
      </c>
      <c r="E981" s="130">
        <v>40394490</v>
      </c>
      <c r="F981" t="s">
        <v>87</v>
      </c>
      <c r="G981">
        <v>78</v>
      </c>
      <c r="H981" t="s">
        <v>8952</v>
      </c>
      <c r="I981" s="131">
        <v>26</v>
      </c>
      <c r="J981" t="s">
        <v>2605</v>
      </c>
      <c r="K981" t="s">
        <v>108</v>
      </c>
      <c r="L981" t="s">
        <v>151</v>
      </c>
      <c r="M981" t="s">
        <v>112</v>
      </c>
      <c r="N981" t="s">
        <v>98</v>
      </c>
      <c r="O981" t="s">
        <v>1345</v>
      </c>
    </row>
    <row r="982" spans="1:15" x14ac:dyDescent="0.3">
      <c r="A982" s="130">
        <v>5320</v>
      </c>
      <c r="B982" s="130">
        <v>30</v>
      </c>
      <c r="C982" s="130" t="s">
        <v>2606</v>
      </c>
      <c r="D982">
        <v>8675</v>
      </c>
      <c r="E982" s="130">
        <v>7617805</v>
      </c>
      <c r="F982" t="s">
        <v>87</v>
      </c>
      <c r="G982">
        <v>78</v>
      </c>
      <c r="H982" t="s">
        <v>8953</v>
      </c>
      <c r="I982" s="131">
        <v>19</v>
      </c>
      <c r="J982" t="s">
        <v>2606</v>
      </c>
      <c r="K982" t="s">
        <v>108</v>
      </c>
      <c r="L982" t="s">
        <v>146</v>
      </c>
      <c r="M982" t="s">
        <v>103</v>
      </c>
      <c r="N982" t="s">
        <v>124</v>
      </c>
      <c r="O982" t="s">
        <v>1345</v>
      </c>
    </row>
    <row r="983" spans="1:15" x14ac:dyDescent="0.3">
      <c r="A983" s="130">
        <v>5321</v>
      </c>
      <c r="B983" s="130">
        <v>18</v>
      </c>
      <c r="C983" s="130" t="s">
        <v>2607</v>
      </c>
      <c r="D983">
        <v>8678</v>
      </c>
      <c r="E983" s="130">
        <v>18977072</v>
      </c>
      <c r="F983" t="s">
        <v>87</v>
      </c>
      <c r="G983">
        <v>78</v>
      </c>
      <c r="H983" t="s">
        <v>8951</v>
      </c>
      <c r="I983" s="130">
        <v>37</v>
      </c>
      <c r="J983" t="s">
        <v>2607</v>
      </c>
      <c r="K983" t="s">
        <v>95</v>
      </c>
      <c r="L983" t="s">
        <v>138</v>
      </c>
      <c r="M983" t="s">
        <v>112</v>
      </c>
      <c r="N983" t="s">
        <v>114</v>
      </c>
      <c r="O983" t="s">
        <v>1345</v>
      </c>
    </row>
    <row r="984" spans="1:15" x14ac:dyDescent="0.3">
      <c r="A984" s="130">
        <v>5325</v>
      </c>
      <c r="B984" s="130">
        <v>21</v>
      </c>
      <c r="C984" s="130" t="s">
        <v>2608</v>
      </c>
      <c r="D984">
        <v>8681</v>
      </c>
      <c r="E984" s="130">
        <v>10558895</v>
      </c>
      <c r="F984" t="s">
        <v>87</v>
      </c>
      <c r="G984">
        <v>78</v>
      </c>
      <c r="H984" t="s">
        <v>8952</v>
      </c>
      <c r="I984" s="131">
        <v>37</v>
      </c>
      <c r="J984" t="s">
        <v>2608</v>
      </c>
      <c r="K984" t="s">
        <v>95</v>
      </c>
      <c r="L984" t="s">
        <v>138</v>
      </c>
      <c r="M984" t="s">
        <v>137</v>
      </c>
      <c r="N984" t="s">
        <v>98</v>
      </c>
      <c r="O984" t="s">
        <v>1345</v>
      </c>
    </row>
    <row r="985" spans="1:15" x14ac:dyDescent="0.3">
      <c r="A985" s="130">
        <v>5328</v>
      </c>
      <c r="B985" s="130">
        <v>18</v>
      </c>
      <c r="C985" s="130" t="s">
        <v>2609</v>
      </c>
      <c r="D985">
        <v>8685</v>
      </c>
      <c r="E985" s="130">
        <v>34597906</v>
      </c>
      <c r="F985" t="s">
        <v>87</v>
      </c>
      <c r="G985">
        <v>78</v>
      </c>
      <c r="H985" t="s">
        <v>8953</v>
      </c>
      <c r="I985" s="130">
        <v>10</v>
      </c>
      <c r="J985" t="s">
        <v>2609</v>
      </c>
      <c r="K985" t="s">
        <v>108</v>
      </c>
      <c r="L985" t="s">
        <v>127</v>
      </c>
      <c r="M985" t="s">
        <v>112</v>
      </c>
      <c r="N985" t="s">
        <v>118</v>
      </c>
      <c r="O985" t="s">
        <v>1345</v>
      </c>
    </row>
    <row r="986" spans="1:15" x14ac:dyDescent="0.3">
      <c r="A986" s="130">
        <v>5339</v>
      </c>
      <c r="B986" s="130">
        <v>10</v>
      </c>
      <c r="C986" s="130" t="s">
        <v>2610</v>
      </c>
      <c r="D986">
        <v>8708</v>
      </c>
      <c r="E986" s="131">
        <v>16956443</v>
      </c>
      <c r="F986" t="s">
        <v>87</v>
      </c>
      <c r="G986">
        <v>358</v>
      </c>
      <c r="H986" t="s">
        <v>8951</v>
      </c>
      <c r="I986" s="130">
        <v>3</v>
      </c>
      <c r="J986" t="s">
        <v>2610</v>
      </c>
      <c r="K986" t="s">
        <v>108</v>
      </c>
      <c r="L986" t="s">
        <v>109</v>
      </c>
      <c r="M986" t="s">
        <v>133</v>
      </c>
      <c r="N986" t="s">
        <v>98</v>
      </c>
      <c r="O986" t="s">
        <v>1345</v>
      </c>
    </row>
    <row r="987" spans="1:15" x14ac:dyDescent="0.3">
      <c r="A987" s="130">
        <v>5346</v>
      </c>
      <c r="B987" s="130">
        <v>21</v>
      </c>
      <c r="C987" s="130" t="s">
        <v>2611</v>
      </c>
      <c r="D987">
        <v>8723</v>
      </c>
      <c r="E987" s="131">
        <v>24901263</v>
      </c>
      <c r="F987" t="s">
        <v>87</v>
      </c>
      <c r="G987">
        <v>78</v>
      </c>
      <c r="H987" t="s">
        <v>8952</v>
      </c>
      <c r="I987" s="131">
        <v>10</v>
      </c>
      <c r="J987" t="s">
        <v>2611</v>
      </c>
      <c r="K987" t="s">
        <v>95</v>
      </c>
      <c r="L987" t="s">
        <v>127</v>
      </c>
      <c r="M987" t="s">
        <v>137</v>
      </c>
      <c r="N987" t="s">
        <v>118</v>
      </c>
      <c r="O987" t="s">
        <v>1345</v>
      </c>
    </row>
    <row r="988" spans="1:15" x14ac:dyDescent="0.3">
      <c r="A988" s="130">
        <v>5348</v>
      </c>
      <c r="B988" s="130">
        <v>60</v>
      </c>
      <c r="C988" s="130" t="s">
        <v>2612</v>
      </c>
      <c r="D988">
        <v>8731</v>
      </c>
      <c r="E988" s="130">
        <v>34209835</v>
      </c>
      <c r="F988" t="s">
        <v>87</v>
      </c>
      <c r="G988">
        <v>77</v>
      </c>
      <c r="H988" t="s">
        <v>8953</v>
      </c>
      <c r="I988" s="130">
        <v>9</v>
      </c>
      <c r="J988" t="s">
        <v>2612</v>
      </c>
      <c r="K988" t="s">
        <v>95</v>
      </c>
      <c r="L988" t="s">
        <v>117</v>
      </c>
      <c r="M988" t="s">
        <v>97</v>
      </c>
      <c r="N988" t="s">
        <v>98</v>
      </c>
      <c r="O988" t="s">
        <v>116</v>
      </c>
    </row>
    <row r="989" spans="1:15" x14ac:dyDescent="0.3">
      <c r="A989" s="130">
        <v>5351</v>
      </c>
      <c r="B989" s="130">
        <v>45</v>
      </c>
      <c r="C989" s="130" t="s">
        <v>2613</v>
      </c>
      <c r="D989">
        <v>8721</v>
      </c>
      <c r="E989" s="130">
        <v>42353180</v>
      </c>
      <c r="F989" t="s">
        <v>87</v>
      </c>
      <c r="G989">
        <v>78</v>
      </c>
      <c r="H989" t="s">
        <v>8951</v>
      </c>
      <c r="I989" s="131">
        <v>18</v>
      </c>
      <c r="J989" t="s">
        <v>2613</v>
      </c>
      <c r="K989" t="s">
        <v>95</v>
      </c>
      <c r="L989" t="s">
        <v>123</v>
      </c>
      <c r="M989" t="s">
        <v>106</v>
      </c>
      <c r="N989" t="s">
        <v>101</v>
      </c>
      <c r="O989" t="s">
        <v>1345</v>
      </c>
    </row>
    <row r="990" spans="1:15" x14ac:dyDescent="0.3">
      <c r="A990" s="130">
        <v>5353</v>
      </c>
      <c r="B990" s="130">
        <v>18</v>
      </c>
      <c r="C990" s="130" t="s">
        <v>2614</v>
      </c>
      <c r="D990">
        <v>8741</v>
      </c>
      <c r="E990" s="130">
        <v>10785166</v>
      </c>
      <c r="F990" t="s">
        <v>87</v>
      </c>
      <c r="G990">
        <v>78</v>
      </c>
      <c r="H990" t="s">
        <v>8952</v>
      </c>
      <c r="I990" s="130">
        <v>18</v>
      </c>
      <c r="J990" t="s">
        <v>2614</v>
      </c>
      <c r="K990" t="s">
        <v>108</v>
      </c>
      <c r="L990" t="s">
        <v>123</v>
      </c>
      <c r="M990" t="s">
        <v>112</v>
      </c>
      <c r="N990" t="s">
        <v>98</v>
      </c>
      <c r="O990" t="s">
        <v>116</v>
      </c>
    </row>
    <row r="991" spans="1:15" x14ac:dyDescent="0.3">
      <c r="A991" s="130">
        <v>5355</v>
      </c>
      <c r="B991" s="130">
        <v>18</v>
      </c>
      <c r="C991" s="130" t="s">
        <v>2615</v>
      </c>
      <c r="D991">
        <v>8738</v>
      </c>
      <c r="E991" s="130">
        <v>973749</v>
      </c>
      <c r="F991" t="s">
        <v>87</v>
      </c>
      <c r="G991">
        <v>78</v>
      </c>
      <c r="H991" t="s">
        <v>8953</v>
      </c>
      <c r="I991" s="130">
        <v>9</v>
      </c>
      <c r="J991" t="s">
        <v>2615</v>
      </c>
      <c r="K991" t="s">
        <v>108</v>
      </c>
      <c r="L991" t="s">
        <v>125</v>
      </c>
      <c r="M991" t="s">
        <v>112</v>
      </c>
      <c r="N991" t="s">
        <v>98</v>
      </c>
      <c r="O991" t="s">
        <v>1345</v>
      </c>
    </row>
    <row r="992" spans="1:15" x14ac:dyDescent="0.3">
      <c r="A992" s="130">
        <v>5356</v>
      </c>
      <c r="B992" s="130">
        <v>18</v>
      </c>
      <c r="C992" s="130" t="s">
        <v>2616</v>
      </c>
      <c r="D992">
        <v>8743</v>
      </c>
      <c r="E992" s="130">
        <v>13675234</v>
      </c>
      <c r="F992" t="s">
        <v>87</v>
      </c>
      <c r="G992">
        <v>78</v>
      </c>
      <c r="H992" t="s">
        <v>8951</v>
      </c>
      <c r="I992" s="131">
        <v>37</v>
      </c>
      <c r="J992" t="s">
        <v>2616</v>
      </c>
      <c r="K992" t="s">
        <v>95</v>
      </c>
      <c r="L992" t="s">
        <v>138</v>
      </c>
      <c r="M992" t="s">
        <v>112</v>
      </c>
      <c r="N992" t="s">
        <v>98</v>
      </c>
      <c r="O992" t="s">
        <v>1345</v>
      </c>
    </row>
    <row r="993" spans="1:15" x14ac:dyDescent="0.3">
      <c r="A993" s="130">
        <v>5359</v>
      </c>
      <c r="B993" s="130">
        <v>-1</v>
      </c>
      <c r="C993" s="130" t="s">
        <v>2617</v>
      </c>
      <c r="D993">
        <v>8747</v>
      </c>
      <c r="E993" s="131">
        <v>57123796</v>
      </c>
      <c r="F993" t="s">
        <v>87</v>
      </c>
      <c r="G993">
        <v>78</v>
      </c>
      <c r="H993" t="s">
        <v>8952</v>
      </c>
      <c r="I993" s="130">
        <v>24</v>
      </c>
      <c r="J993" t="s">
        <v>2617</v>
      </c>
      <c r="K993" t="s">
        <v>95</v>
      </c>
      <c r="L993" t="s">
        <v>191</v>
      </c>
      <c r="M993" t="s">
        <v>174</v>
      </c>
      <c r="N993" t="s">
        <v>152</v>
      </c>
      <c r="O993" t="s">
        <v>1345</v>
      </c>
    </row>
    <row r="994" spans="1:15" x14ac:dyDescent="0.3">
      <c r="A994" s="130">
        <v>5360</v>
      </c>
      <c r="B994" s="130">
        <v>35</v>
      </c>
      <c r="C994" s="130" t="s">
        <v>2618</v>
      </c>
      <c r="D994">
        <v>8749</v>
      </c>
      <c r="E994" s="131">
        <v>5416618</v>
      </c>
      <c r="F994" t="s">
        <v>87</v>
      </c>
      <c r="G994">
        <v>358</v>
      </c>
      <c r="H994" t="s">
        <v>8953</v>
      </c>
      <c r="I994" s="130">
        <v>37</v>
      </c>
      <c r="J994" t="s">
        <v>2618</v>
      </c>
      <c r="K994" t="s">
        <v>108</v>
      </c>
      <c r="L994" t="s">
        <v>144</v>
      </c>
      <c r="M994" t="s">
        <v>161</v>
      </c>
      <c r="N994" t="s">
        <v>101</v>
      </c>
      <c r="O994" t="s">
        <v>116</v>
      </c>
    </row>
    <row r="995" spans="1:15" x14ac:dyDescent="0.3">
      <c r="A995" s="130">
        <v>5366</v>
      </c>
      <c r="B995" s="130">
        <v>18</v>
      </c>
      <c r="C995" s="130" t="s">
        <v>2619</v>
      </c>
      <c r="D995">
        <v>8757</v>
      </c>
      <c r="E995" s="131">
        <v>37764761</v>
      </c>
      <c r="F995" t="s">
        <v>87</v>
      </c>
      <c r="G995">
        <v>78</v>
      </c>
      <c r="H995" t="s">
        <v>8951</v>
      </c>
      <c r="I995" s="130">
        <v>37</v>
      </c>
      <c r="J995" t="s">
        <v>2619</v>
      </c>
      <c r="K995" t="s">
        <v>108</v>
      </c>
      <c r="L995" t="s">
        <v>138</v>
      </c>
      <c r="M995" t="s">
        <v>112</v>
      </c>
      <c r="N995" t="s">
        <v>98</v>
      </c>
      <c r="O995" t="s">
        <v>116</v>
      </c>
    </row>
    <row r="996" spans="1:15" x14ac:dyDescent="0.3">
      <c r="A996" s="130">
        <v>5370</v>
      </c>
      <c r="B996" s="130">
        <v>18</v>
      </c>
      <c r="C996" s="130" t="s">
        <v>2620</v>
      </c>
      <c r="D996">
        <v>8761</v>
      </c>
      <c r="E996" s="131">
        <v>37764761</v>
      </c>
      <c r="F996" t="s">
        <v>87</v>
      </c>
      <c r="G996">
        <v>78</v>
      </c>
      <c r="H996" t="s">
        <v>8952</v>
      </c>
      <c r="I996" s="130">
        <v>37</v>
      </c>
      <c r="J996" t="s">
        <v>2620</v>
      </c>
      <c r="K996" t="s">
        <v>108</v>
      </c>
      <c r="L996" t="s">
        <v>138</v>
      </c>
      <c r="M996" t="s">
        <v>112</v>
      </c>
      <c r="N996" t="s">
        <v>150</v>
      </c>
      <c r="O996" t="s">
        <v>116</v>
      </c>
    </row>
    <row r="997" spans="1:15" x14ac:dyDescent="0.3">
      <c r="A997" s="130">
        <v>5379</v>
      </c>
      <c r="B997" s="130">
        <v>10</v>
      </c>
      <c r="C997" s="130" t="s">
        <v>2621</v>
      </c>
      <c r="D997">
        <v>8771</v>
      </c>
      <c r="E997" s="130">
        <v>1899414</v>
      </c>
      <c r="F997" t="s">
        <v>87</v>
      </c>
      <c r="G997">
        <v>358</v>
      </c>
      <c r="H997" t="s">
        <v>8953</v>
      </c>
      <c r="I997" s="130">
        <v>3</v>
      </c>
      <c r="J997" t="s">
        <v>2621</v>
      </c>
      <c r="K997" t="s">
        <v>108</v>
      </c>
      <c r="L997" t="s">
        <v>109</v>
      </c>
      <c r="M997" t="s">
        <v>133</v>
      </c>
      <c r="N997" t="s">
        <v>98</v>
      </c>
      <c r="O997" t="s">
        <v>116</v>
      </c>
    </row>
    <row r="998" spans="1:15" x14ac:dyDescent="0.3">
      <c r="A998" s="130">
        <v>5384</v>
      </c>
      <c r="B998" s="130">
        <v>28</v>
      </c>
      <c r="C998" s="130" t="s">
        <v>2622</v>
      </c>
      <c r="D998">
        <v>8780</v>
      </c>
      <c r="E998" s="130">
        <v>96298013</v>
      </c>
      <c r="F998" t="s">
        <v>87</v>
      </c>
      <c r="G998">
        <v>78</v>
      </c>
      <c r="H998" t="s">
        <v>8951</v>
      </c>
      <c r="I998" s="130">
        <v>37</v>
      </c>
      <c r="J998" t="s">
        <v>2622</v>
      </c>
      <c r="K998" t="s">
        <v>95</v>
      </c>
      <c r="L998" t="s">
        <v>138</v>
      </c>
      <c r="M998" t="s">
        <v>130</v>
      </c>
      <c r="N998" t="s">
        <v>98</v>
      </c>
      <c r="O998" t="s">
        <v>1345</v>
      </c>
    </row>
    <row r="999" spans="1:15" x14ac:dyDescent="0.3">
      <c r="A999" s="130">
        <v>5386</v>
      </c>
      <c r="B999" s="130">
        <v>0</v>
      </c>
      <c r="C999" s="130" t="s">
        <v>2623</v>
      </c>
      <c r="D999">
        <v>8782</v>
      </c>
      <c r="E999" s="130">
        <v>8573695</v>
      </c>
      <c r="F999" t="s">
        <v>87</v>
      </c>
      <c r="G999">
        <v>78</v>
      </c>
      <c r="H999" t="s">
        <v>8952</v>
      </c>
      <c r="I999" s="130">
        <v>19</v>
      </c>
      <c r="J999" t="s">
        <v>2623</v>
      </c>
      <c r="K999" t="s">
        <v>108</v>
      </c>
      <c r="L999" t="s">
        <v>146</v>
      </c>
      <c r="M999" t="s">
        <v>100</v>
      </c>
      <c r="N999" t="s">
        <v>152</v>
      </c>
      <c r="O999" t="s">
        <v>1345</v>
      </c>
    </row>
    <row r="1000" spans="1:15" x14ac:dyDescent="0.3">
      <c r="A1000" s="130">
        <v>5389</v>
      </c>
      <c r="B1000" s="130">
        <v>30</v>
      </c>
      <c r="C1000" s="130" t="s">
        <v>2624</v>
      </c>
      <c r="D1000">
        <v>8788</v>
      </c>
      <c r="E1000" s="130">
        <v>63567820</v>
      </c>
      <c r="F1000" t="s">
        <v>87</v>
      </c>
      <c r="G1000">
        <v>358</v>
      </c>
      <c r="H1000" t="s">
        <v>8953</v>
      </c>
      <c r="I1000" s="130">
        <v>9</v>
      </c>
      <c r="J1000" t="s">
        <v>2624</v>
      </c>
      <c r="K1000" t="s">
        <v>95</v>
      </c>
      <c r="L1000" t="s">
        <v>125</v>
      </c>
      <c r="M1000" t="s">
        <v>103</v>
      </c>
      <c r="N1000" t="s">
        <v>98</v>
      </c>
      <c r="O1000" t="s">
        <v>1345</v>
      </c>
    </row>
    <row r="1001" spans="1:15" x14ac:dyDescent="0.3">
      <c r="A1001" s="130">
        <v>5390</v>
      </c>
      <c r="B1001" s="130">
        <v>30</v>
      </c>
      <c r="C1001" s="130" t="s">
        <v>2625</v>
      </c>
      <c r="D1001">
        <v>8789</v>
      </c>
      <c r="E1001" s="130">
        <v>23834403</v>
      </c>
      <c r="F1001" t="s">
        <v>87</v>
      </c>
      <c r="G1001">
        <v>358</v>
      </c>
      <c r="H1001" t="s">
        <v>8951</v>
      </c>
      <c r="I1001" s="130">
        <v>19</v>
      </c>
      <c r="J1001" t="s">
        <v>2625</v>
      </c>
      <c r="K1001" t="s">
        <v>108</v>
      </c>
      <c r="L1001" t="s">
        <v>146</v>
      </c>
      <c r="M1001" t="s">
        <v>103</v>
      </c>
      <c r="N1001" t="s">
        <v>98</v>
      </c>
      <c r="O1001" t="s">
        <v>1345</v>
      </c>
    </row>
    <row r="1002" spans="1:15" x14ac:dyDescent="0.3">
      <c r="A1002" s="130">
        <v>5391</v>
      </c>
      <c r="B1002" s="130">
        <v>18</v>
      </c>
      <c r="C1002" s="130" t="s">
        <v>2626</v>
      </c>
      <c r="D1002">
        <v>8791</v>
      </c>
      <c r="E1002" s="130">
        <v>2324640</v>
      </c>
      <c r="F1002" t="s">
        <v>87</v>
      </c>
      <c r="G1002">
        <v>78</v>
      </c>
      <c r="H1002" t="s">
        <v>8952</v>
      </c>
      <c r="I1002" s="130">
        <v>24</v>
      </c>
      <c r="J1002" t="s">
        <v>2626</v>
      </c>
      <c r="K1002" t="s">
        <v>108</v>
      </c>
      <c r="L1002" t="s">
        <v>191</v>
      </c>
      <c r="M1002" t="s">
        <v>112</v>
      </c>
      <c r="N1002" t="s">
        <v>114</v>
      </c>
      <c r="O1002" t="s">
        <v>1345</v>
      </c>
    </row>
    <row r="1003" spans="1:15" x14ac:dyDescent="0.3">
      <c r="A1003" s="130">
        <v>5394</v>
      </c>
      <c r="B1003" s="130">
        <v>30</v>
      </c>
      <c r="C1003" s="130" t="s">
        <v>2627</v>
      </c>
      <c r="D1003">
        <v>8793</v>
      </c>
      <c r="E1003" s="130">
        <v>33000167</v>
      </c>
      <c r="F1003" t="s">
        <v>87</v>
      </c>
      <c r="G1003">
        <v>358</v>
      </c>
      <c r="H1003" t="s">
        <v>8953</v>
      </c>
      <c r="I1003" s="130">
        <v>18</v>
      </c>
      <c r="J1003" t="s">
        <v>2627</v>
      </c>
      <c r="K1003" t="s">
        <v>95</v>
      </c>
      <c r="L1003" t="s">
        <v>102</v>
      </c>
      <c r="M1003" t="s">
        <v>103</v>
      </c>
      <c r="N1003" t="s">
        <v>114</v>
      </c>
      <c r="O1003" t="s">
        <v>1345</v>
      </c>
    </row>
    <row r="1004" spans="1:15" x14ac:dyDescent="0.3">
      <c r="A1004" s="130">
        <v>5395</v>
      </c>
      <c r="B1004" s="130">
        <v>30</v>
      </c>
      <c r="C1004" s="130" t="s">
        <v>2628</v>
      </c>
      <c r="D1004">
        <v>8796</v>
      </c>
      <c r="E1004" s="130">
        <v>507949</v>
      </c>
      <c r="F1004" t="s">
        <v>87</v>
      </c>
      <c r="G1004">
        <v>358</v>
      </c>
      <c r="H1004" t="s">
        <v>8951</v>
      </c>
      <c r="I1004" s="130">
        <v>19</v>
      </c>
      <c r="J1004" t="s">
        <v>2628</v>
      </c>
      <c r="K1004" t="s">
        <v>95</v>
      </c>
      <c r="L1004" t="s">
        <v>146</v>
      </c>
      <c r="M1004" t="s">
        <v>103</v>
      </c>
      <c r="N1004" t="s">
        <v>98</v>
      </c>
      <c r="O1004" t="s">
        <v>1345</v>
      </c>
    </row>
    <row r="1005" spans="1:15" x14ac:dyDescent="0.3">
      <c r="A1005" s="130">
        <v>5401</v>
      </c>
      <c r="B1005" s="130">
        <v>18</v>
      </c>
      <c r="C1005" s="130" t="s">
        <v>2629</v>
      </c>
      <c r="D1005">
        <v>8807</v>
      </c>
      <c r="E1005" s="131">
        <v>11056737</v>
      </c>
      <c r="F1005" t="s">
        <v>87</v>
      </c>
      <c r="G1005">
        <v>78</v>
      </c>
      <c r="H1005" t="s">
        <v>8952</v>
      </c>
      <c r="I1005" s="130">
        <v>9</v>
      </c>
      <c r="J1005" t="s">
        <v>2629</v>
      </c>
      <c r="K1005" t="s">
        <v>108</v>
      </c>
      <c r="L1005" t="s">
        <v>134</v>
      </c>
      <c r="M1005" t="s">
        <v>112</v>
      </c>
      <c r="N1005" t="s">
        <v>98</v>
      </c>
      <c r="O1005" t="s">
        <v>1345</v>
      </c>
    </row>
    <row r="1006" spans="1:15" x14ac:dyDescent="0.3">
      <c r="A1006" s="130">
        <v>5405</v>
      </c>
      <c r="B1006" s="130">
        <v>15</v>
      </c>
      <c r="C1006" s="130" t="s">
        <v>2630</v>
      </c>
      <c r="D1006">
        <v>8813</v>
      </c>
      <c r="E1006" s="131">
        <v>449291</v>
      </c>
      <c r="F1006" t="s">
        <v>87</v>
      </c>
      <c r="G1006">
        <v>358</v>
      </c>
      <c r="H1006" t="s">
        <v>8953</v>
      </c>
      <c r="I1006" s="130">
        <v>24</v>
      </c>
      <c r="J1006" t="s">
        <v>2630</v>
      </c>
      <c r="K1006" t="s">
        <v>108</v>
      </c>
      <c r="L1006" t="s">
        <v>1293</v>
      </c>
      <c r="M1006" t="s">
        <v>145</v>
      </c>
      <c r="N1006" t="s">
        <v>150</v>
      </c>
      <c r="O1006" t="s">
        <v>1345</v>
      </c>
    </row>
    <row r="1007" spans="1:15" x14ac:dyDescent="0.3">
      <c r="A1007" s="130">
        <v>5410</v>
      </c>
      <c r="B1007" s="130">
        <v>60</v>
      </c>
      <c r="C1007" s="130" t="s">
        <v>2631</v>
      </c>
      <c r="D1007">
        <v>8820</v>
      </c>
      <c r="E1007" s="130">
        <v>34209835</v>
      </c>
      <c r="F1007" t="s">
        <v>87</v>
      </c>
      <c r="G1007">
        <v>77</v>
      </c>
      <c r="H1007" t="s">
        <v>8951</v>
      </c>
      <c r="I1007" s="131">
        <v>10</v>
      </c>
      <c r="J1007" t="s">
        <v>2631</v>
      </c>
      <c r="K1007" t="s">
        <v>95</v>
      </c>
      <c r="L1007" t="s">
        <v>117</v>
      </c>
      <c r="M1007" t="s">
        <v>97</v>
      </c>
      <c r="N1007" t="s">
        <v>118</v>
      </c>
      <c r="O1007" t="s">
        <v>116</v>
      </c>
    </row>
    <row r="1008" spans="1:15" x14ac:dyDescent="0.3">
      <c r="A1008" s="130">
        <v>5411</v>
      </c>
      <c r="B1008" s="130">
        <v>60</v>
      </c>
      <c r="C1008" s="130" t="s">
        <v>2632</v>
      </c>
      <c r="D1008">
        <v>8822</v>
      </c>
      <c r="E1008" s="131">
        <v>34209835</v>
      </c>
      <c r="F1008" t="s">
        <v>87</v>
      </c>
      <c r="G1008">
        <v>77</v>
      </c>
      <c r="H1008" t="s">
        <v>8952</v>
      </c>
      <c r="I1008" s="130">
        <v>10</v>
      </c>
      <c r="J1008" t="s">
        <v>2632</v>
      </c>
      <c r="K1008" t="s">
        <v>95</v>
      </c>
      <c r="L1008" t="s">
        <v>117</v>
      </c>
      <c r="M1008" t="s">
        <v>97</v>
      </c>
      <c r="N1008" t="s">
        <v>118</v>
      </c>
      <c r="O1008" t="s">
        <v>1345</v>
      </c>
    </row>
    <row r="1009" spans="1:15" x14ac:dyDescent="0.3">
      <c r="A1009" s="130">
        <v>5412</v>
      </c>
      <c r="B1009" s="130">
        <v>28</v>
      </c>
      <c r="C1009" s="130" t="s">
        <v>2633</v>
      </c>
      <c r="D1009">
        <v>8819</v>
      </c>
      <c r="E1009" s="130">
        <v>4584119</v>
      </c>
      <c r="F1009" t="s">
        <v>87</v>
      </c>
      <c r="G1009">
        <v>78</v>
      </c>
      <c r="H1009" t="s">
        <v>8953</v>
      </c>
      <c r="I1009" s="130">
        <v>18</v>
      </c>
      <c r="J1009" t="s">
        <v>2633</v>
      </c>
      <c r="K1009" t="s">
        <v>108</v>
      </c>
      <c r="L1009" t="s">
        <v>111</v>
      </c>
      <c r="M1009" t="s">
        <v>130</v>
      </c>
      <c r="N1009" t="s">
        <v>114</v>
      </c>
      <c r="O1009" t="s">
        <v>116</v>
      </c>
    </row>
    <row r="1010" spans="1:15" x14ac:dyDescent="0.3">
      <c r="A1010" s="130">
        <v>5424</v>
      </c>
      <c r="B1010" s="130">
        <v>18</v>
      </c>
      <c r="C1010" s="130" t="s">
        <v>2634</v>
      </c>
      <c r="D1010">
        <v>8846</v>
      </c>
      <c r="E1010" s="130">
        <v>41264990</v>
      </c>
      <c r="F1010" t="s">
        <v>87</v>
      </c>
      <c r="G1010">
        <v>78</v>
      </c>
      <c r="H1010" t="s">
        <v>8951</v>
      </c>
      <c r="I1010" s="131">
        <v>37</v>
      </c>
      <c r="J1010" t="s">
        <v>2634</v>
      </c>
      <c r="K1010" t="s">
        <v>108</v>
      </c>
      <c r="L1010" t="s">
        <v>138</v>
      </c>
      <c r="M1010" t="s">
        <v>112</v>
      </c>
      <c r="N1010" t="s">
        <v>101</v>
      </c>
      <c r="O1010" t="s">
        <v>116</v>
      </c>
    </row>
    <row r="1011" spans="1:15" x14ac:dyDescent="0.3">
      <c r="A1011" s="130">
        <v>5431</v>
      </c>
      <c r="B1011" s="130">
        <v>30</v>
      </c>
      <c r="C1011" s="130" t="s">
        <v>2635</v>
      </c>
      <c r="D1011">
        <v>8857</v>
      </c>
      <c r="E1011" s="131">
        <v>8343492</v>
      </c>
      <c r="F1011" t="s">
        <v>87</v>
      </c>
      <c r="G1011">
        <v>78</v>
      </c>
      <c r="H1011" t="s">
        <v>8952</v>
      </c>
      <c r="I1011" s="130">
        <v>37</v>
      </c>
      <c r="J1011" t="s">
        <v>2635</v>
      </c>
      <c r="K1011" t="s">
        <v>95</v>
      </c>
      <c r="L1011" t="s">
        <v>138</v>
      </c>
      <c r="M1011" t="s">
        <v>103</v>
      </c>
      <c r="N1011" t="s">
        <v>98</v>
      </c>
      <c r="O1011" t="s">
        <v>1345</v>
      </c>
    </row>
    <row r="1012" spans="1:15" x14ac:dyDescent="0.3">
      <c r="A1012" s="130">
        <v>5435</v>
      </c>
      <c r="B1012" s="130">
        <v>30</v>
      </c>
      <c r="C1012" s="130" t="s">
        <v>2636</v>
      </c>
      <c r="D1012">
        <v>8860</v>
      </c>
      <c r="E1012" s="130">
        <v>7522191</v>
      </c>
      <c r="F1012" t="s">
        <v>87</v>
      </c>
      <c r="G1012">
        <v>78</v>
      </c>
      <c r="H1012" t="s">
        <v>8953</v>
      </c>
      <c r="I1012" s="130">
        <v>43</v>
      </c>
      <c r="J1012" t="s">
        <v>2636</v>
      </c>
      <c r="K1012" t="s">
        <v>95</v>
      </c>
      <c r="L1012" t="s">
        <v>159</v>
      </c>
      <c r="M1012" t="s">
        <v>103</v>
      </c>
      <c r="N1012" t="s">
        <v>114</v>
      </c>
      <c r="O1012" t="s">
        <v>1345</v>
      </c>
    </row>
    <row r="1013" spans="1:15" x14ac:dyDescent="0.3">
      <c r="A1013" s="130">
        <v>5440</v>
      </c>
      <c r="B1013" s="130">
        <v>60</v>
      </c>
      <c r="C1013" s="130" t="s">
        <v>2637</v>
      </c>
      <c r="D1013">
        <v>8866</v>
      </c>
      <c r="E1013" s="130">
        <v>33592510</v>
      </c>
      <c r="F1013" t="s">
        <v>87</v>
      </c>
      <c r="G1013">
        <v>77</v>
      </c>
      <c r="H1013" t="s">
        <v>8951</v>
      </c>
      <c r="I1013" s="131">
        <v>2</v>
      </c>
      <c r="J1013" t="s">
        <v>2637</v>
      </c>
      <c r="K1013" t="s">
        <v>95</v>
      </c>
      <c r="L1013" t="s">
        <v>117</v>
      </c>
      <c r="M1013" t="s">
        <v>97</v>
      </c>
      <c r="N1013" t="s">
        <v>118</v>
      </c>
      <c r="O1013" t="s">
        <v>1345</v>
      </c>
    </row>
    <row r="1014" spans="1:15" x14ac:dyDescent="0.3">
      <c r="A1014" s="130">
        <v>5447</v>
      </c>
      <c r="B1014" s="130">
        <v>30</v>
      </c>
      <c r="C1014" s="130" t="s">
        <v>2638</v>
      </c>
      <c r="D1014">
        <v>8884</v>
      </c>
      <c r="E1014" s="131">
        <v>20468310</v>
      </c>
      <c r="F1014" t="s">
        <v>87</v>
      </c>
      <c r="G1014">
        <v>358</v>
      </c>
      <c r="H1014" t="s">
        <v>8952</v>
      </c>
      <c r="I1014" s="130">
        <v>37</v>
      </c>
      <c r="J1014" t="s">
        <v>2638</v>
      </c>
      <c r="K1014" t="s">
        <v>108</v>
      </c>
      <c r="L1014" t="s">
        <v>144</v>
      </c>
      <c r="M1014" t="s">
        <v>103</v>
      </c>
      <c r="N1014" t="s">
        <v>122</v>
      </c>
      <c r="O1014" t="s">
        <v>116</v>
      </c>
    </row>
    <row r="1015" spans="1:15" x14ac:dyDescent="0.3">
      <c r="A1015" s="130">
        <v>5470</v>
      </c>
      <c r="B1015" s="130">
        <v>8</v>
      </c>
      <c r="C1015" s="130" t="s">
        <v>2639</v>
      </c>
      <c r="D1015">
        <v>8891</v>
      </c>
      <c r="E1015" s="130">
        <v>2617158</v>
      </c>
      <c r="F1015" t="s">
        <v>87</v>
      </c>
      <c r="G1015">
        <v>358</v>
      </c>
      <c r="H1015" t="s">
        <v>8953</v>
      </c>
      <c r="I1015" s="130">
        <v>10</v>
      </c>
      <c r="J1015" t="s">
        <v>2639</v>
      </c>
      <c r="K1015" t="s">
        <v>108</v>
      </c>
      <c r="L1015" t="s">
        <v>105</v>
      </c>
      <c r="M1015" t="s">
        <v>1265</v>
      </c>
      <c r="N1015" t="s">
        <v>98</v>
      </c>
      <c r="O1015" t="s">
        <v>1345</v>
      </c>
    </row>
    <row r="1016" spans="1:15" x14ac:dyDescent="0.3">
      <c r="A1016" s="130">
        <v>5484</v>
      </c>
      <c r="B1016" s="130">
        <v>28</v>
      </c>
      <c r="C1016" s="130" t="s">
        <v>2640</v>
      </c>
      <c r="D1016">
        <v>8911</v>
      </c>
      <c r="E1016" s="130">
        <v>34792633</v>
      </c>
      <c r="F1016" t="s">
        <v>87</v>
      </c>
      <c r="G1016">
        <v>78</v>
      </c>
      <c r="H1016" t="s">
        <v>8951</v>
      </c>
      <c r="I1016" s="130">
        <v>37</v>
      </c>
      <c r="J1016" t="s">
        <v>2640</v>
      </c>
      <c r="K1016" t="s">
        <v>95</v>
      </c>
      <c r="L1016" t="s">
        <v>138</v>
      </c>
      <c r="M1016" t="s">
        <v>130</v>
      </c>
      <c r="N1016" t="s">
        <v>98</v>
      </c>
      <c r="O1016" t="s">
        <v>1345</v>
      </c>
    </row>
    <row r="1017" spans="1:15" x14ac:dyDescent="0.3">
      <c r="A1017" s="130">
        <v>5492</v>
      </c>
      <c r="B1017" s="130">
        <v>30</v>
      </c>
      <c r="C1017" s="130" t="s">
        <v>2641</v>
      </c>
      <c r="D1017">
        <v>8902</v>
      </c>
      <c r="E1017" s="131">
        <v>34692778</v>
      </c>
      <c r="F1017" t="s">
        <v>87</v>
      </c>
      <c r="G1017">
        <v>77</v>
      </c>
      <c r="H1017" t="s">
        <v>8952</v>
      </c>
      <c r="I1017" s="131">
        <v>18</v>
      </c>
      <c r="J1017" t="s">
        <v>2641</v>
      </c>
      <c r="K1017" t="s">
        <v>95</v>
      </c>
      <c r="L1017" t="s">
        <v>256</v>
      </c>
      <c r="M1017" t="s">
        <v>103</v>
      </c>
      <c r="N1017" t="s">
        <v>98</v>
      </c>
      <c r="O1017" t="s">
        <v>116</v>
      </c>
    </row>
    <row r="1018" spans="1:15" x14ac:dyDescent="0.3">
      <c r="A1018" s="130">
        <v>5496</v>
      </c>
      <c r="B1018" s="130">
        <v>-1</v>
      </c>
      <c r="C1018" s="130" t="s">
        <v>2642</v>
      </c>
      <c r="D1018">
        <v>8929</v>
      </c>
      <c r="E1018" s="130">
        <v>45363777</v>
      </c>
      <c r="F1018" t="s">
        <v>87</v>
      </c>
      <c r="G1018">
        <v>78</v>
      </c>
      <c r="H1018" t="s">
        <v>8953</v>
      </c>
      <c r="I1018" s="130">
        <v>9</v>
      </c>
      <c r="J1018" t="s">
        <v>2642</v>
      </c>
      <c r="K1018" t="s">
        <v>95</v>
      </c>
      <c r="L1018" t="s">
        <v>125</v>
      </c>
      <c r="M1018" t="s">
        <v>174</v>
      </c>
      <c r="N1018" t="s">
        <v>124</v>
      </c>
      <c r="O1018" t="s">
        <v>1345</v>
      </c>
    </row>
    <row r="1019" spans="1:15" x14ac:dyDescent="0.3">
      <c r="A1019" s="130">
        <v>5500</v>
      </c>
      <c r="B1019" s="130">
        <v>10</v>
      </c>
      <c r="C1019" s="130" t="s">
        <v>2643</v>
      </c>
      <c r="D1019">
        <v>8932</v>
      </c>
      <c r="E1019" s="131">
        <v>9646672</v>
      </c>
      <c r="F1019" t="s">
        <v>87</v>
      </c>
      <c r="G1019">
        <v>358</v>
      </c>
      <c r="H1019" t="s">
        <v>8951</v>
      </c>
      <c r="I1019" s="131">
        <v>3</v>
      </c>
      <c r="J1019" t="s">
        <v>2643</v>
      </c>
      <c r="K1019" t="s">
        <v>108</v>
      </c>
      <c r="L1019" t="s">
        <v>109</v>
      </c>
      <c r="M1019" t="s">
        <v>133</v>
      </c>
      <c r="N1019" t="s">
        <v>98</v>
      </c>
      <c r="O1019" t="s">
        <v>1345</v>
      </c>
    </row>
    <row r="1020" spans="1:15" x14ac:dyDescent="0.3">
      <c r="A1020" s="130">
        <v>5507</v>
      </c>
      <c r="B1020" s="130">
        <v>18</v>
      </c>
      <c r="C1020" s="130" t="s">
        <v>2644</v>
      </c>
      <c r="D1020">
        <v>8941</v>
      </c>
      <c r="E1020" s="130">
        <v>3165342</v>
      </c>
      <c r="F1020" t="s">
        <v>87</v>
      </c>
      <c r="G1020">
        <v>78</v>
      </c>
      <c r="H1020" t="s">
        <v>8952</v>
      </c>
      <c r="I1020" s="131">
        <v>3</v>
      </c>
      <c r="J1020" t="s">
        <v>2644</v>
      </c>
      <c r="K1020" t="s">
        <v>108</v>
      </c>
      <c r="L1020" t="s">
        <v>111</v>
      </c>
      <c r="M1020" t="s">
        <v>112</v>
      </c>
      <c r="N1020" t="s">
        <v>114</v>
      </c>
      <c r="O1020" t="s">
        <v>116</v>
      </c>
    </row>
    <row r="1021" spans="1:15" x14ac:dyDescent="0.3">
      <c r="A1021" s="130">
        <v>5508</v>
      </c>
      <c r="B1021" s="130">
        <v>30</v>
      </c>
      <c r="C1021" s="130" t="s">
        <v>2645</v>
      </c>
      <c r="D1021">
        <v>8942</v>
      </c>
      <c r="E1021" s="130">
        <v>33000167</v>
      </c>
      <c r="F1021" t="s">
        <v>87</v>
      </c>
      <c r="G1021">
        <v>358</v>
      </c>
      <c r="H1021" t="s">
        <v>8953</v>
      </c>
      <c r="I1021" s="130">
        <v>24</v>
      </c>
      <c r="J1021" t="s">
        <v>2645</v>
      </c>
      <c r="K1021" t="s">
        <v>95</v>
      </c>
      <c r="L1021" t="s">
        <v>102</v>
      </c>
      <c r="M1021" t="s">
        <v>103</v>
      </c>
      <c r="N1021" t="s">
        <v>114</v>
      </c>
      <c r="O1021" t="s">
        <v>1345</v>
      </c>
    </row>
    <row r="1022" spans="1:15" x14ac:dyDescent="0.3">
      <c r="A1022" s="130">
        <v>5515</v>
      </c>
      <c r="B1022" s="130">
        <v>30</v>
      </c>
      <c r="C1022" s="130" t="s">
        <v>2646</v>
      </c>
      <c r="D1022">
        <v>8951</v>
      </c>
      <c r="E1022" s="130">
        <v>20645520</v>
      </c>
      <c r="F1022" t="s">
        <v>87</v>
      </c>
      <c r="G1022">
        <v>78</v>
      </c>
      <c r="H1022" t="s">
        <v>8951</v>
      </c>
      <c r="I1022" s="130">
        <v>3</v>
      </c>
      <c r="J1022" t="s">
        <v>2646</v>
      </c>
      <c r="K1022" t="s">
        <v>95</v>
      </c>
      <c r="L1022" t="s">
        <v>111</v>
      </c>
      <c r="M1022" t="s">
        <v>103</v>
      </c>
      <c r="N1022" t="s">
        <v>98</v>
      </c>
      <c r="O1022" t="s">
        <v>1345</v>
      </c>
    </row>
    <row r="1023" spans="1:15" x14ac:dyDescent="0.3">
      <c r="A1023" s="130">
        <v>5522</v>
      </c>
      <c r="B1023" s="130">
        <v>15</v>
      </c>
      <c r="C1023" s="130" t="s">
        <v>2647</v>
      </c>
      <c r="D1023">
        <v>8965</v>
      </c>
      <c r="E1023" s="130">
        <v>2580316</v>
      </c>
      <c r="F1023" t="s">
        <v>87</v>
      </c>
      <c r="G1023">
        <v>358</v>
      </c>
      <c r="H1023" t="s">
        <v>8952</v>
      </c>
      <c r="I1023" s="130">
        <v>24</v>
      </c>
      <c r="J1023" t="s">
        <v>2647</v>
      </c>
      <c r="K1023" t="s">
        <v>108</v>
      </c>
      <c r="L1023" t="s">
        <v>111</v>
      </c>
      <c r="M1023" t="s">
        <v>145</v>
      </c>
      <c r="N1023" t="s">
        <v>98</v>
      </c>
      <c r="O1023" t="s">
        <v>1345</v>
      </c>
    </row>
    <row r="1024" spans="1:15" x14ac:dyDescent="0.3">
      <c r="A1024" s="130">
        <v>5528</v>
      </c>
      <c r="B1024" s="130">
        <v>18</v>
      </c>
      <c r="C1024" s="130" t="s">
        <v>2648</v>
      </c>
      <c r="D1024">
        <v>8978</v>
      </c>
      <c r="E1024" s="131">
        <v>4892580</v>
      </c>
      <c r="F1024" t="s">
        <v>87</v>
      </c>
      <c r="G1024">
        <v>78</v>
      </c>
      <c r="H1024" t="s">
        <v>8953</v>
      </c>
      <c r="I1024" s="130">
        <v>9</v>
      </c>
      <c r="J1024" t="s">
        <v>2648</v>
      </c>
      <c r="K1024" t="s">
        <v>108</v>
      </c>
      <c r="L1024" t="s">
        <v>125</v>
      </c>
      <c r="M1024" t="s">
        <v>112</v>
      </c>
      <c r="N1024" t="s">
        <v>98</v>
      </c>
      <c r="O1024" t="s">
        <v>1345</v>
      </c>
    </row>
    <row r="1025" spans="1:15" x14ac:dyDescent="0.3">
      <c r="A1025" s="130">
        <v>5529</v>
      </c>
      <c r="B1025" s="130">
        <v>18</v>
      </c>
      <c r="C1025" s="130" t="s">
        <v>2649</v>
      </c>
      <c r="D1025">
        <v>8979</v>
      </c>
      <c r="E1025" s="130">
        <v>10342840</v>
      </c>
      <c r="F1025" t="s">
        <v>87</v>
      </c>
      <c r="G1025">
        <v>358</v>
      </c>
      <c r="H1025" t="s">
        <v>8951</v>
      </c>
      <c r="I1025" s="131">
        <v>19</v>
      </c>
      <c r="J1025" t="s">
        <v>2649</v>
      </c>
      <c r="K1025" t="s">
        <v>108</v>
      </c>
      <c r="L1025" t="s">
        <v>146</v>
      </c>
      <c r="M1025" t="s">
        <v>112</v>
      </c>
      <c r="N1025" t="s">
        <v>124</v>
      </c>
      <c r="O1025" t="s">
        <v>1345</v>
      </c>
    </row>
    <row r="1026" spans="1:15" x14ac:dyDescent="0.3">
      <c r="A1026" s="130">
        <v>5535</v>
      </c>
      <c r="B1026" s="130">
        <v>60</v>
      </c>
      <c r="C1026" s="130" t="s">
        <v>2650</v>
      </c>
      <c r="D1026">
        <v>8988</v>
      </c>
      <c r="E1026" s="131">
        <v>33592510</v>
      </c>
      <c r="F1026" t="s">
        <v>87</v>
      </c>
      <c r="G1026">
        <v>77</v>
      </c>
      <c r="H1026" t="s">
        <v>8952</v>
      </c>
      <c r="I1026" s="131">
        <v>3</v>
      </c>
      <c r="J1026" t="s">
        <v>2650</v>
      </c>
      <c r="K1026" t="s">
        <v>95</v>
      </c>
      <c r="L1026" t="s">
        <v>256</v>
      </c>
      <c r="M1026" t="s">
        <v>97</v>
      </c>
      <c r="N1026" t="s">
        <v>118</v>
      </c>
      <c r="O1026" t="s">
        <v>1345</v>
      </c>
    </row>
    <row r="1027" spans="1:15" x14ac:dyDescent="0.3">
      <c r="A1027" s="130">
        <v>5536</v>
      </c>
      <c r="B1027" s="130">
        <v>30</v>
      </c>
      <c r="C1027" s="130" t="s">
        <v>2651</v>
      </c>
      <c r="D1027">
        <v>8990</v>
      </c>
      <c r="E1027" s="130">
        <v>63567820</v>
      </c>
      <c r="F1027" t="s">
        <v>87</v>
      </c>
      <c r="G1027">
        <v>78</v>
      </c>
      <c r="H1027" t="s">
        <v>8953</v>
      </c>
      <c r="I1027" s="130">
        <v>9</v>
      </c>
      <c r="J1027" t="s">
        <v>2651</v>
      </c>
      <c r="K1027" t="s">
        <v>95</v>
      </c>
      <c r="L1027" t="s">
        <v>125</v>
      </c>
      <c r="M1027" t="s">
        <v>103</v>
      </c>
      <c r="N1027" t="s">
        <v>98</v>
      </c>
      <c r="O1027" t="s">
        <v>1345</v>
      </c>
    </row>
    <row r="1028" spans="1:15" x14ac:dyDescent="0.3">
      <c r="A1028" s="130">
        <v>5537</v>
      </c>
      <c r="B1028" s="130">
        <v>18</v>
      </c>
      <c r="C1028" s="130" t="s">
        <v>2652</v>
      </c>
      <c r="D1028">
        <v>8989</v>
      </c>
      <c r="E1028" s="130">
        <v>10630328</v>
      </c>
      <c r="F1028" t="s">
        <v>87</v>
      </c>
      <c r="G1028">
        <v>358</v>
      </c>
      <c r="H1028" t="s">
        <v>8951</v>
      </c>
      <c r="I1028" s="131">
        <v>3</v>
      </c>
      <c r="J1028" t="s">
        <v>2652</v>
      </c>
      <c r="K1028" t="s">
        <v>95</v>
      </c>
      <c r="L1028" t="s">
        <v>109</v>
      </c>
      <c r="M1028" t="s">
        <v>112</v>
      </c>
      <c r="N1028" t="s">
        <v>98</v>
      </c>
      <c r="O1028" t="s">
        <v>1345</v>
      </c>
    </row>
    <row r="1029" spans="1:15" x14ac:dyDescent="0.3">
      <c r="A1029" s="130">
        <v>5538</v>
      </c>
      <c r="B1029" s="130">
        <v>18</v>
      </c>
      <c r="C1029" s="130" t="s">
        <v>2653</v>
      </c>
      <c r="D1029">
        <v>8993</v>
      </c>
      <c r="E1029" s="131">
        <v>9243456</v>
      </c>
      <c r="F1029" t="s">
        <v>87</v>
      </c>
      <c r="G1029">
        <v>78</v>
      </c>
      <c r="H1029" t="s">
        <v>8952</v>
      </c>
      <c r="I1029" s="130">
        <v>26</v>
      </c>
      <c r="J1029" t="s">
        <v>2653</v>
      </c>
      <c r="K1029" t="s">
        <v>108</v>
      </c>
      <c r="L1029" t="s">
        <v>151</v>
      </c>
      <c r="M1029" t="s">
        <v>112</v>
      </c>
      <c r="N1029" t="s">
        <v>124</v>
      </c>
      <c r="O1029" t="s">
        <v>1345</v>
      </c>
    </row>
    <row r="1030" spans="1:15" x14ac:dyDescent="0.3">
      <c r="A1030" s="130">
        <v>5541</v>
      </c>
      <c r="B1030" s="130">
        <v>30</v>
      </c>
      <c r="C1030" s="130" t="s">
        <v>2654</v>
      </c>
      <c r="D1030">
        <v>8996</v>
      </c>
      <c r="E1030" s="130">
        <v>1744153</v>
      </c>
      <c r="F1030" t="s">
        <v>87</v>
      </c>
      <c r="G1030">
        <v>358</v>
      </c>
      <c r="H1030" t="s">
        <v>8953</v>
      </c>
      <c r="I1030" s="130">
        <v>10</v>
      </c>
      <c r="J1030" t="s">
        <v>2654</v>
      </c>
      <c r="K1030" t="s">
        <v>108</v>
      </c>
      <c r="L1030" t="s">
        <v>127</v>
      </c>
      <c r="M1030" t="s">
        <v>103</v>
      </c>
      <c r="N1030" t="s">
        <v>98</v>
      </c>
      <c r="O1030" t="s">
        <v>1345</v>
      </c>
    </row>
    <row r="1031" spans="1:15" x14ac:dyDescent="0.3">
      <c r="A1031" s="130">
        <v>5543</v>
      </c>
      <c r="B1031" s="130">
        <v>28</v>
      </c>
      <c r="C1031" s="130" t="s">
        <v>2655</v>
      </c>
      <c r="D1031">
        <v>8999</v>
      </c>
      <c r="E1031" s="131">
        <v>18720938</v>
      </c>
      <c r="F1031" t="s">
        <v>87</v>
      </c>
      <c r="G1031">
        <v>77</v>
      </c>
      <c r="H1031" t="s">
        <v>8951</v>
      </c>
      <c r="I1031" s="130">
        <v>3</v>
      </c>
      <c r="J1031" t="s">
        <v>2655</v>
      </c>
      <c r="K1031" t="s">
        <v>95</v>
      </c>
      <c r="L1031" t="s">
        <v>117</v>
      </c>
      <c r="M1031" t="s">
        <v>130</v>
      </c>
      <c r="N1031" t="s">
        <v>131</v>
      </c>
      <c r="O1031" t="s">
        <v>116</v>
      </c>
    </row>
    <row r="1032" spans="1:15" x14ac:dyDescent="0.3">
      <c r="A1032" s="130">
        <v>5547</v>
      </c>
      <c r="B1032" s="130">
        <v>60</v>
      </c>
      <c r="C1032" s="130" t="s">
        <v>2656</v>
      </c>
      <c r="D1032">
        <v>9007</v>
      </c>
      <c r="E1032" s="130">
        <v>9625762</v>
      </c>
      <c r="F1032" t="s">
        <v>87</v>
      </c>
      <c r="G1032">
        <v>78</v>
      </c>
      <c r="H1032" t="s">
        <v>8952</v>
      </c>
      <c r="I1032" s="130">
        <v>43</v>
      </c>
      <c r="J1032" t="s">
        <v>2656</v>
      </c>
      <c r="K1032" t="s">
        <v>95</v>
      </c>
      <c r="L1032" t="s">
        <v>159</v>
      </c>
      <c r="M1032" t="s">
        <v>97</v>
      </c>
      <c r="N1032" t="s">
        <v>150</v>
      </c>
      <c r="O1032" t="s">
        <v>1345</v>
      </c>
    </row>
    <row r="1033" spans="1:15" x14ac:dyDescent="0.3">
      <c r="A1033" s="130">
        <v>5551</v>
      </c>
      <c r="B1033" s="130">
        <v>30</v>
      </c>
      <c r="C1033" s="130" t="s">
        <v>2657</v>
      </c>
      <c r="D1033">
        <v>9013</v>
      </c>
      <c r="E1033" s="130">
        <v>3992929</v>
      </c>
      <c r="F1033" t="s">
        <v>87</v>
      </c>
      <c r="G1033">
        <v>78</v>
      </c>
      <c r="H1033" t="s">
        <v>8953</v>
      </c>
      <c r="I1033" s="130">
        <v>9</v>
      </c>
      <c r="J1033" t="s">
        <v>2657</v>
      </c>
      <c r="K1033" t="s">
        <v>95</v>
      </c>
      <c r="L1033" t="s">
        <v>125</v>
      </c>
      <c r="M1033" t="s">
        <v>103</v>
      </c>
      <c r="N1033" t="s">
        <v>98</v>
      </c>
      <c r="O1033" t="s">
        <v>1345</v>
      </c>
    </row>
    <row r="1034" spans="1:15" x14ac:dyDescent="0.3">
      <c r="A1034" s="130">
        <v>5555</v>
      </c>
      <c r="B1034" s="130">
        <v>30</v>
      </c>
      <c r="C1034" s="130" t="s">
        <v>2658</v>
      </c>
      <c r="D1034">
        <v>9019</v>
      </c>
      <c r="E1034" s="130">
        <v>28110482</v>
      </c>
      <c r="F1034" t="s">
        <v>87</v>
      </c>
      <c r="G1034">
        <v>78</v>
      </c>
      <c r="H1034" t="s">
        <v>8951</v>
      </c>
      <c r="I1034" s="130">
        <v>19</v>
      </c>
      <c r="J1034" t="s">
        <v>2658</v>
      </c>
      <c r="K1034" t="s">
        <v>108</v>
      </c>
      <c r="L1034" t="s">
        <v>146</v>
      </c>
      <c r="M1034" t="s">
        <v>103</v>
      </c>
      <c r="N1034" t="s">
        <v>169</v>
      </c>
      <c r="O1034" t="s">
        <v>1345</v>
      </c>
    </row>
    <row r="1035" spans="1:15" x14ac:dyDescent="0.3">
      <c r="A1035" s="130">
        <v>5560</v>
      </c>
      <c r="B1035" s="130">
        <v>30</v>
      </c>
      <c r="C1035" s="130" t="s">
        <v>2659</v>
      </c>
      <c r="D1035">
        <v>9025</v>
      </c>
      <c r="E1035" s="130">
        <v>19674909</v>
      </c>
      <c r="F1035" t="s">
        <v>87</v>
      </c>
      <c r="G1035">
        <v>77</v>
      </c>
      <c r="H1035" t="s">
        <v>8952</v>
      </c>
      <c r="I1035" s="130">
        <v>3</v>
      </c>
      <c r="J1035" t="s">
        <v>2659</v>
      </c>
      <c r="K1035" t="s">
        <v>95</v>
      </c>
      <c r="L1035" t="s">
        <v>117</v>
      </c>
      <c r="M1035" t="s">
        <v>103</v>
      </c>
      <c r="N1035" t="s">
        <v>122</v>
      </c>
      <c r="O1035" t="s">
        <v>116</v>
      </c>
    </row>
    <row r="1036" spans="1:15" x14ac:dyDescent="0.3">
      <c r="A1036" s="130">
        <v>5562</v>
      </c>
      <c r="B1036" s="130">
        <v>-1</v>
      </c>
      <c r="C1036" s="130" t="s">
        <v>2660</v>
      </c>
      <c r="D1036">
        <v>9027</v>
      </c>
      <c r="E1036" s="130">
        <v>11402372</v>
      </c>
      <c r="F1036" t="s">
        <v>87</v>
      </c>
      <c r="G1036">
        <v>78</v>
      </c>
      <c r="H1036" t="s">
        <v>8953</v>
      </c>
      <c r="I1036" s="130">
        <v>24</v>
      </c>
      <c r="J1036" t="s">
        <v>2660</v>
      </c>
      <c r="K1036" t="s">
        <v>108</v>
      </c>
      <c r="L1036" t="s">
        <v>191</v>
      </c>
      <c r="M1036" t="s">
        <v>174</v>
      </c>
      <c r="N1036" t="s">
        <v>152</v>
      </c>
      <c r="O1036" t="s">
        <v>1345</v>
      </c>
    </row>
    <row r="1037" spans="1:15" x14ac:dyDescent="0.3">
      <c r="A1037" s="130">
        <v>5569</v>
      </c>
      <c r="B1037" s="130">
        <v>-1</v>
      </c>
      <c r="C1037" s="130" t="s">
        <v>2661</v>
      </c>
      <c r="D1037">
        <v>9028</v>
      </c>
      <c r="E1037" s="131">
        <v>20805279</v>
      </c>
      <c r="F1037" t="s">
        <v>87</v>
      </c>
      <c r="G1037">
        <v>78</v>
      </c>
      <c r="H1037" t="s">
        <v>8951</v>
      </c>
      <c r="I1037" s="130">
        <v>9</v>
      </c>
      <c r="J1037" t="s">
        <v>2661</v>
      </c>
      <c r="K1037" t="s">
        <v>108</v>
      </c>
      <c r="L1037" t="s">
        <v>125</v>
      </c>
      <c r="M1037" t="s">
        <v>174</v>
      </c>
      <c r="N1037" t="s">
        <v>101</v>
      </c>
      <c r="O1037" t="s">
        <v>1345</v>
      </c>
    </row>
    <row r="1038" spans="1:15" x14ac:dyDescent="0.3">
      <c r="A1038" s="130">
        <v>5578</v>
      </c>
      <c r="B1038" s="130">
        <v>10</v>
      </c>
      <c r="C1038" s="130" t="s">
        <v>2662</v>
      </c>
      <c r="D1038">
        <v>9052</v>
      </c>
      <c r="E1038" s="130">
        <v>5515245</v>
      </c>
      <c r="F1038" t="s">
        <v>87</v>
      </c>
      <c r="G1038">
        <v>78</v>
      </c>
      <c r="H1038" t="s">
        <v>8952</v>
      </c>
      <c r="I1038" s="131">
        <v>18</v>
      </c>
      <c r="J1038" t="s">
        <v>2662</v>
      </c>
      <c r="K1038" t="s">
        <v>108</v>
      </c>
      <c r="L1038" t="s">
        <v>109</v>
      </c>
      <c r="M1038" t="s">
        <v>133</v>
      </c>
      <c r="N1038" t="s">
        <v>98</v>
      </c>
      <c r="O1038" t="s">
        <v>116</v>
      </c>
    </row>
    <row r="1039" spans="1:15" x14ac:dyDescent="0.3">
      <c r="A1039" s="130">
        <v>5581</v>
      </c>
      <c r="B1039" s="130">
        <v>-1</v>
      </c>
      <c r="C1039" s="130" t="s">
        <v>2663</v>
      </c>
      <c r="D1039">
        <v>9058</v>
      </c>
      <c r="E1039" s="130">
        <v>9383469</v>
      </c>
      <c r="F1039" t="s">
        <v>87</v>
      </c>
      <c r="G1039">
        <v>78</v>
      </c>
      <c r="H1039" t="s">
        <v>8953</v>
      </c>
      <c r="I1039" s="130">
        <v>24</v>
      </c>
      <c r="J1039" t="s">
        <v>2663</v>
      </c>
      <c r="K1039" t="s">
        <v>108</v>
      </c>
      <c r="L1039" t="s">
        <v>191</v>
      </c>
      <c r="M1039" t="s">
        <v>174</v>
      </c>
      <c r="N1039" t="s">
        <v>152</v>
      </c>
      <c r="O1039" t="s">
        <v>1345</v>
      </c>
    </row>
    <row r="1040" spans="1:15" x14ac:dyDescent="0.3">
      <c r="A1040" s="130">
        <v>5584</v>
      </c>
      <c r="B1040" s="130">
        <v>30</v>
      </c>
      <c r="C1040" s="130" t="s">
        <v>2664</v>
      </c>
      <c r="D1040">
        <v>9060</v>
      </c>
      <c r="E1040" s="131">
        <v>41857780</v>
      </c>
      <c r="F1040" t="s">
        <v>87</v>
      </c>
      <c r="G1040">
        <v>78</v>
      </c>
      <c r="H1040" t="s">
        <v>8951</v>
      </c>
      <c r="I1040" s="130">
        <v>3</v>
      </c>
      <c r="J1040" t="s">
        <v>2664</v>
      </c>
      <c r="K1040" t="s">
        <v>95</v>
      </c>
      <c r="L1040" t="s">
        <v>111</v>
      </c>
      <c r="M1040" t="s">
        <v>103</v>
      </c>
      <c r="N1040" t="s">
        <v>98</v>
      </c>
      <c r="O1040" t="s">
        <v>1345</v>
      </c>
    </row>
    <row r="1041" spans="1:15" x14ac:dyDescent="0.3">
      <c r="A1041" s="130">
        <v>5590</v>
      </c>
      <c r="B1041" s="130">
        <v>60</v>
      </c>
      <c r="C1041" s="130" t="s">
        <v>2665</v>
      </c>
      <c r="D1041">
        <v>9068</v>
      </c>
      <c r="E1041" s="131">
        <v>68059674</v>
      </c>
      <c r="F1041" t="s">
        <v>87</v>
      </c>
      <c r="G1041">
        <v>358</v>
      </c>
      <c r="H1041" t="s">
        <v>8952</v>
      </c>
      <c r="I1041" s="131">
        <v>10</v>
      </c>
      <c r="J1041" t="s">
        <v>2665</v>
      </c>
      <c r="K1041" t="s">
        <v>108</v>
      </c>
      <c r="L1041" t="s">
        <v>105</v>
      </c>
      <c r="M1041" t="s">
        <v>97</v>
      </c>
      <c r="N1041" t="s">
        <v>98</v>
      </c>
      <c r="O1041" t="s">
        <v>1345</v>
      </c>
    </row>
    <row r="1042" spans="1:15" x14ac:dyDescent="0.3">
      <c r="A1042" s="130">
        <v>5593</v>
      </c>
      <c r="B1042" s="130">
        <v>60</v>
      </c>
      <c r="C1042" s="130" t="s">
        <v>2666</v>
      </c>
      <c r="D1042">
        <v>9073</v>
      </c>
      <c r="E1042" s="130">
        <v>17185786</v>
      </c>
      <c r="F1042" t="s">
        <v>87</v>
      </c>
      <c r="G1042">
        <v>358</v>
      </c>
      <c r="H1042" t="s">
        <v>8953</v>
      </c>
      <c r="I1042" s="130">
        <v>10</v>
      </c>
      <c r="J1042" t="s">
        <v>2666</v>
      </c>
      <c r="K1042" t="s">
        <v>95</v>
      </c>
      <c r="L1042" t="s">
        <v>105</v>
      </c>
      <c r="M1042" t="s">
        <v>97</v>
      </c>
      <c r="N1042" t="s">
        <v>98</v>
      </c>
      <c r="O1042" t="s">
        <v>1345</v>
      </c>
    </row>
    <row r="1043" spans="1:15" x14ac:dyDescent="0.3">
      <c r="A1043" s="130">
        <v>5609</v>
      </c>
      <c r="B1043" s="130">
        <v>18</v>
      </c>
      <c r="C1043" s="130" t="s">
        <v>2667</v>
      </c>
      <c r="D1043">
        <v>9094</v>
      </c>
      <c r="E1043" s="130">
        <v>18607981</v>
      </c>
      <c r="F1043" t="s">
        <v>87</v>
      </c>
      <c r="G1043">
        <v>78</v>
      </c>
      <c r="H1043" t="s">
        <v>8951</v>
      </c>
      <c r="I1043" s="130">
        <v>38</v>
      </c>
      <c r="J1043" t="s">
        <v>2667</v>
      </c>
      <c r="K1043" t="s">
        <v>108</v>
      </c>
      <c r="L1043" t="s">
        <v>126</v>
      </c>
      <c r="M1043" t="s">
        <v>112</v>
      </c>
      <c r="N1043" t="s">
        <v>98</v>
      </c>
      <c r="O1043" t="s">
        <v>116</v>
      </c>
    </row>
    <row r="1044" spans="1:15" x14ac:dyDescent="0.3">
      <c r="A1044" s="130">
        <v>5610</v>
      </c>
      <c r="B1044" s="130">
        <v>30</v>
      </c>
      <c r="C1044" s="130" t="s">
        <v>2668</v>
      </c>
      <c r="D1044">
        <v>9095</v>
      </c>
      <c r="E1044" s="130">
        <v>44212240</v>
      </c>
      <c r="F1044" t="s">
        <v>87</v>
      </c>
      <c r="G1044">
        <v>78</v>
      </c>
      <c r="H1044" t="s">
        <v>8952</v>
      </c>
      <c r="I1044" s="130">
        <v>24</v>
      </c>
      <c r="J1044" t="s">
        <v>2668</v>
      </c>
      <c r="K1044" t="s">
        <v>95</v>
      </c>
      <c r="L1044" t="s">
        <v>191</v>
      </c>
      <c r="M1044" t="s">
        <v>103</v>
      </c>
      <c r="N1044" t="s">
        <v>98</v>
      </c>
      <c r="O1044" t="s">
        <v>1345</v>
      </c>
    </row>
    <row r="1045" spans="1:15" x14ac:dyDescent="0.3">
      <c r="A1045" s="130">
        <v>5613</v>
      </c>
      <c r="B1045" s="130">
        <v>10</v>
      </c>
      <c r="C1045" s="130" t="s">
        <v>2669</v>
      </c>
      <c r="D1045">
        <v>9102</v>
      </c>
      <c r="E1045" s="130">
        <v>14417362</v>
      </c>
      <c r="F1045" t="s">
        <v>87</v>
      </c>
      <c r="G1045">
        <v>78</v>
      </c>
      <c r="H1045" t="s">
        <v>8953</v>
      </c>
      <c r="I1045" s="130">
        <v>3</v>
      </c>
      <c r="J1045" t="s">
        <v>2669</v>
      </c>
      <c r="K1045" t="s">
        <v>108</v>
      </c>
      <c r="L1045" t="s">
        <v>109</v>
      </c>
      <c r="M1045" t="s">
        <v>133</v>
      </c>
      <c r="N1045" t="s">
        <v>98</v>
      </c>
      <c r="O1045" t="s">
        <v>1345</v>
      </c>
    </row>
    <row r="1046" spans="1:15" x14ac:dyDescent="0.3">
      <c r="A1046" s="130">
        <v>5633</v>
      </c>
      <c r="B1046" s="130">
        <v>-1</v>
      </c>
      <c r="C1046" s="130" t="s">
        <v>2670</v>
      </c>
      <c r="D1046">
        <v>9125</v>
      </c>
      <c r="E1046" s="130">
        <v>11442516</v>
      </c>
      <c r="F1046" t="s">
        <v>87</v>
      </c>
      <c r="G1046">
        <v>358</v>
      </c>
      <c r="H1046" t="s">
        <v>8951</v>
      </c>
      <c r="I1046" s="130">
        <v>3</v>
      </c>
      <c r="J1046" t="s">
        <v>2670</v>
      </c>
      <c r="K1046" t="s">
        <v>108</v>
      </c>
      <c r="L1046" t="s">
        <v>109</v>
      </c>
      <c r="M1046" t="s">
        <v>174</v>
      </c>
      <c r="N1046" t="s">
        <v>150</v>
      </c>
      <c r="O1046" t="s">
        <v>1345</v>
      </c>
    </row>
    <row r="1047" spans="1:15" x14ac:dyDescent="0.3">
      <c r="A1047" s="130">
        <v>5637</v>
      </c>
      <c r="B1047" s="130">
        <v>18</v>
      </c>
      <c r="C1047" s="130" t="s">
        <v>2671</v>
      </c>
      <c r="D1047">
        <v>9131</v>
      </c>
      <c r="E1047" s="130">
        <v>25349440</v>
      </c>
      <c r="F1047" t="s">
        <v>87</v>
      </c>
      <c r="G1047">
        <v>358</v>
      </c>
      <c r="H1047" t="s">
        <v>8952</v>
      </c>
      <c r="I1047" s="130">
        <v>3</v>
      </c>
      <c r="J1047" t="s">
        <v>2671</v>
      </c>
      <c r="K1047" t="s">
        <v>108</v>
      </c>
      <c r="L1047" t="s">
        <v>109</v>
      </c>
      <c r="M1047" t="s">
        <v>112</v>
      </c>
      <c r="N1047" t="s">
        <v>98</v>
      </c>
      <c r="O1047" t="s">
        <v>1345</v>
      </c>
    </row>
    <row r="1048" spans="1:15" x14ac:dyDescent="0.3">
      <c r="A1048" s="130">
        <v>5640</v>
      </c>
      <c r="B1048" s="130">
        <v>10</v>
      </c>
      <c r="C1048" s="130" t="s">
        <v>2672</v>
      </c>
      <c r="D1048">
        <v>9124</v>
      </c>
      <c r="E1048" s="130">
        <v>17168907</v>
      </c>
      <c r="F1048" t="s">
        <v>87</v>
      </c>
      <c r="G1048">
        <v>358</v>
      </c>
      <c r="H1048" t="s">
        <v>8953</v>
      </c>
      <c r="I1048" s="131">
        <v>26</v>
      </c>
      <c r="J1048" t="s">
        <v>2672</v>
      </c>
      <c r="K1048" t="s">
        <v>95</v>
      </c>
      <c r="L1048" t="s">
        <v>109</v>
      </c>
      <c r="M1048" t="s">
        <v>133</v>
      </c>
      <c r="N1048" t="s">
        <v>98</v>
      </c>
      <c r="O1048" t="s">
        <v>1345</v>
      </c>
    </row>
    <row r="1049" spans="1:15" x14ac:dyDescent="0.3">
      <c r="A1049" s="130">
        <v>5641</v>
      </c>
      <c r="B1049" s="130">
        <v>30</v>
      </c>
      <c r="C1049" s="130" t="s">
        <v>2673</v>
      </c>
      <c r="D1049">
        <v>9090</v>
      </c>
      <c r="E1049" s="130">
        <v>3992929</v>
      </c>
      <c r="F1049" t="s">
        <v>87</v>
      </c>
      <c r="G1049">
        <v>78</v>
      </c>
      <c r="H1049" t="s">
        <v>8951</v>
      </c>
      <c r="I1049" s="130">
        <v>9</v>
      </c>
      <c r="J1049" t="s">
        <v>2673</v>
      </c>
      <c r="K1049" t="s">
        <v>95</v>
      </c>
      <c r="L1049" t="s">
        <v>125</v>
      </c>
      <c r="M1049" t="s">
        <v>103</v>
      </c>
      <c r="N1049" t="s">
        <v>98</v>
      </c>
      <c r="O1049" t="s">
        <v>1345</v>
      </c>
    </row>
    <row r="1050" spans="1:15" x14ac:dyDescent="0.3">
      <c r="A1050" s="130">
        <v>5651</v>
      </c>
      <c r="B1050" s="130">
        <v>30</v>
      </c>
      <c r="C1050" s="130" t="s">
        <v>2674</v>
      </c>
      <c r="D1050">
        <v>9150</v>
      </c>
      <c r="E1050" s="131">
        <v>8343492</v>
      </c>
      <c r="F1050" t="s">
        <v>87</v>
      </c>
      <c r="G1050">
        <v>77</v>
      </c>
      <c r="H1050" t="s">
        <v>8952</v>
      </c>
      <c r="I1050" s="130">
        <v>18</v>
      </c>
      <c r="J1050" t="s">
        <v>2674</v>
      </c>
      <c r="K1050" t="s">
        <v>95</v>
      </c>
      <c r="L1050" t="s">
        <v>1255</v>
      </c>
      <c r="M1050" t="s">
        <v>103</v>
      </c>
      <c r="N1050" t="s">
        <v>98</v>
      </c>
      <c r="O1050" t="s">
        <v>1345</v>
      </c>
    </row>
    <row r="1051" spans="1:15" x14ac:dyDescent="0.3">
      <c r="A1051" s="130">
        <v>5652</v>
      </c>
      <c r="B1051" s="130">
        <v>30</v>
      </c>
      <c r="C1051" s="130" t="s">
        <v>2675</v>
      </c>
      <c r="D1051">
        <v>9151</v>
      </c>
      <c r="E1051" s="130">
        <v>3992929</v>
      </c>
      <c r="F1051" t="s">
        <v>87</v>
      </c>
      <c r="G1051">
        <v>78</v>
      </c>
      <c r="H1051" t="s">
        <v>8953</v>
      </c>
      <c r="I1051" s="130">
        <v>9</v>
      </c>
      <c r="J1051" t="s">
        <v>2675</v>
      </c>
      <c r="K1051" t="s">
        <v>95</v>
      </c>
      <c r="L1051" t="s">
        <v>125</v>
      </c>
      <c r="M1051" t="s">
        <v>103</v>
      </c>
      <c r="N1051" t="s">
        <v>98</v>
      </c>
      <c r="O1051" t="s">
        <v>1345</v>
      </c>
    </row>
    <row r="1052" spans="1:15" x14ac:dyDescent="0.3">
      <c r="A1052" s="130">
        <v>5656</v>
      </c>
      <c r="B1052" s="130">
        <v>30</v>
      </c>
      <c r="C1052" s="130" t="s">
        <v>2676</v>
      </c>
      <c r="D1052">
        <v>9155</v>
      </c>
      <c r="E1052" s="131">
        <v>17193590</v>
      </c>
      <c r="F1052" t="s">
        <v>87</v>
      </c>
      <c r="G1052">
        <v>78</v>
      </c>
      <c r="H1052" t="s">
        <v>8951</v>
      </c>
      <c r="I1052" s="130">
        <v>3</v>
      </c>
      <c r="J1052" t="s">
        <v>2676</v>
      </c>
      <c r="K1052" t="s">
        <v>95</v>
      </c>
      <c r="L1052" t="s">
        <v>109</v>
      </c>
      <c r="M1052" t="s">
        <v>103</v>
      </c>
      <c r="N1052" t="s">
        <v>98</v>
      </c>
      <c r="O1052" t="s">
        <v>116</v>
      </c>
    </row>
    <row r="1053" spans="1:15" x14ac:dyDescent="0.3">
      <c r="A1053" s="130">
        <v>5658</v>
      </c>
      <c r="B1053" s="130">
        <v>30</v>
      </c>
      <c r="C1053" s="130" t="s">
        <v>2677</v>
      </c>
      <c r="D1053">
        <v>9154</v>
      </c>
      <c r="E1053" s="130">
        <v>33028845</v>
      </c>
      <c r="F1053" t="s">
        <v>87</v>
      </c>
      <c r="G1053">
        <v>78</v>
      </c>
      <c r="H1053" t="s">
        <v>8952</v>
      </c>
      <c r="I1053" s="130">
        <v>9</v>
      </c>
      <c r="J1053" t="s">
        <v>2677</v>
      </c>
      <c r="K1053" t="s">
        <v>95</v>
      </c>
      <c r="L1053" t="s">
        <v>125</v>
      </c>
      <c r="M1053" t="s">
        <v>103</v>
      </c>
      <c r="N1053" t="s">
        <v>114</v>
      </c>
      <c r="O1053" t="s">
        <v>1345</v>
      </c>
    </row>
    <row r="1054" spans="1:15" x14ac:dyDescent="0.3">
      <c r="A1054" s="130">
        <v>5661</v>
      </c>
      <c r="B1054" s="130">
        <v>18</v>
      </c>
      <c r="C1054" s="130" t="s">
        <v>2678</v>
      </c>
      <c r="D1054">
        <v>9160</v>
      </c>
      <c r="E1054" s="131">
        <v>39397682</v>
      </c>
      <c r="F1054" t="s">
        <v>87</v>
      </c>
      <c r="G1054">
        <v>358</v>
      </c>
      <c r="H1054" t="s">
        <v>8953</v>
      </c>
      <c r="I1054" s="131">
        <v>3</v>
      </c>
      <c r="J1054" t="s">
        <v>2678</v>
      </c>
      <c r="K1054" t="s">
        <v>108</v>
      </c>
      <c r="L1054" t="s">
        <v>109</v>
      </c>
      <c r="M1054" t="s">
        <v>112</v>
      </c>
      <c r="N1054" t="s">
        <v>122</v>
      </c>
      <c r="O1054" t="s">
        <v>116</v>
      </c>
    </row>
    <row r="1055" spans="1:15" x14ac:dyDescent="0.3">
      <c r="A1055" s="130">
        <v>5667</v>
      </c>
      <c r="B1055" s="130">
        <v>30</v>
      </c>
      <c r="C1055" s="130" t="s">
        <v>2679</v>
      </c>
      <c r="D1055">
        <v>9175</v>
      </c>
      <c r="E1055" s="131">
        <v>3092799</v>
      </c>
      <c r="F1055" t="s">
        <v>87</v>
      </c>
      <c r="G1055">
        <v>78</v>
      </c>
      <c r="H1055" t="s">
        <v>8951</v>
      </c>
      <c r="I1055" s="130">
        <v>19</v>
      </c>
      <c r="J1055" t="s">
        <v>2679</v>
      </c>
      <c r="K1055" t="s">
        <v>95</v>
      </c>
      <c r="L1055" t="s">
        <v>146</v>
      </c>
      <c r="M1055" t="s">
        <v>103</v>
      </c>
      <c r="N1055" t="s">
        <v>124</v>
      </c>
      <c r="O1055" t="s">
        <v>1345</v>
      </c>
    </row>
    <row r="1056" spans="1:15" x14ac:dyDescent="0.3">
      <c r="A1056" s="130">
        <v>5670</v>
      </c>
      <c r="B1056" s="130">
        <v>-1</v>
      </c>
      <c r="C1056" s="130" t="s">
        <v>2680</v>
      </c>
      <c r="D1056">
        <v>9180</v>
      </c>
      <c r="E1056" s="130">
        <v>39566467</v>
      </c>
      <c r="F1056" t="s">
        <v>87</v>
      </c>
      <c r="G1056">
        <v>358</v>
      </c>
      <c r="H1056" t="s">
        <v>8952</v>
      </c>
      <c r="I1056" s="131">
        <v>19</v>
      </c>
      <c r="J1056" t="s">
        <v>2680</v>
      </c>
      <c r="K1056" t="s">
        <v>108</v>
      </c>
      <c r="L1056" t="s">
        <v>146</v>
      </c>
      <c r="M1056" t="s">
        <v>174</v>
      </c>
      <c r="N1056" t="s">
        <v>98</v>
      </c>
      <c r="O1056" t="s">
        <v>1345</v>
      </c>
    </row>
    <row r="1057" spans="1:15" x14ac:dyDescent="0.3">
      <c r="A1057" s="130">
        <v>5678</v>
      </c>
      <c r="B1057" s="130">
        <v>18</v>
      </c>
      <c r="C1057" s="130" t="s">
        <v>2681</v>
      </c>
      <c r="D1057">
        <v>8872</v>
      </c>
      <c r="E1057" s="131">
        <v>8555864</v>
      </c>
      <c r="F1057" t="s">
        <v>87</v>
      </c>
      <c r="G1057">
        <v>78</v>
      </c>
      <c r="H1057" t="s">
        <v>8953</v>
      </c>
      <c r="I1057" s="130">
        <v>9</v>
      </c>
      <c r="J1057" t="s">
        <v>2681</v>
      </c>
      <c r="K1057" t="s">
        <v>108</v>
      </c>
      <c r="L1057" t="s">
        <v>125</v>
      </c>
      <c r="M1057" t="s">
        <v>112</v>
      </c>
      <c r="N1057" t="s">
        <v>101</v>
      </c>
      <c r="O1057" t="s">
        <v>1345</v>
      </c>
    </row>
    <row r="1058" spans="1:15" x14ac:dyDescent="0.3">
      <c r="A1058" s="130">
        <v>5701</v>
      </c>
      <c r="B1058" s="130">
        <v>21</v>
      </c>
      <c r="C1058" s="130" t="s">
        <v>2682</v>
      </c>
      <c r="D1058">
        <v>9221</v>
      </c>
      <c r="E1058" s="130">
        <v>7134777</v>
      </c>
      <c r="F1058" t="s">
        <v>87</v>
      </c>
      <c r="G1058">
        <v>78</v>
      </c>
      <c r="H1058" t="s">
        <v>8951</v>
      </c>
      <c r="I1058" s="131">
        <v>10</v>
      </c>
      <c r="J1058" t="s">
        <v>2682</v>
      </c>
      <c r="K1058" t="s">
        <v>108</v>
      </c>
      <c r="L1058" t="s">
        <v>127</v>
      </c>
      <c r="M1058" t="s">
        <v>137</v>
      </c>
      <c r="N1058" t="s">
        <v>98</v>
      </c>
      <c r="O1058" t="s">
        <v>1345</v>
      </c>
    </row>
    <row r="1059" spans="1:15" x14ac:dyDescent="0.3">
      <c r="A1059" s="130">
        <v>5703</v>
      </c>
      <c r="B1059" s="130">
        <v>18</v>
      </c>
      <c r="C1059" s="130" t="s">
        <v>2683</v>
      </c>
      <c r="D1059">
        <v>9224</v>
      </c>
      <c r="E1059" s="130">
        <v>72030927</v>
      </c>
      <c r="F1059" t="s">
        <v>87</v>
      </c>
      <c r="G1059">
        <v>358</v>
      </c>
      <c r="H1059" t="s">
        <v>8952</v>
      </c>
      <c r="I1059" s="130">
        <v>10</v>
      </c>
      <c r="J1059" t="s">
        <v>2683</v>
      </c>
      <c r="K1059" t="s">
        <v>95</v>
      </c>
      <c r="L1059" t="s">
        <v>105</v>
      </c>
      <c r="M1059" t="s">
        <v>112</v>
      </c>
      <c r="N1059" t="s">
        <v>98</v>
      </c>
      <c r="O1059" t="s">
        <v>1345</v>
      </c>
    </row>
    <row r="1060" spans="1:15" x14ac:dyDescent="0.3">
      <c r="A1060" s="130">
        <v>5708</v>
      </c>
      <c r="B1060" s="130">
        <v>30</v>
      </c>
      <c r="C1060" s="130" t="s">
        <v>2684</v>
      </c>
      <c r="D1060">
        <v>9231</v>
      </c>
      <c r="E1060" s="131">
        <v>67706853</v>
      </c>
      <c r="F1060" t="s">
        <v>87</v>
      </c>
      <c r="G1060">
        <v>358</v>
      </c>
      <c r="H1060" t="s">
        <v>8953</v>
      </c>
      <c r="I1060" s="130">
        <v>3</v>
      </c>
      <c r="J1060" t="s">
        <v>2684</v>
      </c>
      <c r="K1060" t="s">
        <v>95</v>
      </c>
      <c r="L1060" t="s">
        <v>109</v>
      </c>
      <c r="M1060" t="s">
        <v>103</v>
      </c>
      <c r="N1060" t="s">
        <v>98</v>
      </c>
      <c r="O1060" t="s">
        <v>1345</v>
      </c>
    </row>
    <row r="1061" spans="1:15" x14ac:dyDescent="0.3">
      <c r="A1061" s="130">
        <v>5713</v>
      </c>
      <c r="B1061" s="130">
        <v>30</v>
      </c>
      <c r="C1061" s="130" t="s">
        <v>2685</v>
      </c>
      <c r="D1061">
        <v>8962</v>
      </c>
      <c r="E1061" s="131">
        <v>14688220</v>
      </c>
      <c r="F1061" t="s">
        <v>87</v>
      </c>
      <c r="G1061">
        <v>78</v>
      </c>
      <c r="H1061" t="s">
        <v>8951</v>
      </c>
      <c r="I1061" s="130">
        <v>9</v>
      </c>
      <c r="J1061" t="s">
        <v>2685</v>
      </c>
      <c r="K1061" t="s">
        <v>95</v>
      </c>
      <c r="L1061" t="s">
        <v>125</v>
      </c>
      <c r="M1061" t="s">
        <v>103</v>
      </c>
      <c r="N1061" t="s">
        <v>101</v>
      </c>
      <c r="O1061" t="s">
        <v>116</v>
      </c>
    </row>
    <row r="1062" spans="1:15" x14ac:dyDescent="0.3">
      <c r="A1062" s="130">
        <v>5714</v>
      </c>
      <c r="B1062" s="130">
        <v>30</v>
      </c>
      <c r="C1062" s="130" t="s">
        <v>2686</v>
      </c>
      <c r="D1062">
        <v>9241</v>
      </c>
      <c r="E1062" s="131">
        <v>44124899</v>
      </c>
      <c r="F1062" t="s">
        <v>87</v>
      </c>
      <c r="G1062">
        <v>78</v>
      </c>
      <c r="H1062" t="s">
        <v>8952</v>
      </c>
      <c r="I1062" s="131">
        <v>18</v>
      </c>
      <c r="J1062" t="s">
        <v>2686</v>
      </c>
      <c r="K1062" t="s">
        <v>108</v>
      </c>
      <c r="L1062" t="s">
        <v>123</v>
      </c>
      <c r="M1062" t="s">
        <v>103</v>
      </c>
      <c r="N1062" t="s">
        <v>101</v>
      </c>
      <c r="O1062" t="s">
        <v>1345</v>
      </c>
    </row>
    <row r="1063" spans="1:15" x14ac:dyDescent="0.3">
      <c r="A1063" s="130">
        <v>5722</v>
      </c>
      <c r="B1063" s="130">
        <v>30</v>
      </c>
      <c r="C1063" s="130" t="s">
        <v>2687</v>
      </c>
      <c r="D1063">
        <v>9252</v>
      </c>
      <c r="E1063" s="130">
        <v>33189131</v>
      </c>
      <c r="F1063" t="s">
        <v>87</v>
      </c>
      <c r="G1063">
        <v>358</v>
      </c>
      <c r="H1063" t="s">
        <v>8953</v>
      </c>
      <c r="I1063" s="130">
        <v>24</v>
      </c>
      <c r="J1063" t="s">
        <v>2687</v>
      </c>
      <c r="K1063" t="s">
        <v>95</v>
      </c>
      <c r="L1063" t="s">
        <v>1346</v>
      </c>
      <c r="M1063" t="s">
        <v>103</v>
      </c>
      <c r="N1063" t="s">
        <v>98</v>
      </c>
      <c r="O1063" t="s">
        <v>1345</v>
      </c>
    </row>
    <row r="1064" spans="1:15" x14ac:dyDescent="0.3">
      <c r="A1064" s="130">
        <v>5728</v>
      </c>
      <c r="B1064" s="130">
        <v>10</v>
      </c>
      <c r="C1064" s="130" t="s">
        <v>2688</v>
      </c>
      <c r="D1064">
        <v>9263</v>
      </c>
      <c r="E1064" s="130">
        <v>23374794</v>
      </c>
      <c r="F1064" t="s">
        <v>87</v>
      </c>
      <c r="G1064">
        <v>358</v>
      </c>
      <c r="H1064" t="s">
        <v>8951</v>
      </c>
      <c r="I1064" s="130">
        <v>3</v>
      </c>
      <c r="J1064" t="s">
        <v>2688</v>
      </c>
      <c r="K1064" t="s">
        <v>108</v>
      </c>
      <c r="L1064" t="s">
        <v>109</v>
      </c>
      <c r="M1064" t="s">
        <v>133</v>
      </c>
      <c r="N1064" t="s">
        <v>98</v>
      </c>
      <c r="O1064" t="s">
        <v>1345</v>
      </c>
    </row>
    <row r="1065" spans="1:15" x14ac:dyDescent="0.3">
      <c r="A1065" s="130">
        <v>5729</v>
      </c>
      <c r="B1065" s="130">
        <v>18</v>
      </c>
      <c r="C1065" s="130" t="s">
        <v>2689</v>
      </c>
      <c r="D1065">
        <v>9265</v>
      </c>
      <c r="E1065" s="130">
        <v>4039255</v>
      </c>
      <c r="F1065" t="s">
        <v>87</v>
      </c>
      <c r="G1065">
        <v>358</v>
      </c>
      <c r="H1065" t="s">
        <v>8952</v>
      </c>
      <c r="I1065" s="131">
        <v>3</v>
      </c>
      <c r="J1065" t="s">
        <v>2689</v>
      </c>
      <c r="K1065" t="s">
        <v>108</v>
      </c>
      <c r="L1065" t="s">
        <v>109</v>
      </c>
      <c r="M1065" t="s">
        <v>112</v>
      </c>
      <c r="N1065" t="s">
        <v>98</v>
      </c>
      <c r="O1065" t="s">
        <v>1345</v>
      </c>
    </row>
    <row r="1066" spans="1:15" x14ac:dyDescent="0.3">
      <c r="A1066" s="130">
        <v>5732</v>
      </c>
      <c r="B1066" s="130">
        <v>30</v>
      </c>
      <c r="C1066" s="130" t="s">
        <v>2690</v>
      </c>
      <c r="D1066">
        <v>9269</v>
      </c>
      <c r="E1066" s="130">
        <v>63567820</v>
      </c>
      <c r="F1066" t="s">
        <v>87</v>
      </c>
      <c r="G1066">
        <v>78</v>
      </c>
      <c r="H1066" t="s">
        <v>8953</v>
      </c>
      <c r="I1066" s="131">
        <v>9</v>
      </c>
      <c r="J1066" t="s">
        <v>2690</v>
      </c>
      <c r="K1066" t="s">
        <v>95</v>
      </c>
      <c r="L1066" t="s">
        <v>125</v>
      </c>
      <c r="M1066" t="s">
        <v>103</v>
      </c>
      <c r="N1066" t="s">
        <v>98</v>
      </c>
      <c r="O1066" t="s">
        <v>1345</v>
      </c>
    </row>
    <row r="1067" spans="1:15" x14ac:dyDescent="0.3">
      <c r="A1067" s="130">
        <v>5735</v>
      </c>
      <c r="B1067" s="130">
        <v>18</v>
      </c>
      <c r="C1067" s="130" t="s">
        <v>2691</v>
      </c>
      <c r="D1067">
        <v>9273</v>
      </c>
      <c r="E1067" s="131">
        <v>84738301</v>
      </c>
      <c r="F1067" t="s">
        <v>87</v>
      </c>
      <c r="G1067">
        <v>78</v>
      </c>
      <c r="H1067" t="s">
        <v>8951</v>
      </c>
      <c r="I1067" s="130">
        <v>38</v>
      </c>
      <c r="J1067" t="s">
        <v>2691</v>
      </c>
      <c r="K1067" t="s">
        <v>108</v>
      </c>
      <c r="L1067" t="s">
        <v>126</v>
      </c>
      <c r="M1067" t="s">
        <v>112</v>
      </c>
      <c r="N1067" t="s">
        <v>98</v>
      </c>
      <c r="O1067" t="s">
        <v>116</v>
      </c>
    </row>
    <row r="1068" spans="1:15" x14ac:dyDescent="0.3">
      <c r="A1068" s="130">
        <v>5737</v>
      </c>
      <c r="B1068" s="130">
        <v>-1</v>
      </c>
      <c r="C1068" s="130" t="s">
        <v>2692</v>
      </c>
      <c r="D1068">
        <v>9276</v>
      </c>
      <c r="E1068" s="130">
        <v>35618434</v>
      </c>
      <c r="F1068" t="s">
        <v>87</v>
      </c>
      <c r="G1068">
        <v>78</v>
      </c>
      <c r="H1068" t="s">
        <v>8952</v>
      </c>
      <c r="I1068" s="130">
        <v>9</v>
      </c>
      <c r="J1068" t="s">
        <v>2692</v>
      </c>
      <c r="K1068" t="s">
        <v>95</v>
      </c>
      <c r="L1068" t="s">
        <v>125</v>
      </c>
      <c r="M1068" t="s">
        <v>174</v>
      </c>
      <c r="N1068" t="s">
        <v>98</v>
      </c>
      <c r="O1068" t="s">
        <v>116</v>
      </c>
    </row>
    <row r="1069" spans="1:15" x14ac:dyDescent="0.3">
      <c r="A1069" s="130">
        <v>5741</v>
      </c>
      <c r="B1069" s="130">
        <v>30</v>
      </c>
      <c r="C1069" s="130" t="s">
        <v>2693</v>
      </c>
      <c r="D1069">
        <v>9278</v>
      </c>
      <c r="E1069" s="130">
        <v>83693366</v>
      </c>
      <c r="F1069" t="s">
        <v>87</v>
      </c>
      <c r="G1069">
        <v>358</v>
      </c>
      <c r="H1069" t="s">
        <v>8953</v>
      </c>
      <c r="I1069" s="130">
        <v>24</v>
      </c>
      <c r="J1069" t="s">
        <v>2693</v>
      </c>
      <c r="K1069" t="s">
        <v>95</v>
      </c>
      <c r="L1069" t="s">
        <v>1346</v>
      </c>
      <c r="M1069" t="s">
        <v>103</v>
      </c>
      <c r="N1069" t="s">
        <v>98</v>
      </c>
      <c r="O1069" t="s">
        <v>1345</v>
      </c>
    </row>
    <row r="1070" spans="1:15" x14ac:dyDescent="0.3">
      <c r="A1070" s="130">
        <v>5750</v>
      </c>
      <c r="B1070" s="130">
        <v>30</v>
      </c>
      <c r="C1070" s="130" t="s">
        <v>2694</v>
      </c>
      <c r="D1070">
        <v>9290</v>
      </c>
      <c r="E1070" s="130">
        <v>44124899</v>
      </c>
      <c r="F1070" t="s">
        <v>87</v>
      </c>
      <c r="G1070">
        <v>78</v>
      </c>
      <c r="H1070" t="s">
        <v>8951</v>
      </c>
      <c r="I1070" s="131">
        <v>18</v>
      </c>
      <c r="J1070" t="s">
        <v>2694</v>
      </c>
      <c r="K1070" t="s">
        <v>108</v>
      </c>
      <c r="L1070" t="s">
        <v>123</v>
      </c>
      <c r="M1070" t="s">
        <v>103</v>
      </c>
      <c r="N1070" t="s">
        <v>101</v>
      </c>
      <c r="O1070" t="s">
        <v>1345</v>
      </c>
    </row>
    <row r="1071" spans="1:15" x14ac:dyDescent="0.3">
      <c r="A1071" s="130">
        <v>5751</v>
      </c>
      <c r="B1071" s="130">
        <v>18</v>
      </c>
      <c r="C1071" s="130" t="s">
        <v>2695</v>
      </c>
      <c r="D1071">
        <v>9292</v>
      </c>
      <c r="E1071" s="130">
        <v>6214680</v>
      </c>
      <c r="F1071" t="s">
        <v>87</v>
      </c>
      <c r="G1071">
        <v>78</v>
      </c>
      <c r="H1071" t="s">
        <v>8952</v>
      </c>
      <c r="I1071" s="130">
        <v>19</v>
      </c>
      <c r="J1071" t="s">
        <v>2695</v>
      </c>
      <c r="K1071" t="s">
        <v>108</v>
      </c>
      <c r="L1071" t="s">
        <v>146</v>
      </c>
      <c r="M1071" t="s">
        <v>112</v>
      </c>
      <c r="N1071" t="s">
        <v>169</v>
      </c>
      <c r="O1071" t="s">
        <v>1345</v>
      </c>
    </row>
    <row r="1072" spans="1:15" x14ac:dyDescent="0.3">
      <c r="A1072" s="130">
        <v>5755</v>
      </c>
      <c r="B1072" s="130">
        <v>30</v>
      </c>
      <c r="C1072" s="130" t="s">
        <v>2696</v>
      </c>
      <c r="D1072">
        <v>9298</v>
      </c>
      <c r="E1072" s="131">
        <v>3992929</v>
      </c>
      <c r="F1072" t="s">
        <v>87</v>
      </c>
      <c r="G1072">
        <v>78</v>
      </c>
      <c r="H1072" t="s">
        <v>8953</v>
      </c>
      <c r="I1072" s="131">
        <v>9</v>
      </c>
      <c r="J1072" t="s">
        <v>2696</v>
      </c>
      <c r="K1072" t="s">
        <v>95</v>
      </c>
      <c r="L1072" t="s">
        <v>125</v>
      </c>
      <c r="M1072" t="s">
        <v>103</v>
      </c>
      <c r="N1072" t="s">
        <v>98</v>
      </c>
      <c r="O1072" t="s">
        <v>1345</v>
      </c>
    </row>
    <row r="1073" spans="1:15" x14ac:dyDescent="0.3">
      <c r="A1073" s="130">
        <v>5762</v>
      </c>
      <c r="B1073" s="130">
        <v>18</v>
      </c>
      <c r="C1073" s="130" t="s">
        <v>2697</v>
      </c>
      <c r="D1073">
        <v>9309</v>
      </c>
      <c r="E1073" s="130">
        <v>14630809</v>
      </c>
      <c r="F1073" t="s">
        <v>87</v>
      </c>
      <c r="G1073">
        <v>78</v>
      </c>
      <c r="H1073" t="s">
        <v>8951</v>
      </c>
      <c r="I1073" s="130">
        <v>24</v>
      </c>
      <c r="J1073" t="s">
        <v>2697</v>
      </c>
      <c r="K1073" t="s">
        <v>108</v>
      </c>
      <c r="L1073" t="s">
        <v>191</v>
      </c>
      <c r="M1073" t="s">
        <v>112</v>
      </c>
      <c r="N1073" t="s">
        <v>98</v>
      </c>
      <c r="O1073" t="s">
        <v>1345</v>
      </c>
    </row>
    <row r="1074" spans="1:15" x14ac:dyDescent="0.3">
      <c r="A1074" s="130">
        <v>5766</v>
      </c>
      <c r="B1074" s="130">
        <v>18</v>
      </c>
      <c r="C1074" s="130" t="s">
        <v>2698</v>
      </c>
      <c r="D1074">
        <v>9318</v>
      </c>
      <c r="E1074" s="130">
        <v>15536955</v>
      </c>
      <c r="F1074" t="s">
        <v>87</v>
      </c>
      <c r="G1074">
        <v>78</v>
      </c>
      <c r="H1074" t="s">
        <v>8952</v>
      </c>
      <c r="I1074" s="130">
        <v>24</v>
      </c>
      <c r="J1074" t="s">
        <v>2698</v>
      </c>
      <c r="K1074" t="s">
        <v>108</v>
      </c>
      <c r="L1074" t="s">
        <v>191</v>
      </c>
      <c r="M1074" t="s">
        <v>112</v>
      </c>
      <c r="N1074" t="s">
        <v>98</v>
      </c>
      <c r="O1074" t="s">
        <v>1345</v>
      </c>
    </row>
    <row r="1075" spans="1:15" x14ac:dyDescent="0.3">
      <c r="A1075" s="130">
        <v>5768</v>
      </c>
      <c r="B1075" s="130">
        <v>18</v>
      </c>
      <c r="C1075" s="130" t="s">
        <v>2699</v>
      </c>
      <c r="D1075">
        <v>9320</v>
      </c>
      <c r="E1075" s="130">
        <v>14551685</v>
      </c>
      <c r="F1075" t="s">
        <v>87</v>
      </c>
      <c r="G1075">
        <v>78</v>
      </c>
      <c r="H1075" t="s">
        <v>8953</v>
      </c>
      <c r="I1075" s="130">
        <v>10</v>
      </c>
      <c r="J1075" t="s">
        <v>2699</v>
      </c>
      <c r="K1075" t="s">
        <v>108</v>
      </c>
      <c r="L1075" t="s">
        <v>127</v>
      </c>
      <c r="M1075" t="s">
        <v>112</v>
      </c>
      <c r="N1075" t="s">
        <v>118</v>
      </c>
      <c r="O1075" t="s">
        <v>1345</v>
      </c>
    </row>
    <row r="1076" spans="1:15" x14ac:dyDescent="0.3">
      <c r="A1076" s="130">
        <v>5770</v>
      </c>
      <c r="B1076" s="130">
        <v>10</v>
      </c>
      <c r="C1076" s="130" t="s">
        <v>2700</v>
      </c>
      <c r="D1076">
        <v>9323</v>
      </c>
      <c r="E1076" s="131">
        <v>7014898</v>
      </c>
      <c r="F1076" t="s">
        <v>87</v>
      </c>
      <c r="G1076">
        <v>78</v>
      </c>
      <c r="H1076" t="s">
        <v>8951</v>
      </c>
      <c r="I1076" s="130">
        <v>3</v>
      </c>
      <c r="J1076" t="s">
        <v>2700</v>
      </c>
      <c r="K1076" t="s">
        <v>108</v>
      </c>
      <c r="L1076" t="s">
        <v>111</v>
      </c>
      <c r="M1076" t="s">
        <v>133</v>
      </c>
      <c r="N1076" t="s">
        <v>98</v>
      </c>
      <c r="O1076" t="s">
        <v>1345</v>
      </c>
    </row>
    <row r="1077" spans="1:15" x14ac:dyDescent="0.3">
      <c r="A1077" s="130">
        <v>5782</v>
      </c>
      <c r="B1077" s="130">
        <v>30</v>
      </c>
      <c r="C1077" s="130" t="s">
        <v>2701</v>
      </c>
      <c r="D1077">
        <v>9332</v>
      </c>
      <c r="E1077" s="131">
        <v>5234201</v>
      </c>
      <c r="F1077" t="s">
        <v>87</v>
      </c>
      <c r="G1077">
        <v>78</v>
      </c>
      <c r="H1077" t="s">
        <v>8952</v>
      </c>
      <c r="I1077" s="131">
        <v>19</v>
      </c>
      <c r="J1077" t="s">
        <v>2701</v>
      </c>
      <c r="K1077" t="s">
        <v>108</v>
      </c>
      <c r="L1077" t="s">
        <v>146</v>
      </c>
      <c r="M1077" t="s">
        <v>103</v>
      </c>
      <c r="N1077" t="s">
        <v>169</v>
      </c>
      <c r="O1077" t="s">
        <v>1345</v>
      </c>
    </row>
    <row r="1078" spans="1:15" x14ac:dyDescent="0.3">
      <c r="A1078" s="130">
        <v>5789</v>
      </c>
      <c r="B1078" s="130">
        <v>-1</v>
      </c>
      <c r="C1078" s="130" t="s">
        <v>2702</v>
      </c>
      <c r="D1078">
        <v>9304</v>
      </c>
      <c r="E1078" s="131">
        <v>12453743</v>
      </c>
      <c r="F1078" t="s">
        <v>87</v>
      </c>
      <c r="G1078">
        <v>78</v>
      </c>
      <c r="H1078" t="s">
        <v>8953</v>
      </c>
      <c r="I1078" s="131">
        <v>9</v>
      </c>
      <c r="J1078" t="s">
        <v>2702</v>
      </c>
      <c r="K1078" t="s">
        <v>108</v>
      </c>
      <c r="L1078" t="s">
        <v>134</v>
      </c>
      <c r="M1078" t="s">
        <v>174</v>
      </c>
      <c r="N1078" t="s">
        <v>98</v>
      </c>
      <c r="O1078" t="s">
        <v>1345</v>
      </c>
    </row>
    <row r="1079" spans="1:15" x14ac:dyDescent="0.3">
      <c r="A1079" s="130">
        <v>5793</v>
      </c>
      <c r="B1079" s="130">
        <v>10</v>
      </c>
      <c r="C1079" s="130" t="s">
        <v>2703</v>
      </c>
      <c r="D1079">
        <v>9349</v>
      </c>
      <c r="E1079" s="131">
        <v>17162983</v>
      </c>
      <c r="F1079" t="s">
        <v>87</v>
      </c>
      <c r="G1079">
        <v>358</v>
      </c>
      <c r="H1079" t="s">
        <v>8951</v>
      </c>
      <c r="I1079" s="130">
        <v>3</v>
      </c>
      <c r="J1079" t="s">
        <v>2703</v>
      </c>
      <c r="K1079" t="s">
        <v>108</v>
      </c>
      <c r="L1079" t="s">
        <v>109</v>
      </c>
      <c r="M1079" t="s">
        <v>133</v>
      </c>
      <c r="N1079" t="s">
        <v>98</v>
      </c>
      <c r="O1079" t="s">
        <v>1345</v>
      </c>
    </row>
    <row r="1080" spans="1:15" x14ac:dyDescent="0.3">
      <c r="A1080" s="130">
        <v>5794</v>
      </c>
      <c r="B1080" s="130">
        <v>18</v>
      </c>
      <c r="C1080" s="130" t="s">
        <v>2704</v>
      </c>
      <c r="D1080">
        <v>9350</v>
      </c>
      <c r="E1080" s="130">
        <v>4360230</v>
      </c>
      <c r="F1080" t="s">
        <v>87</v>
      </c>
      <c r="G1080">
        <v>358</v>
      </c>
      <c r="H1080" t="s">
        <v>8952</v>
      </c>
      <c r="I1080" s="131">
        <v>3</v>
      </c>
      <c r="J1080" t="s">
        <v>2704</v>
      </c>
      <c r="K1080" t="s">
        <v>95</v>
      </c>
      <c r="L1080" t="s">
        <v>96</v>
      </c>
      <c r="M1080" t="s">
        <v>112</v>
      </c>
      <c r="N1080" t="s">
        <v>118</v>
      </c>
      <c r="O1080" t="s">
        <v>1345</v>
      </c>
    </row>
    <row r="1081" spans="1:15" x14ac:dyDescent="0.3">
      <c r="A1081" s="130">
        <v>5804</v>
      </c>
      <c r="B1081" s="130">
        <v>10</v>
      </c>
      <c r="C1081" s="130" t="s">
        <v>2705</v>
      </c>
      <c r="D1081">
        <v>9366</v>
      </c>
      <c r="E1081" s="130">
        <v>17162983</v>
      </c>
      <c r="F1081" t="s">
        <v>87</v>
      </c>
      <c r="G1081">
        <v>358</v>
      </c>
      <c r="H1081" t="s">
        <v>8953</v>
      </c>
      <c r="I1081" s="130">
        <v>18</v>
      </c>
      <c r="J1081" t="s">
        <v>2705</v>
      </c>
      <c r="K1081" t="s">
        <v>95</v>
      </c>
      <c r="L1081" t="s">
        <v>109</v>
      </c>
      <c r="M1081" t="s">
        <v>133</v>
      </c>
      <c r="N1081" t="s">
        <v>98</v>
      </c>
      <c r="O1081" t="s">
        <v>1345</v>
      </c>
    </row>
    <row r="1082" spans="1:15" x14ac:dyDescent="0.3">
      <c r="A1082" s="130">
        <v>5805</v>
      </c>
      <c r="B1082" s="130">
        <v>60</v>
      </c>
      <c r="C1082" s="130" t="s">
        <v>2706</v>
      </c>
      <c r="D1082">
        <v>9367</v>
      </c>
      <c r="E1082" s="130">
        <v>17185786</v>
      </c>
      <c r="F1082" t="s">
        <v>87</v>
      </c>
      <c r="G1082">
        <v>358</v>
      </c>
      <c r="H1082" t="s">
        <v>8951</v>
      </c>
      <c r="I1082" s="131">
        <v>3</v>
      </c>
      <c r="J1082" t="s">
        <v>2706</v>
      </c>
      <c r="K1082" t="s">
        <v>95</v>
      </c>
      <c r="L1082" t="s">
        <v>105</v>
      </c>
      <c r="M1082" t="s">
        <v>97</v>
      </c>
      <c r="N1082" t="s">
        <v>98</v>
      </c>
      <c r="O1082" t="s">
        <v>1345</v>
      </c>
    </row>
    <row r="1083" spans="1:15" x14ac:dyDescent="0.3">
      <c r="A1083" s="130">
        <v>5806</v>
      </c>
      <c r="B1083" s="130">
        <v>30</v>
      </c>
      <c r="C1083" s="130" t="s">
        <v>2707</v>
      </c>
      <c r="D1083">
        <v>9368</v>
      </c>
      <c r="E1083" s="131">
        <v>25421735</v>
      </c>
      <c r="F1083" t="s">
        <v>87</v>
      </c>
      <c r="G1083">
        <v>78</v>
      </c>
      <c r="H1083" t="s">
        <v>8952</v>
      </c>
      <c r="I1083" s="131">
        <v>9</v>
      </c>
      <c r="J1083" t="s">
        <v>2707</v>
      </c>
      <c r="K1083" t="s">
        <v>95</v>
      </c>
      <c r="L1083" t="s">
        <v>125</v>
      </c>
      <c r="M1083" t="s">
        <v>103</v>
      </c>
      <c r="N1083" t="s">
        <v>98</v>
      </c>
      <c r="O1083" t="s">
        <v>1345</v>
      </c>
    </row>
    <row r="1084" spans="1:15" x14ac:dyDescent="0.3">
      <c r="A1084" s="130">
        <v>5808</v>
      </c>
      <c r="B1084" s="130">
        <v>30</v>
      </c>
      <c r="C1084" s="130" t="s">
        <v>2708</v>
      </c>
      <c r="D1084">
        <v>9266</v>
      </c>
      <c r="E1084" s="130">
        <v>47333539</v>
      </c>
      <c r="F1084" t="s">
        <v>87</v>
      </c>
      <c r="G1084">
        <v>78</v>
      </c>
      <c r="H1084" t="s">
        <v>8953</v>
      </c>
      <c r="I1084" s="130">
        <v>3</v>
      </c>
      <c r="J1084" t="s">
        <v>2708</v>
      </c>
      <c r="K1084" t="s">
        <v>108</v>
      </c>
      <c r="L1084" t="s">
        <v>120</v>
      </c>
      <c r="M1084" t="s">
        <v>103</v>
      </c>
      <c r="N1084" t="s">
        <v>101</v>
      </c>
      <c r="O1084" t="s">
        <v>1345</v>
      </c>
    </row>
    <row r="1085" spans="1:15" x14ac:dyDescent="0.3">
      <c r="A1085" s="130">
        <v>5809</v>
      </c>
      <c r="B1085" s="130">
        <v>15</v>
      </c>
      <c r="C1085" s="130" t="s">
        <v>2709</v>
      </c>
      <c r="D1085">
        <v>9375</v>
      </c>
      <c r="E1085" s="130">
        <v>18929177</v>
      </c>
      <c r="F1085" t="s">
        <v>87</v>
      </c>
      <c r="G1085">
        <v>78</v>
      </c>
      <c r="H1085" t="s">
        <v>8951</v>
      </c>
      <c r="I1085" s="131">
        <v>24</v>
      </c>
      <c r="J1085" t="s">
        <v>2709</v>
      </c>
      <c r="K1085" t="s">
        <v>108</v>
      </c>
      <c r="L1085" t="s">
        <v>191</v>
      </c>
      <c r="M1085" t="s">
        <v>145</v>
      </c>
      <c r="N1085" t="s">
        <v>98</v>
      </c>
      <c r="O1085" t="s">
        <v>116</v>
      </c>
    </row>
    <row r="1086" spans="1:15" x14ac:dyDescent="0.3">
      <c r="A1086" s="130">
        <v>5812</v>
      </c>
      <c r="B1086" s="130">
        <v>10</v>
      </c>
      <c r="C1086" s="130" t="s">
        <v>2710</v>
      </c>
      <c r="D1086">
        <v>9379</v>
      </c>
      <c r="E1086" s="130">
        <v>22953318</v>
      </c>
      <c r="F1086" t="s">
        <v>87</v>
      </c>
      <c r="G1086">
        <v>358</v>
      </c>
      <c r="H1086" t="s">
        <v>8952</v>
      </c>
      <c r="I1086" s="130">
        <v>3</v>
      </c>
      <c r="J1086" t="s">
        <v>2710</v>
      </c>
      <c r="K1086" t="s">
        <v>108</v>
      </c>
      <c r="L1086" t="s">
        <v>109</v>
      </c>
      <c r="M1086" t="s">
        <v>133</v>
      </c>
      <c r="N1086" t="s">
        <v>98</v>
      </c>
      <c r="O1086" t="s">
        <v>1345</v>
      </c>
    </row>
    <row r="1087" spans="1:15" x14ac:dyDescent="0.3">
      <c r="A1087" s="130">
        <v>5813</v>
      </c>
      <c r="B1087" s="130">
        <v>18</v>
      </c>
      <c r="C1087" s="130" t="s">
        <v>2711</v>
      </c>
      <c r="D1087">
        <v>9381</v>
      </c>
      <c r="E1087" s="130">
        <v>41264990</v>
      </c>
      <c r="F1087" t="s">
        <v>87</v>
      </c>
      <c r="G1087">
        <v>78</v>
      </c>
      <c r="H1087" t="s">
        <v>8953</v>
      </c>
      <c r="I1087" s="130">
        <v>37</v>
      </c>
      <c r="J1087" t="s">
        <v>2711</v>
      </c>
      <c r="K1087" t="s">
        <v>95</v>
      </c>
      <c r="L1087" t="s">
        <v>138</v>
      </c>
      <c r="M1087" t="s">
        <v>112</v>
      </c>
      <c r="N1087" t="s">
        <v>101</v>
      </c>
      <c r="O1087" t="s">
        <v>1345</v>
      </c>
    </row>
    <row r="1088" spans="1:15" x14ac:dyDescent="0.3">
      <c r="A1088" s="130">
        <v>5820</v>
      </c>
      <c r="B1088" s="130">
        <v>18</v>
      </c>
      <c r="C1088" s="130" t="s">
        <v>2712</v>
      </c>
      <c r="D1088">
        <v>9391</v>
      </c>
      <c r="E1088" s="130">
        <v>8892245</v>
      </c>
      <c r="F1088" t="s">
        <v>87</v>
      </c>
      <c r="G1088">
        <v>78</v>
      </c>
      <c r="H1088" t="s">
        <v>8951</v>
      </c>
      <c r="I1088" s="130">
        <v>9</v>
      </c>
      <c r="J1088" t="s">
        <v>2712</v>
      </c>
      <c r="K1088" t="s">
        <v>108</v>
      </c>
      <c r="L1088" t="s">
        <v>125</v>
      </c>
      <c r="M1088" t="s">
        <v>112</v>
      </c>
      <c r="N1088" t="s">
        <v>98</v>
      </c>
      <c r="O1088" t="s">
        <v>1345</v>
      </c>
    </row>
    <row r="1089" spans="1:15" x14ac:dyDescent="0.3">
      <c r="A1089" s="130">
        <v>5822</v>
      </c>
      <c r="B1089" s="130">
        <v>-1</v>
      </c>
      <c r="C1089" s="130" t="s">
        <v>2713</v>
      </c>
      <c r="D1089">
        <v>9396</v>
      </c>
      <c r="E1089" s="130">
        <v>42490690</v>
      </c>
      <c r="F1089" t="s">
        <v>87</v>
      </c>
      <c r="G1089">
        <v>78</v>
      </c>
      <c r="H1089" t="s">
        <v>8952</v>
      </c>
      <c r="I1089" s="131">
        <v>24</v>
      </c>
      <c r="J1089" t="s">
        <v>2713</v>
      </c>
      <c r="K1089" t="s">
        <v>108</v>
      </c>
      <c r="L1089" t="s">
        <v>191</v>
      </c>
      <c r="M1089" t="s">
        <v>174</v>
      </c>
      <c r="N1089" t="s">
        <v>114</v>
      </c>
      <c r="O1089" t="s">
        <v>1345</v>
      </c>
    </row>
    <row r="1090" spans="1:15" x14ac:dyDescent="0.3">
      <c r="A1090" s="130">
        <v>5824</v>
      </c>
      <c r="B1090" s="130">
        <v>30</v>
      </c>
      <c r="C1090" s="130" t="s">
        <v>2714</v>
      </c>
      <c r="D1090">
        <v>9398</v>
      </c>
      <c r="E1090" s="130">
        <v>40817926</v>
      </c>
      <c r="F1090" t="s">
        <v>87</v>
      </c>
      <c r="G1090">
        <v>78</v>
      </c>
      <c r="H1090" t="s">
        <v>8953</v>
      </c>
      <c r="I1090" s="131">
        <v>19</v>
      </c>
      <c r="J1090" t="s">
        <v>2714</v>
      </c>
      <c r="K1090" t="s">
        <v>95</v>
      </c>
      <c r="L1090" t="s">
        <v>146</v>
      </c>
      <c r="M1090" t="s">
        <v>103</v>
      </c>
      <c r="N1090" t="s">
        <v>131</v>
      </c>
      <c r="O1090" t="s">
        <v>116</v>
      </c>
    </row>
    <row r="1091" spans="1:15" x14ac:dyDescent="0.3">
      <c r="A1091" s="130">
        <v>5827</v>
      </c>
      <c r="B1091" s="130">
        <v>18</v>
      </c>
      <c r="C1091" s="130" t="s">
        <v>2715</v>
      </c>
      <c r="D1091">
        <v>9394</v>
      </c>
      <c r="E1091" s="130">
        <v>26764536</v>
      </c>
      <c r="F1091" t="s">
        <v>87</v>
      </c>
      <c r="G1091">
        <v>78</v>
      </c>
      <c r="H1091" t="s">
        <v>8951</v>
      </c>
      <c r="I1091" s="130">
        <v>9</v>
      </c>
      <c r="J1091" t="s">
        <v>2715</v>
      </c>
      <c r="K1091" t="s">
        <v>108</v>
      </c>
      <c r="L1091" t="s">
        <v>125</v>
      </c>
      <c r="M1091" t="s">
        <v>112</v>
      </c>
      <c r="N1091" t="s">
        <v>98</v>
      </c>
      <c r="O1091" t="s">
        <v>1345</v>
      </c>
    </row>
    <row r="1092" spans="1:15" x14ac:dyDescent="0.3">
      <c r="A1092" s="130">
        <v>5831</v>
      </c>
      <c r="B1092" s="130">
        <v>30</v>
      </c>
      <c r="C1092" s="130" t="s">
        <v>2716</v>
      </c>
      <c r="D1092">
        <v>9405</v>
      </c>
      <c r="E1092" s="130">
        <v>22705423</v>
      </c>
      <c r="F1092" t="s">
        <v>87</v>
      </c>
      <c r="G1092">
        <v>78</v>
      </c>
      <c r="H1092" t="s">
        <v>8952</v>
      </c>
      <c r="I1092" s="131">
        <v>18</v>
      </c>
      <c r="J1092" t="s">
        <v>2716</v>
      </c>
      <c r="K1092" t="s">
        <v>108</v>
      </c>
      <c r="L1092" t="s">
        <v>111</v>
      </c>
      <c r="M1092" t="s">
        <v>103</v>
      </c>
      <c r="N1092" t="s">
        <v>98</v>
      </c>
      <c r="O1092" t="s">
        <v>116</v>
      </c>
    </row>
    <row r="1093" spans="1:15" x14ac:dyDescent="0.3">
      <c r="A1093" s="130">
        <v>5832</v>
      </c>
      <c r="B1093" s="130">
        <v>18</v>
      </c>
      <c r="C1093" s="130" t="s">
        <v>2717</v>
      </c>
      <c r="D1093">
        <v>9407</v>
      </c>
      <c r="E1093" s="131">
        <v>12662764</v>
      </c>
      <c r="F1093" t="s">
        <v>87</v>
      </c>
      <c r="G1093">
        <v>358</v>
      </c>
      <c r="H1093" t="s">
        <v>8953</v>
      </c>
      <c r="I1093" s="130">
        <v>37</v>
      </c>
      <c r="J1093" t="s">
        <v>2717</v>
      </c>
      <c r="K1093" t="s">
        <v>108</v>
      </c>
      <c r="L1093" t="s">
        <v>140</v>
      </c>
      <c r="M1093" t="s">
        <v>112</v>
      </c>
      <c r="N1093" t="s">
        <v>98</v>
      </c>
      <c r="O1093" t="s">
        <v>1345</v>
      </c>
    </row>
    <row r="1094" spans="1:15" x14ac:dyDescent="0.3">
      <c r="A1094" s="130">
        <v>5833</v>
      </c>
      <c r="B1094" s="130">
        <v>6</v>
      </c>
      <c r="C1094" s="130" t="s">
        <v>2718</v>
      </c>
      <c r="D1094">
        <v>9408</v>
      </c>
      <c r="E1094" s="131">
        <v>83646547</v>
      </c>
      <c r="F1094" t="s">
        <v>87</v>
      </c>
      <c r="G1094">
        <v>358</v>
      </c>
      <c r="H1094" t="s">
        <v>8951</v>
      </c>
      <c r="I1094" s="131">
        <v>10</v>
      </c>
      <c r="J1094" t="s">
        <v>2718</v>
      </c>
      <c r="K1094" t="s">
        <v>95</v>
      </c>
      <c r="L1094" t="s">
        <v>105</v>
      </c>
      <c r="M1094" t="s">
        <v>205</v>
      </c>
      <c r="N1094" t="s">
        <v>98</v>
      </c>
      <c r="O1094" t="s">
        <v>1345</v>
      </c>
    </row>
    <row r="1095" spans="1:15" x14ac:dyDescent="0.3">
      <c r="A1095" s="130">
        <v>5842</v>
      </c>
      <c r="B1095" s="130">
        <v>30</v>
      </c>
      <c r="C1095" s="130" t="s">
        <v>2719</v>
      </c>
      <c r="D1095">
        <v>9423</v>
      </c>
      <c r="E1095" s="131">
        <v>3992929</v>
      </c>
      <c r="F1095" t="s">
        <v>87</v>
      </c>
      <c r="G1095">
        <v>78</v>
      </c>
      <c r="H1095" t="s">
        <v>8952</v>
      </c>
      <c r="I1095" s="130">
        <v>9</v>
      </c>
      <c r="J1095" t="s">
        <v>2719</v>
      </c>
      <c r="K1095" t="s">
        <v>95</v>
      </c>
      <c r="L1095" t="s">
        <v>125</v>
      </c>
      <c r="M1095" t="s">
        <v>103</v>
      </c>
      <c r="N1095" t="s">
        <v>98</v>
      </c>
      <c r="O1095" t="s">
        <v>1345</v>
      </c>
    </row>
    <row r="1096" spans="1:15" x14ac:dyDescent="0.3">
      <c r="A1096" s="130">
        <v>5859</v>
      </c>
      <c r="B1096" s="130">
        <v>30</v>
      </c>
      <c r="C1096" s="130" t="s">
        <v>2720</v>
      </c>
      <c r="D1096">
        <v>9445</v>
      </c>
      <c r="E1096" s="130">
        <v>83693366</v>
      </c>
      <c r="F1096" t="s">
        <v>87</v>
      </c>
      <c r="G1096">
        <v>358</v>
      </c>
      <c r="H1096" t="s">
        <v>8953</v>
      </c>
      <c r="I1096" s="130">
        <v>37</v>
      </c>
      <c r="J1096" t="s">
        <v>2720</v>
      </c>
      <c r="K1096" t="s">
        <v>95</v>
      </c>
      <c r="L1096" t="s">
        <v>1346</v>
      </c>
      <c r="M1096" t="s">
        <v>103</v>
      </c>
      <c r="N1096" t="s">
        <v>98</v>
      </c>
      <c r="O1096" t="s">
        <v>1345</v>
      </c>
    </row>
    <row r="1097" spans="1:15" x14ac:dyDescent="0.3">
      <c r="A1097" s="130">
        <v>5862</v>
      </c>
      <c r="B1097" s="130">
        <v>18</v>
      </c>
      <c r="C1097" s="130" t="s">
        <v>2721</v>
      </c>
      <c r="D1097">
        <v>9452</v>
      </c>
      <c r="E1097" s="130">
        <v>42881356</v>
      </c>
      <c r="F1097" t="s">
        <v>87</v>
      </c>
      <c r="G1097">
        <v>78</v>
      </c>
      <c r="H1097" t="s">
        <v>8951</v>
      </c>
      <c r="I1097" s="130">
        <v>37</v>
      </c>
      <c r="J1097" t="s">
        <v>2721</v>
      </c>
      <c r="K1097" t="s">
        <v>108</v>
      </c>
      <c r="L1097" t="s">
        <v>138</v>
      </c>
      <c r="M1097" t="s">
        <v>112</v>
      </c>
      <c r="N1097" t="s">
        <v>101</v>
      </c>
      <c r="O1097" t="s">
        <v>1345</v>
      </c>
    </row>
    <row r="1098" spans="1:15" x14ac:dyDescent="0.3">
      <c r="A1098" s="130">
        <v>5863</v>
      </c>
      <c r="B1098" s="130">
        <v>-1</v>
      </c>
      <c r="C1098" s="130" t="s">
        <v>2722</v>
      </c>
      <c r="D1098">
        <v>9453</v>
      </c>
      <c r="E1098" s="130">
        <v>37082746873</v>
      </c>
      <c r="F1098" t="s">
        <v>87</v>
      </c>
      <c r="G1098">
        <v>78</v>
      </c>
      <c r="H1098" t="s">
        <v>8952</v>
      </c>
      <c r="I1098" s="130">
        <v>37</v>
      </c>
      <c r="J1098" t="s">
        <v>2722</v>
      </c>
      <c r="K1098" t="s">
        <v>95</v>
      </c>
      <c r="L1098" t="s">
        <v>138</v>
      </c>
      <c r="M1098" t="s">
        <v>174</v>
      </c>
      <c r="N1098" t="s">
        <v>152</v>
      </c>
      <c r="O1098" t="s">
        <v>1345</v>
      </c>
    </row>
    <row r="1099" spans="1:15" x14ac:dyDescent="0.3">
      <c r="A1099" s="130">
        <v>5865</v>
      </c>
      <c r="B1099" s="130">
        <v>18</v>
      </c>
      <c r="C1099" s="130" t="s">
        <v>2723</v>
      </c>
      <c r="D1099">
        <v>9456</v>
      </c>
      <c r="E1099" s="131">
        <v>86808243</v>
      </c>
      <c r="F1099" t="s">
        <v>87</v>
      </c>
      <c r="G1099">
        <v>78</v>
      </c>
      <c r="H1099" t="s">
        <v>8953</v>
      </c>
      <c r="I1099" s="131">
        <v>9</v>
      </c>
      <c r="J1099" t="s">
        <v>2723</v>
      </c>
      <c r="K1099" t="s">
        <v>108</v>
      </c>
      <c r="L1099" t="s">
        <v>125</v>
      </c>
      <c r="M1099" t="s">
        <v>112</v>
      </c>
      <c r="N1099" t="s">
        <v>98</v>
      </c>
      <c r="O1099" t="s">
        <v>1345</v>
      </c>
    </row>
    <row r="1100" spans="1:15" x14ac:dyDescent="0.3">
      <c r="A1100" s="130">
        <v>5869</v>
      </c>
      <c r="B1100" s="130">
        <v>18</v>
      </c>
      <c r="C1100" s="130" t="s">
        <v>2724</v>
      </c>
      <c r="D1100">
        <v>9459</v>
      </c>
      <c r="E1100" s="130">
        <v>23374794</v>
      </c>
      <c r="F1100" t="s">
        <v>87</v>
      </c>
      <c r="G1100">
        <v>358</v>
      </c>
      <c r="H1100" t="s">
        <v>8951</v>
      </c>
      <c r="I1100" s="130">
        <v>3</v>
      </c>
      <c r="J1100" t="s">
        <v>2724</v>
      </c>
      <c r="K1100" t="s">
        <v>108</v>
      </c>
      <c r="L1100" t="s">
        <v>109</v>
      </c>
      <c r="M1100" t="s">
        <v>112</v>
      </c>
      <c r="N1100" t="s">
        <v>98</v>
      </c>
      <c r="O1100" t="s">
        <v>1345</v>
      </c>
    </row>
    <row r="1101" spans="1:15" x14ac:dyDescent="0.3">
      <c r="A1101" s="130">
        <v>5875</v>
      </c>
      <c r="B1101" s="130">
        <v>-1</v>
      </c>
      <c r="C1101" s="130" t="s">
        <v>2725</v>
      </c>
      <c r="D1101">
        <v>9469</v>
      </c>
      <c r="E1101" s="130">
        <v>28061986</v>
      </c>
      <c r="F1101" t="s">
        <v>87</v>
      </c>
      <c r="G1101">
        <v>78</v>
      </c>
      <c r="H1101" t="s">
        <v>8952</v>
      </c>
      <c r="I1101" s="130">
        <v>37</v>
      </c>
      <c r="J1101" t="s">
        <v>2725</v>
      </c>
      <c r="K1101" t="s">
        <v>95</v>
      </c>
      <c r="L1101" t="s">
        <v>138</v>
      </c>
      <c r="M1101" t="s">
        <v>174</v>
      </c>
      <c r="N1101" t="s">
        <v>152</v>
      </c>
      <c r="O1101" t="s">
        <v>1345</v>
      </c>
    </row>
    <row r="1102" spans="1:15" x14ac:dyDescent="0.3">
      <c r="A1102" s="130">
        <v>5877</v>
      </c>
      <c r="B1102" s="130">
        <v>18</v>
      </c>
      <c r="C1102" s="130" t="s">
        <v>2726</v>
      </c>
      <c r="D1102">
        <v>9474</v>
      </c>
      <c r="E1102" s="130">
        <v>17161936</v>
      </c>
      <c r="F1102" t="s">
        <v>87</v>
      </c>
      <c r="G1102">
        <v>78</v>
      </c>
      <c r="H1102" t="s">
        <v>8953</v>
      </c>
      <c r="I1102" s="131">
        <v>26</v>
      </c>
      <c r="J1102" t="s">
        <v>2726</v>
      </c>
      <c r="K1102" t="s">
        <v>95</v>
      </c>
      <c r="L1102" t="s">
        <v>151</v>
      </c>
      <c r="M1102" t="s">
        <v>112</v>
      </c>
      <c r="N1102" t="s">
        <v>114</v>
      </c>
      <c r="O1102" t="s">
        <v>1345</v>
      </c>
    </row>
    <row r="1103" spans="1:15" x14ac:dyDescent="0.3">
      <c r="A1103" s="130">
        <v>5878</v>
      </c>
      <c r="B1103" s="130">
        <v>30</v>
      </c>
      <c r="C1103" s="130" t="s">
        <v>2727</v>
      </c>
      <c r="D1103">
        <v>9475</v>
      </c>
      <c r="E1103" s="130">
        <v>8343492</v>
      </c>
      <c r="F1103" t="s">
        <v>87</v>
      </c>
      <c r="G1103">
        <v>77</v>
      </c>
      <c r="H1103" t="s">
        <v>8951</v>
      </c>
      <c r="I1103" s="130">
        <v>18</v>
      </c>
      <c r="J1103" t="s">
        <v>2727</v>
      </c>
      <c r="K1103" t="s">
        <v>95</v>
      </c>
      <c r="L1103" t="s">
        <v>204</v>
      </c>
      <c r="M1103" t="s">
        <v>103</v>
      </c>
      <c r="N1103" t="s">
        <v>98</v>
      </c>
      <c r="O1103" t="s">
        <v>1345</v>
      </c>
    </row>
    <row r="1104" spans="1:15" x14ac:dyDescent="0.3">
      <c r="A1104" s="130">
        <v>5882</v>
      </c>
      <c r="B1104" s="130">
        <v>30</v>
      </c>
      <c r="C1104" s="130" t="s">
        <v>2728</v>
      </c>
      <c r="D1104">
        <v>9478</v>
      </c>
      <c r="E1104" s="130">
        <v>8343492</v>
      </c>
      <c r="F1104" t="s">
        <v>87</v>
      </c>
      <c r="G1104">
        <v>77</v>
      </c>
      <c r="H1104" t="s">
        <v>8952</v>
      </c>
      <c r="I1104" s="131">
        <v>18</v>
      </c>
      <c r="J1104" t="s">
        <v>2728</v>
      </c>
      <c r="K1104" t="s">
        <v>95</v>
      </c>
      <c r="L1104" t="s">
        <v>119</v>
      </c>
      <c r="M1104" t="s">
        <v>103</v>
      </c>
      <c r="N1104" t="s">
        <v>104</v>
      </c>
      <c r="O1104" t="s">
        <v>1345</v>
      </c>
    </row>
    <row r="1105" spans="1:15" x14ac:dyDescent="0.3">
      <c r="A1105" s="130">
        <v>5883</v>
      </c>
      <c r="B1105" s="130">
        <v>30</v>
      </c>
      <c r="C1105" s="130" t="s">
        <v>2729</v>
      </c>
      <c r="D1105">
        <v>9480</v>
      </c>
      <c r="E1105" s="130">
        <v>83934067</v>
      </c>
      <c r="F1105" t="s">
        <v>87</v>
      </c>
      <c r="G1105">
        <v>78</v>
      </c>
      <c r="H1105" t="s">
        <v>8953</v>
      </c>
      <c r="I1105" s="130">
        <v>10</v>
      </c>
      <c r="J1105" t="s">
        <v>2729</v>
      </c>
      <c r="K1105" t="s">
        <v>108</v>
      </c>
      <c r="L1105" t="s">
        <v>127</v>
      </c>
      <c r="M1105" t="s">
        <v>103</v>
      </c>
      <c r="N1105" t="s">
        <v>118</v>
      </c>
      <c r="O1105" t="s">
        <v>1345</v>
      </c>
    </row>
    <row r="1106" spans="1:15" x14ac:dyDescent="0.3">
      <c r="A1106" s="130">
        <v>5900</v>
      </c>
      <c r="B1106" s="130">
        <v>15</v>
      </c>
      <c r="C1106" s="130" t="s">
        <v>2730</v>
      </c>
      <c r="D1106">
        <v>9513</v>
      </c>
      <c r="E1106" s="131">
        <v>31625963</v>
      </c>
      <c r="F1106" t="s">
        <v>87</v>
      </c>
      <c r="G1106">
        <v>78</v>
      </c>
      <c r="H1106" t="s">
        <v>8951</v>
      </c>
      <c r="I1106" s="130">
        <v>18</v>
      </c>
      <c r="J1106" t="s">
        <v>2730</v>
      </c>
      <c r="K1106" t="s">
        <v>108</v>
      </c>
      <c r="L1106" t="s">
        <v>123</v>
      </c>
      <c r="M1106" t="s">
        <v>145</v>
      </c>
      <c r="N1106" t="s">
        <v>98</v>
      </c>
      <c r="O1106" t="s">
        <v>1345</v>
      </c>
    </row>
    <row r="1107" spans="1:15" x14ac:dyDescent="0.3">
      <c r="A1107" s="130">
        <v>5901</v>
      </c>
      <c r="B1107" s="130">
        <v>60</v>
      </c>
      <c r="C1107" s="130" t="s">
        <v>2731</v>
      </c>
      <c r="D1107">
        <v>9516</v>
      </c>
      <c r="E1107" s="130">
        <v>39530924</v>
      </c>
      <c r="F1107" t="s">
        <v>87</v>
      </c>
      <c r="G1107">
        <v>358</v>
      </c>
      <c r="H1107" t="s">
        <v>8952</v>
      </c>
      <c r="I1107" s="131">
        <v>18</v>
      </c>
      <c r="J1107" t="s">
        <v>2731</v>
      </c>
      <c r="K1107" t="s">
        <v>95</v>
      </c>
      <c r="L1107" t="s">
        <v>109</v>
      </c>
      <c r="M1107" t="s">
        <v>97</v>
      </c>
      <c r="N1107" t="s">
        <v>98</v>
      </c>
      <c r="O1107" t="s">
        <v>1345</v>
      </c>
    </row>
    <row r="1108" spans="1:15" x14ac:dyDescent="0.3">
      <c r="A1108" s="130">
        <v>5910</v>
      </c>
      <c r="B1108" s="130">
        <v>-1</v>
      </c>
      <c r="C1108" s="130" t="s">
        <v>2732</v>
      </c>
      <c r="D1108">
        <v>9531</v>
      </c>
      <c r="E1108" s="131">
        <v>5198962</v>
      </c>
      <c r="F1108" t="s">
        <v>87</v>
      </c>
      <c r="G1108">
        <v>358</v>
      </c>
      <c r="H1108" t="s">
        <v>8953</v>
      </c>
      <c r="I1108" s="130">
        <v>3</v>
      </c>
      <c r="J1108" t="s">
        <v>2732</v>
      </c>
      <c r="K1108" t="s">
        <v>108</v>
      </c>
      <c r="L1108" t="s">
        <v>1359</v>
      </c>
      <c r="M1108" t="s">
        <v>174</v>
      </c>
      <c r="N1108" t="s">
        <v>152</v>
      </c>
      <c r="O1108" t="s">
        <v>1345</v>
      </c>
    </row>
    <row r="1109" spans="1:15" x14ac:dyDescent="0.3">
      <c r="A1109" s="130">
        <v>5915</v>
      </c>
      <c r="B1109" s="130">
        <v>15</v>
      </c>
      <c r="C1109" s="130" t="s">
        <v>2733</v>
      </c>
      <c r="D1109">
        <v>9537</v>
      </c>
      <c r="E1109" s="130">
        <v>4518190</v>
      </c>
      <c r="F1109" t="s">
        <v>87</v>
      </c>
      <c r="G1109">
        <v>358</v>
      </c>
      <c r="H1109" t="s">
        <v>8951</v>
      </c>
      <c r="I1109" s="131">
        <v>18</v>
      </c>
      <c r="J1109" t="s">
        <v>2733</v>
      </c>
      <c r="K1109" t="s">
        <v>108</v>
      </c>
      <c r="L1109" t="s">
        <v>109</v>
      </c>
      <c r="M1109" t="s">
        <v>145</v>
      </c>
      <c r="N1109" t="s">
        <v>98</v>
      </c>
      <c r="O1109" t="s">
        <v>1345</v>
      </c>
    </row>
    <row r="1110" spans="1:15" x14ac:dyDescent="0.3">
      <c r="A1110" s="130">
        <v>5918</v>
      </c>
      <c r="B1110" s="130">
        <v>18</v>
      </c>
      <c r="C1110" s="130" t="s">
        <v>2734</v>
      </c>
      <c r="D1110">
        <v>9541</v>
      </c>
      <c r="E1110" s="130">
        <v>47888128</v>
      </c>
      <c r="F1110" t="s">
        <v>87</v>
      </c>
      <c r="G1110">
        <v>78</v>
      </c>
      <c r="H1110" t="s">
        <v>8952</v>
      </c>
      <c r="I1110" s="131">
        <v>37</v>
      </c>
      <c r="J1110" t="s">
        <v>2734</v>
      </c>
      <c r="K1110" t="s">
        <v>95</v>
      </c>
      <c r="L1110" t="s">
        <v>138</v>
      </c>
      <c r="M1110" t="s">
        <v>112</v>
      </c>
      <c r="N1110" t="s">
        <v>122</v>
      </c>
      <c r="O1110" t="s">
        <v>1345</v>
      </c>
    </row>
    <row r="1111" spans="1:15" x14ac:dyDescent="0.3">
      <c r="A1111" s="130">
        <v>5924</v>
      </c>
      <c r="B1111" s="130">
        <v>10</v>
      </c>
      <c r="C1111" s="130" t="s">
        <v>2735</v>
      </c>
      <c r="D1111">
        <v>9549</v>
      </c>
      <c r="E1111" s="130">
        <v>43312312</v>
      </c>
      <c r="F1111" t="s">
        <v>87</v>
      </c>
      <c r="G1111">
        <v>358</v>
      </c>
      <c r="H1111" t="s">
        <v>8953</v>
      </c>
      <c r="I1111" s="130">
        <v>3</v>
      </c>
      <c r="J1111" t="s">
        <v>2735</v>
      </c>
      <c r="K1111" t="s">
        <v>108</v>
      </c>
      <c r="L1111" t="s">
        <v>109</v>
      </c>
      <c r="M1111" t="s">
        <v>133</v>
      </c>
      <c r="N1111" t="s">
        <v>98</v>
      </c>
      <c r="O1111" t="s">
        <v>1345</v>
      </c>
    </row>
    <row r="1112" spans="1:15" x14ac:dyDescent="0.3">
      <c r="A1112" s="130">
        <v>5932</v>
      </c>
      <c r="B1112" s="130" t="s">
        <v>156</v>
      </c>
      <c r="C1112" s="130" t="s">
        <v>2736</v>
      </c>
      <c r="D1112">
        <v>9310</v>
      </c>
      <c r="E1112" s="130">
        <v>15655289</v>
      </c>
      <c r="F1112" t="s">
        <v>87</v>
      </c>
      <c r="G1112">
        <v>78</v>
      </c>
      <c r="H1112" t="s">
        <v>8951</v>
      </c>
      <c r="I1112" s="130">
        <v>3</v>
      </c>
      <c r="J1112" t="s">
        <v>2736</v>
      </c>
      <c r="K1112" t="s">
        <v>108</v>
      </c>
      <c r="L1112" t="s">
        <v>120</v>
      </c>
      <c r="M1112" t="s">
        <v>156</v>
      </c>
      <c r="N1112" t="s">
        <v>104</v>
      </c>
      <c r="O1112" t="s">
        <v>116</v>
      </c>
    </row>
    <row r="1113" spans="1:15" x14ac:dyDescent="0.3">
      <c r="A1113" s="130">
        <v>5938</v>
      </c>
      <c r="B1113" s="130">
        <v>35</v>
      </c>
      <c r="C1113" s="130" t="s">
        <v>2737</v>
      </c>
      <c r="D1113">
        <v>9565</v>
      </c>
      <c r="E1113" s="130">
        <v>5275</v>
      </c>
      <c r="F1113" t="s">
        <v>87</v>
      </c>
      <c r="G1113">
        <v>78</v>
      </c>
      <c r="H1113" t="s">
        <v>8952</v>
      </c>
      <c r="I1113" s="131">
        <v>37</v>
      </c>
      <c r="J1113" t="s">
        <v>2737</v>
      </c>
      <c r="K1113" t="s">
        <v>95</v>
      </c>
      <c r="L1113" t="s">
        <v>138</v>
      </c>
      <c r="M1113" t="s">
        <v>161</v>
      </c>
      <c r="N1113" t="s">
        <v>98</v>
      </c>
      <c r="O1113" t="s">
        <v>1345</v>
      </c>
    </row>
    <row r="1114" spans="1:15" x14ac:dyDescent="0.3">
      <c r="A1114" s="130">
        <v>5939</v>
      </c>
      <c r="B1114" s="130">
        <v>18</v>
      </c>
      <c r="C1114" s="130" t="s">
        <v>2738</v>
      </c>
      <c r="D1114">
        <v>9564</v>
      </c>
      <c r="E1114" s="131">
        <v>13791376</v>
      </c>
      <c r="F1114" t="s">
        <v>87</v>
      </c>
      <c r="G1114">
        <v>358</v>
      </c>
      <c r="H1114" t="s">
        <v>8953</v>
      </c>
      <c r="I1114" s="131">
        <v>24</v>
      </c>
      <c r="J1114" t="s">
        <v>2738</v>
      </c>
      <c r="K1114" t="s">
        <v>108</v>
      </c>
      <c r="L1114" t="s">
        <v>140</v>
      </c>
      <c r="M1114" t="s">
        <v>112</v>
      </c>
      <c r="N1114" t="s">
        <v>98</v>
      </c>
      <c r="O1114" t="s">
        <v>1345</v>
      </c>
    </row>
    <row r="1115" spans="1:15" x14ac:dyDescent="0.3">
      <c r="A1115" s="130">
        <v>5959</v>
      </c>
      <c r="B1115" s="130">
        <v>20</v>
      </c>
      <c r="C1115" s="130" t="s">
        <v>2739</v>
      </c>
      <c r="D1115">
        <v>9587</v>
      </c>
      <c r="E1115" s="130">
        <v>3649389</v>
      </c>
      <c r="F1115" t="s">
        <v>87</v>
      </c>
      <c r="G1115">
        <v>358</v>
      </c>
      <c r="H1115" t="s">
        <v>8951</v>
      </c>
      <c r="I1115" s="131">
        <v>3</v>
      </c>
      <c r="J1115" t="s">
        <v>2739</v>
      </c>
      <c r="K1115" t="s">
        <v>95</v>
      </c>
      <c r="L1115" t="s">
        <v>96</v>
      </c>
      <c r="M1115" t="s">
        <v>148</v>
      </c>
      <c r="N1115" t="s">
        <v>98</v>
      </c>
      <c r="O1115" t="s">
        <v>1345</v>
      </c>
    </row>
    <row r="1116" spans="1:15" x14ac:dyDescent="0.3">
      <c r="A1116" s="130">
        <v>5963</v>
      </c>
      <c r="B1116" s="130">
        <v>28</v>
      </c>
      <c r="C1116" s="130" t="s">
        <v>2740</v>
      </c>
      <c r="D1116">
        <v>9591</v>
      </c>
      <c r="E1116" s="130">
        <v>8726496</v>
      </c>
      <c r="F1116" t="s">
        <v>87</v>
      </c>
      <c r="G1116">
        <v>78</v>
      </c>
      <c r="H1116" t="s">
        <v>8952</v>
      </c>
      <c r="I1116" s="131">
        <v>10</v>
      </c>
      <c r="J1116" t="s">
        <v>2740</v>
      </c>
      <c r="K1116" t="s">
        <v>108</v>
      </c>
      <c r="L1116" t="s">
        <v>127</v>
      </c>
      <c r="M1116" t="s">
        <v>130</v>
      </c>
      <c r="N1116" t="s">
        <v>118</v>
      </c>
      <c r="O1116" t="s">
        <v>1345</v>
      </c>
    </row>
    <row r="1117" spans="1:15" x14ac:dyDescent="0.3">
      <c r="A1117" s="130">
        <v>5965</v>
      </c>
      <c r="B1117" s="130">
        <v>18</v>
      </c>
      <c r="C1117" s="130" t="s">
        <v>2741</v>
      </c>
      <c r="D1117">
        <v>9455</v>
      </c>
      <c r="E1117" s="130">
        <v>5353545</v>
      </c>
      <c r="F1117" t="s">
        <v>87</v>
      </c>
      <c r="G1117">
        <v>78</v>
      </c>
      <c r="H1117" t="s">
        <v>8953</v>
      </c>
      <c r="I1117" s="131">
        <v>9</v>
      </c>
      <c r="J1117" t="s">
        <v>2741</v>
      </c>
      <c r="K1117" t="s">
        <v>95</v>
      </c>
      <c r="L1117" t="s">
        <v>125</v>
      </c>
      <c r="M1117" t="s">
        <v>112</v>
      </c>
      <c r="N1117" t="s">
        <v>98</v>
      </c>
      <c r="O1117" t="s">
        <v>1345</v>
      </c>
    </row>
    <row r="1118" spans="1:15" x14ac:dyDescent="0.3">
      <c r="A1118" s="130">
        <v>5966</v>
      </c>
      <c r="B1118" s="130">
        <v>-1</v>
      </c>
      <c r="C1118" s="130" t="s">
        <v>2742</v>
      </c>
      <c r="D1118">
        <v>9508</v>
      </c>
      <c r="E1118" s="130">
        <v>7792949</v>
      </c>
      <c r="F1118" t="s">
        <v>87</v>
      </c>
      <c r="G1118">
        <v>78</v>
      </c>
      <c r="H1118" t="s">
        <v>8951</v>
      </c>
      <c r="I1118" s="131">
        <v>9</v>
      </c>
      <c r="J1118" t="s">
        <v>2742</v>
      </c>
      <c r="K1118" t="s">
        <v>108</v>
      </c>
      <c r="L1118" t="s">
        <v>134</v>
      </c>
      <c r="M1118" t="s">
        <v>174</v>
      </c>
      <c r="N1118" t="s">
        <v>98</v>
      </c>
      <c r="O1118" t="s">
        <v>1345</v>
      </c>
    </row>
    <row r="1119" spans="1:15" x14ac:dyDescent="0.3">
      <c r="A1119" s="130">
        <v>5970</v>
      </c>
      <c r="B1119" s="130">
        <v>10</v>
      </c>
      <c r="C1119" s="130" t="s">
        <v>2743</v>
      </c>
      <c r="D1119">
        <v>9600</v>
      </c>
      <c r="E1119" s="130">
        <v>10701905</v>
      </c>
      <c r="F1119" t="s">
        <v>87</v>
      </c>
      <c r="G1119">
        <v>358</v>
      </c>
      <c r="H1119" t="s">
        <v>8952</v>
      </c>
      <c r="I1119" s="130">
        <v>3</v>
      </c>
      <c r="J1119" t="s">
        <v>2743</v>
      </c>
      <c r="K1119" t="s">
        <v>108</v>
      </c>
      <c r="L1119" t="s">
        <v>109</v>
      </c>
      <c r="M1119" t="s">
        <v>133</v>
      </c>
      <c r="N1119" t="s">
        <v>98</v>
      </c>
      <c r="O1119" t="s">
        <v>1345</v>
      </c>
    </row>
    <row r="1120" spans="1:15" x14ac:dyDescent="0.3">
      <c r="A1120" s="130">
        <v>5980</v>
      </c>
      <c r="B1120" s="130">
        <v>21</v>
      </c>
      <c r="C1120" s="130" t="s">
        <v>2744</v>
      </c>
      <c r="D1120">
        <v>9612</v>
      </c>
      <c r="E1120" s="130">
        <v>1899414</v>
      </c>
      <c r="F1120" t="s">
        <v>87</v>
      </c>
      <c r="G1120">
        <v>78</v>
      </c>
      <c r="H1120" t="s">
        <v>8953</v>
      </c>
      <c r="I1120" s="130">
        <v>10</v>
      </c>
      <c r="J1120" t="s">
        <v>2744</v>
      </c>
      <c r="K1120" t="s">
        <v>95</v>
      </c>
      <c r="L1120" t="s">
        <v>127</v>
      </c>
      <c r="M1120" t="s">
        <v>137</v>
      </c>
      <c r="N1120" t="s">
        <v>118</v>
      </c>
      <c r="O1120" t="s">
        <v>1345</v>
      </c>
    </row>
    <row r="1121" spans="1:15" x14ac:dyDescent="0.3">
      <c r="A1121" s="130">
        <v>5981</v>
      </c>
      <c r="B1121" s="130">
        <v>18</v>
      </c>
      <c r="C1121" s="130" t="s">
        <v>2745</v>
      </c>
      <c r="D1121">
        <v>9613</v>
      </c>
      <c r="E1121" s="130">
        <v>28029688</v>
      </c>
      <c r="F1121" t="s">
        <v>87</v>
      </c>
      <c r="G1121">
        <v>78</v>
      </c>
      <c r="H1121" t="s">
        <v>8951</v>
      </c>
      <c r="I1121" s="130">
        <v>24</v>
      </c>
      <c r="J1121" t="s">
        <v>2745</v>
      </c>
      <c r="K1121" t="s">
        <v>108</v>
      </c>
      <c r="L1121" t="s">
        <v>191</v>
      </c>
      <c r="M1121" t="s">
        <v>112</v>
      </c>
      <c r="N1121" t="s">
        <v>98</v>
      </c>
      <c r="O1121" t="s">
        <v>1345</v>
      </c>
    </row>
    <row r="1122" spans="1:15" x14ac:dyDescent="0.3">
      <c r="A1122" s="130">
        <v>5987</v>
      </c>
      <c r="B1122" s="130">
        <v>18</v>
      </c>
      <c r="C1122" s="130" t="s">
        <v>2746</v>
      </c>
      <c r="D1122">
        <v>9620</v>
      </c>
      <c r="E1122" s="130">
        <v>3706607</v>
      </c>
      <c r="F1122" t="s">
        <v>87</v>
      </c>
      <c r="G1122">
        <v>9135</v>
      </c>
      <c r="H1122" t="s">
        <v>8952</v>
      </c>
      <c r="I1122" s="130">
        <v>38</v>
      </c>
      <c r="J1122" t="s">
        <v>2746</v>
      </c>
      <c r="K1122" t="s">
        <v>108</v>
      </c>
      <c r="L1122" t="s">
        <v>126</v>
      </c>
      <c r="M1122" t="s">
        <v>112</v>
      </c>
      <c r="N1122" t="s">
        <v>98</v>
      </c>
      <c r="O1122" t="s">
        <v>116</v>
      </c>
    </row>
    <row r="1123" spans="1:15" x14ac:dyDescent="0.3">
      <c r="A1123" s="130">
        <v>5992</v>
      </c>
      <c r="B1123" s="130">
        <v>10</v>
      </c>
      <c r="C1123" s="130" t="s">
        <v>2747</v>
      </c>
      <c r="D1123">
        <v>9626</v>
      </c>
      <c r="E1123" s="130">
        <v>17162983</v>
      </c>
      <c r="F1123" t="s">
        <v>87</v>
      </c>
      <c r="G1123">
        <v>358</v>
      </c>
      <c r="H1123" t="s">
        <v>8953</v>
      </c>
      <c r="I1123" s="131">
        <v>3</v>
      </c>
      <c r="J1123" t="s">
        <v>2747</v>
      </c>
      <c r="K1123" t="s">
        <v>108</v>
      </c>
      <c r="L1123" t="s">
        <v>109</v>
      </c>
      <c r="M1123" t="s">
        <v>133</v>
      </c>
      <c r="N1123" t="s">
        <v>98</v>
      </c>
      <c r="O1123" t="s">
        <v>1345</v>
      </c>
    </row>
    <row r="1124" spans="1:15" x14ac:dyDescent="0.3">
      <c r="A1124" s="130">
        <v>5995</v>
      </c>
      <c r="B1124" s="130">
        <v>60</v>
      </c>
      <c r="C1124" s="130" t="s">
        <v>2748</v>
      </c>
      <c r="D1124">
        <v>9634</v>
      </c>
      <c r="E1124" s="130">
        <v>43821266</v>
      </c>
      <c r="F1124" t="s">
        <v>87</v>
      </c>
      <c r="G1124">
        <v>77</v>
      </c>
      <c r="H1124" t="s">
        <v>8951</v>
      </c>
      <c r="I1124" s="131">
        <v>9</v>
      </c>
      <c r="J1124" t="s">
        <v>2748</v>
      </c>
      <c r="K1124" t="s">
        <v>95</v>
      </c>
      <c r="L1124" t="s">
        <v>117</v>
      </c>
      <c r="M1124" t="s">
        <v>97</v>
      </c>
      <c r="N1124" t="s">
        <v>98</v>
      </c>
      <c r="O1124" t="s">
        <v>116</v>
      </c>
    </row>
    <row r="1125" spans="1:15" x14ac:dyDescent="0.3">
      <c r="A1125" s="130">
        <v>5997</v>
      </c>
      <c r="B1125" s="130">
        <v>30</v>
      </c>
      <c r="C1125" s="130" t="s">
        <v>2749</v>
      </c>
      <c r="D1125">
        <v>9636</v>
      </c>
      <c r="E1125" s="130">
        <v>38075244</v>
      </c>
      <c r="F1125" t="s">
        <v>87</v>
      </c>
      <c r="G1125">
        <v>358</v>
      </c>
      <c r="H1125" t="s">
        <v>8952</v>
      </c>
      <c r="I1125" s="130">
        <v>3</v>
      </c>
      <c r="J1125" t="s">
        <v>2749</v>
      </c>
      <c r="K1125" t="s">
        <v>95</v>
      </c>
      <c r="L1125" t="s">
        <v>109</v>
      </c>
      <c r="M1125" t="s">
        <v>103</v>
      </c>
      <c r="N1125" t="s">
        <v>118</v>
      </c>
      <c r="O1125" t="s">
        <v>1345</v>
      </c>
    </row>
    <row r="1126" spans="1:15" x14ac:dyDescent="0.3">
      <c r="A1126" s="130">
        <v>6007</v>
      </c>
      <c r="B1126" s="130">
        <v>-1</v>
      </c>
      <c r="C1126" s="130" t="s">
        <v>2750</v>
      </c>
      <c r="D1126">
        <v>9652</v>
      </c>
      <c r="E1126" s="130">
        <v>42598054</v>
      </c>
      <c r="F1126" t="s">
        <v>87</v>
      </c>
      <c r="G1126">
        <v>9135</v>
      </c>
      <c r="H1126" t="s">
        <v>8953</v>
      </c>
      <c r="I1126" s="130">
        <v>18</v>
      </c>
      <c r="J1126" t="s">
        <v>2750</v>
      </c>
      <c r="K1126" t="s">
        <v>95</v>
      </c>
      <c r="L1126" t="s">
        <v>111</v>
      </c>
      <c r="M1126" t="s">
        <v>174</v>
      </c>
      <c r="N1126" t="s">
        <v>98</v>
      </c>
      <c r="O1126" t="s">
        <v>116</v>
      </c>
    </row>
    <row r="1127" spans="1:15" x14ac:dyDescent="0.3">
      <c r="A1127" s="130">
        <v>6022</v>
      </c>
      <c r="B1127" s="130">
        <v>18</v>
      </c>
      <c r="C1127" s="130" t="s">
        <v>2751</v>
      </c>
      <c r="D1127">
        <v>9631</v>
      </c>
      <c r="E1127" s="130">
        <v>1084855</v>
      </c>
      <c r="F1127" t="s">
        <v>87</v>
      </c>
      <c r="G1127">
        <v>9135</v>
      </c>
      <c r="H1127" t="s">
        <v>8951</v>
      </c>
      <c r="I1127" s="130">
        <v>9</v>
      </c>
      <c r="J1127" t="s">
        <v>2751</v>
      </c>
      <c r="K1127" t="s">
        <v>108</v>
      </c>
      <c r="L1127" t="s">
        <v>125</v>
      </c>
      <c r="M1127" t="s">
        <v>112</v>
      </c>
      <c r="N1127" t="s">
        <v>98</v>
      </c>
      <c r="O1127" t="s">
        <v>1345</v>
      </c>
    </row>
    <row r="1128" spans="1:15" x14ac:dyDescent="0.3">
      <c r="A1128" s="130">
        <v>6029</v>
      </c>
      <c r="B1128" s="130">
        <v>90</v>
      </c>
      <c r="C1128" s="130" t="s">
        <v>2752</v>
      </c>
      <c r="D1128">
        <v>9685</v>
      </c>
      <c r="E1128" s="130">
        <v>6147451</v>
      </c>
      <c r="F1128" t="s">
        <v>87</v>
      </c>
      <c r="G1128">
        <v>9135</v>
      </c>
      <c r="H1128" t="s">
        <v>8952</v>
      </c>
      <c r="I1128" s="130">
        <v>24</v>
      </c>
      <c r="J1128" t="s">
        <v>2752</v>
      </c>
      <c r="K1128" t="s">
        <v>95</v>
      </c>
      <c r="L1128" t="s">
        <v>191</v>
      </c>
      <c r="M1128" t="s">
        <v>170</v>
      </c>
      <c r="N1128" t="s">
        <v>114</v>
      </c>
      <c r="O1128" t="s">
        <v>1345</v>
      </c>
    </row>
    <row r="1129" spans="1:15" x14ac:dyDescent="0.3">
      <c r="A1129" s="130">
        <v>6030</v>
      </c>
      <c r="B1129" s="130">
        <v>28</v>
      </c>
      <c r="C1129" s="130" t="s">
        <v>2753</v>
      </c>
      <c r="D1129">
        <v>9686</v>
      </c>
      <c r="E1129" s="131">
        <v>3852459</v>
      </c>
      <c r="F1129" t="s">
        <v>87</v>
      </c>
      <c r="G1129">
        <v>9135</v>
      </c>
      <c r="H1129" t="s">
        <v>8953</v>
      </c>
      <c r="I1129" s="131">
        <v>24</v>
      </c>
      <c r="J1129" t="s">
        <v>2753</v>
      </c>
      <c r="K1129" t="s">
        <v>95</v>
      </c>
      <c r="L1129" t="s">
        <v>191</v>
      </c>
      <c r="M1129" t="s">
        <v>130</v>
      </c>
      <c r="N1129" t="s">
        <v>98</v>
      </c>
      <c r="O1129" t="s">
        <v>1345</v>
      </c>
    </row>
    <row r="1130" spans="1:15" x14ac:dyDescent="0.3">
      <c r="A1130" s="130">
        <v>6033</v>
      </c>
      <c r="B1130" s="130">
        <v>10</v>
      </c>
      <c r="C1130" s="130" t="s">
        <v>2754</v>
      </c>
      <c r="D1130">
        <v>9689</v>
      </c>
      <c r="E1130" s="130">
        <v>27244928</v>
      </c>
      <c r="F1130" t="s">
        <v>87</v>
      </c>
      <c r="G1130">
        <v>358</v>
      </c>
      <c r="H1130" t="s">
        <v>8951</v>
      </c>
      <c r="I1130" s="131">
        <v>3</v>
      </c>
      <c r="J1130" t="s">
        <v>2754</v>
      </c>
      <c r="K1130" t="s">
        <v>108</v>
      </c>
      <c r="L1130" t="s">
        <v>109</v>
      </c>
      <c r="M1130" t="s">
        <v>133</v>
      </c>
      <c r="N1130" t="s">
        <v>98</v>
      </c>
      <c r="O1130" t="s">
        <v>1345</v>
      </c>
    </row>
    <row r="1131" spans="1:15" x14ac:dyDescent="0.3">
      <c r="A1131" s="130">
        <v>6035</v>
      </c>
      <c r="B1131" s="130">
        <v>0</v>
      </c>
      <c r="C1131" s="130" t="s">
        <v>2755</v>
      </c>
      <c r="D1131">
        <v>9695</v>
      </c>
      <c r="E1131" s="130">
        <v>17251261</v>
      </c>
      <c r="F1131" t="s">
        <v>87</v>
      </c>
      <c r="G1131">
        <v>9135</v>
      </c>
      <c r="H1131" t="s">
        <v>8952</v>
      </c>
      <c r="I1131" s="131">
        <v>26</v>
      </c>
      <c r="J1131" t="s">
        <v>2755</v>
      </c>
      <c r="K1131" t="s">
        <v>108</v>
      </c>
      <c r="L1131" t="s">
        <v>151</v>
      </c>
      <c r="M1131" t="s">
        <v>100</v>
      </c>
      <c r="N1131" t="s">
        <v>98</v>
      </c>
      <c r="O1131" t="s">
        <v>1345</v>
      </c>
    </row>
    <row r="1132" spans="1:15" x14ac:dyDescent="0.3">
      <c r="A1132" s="130">
        <v>6036</v>
      </c>
      <c r="B1132" s="130">
        <v>-1</v>
      </c>
      <c r="C1132" s="130" t="s">
        <v>2756</v>
      </c>
      <c r="D1132">
        <v>9698</v>
      </c>
      <c r="E1132" s="130">
        <v>41214215</v>
      </c>
      <c r="F1132" t="s">
        <v>87</v>
      </c>
      <c r="G1132">
        <v>9135</v>
      </c>
      <c r="H1132" t="s">
        <v>8953</v>
      </c>
      <c r="I1132" s="130">
        <v>38</v>
      </c>
      <c r="J1132" t="s">
        <v>2756</v>
      </c>
      <c r="K1132" t="s">
        <v>108</v>
      </c>
      <c r="L1132" t="s">
        <v>126</v>
      </c>
      <c r="M1132" t="s">
        <v>174</v>
      </c>
      <c r="N1132" t="s">
        <v>98</v>
      </c>
      <c r="O1132" t="s">
        <v>1345</v>
      </c>
    </row>
    <row r="1133" spans="1:15" x14ac:dyDescent="0.3">
      <c r="A1133" s="130">
        <v>6045</v>
      </c>
      <c r="B1133" s="130">
        <v>0</v>
      </c>
      <c r="C1133" s="130" t="s">
        <v>2757</v>
      </c>
      <c r="D1133">
        <v>9708</v>
      </c>
      <c r="E1133" s="131">
        <v>42876344</v>
      </c>
      <c r="F1133" t="s">
        <v>87</v>
      </c>
      <c r="G1133">
        <v>9135</v>
      </c>
      <c r="H1133" t="s">
        <v>8951</v>
      </c>
      <c r="I1133" s="130">
        <v>26</v>
      </c>
      <c r="J1133" t="s">
        <v>2757</v>
      </c>
      <c r="K1133" t="s">
        <v>108</v>
      </c>
      <c r="L1133" t="s">
        <v>151</v>
      </c>
      <c r="M1133" t="s">
        <v>100</v>
      </c>
      <c r="N1133" t="s">
        <v>152</v>
      </c>
      <c r="O1133" t="s">
        <v>1345</v>
      </c>
    </row>
    <row r="1134" spans="1:15" x14ac:dyDescent="0.3">
      <c r="A1134" s="130">
        <v>6050</v>
      </c>
      <c r="B1134" s="130">
        <v>18</v>
      </c>
      <c r="C1134" s="130" t="s">
        <v>2758</v>
      </c>
      <c r="D1134">
        <v>9714</v>
      </c>
      <c r="E1134" s="130">
        <v>43368422</v>
      </c>
      <c r="F1134" t="s">
        <v>87</v>
      </c>
      <c r="G1134">
        <v>9135</v>
      </c>
      <c r="H1134" t="s">
        <v>8952</v>
      </c>
      <c r="I1134" s="131">
        <v>10</v>
      </c>
      <c r="J1134" t="s">
        <v>2758</v>
      </c>
      <c r="K1134" t="s">
        <v>95</v>
      </c>
      <c r="L1134" t="s">
        <v>127</v>
      </c>
      <c r="M1134" t="s">
        <v>112</v>
      </c>
      <c r="N1134" t="s">
        <v>118</v>
      </c>
      <c r="O1134" t="s">
        <v>116</v>
      </c>
    </row>
    <row r="1135" spans="1:15" x14ac:dyDescent="0.3">
      <c r="A1135" s="130">
        <v>6052</v>
      </c>
      <c r="B1135" s="130">
        <v>15</v>
      </c>
      <c r="C1135" s="130" t="s">
        <v>2759</v>
      </c>
      <c r="D1135">
        <v>9718</v>
      </c>
      <c r="E1135" s="130">
        <v>24312950</v>
      </c>
      <c r="F1135" t="s">
        <v>87</v>
      </c>
      <c r="G1135">
        <v>9135</v>
      </c>
      <c r="H1135" t="s">
        <v>8953</v>
      </c>
      <c r="I1135" s="130">
        <v>24</v>
      </c>
      <c r="J1135" t="s">
        <v>2759</v>
      </c>
      <c r="K1135" t="s">
        <v>108</v>
      </c>
      <c r="L1135" t="s">
        <v>191</v>
      </c>
      <c r="M1135" t="s">
        <v>145</v>
      </c>
      <c r="N1135" t="s">
        <v>98</v>
      </c>
      <c r="O1135" t="s">
        <v>1345</v>
      </c>
    </row>
    <row r="1136" spans="1:15" x14ac:dyDescent="0.3">
      <c r="A1136" s="130">
        <v>6053</v>
      </c>
      <c r="B1136" s="130">
        <v>28</v>
      </c>
      <c r="C1136" s="130" t="s">
        <v>2760</v>
      </c>
      <c r="D1136">
        <v>9719</v>
      </c>
      <c r="E1136" s="130">
        <v>36078617</v>
      </c>
      <c r="F1136" t="s">
        <v>87</v>
      </c>
      <c r="G1136">
        <v>9135</v>
      </c>
      <c r="H1136" t="s">
        <v>8951</v>
      </c>
      <c r="I1136" s="130">
        <v>24</v>
      </c>
      <c r="J1136" t="s">
        <v>2760</v>
      </c>
      <c r="K1136" t="s">
        <v>108</v>
      </c>
      <c r="L1136" t="s">
        <v>191</v>
      </c>
      <c r="M1136" t="s">
        <v>130</v>
      </c>
      <c r="N1136" t="s">
        <v>98</v>
      </c>
      <c r="O1136" t="s">
        <v>1345</v>
      </c>
    </row>
    <row r="1137" spans="1:15" x14ac:dyDescent="0.3">
      <c r="A1137" s="130">
        <v>6054</v>
      </c>
      <c r="B1137" s="130">
        <v>30</v>
      </c>
      <c r="C1137" s="130" t="s">
        <v>2761</v>
      </c>
      <c r="D1137">
        <v>9720</v>
      </c>
      <c r="E1137" s="131">
        <v>4239328</v>
      </c>
      <c r="F1137" t="s">
        <v>87</v>
      </c>
      <c r="G1137">
        <v>9135</v>
      </c>
      <c r="H1137" t="s">
        <v>8952</v>
      </c>
      <c r="I1137" s="130">
        <v>19</v>
      </c>
      <c r="J1137" t="s">
        <v>2761</v>
      </c>
      <c r="K1137" t="s">
        <v>108</v>
      </c>
      <c r="L1137" t="s">
        <v>146</v>
      </c>
      <c r="M1137" t="s">
        <v>103</v>
      </c>
      <c r="N1137" t="s">
        <v>114</v>
      </c>
      <c r="O1137" t="s">
        <v>1345</v>
      </c>
    </row>
    <row r="1138" spans="1:15" x14ac:dyDescent="0.3">
      <c r="A1138" s="130">
        <v>6061</v>
      </c>
      <c r="B1138" s="130">
        <v>-1</v>
      </c>
      <c r="C1138" s="130" t="s">
        <v>2762</v>
      </c>
      <c r="D1138">
        <v>9727</v>
      </c>
      <c r="E1138" s="130">
        <v>8573695</v>
      </c>
      <c r="F1138" t="s">
        <v>87</v>
      </c>
      <c r="G1138">
        <v>9135</v>
      </c>
      <c r="H1138" t="s">
        <v>8953</v>
      </c>
      <c r="I1138" s="130">
        <v>19</v>
      </c>
      <c r="J1138" t="s">
        <v>2762</v>
      </c>
      <c r="K1138" t="s">
        <v>108</v>
      </c>
      <c r="L1138" t="s">
        <v>146</v>
      </c>
      <c r="M1138" t="s">
        <v>174</v>
      </c>
      <c r="N1138" t="s">
        <v>152</v>
      </c>
      <c r="O1138" t="s">
        <v>1345</v>
      </c>
    </row>
    <row r="1139" spans="1:15" x14ac:dyDescent="0.3">
      <c r="A1139" s="130">
        <v>6068</v>
      </c>
      <c r="B1139" s="130">
        <v>30</v>
      </c>
      <c r="C1139" s="130" t="s">
        <v>2763</v>
      </c>
      <c r="D1139">
        <v>9736</v>
      </c>
      <c r="E1139" s="130">
        <v>6081077</v>
      </c>
      <c r="F1139" t="s">
        <v>87</v>
      </c>
      <c r="G1139">
        <v>9135</v>
      </c>
      <c r="H1139" t="s">
        <v>8951</v>
      </c>
      <c r="I1139" s="130">
        <v>38</v>
      </c>
      <c r="J1139" t="s">
        <v>2763</v>
      </c>
      <c r="K1139" t="s">
        <v>108</v>
      </c>
      <c r="L1139" t="s">
        <v>126</v>
      </c>
      <c r="M1139" t="s">
        <v>103</v>
      </c>
      <c r="N1139" t="s">
        <v>101</v>
      </c>
      <c r="O1139" t="s">
        <v>1345</v>
      </c>
    </row>
    <row r="1140" spans="1:15" x14ac:dyDescent="0.3">
      <c r="A1140" s="130">
        <v>6069</v>
      </c>
      <c r="B1140" s="130">
        <v>18</v>
      </c>
      <c r="C1140" s="130" t="s">
        <v>2764</v>
      </c>
      <c r="D1140">
        <v>9739</v>
      </c>
      <c r="E1140" s="131">
        <v>9152907</v>
      </c>
      <c r="F1140" t="s">
        <v>87</v>
      </c>
      <c r="G1140">
        <v>9135</v>
      </c>
      <c r="H1140" t="s">
        <v>8952</v>
      </c>
      <c r="I1140" s="131">
        <v>19</v>
      </c>
      <c r="J1140" t="s">
        <v>2764</v>
      </c>
      <c r="K1140" t="s">
        <v>108</v>
      </c>
      <c r="L1140" t="s">
        <v>146</v>
      </c>
      <c r="M1140" t="s">
        <v>112</v>
      </c>
      <c r="N1140" t="s">
        <v>131</v>
      </c>
      <c r="O1140" t="s">
        <v>1345</v>
      </c>
    </row>
    <row r="1141" spans="1:15" x14ac:dyDescent="0.3">
      <c r="A1141" s="130">
        <v>6073</v>
      </c>
      <c r="B1141" s="130">
        <v>18</v>
      </c>
      <c r="C1141" s="130" t="s">
        <v>2765</v>
      </c>
      <c r="D1141">
        <v>9744</v>
      </c>
      <c r="E1141" s="130">
        <v>1425885</v>
      </c>
      <c r="F1141" t="s">
        <v>87</v>
      </c>
      <c r="G1141">
        <v>9135</v>
      </c>
      <c r="H1141" t="s">
        <v>8953</v>
      </c>
      <c r="I1141" s="130">
        <v>19</v>
      </c>
      <c r="J1141" t="s">
        <v>2765</v>
      </c>
      <c r="K1141" t="s">
        <v>108</v>
      </c>
      <c r="L1141" t="s">
        <v>146</v>
      </c>
      <c r="M1141" t="s">
        <v>112</v>
      </c>
      <c r="N1141" t="s">
        <v>98</v>
      </c>
      <c r="O1141" t="s">
        <v>1345</v>
      </c>
    </row>
    <row r="1142" spans="1:15" x14ac:dyDescent="0.3">
      <c r="A1142" s="130">
        <v>6076</v>
      </c>
      <c r="B1142" s="130">
        <v>21</v>
      </c>
      <c r="C1142" s="130" t="s">
        <v>2766</v>
      </c>
      <c r="D1142">
        <v>9749</v>
      </c>
      <c r="E1142" s="130">
        <v>10558895</v>
      </c>
      <c r="F1142" t="s">
        <v>87</v>
      </c>
      <c r="G1142">
        <v>9135</v>
      </c>
      <c r="H1142" t="s">
        <v>8951</v>
      </c>
      <c r="I1142" s="130">
        <v>37</v>
      </c>
      <c r="J1142" t="s">
        <v>2766</v>
      </c>
      <c r="K1142" t="s">
        <v>95</v>
      </c>
      <c r="L1142" t="s">
        <v>138</v>
      </c>
      <c r="M1142" t="s">
        <v>137</v>
      </c>
      <c r="N1142" t="s">
        <v>98</v>
      </c>
      <c r="O1142" t="s">
        <v>1345</v>
      </c>
    </row>
    <row r="1143" spans="1:15" x14ac:dyDescent="0.3">
      <c r="A1143" s="130">
        <v>6077</v>
      </c>
      <c r="B1143" s="130">
        <v>-1</v>
      </c>
      <c r="C1143" s="130" t="s">
        <v>2767</v>
      </c>
      <c r="D1143">
        <v>9751</v>
      </c>
      <c r="E1143" s="130">
        <v>14506958</v>
      </c>
      <c r="F1143" t="s">
        <v>87</v>
      </c>
      <c r="G1143">
        <v>9135</v>
      </c>
      <c r="H1143" t="s">
        <v>8952</v>
      </c>
      <c r="I1143" s="130">
        <v>26</v>
      </c>
      <c r="J1143" t="s">
        <v>2767</v>
      </c>
      <c r="K1143" t="s">
        <v>108</v>
      </c>
      <c r="L1143" t="s">
        <v>151</v>
      </c>
      <c r="M1143" t="s">
        <v>174</v>
      </c>
      <c r="N1143" t="s">
        <v>152</v>
      </c>
      <c r="O1143" t="s">
        <v>1345</v>
      </c>
    </row>
    <row r="1144" spans="1:15" x14ac:dyDescent="0.3">
      <c r="A1144" s="130">
        <v>6082</v>
      </c>
      <c r="B1144" s="130">
        <v>21</v>
      </c>
      <c r="C1144" s="130" t="s">
        <v>2768</v>
      </c>
      <c r="D1144">
        <v>9761</v>
      </c>
      <c r="E1144" s="130">
        <v>9120837</v>
      </c>
      <c r="F1144" t="s">
        <v>87</v>
      </c>
      <c r="G1144">
        <v>9135</v>
      </c>
      <c r="H1144" t="s">
        <v>8953</v>
      </c>
      <c r="I1144" s="130">
        <v>10</v>
      </c>
      <c r="J1144" t="s">
        <v>2768</v>
      </c>
      <c r="K1144" t="s">
        <v>108</v>
      </c>
      <c r="L1144" t="s">
        <v>127</v>
      </c>
      <c r="M1144" t="s">
        <v>137</v>
      </c>
      <c r="N1144" t="s">
        <v>104</v>
      </c>
      <c r="O1144" t="s">
        <v>1345</v>
      </c>
    </row>
    <row r="1145" spans="1:15" x14ac:dyDescent="0.3">
      <c r="A1145" s="130">
        <v>6083</v>
      </c>
      <c r="B1145" s="130">
        <v>-1</v>
      </c>
      <c r="C1145" s="130" t="s">
        <v>2769</v>
      </c>
      <c r="D1145">
        <v>9763</v>
      </c>
      <c r="E1145" s="130">
        <v>16794306</v>
      </c>
      <c r="F1145" t="s">
        <v>87</v>
      </c>
      <c r="G1145">
        <v>9135</v>
      </c>
      <c r="H1145" t="s">
        <v>8951</v>
      </c>
      <c r="I1145" s="130">
        <v>19</v>
      </c>
      <c r="J1145" t="s">
        <v>2769</v>
      </c>
      <c r="K1145" t="s">
        <v>108</v>
      </c>
      <c r="L1145" t="s">
        <v>146</v>
      </c>
      <c r="M1145" t="s">
        <v>174</v>
      </c>
      <c r="N1145" t="s">
        <v>152</v>
      </c>
      <c r="O1145" t="s">
        <v>1345</v>
      </c>
    </row>
    <row r="1146" spans="1:15" x14ac:dyDescent="0.3">
      <c r="A1146" s="130">
        <v>6085</v>
      </c>
      <c r="B1146" s="130">
        <v>-1</v>
      </c>
      <c r="C1146" s="130" t="s">
        <v>2770</v>
      </c>
      <c r="D1146">
        <v>9766</v>
      </c>
      <c r="E1146" s="130">
        <v>3044772</v>
      </c>
      <c r="F1146" t="s">
        <v>87</v>
      </c>
      <c r="G1146">
        <v>9135</v>
      </c>
      <c r="H1146" t="s">
        <v>8952</v>
      </c>
      <c r="I1146" s="131">
        <v>3</v>
      </c>
      <c r="J1146" t="s">
        <v>2770</v>
      </c>
      <c r="K1146" t="s">
        <v>108</v>
      </c>
      <c r="L1146" t="s">
        <v>111</v>
      </c>
      <c r="M1146" t="s">
        <v>174</v>
      </c>
      <c r="N1146" t="s">
        <v>98</v>
      </c>
      <c r="O1146" t="s">
        <v>1345</v>
      </c>
    </row>
    <row r="1147" spans="1:15" x14ac:dyDescent="0.3">
      <c r="A1147" s="130">
        <v>6087</v>
      </c>
      <c r="B1147" s="130">
        <v>-1</v>
      </c>
      <c r="C1147" s="130" t="s">
        <v>2771</v>
      </c>
      <c r="D1147">
        <v>9768</v>
      </c>
      <c r="E1147" s="130">
        <v>16794306</v>
      </c>
      <c r="F1147" t="s">
        <v>87</v>
      </c>
      <c r="G1147">
        <v>9135</v>
      </c>
      <c r="H1147" t="s">
        <v>8953</v>
      </c>
      <c r="I1147" s="130">
        <v>40</v>
      </c>
      <c r="J1147" t="s">
        <v>2771</v>
      </c>
      <c r="K1147" t="s">
        <v>108</v>
      </c>
      <c r="L1147" t="s">
        <v>146</v>
      </c>
      <c r="M1147" t="s">
        <v>1263</v>
      </c>
      <c r="N1147" t="s">
        <v>152</v>
      </c>
      <c r="O1147" t="s">
        <v>1345</v>
      </c>
    </row>
    <row r="1148" spans="1:15" x14ac:dyDescent="0.3">
      <c r="A1148" s="130">
        <v>6088</v>
      </c>
      <c r="B1148" s="130">
        <v>21</v>
      </c>
      <c r="C1148" s="130" t="s">
        <v>2772</v>
      </c>
      <c r="D1148">
        <v>8503</v>
      </c>
      <c r="E1148" s="131">
        <v>1899414</v>
      </c>
      <c r="F1148" t="s">
        <v>87</v>
      </c>
      <c r="G1148">
        <v>9135</v>
      </c>
      <c r="H1148" t="s">
        <v>8951</v>
      </c>
      <c r="I1148" s="131">
        <v>10</v>
      </c>
      <c r="J1148" t="s">
        <v>2772</v>
      </c>
      <c r="K1148" t="s">
        <v>108</v>
      </c>
      <c r="L1148" t="s">
        <v>127</v>
      </c>
      <c r="M1148" t="s">
        <v>137</v>
      </c>
      <c r="N1148" t="s">
        <v>118</v>
      </c>
      <c r="O1148" t="s">
        <v>116</v>
      </c>
    </row>
    <row r="1149" spans="1:15" x14ac:dyDescent="0.3">
      <c r="A1149" s="130">
        <v>6093</v>
      </c>
      <c r="B1149" s="130">
        <v>18</v>
      </c>
      <c r="C1149" s="130" t="s">
        <v>2773</v>
      </c>
      <c r="D1149">
        <v>9778</v>
      </c>
      <c r="E1149" s="130">
        <v>60863404</v>
      </c>
      <c r="F1149" t="s">
        <v>87</v>
      </c>
      <c r="G1149">
        <v>9135</v>
      </c>
      <c r="H1149" t="s">
        <v>8952</v>
      </c>
      <c r="I1149" s="130">
        <v>3</v>
      </c>
      <c r="J1149" t="s">
        <v>2773</v>
      </c>
      <c r="K1149" t="s">
        <v>108</v>
      </c>
      <c r="L1149" t="s">
        <v>111</v>
      </c>
      <c r="M1149" t="s">
        <v>112</v>
      </c>
      <c r="N1149" t="s">
        <v>98</v>
      </c>
      <c r="O1149" t="s">
        <v>1345</v>
      </c>
    </row>
    <row r="1150" spans="1:15" x14ac:dyDescent="0.3">
      <c r="A1150" s="130">
        <v>6094</v>
      </c>
      <c r="B1150" s="130">
        <v>30</v>
      </c>
      <c r="C1150" s="130" t="s">
        <v>2774</v>
      </c>
      <c r="D1150">
        <v>9779</v>
      </c>
      <c r="E1150" s="130">
        <v>37490799</v>
      </c>
      <c r="F1150" t="s">
        <v>87</v>
      </c>
      <c r="G1150">
        <v>9135</v>
      </c>
      <c r="H1150" t="s">
        <v>8953</v>
      </c>
      <c r="I1150" s="131">
        <v>19</v>
      </c>
      <c r="J1150" t="s">
        <v>2774</v>
      </c>
      <c r="K1150" t="s">
        <v>95</v>
      </c>
      <c r="L1150" t="s">
        <v>146</v>
      </c>
      <c r="M1150" t="s">
        <v>103</v>
      </c>
      <c r="N1150" t="s">
        <v>98</v>
      </c>
      <c r="O1150" t="s">
        <v>1345</v>
      </c>
    </row>
    <row r="1151" spans="1:15" x14ac:dyDescent="0.3">
      <c r="A1151" s="130">
        <v>6097</v>
      </c>
      <c r="B1151" s="130">
        <v>-1</v>
      </c>
      <c r="C1151" s="130" t="s">
        <v>2775</v>
      </c>
      <c r="D1151">
        <v>9782</v>
      </c>
      <c r="E1151" s="130">
        <v>7792949</v>
      </c>
      <c r="F1151" t="s">
        <v>87</v>
      </c>
      <c r="G1151">
        <v>9135</v>
      </c>
      <c r="H1151" t="s">
        <v>8951</v>
      </c>
      <c r="I1151" s="130">
        <v>9</v>
      </c>
      <c r="J1151" t="s">
        <v>2775</v>
      </c>
      <c r="K1151" t="s">
        <v>108</v>
      </c>
      <c r="L1151" t="s">
        <v>163</v>
      </c>
      <c r="M1151" t="s">
        <v>174</v>
      </c>
      <c r="N1151" t="s">
        <v>98</v>
      </c>
      <c r="O1151" t="s">
        <v>116</v>
      </c>
    </row>
    <row r="1152" spans="1:15" x14ac:dyDescent="0.3">
      <c r="A1152" s="130">
        <v>6099</v>
      </c>
      <c r="B1152" s="130">
        <v>18</v>
      </c>
      <c r="C1152" s="130" t="s">
        <v>2776</v>
      </c>
      <c r="D1152">
        <v>9783</v>
      </c>
      <c r="E1152" s="130">
        <v>761987746</v>
      </c>
      <c r="F1152" t="s">
        <v>87</v>
      </c>
      <c r="G1152">
        <v>9135</v>
      </c>
      <c r="H1152" t="s">
        <v>8952</v>
      </c>
      <c r="I1152" s="130">
        <v>9</v>
      </c>
      <c r="J1152" t="s">
        <v>2776</v>
      </c>
      <c r="K1152" t="s">
        <v>108</v>
      </c>
      <c r="L1152" t="s">
        <v>125</v>
      </c>
      <c r="M1152" t="s">
        <v>112</v>
      </c>
      <c r="N1152" t="s">
        <v>110</v>
      </c>
      <c r="O1152" t="s">
        <v>1345</v>
      </c>
    </row>
    <row r="1153" spans="1:15" x14ac:dyDescent="0.3">
      <c r="A1153" s="130">
        <v>6102</v>
      </c>
      <c r="B1153" s="130">
        <v>30</v>
      </c>
      <c r="C1153" s="130" t="s">
        <v>2777</v>
      </c>
      <c r="D1153">
        <v>9786</v>
      </c>
      <c r="E1153" s="130">
        <v>8343492</v>
      </c>
      <c r="F1153" t="s">
        <v>87</v>
      </c>
      <c r="G1153">
        <v>9135</v>
      </c>
      <c r="H1153" t="s">
        <v>8953</v>
      </c>
      <c r="I1153" s="130">
        <v>37</v>
      </c>
      <c r="J1153" t="s">
        <v>2777</v>
      </c>
      <c r="K1153" t="s">
        <v>95</v>
      </c>
      <c r="L1153" t="s">
        <v>138</v>
      </c>
      <c r="M1153" t="s">
        <v>103</v>
      </c>
      <c r="N1153" t="s">
        <v>98</v>
      </c>
      <c r="O1153" t="s">
        <v>1345</v>
      </c>
    </row>
    <row r="1154" spans="1:15" x14ac:dyDescent="0.3">
      <c r="A1154" s="130">
        <v>6104</v>
      </c>
      <c r="B1154" s="130">
        <v>30</v>
      </c>
      <c r="C1154" s="130" t="s">
        <v>2778</v>
      </c>
      <c r="D1154">
        <v>9789</v>
      </c>
      <c r="E1154" s="130">
        <v>34692778</v>
      </c>
      <c r="F1154" t="s">
        <v>87</v>
      </c>
      <c r="G1154">
        <v>77</v>
      </c>
      <c r="H1154" t="s">
        <v>8951</v>
      </c>
      <c r="I1154" s="131">
        <v>18</v>
      </c>
      <c r="J1154" t="s">
        <v>2778</v>
      </c>
      <c r="K1154" t="s">
        <v>95</v>
      </c>
      <c r="L1154" t="s">
        <v>204</v>
      </c>
      <c r="M1154" t="s">
        <v>103</v>
      </c>
      <c r="N1154" t="s">
        <v>98</v>
      </c>
      <c r="O1154" t="s">
        <v>116</v>
      </c>
    </row>
    <row r="1155" spans="1:15" x14ac:dyDescent="0.3">
      <c r="A1155" s="130">
        <v>6107</v>
      </c>
      <c r="B1155" s="130">
        <v>30</v>
      </c>
      <c r="C1155" s="130" t="s">
        <v>2779</v>
      </c>
      <c r="D1155">
        <v>9791</v>
      </c>
      <c r="E1155" s="130">
        <v>33000167</v>
      </c>
      <c r="F1155" t="s">
        <v>87</v>
      </c>
      <c r="G1155">
        <v>358</v>
      </c>
      <c r="H1155" t="s">
        <v>8952</v>
      </c>
      <c r="I1155" s="130">
        <v>24</v>
      </c>
      <c r="J1155" t="s">
        <v>2779</v>
      </c>
      <c r="K1155" t="s">
        <v>95</v>
      </c>
      <c r="L1155" t="s">
        <v>102</v>
      </c>
      <c r="M1155" t="s">
        <v>103</v>
      </c>
      <c r="N1155" t="s">
        <v>114</v>
      </c>
      <c r="O1155" t="s">
        <v>1345</v>
      </c>
    </row>
    <row r="1156" spans="1:15" x14ac:dyDescent="0.3">
      <c r="A1156" s="130">
        <v>6112</v>
      </c>
      <c r="B1156" s="130">
        <v>30</v>
      </c>
      <c r="C1156" s="130" t="s">
        <v>2780</v>
      </c>
      <c r="D1156">
        <v>9796</v>
      </c>
      <c r="E1156" s="130">
        <v>33000167</v>
      </c>
      <c r="F1156" t="s">
        <v>87</v>
      </c>
      <c r="G1156">
        <v>358</v>
      </c>
      <c r="H1156" t="s">
        <v>8953</v>
      </c>
      <c r="I1156" s="130">
        <v>24</v>
      </c>
      <c r="J1156" t="s">
        <v>2780</v>
      </c>
      <c r="K1156" t="s">
        <v>95</v>
      </c>
      <c r="L1156" t="s">
        <v>102</v>
      </c>
      <c r="M1156" t="s">
        <v>103</v>
      </c>
      <c r="N1156" t="s">
        <v>114</v>
      </c>
      <c r="O1156" t="s">
        <v>1345</v>
      </c>
    </row>
    <row r="1157" spans="1:15" x14ac:dyDescent="0.3">
      <c r="A1157" s="130">
        <v>6113</v>
      </c>
      <c r="B1157" s="130">
        <v>18</v>
      </c>
      <c r="C1157" s="130" t="s">
        <v>2781</v>
      </c>
      <c r="D1157">
        <v>9798</v>
      </c>
      <c r="E1157" s="130">
        <v>76520758</v>
      </c>
      <c r="F1157" t="s">
        <v>87</v>
      </c>
      <c r="G1157">
        <v>9135</v>
      </c>
      <c r="H1157" t="s">
        <v>8951</v>
      </c>
      <c r="I1157" s="130">
        <v>3</v>
      </c>
      <c r="J1157" t="s">
        <v>2781</v>
      </c>
      <c r="K1157" t="s">
        <v>108</v>
      </c>
      <c r="L1157" t="s">
        <v>111</v>
      </c>
      <c r="M1157" t="s">
        <v>112</v>
      </c>
      <c r="N1157" t="s">
        <v>98</v>
      </c>
      <c r="O1157" t="s">
        <v>1345</v>
      </c>
    </row>
    <row r="1158" spans="1:15" x14ac:dyDescent="0.3">
      <c r="A1158" s="130">
        <v>6115</v>
      </c>
      <c r="B1158" s="130">
        <v>18</v>
      </c>
      <c r="C1158" s="130" t="s">
        <v>2782</v>
      </c>
      <c r="D1158">
        <v>9801</v>
      </c>
      <c r="E1158" s="130">
        <v>17162983</v>
      </c>
      <c r="F1158" t="s">
        <v>87</v>
      </c>
      <c r="G1158">
        <v>9135</v>
      </c>
      <c r="H1158" t="s">
        <v>8952</v>
      </c>
      <c r="I1158" s="131">
        <v>26</v>
      </c>
      <c r="J1158" t="s">
        <v>2782</v>
      </c>
      <c r="K1158" t="s">
        <v>95</v>
      </c>
      <c r="L1158" t="s">
        <v>151</v>
      </c>
      <c r="M1158" t="s">
        <v>112</v>
      </c>
      <c r="N1158" t="s">
        <v>98</v>
      </c>
      <c r="O1158" t="s">
        <v>1345</v>
      </c>
    </row>
    <row r="1159" spans="1:15" x14ac:dyDescent="0.3">
      <c r="A1159" s="130">
        <v>6119</v>
      </c>
      <c r="B1159" s="130">
        <v>-1</v>
      </c>
      <c r="C1159" s="130" t="s">
        <v>2783</v>
      </c>
      <c r="D1159">
        <v>9805</v>
      </c>
      <c r="E1159" s="131">
        <v>27452733</v>
      </c>
      <c r="F1159" t="s">
        <v>87</v>
      </c>
      <c r="G1159">
        <v>9135</v>
      </c>
      <c r="H1159" t="s">
        <v>8953</v>
      </c>
      <c r="I1159" s="130">
        <v>19</v>
      </c>
      <c r="J1159" t="s">
        <v>2783</v>
      </c>
      <c r="K1159" t="s">
        <v>108</v>
      </c>
      <c r="L1159" t="s">
        <v>146</v>
      </c>
      <c r="M1159" t="s">
        <v>174</v>
      </c>
      <c r="N1159" t="s">
        <v>114</v>
      </c>
      <c r="O1159" t="s">
        <v>116</v>
      </c>
    </row>
    <row r="1160" spans="1:15" x14ac:dyDescent="0.3">
      <c r="A1160" s="130">
        <v>6121</v>
      </c>
      <c r="B1160" s="130">
        <v>-1</v>
      </c>
      <c r="C1160" s="130" t="s">
        <v>2784</v>
      </c>
      <c r="D1160">
        <v>9806</v>
      </c>
      <c r="E1160" s="131">
        <v>7660272</v>
      </c>
      <c r="F1160" t="s">
        <v>87</v>
      </c>
      <c r="G1160">
        <v>9135</v>
      </c>
      <c r="H1160" t="s">
        <v>8951</v>
      </c>
      <c r="I1160" s="130">
        <v>26</v>
      </c>
      <c r="J1160" t="s">
        <v>2784</v>
      </c>
      <c r="K1160" t="s">
        <v>108</v>
      </c>
      <c r="L1160" t="s">
        <v>151</v>
      </c>
      <c r="M1160" t="s">
        <v>174</v>
      </c>
      <c r="N1160" t="s">
        <v>98</v>
      </c>
      <c r="O1160" t="s">
        <v>1345</v>
      </c>
    </row>
    <row r="1161" spans="1:15" x14ac:dyDescent="0.3">
      <c r="A1161" s="130">
        <v>6122</v>
      </c>
      <c r="B1161" s="130">
        <v>60</v>
      </c>
      <c r="C1161" s="130" t="s">
        <v>2785</v>
      </c>
      <c r="D1161">
        <v>9814</v>
      </c>
      <c r="E1161" s="131">
        <v>9625762</v>
      </c>
      <c r="F1161" t="s">
        <v>87</v>
      </c>
      <c r="G1161">
        <v>78</v>
      </c>
      <c r="H1161" t="s">
        <v>8952</v>
      </c>
      <c r="I1161" s="130">
        <v>43</v>
      </c>
      <c r="J1161" t="s">
        <v>2785</v>
      </c>
      <c r="K1161" t="s">
        <v>95</v>
      </c>
      <c r="L1161" t="s">
        <v>111</v>
      </c>
      <c r="M1161" t="s">
        <v>97</v>
      </c>
      <c r="N1161" t="s">
        <v>150</v>
      </c>
      <c r="O1161" t="s">
        <v>1345</v>
      </c>
    </row>
    <row r="1162" spans="1:15" x14ac:dyDescent="0.3">
      <c r="A1162" s="130">
        <v>6125</v>
      </c>
      <c r="B1162" s="130">
        <v>10</v>
      </c>
      <c r="C1162" s="130" t="s">
        <v>2786</v>
      </c>
      <c r="D1162">
        <v>9818</v>
      </c>
      <c r="E1162" s="130">
        <v>4311533</v>
      </c>
      <c r="F1162" t="s">
        <v>87</v>
      </c>
      <c r="G1162">
        <v>9135</v>
      </c>
      <c r="H1162" t="s">
        <v>8953</v>
      </c>
      <c r="I1162" s="130">
        <v>3</v>
      </c>
      <c r="J1162" t="s">
        <v>2786</v>
      </c>
      <c r="K1162" t="s">
        <v>108</v>
      </c>
      <c r="L1162" t="s">
        <v>111</v>
      </c>
      <c r="M1162" t="s">
        <v>133</v>
      </c>
      <c r="N1162" t="s">
        <v>118</v>
      </c>
      <c r="O1162" t="s">
        <v>1345</v>
      </c>
    </row>
    <row r="1163" spans="1:15" x14ac:dyDescent="0.3">
      <c r="A1163" s="130">
        <v>6132</v>
      </c>
      <c r="B1163" s="130">
        <v>30</v>
      </c>
      <c r="C1163" s="130" t="s">
        <v>2787</v>
      </c>
      <c r="D1163">
        <v>9825</v>
      </c>
      <c r="E1163" s="130">
        <v>33158874</v>
      </c>
      <c r="F1163" t="s">
        <v>87</v>
      </c>
      <c r="G1163">
        <v>358</v>
      </c>
      <c r="H1163" t="s">
        <v>8951</v>
      </c>
      <c r="I1163" s="131">
        <v>3</v>
      </c>
      <c r="J1163" t="s">
        <v>2787</v>
      </c>
      <c r="K1163" t="s">
        <v>95</v>
      </c>
      <c r="L1163" t="s">
        <v>109</v>
      </c>
      <c r="M1163" t="s">
        <v>103</v>
      </c>
      <c r="N1163" t="s">
        <v>98</v>
      </c>
      <c r="O1163" t="s">
        <v>1345</v>
      </c>
    </row>
    <row r="1164" spans="1:15" x14ac:dyDescent="0.3">
      <c r="A1164" s="130">
        <v>6137</v>
      </c>
      <c r="B1164" s="130">
        <v>15</v>
      </c>
      <c r="C1164" s="130" t="s">
        <v>2788</v>
      </c>
      <c r="D1164">
        <v>9835</v>
      </c>
      <c r="E1164" s="131">
        <v>5427215</v>
      </c>
      <c r="F1164" t="s">
        <v>87</v>
      </c>
      <c r="G1164">
        <v>358</v>
      </c>
      <c r="H1164" t="s">
        <v>8952</v>
      </c>
      <c r="I1164" s="130">
        <v>10</v>
      </c>
      <c r="J1164" t="s">
        <v>2788</v>
      </c>
      <c r="K1164" t="s">
        <v>108</v>
      </c>
      <c r="L1164" t="s">
        <v>127</v>
      </c>
      <c r="M1164" t="s">
        <v>145</v>
      </c>
      <c r="N1164" t="s">
        <v>101</v>
      </c>
      <c r="O1164" t="s">
        <v>1345</v>
      </c>
    </row>
    <row r="1165" spans="1:15" x14ac:dyDescent="0.3">
      <c r="A1165" s="130">
        <v>6138</v>
      </c>
      <c r="B1165" s="130">
        <v>30</v>
      </c>
      <c r="C1165" s="130" t="s">
        <v>2789</v>
      </c>
      <c r="D1165">
        <v>9836</v>
      </c>
      <c r="E1165" s="130">
        <v>33000167</v>
      </c>
      <c r="F1165" t="s">
        <v>87</v>
      </c>
      <c r="G1165">
        <v>358</v>
      </c>
      <c r="H1165" t="s">
        <v>8953</v>
      </c>
      <c r="I1165" s="130">
        <v>24</v>
      </c>
      <c r="J1165" t="s">
        <v>2789</v>
      </c>
      <c r="K1165" t="s">
        <v>95</v>
      </c>
      <c r="L1165" t="s">
        <v>102</v>
      </c>
      <c r="M1165" t="s">
        <v>103</v>
      </c>
      <c r="N1165" t="s">
        <v>114</v>
      </c>
      <c r="O1165" t="s">
        <v>1345</v>
      </c>
    </row>
    <row r="1166" spans="1:15" x14ac:dyDescent="0.3">
      <c r="A1166" s="130">
        <v>6147</v>
      </c>
      <c r="B1166" s="130">
        <v>18</v>
      </c>
      <c r="C1166" s="130" t="s">
        <v>2790</v>
      </c>
      <c r="D1166">
        <v>9854</v>
      </c>
      <c r="E1166" s="130">
        <v>545355</v>
      </c>
      <c r="F1166" t="s">
        <v>87</v>
      </c>
      <c r="G1166">
        <v>9135</v>
      </c>
      <c r="H1166" t="s">
        <v>8951</v>
      </c>
      <c r="I1166" s="130">
        <v>19</v>
      </c>
      <c r="J1166" t="s">
        <v>2790</v>
      </c>
      <c r="K1166" t="s">
        <v>108</v>
      </c>
      <c r="L1166" t="s">
        <v>146</v>
      </c>
      <c r="M1166" t="s">
        <v>112</v>
      </c>
      <c r="N1166" t="s">
        <v>98</v>
      </c>
      <c r="O1166" t="s">
        <v>1345</v>
      </c>
    </row>
    <row r="1167" spans="1:15" x14ac:dyDescent="0.3">
      <c r="A1167" s="130">
        <v>6149</v>
      </c>
      <c r="B1167" s="130">
        <v>30</v>
      </c>
      <c r="C1167" s="130" t="s">
        <v>2791</v>
      </c>
      <c r="D1167">
        <v>9858</v>
      </c>
      <c r="E1167" s="131">
        <v>10349312</v>
      </c>
      <c r="F1167" t="s">
        <v>87</v>
      </c>
      <c r="G1167">
        <v>77</v>
      </c>
      <c r="H1167" t="s">
        <v>8952</v>
      </c>
      <c r="I1167" s="130">
        <v>3</v>
      </c>
      <c r="J1167" t="s">
        <v>2791</v>
      </c>
      <c r="K1167" t="s">
        <v>95</v>
      </c>
      <c r="L1167" t="s">
        <v>117</v>
      </c>
      <c r="M1167" t="s">
        <v>103</v>
      </c>
      <c r="N1167" t="s">
        <v>98</v>
      </c>
      <c r="O1167" t="s">
        <v>1345</v>
      </c>
    </row>
    <row r="1168" spans="1:15" x14ac:dyDescent="0.3">
      <c r="A1168" s="130">
        <v>6158</v>
      </c>
      <c r="B1168" s="130">
        <v>90</v>
      </c>
      <c r="C1168" s="130" t="s">
        <v>2792</v>
      </c>
      <c r="D1168">
        <v>9873</v>
      </c>
      <c r="E1168" s="131">
        <v>655209</v>
      </c>
      <c r="F1168" t="s">
        <v>87</v>
      </c>
      <c r="G1168">
        <v>9135</v>
      </c>
      <c r="H1168" t="s">
        <v>8953</v>
      </c>
      <c r="I1168" s="130">
        <v>9</v>
      </c>
      <c r="J1168" t="s">
        <v>2792</v>
      </c>
      <c r="K1168" t="s">
        <v>95</v>
      </c>
      <c r="L1168" t="s">
        <v>163</v>
      </c>
      <c r="M1168" t="s">
        <v>170</v>
      </c>
      <c r="N1168" t="s">
        <v>114</v>
      </c>
      <c r="O1168" t="s">
        <v>116</v>
      </c>
    </row>
    <row r="1169" spans="1:15" x14ac:dyDescent="0.3">
      <c r="A1169" s="130">
        <v>6164</v>
      </c>
      <c r="B1169" s="130">
        <v>10</v>
      </c>
      <c r="C1169" s="130" t="s">
        <v>2793</v>
      </c>
      <c r="D1169">
        <v>9874</v>
      </c>
      <c r="E1169" s="130">
        <v>3887613</v>
      </c>
      <c r="F1169" t="s">
        <v>87</v>
      </c>
      <c r="G1169">
        <v>9135</v>
      </c>
      <c r="H1169" t="s">
        <v>8951</v>
      </c>
      <c r="I1169" s="131">
        <v>3</v>
      </c>
      <c r="J1169" t="s">
        <v>2793</v>
      </c>
      <c r="K1169" t="s">
        <v>108</v>
      </c>
      <c r="L1169" t="s">
        <v>111</v>
      </c>
      <c r="M1169" t="s">
        <v>133</v>
      </c>
      <c r="N1169" t="s">
        <v>98</v>
      </c>
      <c r="O1169" t="s">
        <v>1345</v>
      </c>
    </row>
    <row r="1170" spans="1:15" x14ac:dyDescent="0.3">
      <c r="A1170" s="130">
        <v>6169</v>
      </c>
      <c r="B1170" s="130">
        <v>10</v>
      </c>
      <c r="C1170" s="130" t="s">
        <v>2794</v>
      </c>
      <c r="D1170">
        <v>9879</v>
      </c>
      <c r="E1170" s="131">
        <v>23117229</v>
      </c>
      <c r="F1170" t="s">
        <v>87</v>
      </c>
      <c r="G1170">
        <v>358</v>
      </c>
      <c r="H1170" t="s">
        <v>8952</v>
      </c>
      <c r="I1170" s="131">
        <v>3</v>
      </c>
      <c r="J1170" t="s">
        <v>2794</v>
      </c>
      <c r="K1170" t="s">
        <v>108</v>
      </c>
      <c r="L1170" t="s">
        <v>109</v>
      </c>
      <c r="M1170" t="s">
        <v>133</v>
      </c>
      <c r="N1170" t="s">
        <v>114</v>
      </c>
      <c r="O1170" t="s">
        <v>1345</v>
      </c>
    </row>
    <row r="1171" spans="1:15" x14ac:dyDescent="0.3">
      <c r="A1171" s="130">
        <v>6174</v>
      </c>
      <c r="B1171" s="130">
        <v>18</v>
      </c>
      <c r="C1171" s="130" t="s">
        <v>2795</v>
      </c>
      <c r="D1171">
        <v>9886</v>
      </c>
      <c r="E1171" s="131">
        <v>13718452</v>
      </c>
      <c r="F1171" t="s">
        <v>87</v>
      </c>
      <c r="G1171">
        <v>9135</v>
      </c>
      <c r="H1171" t="s">
        <v>8953</v>
      </c>
      <c r="I1171" s="131">
        <v>37</v>
      </c>
      <c r="J1171" t="s">
        <v>2795</v>
      </c>
      <c r="K1171" t="s">
        <v>95</v>
      </c>
      <c r="L1171" t="s">
        <v>138</v>
      </c>
      <c r="M1171" t="s">
        <v>112</v>
      </c>
      <c r="N1171" t="s">
        <v>101</v>
      </c>
      <c r="O1171" t="s">
        <v>1345</v>
      </c>
    </row>
    <row r="1172" spans="1:15" x14ac:dyDescent="0.3">
      <c r="A1172" s="130">
        <v>6175</v>
      </c>
      <c r="B1172" s="130">
        <v>28</v>
      </c>
      <c r="C1172" s="130" t="s">
        <v>2796</v>
      </c>
      <c r="D1172">
        <v>9890</v>
      </c>
      <c r="E1172" s="130">
        <v>21062047</v>
      </c>
      <c r="F1172" t="s">
        <v>87</v>
      </c>
      <c r="G1172">
        <v>358</v>
      </c>
      <c r="H1172" t="s">
        <v>8951</v>
      </c>
      <c r="I1172" s="130">
        <v>3</v>
      </c>
      <c r="J1172" t="s">
        <v>2796</v>
      </c>
      <c r="K1172" t="s">
        <v>95</v>
      </c>
      <c r="L1172" t="s">
        <v>109</v>
      </c>
      <c r="M1172" t="s">
        <v>130</v>
      </c>
      <c r="N1172" t="s">
        <v>98</v>
      </c>
      <c r="O1172" t="s">
        <v>1345</v>
      </c>
    </row>
    <row r="1173" spans="1:15" x14ac:dyDescent="0.3">
      <c r="A1173" s="130">
        <v>6181</v>
      </c>
      <c r="B1173" s="130">
        <v>10</v>
      </c>
      <c r="C1173" s="130" t="s">
        <v>2797</v>
      </c>
      <c r="D1173">
        <v>9846</v>
      </c>
      <c r="E1173" s="130">
        <v>5515245</v>
      </c>
      <c r="F1173" t="s">
        <v>87</v>
      </c>
      <c r="G1173">
        <v>9135</v>
      </c>
      <c r="H1173" t="s">
        <v>8952</v>
      </c>
      <c r="I1173" s="130">
        <v>3</v>
      </c>
      <c r="J1173" t="s">
        <v>2797</v>
      </c>
      <c r="K1173" t="s">
        <v>108</v>
      </c>
      <c r="L1173" t="s">
        <v>109</v>
      </c>
      <c r="M1173" t="s">
        <v>133</v>
      </c>
      <c r="N1173" t="s">
        <v>98</v>
      </c>
      <c r="O1173" t="s">
        <v>1345</v>
      </c>
    </row>
    <row r="1174" spans="1:15" x14ac:dyDescent="0.3">
      <c r="A1174" s="130">
        <v>6184</v>
      </c>
      <c r="B1174" s="130">
        <v>30</v>
      </c>
      <c r="C1174" s="130" t="s">
        <v>2798</v>
      </c>
      <c r="D1174">
        <v>9908</v>
      </c>
      <c r="E1174" s="130">
        <v>25566035</v>
      </c>
      <c r="F1174" t="s">
        <v>87</v>
      </c>
      <c r="G1174">
        <v>358</v>
      </c>
      <c r="H1174" t="s">
        <v>8953</v>
      </c>
      <c r="I1174" s="131">
        <v>3</v>
      </c>
      <c r="J1174" t="s">
        <v>2798</v>
      </c>
      <c r="K1174" t="s">
        <v>95</v>
      </c>
      <c r="L1174" t="s">
        <v>105</v>
      </c>
      <c r="M1174" t="s">
        <v>103</v>
      </c>
      <c r="N1174" t="s">
        <v>98</v>
      </c>
      <c r="O1174" t="s">
        <v>1345</v>
      </c>
    </row>
    <row r="1175" spans="1:15" x14ac:dyDescent="0.3">
      <c r="A1175" s="130">
        <v>6188</v>
      </c>
      <c r="B1175" s="130">
        <v>18</v>
      </c>
      <c r="C1175" s="130" t="s">
        <v>2799</v>
      </c>
      <c r="D1175">
        <v>9912</v>
      </c>
      <c r="E1175" s="131">
        <v>3584565</v>
      </c>
      <c r="F1175" t="s">
        <v>87</v>
      </c>
      <c r="G1175">
        <v>9135</v>
      </c>
      <c r="H1175" t="s">
        <v>8951</v>
      </c>
      <c r="I1175" s="131">
        <v>3</v>
      </c>
      <c r="J1175" t="s">
        <v>2799</v>
      </c>
      <c r="K1175" t="s">
        <v>108</v>
      </c>
      <c r="L1175" t="s">
        <v>111</v>
      </c>
      <c r="M1175" t="s">
        <v>112</v>
      </c>
      <c r="N1175" t="s">
        <v>98</v>
      </c>
      <c r="O1175" t="s">
        <v>1345</v>
      </c>
    </row>
    <row r="1176" spans="1:15" x14ac:dyDescent="0.3">
      <c r="A1176" s="130">
        <v>6190</v>
      </c>
      <c r="B1176" s="130">
        <v>30</v>
      </c>
      <c r="C1176" s="130" t="s">
        <v>2800</v>
      </c>
      <c r="D1176">
        <v>9922</v>
      </c>
      <c r="E1176" s="131">
        <v>51466860</v>
      </c>
      <c r="F1176" t="s">
        <v>87</v>
      </c>
      <c r="G1176">
        <v>337</v>
      </c>
      <c r="H1176" t="s">
        <v>8952</v>
      </c>
      <c r="I1176" s="130">
        <v>37</v>
      </c>
      <c r="J1176" t="s">
        <v>2800</v>
      </c>
      <c r="K1176" t="s">
        <v>95</v>
      </c>
      <c r="L1176" t="s">
        <v>144</v>
      </c>
      <c r="M1176" t="s">
        <v>103</v>
      </c>
      <c r="N1176" t="s">
        <v>98</v>
      </c>
      <c r="O1176" t="s">
        <v>1345</v>
      </c>
    </row>
    <row r="1177" spans="1:15" x14ac:dyDescent="0.3">
      <c r="A1177" s="130">
        <v>6196</v>
      </c>
      <c r="B1177" s="130">
        <v>18</v>
      </c>
      <c r="C1177" s="130" t="s">
        <v>2801</v>
      </c>
      <c r="D1177">
        <v>9932</v>
      </c>
      <c r="E1177" s="131">
        <v>5773057</v>
      </c>
      <c r="F1177" t="s">
        <v>87</v>
      </c>
      <c r="G1177">
        <v>358</v>
      </c>
      <c r="H1177" t="s">
        <v>8953</v>
      </c>
      <c r="I1177" s="131">
        <v>10</v>
      </c>
      <c r="J1177" t="s">
        <v>2801</v>
      </c>
      <c r="K1177" t="s">
        <v>95</v>
      </c>
      <c r="L1177" t="s">
        <v>105</v>
      </c>
      <c r="M1177" t="s">
        <v>112</v>
      </c>
      <c r="N1177" t="s">
        <v>118</v>
      </c>
      <c r="O1177" t="s">
        <v>1345</v>
      </c>
    </row>
    <row r="1178" spans="1:15" x14ac:dyDescent="0.3">
      <c r="A1178" s="130">
        <v>6200</v>
      </c>
      <c r="B1178" s="130">
        <v>30</v>
      </c>
      <c r="C1178" s="130" t="s">
        <v>2802</v>
      </c>
      <c r="D1178">
        <v>9938</v>
      </c>
      <c r="E1178" s="130">
        <v>8217851</v>
      </c>
      <c r="F1178" t="s">
        <v>87</v>
      </c>
      <c r="G1178">
        <v>9135</v>
      </c>
      <c r="H1178" t="s">
        <v>8951</v>
      </c>
      <c r="I1178" s="130">
        <v>18</v>
      </c>
      <c r="J1178" t="s">
        <v>2802</v>
      </c>
      <c r="K1178" t="s">
        <v>95</v>
      </c>
      <c r="L1178" t="s">
        <v>123</v>
      </c>
      <c r="M1178" t="s">
        <v>103</v>
      </c>
      <c r="N1178" t="s">
        <v>98</v>
      </c>
      <c r="O1178" t="s">
        <v>116</v>
      </c>
    </row>
    <row r="1179" spans="1:15" x14ac:dyDescent="0.3">
      <c r="A1179" s="130">
        <v>6201</v>
      </c>
      <c r="B1179" s="130">
        <v>15</v>
      </c>
      <c r="C1179" s="130" t="s">
        <v>2803</v>
      </c>
      <c r="D1179">
        <v>9940</v>
      </c>
      <c r="E1179" s="130">
        <v>36204525</v>
      </c>
      <c r="F1179" t="s">
        <v>87</v>
      </c>
      <c r="G1179">
        <v>9135</v>
      </c>
      <c r="H1179" t="s">
        <v>8952</v>
      </c>
      <c r="I1179" s="130">
        <v>24</v>
      </c>
      <c r="J1179" t="s">
        <v>2803</v>
      </c>
      <c r="K1179" t="s">
        <v>108</v>
      </c>
      <c r="L1179" t="s">
        <v>191</v>
      </c>
      <c r="M1179" t="s">
        <v>145</v>
      </c>
      <c r="N1179" t="s">
        <v>141</v>
      </c>
      <c r="O1179" t="s">
        <v>116</v>
      </c>
    </row>
    <row r="1180" spans="1:15" x14ac:dyDescent="0.3">
      <c r="A1180" s="130">
        <v>6202</v>
      </c>
      <c r="B1180" s="130">
        <v>0</v>
      </c>
      <c r="C1180" s="130" t="s">
        <v>2804</v>
      </c>
      <c r="D1180">
        <v>9942</v>
      </c>
      <c r="E1180" s="130">
        <v>46137477</v>
      </c>
      <c r="F1180" t="s">
        <v>87</v>
      </c>
      <c r="G1180">
        <v>9135</v>
      </c>
      <c r="H1180" t="s">
        <v>8953</v>
      </c>
      <c r="I1180" s="131">
        <v>37</v>
      </c>
      <c r="J1180" t="s">
        <v>2804</v>
      </c>
      <c r="K1180" t="s">
        <v>108</v>
      </c>
      <c r="L1180" t="s">
        <v>191</v>
      </c>
      <c r="M1180" t="s">
        <v>100</v>
      </c>
      <c r="N1180" t="s">
        <v>131</v>
      </c>
      <c r="O1180" t="s">
        <v>116</v>
      </c>
    </row>
    <row r="1181" spans="1:15" x14ac:dyDescent="0.3">
      <c r="A1181" s="130">
        <v>6203</v>
      </c>
      <c r="B1181" s="130">
        <v>30</v>
      </c>
      <c r="C1181" s="130" t="s">
        <v>2805</v>
      </c>
      <c r="D1181">
        <v>9928</v>
      </c>
      <c r="E1181" s="130">
        <v>47333539</v>
      </c>
      <c r="F1181" t="s">
        <v>87</v>
      </c>
      <c r="G1181">
        <v>9135</v>
      </c>
      <c r="H1181" t="s">
        <v>8951</v>
      </c>
      <c r="I1181" s="131">
        <v>37</v>
      </c>
      <c r="J1181" t="s">
        <v>2805</v>
      </c>
      <c r="K1181" t="s">
        <v>108</v>
      </c>
      <c r="L1181" t="s">
        <v>120</v>
      </c>
      <c r="M1181" t="s">
        <v>103</v>
      </c>
      <c r="N1181" t="s">
        <v>114</v>
      </c>
      <c r="O1181" t="s">
        <v>116</v>
      </c>
    </row>
    <row r="1182" spans="1:15" x14ac:dyDescent="0.3">
      <c r="A1182" s="130">
        <v>6209</v>
      </c>
      <c r="B1182" s="130">
        <v>30</v>
      </c>
      <c r="C1182" s="130" t="s">
        <v>2806</v>
      </c>
      <c r="D1182">
        <v>9951</v>
      </c>
      <c r="E1182" s="130">
        <v>2617158</v>
      </c>
      <c r="F1182" t="s">
        <v>87</v>
      </c>
      <c r="G1182">
        <v>9135</v>
      </c>
      <c r="H1182" t="s">
        <v>8952</v>
      </c>
      <c r="I1182" s="130">
        <v>3</v>
      </c>
      <c r="J1182" t="s">
        <v>2806</v>
      </c>
      <c r="K1182" t="s">
        <v>108</v>
      </c>
      <c r="L1182" t="s">
        <v>111</v>
      </c>
      <c r="M1182" t="s">
        <v>103</v>
      </c>
      <c r="N1182" t="s">
        <v>98</v>
      </c>
      <c r="O1182" t="s">
        <v>1345</v>
      </c>
    </row>
    <row r="1183" spans="1:15" x14ac:dyDescent="0.3">
      <c r="A1183" s="130">
        <v>6211</v>
      </c>
      <c r="B1183" s="130">
        <v>-1</v>
      </c>
      <c r="C1183" s="130" t="s">
        <v>2807</v>
      </c>
      <c r="D1183">
        <v>9737</v>
      </c>
      <c r="E1183" s="131">
        <v>34038541</v>
      </c>
      <c r="F1183" t="s">
        <v>87</v>
      </c>
      <c r="G1183">
        <v>9135</v>
      </c>
      <c r="H1183" t="s">
        <v>8953</v>
      </c>
      <c r="I1183" s="130">
        <v>9</v>
      </c>
      <c r="J1183" t="s">
        <v>2807</v>
      </c>
      <c r="K1183" t="s">
        <v>108</v>
      </c>
      <c r="L1183" t="s">
        <v>125</v>
      </c>
      <c r="M1183" t="s">
        <v>174</v>
      </c>
      <c r="N1183" t="s">
        <v>98</v>
      </c>
      <c r="O1183" t="s">
        <v>1345</v>
      </c>
    </row>
    <row r="1184" spans="1:15" x14ac:dyDescent="0.3">
      <c r="A1184" s="130">
        <v>6217</v>
      </c>
      <c r="B1184" s="130">
        <v>30</v>
      </c>
      <c r="C1184" s="130" t="s">
        <v>2808</v>
      </c>
      <c r="D1184">
        <v>9962</v>
      </c>
      <c r="E1184" s="131">
        <v>33000167</v>
      </c>
      <c r="F1184" t="s">
        <v>87</v>
      </c>
      <c r="G1184">
        <v>358</v>
      </c>
      <c r="H1184" t="s">
        <v>8951</v>
      </c>
      <c r="I1184" s="131">
        <v>24</v>
      </c>
      <c r="J1184" t="s">
        <v>2808</v>
      </c>
      <c r="K1184" t="s">
        <v>95</v>
      </c>
      <c r="L1184" t="s">
        <v>102</v>
      </c>
      <c r="M1184" t="s">
        <v>103</v>
      </c>
      <c r="N1184" t="s">
        <v>114</v>
      </c>
      <c r="O1184" t="s">
        <v>116</v>
      </c>
    </row>
    <row r="1185" spans="1:15" x14ac:dyDescent="0.3">
      <c r="A1185" s="130">
        <v>6222</v>
      </c>
      <c r="B1185" s="130">
        <v>60</v>
      </c>
      <c r="C1185" s="130" t="s">
        <v>2809</v>
      </c>
      <c r="D1185">
        <v>9969</v>
      </c>
      <c r="E1185" s="130">
        <v>33592510</v>
      </c>
      <c r="F1185" t="s">
        <v>87</v>
      </c>
      <c r="G1185">
        <v>77</v>
      </c>
      <c r="H1185" t="s">
        <v>8952</v>
      </c>
      <c r="I1185" s="130">
        <v>3</v>
      </c>
      <c r="J1185" t="s">
        <v>2809</v>
      </c>
      <c r="K1185" t="s">
        <v>95</v>
      </c>
      <c r="L1185" t="s">
        <v>1255</v>
      </c>
      <c r="M1185" t="s">
        <v>97</v>
      </c>
      <c r="N1185" t="s">
        <v>118</v>
      </c>
      <c r="O1185" t="s">
        <v>1345</v>
      </c>
    </row>
    <row r="1186" spans="1:15" x14ac:dyDescent="0.3">
      <c r="A1186" s="130">
        <v>6225</v>
      </c>
      <c r="B1186" s="130">
        <v>20</v>
      </c>
      <c r="C1186" s="130" t="s">
        <v>2810</v>
      </c>
      <c r="D1186">
        <v>9976</v>
      </c>
      <c r="E1186" s="130">
        <v>10736565</v>
      </c>
      <c r="F1186" t="s">
        <v>87</v>
      </c>
      <c r="G1186">
        <v>9135</v>
      </c>
      <c r="H1186" t="s">
        <v>8953</v>
      </c>
      <c r="I1186" s="130">
        <v>3</v>
      </c>
      <c r="J1186" t="s">
        <v>2810</v>
      </c>
      <c r="K1186" t="s">
        <v>95</v>
      </c>
      <c r="L1186" t="s">
        <v>111</v>
      </c>
      <c r="M1186" t="s">
        <v>148</v>
      </c>
      <c r="N1186" t="s">
        <v>98</v>
      </c>
      <c r="O1186" t="s">
        <v>1345</v>
      </c>
    </row>
    <row r="1187" spans="1:15" x14ac:dyDescent="0.3">
      <c r="A1187" s="130">
        <v>6237</v>
      </c>
      <c r="B1187" s="130">
        <v>-1</v>
      </c>
      <c r="C1187" s="130" t="s">
        <v>2811</v>
      </c>
      <c r="D1187">
        <v>9986</v>
      </c>
      <c r="E1187" s="130">
        <v>31672327</v>
      </c>
      <c r="F1187" t="s">
        <v>87</v>
      </c>
      <c r="G1187">
        <v>9135</v>
      </c>
      <c r="H1187" t="s">
        <v>8951</v>
      </c>
      <c r="I1187" s="130">
        <v>24</v>
      </c>
      <c r="J1187" t="s">
        <v>2811</v>
      </c>
      <c r="K1187" t="s">
        <v>108</v>
      </c>
      <c r="L1187" t="s">
        <v>191</v>
      </c>
      <c r="M1187" t="s">
        <v>174</v>
      </c>
      <c r="N1187" t="s">
        <v>114</v>
      </c>
      <c r="O1187" t="s">
        <v>1345</v>
      </c>
    </row>
    <row r="1188" spans="1:15" x14ac:dyDescent="0.3">
      <c r="A1188" s="130">
        <v>6238</v>
      </c>
      <c r="B1188" s="130">
        <v>-1</v>
      </c>
      <c r="C1188" s="130" t="s">
        <v>2812</v>
      </c>
      <c r="D1188">
        <v>9988</v>
      </c>
      <c r="E1188" s="130">
        <v>8029559</v>
      </c>
      <c r="F1188" t="s">
        <v>87</v>
      </c>
      <c r="G1188">
        <v>9135</v>
      </c>
      <c r="H1188" t="s">
        <v>8952</v>
      </c>
      <c r="I1188" s="130">
        <v>26</v>
      </c>
      <c r="J1188" t="s">
        <v>2812</v>
      </c>
      <c r="K1188" t="s">
        <v>108</v>
      </c>
      <c r="L1188" t="s">
        <v>151</v>
      </c>
      <c r="M1188" t="s">
        <v>174</v>
      </c>
      <c r="N1188" t="s">
        <v>98</v>
      </c>
      <c r="O1188" t="s">
        <v>1345</v>
      </c>
    </row>
    <row r="1189" spans="1:15" x14ac:dyDescent="0.3">
      <c r="A1189" s="130">
        <v>6255</v>
      </c>
      <c r="B1189" s="130">
        <v>18</v>
      </c>
      <c r="C1189" s="130" t="s">
        <v>2813</v>
      </c>
      <c r="D1189">
        <v>10017</v>
      </c>
      <c r="E1189" s="131">
        <v>315757</v>
      </c>
      <c r="F1189" t="s">
        <v>87</v>
      </c>
      <c r="G1189">
        <v>9135</v>
      </c>
      <c r="H1189" t="s">
        <v>8953</v>
      </c>
      <c r="I1189" s="131">
        <v>26</v>
      </c>
      <c r="J1189" t="s">
        <v>2813</v>
      </c>
      <c r="K1189" t="s">
        <v>95</v>
      </c>
      <c r="L1189" t="s">
        <v>151</v>
      </c>
      <c r="M1189" t="s">
        <v>112</v>
      </c>
      <c r="N1189" t="s">
        <v>98</v>
      </c>
      <c r="O1189" t="s">
        <v>1345</v>
      </c>
    </row>
    <row r="1190" spans="1:15" x14ac:dyDescent="0.3">
      <c r="A1190" s="130">
        <v>6259</v>
      </c>
      <c r="B1190" s="130">
        <v>35</v>
      </c>
      <c r="C1190" s="130" t="s">
        <v>2814</v>
      </c>
      <c r="D1190">
        <v>9888</v>
      </c>
      <c r="E1190" s="130">
        <v>5416618</v>
      </c>
      <c r="F1190" t="s">
        <v>87</v>
      </c>
      <c r="G1190">
        <v>9135</v>
      </c>
      <c r="H1190" t="s">
        <v>8951</v>
      </c>
      <c r="I1190" s="130">
        <v>9</v>
      </c>
      <c r="J1190" t="s">
        <v>2814</v>
      </c>
      <c r="K1190" t="s">
        <v>108</v>
      </c>
      <c r="L1190" t="s">
        <v>163</v>
      </c>
      <c r="M1190" t="s">
        <v>161</v>
      </c>
      <c r="N1190" t="s">
        <v>101</v>
      </c>
      <c r="O1190" t="s">
        <v>116</v>
      </c>
    </row>
    <row r="1191" spans="1:15" x14ac:dyDescent="0.3">
      <c r="A1191" s="130">
        <v>6265</v>
      </c>
      <c r="B1191" s="130">
        <v>30</v>
      </c>
      <c r="C1191" s="130" t="s">
        <v>2815</v>
      </c>
      <c r="D1191">
        <v>10034</v>
      </c>
      <c r="E1191" s="131">
        <v>10550896</v>
      </c>
      <c r="F1191" t="s">
        <v>87</v>
      </c>
      <c r="G1191">
        <v>9135</v>
      </c>
      <c r="H1191" t="s">
        <v>8952</v>
      </c>
      <c r="I1191" s="130">
        <v>3</v>
      </c>
      <c r="J1191" t="s">
        <v>2815</v>
      </c>
      <c r="K1191" t="s">
        <v>95</v>
      </c>
      <c r="L1191" t="s">
        <v>111</v>
      </c>
      <c r="M1191" t="s">
        <v>103</v>
      </c>
      <c r="N1191" t="s">
        <v>98</v>
      </c>
      <c r="O1191" t="s">
        <v>1345</v>
      </c>
    </row>
    <row r="1192" spans="1:15" x14ac:dyDescent="0.3">
      <c r="A1192" s="130">
        <v>6270</v>
      </c>
      <c r="B1192" s="130">
        <v>30</v>
      </c>
      <c r="C1192" s="130" t="s">
        <v>2816</v>
      </c>
      <c r="D1192">
        <v>10038</v>
      </c>
      <c r="E1192" s="130">
        <v>8217851</v>
      </c>
      <c r="F1192" t="s">
        <v>87</v>
      </c>
      <c r="G1192">
        <v>9135</v>
      </c>
      <c r="H1192" t="s">
        <v>8953</v>
      </c>
      <c r="I1192" s="130">
        <v>18</v>
      </c>
      <c r="J1192" t="s">
        <v>2816</v>
      </c>
      <c r="K1192" t="s">
        <v>95</v>
      </c>
      <c r="L1192" t="s">
        <v>123</v>
      </c>
      <c r="M1192" t="s">
        <v>103</v>
      </c>
      <c r="N1192" t="s">
        <v>98</v>
      </c>
      <c r="O1192" t="s">
        <v>1345</v>
      </c>
    </row>
    <row r="1193" spans="1:15" x14ac:dyDescent="0.3">
      <c r="A1193" s="130">
        <v>6273</v>
      </c>
      <c r="B1193" s="130">
        <v>18</v>
      </c>
      <c r="C1193" s="130" t="s">
        <v>2817</v>
      </c>
      <c r="D1193">
        <v>10042</v>
      </c>
      <c r="E1193" s="130">
        <v>10248815</v>
      </c>
      <c r="F1193" t="s">
        <v>87</v>
      </c>
      <c r="G1193">
        <v>9135</v>
      </c>
      <c r="H1193" t="s">
        <v>8951</v>
      </c>
      <c r="I1193" s="131">
        <v>10</v>
      </c>
      <c r="J1193" t="s">
        <v>2817</v>
      </c>
      <c r="K1193" t="s">
        <v>95</v>
      </c>
      <c r="L1193" t="s">
        <v>127</v>
      </c>
      <c r="M1193" t="s">
        <v>112</v>
      </c>
      <c r="N1193" t="s">
        <v>118</v>
      </c>
      <c r="O1193" t="s">
        <v>1345</v>
      </c>
    </row>
    <row r="1194" spans="1:15" x14ac:dyDescent="0.3">
      <c r="A1194" s="130">
        <v>6274</v>
      </c>
      <c r="B1194" s="130">
        <v>18</v>
      </c>
      <c r="C1194" s="130" t="s">
        <v>2818</v>
      </c>
      <c r="D1194">
        <v>10044</v>
      </c>
      <c r="E1194" s="130">
        <v>13338669</v>
      </c>
      <c r="F1194" t="s">
        <v>87</v>
      </c>
      <c r="G1194">
        <v>9135</v>
      </c>
      <c r="H1194" t="s">
        <v>8952</v>
      </c>
      <c r="I1194" s="131">
        <v>26</v>
      </c>
      <c r="J1194" t="s">
        <v>2818</v>
      </c>
      <c r="K1194" t="s">
        <v>108</v>
      </c>
      <c r="L1194" t="s">
        <v>151</v>
      </c>
      <c r="M1194" t="s">
        <v>112</v>
      </c>
      <c r="N1194" t="s">
        <v>98</v>
      </c>
      <c r="O1194" t="s">
        <v>1345</v>
      </c>
    </row>
    <row r="1195" spans="1:15" x14ac:dyDescent="0.3">
      <c r="A1195" s="130">
        <v>6280</v>
      </c>
      <c r="B1195" s="130">
        <v>10</v>
      </c>
      <c r="C1195" s="130" t="s">
        <v>2819</v>
      </c>
      <c r="D1195">
        <v>10049</v>
      </c>
      <c r="E1195" s="130">
        <v>34125700</v>
      </c>
      <c r="F1195" t="s">
        <v>87</v>
      </c>
      <c r="G1195">
        <v>9135</v>
      </c>
      <c r="H1195" t="s">
        <v>8953</v>
      </c>
      <c r="I1195" s="131">
        <v>3</v>
      </c>
      <c r="J1195" t="s">
        <v>2819</v>
      </c>
      <c r="K1195" t="s">
        <v>108</v>
      </c>
      <c r="L1195" t="s">
        <v>111</v>
      </c>
      <c r="M1195" t="s">
        <v>133</v>
      </c>
      <c r="N1195" t="s">
        <v>98</v>
      </c>
      <c r="O1195" t="s">
        <v>1345</v>
      </c>
    </row>
    <row r="1196" spans="1:15" x14ac:dyDescent="0.3">
      <c r="A1196" s="130">
        <v>6283</v>
      </c>
      <c r="B1196" s="130">
        <v>30</v>
      </c>
      <c r="C1196" s="130" t="s">
        <v>2820</v>
      </c>
      <c r="D1196">
        <v>10053</v>
      </c>
      <c r="E1196" s="130">
        <v>41109336</v>
      </c>
      <c r="F1196" t="s">
        <v>87</v>
      </c>
      <c r="G1196">
        <v>9135</v>
      </c>
      <c r="H1196" t="s">
        <v>8951</v>
      </c>
      <c r="I1196" s="130">
        <v>19</v>
      </c>
      <c r="J1196" t="s">
        <v>2820</v>
      </c>
      <c r="K1196" t="s">
        <v>108</v>
      </c>
      <c r="L1196" t="s">
        <v>146</v>
      </c>
      <c r="M1196" t="s">
        <v>103</v>
      </c>
      <c r="N1196" t="s">
        <v>121</v>
      </c>
      <c r="O1196" t="s">
        <v>1345</v>
      </c>
    </row>
    <row r="1197" spans="1:15" x14ac:dyDescent="0.3">
      <c r="A1197" s="130">
        <v>6287</v>
      </c>
      <c r="B1197" s="130">
        <v>28</v>
      </c>
      <c r="C1197" s="130" t="s">
        <v>2821</v>
      </c>
      <c r="D1197">
        <v>10058</v>
      </c>
      <c r="E1197" s="130">
        <v>18185542</v>
      </c>
      <c r="F1197" t="s">
        <v>87</v>
      </c>
      <c r="G1197">
        <v>9135</v>
      </c>
      <c r="H1197" t="s">
        <v>8952</v>
      </c>
      <c r="I1197" s="131">
        <v>37</v>
      </c>
      <c r="J1197" t="s">
        <v>2821</v>
      </c>
      <c r="K1197" t="s">
        <v>95</v>
      </c>
      <c r="L1197" t="s">
        <v>138</v>
      </c>
      <c r="M1197" t="s">
        <v>130</v>
      </c>
      <c r="N1197" t="s">
        <v>150</v>
      </c>
      <c r="O1197" t="s">
        <v>1345</v>
      </c>
    </row>
    <row r="1198" spans="1:15" x14ac:dyDescent="0.3">
      <c r="A1198" s="130">
        <v>6294</v>
      </c>
      <c r="B1198" s="130">
        <v>30</v>
      </c>
      <c r="C1198" s="130" t="s">
        <v>2822</v>
      </c>
      <c r="D1198">
        <v>10069</v>
      </c>
      <c r="E1198" s="130">
        <v>38209271</v>
      </c>
      <c r="F1198" t="s">
        <v>87</v>
      </c>
      <c r="G1198">
        <v>78</v>
      </c>
      <c r="H1198" t="s">
        <v>8953</v>
      </c>
      <c r="I1198" s="131">
        <v>43</v>
      </c>
      <c r="J1198" t="s">
        <v>2822</v>
      </c>
      <c r="K1198" t="s">
        <v>95</v>
      </c>
      <c r="L1198" t="s">
        <v>111</v>
      </c>
      <c r="M1198" t="s">
        <v>103</v>
      </c>
      <c r="N1198" t="s">
        <v>150</v>
      </c>
      <c r="O1198" t="s">
        <v>116</v>
      </c>
    </row>
    <row r="1199" spans="1:15" x14ac:dyDescent="0.3">
      <c r="A1199" s="130">
        <v>6297</v>
      </c>
      <c r="B1199" s="130">
        <v>5</v>
      </c>
      <c r="C1199" s="130" t="s">
        <v>2823</v>
      </c>
      <c r="D1199">
        <v>10073</v>
      </c>
      <c r="E1199" s="130">
        <v>4017545</v>
      </c>
      <c r="F1199" t="s">
        <v>87</v>
      </c>
      <c r="G1199">
        <v>9135</v>
      </c>
      <c r="H1199" t="s">
        <v>8951</v>
      </c>
      <c r="I1199" s="130">
        <v>3</v>
      </c>
      <c r="J1199" t="s">
        <v>2823</v>
      </c>
      <c r="K1199" t="s">
        <v>108</v>
      </c>
      <c r="L1199" t="s">
        <v>111</v>
      </c>
      <c r="M1199" t="s">
        <v>129</v>
      </c>
      <c r="N1199" t="s">
        <v>98</v>
      </c>
      <c r="O1199" t="s">
        <v>1345</v>
      </c>
    </row>
    <row r="1200" spans="1:15" x14ac:dyDescent="0.3">
      <c r="A1200" s="130">
        <v>6298</v>
      </c>
      <c r="B1200" s="130">
        <v>5</v>
      </c>
      <c r="C1200" s="130" t="s">
        <v>2824</v>
      </c>
      <c r="D1200">
        <v>10078</v>
      </c>
      <c r="E1200" s="130">
        <v>1276156</v>
      </c>
      <c r="F1200" t="s">
        <v>87</v>
      </c>
      <c r="G1200">
        <v>9135</v>
      </c>
      <c r="H1200" t="s">
        <v>8952</v>
      </c>
      <c r="I1200" s="131">
        <v>3</v>
      </c>
      <c r="J1200" t="s">
        <v>2824</v>
      </c>
      <c r="K1200" t="s">
        <v>108</v>
      </c>
      <c r="L1200" t="s">
        <v>111</v>
      </c>
      <c r="M1200" t="s">
        <v>129</v>
      </c>
      <c r="N1200" t="s">
        <v>98</v>
      </c>
      <c r="O1200" t="s">
        <v>1345</v>
      </c>
    </row>
    <row r="1201" spans="1:15" x14ac:dyDescent="0.3">
      <c r="A1201" s="130">
        <v>6302</v>
      </c>
      <c r="B1201" s="130">
        <v>30</v>
      </c>
      <c r="C1201" s="130" t="s">
        <v>2825</v>
      </c>
      <c r="D1201">
        <v>10086</v>
      </c>
      <c r="E1201" s="131">
        <v>16622284</v>
      </c>
      <c r="F1201" t="s">
        <v>87</v>
      </c>
      <c r="G1201">
        <v>9135</v>
      </c>
      <c r="H1201" t="s">
        <v>8953</v>
      </c>
      <c r="I1201" s="131">
        <v>10</v>
      </c>
      <c r="J1201" t="s">
        <v>2825</v>
      </c>
      <c r="K1201" t="s">
        <v>108</v>
      </c>
      <c r="L1201" t="s">
        <v>127</v>
      </c>
      <c r="M1201" t="s">
        <v>103</v>
      </c>
      <c r="N1201" t="s">
        <v>98</v>
      </c>
      <c r="O1201" t="s">
        <v>1345</v>
      </c>
    </row>
    <row r="1202" spans="1:15" x14ac:dyDescent="0.3">
      <c r="A1202" s="130">
        <v>6306</v>
      </c>
      <c r="B1202" s="130">
        <v>15</v>
      </c>
      <c r="C1202" s="130" t="s">
        <v>2826</v>
      </c>
      <c r="D1202">
        <v>10090</v>
      </c>
      <c r="E1202" s="131">
        <v>24312950</v>
      </c>
      <c r="F1202" t="s">
        <v>87</v>
      </c>
      <c r="G1202">
        <v>9135</v>
      </c>
      <c r="H1202" t="s">
        <v>8951</v>
      </c>
      <c r="I1202" s="131">
        <v>24</v>
      </c>
      <c r="J1202" t="s">
        <v>2826</v>
      </c>
      <c r="K1202" t="s">
        <v>108</v>
      </c>
      <c r="L1202" t="s">
        <v>191</v>
      </c>
      <c r="M1202" t="s">
        <v>145</v>
      </c>
      <c r="N1202" t="s">
        <v>114</v>
      </c>
      <c r="O1202" t="s">
        <v>1345</v>
      </c>
    </row>
    <row r="1203" spans="1:15" x14ac:dyDescent="0.3">
      <c r="A1203" s="130">
        <v>6315</v>
      </c>
      <c r="B1203" s="130">
        <v>30</v>
      </c>
      <c r="C1203" s="130" t="s">
        <v>2827</v>
      </c>
      <c r="D1203">
        <v>9667</v>
      </c>
      <c r="E1203" s="130">
        <v>22934889</v>
      </c>
      <c r="F1203" t="s">
        <v>87</v>
      </c>
      <c r="G1203">
        <v>358</v>
      </c>
      <c r="H1203" t="s">
        <v>8952</v>
      </c>
      <c r="I1203" s="131">
        <v>3</v>
      </c>
      <c r="J1203" t="s">
        <v>2827</v>
      </c>
      <c r="K1203" t="s">
        <v>108</v>
      </c>
      <c r="L1203" t="s">
        <v>109</v>
      </c>
      <c r="M1203" t="s">
        <v>103</v>
      </c>
      <c r="N1203" t="s">
        <v>131</v>
      </c>
      <c r="O1203" t="s">
        <v>116</v>
      </c>
    </row>
    <row r="1204" spans="1:15" x14ac:dyDescent="0.3">
      <c r="A1204" s="130">
        <v>6318</v>
      </c>
      <c r="B1204" s="130">
        <v>30</v>
      </c>
      <c r="C1204" s="130" t="s">
        <v>2828</v>
      </c>
      <c r="D1204">
        <v>10109</v>
      </c>
      <c r="E1204" s="130">
        <v>46393484</v>
      </c>
      <c r="F1204" t="s">
        <v>87</v>
      </c>
      <c r="G1204">
        <v>9135</v>
      </c>
      <c r="H1204" t="s">
        <v>8953</v>
      </c>
      <c r="I1204" s="130">
        <v>18</v>
      </c>
      <c r="J1204" t="s">
        <v>2828</v>
      </c>
      <c r="K1204" t="s">
        <v>108</v>
      </c>
      <c r="L1204" t="s">
        <v>123</v>
      </c>
      <c r="M1204" t="s">
        <v>103</v>
      </c>
      <c r="N1204" t="s">
        <v>98</v>
      </c>
      <c r="O1204" t="s">
        <v>116</v>
      </c>
    </row>
    <row r="1205" spans="1:15" x14ac:dyDescent="0.3">
      <c r="A1205" s="130">
        <v>6320</v>
      </c>
      <c r="B1205" s="130">
        <v>18</v>
      </c>
      <c r="C1205" s="130" t="s">
        <v>2829</v>
      </c>
      <c r="D1205">
        <v>10112</v>
      </c>
      <c r="E1205" s="131">
        <v>18137190</v>
      </c>
      <c r="F1205" t="s">
        <v>87</v>
      </c>
      <c r="G1205">
        <v>358</v>
      </c>
      <c r="H1205" t="s">
        <v>8951</v>
      </c>
      <c r="I1205" s="130">
        <v>3</v>
      </c>
      <c r="J1205" t="s">
        <v>2829</v>
      </c>
      <c r="K1205" t="s">
        <v>108</v>
      </c>
      <c r="L1205" t="s">
        <v>109</v>
      </c>
      <c r="M1205" t="s">
        <v>112</v>
      </c>
      <c r="N1205" t="s">
        <v>98</v>
      </c>
      <c r="O1205" t="s">
        <v>116</v>
      </c>
    </row>
    <row r="1206" spans="1:15" x14ac:dyDescent="0.3">
      <c r="A1206" s="130">
        <v>6324</v>
      </c>
      <c r="B1206" s="130">
        <v>10</v>
      </c>
      <c r="C1206" s="130" t="s">
        <v>2830</v>
      </c>
      <c r="D1206">
        <v>10118</v>
      </c>
      <c r="E1206" s="130">
        <v>13623957</v>
      </c>
      <c r="F1206" t="s">
        <v>87</v>
      </c>
      <c r="G1206">
        <v>9135</v>
      </c>
      <c r="H1206" t="s">
        <v>8952</v>
      </c>
      <c r="I1206" s="131">
        <v>18</v>
      </c>
      <c r="J1206" t="s">
        <v>2830</v>
      </c>
      <c r="K1206" t="s">
        <v>95</v>
      </c>
      <c r="L1206" t="s">
        <v>111</v>
      </c>
      <c r="M1206" t="s">
        <v>133</v>
      </c>
      <c r="N1206" t="s">
        <v>98</v>
      </c>
      <c r="O1206" t="s">
        <v>116</v>
      </c>
    </row>
    <row r="1207" spans="1:15" x14ac:dyDescent="0.3">
      <c r="A1207" s="130">
        <v>6326</v>
      </c>
      <c r="B1207" s="130">
        <v>30</v>
      </c>
      <c r="C1207" s="130" t="s">
        <v>2831</v>
      </c>
      <c r="D1207">
        <v>10121</v>
      </c>
      <c r="E1207" s="130">
        <v>3092799</v>
      </c>
      <c r="F1207" t="s">
        <v>87</v>
      </c>
      <c r="G1207">
        <v>9135</v>
      </c>
      <c r="H1207" t="s">
        <v>8953</v>
      </c>
      <c r="I1207" s="131">
        <v>3</v>
      </c>
      <c r="J1207" t="s">
        <v>2831</v>
      </c>
      <c r="K1207" t="s">
        <v>95</v>
      </c>
      <c r="L1207" t="s">
        <v>146</v>
      </c>
      <c r="M1207" t="s">
        <v>103</v>
      </c>
      <c r="N1207" t="s">
        <v>124</v>
      </c>
      <c r="O1207" t="s">
        <v>1345</v>
      </c>
    </row>
    <row r="1208" spans="1:15" x14ac:dyDescent="0.3">
      <c r="A1208" s="130">
        <v>6327</v>
      </c>
      <c r="B1208" s="130">
        <v>30</v>
      </c>
      <c r="C1208" s="130" t="s">
        <v>2832</v>
      </c>
      <c r="D1208">
        <v>10124</v>
      </c>
      <c r="E1208" s="130">
        <v>63567820</v>
      </c>
      <c r="F1208" t="s">
        <v>87</v>
      </c>
      <c r="G1208">
        <v>9135</v>
      </c>
      <c r="H1208" t="s">
        <v>8951</v>
      </c>
      <c r="I1208" s="130">
        <v>9</v>
      </c>
      <c r="J1208" t="s">
        <v>2832</v>
      </c>
      <c r="K1208" t="s">
        <v>95</v>
      </c>
      <c r="L1208" t="s">
        <v>163</v>
      </c>
      <c r="M1208" t="s">
        <v>103</v>
      </c>
      <c r="N1208" t="s">
        <v>98</v>
      </c>
      <c r="O1208" t="s">
        <v>1345</v>
      </c>
    </row>
    <row r="1209" spans="1:15" x14ac:dyDescent="0.3">
      <c r="A1209" s="130">
        <v>6332</v>
      </c>
      <c r="B1209" s="130">
        <v>18</v>
      </c>
      <c r="C1209" s="130" t="s">
        <v>2833</v>
      </c>
      <c r="D1209">
        <v>10129</v>
      </c>
      <c r="E1209" s="130">
        <v>29099910</v>
      </c>
      <c r="F1209" t="s">
        <v>87</v>
      </c>
      <c r="G1209">
        <v>9135</v>
      </c>
      <c r="H1209" t="s">
        <v>8952</v>
      </c>
      <c r="I1209" s="130">
        <v>37</v>
      </c>
      <c r="J1209" t="s">
        <v>2833</v>
      </c>
      <c r="K1209" t="s">
        <v>108</v>
      </c>
      <c r="L1209" t="s">
        <v>138</v>
      </c>
      <c r="M1209" t="s">
        <v>112</v>
      </c>
      <c r="N1209" t="s">
        <v>150</v>
      </c>
      <c r="O1209" t="s">
        <v>1345</v>
      </c>
    </row>
    <row r="1210" spans="1:15" x14ac:dyDescent="0.3">
      <c r="A1210" s="130">
        <v>6333</v>
      </c>
      <c r="B1210" s="130">
        <v>10</v>
      </c>
      <c r="C1210" s="130" t="s">
        <v>2834</v>
      </c>
      <c r="D1210">
        <v>10130</v>
      </c>
      <c r="E1210" s="130">
        <v>7915727</v>
      </c>
      <c r="F1210" t="s">
        <v>87</v>
      </c>
      <c r="G1210">
        <v>9135</v>
      </c>
      <c r="H1210" t="s">
        <v>8953</v>
      </c>
      <c r="I1210" s="130">
        <v>10</v>
      </c>
      <c r="J1210" t="s">
        <v>2834</v>
      </c>
      <c r="K1210" t="s">
        <v>108</v>
      </c>
      <c r="L1210" t="s">
        <v>127</v>
      </c>
      <c r="M1210" t="s">
        <v>133</v>
      </c>
      <c r="N1210" t="s">
        <v>141</v>
      </c>
      <c r="O1210" t="s">
        <v>116</v>
      </c>
    </row>
    <row r="1211" spans="1:15" x14ac:dyDescent="0.3">
      <c r="A1211" s="130">
        <v>6336</v>
      </c>
      <c r="B1211" s="130">
        <v>5</v>
      </c>
      <c r="C1211" s="130" t="s">
        <v>2835</v>
      </c>
      <c r="D1211">
        <v>10133</v>
      </c>
      <c r="E1211" s="131">
        <v>16437942</v>
      </c>
      <c r="F1211" t="s">
        <v>87</v>
      </c>
      <c r="G1211">
        <v>9135</v>
      </c>
      <c r="H1211" t="s">
        <v>8951</v>
      </c>
      <c r="I1211" s="130">
        <v>3</v>
      </c>
      <c r="J1211" t="s">
        <v>2835</v>
      </c>
      <c r="K1211" t="s">
        <v>108</v>
      </c>
      <c r="L1211" t="s">
        <v>140</v>
      </c>
      <c r="M1211" t="s">
        <v>129</v>
      </c>
      <c r="N1211" t="s">
        <v>98</v>
      </c>
      <c r="O1211" t="s">
        <v>1345</v>
      </c>
    </row>
    <row r="1212" spans="1:15" x14ac:dyDescent="0.3">
      <c r="A1212" s="130">
        <v>6340</v>
      </c>
      <c r="B1212" s="130">
        <v>-1</v>
      </c>
      <c r="C1212" s="130" t="s">
        <v>2836</v>
      </c>
      <c r="D1212">
        <v>10052</v>
      </c>
      <c r="E1212" s="130">
        <v>38090597</v>
      </c>
      <c r="F1212" t="s">
        <v>87</v>
      </c>
      <c r="G1212">
        <v>9135</v>
      </c>
      <c r="H1212" t="s">
        <v>8952</v>
      </c>
      <c r="I1212" s="131">
        <v>9</v>
      </c>
      <c r="J1212" t="s">
        <v>2836</v>
      </c>
      <c r="K1212" t="s">
        <v>108</v>
      </c>
      <c r="L1212" t="s">
        <v>125</v>
      </c>
      <c r="M1212" t="s">
        <v>174</v>
      </c>
      <c r="N1212" t="s">
        <v>98</v>
      </c>
      <c r="O1212" t="s">
        <v>1345</v>
      </c>
    </row>
    <row r="1213" spans="1:15" x14ac:dyDescent="0.3">
      <c r="A1213" s="130">
        <v>6341</v>
      </c>
      <c r="B1213" s="130">
        <v>21</v>
      </c>
      <c r="C1213" s="130" t="s">
        <v>2837</v>
      </c>
      <c r="D1213">
        <v>10139</v>
      </c>
      <c r="E1213" s="130">
        <v>65120057</v>
      </c>
      <c r="F1213" t="s">
        <v>87</v>
      </c>
      <c r="G1213">
        <v>9135</v>
      </c>
      <c r="H1213" t="s">
        <v>8953</v>
      </c>
      <c r="I1213" s="130">
        <v>10</v>
      </c>
      <c r="J1213" t="s">
        <v>2837</v>
      </c>
      <c r="K1213" t="s">
        <v>108</v>
      </c>
      <c r="L1213" t="s">
        <v>127</v>
      </c>
      <c r="M1213" t="s">
        <v>137</v>
      </c>
      <c r="N1213" t="s">
        <v>118</v>
      </c>
      <c r="O1213" t="s">
        <v>1345</v>
      </c>
    </row>
    <row r="1214" spans="1:15" x14ac:dyDescent="0.3">
      <c r="A1214" s="130">
        <v>6349</v>
      </c>
      <c r="B1214" s="130">
        <v>21</v>
      </c>
      <c r="C1214" s="130" t="s">
        <v>2838</v>
      </c>
      <c r="D1214">
        <v>10150</v>
      </c>
      <c r="E1214" s="131">
        <v>34252774</v>
      </c>
      <c r="F1214" t="s">
        <v>87</v>
      </c>
      <c r="G1214">
        <v>78</v>
      </c>
      <c r="H1214" t="s">
        <v>8951</v>
      </c>
      <c r="I1214" s="130">
        <v>43</v>
      </c>
      <c r="J1214" t="s">
        <v>2838</v>
      </c>
      <c r="K1214" t="s">
        <v>95</v>
      </c>
      <c r="L1214" t="s">
        <v>159</v>
      </c>
      <c r="M1214" t="s">
        <v>137</v>
      </c>
      <c r="N1214" t="s">
        <v>114</v>
      </c>
      <c r="O1214" t="s">
        <v>1345</v>
      </c>
    </row>
    <row r="1215" spans="1:15" x14ac:dyDescent="0.3">
      <c r="A1215" s="130">
        <v>6350</v>
      </c>
      <c r="B1215" s="130">
        <v>60</v>
      </c>
      <c r="C1215" s="130" t="s">
        <v>2839</v>
      </c>
      <c r="D1215">
        <v>10153</v>
      </c>
      <c r="E1215" s="131">
        <v>12056613</v>
      </c>
      <c r="F1215" t="s">
        <v>87</v>
      </c>
      <c r="G1215">
        <v>77</v>
      </c>
      <c r="H1215" t="s">
        <v>8952</v>
      </c>
      <c r="I1215" s="130">
        <v>3</v>
      </c>
      <c r="J1215" t="s">
        <v>2839</v>
      </c>
      <c r="K1215" t="s">
        <v>95</v>
      </c>
      <c r="L1215" t="s">
        <v>256</v>
      </c>
      <c r="M1215" t="s">
        <v>97</v>
      </c>
      <c r="N1215" t="s">
        <v>118</v>
      </c>
      <c r="O1215" t="s">
        <v>116</v>
      </c>
    </row>
    <row r="1216" spans="1:15" x14ac:dyDescent="0.3">
      <c r="A1216" s="130">
        <v>6354</v>
      </c>
      <c r="B1216" s="130">
        <v>18</v>
      </c>
      <c r="C1216" s="130" t="s">
        <v>2840</v>
      </c>
      <c r="D1216">
        <v>10161</v>
      </c>
      <c r="E1216" s="130">
        <v>2120261</v>
      </c>
      <c r="F1216" t="s">
        <v>87</v>
      </c>
      <c r="G1216">
        <v>337</v>
      </c>
      <c r="H1216" t="s">
        <v>8953</v>
      </c>
      <c r="I1216" s="130">
        <v>37</v>
      </c>
      <c r="J1216" t="s">
        <v>2840</v>
      </c>
      <c r="K1216" t="s">
        <v>108</v>
      </c>
      <c r="L1216" t="s">
        <v>144</v>
      </c>
      <c r="M1216" t="s">
        <v>112</v>
      </c>
      <c r="N1216" t="s">
        <v>98</v>
      </c>
      <c r="O1216" t="s">
        <v>116</v>
      </c>
    </row>
    <row r="1217" spans="1:15" x14ac:dyDescent="0.3">
      <c r="A1217" s="130">
        <v>6357</v>
      </c>
      <c r="B1217" s="130">
        <v>-1</v>
      </c>
      <c r="C1217" s="130" t="s">
        <v>2841</v>
      </c>
      <c r="D1217">
        <v>10165</v>
      </c>
      <c r="E1217" s="131">
        <v>3862440</v>
      </c>
      <c r="F1217" t="s">
        <v>87</v>
      </c>
      <c r="G1217">
        <v>9135</v>
      </c>
      <c r="H1217" t="s">
        <v>8951</v>
      </c>
      <c r="I1217" s="131">
        <v>9</v>
      </c>
      <c r="J1217" t="s">
        <v>2841</v>
      </c>
      <c r="K1217" t="s">
        <v>95</v>
      </c>
      <c r="L1217" t="s">
        <v>125</v>
      </c>
      <c r="M1217" t="s">
        <v>174</v>
      </c>
      <c r="N1217" t="s">
        <v>118</v>
      </c>
      <c r="O1217" t="s">
        <v>1345</v>
      </c>
    </row>
    <row r="1218" spans="1:15" x14ac:dyDescent="0.3">
      <c r="A1218" s="130">
        <v>6358</v>
      </c>
      <c r="B1218" s="130">
        <v>-1</v>
      </c>
      <c r="C1218" s="130" t="s">
        <v>2842</v>
      </c>
      <c r="D1218">
        <v>10166</v>
      </c>
      <c r="E1218" s="131">
        <v>30487800</v>
      </c>
      <c r="F1218" t="s">
        <v>87</v>
      </c>
      <c r="G1218">
        <v>9135</v>
      </c>
      <c r="H1218" t="s">
        <v>8952</v>
      </c>
      <c r="I1218" s="131">
        <v>9</v>
      </c>
      <c r="J1218" t="s">
        <v>2842</v>
      </c>
      <c r="K1218" t="s">
        <v>108</v>
      </c>
      <c r="L1218" t="s">
        <v>125</v>
      </c>
      <c r="M1218" t="s">
        <v>174</v>
      </c>
      <c r="N1218" t="s">
        <v>98</v>
      </c>
      <c r="O1218" t="s">
        <v>1345</v>
      </c>
    </row>
    <row r="1219" spans="1:15" x14ac:dyDescent="0.3">
      <c r="A1219" s="130">
        <v>6359</v>
      </c>
      <c r="B1219" s="130">
        <v>18</v>
      </c>
      <c r="C1219" s="130" t="s">
        <v>2843</v>
      </c>
      <c r="D1219">
        <v>10167</v>
      </c>
      <c r="E1219" s="130">
        <v>4169215</v>
      </c>
      <c r="F1219" t="s">
        <v>87</v>
      </c>
      <c r="G1219">
        <v>9135</v>
      </c>
      <c r="H1219" t="s">
        <v>8953</v>
      </c>
      <c r="I1219" s="130">
        <v>9</v>
      </c>
      <c r="J1219" t="s">
        <v>2843</v>
      </c>
      <c r="K1219" t="s">
        <v>95</v>
      </c>
      <c r="L1219" t="s">
        <v>163</v>
      </c>
      <c r="M1219" t="s">
        <v>112</v>
      </c>
      <c r="N1219" t="s">
        <v>101</v>
      </c>
      <c r="O1219" t="s">
        <v>1345</v>
      </c>
    </row>
    <row r="1220" spans="1:15" x14ac:dyDescent="0.3">
      <c r="A1220" s="130">
        <v>6370</v>
      </c>
      <c r="B1220" s="130">
        <v>5</v>
      </c>
      <c r="C1220" s="130" t="s">
        <v>2844</v>
      </c>
      <c r="D1220">
        <v>10191</v>
      </c>
      <c r="E1220" s="130">
        <v>29841654</v>
      </c>
      <c r="F1220" t="s">
        <v>87</v>
      </c>
      <c r="G1220">
        <v>9135</v>
      </c>
      <c r="H1220" t="s">
        <v>8951</v>
      </c>
      <c r="I1220" s="131">
        <v>10</v>
      </c>
      <c r="J1220" t="s">
        <v>2844</v>
      </c>
      <c r="K1220" t="s">
        <v>108</v>
      </c>
      <c r="L1220" t="s">
        <v>127</v>
      </c>
      <c r="M1220" t="s">
        <v>129</v>
      </c>
      <c r="N1220" t="s">
        <v>118</v>
      </c>
      <c r="O1220" t="s">
        <v>1345</v>
      </c>
    </row>
    <row r="1221" spans="1:15" x14ac:dyDescent="0.3">
      <c r="A1221" s="130">
        <v>6371</v>
      </c>
      <c r="B1221" s="130">
        <v>10</v>
      </c>
      <c r="C1221" s="130" t="s">
        <v>2845</v>
      </c>
      <c r="D1221">
        <v>10192</v>
      </c>
      <c r="E1221" s="130">
        <v>20104607</v>
      </c>
      <c r="F1221" t="s">
        <v>87</v>
      </c>
      <c r="G1221">
        <v>9135</v>
      </c>
      <c r="H1221" t="s">
        <v>8952</v>
      </c>
      <c r="I1221" s="130">
        <v>3</v>
      </c>
      <c r="J1221" t="s">
        <v>2845</v>
      </c>
      <c r="K1221" t="s">
        <v>108</v>
      </c>
      <c r="L1221" t="s">
        <v>111</v>
      </c>
      <c r="M1221" t="s">
        <v>133</v>
      </c>
      <c r="N1221" t="s">
        <v>98</v>
      </c>
      <c r="O1221" t="s">
        <v>1345</v>
      </c>
    </row>
    <row r="1222" spans="1:15" x14ac:dyDescent="0.3">
      <c r="A1222" s="130">
        <v>6375</v>
      </c>
      <c r="B1222" s="130">
        <v>30</v>
      </c>
      <c r="C1222" s="130" t="s">
        <v>2846</v>
      </c>
      <c r="D1222">
        <v>10128</v>
      </c>
      <c r="E1222" s="130">
        <v>29131075</v>
      </c>
      <c r="F1222" t="s">
        <v>113</v>
      </c>
      <c r="G1222">
        <v>77</v>
      </c>
      <c r="H1222" t="s">
        <v>8953</v>
      </c>
      <c r="I1222" s="130">
        <v>18</v>
      </c>
      <c r="J1222" t="s">
        <v>2846</v>
      </c>
      <c r="K1222" t="s">
        <v>95</v>
      </c>
      <c r="L1222" t="s">
        <v>119</v>
      </c>
      <c r="M1222" t="s">
        <v>103</v>
      </c>
      <c r="N1222" t="s">
        <v>131</v>
      </c>
      <c r="O1222" t="s">
        <v>1256</v>
      </c>
    </row>
    <row r="1223" spans="1:15" x14ac:dyDescent="0.3">
      <c r="A1223" s="130">
        <v>6380</v>
      </c>
      <c r="B1223" s="130">
        <v>10</v>
      </c>
      <c r="C1223" s="130" t="s">
        <v>2847</v>
      </c>
      <c r="D1223">
        <v>10205</v>
      </c>
      <c r="E1223" s="130">
        <v>9535153</v>
      </c>
      <c r="F1223" t="s">
        <v>87</v>
      </c>
      <c r="G1223">
        <v>9135</v>
      </c>
      <c r="H1223" t="s">
        <v>8951</v>
      </c>
      <c r="I1223" s="131">
        <v>3</v>
      </c>
      <c r="J1223" t="s">
        <v>2847</v>
      </c>
      <c r="K1223" t="s">
        <v>108</v>
      </c>
      <c r="L1223" t="s">
        <v>111</v>
      </c>
      <c r="M1223" t="s">
        <v>133</v>
      </c>
      <c r="N1223" t="s">
        <v>98</v>
      </c>
      <c r="O1223" t="s">
        <v>1345</v>
      </c>
    </row>
    <row r="1224" spans="1:15" x14ac:dyDescent="0.3">
      <c r="A1224" s="130">
        <v>6388</v>
      </c>
      <c r="B1224" s="130">
        <v>18</v>
      </c>
      <c r="C1224" s="130" t="s">
        <v>2848</v>
      </c>
      <c r="D1224">
        <v>9871</v>
      </c>
      <c r="E1224" s="130">
        <v>183256</v>
      </c>
      <c r="F1224" t="s">
        <v>87</v>
      </c>
      <c r="G1224">
        <v>9135</v>
      </c>
      <c r="H1224" t="s">
        <v>8952</v>
      </c>
      <c r="I1224" s="131">
        <v>9</v>
      </c>
      <c r="J1224" t="s">
        <v>2848</v>
      </c>
      <c r="K1224" t="s">
        <v>95</v>
      </c>
      <c r="L1224" t="s">
        <v>125</v>
      </c>
      <c r="M1224" t="s">
        <v>112</v>
      </c>
      <c r="N1224" t="s">
        <v>114</v>
      </c>
      <c r="O1224" t="s">
        <v>1345</v>
      </c>
    </row>
    <row r="1225" spans="1:15" x14ac:dyDescent="0.3">
      <c r="A1225" s="130">
        <v>6405</v>
      </c>
      <c r="B1225" s="130">
        <v>18</v>
      </c>
      <c r="C1225" s="130" t="s">
        <v>2849</v>
      </c>
      <c r="D1225">
        <v>10246</v>
      </c>
      <c r="E1225" s="130">
        <v>39236583</v>
      </c>
      <c r="F1225" t="s">
        <v>87</v>
      </c>
      <c r="G1225">
        <v>9135</v>
      </c>
      <c r="H1225" t="s">
        <v>8953</v>
      </c>
      <c r="I1225" s="130">
        <v>26</v>
      </c>
      <c r="J1225" t="s">
        <v>2849</v>
      </c>
      <c r="K1225" t="s">
        <v>108</v>
      </c>
      <c r="L1225" t="s">
        <v>151</v>
      </c>
      <c r="M1225" t="s">
        <v>112</v>
      </c>
      <c r="N1225" t="s">
        <v>98</v>
      </c>
      <c r="O1225" t="s">
        <v>1345</v>
      </c>
    </row>
    <row r="1226" spans="1:15" x14ac:dyDescent="0.3">
      <c r="A1226" s="130">
        <v>6406</v>
      </c>
      <c r="B1226" s="130">
        <v>18</v>
      </c>
      <c r="C1226" s="130" t="s">
        <v>2850</v>
      </c>
      <c r="D1226">
        <v>10247</v>
      </c>
      <c r="E1226" s="131">
        <v>35093275</v>
      </c>
      <c r="F1226" t="s">
        <v>87</v>
      </c>
      <c r="G1226">
        <v>9135</v>
      </c>
      <c r="H1226" t="s">
        <v>8951</v>
      </c>
      <c r="I1226" s="130">
        <v>37</v>
      </c>
      <c r="J1226" t="s">
        <v>2850</v>
      </c>
      <c r="K1226" t="s">
        <v>108</v>
      </c>
      <c r="L1226" t="s">
        <v>138</v>
      </c>
      <c r="M1226" t="s">
        <v>112</v>
      </c>
      <c r="N1226" t="s">
        <v>150</v>
      </c>
      <c r="O1226" t="s">
        <v>116</v>
      </c>
    </row>
    <row r="1227" spans="1:15" x14ac:dyDescent="0.3">
      <c r="A1227" s="130">
        <v>6411</v>
      </c>
      <c r="B1227" s="130">
        <v>18</v>
      </c>
      <c r="C1227" s="130" t="s">
        <v>2851</v>
      </c>
      <c r="D1227">
        <v>10251</v>
      </c>
      <c r="E1227" s="130">
        <v>2120261</v>
      </c>
      <c r="F1227" t="s">
        <v>87</v>
      </c>
      <c r="G1227">
        <v>337</v>
      </c>
      <c r="H1227" t="s">
        <v>8952</v>
      </c>
      <c r="I1227" s="131">
        <v>37</v>
      </c>
      <c r="J1227" t="s">
        <v>2851</v>
      </c>
      <c r="K1227" t="s">
        <v>108</v>
      </c>
      <c r="L1227" t="s">
        <v>144</v>
      </c>
      <c r="M1227" t="s">
        <v>112</v>
      </c>
      <c r="N1227" t="s">
        <v>98</v>
      </c>
      <c r="O1227" t="s">
        <v>116</v>
      </c>
    </row>
    <row r="1228" spans="1:15" x14ac:dyDescent="0.3">
      <c r="A1228" s="130">
        <v>6413</v>
      </c>
      <c r="B1228" s="130">
        <v>30</v>
      </c>
      <c r="C1228" s="130" t="s">
        <v>2852</v>
      </c>
      <c r="D1228">
        <v>10255</v>
      </c>
      <c r="E1228" s="130">
        <v>27331222</v>
      </c>
      <c r="F1228" t="s">
        <v>87</v>
      </c>
      <c r="G1228">
        <v>9135</v>
      </c>
      <c r="H1228" t="s">
        <v>8953</v>
      </c>
      <c r="I1228" s="130">
        <v>3</v>
      </c>
      <c r="J1228" t="s">
        <v>2852</v>
      </c>
      <c r="K1228" t="s">
        <v>95</v>
      </c>
      <c r="L1228" t="s">
        <v>111</v>
      </c>
      <c r="M1228" t="s">
        <v>103</v>
      </c>
      <c r="N1228" t="s">
        <v>98</v>
      </c>
      <c r="O1228" t="s">
        <v>1345</v>
      </c>
    </row>
    <row r="1229" spans="1:15" x14ac:dyDescent="0.3">
      <c r="A1229" s="130">
        <v>6416</v>
      </c>
      <c r="B1229" s="130">
        <v>18</v>
      </c>
      <c r="C1229" s="130" t="s">
        <v>2853</v>
      </c>
      <c r="D1229">
        <v>10257</v>
      </c>
      <c r="E1229" s="131">
        <v>48662175</v>
      </c>
      <c r="F1229" t="s">
        <v>87</v>
      </c>
      <c r="G1229">
        <v>9135</v>
      </c>
      <c r="H1229" t="s">
        <v>8951</v>
      </c>
      <c r="I1229" s="130">
        <v>37</v>
      </c>
      <c r="J1229" t="s">
        <v>2853</v>
      </c>
      <c r="K1229" t="s">
        <v>95</v>
      </c>
      <c r="L1229" t="s">
        <v>138</v>
      </c>
      <c r="M1229" t="s">
        <v>112</v>
      </c>
      <c r="N1229" t="s">
        <v>141</v>
      </c>
      <c r="O1229" t="s">
        <v>116</v>
      </c>
    </row>
    <row r="1230" spans="1:15" x14ac:dyDescent="0.3">
      <c r="A1230" s="130">
        <v>6424</v>
      </c>
      <c r="B1230" s="130">
        <v>60</v>
      </c>
      <c r="C1230" s="130" t="s">
        <v>2854</v>
      </c>
      <c r="D1230">
        <v>10269</v>
      </c>
      <c r="E1230" s="130">
        <v>3998869</v>
      </c>
      <c r="F1230" t="s">
        <v>87</v>
      </c>
      <c r="G1230">
        <v>9135</v>
      </c>
      <c r="H1230" t="s">
        <v>8952</v>
      </c>
      <c r="I1230" s="131">
        <v>24</v>
      </c>
      <c r="J1230" t="s">
        <v>2854</v>
      </c>
      <c r="K1230" t="s">
        <v>95</v>
      </c>
      <c r="L1230" t="s">
        <v>191</v>
      </c>
      <c r="M1230" t="s">
        <v>97</v>
      </c>
      <c r="N1230" t="s">
        <v>98</v>
      </c>
      <c r="O1230" t="s">
        <v>1345</v>
      </c>
    </row>
    <row r="1231" spans="1:15" x14ac:dyDescent="0.3">
      <c r="A1231" s="130">
        <v>6427</v>
      </c>
      <c r="B1231" s="130">
        <v>30</v>
      </c>
      <c r="C1231" s="130" t="s">
        <v>2855</v>
      </c>
      <c r="D1231">
        <v>10273</v>
      </c>
      <c r="E1231" s="130">
        <v>83693366</v>
      </c>
      <c r="F1231" t="s">
        <v>87</v>
      </c>
      <c r="G1231">
        <v>78</v>
      </c>
      <c r="H1231" t="s">
        <v>8953</v>
      </c>
      <c r="I1231" s="130">
        <v>43</v>
      </c>
      <c r="J1231" t="s">
        <v>2855</v>
      </c>
      <c r="K1231" t="s">
        <v>108</v>
      </c>
      <c r="L1231" t="s">
        <v>159</v>
      </c>
      <c r="M1231" t="s">
        <v>103</v>
      </c>
      <c r="N1231" t="s">
        <v>98</v>
      </c>
      <c r="O1231" t="s">
        <v>1345</v>
      </c>
    </row>
    <row r="1232" spans="1:15" x14ac:dyDescent="0.3">
      <c r="A1232" s="130">
        <v>6444</v>
      </c>
      <c r="B1232" s="130">
        <v>45</v>
      </c>
      <c r="C1232" s="130" t="s">
        <v>2856</v>
      </c>
      <c r="D1232">
        <v>10303</v>
      </c>
      <c r="E1232" s="130">
        <v>61142766</v>
      </c>
      <c r="F1232" t="s">
        <v>87</v>
      </c>
      <c r="G1232">
        <v>77</v>
      </c>
      <c r="H1232" t="s">
        <v>8951</v>
      </c>
      <c r="I1232" s="130">
        <v>3</v>
      </c>
      <c r="J1232" t="s">
        <v>2856</v>
      </c>
      <c r="K1232" t="s">
        <v>95</v>
      </c>
      <c r="L1232" t="s">
        <v>117</v>
      </c>
      <c r="M1232" t="s">
        <v>106</v>
      </c>
      <c r="N1232" t="s">
        <v>114</v>
      </c>
      <c r="O1232" t="s">
        <v>116</v>
      </c>
    </row>
    <row r="1233" spans="1:15" x14ac:dyDescent="0.3">
      <c r="A1233" s="130">
        <v>6451</v>
      </c>
      <c r="B1233" s="130">
        <v>30</v>
      </c>
      <c r="C1233" s="130" t="s">
        <v>2857</v>
      </c>
      <c r="D1233">
        <v>10143</v>
      </c>
      <c r="E1233" s="130">
        <v>7939296</v>
      </c>
      <c r="F1233" t="s">
        <v>87</v>
      </c>
      <c r="G1233">
        <v>9135</v>
      </c>
      <c r="H1233" t="s">
        <v>8952</v>
      </c>
      <c r="I1233" s="130">
        <v>9</v>
      </c>
      <c r="J1233" t="s">
        <v>2857</v>
      </c>
      <c r="K1233" t="s">
        <v>108</v>
      </c>
      <c r="L1233" t="s">
        <v>163</v>
      </c>
      <c r="M1233" t="s">
        <v>103</v>
      </c>
      <c r="N1233" t="s">
        <v>98</v>
      </c>
      <c r="O1233" t="s">
        <v>1345</v>
      </c>
    </row>
    <row r="1234" spans="1:15" x14ac:dyDescent="0.3">
      <c r="A1234" s="130">
        <v>6453</v>
      </c>
      <c r="B1234" s="130">
        <v>30</v>
      </c>
      <c r="C1234" s="130" t="s">
        <v>2858</v>
      </c>
      <c r="D1234">
        <v>10324</v>
      </c>
      <c r="E1234" s="130">
        <v>1595865</v>
      </c>
      <c r="F1234" t="s">
        <v>87</v>
      </c>
      <c r="G1234">
        <v>9135</v>
      </c>
      <c r="H1234" t="s">
        <v>8953</v>
      </c>
      <c r="I1234" s="130">
        <v>18</v>
      </c>
      <c r="J1234" t="s">
        <v>2858</v>
      </c>
      <c r="K1234" t="s">
        <v>108</v>
      </c>
      <c r="L1234" t="s">
        <v>123</v>
      </c>
      <c r="M1234" t="s">
        <v>103</v>
      </c>
      <c r="N1234" t="s">
        <v>98</v>
      </c>
      <c r="O1234" t="s">
        <v>1345</v>
      </c>
    </row>
    <row r="1235" spans="1:15" x14ac:dyDescent="0.3">
      <c r="A1235" s="130">
        <v>6483</v>
      </c>
      <c r="B1235" s="130">
        <v>30</v>
      </c>
      <c r="C1235" s="130" t="s">
        <v>2859</v>
      </c>
      <c r="D1235">
        <v>10360</v>
      </c>
      <c r="E1235" s="131">
        <v>33592510</v>
      </c>
      <c r="F1235" t="s">
        <v>87</v>
      </c>
      <c r="G1235">
        <v>77</v>
      </c>
      <c r="H1235" t="s">
        <v>8951</v>
      </c>
      <c r="I1235" s="131">
        <v>41</v>
      </c>
      <c r="J1235" t="s">
        <v>2859</v>
      </c>
      <c r="K1235" t="s">
        <v>95</v>
      </c>
      <c r="L1235" t="s">
        <v>117</v>
      </c>
      <c r="M1235" t="s">
        <v>180</v>
      </c>
      <c r="N1235" t="s">
        <v>118</v>
      </c>
      <c r="O1235" t="s">
        <v>1345</v>
      </c>
    </row>
    <row r="1236" spans="1:15" x14ac:dyDescent="0.3">
      <c r="A1236" s="130">
        <v>6485</v>
      </c>
      <c r="B1236" s="130">
        <v>18</v>
      </c>
      <c r="C1236" s="130" t="s">
        <v>2860</v>
      </c>
      <c r="D1236">
        <v>10367</v>
      </c>
      <c r="E1236" s="130">
        <v>20177671</v>
      </c>
      <c r="F1236" t="s">
        <v>87</v>
      </c>
      <c r="G1236">
        <v>9135</v>
      </c>
      <c r="H1236" t="s">
        <v>8952</v>
      </c>
      <c r="I1236" s="130">
        <v>10</v>
      </c>
      <c r="J1236" t="s">
        <v>2860</v>
      </c>
      <c r="K1236" t="s">
        <v>108</v>
      </c>
      <c r="L1236" t="s">
        <v>127</v>
      </c>
      <c r="M1236" t="s">
        <v>112</v>
      </c>
      <c r="N1236" t="s">
        <v>118</v>
      </c>
      <c r="O1236" t="s">
        <v>1345</v>
      </c>
    </row>
    <row r="1237" spans="1:15" x14ac:dyDescent="0.3">
      <c r="A1237" s="130">
        <v>6487</v>
      </c>
      <c r="B1237" s="130">
        <v>10</v>
      </c>
      <c r="C1237" s="130" t="s">
        <v>2861</v>
      </c>
      <c r="D1237">
        <v>10372</v>
      </c>
      <c r="E1237" s="130">
        <v>17255696</v>
      </c>
      <c r="F1237" t="s">
        <v>87</v>
      </c>
      <c r="G1237">
        <v>9135</v>
      </c>
      <c r="H1237" t="s">
        <v>8953</v>
      </c>
      <c r="I1237" s="130">
        <v>3</v>
      </c>
      <c r="J1237" t="s">
        <v>2861</v>
      </c>
      <c r="K1237" t="s">
        <v>108</v>
      </c>
      <c r="L1237" t="s">
        <v>111</v>
      </c>
      <c r="M1237" t="s">
        <v>133</v>
      </c>
      <c r="N1237" t="s">
        <v>98</v>
      </c>
      <c r="O1237" t="s">
        <v>1345</v>
      </c>
    </row>
    <row r="1238" spans="1:15" x14ac:dyDescent="0.3">
      <c r="A1238" s="130">
        <v>6492</v>
      </c>
      <c r="B1238" s="130">
        <v>15</v>
      </c>
      <c r="C1238" s="130" t="s">
        <v>2862</v>
      </c>
      <c r="D1238">
        <v>10385</v>
      </c>
      <c r="E1238" s="130">
        <v>61327904</v>
      </c>
      <c r="F1238" t="s">
        <v>87</v>
      </c>
      <c r="G1238">
        <v>9135</v>
      </c>
      <c r="H1238" t="s">
        <v>8951</v>
      </c>
      <c r="I1238" s="131">
        <v>24</v>
      </c>
      <c r="J1238" t="s">
        <v>2862</v>
      </c>
      <c r="K1238" t="s">
        <v>108</v>
      </c>
      <c r="L1238" t="s">
        <v>191</v>
      </c>
      <c r="M1238" t="s">
        <v>145</v>
      </c>
      <c r="N1238" t="s">
        <v>118</v>
      </c>
      <c r="O1238" t="s">
        <v>1345</v>
      </c>
    </row>
    <row r="1239" spans="1:15" x14ac:dyDescent="0.3">
      <c r="A1239" s="130">
        <v>6493</v>
      </c>
      <c r="B1239" s="130">
        <v>-1</v>
      </c>
      <c r="C1239" s="130" t="s">
        <v>2863</v>
      </c>
      <c r="D1239">
        <v>10386</v>
      </c>
      <c r="E1239" s="131">
        <v>42664883</v>
      </c>
      <c r="F1239" t="s">
        <v>87</v>
      </c>
      <c r="G1239">
        <v>9135</v>
      </c>
      <c r="H1239" t="s">
        <v>8952</v>
      </c>
      <c r="I1239" s="130">
        <v>18</v>
      </c>
      <c r="J1239" t="s">
        <v>2863</v>
      </c>
      <c r="K1239" t="s">
        <v>108</v>
      </c>
      <c r="L1239" t="s">
        <v>123</v>
      </c>
      <c r="M1239" t="s">
        <v>174</v>
      </c>
      <c r="N1239" t="s">
        <v>98</v>
      </c>
      <c r="O1239" t="s">
        <v>1345</v>
      </c>
    </row>
    <row r="1240" spans="1:15" x14ac:dyDescent="0.3">
      <c r="A1240" s="130">
        <v>6495</v>
      </c>
      <c r="B1240" s="130">
        <v>30</v>
      </c>
      <c r="C1240" s="130" t="s">
        <v>2864</v>
      </c>
      <c r="D1240">
        <v>10388</v>
      </c>
      <c r="E1240" s="130">
        <v>2617158</v>
      </c>
      <c r="F1240" t="s">
        <v>87</v>
      </c>
      <c r="G1240">
        <v>9135</v>
      </c>
      <c r="H1240" t="s">
        <v>8953</v>
      </c>
      <c r="I1240" s="130">
        <v>3</v>
      </c>
      <c r="J1240" t="s">
        <v>2864</v>
      </c>
      <c r="K1240" t="s">
        <v>108</v>
      </c>
      <c r="L1240" t="s">
        <v>140</v>
      </c>
      <c r="M1240" t="s">
        <v>103</v>
      </c>
      <c r="N1240" t="s">
        <v>98</v>
      </c>
      <c r="O1240" t="s">
        <v>1345</v>
      </c>
    </row>
    <row r="1241" spans="1:15" x14ac:dyDescent="0.3">
      <c r="A1241" s="130">
        <v>6526</v>
      </c>
      <c r="B1241" s="130">
        <v>-1</v>
      </c>
      <c r="C1241" s="130" t="s">
        <v>2865</v>
      </c>
      <c r="D1241">
        <v>10427</v>
      </c>
      <c r="E1241" s="131">
        <v>23086464</v>
      </c>
      <c r="F1241" t="s">
        <v>87</v>
      </c>
      <c r="G1241">
        <v>9135</v>
      </c>
      <c r="H1241" t="s">
        <v>8951</v>
      </c>
      <c r="I1241" s="131">
        <v>9</v>
      </c>
      <c r="J1241" t="s">
        <v>2865</v>
      </c>
      <c r="K1241" t="s">
        <v>108</v>
      </c>
      <c r="L1241" t="s">
        <v>134</v>
      </c>
      <c r="M1241" t="s">
        <v>174</v>
      </c>
      <c r="N1241" t="s">
        <v>101</v>
      </c>
      <c r="O1241" t="s">
        <v>1345</v>
      </c>
    </row>
    <row r="1242" spans="1:15" x14ac:dyDescent="0.3">
      <c r="A1242" s="130">
        <v>6530</v>
      </c>
      <c r="B1242" s="130">
        <v>18</v>
      </c>
      <c r="C1242" s="130" t="s">
        <v>2866</v>
      </c>
      <c r="D1242">
        <v>10441</v>
      </c>
      <c r="E1242" s="130">
        <v>26767404</v>
      </c>
      <c r="F1242" t="s">
        <v>87</v>
      </c>
      <c r="G1242">
        <v>9135</v>
      </c>
      <c r="H1242" t="s">
        <v>8952</v>
      </c>
      <c r="I1242" s="130">
        <v>10</v>
      </c>
      <c r="J1242" t="s">
        <v>2866</v>
      </c>
      <c r="K1242" t="s">
        <v>108</v>
      </c>
      <c r="L1242" t="s">
        <v>127</v>
      </c>
      <c r="M1242" t="s">
        <v>112</v>
      </c>
      <c r="N1242" t="s">
        <v>98</v>
      </c>
      <c r="O1242" t="s">
        <v>1345</v>
      </c>
    </row>
    <row r="1243" spans="1:15" x14ac:dyDescent="0.3">
      <c r="A1243" s="130">
        <v>6532</v>
      </c>
      <c r="B1243" s="130">
        <v>18</v>
      </c>
      <c r="C1243" s="130" t="s">
        <v>2867</v>
      </c>
      <c r="D1243">
        <v>10434</v>
      </c>
      <c r="E1243" s="131">
        <v>21792837</v>
      </c>
      <c r="F1243" t="s">
        <v>87</v>
      </c>
      <c r="G1243">
        <v>9135</v>
      </c>
      <c r="H1243" t="s">
        <v>8953</v>
      </c>
      <c r="I1243" s="130">
        <v>9</v>
      </c>
      <c r="J1243" t="s">
        <v>2867</v>
      </c>
      <c r="K1243" t="s">
        <v>108</v>
      </c>
      <c r="L1243" t="s">
        <v>125</v>
      </c>
      <c r="M1243" t="s">
        <v>112</v>
      </c>
      <c r="N1243" t="s">
        <v>101</v>
      </c>
      <c r="O1243" t="s">
        <v>1345</v>
      </c>
    </row>
    <row r="1244" spans="1:15" x14ac:dyDescent="0.3">
      <c r="A1244" s="130">
        <v>6542</v>
      </c>
      <c r="B1244" s="130">
        <v>30</v>
      </c>
      <c r="C1244" s="130" t="s">
        <v>2868</v>
      </c>
      <c r="D1244">
        <v>10457</v>
      </c>
      <c r="E1244" s="130">
        <v>73305997</v>
      </c>
      <c r="F1244" t="s">
        <v>87</v>
      </c>
      <c r="G1244">
        <v>9135</v>
      </c>
      <c r="H1244" t="s">
        <v>8951</v>
      </c>
      <c r="I1244" s="131">
        <v>18</v>
      </c>
      <c r="J1244" t="s">
        <v>2868</v>
      </c>
      <c r="K1244" t="s">
        <v>95</v>
      </c>
      <c r="L1244" t="s">
        <v>123</v>
      </c>
      <c r="M1244" t="s">
        <v>103</v>
      </c>
      <c r="N1244" t="s">
        <v>98</v>
      </c>
      <c r="O1244" t="s">
        <v>1345</v>
      </c>
    </row>
    <row r="1245" spans="1:15" x14ac:dyDescent="0.3">
      <c r="A1245" s="130">
        <v>6548</v>
      </c>
      <c r="B1245" s="130">
        <v>15</v>
      </c>
      <c r="C1245" s="130" t="s">
        <v>2869</v>
      </c>
      <c r="D1245">
        <v>10466</v>
      </c>
      <c r="E1245" s="130">
        <v>9597095</v>
      </c>
      <c r="F1245" t="s">
        <v>87</v>
      </c>
      <c r="G1245">
        <v>358</v>
      </c>
      <c r="H1245" t="s">
        <v>8952</v>
      </c>
      <c r="I1245" s="131">
        <v>9</v>
      </c>
      <c r="J1245" t="s">
        <v>2869</v>
      </c>
      <c r="K1245" t="s">
        <v>95</v>
      </c>
      <c r="L1245" t="s">
        <v>105</v>
      </c>
      <c r="M1245" t="s">
        <v>145</v>
      </c>
      <c r="N1245" t="s">
        <v>141</v>
      </c>
      <c r="O1245" t="s">
        <v>1345</v>
      </c>
    </row>
    <row r="1246" spans="1:15" x14ac:dyDescent="0.3">
      <c r="A1246" s="130">
        <v>6552</v>
      </c>
      <c r="B1246" s="130">
        <v>30</v>
      </c>
      <c r="C1246" s="130" t="s">
        <v>2870</v>
      </c>
      <c r="D1246">
        <v>10470</v>
      </c>
      <c r="E1246" s="130">
        <v>3092799</v>
      </c>
      <c r="F1246" t="s">
        <v>87</v>
      </c>
      <c r="G1246">
        <v>358</v>
      </c>
      <c r="H1246" t="s">
        <v>8953</v>
      </c>
      <c r="I1246" s="130">
        <v>10</v>
      </c>
      <c r="J1246" t="s">
        <v>2870</v>
      </c>
      <c r="K1246" t="s">
        <v>95</v>
      </c>
      <c r="L1246" t="s">
        <v>146</v>
      </c>
      <c r="M1246" t="s">
        <v>103</v>
      </c>
      <c r="N1246" t="s">
        <v>124</v>
      </c>
      <c r="O1246" t="s">
        <v>1345</v>
      </c>
    </row>
    <row r="1247" spans="1:15" x14ac:dyDescent="0.3">
      <c r="A1247" s="130">
        <v>6553</v>
      </c>
      <c r="B1247" s="130">
        <v>30</v>
      </c>
      <c r="C1247" s="130" t="s">
        <v>2871</v>
      </c>
      <c r="D1247">
        <v>10471</v>
      </c>
      <c r="E1247" s="130">
        <v>3092799</v>
      </c>
      <c r="F1247" t="s">
        <v>87</v>
      </c>
      <c r="G1247">
        <v>9135</v>
      </c>
      <c r="H1247" t="s">
        <v>8951</v>
      </c>
      <c r="I1247" s="130">
        <v>3</v>
      </c>
      <c r="J1247" t="s">
        <v>2871</v>
      </c>
      <c r="K1247" t="s">
        <v>95</v>
      </c>
      <c r="L1247" t="s">
        <v>146</v>
      </c>
      <c r="M1247" t="s">
        <v>103</v>
      </c>
      <c r="N1247" t="s">
        <v>124</v>
      </c>
      <c r="O1247" t="s">
        <v>1345</v>
      </c>
    </row>
    <row r="1248" spans="1:15" x14ac:dyDescent="0.3">
      <c r="A1248" s="130">
        <v>6558</v>
      </c>
      <c r="B1248" s="130">
        <v>20</v>
      </c>
      <c r="C1248" s="130" t="s">
        <v>2872</v>
      </c>
      <c r="D1248">
        <v>10477</v>
      </c>
      <c r="E1248" s="130">
        <v>17469701</v>
      </c>
      <c r="F1248" t="s">
        <v>87</v>
      </c>
      <c r="G1248">
        <v>77</v>
      </c>
      <c r="H1248" t="s">
        <v>8952</v>
      </c>
      <c r="I1248" s="131">
        <v>14</v>
      </c>
      <c r="J1248" t="s">
        <v>2872</v>
      </c>
      <c r="K1248" t="s">
        <v>95</v>
      </c>
      <c r="L1248" t="s">
        <v>117</v>
      </c>
      <c r="M1248" t="s">
        <v>220</v>
      </c>
      <c r="N1248" t="s">
        <v>118</v>
      </c>
      <c r="O1248" t="s">
        <v>116</v>
      </c>
    </row>
    <row r="1249" spans="1:15" x14ac:dyDescent="0.3">
      <c r="A1249" s="130">
        <v>6559</v>
      </c>
      <c r="B1249" s="130">
        <v>30</v>
      </c>
      <c r="C1249" s="130" t="s">
        <v>2873</v>
      </c>
      <c r="D1249">
        <v>10478</v>
      </c>
      <c r="E1249" s="131">
        <v>33000167</v>
      </c>
      <c r="F1249" t="s">
        <v>87</v>
      </c>
      <c r="G1249">
        <v>358</v>
      </c>
      <c r="H1249" t="s">
        <v>8953</v>
      </c>
      <c r="I1249" s="130">
        <v>24</v>
      </c>
      <c r="J1249" t="s">
        <v>2873</v>
      </c>
      <c r="K1249" t="s">
        <v>95</v>
      </c>
      <c r="L1249" t="s">
        <v>102</v>
      </c>
      <c r="M1249" t="s">
        <v>103</v>
      </c>
      <c r="N1249" t="s">
        <v>114</v>
      </c>
      <c r="O1249" t="s">
        <v>116</v>
      </c>
    </row>
    <row r="1250" spans="1:15" x14ac:dyDescent="0.3">
      <c r="A1250" s="130">
        <v>6560</v>
      </c>
      <c r="B1250" s="130">
        <v>18</v>
      </c>
      <c r="C1250" s="130" t="s">
        <v>2874</v>
      </c>
      <c r="D1250">
        <v>10480</v>
      </c>
      <c r="E1250" s="131">
        <v>26285616</v>
      </c>
      <c r="F1250" t="s">
        <v>87</v>
      </c>
      <c r="G1250">
        <v>9135</v>
      </c>
      <c r="H1250" t="s">
        <v>8951</v>
      </c>
      <c r="I1250" s="131">
        <v>37</v>
      </c>
      <c r="J1250" t="s">
        <v>2874</v>
      </c>
      <c r="K1250" t="s">
        <v>108</v>
      </c>
      <c r="L1250" t="s">
        <v>138</v>
      </c>
      <c r="M1250" t="s">
        <v>112</v>
      </c>
      <c r="N1250" t="s">
        <v>101</v>
      </c>
      <c r="O1250" t="s">
        <v>116</v>
      </c>
    </row>
    <row r="1251" spans="1:15" x14ac:dyDescent="0.3">
      <c r="A1251" s="130">
        <v>6570</v>
      </c>
      <c r="B1251" s="130">
        <v>30</v>
      </c>
      <c r="C1251" s="130" t="s">
        <v>2875</v>
      </c>
      <c r="D1251">
        <v>10498</v>
      </c>
      <c r="E1251" s="130">
        <v>2485964</v>
      </c>
      <c r="F1251" t="s">
        <v>87</v>
      </c>
      <c r="G1251">
        <v>358</v>
      </c>
      <c r="H1251" t="s">
        <v>8952</v>
      </c>
      <c r="I1251" s="131">
        <v>3</v>
      </c>
      <c r="J1251" t="s">
        <v>2875</v>
      </c>
      <c r="K1251" t="s">
        <v>95</v>
      </c>
      <c r="L1251" t="s">
        <v>109</v>
      </c>
      <c r="M1251" t="s">
        <v>103</v>
      </c>
      <c r="N1251" t="s">
        <v>122</v>
      </c>
      <c r="O1251" t="s">
        <v>1345</v>
      </c>
    </row>
    <row r="1252" spans="1:15" x14ac:dyDescent="0.3">
      <c r="A1252" s="130">
        <v>6571</v>
      </c>
      <c r="B1252" s="130">
        <v>18</v>
      </c>
      <c r="C1252" s="130" t="s">
        <v>2876</v>
      </c>
      <c r="D1252">
        <v>10180</v>
      </c>
      <c r="E1252" s="130">
        <v>34213025</v>
      </c>
      <c r="F1252" t="s">
        <v>87</v>
      </c>
      <c r="G1252">
        <v>9135</v>
      </c>
      <c r="H1252" t="s">
        <v>8953</v>
      </c>
      <c r="I1252" s="130">
        <v>9</v>
      </c>
      <c r="J1252" t="s">
        <v>2876</v>
      </c>
      <c r="K1252" t="s">
        <v>108</v>
      </c>
      <c r="L1252" t="s">
        <v>125</v>
      </c>
      <c r="M1252" t="s">
        <v>112</v>
      </c>
      <c r="N1252" t="s">
        <v>98</v>
      </c>
      <c r="O1252" t="s">
        <v>1345</v>
      </c>
    </row>
    <row r="1253" spans="1:15" x14ac:dyDescent="0.3">
      <c r="A1253" s="130">
        <v>6572</v>
      </c>
      <c r="B1253" s="130">
        <v>30</v>
      </c>
      <c r="C1253" s="130" t="s">
        <v>2877</v>
      </c>
      <c r="D1253">
        <v>10500</v>
      </c>
      <c r="E1253" s="130">
        <v>83693366</v>
      </c>
      <c r="F1253" t="s">
        <v>87</v>
      </c>
      <c r="G1253">
        <v>9135</v>
      </c>
      <c r="H1253" t="s">
        <v>8951</v>
      </c>
      <c r="I1253" s="130">
        <v>24</v>
      </c>
      <c r="J1253" t="s">
        <v>2877</v>
      </c>
      <c r="K1253" t="s">
        <v>108</v>
      </c>
      <c r="L1253" t="s">
        <v>191</v>
      </c>
      <c r="M1253" t="s">
        <v>103</v>
      </c>
      <c r="N1253" t="s">
        <v>98</v>
      </c>
      <c r="O1253" t="s">
        <v>1345</v>
      </c>
    </row>
    <row r="1254" spans="1:15" x14ac:dyDescent="0.3">
      <c r="A1254" s="130">
        <v>6575</v>
      </c>
      <c r="B1254" s="130">
        <v>18</v>
      </c>
      <c r="C1254" s="130" t="s">
        <v>2878</v>
      </c>
      <c r="D1254">
        <v>10380</v>
      </c>
      <c r="E1254" s="130">
        <v>3284231</v>
      </c>
      <c r="F1254" t="s">
        <v>87</v>
      </c>
      <c r="G1254">
        <v>9135</v>
      </c>
      <c r="H1254" t="s">
        <v>8952</v>
      </c>
      <c r="I1254" s="130">
        <v>9</v>
      </c>
      <c r="J1254" t="s">
        <v>2878</v>
      </c>
      <c r="K1254" t="s">
        <v>108</v>
      </c>
      <c r="L1254" t="s">
        <v>163</v>
      </c>
      <c r="M1254" t="s">
        <v>112</v>
      </c>
      <c r="N1254" t="s">
        <v>98</v>
      </c>
      <c r="O1254" t="s">
        <v>1345</v>
      </c>
    </row>
    <row r="1255" spans="1:15" x14ac:dyDescent="0.3">
      <c r="A1255" s="130">
        <v>6576</v>
      </c>
      <c r="B1255" s="130">
        <v>-1</v>
      </c>
      <c r="C1255" s="130" t="s">
        <v>2879</v>
      </c>
      <c r="D1255">
        <v>10363</v>
      </c>
      <c r="E1255" s="130">
        <v>7792949</v>
      </c>
      <c r="F1255" t="s">
        <v>87</v>
      </c>
      <c r="G1255">
        <v>9135</v>
      </c>
      <c r="H1255" t="s">
        <v>8953</v>
      </c>
      <c r="I1255" s="130">
        <v>9</v>
      </c>
      <c r="J1255" t="s">
        <v>2879</v>
      </c>
      <c r="K1255" t="s">
        <v>108</v>
      </c>
      <c r="L1255" t="s">
        <v>125</v>
      </c>
      <c r="M1255" t="s">
        <v>174</v>
      </c>
      <c r="N1255" t="s">
        <v>98</v>
      </c>
      <c r="O1255" t="s">
        <v>1345</v>
      </c>
    </row>
    <row r="1256" spans="1:15" x14ac:dyDescent="0.3">
      <c r="A1256" s="130">
        <v>6578</v>
      </c>
      <c r="B1256" s="130">
        <v>30</v>
      </c>
      <c r="C1256" s="130" t="s">
        <v>2880</v>
      </c>
      <c r="D1256">
        <v>10512</v>
      </c>
      <c r="E1256" s="130">
        <v>83693366</v>
      </c>
      <c r="F1256" t="s">
        <v>87</v>
      </c>
      <c r="G1256">
        <v>9135</v>
      </c>
      <c r="H1256" t="s">
        <v>8951</v>
      </c>
      <c r="I1256" s="131">
        <v>10</v>
      </c>
      <c r="J1256" t="s">
        <v>2880</v>
      </c>
      <c r="K1256" t="s">
        <v>108</v>
      </c>
      <c r="L1256" t="s">
        <v>127</v>
      </c>
      <c r="M1256" t="s">
        <v>103</v>
      </c>
      <c r="N1256" t="s">
        <v>98</v>
      </c>
      <c r="O1256" t="s">
        <v>1345</v>
      </c>
    </row>
    <row r="1257" spans="1:15" x14ac:dyDescent="0.3">
      <c r="A1257" s="130">
        <v>6579</v>
      </c>
      <c r="B1257" s="130">
        <v>18</v>
      </c>
      <c r="C1257" s="130" t="s">
        <v>2881</v>
      </c>
      <c r="D1257">
        <v>10513</v>
      </c>
      <c r="E1257" s="131">
        <v>23086464</v>
      </c>
      <c r="F1257" t="s">
        <v>87</v>
      </c>
      <c r="G1257">
        <v>9135</v>
      </c>
      <c r="H1257" t="s">
        <v>8952</v>
      </c>
      <c r="I1257" s="131">
        <v>9</v>
      </c>
      <c r="J1257" t="s">
        <v>2881</v>
      </c>
      <c r="K1257" t="s">
        <v>108</v>
      </c>
      <c r="L1257" t="s">
        <v>125</v>
      </c>
      <c r="M1257" t="s">
        <v>112</v>
      </c>
      <c r="N1257" t="s">
        <v>101</v>
      </c>
      <c r="O1257" t="s">
        <v>1345</v>
      </c>
    </row>
    <row r="1258" spans="1:15" x14ac:dyDescent="0.3">
      <c r="A1258" s="130">
        <v>6580</v>
      </c>
      <c r="B1258" s="130">
        <v>18</v>
      </c>
      <c r="C1258" s="130" t="s">
        <v>2882</v>
      </c>
      <c r="D1258">
        <v>10517</v>
      </c>
      <c r="E1258" s="130">
        <v>20895965</v>
      </c>
      <c r="F1258" t="s">
        <v>87</v>
      </c>
      <c r="G1258">
        <v>9135</v>
      </c>
      <c r="H1258" t="s">
        <v>8953</v>
      </c>
      <c r="I1258" s="130">
        <v>3</v>
      </c>
      <c r="J1258" t="s">
        <v>2882</v>
      </c>
      <c r="K1258" t="s">
        <v>95</v>
      </c>
      <c r="L1258" t="s">
        <v>111</v>
      </c>
      <c r="M1258" t="s">
        <v>112</v>
      </c>
      <c r="N1258" t="s">
        <v>98</v>
      </c>
      <c r="O1258" t="s">
        <v>1345</v>
      </c>
    </row>
    <row r="1259" spans="1:15" x14ac:dyDescent="0.3">
      <c r="A1259" s="130">
        <v>6586</v>
      </c>
      <c r="B1259" s="130">
        <v>5</v>
      </c>
      <c r="C1259" s="130" t="s">
        <v>2883</v>
      </c>
      <c r="D1259">
        <v>10524</v>
      </c>
      <c r="E1259" s="131">
        <v>21457802</v>
      </c>
      <c r="F1259" t="s">
        <v>87</v>
      </c>
      <c r="G1259">
        <v>9135</v>
      </c>
      <c r="H1259" t="s">
        <v>8951</v>
      </c>
      <c r="I1259" s="130">
        <v>3</v>
      </c>
      <c r="J1259" t="s">
        <v>2883</v>
      </c>
      <c r="K1259" t="s">
        <v>108</v>
      </c>
      <c r="L1259" t="s">
        <v>111</v>
      </c>
      <c r="M1259" t="s">
        <v>129</v>
      </c>
      <c r="N1259" t="s">
        <v>150</v>
      </c>
      <c r="O1259" t="s">
        <v>1345</v>
      </c>
    </row>
    <row r="1260" spans="1:15" x14ac:dyDescent="0.3">
      <c r="A1260" s="130">
        <v>6587</v>
      </c>
      <c r="B1260" s="130">
        <v>30</v>
      </c>
      <c r="C1260" s="130" t="s">
        <v>2884</v>
      </c>
      <c r="D1260">
        <v>10525</v>
      </c>
      <c r="E1260" s="130">
        <v>3672857</v>
      </c>
      <c r="F1260" t="s">
        <v>87</v>
      </c>
      <c r="G1260">
        <v>9135</v>
      </c>
      <c r="H1260" t="s">
        <v>8952</v>
      </c>
      <c r="I1260" s="130">
        <v>10</v>
      </c>
      <c r="J1260" t="s">
        <v>2884</v>
      </c>
      <c r="K1260" t="s">
        <v>95</v>
      </c>
      <c r="L1260" t="s">
        <v>127</v>
      </c>
      <c r="M1260" t="s">
        <v>103</v>
      </c>
      <c r="N1260" t="s">
        <v>118</v>
      </c>
      <c r="O1260" t="s">
        <v>1345</v>
      </c>
    </row>
    <row r="1261" spans="1:15" x14ac:dyDescent="0.3">
      <c r="A1261" s="130">
        <v>6590</v>
      </c>
      <c r="B1261" s="130">
        <v>30</v>
      </c>
      <c r="C1261" s="130" t="s">
        <v>2885</v>
      </c>
      <c r="D1261">
        <v>10532</v>
      </c>
      <c r="E1261" s="130">
        <v>10349312</v>
      </c>
      <c r="F1261" t="s">
        <v>87</v>
      </c>
      <c r="G1261">
        <v>77</v>
      </c>
      <c r="H1261" t="s">
        <v>8953</v>
      </c>
      <c r="I1261" s="130">
        <v>3</v>
      </c>
      <c r="J1261" t="s">
        <v>2885</v>
      </c>
      <c r="K1261" t="s">
        <v>95</v>
      </c>
      <c r="L1261" t="s">
        <v>117</v>
      </c>
      <c r="M1261" t="s">
        <v>103</v>
      </c>
      <c r="N1261" t="s">
        <v>98</v>
      </c>
      <c r="O1261" t="s">
        <v>116</v>
      </c>
    </row>
    <row r="1262" spans="1:15" x14ac:dyDescent="0.3">
      <c r="A1262" s="130">
        <v>6619</v>
      </c>
      <c r="B1262" s="130">
        <v>18</v>
      </c>
      <c r="C1262" s="130" t="s">
        <v>2886</v>
      </c>
      <c r="D1262">
        <v>10546</v>
      </c>
      <c r="E1262" s="130">
        <v>22351410</v>
      </c>
      <c r="F1262" t="s">
        <v>87</v>
      </c>
      <c r="G1262">
        <v>9135</v>
      </c>
      <c r="H1262" t="s">
        <v>8951</v>
      </c>
      <c r="I1262" s="130">
        <v>18</v>
      </c>
      <c r="J1262" t="s">
        <v>2886</v>
      </c>
      <c r="K1262" t="s">
        <v>108</v>
      </c>
      <c r="L1262" t="s">
        <v>123</v>
      </c>
      <c r="M1262" t="s">
        <v>112</v>
      </c>
      <c r="N1262" t="s">
        <v>98</v>
      </c>
      <c r="O1262" t="s">
        <v>1345</v>
      </c>
    </row>
    <row r="1263" spans="1:15" x14ac:dyDescent="0.3">
      <c r="A1263" s="130">
        <v>6622</v>
      </c>
      <c r="B1263" s="130">
        <v>18</v>
      </c>
      <c r="C1263" s="130" t="s">
        <v>2887</v>
      </c>
      <c r="D1263">
        <v>10551</v>
      </c>
      <c r="E1263" s="131">
        <v>4663056</v>
      </c>
      <c r="F1263" t="s">
        <v>87</v>
      </c>
      <c r="G1263">
        <v>9135</v>
      </c>
      <c r="H1263" t="s">
        <v>8952</v>
      </c>
      <c r="I1263" s="131">
        <v>26</v>
      </c>
      <c r="J1263" t="s">
        <v>2887</v>
      </c>
      <c r="K1263" t="s">
        <v>108</v>
      </c>
      <c r="L1263" t="s">
        <v>151</v>
      </c>
      <c r="M1263" t="s">
        <v>112</v>
      </c>
      <c r="N1263" t="s">
        <v>118</v>
      </c>
      <c r="O1263" t="s">
        <v>1345</v>
      </c>
    </row>
    <row r="1264" spans="1:15" x14ac:dyDescent="0.3">
      <c r="A1264" s="130">
        <v>6624</v>
      </c>
      <c r="B1264" s="130">
        <v>10</v>
      </c>
      <c r="C1264" s="130" t="s">
        <v>2888</v>
      </c>
      <c r="D1264">
        <v>10456</v>
      </c>
      <c r="E1264" s="131">
        <v>83495275</v>
      </c>
      <c r="F1264" t="s">
        <v>87</v>
      </c>
      <c r="G1264">
        <v>9135</v>
      </c>
      <c r="H1264" t="s">
        <v>8953</v>
      </c>
      <c r="I1264" s="131">
        <v>26</v>
      </c>
      <c r="J1264" t="s">
        <v>2888</v>
      </c>
      <c r="K1264" t="s">
        <v>108</v>
      </c>
      <c r="L1264" t="s">
        <v>140</v>
      </c>
      <c r="M1264" t="s">
        <v>133</v>
      </c>
      <c r="N1264" t="s">
        <v>98</v>
      </c>
      <c r="O1264" t="s">
        <v>1345</v>
      </c>
    </row>
    <row r="1265" spans="1:15" x14ac:dyDescent="0.3">
      <c r="A1265" s="130">
        <v>6632</v>
      </c>
      <c r="B1265" s="130">
        <v>18</v>
      </c>
      <c r="C1265" s="130" t="s">
        <v>2889</v>
      </c>
      <c r="D1265">
        <v>10436</v>
      </c>
      <c r="E1265" s="130">
        <v>21441058</v>
      </c>
      <c r="F1265" t="s">
        <v>87</v>
      </c>
      <c r="G1265">
        <v>9135</v>
      </c>
      <c r="H1265" t="s">
        <v>8951</v>
      </c>
      <c r="I1265" s="130">
        <v>9</v>
      </c>
      <c r="J1265" t="s">
        <v>2889</v>
      </c>
      <c r="K1265" t="s">
        <v>108</v>
      </c>
      <c r="L1265" t="s">
        <v>163</v>
      </c>
      <c r="M1265" t="s">
        <v>112</v>
      </c>
      <c r="N1265" t="s">
        <v>98</v>
      </c>
      <c r="O1265" t="s">
        <v>1345</v>
      </c>
    </row>
    <row r="1266" spans="1:15" x14ac:dyDescent="0.3">
      <c r="A1266" s="130">
        <v>6633</v>
      </c>
      <c r="B1266" s="130">
        <v>21</v>
      </c>
      <c r="C1266" s="130" t="s">
        <v>2890</v>
      </c>
      <c r="D1266">
        <v>10568</v>
      </c>
      <c r="E1266" s="130">
        <v>10558895</v>
      </c>
      <c r="F1266" t="s">
        <v>87</v>
      </c>
      <c r="G1266">
        <v>9135</v>
      </c>
      <c r="H1266" t="s">
        <v>8952</v>
      </c>
      <c r="I1266" s="131">
        <v>37</v>
      </c>
      <c r="J1266" t="s">
        <v>2890</v>
      </c>
      <c r="K1266" t="s">
        <v>95</v>
      </c>
      <c r="L1266" t="s">
        <v>138</v>
      </c>
      <c r="M1266" t="s">
        <v>137</v>
      </c>
      <c r="N1266" t="s">
        <v>98</v>
      </c>
      <c r="O1266" t="s">
        <v>1345</v>
      </c>
    </row>
    <row r="1267" spans="1:15" x14ac:dyDescent="0.3">
      <c r="A1267" s="130">
        <v>6634</v>
      </c>
      <c r="B1267" s="130">
        <v>21</v>
      </c>
      <c r="C1267" s="130" t="s">
        <v>2891</v>
      </c>
      <c r="D1267">
        <v>10571</v>
      </c>
      <c r="E1267" s="130">
        <v>10558895</v>
      </c>
      <c r="F1267" t="s">
        <v>87</v>
      </c>
      <c r="G1267">
        <v>9135</v>
      </c>
      <c r="H1267" t="s">
        <v>8953</v>
      </c>
      <c r="I1267" s="131">
        <v>37</v>
      </c>
      <c r="J1267" t="s">
        <v>2891</v>
      </c>
      <c r="K1267" t="s">
        <v>95</v>
      </c>
      <c r="L1267" t="s">
        <v>138</v>
      </c>
      <c r="M1267" t="s">
        <v>137</v>
      </c>
      <c r="N1267" t="s">
        <v>98</v>
      </c>
      <c r="O1267" t="s">
        <v>1345</v>
      </c>
    </row>
    <row r="1268" spans="1:15" x14ac:dyDescent="0.3">
      <c r="A1268" s="130">
        <v>6636</v>
      </c>
      <c r="B1268" s="130">
        <v>30</v>
      </c>
      <c r="C1268" s="130" t="s">
        <v>2892</v>
      </c>
      <c r="D1268">
        <v>10573</v>
      </c>
      <c r="E1268" s="130">
        <v>17262213</v>
      </c>
      <c r="F1268" t="s">
        <v>87</v>
      </c>
      <c r="G1268">
        <v>9135</v>
      </c>
      <c r="H1268" t="s">
        <v>8951</v>
      </c>
      <c r="I1268" s="130">
        <v>10</v>
      </c>
      <c r="J1268" t="s">
        <v>2892</v>
      </c>
      <c r="K1268" t="s">
        <v>95</v>
      </c>
      <c r="L1268" t="s">
        <v>96</v>
      </c>
      <c r="M1268" t="s">
        <v>103</v>
      </c>
      <c r="N1268" t="s">
        <v>98</v>
      </c>
      <c r="O1268" t="s">
        <v>116</v>
      </c>
    </row>
    <row r="1269" spans="1:15" x14ac:dyDescent="0.3">
      <c r="A1269" s="130">
        <v>6638</v>
      </c>
      <c r="B1269" s="130">
        <v>30</v>
      </c>
      <c r="C1269" s="130" t="s">
        <v>2893</v>
      </c>
      <c r="D1269">
        <v>10575</v>
      </c>
      <c r="E1269" s="131">
        <v>25566035</v>
      </c>
      <c r="F1269" t="s">
        <v>87</v>
      </c>
      <c r="G1269">
        <v>358</v>
      </c>
      <c r="H1269" t="s">
        <v>8952</v>
      </c>
      <c r="I1269" s="131">
        <v>10</v>
      </c>
      <c r="J1269" t="s">
        <v>2893</v>
      </c>
      <c r="K1269" t="s">
        <v>95</v>
      </c>
      <c r="L1269" t="s">
        <v>105</v>
      </c>
      <c r="M1269" t="s">
        <v>103</v>
      </c>
      <c r="N1269" t="s">
        <v>98</v>
      </c>
      <c r="O1269" t="s">
        <v>1345</v>
      </c>
    </row>
    <row r="1270" spans="1:15" x14ac:dyDescent="0.3">
      <c r="A1270" s="130">
        <v>6646</v>
      </c>
      <c r="B1270" s="130">
        <v>30</v>
      </c>
      <c r="C1270" s="130" t="s">
        <v>2894</v>
      </c>
      <c r="D1270">
        <v>10582</v>
      </c>
      <c r="E1270" s="130">
        <v>83693366</v>
      </c>
      <c r="F1270" t="s">
        <v>87</v>
      </c>
      <c r="G1270">
        <v>9135</v>
      </c>
      <c r="H1270" t="s">
        <v>8953</v>
      </c>
      <c r="I1270" s="131">
        <v>10</v>
      </c>
      <c r="J1270" t="s">
        <v>2894</v>
      </c>
      <c r="K1270" t="s">
        <v>108</v>
      </c>
      <c r="L1270" t="s">
        <v>127</v>
      </c>
      <c r="M1270" t="s">
        <v>103</v>
      </c>
      <c r="N1270" t="s">
        <v>98</v>
      </c>
      <c r="O1270" t="s">
        <v>1345</v>
      </c>
    </row>
    <row r="1271" spans="1:15" x14ac:dyDescent="0.3">
      <c r="A1271" s="130">
        <v>6650</v>
      </c>
      <c r="B1271" s="130">
        <v>21</v>
      </c>
      <c r="C1271" s="130" t="s">
        <v>2895</v>
      </c>
      <c r="D1271">
        <v>10589</v>
      </c>
      <c r="E1271" s="131">
        <v>14767790</v>
      </c>
      <c r="F1271" t="s">
        <v>87</v>
      </c>
      <c r="G1271">
        <v>9135</v>
      </c>
      <c r="H1271" t="s">
        <v>8951</v>
      </c>
      <c r="I1271" s="131">
        <v>37</v>
      </c>
      <c r="J1271" t="s">
        <v>2895</v>
      </c>
      <c r="K1271" t="s">
        <v>95</v>
      </c>
      <c r="L1271" t="s">
        <v>138</v>
      </c>
      <c r="M1271" t="s">
        <v>137</v>
      </c>
      <c r="N1271" t="s">
        <v>98</v>
      </c>
      <c r="O1271" t="s">
        <v>1345</v>
      </c>
    </row>
    <row r="1272" spans="1:15" x14ac:dyDescent="0.3">
      <c r="A1272" s="130">
        <v>6651</v>
      </c>
      <c r="B1272" s="130">
        <v>18</v>
      </c>
      <c r="C1272" s="130" t="s">
        <v>2896</v>
      </c>
      <c r="D1272">
        <v>10590</v>
      </c>
      <c r="E1272" s="130">
        <v>183256</v>
      </c>
      <c r="F1272" t="s">
        <v>87</v>
      </c>
      <c r="G1272">
        <v>9135</v>
      </c>
      <c r="H1272" t="s">
        <v>8952</v>
      </c>
      <c r="I1272" s="131">
        <v>9</v>
      </c>
      <c r="J1272" t="s">
        <v>2896</v>
      </c>
      <c r="K1272" t="s">
        <v>95</v>
      </c>
      <c r="L1272" t="s">
        <v>163</v>
      </c>
      <c r="M1272" t="s">
        <v>112</v>
      </c>
      <c r="N1272" t="s">
        <v>114</v>
      </c>
      <c r="O1272" t="s">
        <v>1345</v>
      </c>
    </row>
    <row r="1273" spans="1:15" x14ac:dyDescent="0.3">
      <c r="A1273" s="130">
        <v>6654</v>
      </c>
      <c r="B1273" s="130">
        <v>18</v>
      </c>
      <c r="C1273" s="130" t="s">
        <v>2897</v>
      </c>
      <c r="D1273">
        <v>9989</v>
      </c>
      <c r="E1273" s="130">
        <v>32681371</v>
      </c>
      <c r="F1273" t="s">
        <v>87</v>
      </c>
      <c r="G1273">
        <v>9135</v>
      </c>
      <c r="H1273" t="s">
        <v>8953</v>
      </c>
      <c r="I1273" s="130">
        <v>9</v>
      </c>
      <c r="J1273" t="s">
        <v>2897</v>
      </c>
      <c r="K1273" t="s">
        <v>108</v>
      </c>
      <c r="L1273" t="s">
        <v>125</v>
      </c>
      <c r="M1273" t="s">
        <v>112</v>
      </c>
      <c r="N1273" t="s">
        <v>122</v>
      </c>
      <c r="O1273" t="s">
        <v>1345</v>
      </c>
    </row>
    <row r="1274" spans="1:15" x14ac:dyDescent="0.3">
      <c r="A1274" s="130">
        <v>6655</v>
      </c>
      <c r="B1274" s="130">
        <v>30</v>
      </c>
      <c r="C1274" s="130" t="s">
        <v>2898</v>
      </c>
      <c r="D1274">
        <v>10594</v>
      </c>
      <c r="E1274" s="131">
        <v>34151100</v>
      </c>
      <c r="F1274" t="s">
        <v>87</v>
      </c>
      <c r="G1274">
        <v>9135</v>
      </c>
      <c r="H1274" t="s">
        <v>8951</v>
      </c>
      <c r="I1274" s="130">
        <v>10</v>
      </c>
      <c r="J1274" t="s">
        <v>2898</v>
      </c>
      <c r="K1274" t="s">
        <v>95</v>
      </c>
      <c r="L1274" t="s">
        <v>127</v>
      </c>
      <c r="M1274" t="s">
        <v>103</v>
      </c>
      <c r="N1274" t="s">
        <v>114</v>
      </c>
      <c r="O1274" t="s">
        <v>1345</v>
      </c>
    </row>
    <row r="1275" spans="1:15" x14ac:dyDescent="0.3">
      <c r="A1275" s="130">
        <v>6659</v>
      </c>
      <c r="B1275" s="130">
        <v>30</v>
      </c>
      <c r="C1275" s="130" t="s">
        <v>2899</v>
      </c>
      <c r="D1275">
        <v>10604</v>
      </c>
      <c r="E1275" s="130">
        <v>22320881</v>
      </c>
      <c r="F1275" t="s">
        <v>87</v>
      </c>
      <c r="G1275">
        <v>358</v>
      </c>
      <c r="H1275" t="s">
        <v>8952</v>
      </c>
      <c r="I1275" s="130">
        <v>3</v>
      </c>
      <c r="J1275" t="s">
        <v>2899</v>
      </c>
      <c r="K1275" t="s">
        <v>95</v>
      </c>
      <c r="L1275" t="s">
        <v>109</v>
      </c>
      <c r="M1275" t="s">
        <v>103</v>
      </c>
      <c r="N1275" t="s">
        <v>98</v>
      </c>
      <c r="O1275" t="s">
        <v>1345</v>
      </c>
    </row>
    <row r="1276" spans="1:15" x14ac:dyDescent="0.3">
      <c r="A1276" s="130">
        <v>6662</v>
      </c>
      <c r="B1276" s="130">
        <v>10</v>
      </c>
      <c r="C1276" s="130" t="s">
        <v>2900</v>
      </c>
      <c r="D1276">
        <v>10609</v>
      </c>
      <c r="E1276" s="130">
        <v>9080623</v>
      </c>
      <c r="F1276" t="s">
        <v>87</v>
      </c>
      <c r="G1276">
        <v>9135</v>
      </c>
      <c r="H1276" t="s">
        <v>8953</v>
      </c>
      <c r="I1276" s="131">
        <v>19</v>
      </c>
      <c r="J1276" t="s">
        <v>2900</v>
      </c>
      <c r="K1276" t="s">
        <v>108</v>
      </c>
      <c r="L1276" t="s">
        <v>146</v>
      </c>
      <c r="M1276" t="s">
        <v>133</v>
      </c>
      <c r="N1276" t="s">
        <v>98</v>
      </c>
      <c r="O1276" t="s">
        <v>1345</v>
      </c>
    </row>
    <row r="1277" spans="1:15" x14ac:dyDescent="0.3">
      <c r="A1277" s="130">
        <v>6663</v>
      </c>
      <c r="B1277" s="130">
        <v>30</v>
      </c>
      <c r="C1277" s="130" t="s">
        <v>2901</v>
      </c>
      <c r="D1277">
        <v>10614</v>
      </c>
      <c r="E1277" s="130">
        <v>3828767</v>
      </c>
      <c r="F1277" t="s">
        <v>87</v>
      </c>
      <c r="G1277">
        <v>9135</v>
      </c>
      <c r="H1277" t="s">
        <v>8951</v>
      </c>
      <c r="I1277" s="131">
        <v>18</v>
      </c>
      <c r="J1277" t="s">
        <v>2901</v>
      </c>
      <c r="K1277" t="s">
        <v>108</v>
      </c>
      <c r="L1277" t="s">
        <v>123</v>
      </c>
      <c r="M1277" t="s">
        <v>103</v>
      </c>
      <c r="N1277" t="s">
        <v>98</v>
      </c>
      <c r="O1277" t="s">
        <v>1345</v>
      </c>
    </row>
    <row r="1278" spans="1:15" x14ac:dyDescent="0.3">
      <c r="A1278" s="130">
        <v>6667</v>
      </c>
      <c r="B1278" s="130">
        <v>30</v>
      </c>
      <c r="C1278" s="130" t="s">
        <v>2902</v>
      </c>
      <c r="D1278">
        <v>10619</v>
      </c>
      <c r="E1278" s="130">
        <v>6987533</v>
      </c>
      <c r="F1278" t="s">
        <v>87</v>
      </c>
      <c r="G1278">
        <v>9135</v>
      </c>
      <c r="H1278" t="s">
        <v>8952</v>
      </c>
      <c r="I1278" s="131">
        <v>18</v>
      </c>
      <c r="J1278" t="s">
        <v>2902</v>
      </c>
      <c r="K1278" t="s">
        <v>108</v>
      </c>
      <c r="L1278" t="s">
        <v>123</v>
      </c>
      <c r="M1278" t="s">
        <v>103</v>
      </c>
      <c r="N1278" t="s">
        <v>98</v>
      </c>
      <c r="O1278" t="s">
        <v>116</v>
      </c>
    </row>
    <row r="1279" spans="1:15" x14ac:dyDescent="0.3">
      <c r="A1279" s="130">
        <v>6672</v>
      </c>
      <c r="B1279" s="130">
        <v>-1</v>
      </c>
      <c r="C1279" s="130" t="s">
        <v>2903</v>
      </c>
      <c r="D1279">
        <v>10625</v>
      </c>
      <c r="E1279" s="130">
        <v>44764288</v>
      </c>
      <c r="F1279" t="s">
        <v>87</v>
      </c>
      <c r="G1279">
        <v>9135</v>
      </c>
      <c r="H1279" t="s">
        <v>8953</v>
      </c>
      <c r="I1279" s="131">
        <v>10</v>
      </c>
      <c r="J1279" t="s">
        <v>2903</v>
      </c>
      <c r="K1279" t="s">
        <v>95</v>
      </c>
      <c r="L1279" t="s">
        <v>127</v>
      </c>
      <c r="M1279" t="s">
        <v>174</v>
      </c>
      <c r="N1279" t="s">
        <v>118</v>
      </c>
      <c r="O1279" t="s">
        <v>1345</v>
      </c>
    </row>
    <row r="1280" spans="1:15" x14ac:dyDescent="0.3">
      <c r="A1280" s="130">
        <v>6675</v>
      </c>
      <c r="B1280" s="130">
        <v>18</v>
      </c>
      <c r="C1280" s="130" t="s">
        <v>2904</v>
      </c>
      <c r="D1280">
        <v>10626</v>
      </c>
      <c r="E1280" s="130">
        <v>17713930</v>
      </c>
      <c r="F1280" t="s">
        <v>87</v>
      </c>
      <c r="G1280">
        <v>9135</v>
      </c>
      <c r="H1280" t="s">
        <v>8951</v>
      </c>
      <c r="I1280" s="130">
        <v>19</v>
      </c>
      <c r="J1280" t="s">
        <v>2904</v>
      </c>
      <c r="K1280" t="s">
        <v>108</v>
      </c>
      <c r="L1280" t="s">
        <v>146</v>
      </c>
      <c r="M1280" t="s">
        <v>112</v>
      </c>
      <c r="N1280" t="s">
        <v>101</v>
      </c>
      <c r="O1280" t="s">
        <v>1345</v>
      </c>
    </row>
    <row r="1281" spans="1:15" x14ac:dyDescent="0.3">
      <c r="A1281" s="130">
        <v>6676</v>
      </c>
      <c r="B1281" s="130">
        <v>30</v>
      </c>
      <c r="C1281" s="130" t="s">
        <v>2905</v>
      </c>
      <c r="D1281">
        <v>10634</v>
      </c>
      <c r="E1281" s="131">
        <v>17262213</v>
      </c>
      <c r="F1281" t="s">
        <v>87</v>
      </c>
      <c r="G1281">
        <v>9135</v>
      </c>
      <c r="H1281" t="s">
        <v>8952</v>
      </c>
      <c r="I1281" s="130">
        <v>10</v>
      </c>
      <c r="J1281" t="s">
        <v>2905</v>
      </c>
      <c r="K1281" t="s">
        <v>95</v>
      </c>
      <c r="L1281" t="s">
        <v>127</v>
      </c>
      <c r="M1281" t="s">
        <v>103</v>
      </c>
      <c r="N1281" t="s">
        <v>124</v>
      </c>
      <c r="O1281" t="s">
        <v>1345</v>
      </c>
    </row>
    <row r="1282" spans="1:15" x14ac:dyDescent="0.3">
      <c r="A1282" s="130">
        <v>6678</v>
      </c>
      <c r="B1282" s="130">
        <v>21</v>
      </c>
      <c r="C1282" s="130" t="s">
        <v>2906</v>
      </c>
      <c r="D1282">
        <v>10636</v>
      </c>
      <c r="E1282" s="130">
        <v>10558895</v>
      </c>
      <c r="F1282" t="s">
        <v>87</v>
      </c>
      <c r="G1282">
        <v>9135</v>
      </c>
      <c r="H1282" t="s">
        <v>8953</v>
      </c>
      <c r="I1282" s="131">
        <v>37</v>
      </c>
      <c r="J1282" t="s">
        <v>2906</v>
      </c>
      <c r="K1282" t="s">
        <v>95</v>
      </c>
      <c r="L1282" t="s">
        <v>138</v>
      </c>
      <c r="M1282" t="s">
        <v>137</v>
      </c>
      <c r="N1282" t="s">
        <v>101</v>
      </c>
      <c r="O1282" t="s">
        <v>1345</v>
      </c>
    </row>
    <row r="1283" spans="1:15" x14ac:dyDescent="0.3">
      <c r="A1283" s="130">
        <v>6681</v>
      </c>
      <c r="B1283" s="130">
        <v>45</v>
      </c>
      <c r="C1283" s="130" t="s">
        <v>2907</v>
      </c>
      <c r="D1283">
        <v>10639</v>
      </c>
      <c r="E1283" s="131">
        <v>17469701</v>
      </c>
      <c r="F1283" t="s">
        <v>87</v>
      </c>
      <c r="G1283">
        <v>77</v>
      </c>
      <c r="H1283" t="s">
        <v>8951</v>
      </c>
      <c r="I1283" s="131">
        <v>3</v>
      </c>
      <c r="J1283" t="s">
        <v>2907</v>
      </c>
      <c r="K1283" t="s">
        <v>95</v>
      </c>
      <c r="L1283" t="s">
        <v>117</v>
      </c>
      <c r="M1283" t="s">
        <v>106</v>
      </c>
      <c r="N1283" t="s">
        <v>118</v>
      </c>
      <c r="O1283" t="s">
        <v>116</v>
      </c>
    </row>
    <row r="1284" spans="1:15" x14ac:dyDescent="0.3">
      <c r="A1284" s="130">
        <v>6685</v>
      </c>
      <c r="B1284" s="130">
        <v>-1</v>
      </c>
      <c r="C1284" s="130" t="s">
        <v>2908</v>
      </c>
      <c r="D1284">
        <v>10613</v>
      </c>
      <c r="E1284" s="131">
        <v>12360493</v>
      </c>
      <c r="F1284" t="s">
        <v>87</v>
      </c>
      <c r="G1284">
        <v>9135</v>
      </c>
      <c r="H1284" t="s">
        <v>8952</v>
      </c>
      <c r="I1284" s="131">
        <v>9</v>
      </c>
      <c r="J1284" t="s">
        <v>2908</v>
      </c>
      <c r="K1284" t="s">
        <v>108</v>
      </c>
      <c r="L1284" t="s">
        <v>1368</v>
      </c>
      <c r="M1284" t="s">
        <v>174</v>
      </c>
      <c r="N1284" t="s">
        <v>98</v>
      </c>
      <c r="O1284" t="s">
        <v>116</v>
      </c>
    </row>
    <row r="1285" spans="1:15" x14ac:dyDescent="0.3">
      <c r="A1285" s="130">
        <v>6690</v>
      </c>
      <c r="B1285" s="130">
        <v>-1</v>
      </c>
      <c r="C1285" s="130" t="s">
        <v>2909</v>
      </c>
      <c r="D1285">
        <v>10563</v>
      </c>
      <c r="E1285" s="130">
        <v>44269807</v>
      </c>
      <c r="F1285" t="s">
        <v>87</v>
      </c>
      <c r="G1285">
        <v>358</v>
      </c>
      <c r="H1285" t="s">
        <v>8953</v>
      </c>
      <c r="I1285" s="130">
        <v>3</v>
      </c>
      <c r="J1285" t="s">
        <v>2909</v>
      </c>
      <c r="K1285" t="s">
        <v>108</v>
      </c>
      <c r="L1285" t="s">
        <v>111</v>
      </c>
      <c r="M1285" t="s">
        <v>174</v>
      </c>
      <c r="N1285" t="s">
        <v>101</v>
      </c>
      <c r="O1285" t="s">
        <v>116</v>
      </c>
    </row>
    <row r="1286" spans="1:15" x14ac:dyDescent="0.3">
      <c r="A1286" s="130">
        <v>6691</v>
      </c>
      <c r="B1286" s="130">
        <v>18</v>
      </c>
      <c r="C1286" s="130" t="s">
        <v>2910</v>
      </c>
      <c r="D1286">
        <v>10557</v>
      </c>
      <c r="E1286" s="130">
        <v>28178342</v>
      </c>
      <c r="F1286" t="s">
        <v>87</v>
      </c>
      <c r="G1286">
        <v>9135</v>
      </c>
      <c r="H1286" t="s">
        <v>8951</v>
      </c>
      <c r="I1286" s="130">
        <v>3</v>
      </c>
      <c r="J1286" t="s">
        <v>2910</v>
      </c>
      <c r="K1286" t="s">
        <v>95</v>
      </c>
      <c r="L1286" t="s">
        <v>140</v>
      </c>
      <c r="M1286" t="s">
        <v>112</v>
      </c>
      <c r="N1286" t="s">
        <v>98</v>
      </c>
      <c r="O1286" t="s">
        <v>1345</v>
      </c>
    </row>
    <row r="1287" spans="1:15" x14ac:dyDescent="0.3">
      <c r="A1287" s="130">
        <v>6701</v>
      </c>
      <c r="B1287" s="130">
        <v>18</v>
      </c>
      <c r="C1287" s="130" t="s">
        <v>2911</v>
      </c>
      <c r="D1287">
        <v>10662</v>
      </c>
      <c r="E1287" s="130">
        <v>10871453</v>
      </c>
      <c r="F1287" t="s">
        <v>87</v>
      </c>
      <c r="G1287">
        <v>9135</v>
      </c>
      <c r="H1287" t="s">
        <v>8952</v>
      </c>
      <c r="I1287" s="130">
        <v>19</v>
      </c>
      <c r="J1287" t="s">
        <v>2911</v>
      </c>
      <c r="K1287" t="s">
        <v>108</v>
      </c>
      <c r="L1287" t="s">
        <v>146</v>
      </c>
      <c r="M1287" t="s">
        <v>112</v>
      </c>
      <c r="N1287" t="s">
        <v>114</v>
      </c>
      <c r="O1287" t="s">
        <v>1345</v>
      </c>
    </row>
    <row r="1288" spans="1:15" x14ac:dyDescent="0.3">
      <c r="A1288" s="130">
        <v>6705</v>
      </c>
      <c r="B1288" s="130">
        <v>18</v>
      </c>
      <c r="C1288" s="130" t="s">
        <v>2912</v>
      </c>
      <c r="D1288">
        <v>10666</v>
      </c>
      <c r="E1288" s="130">
        <v>3426130</v>
      </c>
      <c r="F1288" t="s">
        <v>87</v>
      </c>
      <c r="G1288">
        <v>9135</v>
      </c>
      <c r="H1288" t="s">
        <v>8953</v>
      </c>
      <c r="I1288" s="131">
        <v>19</v>
      </c>
      <c r="J1288" t="s">
        <v>2912</v>
      </c>
      <c r="K1288" t="s">
        <v>108</v>
      </c>
      <c r="L1288" t="s">
        <v>146</v>
      </c>
      <c r="M1288" t="s">
        <v>112</v>
      </c>
      <c r="N1288" t="s">
        <v>162</v>
      </c>
      <c r="O1288" t="s">
        <v>116</v>
      </c>
    </row>
    <row r="1289" spans="1:15" x14ac:dyDescent="0.3">
      <c r="A1289" s="130">
        <v>6708</v>
      </c>
      <c r="B1289" s="130">
        <v>18</v>
      </c>
      <c r="C1289" s="130" t="s">
        <v>2913</v>
      </c>
      <c r="D1289">
        <v>10671</v>
      </c>
      <c r="E1289" s="130">
        <v>4583502</v>
      </c>
      <c r="F1289" t="s">
        <v>87</v>
      </c>
      <c r="G1289">
        <v>9135</v>
      </c>
      <c r="H1289" t="s">
        <v>8951</v>
      </c>
      <c r="I1289" s="130">
        <v>24</v>
      </c>
      <c r="J1289" t="s">
        <v>2913</v>
      </c>
      <c r="K1289" t="s">
        <v>95</v>
      </c>
      <c r="L1289" t="s">
        <v>144</v>
      </c>
      <c r="M1289" t="s">
        <v>112</v>
      </c>
      <c r="N1289" t="s">
        <v>98</v>
      </c>
      <c r="O1289" t="s">
        <v>1345</v>
      </c>
    </row>
    <row r="1290" spans="1:15" x14ac:dyDescent="0.3">
      <c r="A1290" s="130">
        <v>6712</v>
      </c>
      <c r="B1290" s="130">
        <v>10</v>
      </c>
      <c r="C1290" s="130" t="s">
        <v>2914</v>
      </c>
      <c r="D1290">
        <v>10669</v>
      </c>
      <c r="E1290" s="130">
        <v>30017321</v>
      </c>
      <c r="F1290" t="s">
        <v>87</v>
      </c>
      <c r="G1290">
        <v>9135</v>
      </c>
      <c r="H1290" t="s">
        <v>8952</v>
      </c>
      <c r="I1290" s="130">
        <v>3</v>
      </c>
      <c r="J1290" t="s">
        <v>2914</v>
      </c>
      <c r="K1290" t="s">
        <v>95</v>
      </c>
      <c r="L1290" t="s">
        <v>140</v>
      </c>
      <c r="M1290" t="s">
        <v>133</v>
      </c>
      <c r="N1290" t="s">
        <v>98</v>
      </c>
      <c r="O1290" t="s">
        <v>1345</v>
      </c>
    </row>
    <row r="1291" spans="1:15" x14ac:dyDescent="0.3">
      <c r="A1291" s="130">
        <v>6715</v>
      </c>
      <c r="B1291" s="130">
        <v>-1</v>
      </c>
      <c r="C1291" s="130" t="s">
        <v>2915</v>
      </c>
      <c r="D1291">
        <v>10675</v>
      </c>
      <c r="E1291" s="130">
        <v>11468344</v>
      </c>
      <c r="F1291" t="s">
        <v>87</v>
      </c>
      <c r="G1291">
        <v>9135</v>
      </c>
      <c r="H1291" t="s">
        <v>8953</v>
      </c>
      <c r="I1291" s="130">
        <v>10</v>
      </c>
      <c r="J1291" t="s">
        <v>2915</v>
      </c>
      <c r="K1291" t="s">
        <v>95</v>
      </c>
      <c r="L1291" t="s">
        <v>127</v>
      </c>
      <c r="M1291" t="s">
        <v>174</v>
      </c>
      <c r="N1291" t="s">
        <v>122</v>
      </c>
      <c r="O1291" t="s">
        <v>1345</v>
      </c>
    </row>
    <row r="1292" spans="1:15" x14ac:dyDescent="0.3">
      <c r="A1292" s="130">
        <v>6716</v>
      </c>
      <c r="B1292" s="130">
        <v>18</v>
      </c>
      <c r="C1292" s="130" t="s">
        <v>2916</v>
      </c>
      <c r="D1292">
        <v>10678</v>
      </c>
      <c r="E1292" s="131">
        <v>1456618148</v>
      </c>
      <c r="F1292" t="s">
        <v>87</v>
      </c>
      <c r="G1292">
        <v>9135</v>
      </c>
      <c r="H1292" t="s">
        <v>8951</v>
      </c>
      <c r="I1292" s="130">
        <v>37</v>
      </c>
      <c r="J1292" t="s">
        <v>2916</v>
      </c>
      <c r="K1292" t="s">
        <v>95</v>
      </c>
      <c r="L1292" t="s">
        <v>138</v>
      </c>
      <c r="M1292" t="s">
        <v>112</v>
      </c>
      <c r="N1292" t="s">
        <v>101</v>
      </c>
      <c r="O1292" t="s">
        <v>1345</v>
      </c>
    </row>
    <row r="1293" spans="1:15" x14ac:dyDescent="0.3">
      <c r="A1293" s="130">
        <v>6718</v>
      </c>
      <c r="B1293" s="130">
        <v>18</v>
      </c>
      <c r="C1293" s="130" t="s">
        <v>2917</v>
      </c>
      <c r="D1293">
        <v>10681</v>
      </c>
      <c r="E1293" s="131">
        <v>8054995</v>
      </c>
      <c r="F1293" t="s">
        <v>87</v>
      </c>
      <c r="G1293">
        <v>358</v>
      </c>
      <c r="H1293" t="s">
        <v>8952</v>
      </c>
      <c r="I1293" s="131">
        <v>10</v>
      </c>
      <c r="J1293" t="s">
        <v>2917</v>
      </c>
      <c r="K1293" t="s">
        <v>95</v>
      </c>
      <c r="L1293" t="s">
        <v>105</v>
      </c>
      <c r="M1293" t="s">
        <v>112</v>
      </c>
      <c r="N1293" t="s">
        <v>98</v>
      </c>
      <c r="O1293" t="s">
        <v>1345</v>
      </c>
    </row>
    <row r="1294" spans="1:15" x14ac:dyDescent="0.3">
      <c r="A1294" s="130">
        <v>6719</v>
      </c>
      <c r="B1294" s="130">
        <v>30</v>
      </c>
      <c r="C1294" s="130" t="s">
        <v>2918</v>
      </c>
      <c r="D1294">
        <v>10682</v>
      </c>
      <c r="E1294" s="131">
        <v>10279488</v>
      </c>
      <c r="F1294" t="s">
        <v>87</v>
      </c>
      <c r="G1294">
        <v>77</v>
      </c>
      <c r="H1294" t="s">
        <v>8953</v>
      </c>
      <c r="I1294" s="131">
        <v>3</v>
      </c>
      <c r="J1294" t="s">
        <v>2918</v>
      </c>
      <c r="K1294" t="s">
        <v>95</v>
      </c>
      <c r="L1294" t="s">
        <v>117</v>
      </c>
      <c r="M1294" t="s">
        <v>103</v>
      </c>
      <c r="N1294" t="s">
        <v>118</v>
      </c>
      <c r="O1294" t="s">
        <v>1345</v>
      </c>
    </row>
    <row r="1295" spans="1:15" x14ac:dyDescent="0.3">
      <c r="A1295" s="130">
        <v>6720</v>
      </c>
      <c r="B1295" s="130" t="s">
        <v>156</v>
      </c>
      <c r="C1295" s="130" t="s">
        <v>2919</v>
      </c>
      <c r="D1295">
        <v>10593</v>
      </c>
      <c r="E1295" s="130">
        <v>9550684</v>
      </c>
      <c r="F1295" t="s">
        <v>87</v>
      </c>
      <c r="G1295">
        <v>9135</v>
      </c>
      <c r="H1295" t="s">
        <v>8951</v>
      </c>
      <c r="I1295" s="130">
        <v>9</v>
      </c>
      <c r="J1295" t="s">
        <v>2919</v>
      </c>
      <c r="K1295" t="s">
        <v>108</v>
      </c>
      <c r="L1295" t="s">
        <v>163</v>
      </c>
      <c r="M1295" t="s">
        <v>156</v>
      </c>
      <c r="N1295" t="s">
        <v>98</v>
      </c>
      <c r="O1295" t="s">
        <v>116</v>
      </c>
    </row>
    <row r="1296" spans="1:15" x14ac:dyDescent="0.3">
      <c r="A1296" s="130">
        <v>6722</v>
      </c>
      <c r="B1296" s="130">
        <v>-1</v>
      </c>
      <c r="C1296" s="130" t="s">
        <v>2920</v>
      </c>
      <c r="D1296">
        <v>10691</v>
      </c>
      <c r="E1296" s="131">
        <v>24304943</v>
      </c>
      <c r="F1296" t="s">
        <v>87</v>
      </c>
      <c r="G1296">
        <v>9135</v>
      </c>
      <c r="H1296" t="s">
        <v>8952</v>
      </c>
      <c r="I1296" s="131">
        <v>10</v>
      </c>
      <c r="J1296" t="s">
        <v>2920</v>
      </c>
      <c r="K1296" t="s">
        <v>108</v>
      </c>
      <c r="L1296" t="s">
        <v>127</v>
      </c>
      <c r="M1296" t="s">
        <v>174</v>
      </c>
      <c r="N1296" t="s">
        <v>98</v>
      </c>
      <c r="O1296" t="s">
        <v>1345</v>
      </c>
    </row>
    <row r="1297" spans="1:15" x14ac:dyDescent="0.3">
      <c r="A1297" s="130">
        <v>6723</v>
      </c>
      <c r="B1297" s="130">
        <v>28</v>
      </c>
      <c r="C1297" s="130" t="s">
        <v>2921</v>
      </c>
      <c r="D1297">
        <v>10694</v>
      </c>
      <c r="E1297" s="130">
        <v>21062047</v>
      </c>
      <c r="F1297" t="s">
        <v>87</v>
      </c>
      <c r="G1297">
        <v>9135</v>
      </c>
      <c r="H1297" t="s">
        <v>8953</v>
      </c>
      <c r="I1297" s="131">
        <v>3</v>
      </c>
      <c r="J1297" t="s">
        <v>2921</v>
      </c>
      <c r="K1297" t="s">
        <v>95</v>
      </c>
      <c r="L1297" t="s">
        <v>111</v>
      </c>
      <c r="M1297" t="s">
        <v>130</v>
      </c>
      <c r="N1297" t="s">
        <v>98</v>
      </c>
      <c r="O1297" t="s">
        <v>1345</v>
      </c>
    </row>
    <row r="1298" spans="1:15" x14ac:dyDescent="0.3">
      <c r="A1298" s="130">
        <v>6725</v>
      </c>
      <c r="B1298" s="130">
        <v>30</v>
      </c>
      <c r="C1298" s="130" t="s">
        <v>2922</v>
      </c>
      <c r="D1298">
        <v>10696</v>
      </c>
      <c r="E1298" s="131">
        <v>17154899</v>
      </c>
      <c r="F1298" t="s">
        <v>87</v>
      </c>
      <c r="G1298">
        <v>358</v>
      </c>
      <c r="H1298" t="s">
        <v>8951</v>
      </c>
      <c r="I1298" s="131">
        <v>3</v>
      </c>
      <c r="J1298" t="s">
        <v>2922</v>
      </c>
      <c r="K1298" t="s">
        <v>95</v>
      </c>
      <c r="L1298" t="s">
        <v>96</v>
      </c>
      <c r="M1298" t="s">
        <v>103</v>
      </c>
      <c r="N1298" t="s">
        <v>98</v>
      </c>
      <c r="O1298" t="s">
        <v>1345</v>
      </c>
    </row>
    <row r="1299" spans="1:15" x14ac:dyDescent="0.3">
      <c r="A1299" s="130">
        <v>6726</v>
      </c>
      <c r="B1299" s="130">
        <v>18</v>
      </c>
      <c r="C1299" s="130" t="s">
        <v>2923</v>
      </c>
      <c r="D1299">
        <v>10697</v>
      </c>
      <c r="E1299" s="131">
        <v>3096738</v>
      </c>
      <c r="F1299" t="s">
        <v>87</v>
      </c>
      <c r="G1299">
        <v>9135</v>
      </c>
      <c r="H1299" t="s">
        <v>8952</v>
      </c>
      <c r="I1299" s="130">
        <v>3</v>
      </c>
      <c r="J1299" t="s">
        <v>2923</v>
      </c>
      <c r="K1299" t="s">
        <v>108</v>
      </c>
      <c r="L1299" t="s">
        <v>111</v>
      </c>
      <c r="M1299" t="s">
        <v>112</v>
      </c>
      <c r="N1299" t="s">
        <v>98</v>
      </c>
      <c r="O1299" t="s">
        <v>116</v>
      </c>
    </row>
    <row r="1300" spans="1:15" x14ac:dyDescent="0.3">
      <c r="A1300" s="130">
        <v>6731</v>
      </c>
      <c r="B1300" s="130">
        <v>10</v>
      </c>
      <c r="C1300" s="130" t="s">
        <v>2924</v>
      </c>
      <c r="D1300">
        <v>10704</v>
      </c>
      <c r="E1300" s="130">
        <v>17162983</v>
      </c>
      <c r="F1300" t="s">
        <v>87</v>
      </c>
      <c r="G1300">
        <v>358</v>
      </c>
      <c r="H1300" t="s">
        <v>8953</v>
      </c>
      <c r="I1300" s="130">
        <v>26</v>
      </c>
      <c r="J1300" t="s">
        <v>2924</v>
      </c>
      <c r="K1300" t="s">
        <v>108</v>
      </c>
      <c r="L1300" t="s">
        <v>109</v>
      </c>
      <c r="M1300" t="s">
        <v>133</v>
      </c>
      <c r="N1300" t="s">
        <v>98</v>
      </c>
      <c r="O1300" t="s">
        <v>1345</v>
      </c>
    </row>
    <row r="1301" spans="1:15" x14ac:dyDescent="0.3">
      <c r="A1301" s="130">
        <v>6732</v>
      </c>
      <c r="B1301" s="130">
        <v>18</v>
      </c>
      <c r="C1301" s="130" t="s">
        <v>2925</v>
      </c>
      <c r="D1301">
        <v>10705</v>
      </c>
      <c r="E1301" s="130">
        <v>23742410</v>
      </c>
      <c r="F1301" t="s">
        <v>87</v>
      </c>
      <c r="G1301">
        <v>358</v>
      </c>
      <c r="H1301" t="s">
        <v>8951</v>
      </c>
      <c r="I1301" s="130">
        <v>3</v>
      </c>
      <c r="J1301" t="s">
        <v>2925</v>
      </c>
      <c r="K1301" t="s">
        <v>108</v>
      </c>
      <c r="L1301" t="s">
        <v>111</v>
      </c>
      <c r="M1301" t="s">
        <v>112</v>
      </c>
      <c r="N1301" t="s">
        <v>98</v>
      </c>
      <c r="O1301" t="s">
        <v>1345</v>
      </c>
    </row>
    <row r="1302" spans="1:15" x14ac:dyDescent="0.3">
      <c r="A1302" s="130">
        <v>6744</v>
      </c>
      <c r="B1302" s="130">
        <v>-1</v>
      </c>
      <c r="C1302" s="130" t="s">
        <v>2926</v>
      </c>
      <c r="D1302">
        <v>10726</v>
      </c>
      <c r="E1302" s="130">
        <v>43643085</v>
      </c>
      <c r="F1302" t="s">
        <v>87</v>
      </c>
      <c r="G1302">
        <v>9135</v>
      </c>
      <c r="H1302" t="s">
        <v>8952</v>
      </c>
      <c r="I1302" s="131">
        <v>26</v>
      </c>
      <c r="J1302" t="s">
        <v>2926</v>
      </c>
      <c r="K1302" t="s">
        <v>108</v>
      </c>
      <c r="L1302" t="s">
        <v>151</v>
      </c>
      <c r="M1302" t="s">
        <v>174</v>
      </c>
      <c r="N1302" t="s">
        <v>98</v>
      </c>
      <c r="O1302" t="s">
        <v>1345</v>
      </c>
    </row>
    <row r="1303" spans="1:15" x14ac:dyDescent="0.3">
      <c r="A1303" s="130">
        <v>6750</v>
      </c>
      <c r="B1303" s="130">
        <v>30</v>
      </c>
      <c r="C1303" s="130" t="s">
        <v>2927</v>
      </c>
      <c r="D1303">
        <v>10738</v>
      </c>
      <c r="E1303" s="131">
        <v>63567820</v>
      </c>
      <c r="F1303" t="s">
        <v>87</v>
      </c>
      <c r="G1303">
        <v>9135</v>
      </c>
      <c r="H1303" t="s">
        <v>8953</v>
      </c>
      <c r="I1303" s="131">
        <v>9</v>
      </c>
      <c r="J1303" t="s">
        <v>2927</v>
      </c>
      <c r="K1303" t="s">
        <v>95</v>
      </c>
      <c r="L1303" t="s">
        <v>163</v>
      </c>
      <c r="M1303" t="s">
        <v>103</v>
      </c>
      <c r="N1303" t="s">
        <v>98</v>
      </c>
      <c r="O1303" t="s">
        <v>116</v>
      </c>
    </row>
    <row r="1304" spans="1:15" x14ac:dyDescent="0.3">
      <c r="A1304" s="130">
        <v>6753</v>
      </c>
      <c r="B1304" s="130">
        <v>28</v>
      </c>
      <c r="C1304" s="130" t="s">
        <v>2928</v>
      </c>
      <c r="D1304">
        <v>10740</v>
      </c>
      <c r="E1304" s="130">
        <v>34792633</v>
      </c>
      <c r="F1304" t="s">
        <v>87</v>
      </c>
      <c r="G1304">
        <v>9135</v>
      </c>
      <c r="H1304" t="s">
        <v>8951</v>
      </c>
      <c r="I1304" s="130">
        <v>37</v>
      </c>
      <c r="J1304" t="s">
        <v>2928</v>
      </c>
      <c r="K1304" t="s">
        <v>95</v>
      </c>
      <c r="L1304" t="s">
        <v>138</v>
      </c>
      <c r="M1304" t="s">
        <v>130</v>
      </c>
      <c r="N1304" t="s">
        <v>150</v>
      </c>
      <c r="O1304" t="s">
        <v>1345</v>
      </c>
    </row>
    <row r="1305" spans="1:15" x14ac:dyDescent="0.3">
      <c r="A1305" s="130">
        <v>6765</v>
      </c>
      <c r="B1305" s="130">
        <v>18</v>
      </c>
      <c r="C1305" s="130" t="s">
        <v>2929</v>
      </c>
      <c r="D1305">
        <v>10757</v>
      </c>
      <c r="E1305" s="130">
        <v>8359698</v>
      </c>
      <c r="F1305" t="s">
        <v>87</v>
      </c>
      <c r="G1305">
        <v>9135</v>
      </c>
      <c r="H1305" t="s">
        <v>8952</v>
      </c>
      <c r="I1305" s="130">
        <v>19</v>
      </c>
      <c r="J1305" t="s">
        <v>2929</v>
      </c>
      <c r="K1305" t="s">
        <v>108</v>
      </c>
      <c r="L1305" t="s">
        <v>146</v>
      </c>
      <c r="M1305" t="s">
        <v>112</v>
      </c>
      <c r="N1305" t="s">
        <v>98</v>
      </c>
      <c r="O1305" t="s">
        <v>1345</v>
      </c>
    </row>
    <row r="1306" spans="1:15" x14ac:dyDescent="0.3">
      <c r="A1306" s="130">
        <v>6772</v>
      </c>
      <c r="B1306" s="130">
        <v>18</v>
      </c>
      <c r="C1306" s="130" t="s">
        <v>2930</v>
      </c>
      <c r="D1306">
        <v>10770</v>
      </c>
      <c r="E1306" s="131">
        <v>793483</v>
      </c>
      <c r="F1306" t="s">
        <v>87</v>
      </c>
      <c r="G1306">
        <v>9135</v>
      </c>
      <c r="H1306" t="s">
        <v>8953</v>
      </c>
      <c r="I1306" s="131">
        <v>10</v>
      </c>
      <c r="J1306" t="s">
        <v>2930</v>
      </c>
      <c r="K1306" t="s">
        <v>108</v>
      </c>
      <c r="L1306" t="s">
        <v>127</v>
      </c>
      <c r="M1306" t="s">
        <v>112</v>
      </c>
      <c r="N1306" t="s">
        <v>118</v>
      </c>
      <c r="O1306" t="s">
        <v>1345</v>
      </c>
    </row>
    <row r="1307" spans="1:15" x14ac:dyDescent="0.3">
      <c r="A1307" s="130">
        <v>6778</v>
      </c>
      <c r="B1307" s="130">
        <v>-1</v>
      </c>
      <c r="C1307" s="130" t="s">
        <v>2931</v>
      </c>
      <c r="D1307">
        <v>10497</v>
      </c>
      <c r="E1307" s="131">
        <v>40769920</v>
      </c>
      <c r="F1307" t="s">
        <v>87</v>
      </c>
      <c r="G1307">
        <v>9135</v>
      </c>
      <c r="H1307" t="s">
        <v>8951</v>
      </c>
      <c r="I1307" s="130">
        <v>9</v>
      </c>
      <c r="J1307" t="s">
        <v>2931</v>
      </c>
      <c r="K1307" t="s">
        <v>108</v>
      </c>
      <c r="L1307" t="s">
        <v>125</v>
      </c>
      <c r="M1307" t="s">
        <v>174</v>
      </c>
      <c r="N1307" t="s">
        <v>98</v>
      </c>
      <c r="O1307" t="s">
        <v>1345</v>
      </c>
    </row>
    <row r="1308" spans="1:15" x14ac:dyDescent="0.3">
      <c r="A1308" s="130">
        <v>6780</v>
      </c>
      <c r="B1308" s="130">
        <v>30</v>
      </c>
      <c r="C1308" s="130" t="s">
        <v>2932</v>
      </c>
      <c r="D1308">
        <v>10784</v>
      </c>
      <c r="E1308" s="130">
        <v>50086453</v>
      </c>
      <c r="F1308" t="s">
        <v>87</v>
      </c>
      <c r="G1308">
        <v>9135</v>
      </c>
      <c r="H1308" t="s">
        <v>8952</v>
      </c>
      <c r="I1308" s="130">
        <v>18</v>
      </c>
      <c r="J1308" t="s">
        <v>2932</v>
      </c>
      <c r="K1308" t="s">
        <v>108</v>
      </c>
      <c r="L1308" t="s">
        <v>123</v>
      </c>
      <c r="M1308" t="s">
        <v>103</v>
      </c>
      <c r="N1308" t="s">
        <v>114</v>
      </c>
      <c r="O1308" t="s">
        <v>1345</v>
      </c>
    </row>
    <row r="1309" spans="1:15" x14ac:dyDescent="0.3">
      <c r="A1309" s="130">
        <v>6786</v>
      </c>
      <c r="B1309" s="130">
        <v>18</v>
      </c>
      <c r="C1309" s="130" t="s">
        <v>2933</v>
      </c>
      <c r="D1309">
        <v>10793</v>
      </c>
      <c r="E1309" s="130">
        <v>22745178</v>
      </c>
      <c r="F1309" t="s">
        <v>87</v>
      </c>
      <c r="G1309">
        <v>358</v>
      </c>
      <c r="H1309" t="s">
        <v>8953</v>
      </c>
      <c r="I1309" s="130">
        <v>3</v>
      </c>
      <c r="J1309" t="s">
        <v>2933</v>
      </c>
      <c r="K1309" t="s">
        <v>95</v>
      </c>
      <c r="L1309" t="s">
        <v>111</v>
      </c>
      <c r="M1309" t="s">
        <v>112</v>
      </c>
      <c r="N1309" t="s">
        <v>98</v>
      </c>
      <c r="O1309" t="s">
        <v>1345</v>
      </c>
    </row>
    <row r="1310" spans="1:15" x14ac:dyDescent="0.3">
      <c r="A1310" s="130">
        <v>6788</v>
      </c>
      <c r="B1310" s="130">
        <v>60</v>
      </c>
      <c r="C1310" s="130" t="s">
        <v>2934</v>
      </c>
      <c r="D1310">
        <v>10797</v>
      </c>
      <c r="E1310" s="130">
        <v>17162983</v>
      </c>
      <c r="F1310" t="s">
        <v>87</v>
      </c>
      <c r="G1310">
        <v>9135</v>
      </c>
      <c r="H1310" t="s">
        <v>8951</v>
      </c>
      <c r="I1310" s="130">
        <v>3</v>
      </c>
      <c r="J1310" t="s">
        <v>2934</v>
      </c>
      <c r="K1310" t="s">
        <v>95</v>
      </c>
      <c r="L1310" t="s">
        <v>109</v>
      </c>
      <c r="M1310" t="s">
        <v>97</v>
      </c>
      <c r="N1310" t="s">
        <v>98</v>
      </c>
      <c r="O1310" t="s">
        <v>1345</v>
      </c>
    </row>
    <row r="1311" spans="1:15" x14ac:dyDescent="0.3">
      <c r="A1311" s="130">
        <v>6793</v>
      </c>
      <c r="B1311" s="130">
        <v>-1</v>
      </c>
      <c r="C1311" s="130" t="s">
        <v>2935</v>
      </c>
      <c r="D1311">
        <v>10804</v>
      </c>
      <c r="E1311" s="130">
        <v>3893350</v>
      </c>
      <c r="F1311" t="s">
        <v>87</v>
      </c>
      <c r="G1311">
        <v>9135</v>
      </c>
      <c r="H1311" t="s">
        <v>8952</v>
      </c>
      <c r="I1311" s="131">
        <v>3</v>
      </c>
      <c r="J1311" t="s">
        <v>2935</v>
      </c>
      <c r="K1311" t="s">
        <v>108</v>
      </c>
      <c r="L1311" t="s">
        <v>109</v>
      </c>
      <c r="M1311" t="s">
        <v>174</v>
      </c>
      <c r="N1311" t="s">
        <v>121</v>
      </c>
      <c r="O1311" t="s">
        <v>1345</v>
      </c>
    </row>
    <row r="1312" spans="1:15" x14ac:dyDescent="0.3">
      <c r="A1312" s="130">
        <v>6807</v>
      </c>
      <c r="B1312" s="130">
        <v>30</v>
      </c>
      <c r="C1312" s="130" t="s">
        <v>2936</v>
      </c>
      <c r="D1312">
        <v>10819</v>
      </c>
      <c r="E1312" s="131">
        <v>82502196</v>
      </c>
      <c r="F1312" t="s">
        <v>87</v>
      </c>
      <c r="G1312">
        <v>9135</v>
      </c>
      <c r="H1312" t="s">
        <v>8953</v>
      </c>
      <c r="I1312" s="130">
        <v>10</v>
      </c>
      <c r="J1312" t="s">
        <v>2936</v>
      </c>
      <c r="K1312" t="s">
        <v>95</v>
      </c>
      <c r="L1312" t="s">
        <v>127</v>
      </c>
      <c r="M1312" t="s">
        <v>103</v>
      </c>
      <c r="N1312" t="s">
        <v>118</v>
      </c>
      <c r="O1312" t="s">
        <v>1345</v>
      </c>
    </row>
    <row r="1313" spans="1:15" x14ac:dyDescent="0.3">
      <c r="A1313" s="130">
        <v>6808</v>
      </c>
      <c r="B1313" s="130">
        <v>2</v>
      </c>
      <c r="C1313" s="130" t="s">
        <v>2937</v>
      </c>
      <c r="D1313">
        <v>10821</v>
      </c>
      <c r="E1313" s="130">
        <v>24013278</v>
      </c>
      <c r="F1313" t="s">
        <v>87</v>
      </c>
      <c r="G1313">
        <v>9135</v>
      </c>
      <c r="H1313" t="s">
        <v>8951</v>
      </c>
      <c r="I1313" s="131">
        <v>14</v>
      </c>
      <c r="J1313" t="s">
        <v>2937</v>
      </c>
      <c r="K1313" t="s">
        <v>95</v>
      </c>
      <c r="L1313" t="s">
        <v>102</v>
      </c>
      <c r="M1313" t="s">
        <v>224</v>
      </c>
      <c r="N1313" t="s">
        <v>98</v>
      </c>
      <c r="O1313" t="s">
        <v>1256</v>
      </c>
    </row>
    <row r="1314" spans="1:15" x14ac:dyDescent="0.3">
      <c r="A1314" s="130">
        <v>6823</v>
      </c>
      <c r="B1314" s="130">
        <v>18</v>
      </c>
      <c r="C1314" s="130" t="s">
        <v>2938</v>
      </c>
      <c r="D1314">
        <v>10839</v>
      </c>
      <c r="E1314" s="130">
        <v>8054995</v>
      </c>
      <c r="F1314" t="s">
        <v>87</v>
      </c>
      <c r="G1314">
        <v>358</v>
      </c>
      <c r="H1314" t="s">
        <v>8952</v>
      </c>
      <c r="I1314" s="130">
        <v>10</v>
      </c>
      <c r="J1314" t="s">
        <v>2938</v>
      </c>
      <c r="K1314" t="s">
        <v>95</v>
      </c>
      <c r="L1314" t="s">
        <v>105</v>
      </c>
      <c r="M1314" t="s">
        <v>112</v>
      </c>
      <c r="N1314" t="s">
        <v>98</v>
      </c>
      <c r="O1314" t="s">
        <v>1345</v>
      </c>
    </row>
    <row r="1315" spans="1:15" x14ac:dyDescent="0.3">
      <c r="A1315" s="130">
        <v>6836</v>
      </c>
      <c r="B1315" s="130">
        <v>30</v>
      </c>
      <c r="C1315" s="130" t="s">
        <v>2939</v>
      </c>
      <c r="D1315">
        <v>10855</v>
      </c>
      <c r="E1315" s="131">
        <v>38209271</v>
      </c>
      <c r="F1315" t="s">
        <v>87</v>
      </c>
      <c r="G1315">
        <v>78</v>
      </c>
      <c r="H1315" t="s">
        <v>8953</v>
      </c>
      <c r="I1315" s="130">
        <v>43</v>
      </c>
      <c r="J1315" t="s">
        <v>2939</v>
      </c>
      <c r="K1315" t="s">
        <v>95</v>
      </c>
      <c r="L1315" t="s">
        <v>159</v>
      </c>
      <c r="M1315" t="s">
        <v>103</v>
      </c>
      <c r="N1315" t="s">
        <v>150</v>
      </c>
      <c r="O1315" t="s">
        <v>1345</v>
      </c>
    </row>
    <row r="1316" spans="1:15" x14ac:dyDescent="0.3">
      <c r="A1316" s="130">
        <v>6847</v>
      </c>
      <c r="B1316" s="130">
        <v>28</v>
      </c>
      <c r="C1316" s="130" t="s">
        <v>2940</v>
      </c>
      <c r="D1316">
        <v>10883</v>
      </c>
      <c r="E1316" s="131">
        <v>61584223</v>
      </c>
      <c r="F1316" t="s">
        <v>87</v>
      </c>
      <c r="G1316">
        <v>9135</v>
      </c>
      <c r="H1316" t="s">
        <v>8951</v>
      </c>
      <c r="I1316" s="130">
        <v>3</v>
      </c>
      <c r="J1316" t="s">
        <v>2940</v>
      </c>
      <c r="K1316" t="s">
        <v>95</v>
      </c>
      <c r="L1316" t="s">
        <v>111</v>
      </c>
      <c r="M1316" t="s">
        <v>130</v>
      </c>
      <c r="N1316" t="s">
        <v>98</v>
      </c>
      <c r="O1316" t="s">
        <v>1345</v>
      </c>
    </row>
    <row r="1317" spans="1:15" x14ac:dyDescent="0.3">
      <c r="A1317" s="130">
        <v>6849</v>
      </c>
      <c r="B1317" s="130">
        <v>18</v>
      </c>
      <c r="C1317" s="130" t="s">
        <v>2941</v>
      </c>
      <c r="D1317">
        <v>10871</v>
      </c>
      <c r="E1317" s="130">
        <v>12514972</v>
      </c>
      <c r="F1317" t="s">
        <v>87</v>
      </c>
      <c r="G1317">
        <v>9135</v>
      </c>
      <c r="H1317" t="s">
        <v>8952</v>
      </c>
      <c r="I1317" s="130">
        <v>9</v>
      </c>
      <c r="J1317" t="s">
        <v>2941</v>
      </c>
      <c r="K1317" t="s">
        <v>108</v>
      </c>
      <c r="L1317" t="s">
        <v>163</v>
      </c>
      <c r="M1317" t="s">
        <v>112</v>
      </c>
      <c r="N1317" t="s">
        <v>98</v>
      </c>
      <c r="O1317" t="s">
        <v>1345</v>
      </c>
    </row>
    <row r="1318" spans="1:15" x14ac:dyDescent="0.3">
      <c r="A1318" s="130">
        <v>6850</v>
      </c>
      <c r="B1318" s="130">
        <v>10</v>
      </c>
      <c r="C1318" s="130" t="s">
        <v>2942</v>
      </c>
      <c r="D1318">
        <v>10887</v>
      </c>
      <c r="E1318" s="130">
        <v>23374794</v>
      </c>
      <c r="F1318" t="s">
        <v>87</v>
      </c>
      <c r="G1318">
        <v>358</v>
      </c>
      <c r="H1318" t="s">
        <v>8953</v>
      </c>
      <c r="I1318" s="130">
        <v>3</v>
      </c>
      <c r="J1318" t="s">
        <v>2942</v>
      </c>
      <c r="K1318" t="s">
        <v>95</v>
      </c>
      <c r="L1318" t="s">
        <v>109</v>
      </c>
      <c r="M1318" t="s">
        <v>133</v>
      </c>
      <c r="N1318" t="s">
        <v>98</v>
      </c>
      <c r="O1318" t="s">
        <v>1345</v>
      </c>
    </row>
    <row r="1319" spans="1:15" x14ac:dyDescent="0.3">
      <c r="A1319" s="130">
        <v>6854</v>
      </c>
      <c r="B1319" s="130">
        <v>18</v>
      </c>
      <c r="C1319" s="130" t="s">
        <v>2943</v>
      </c>
      <c r="D1319">
        <v>10892</v>
      </c>
      <c r="E1319" s="130">
        <v>17327127</v>
      </c>
      <c r="F1319" t="s">
        <v>87</v>
      </c>
      <c r="G1319">
        <v>9135</v>
      </c>
      <c r="H1319" t="s">
        <v>8951</v>
      </c>
      <c r="I1319" s="130">
        <v>10</v>
      </c>
      <c r="J1319" t="s">
        <v>2943</v>
      </c>
      <c r="K1319" t="s">
        <v>108</v>
      </c>
      <c r="L1319" t="s">
        <v>127</v>
      </c>
      <c r="M1319" t="s">
        <v>112</v>
      </c>
      <c r="N1319" t="s">
        <v>131</v>
      </c>
      <c r="O1319" t="s">
        <v>1345</v>
      </c>
    </row>
    <row r="1320" spans="1:15" x14ac:dyDescent="0.3">
      <c r="A1320" s="130">
        <v>6857</v>
      </c>
      <c r="B1320" s="130">
        <v>18</v>
      </c>
      <c r="C1320" s="130" t="s">
        <v>2944</v>
      </c>
      <c r="D1320">
        <v>10896</v>
      </c>
      <c r="E1320" s="131">
        <v>18745864896</v>
      </c>
      <c r="F1320" t="s">
        <v>87</v>
      </c>
      <c r="G1320">
        <v>9135</v>
      </c>
      <c r="H1320" t="s">
        <v>8952</v>
      </c>
      <c r="I1320" s="131">
        <v>37</v>
      </c>
      <c r="J1320" t="s">
        <v>2944</v>
      </c>
      <c r="K1320" t="s">
        <v>108</v>
      </c>
      <c r="L1320" t="s">
        <v>138</v>
      </c>
      <c r="M1320" t="s">
        <v>112</v>
      </c>
      <c r="N1320" t="s">
        <v>101</v>
      </c>
      <c r="O1320" t="s">
        <v>116</v>
      </c>
    </row>
    <row r="1321" spans="1:15" x14ac:dyDescent="0.3">
      <c r="A1321" s="130">
        <v>6862</v>
      </c>
      <c r="B1321" s="130">
        <v>28</v>
      </c>
      <c r="C1321" s="130" t="s">
        <v>2945</v>
      </c>
      <c r="D1321">
        <v>10899</v>
      </c>
      <c r="E1321" s="130">
        <v>27331222</v>
      </c>
      <c r="F1321" t="s">
        <v>87</v>
      </c>
      <c r="G1321">
        <v>9135</v>
      </c>
      <c r="H1321" t="s">
        <v>8953</v>
      </c>
      <c r="I1321" s="131">
        <v>3</v>
      </c>
      <c r="J1321" t="s">
        <v>2945</v>
      </c>
      <c r="K1321" t="s">
        <v>95</v>
      </c>
      <c r="L1321" t="s">
        <v>111</v>
      </c>
      <c r="M1321" t="s">
        <v>130</v>
      </c>
      <c r="N1321" t="s">
        <v>98</v>
      </c>
      <c r="O1321" t="s">
        <v>1345</v>
      </c>
    </row>
    <row r="1322" spans="1:15" x14ac:dyDescent="0.3">
      <c r="A1322" s="130">
        <v>6889</v>
      </c>
      <c r="B1322" s="130">
        <v>18</v>
      </c>
      <c r="C1322" s="130" t="s">
        <v>2946</v>
      </c>
      <c r="D1322">
        <v>10775</v>
      </c>
      <c r="E1322" s="130">
        <v>29254042</v>
      </c>
      <c r="F1322" t="s">
        <v>87</v>
      </c>
      <c r="G1322">
        <v>9135</v>
      </c>
      <c r="H1322" t="s">
        <v>8951</v>
      </c>
      <c r="I1322" s="130">
        <v>9</v>
      </c>
      <c r="J1322" t="s">
        <v>2946</v>
      </c>
      <c r="K1322" t="s">
        <v>108</v>
      </c>
      <c r="L1322" t="s">
        <v>163</v>
      </c>
      <c r="M1322" t="s">
        <v>112</v>
      </c>
      <c r="N1322" t="s">
        <v>98</v>
      </c>
      <c r="O1322" t="s">
        <v>1345</v>
      </c>
    </row>
    <row r="1323" spans="1:15" x14ac:dyDescent="0.3">
      <c r="A1323" s="130">
        <v>6897</v>
      </c>
      <c r="B1323" s="130">
        <v>45</v>
      </c>
      <c r="C1323" s="130" t="s">
        <v>2947</v>
      </c>
      <c r="D1323">
        <v>10926</v>
      </c>
      <c r="E1323" s="130">
        <v>17162983</v>
      </c>
      <c r="F1323" t="s">
        <v>87</v>
      </c>
      <c r="G1323">
        <v>9135</v>
      </c>
      <c r="H1323" t="s">
        <v>8952</v>
      </c>
      <c r="I1323" s="130">
        <v>3</v>
      </c>
      <c r="J1323" t="s">
        <v>2947</v>
      </c>
      <c r="K1323" t="s">
        <v>95</v>
      </c>
      <c r="L1323" t="s">
        <v>111</v>
      </c>
      <c r="M1323" t="s">
        <v>106</v>
      </c>
      <c r="N1323" t="s">
        <v>98</v>
      </c>
      <c r="O1323" t="s">
        <v>1345</v>
      </c>
    </row>
    <row r="1324" spans="1:15" x14ac:dyDescent="0.3">
      <c r="A1324" s="130">
        <v>6901</v>
      </c>
      <c r="B1324" s="130">
        <v>18</v>
      </c>
      <c r="C1324" s="130" t="s">
        <v>2948</v>
      </c>
      <c r="D1324">
        <v>10929</v>
      </c>
      <c r="E1324" s="130">
        <v>24070142</v>
      </c>
      <c r="F1324" t="s">
        <v>87</v>
      </c>
      <c r="G1324">
        <v>9135</v>
      </c>
      <c r="H1324" t="s">
        <v>8953</v>
      </c>
      <c r="I1324" s="131">
        <v>3</v>
      </c>
      <c r="J1324" t="s">
        <v>2948</v>
      </c>
      <c r="K1324" t="s">
        <v>95</v>
      </c>
      <c r="L1324" t="s">
        <v>111</v>
      </c>
      <c r="M1324" t="s">
        <v>112</v>
      </c>
      <c r="N1324" t="s">
        <v>122</v>
      </c>
      <c r="O1324" t="s">
        <v>1345</v>
      </c>
    </row>
    <row r="1325" spans="1:15" x14ac:dyDescent="0.3">
      <c r="A1325" s="130">
        <v>6906</v>
      </c>
      <c r="B1325" s="130">
        <v>90</v>
      </c>
      <c r="C1325" s="130" t="s">
        <v>2949</v>
      </c>
      <c r="D1325">
        <v>10934</v>
      </c>
      <c r="E1325" s="130">
        <v>60435351</v>
      </c>
      <c r="F1325" t="s">
        <v>87</v>
      </c>
      <c r="G1325">
        <v>78</v>
      </c>
      <c r="H1325" t="s">
        <v>8951</v>
      </c>
      <c r="I1325" s="130">
        <v>43</v>
      </c>
      <c r="J1325" t="s">
        <v>2949</v>
      </c>
      <c r="K1325" t="s">
        <v>95</v>
      </c>
      <c r="L1325" t="s">
        <v>111</v>
      </c>
      <c r="M1325" t="s">
        <v>170</v>
      </c>
      <c r="N1325" t="s">
        <v>98</v>
      </c>
      <c r="O1325" t="s">
        <v>116</v>
      </c>
    </row>
    <row r="1326" spans="1:15" x14ac:dyDescent="0.3">
      <c r="A1326" s="130">
        <v>6912</v>
      </c>
      <c r="B1326" s="130">
        <v>0</v>
      </c>
      <c r="C1326" s="130" t="s">
        <v>2950</v>
      </c>
      <c r="D1326">
        <v>10940</v>
      </c>
      <c r="E1326" s="130">
        <v>22357900</v>
      </c>
      <c r="F1326" t="s">
        <v>87</v>
      </c>
      <c r="G1326">
        <v>9135</v>
      </c>
      <c r="H1326" t="s">
        <v>8952</v>
      </c>
      <c r="I1326" s="130">
        <v>1</v>
      </c>
      <c r="J1326" t="s">
        <v>2950</v>
      </c>
      <c r="K1326" t="s">
        <v>108</v>
      </c>
      <c r="L1326" t="s">
        <v>146</v>
      </c>
      <c r="M1326" t="s">
        <v>100</v>
      </c>
      <c r="N1326" t="s">
        <v>98</v>
      </c>
      <c r="O1326" t="s">
        <v>1256</v>
      </c>
    </row>
    <row r="1327" spans="1:15" x14ac:dyDescent="0.3">
      <c r="A1327" s="130">
        <v>6915</v>
      </c>
      <c r="B1327" s="130">
        <v>18</v>
      </c>
      <c r="C1327" s="130" t="s">
        <v>2951</v>
      </c>
      <c r="D1327">
        <v>10943</v>
      </c>
      <c r="E1327" s="130">
        <v>92943398</v>
      </c>
      <c r="F1327" t="s">
        <v>87</v>
      </c>
      <c r="G1327">
        <v>358</v>
      </c>
      <c r="H1327" t="s">
        <v>8953</v>
      </c>
      <c r="I1327" s="131">
        <v>10</v>
      </c>
      <c r="J1327" t="s">
        <v>2951</v>
      </c>
      <c r="K1327" t="s">
        <v>108</v>
      </c>
      <c r="L1327" t="s">
        <v>105</v>
      </c>
      <c r="M1327" t="s">
        <v>112</v>
      </c>
      <c r="N1327" t="s">
        <v>98</v>
      </c>
      <c r="O1327" t="s">
        <v>116</v>
      </c>
    </row>
    <row r="1328" spans="1:15" x14ac:dyDescent="0.3">
      <c r="A1328" s="130">
        <v>6919</v>
      </c>
      <c r="B1328" s="130">
        <v>30</v>
      </c>
      <c r="C1328" s="130" t="s">
        <v>2952</v>
      </c>
      <c r="D1328">
        <v>10946</v>
      </c>
      <c r="E1328" s="130">
        <v>33000167</v>
      </c>
      <c r="F1328" t="s">
        <v>87</v>
      </c>
      <c r="G1328">
        <v>9135</v>
      </c>
      <c r="H1328" t="s">
        <v>8951</v>
      </c>
      <c r="I1328" s="130">
        <v>24</v>
      </c>
      <c r="J1328" t="s">
        <v>2952</v>
      </c>
      <c r="K1328" t="s">
        <v>95</v>
      </c>
      <c r="L1328" t="s">
        <v>102</v>
      </c>
      <c r="M1328" t="s">
        <v>103</v>
      </c>
      <c r="N1328" t="s">
        <v>114</v>
      </c>
      <c r="O1328" t="s">
        <v>1345</v>
      </c>
    </row>
    <row r="1329" spans="1:15" x14ac:dyDescent="0.3">
      <c r="A1329" s="130">
        <v>6929</v>
      </c>
      <c r="B1329" s="130">
        <v>13058</v>
      </c>
      <c r="C1329" s="130" t="s">
        <v>2953</v>
      </c>
      <c r="D1329">
        <v>10965</v>
      </c>
      <c r="E1329" s="130">
        <v>17217001</v>
      </c>
      <c r="F1329" t="s">
        <v>87</v>
      </c>
      <c r="G1329">
        <v>9135</v>
      </c>
      <c r="H1329" t="s">
        <v>8952</v>
      </c>
      <c r="I1329" s="131">
        <v>3</v>
      </c>
      <c r="J1329" t="s">
        <v>2953</v>
      </c>
      <c r="K1329" t="s">
        <v>108</v>
      </c>
      <c r="L1329" t="s">
        <v>109</v>
      </c>
      <c r="M1329" t="s">
        <v>1360</v>
      </c>
      <c r="N1329" t="s">
        <v>152</v>
      </c>
      <c r="O1329" t="s">
        <v>1345</v>
      </c>
    </row>
    <row r="1330" spans="1:15" x14ac:dyDescent="0.3">
      <c r="A1330" s="130">
        <v>6936</v>
      </c>
      <c r="B1330" s="130">
        <v>28</v>
      </c>
      <c r="C1330" s="130" t="s">
        <v>2954</v>
      </c>
      <c r="D1330">
        <v>10974</v>
      </c>
      <c r="E1330" s="131">
        <v>19878404</v>
      </c>
      <c r="F1330" t="s">
        <v>87</v>
      </c>
      <c r="G1330">
        <v>9135</v>
      </c>
      <c r="H1330" t="s">
        <v>8953</v>
      </c>
      <c r="I1330" s="131">
        <v>3</v>
      </c>
      <c r="J1330" t="s">
        <v>2954</v>
      </c>
      <c r="K1330" t="s">
        <v>95</v>
      </c>
      <c r="L1330" t="s">
        <v>111</v>
      </c>
      <c r="M1330" t="s">
        <v>130</v>
      </c>
      <c r="N1330" t="s">
        <v>98</v>
      </c>
      <c r="O1330" t="s">
        <v>1345</v>
      </c>
    </row>
    <row r="1331" spans="1:15" x14ac:dyDescent="0.3">
      <c r="A1331" s="130">
        <v>6938</v>
      </c>
      <c r="B1331" s="130">
        <v>18</v>
      </c>
      <c r="C1331" s="130" t="s">
        <v>2955</v>
      </c>
      <c r="D1331">
        <v>10975</v>
      </c>
      <c r="E1331" s="130">
        <v>8726496</v>
      </c>
      <c r="F1331" t="s">
        <v>87</v>
      </c>
      <c r="G1331">
        <v>9135</v>
      </c>
      <c r="H1331" t="s">
        <v>8951</v>
      </c>
      <c r="I1331" s="130">
        <v>3</v>
      </c>
      <c r="J1331" t="s">
        <v>2955</v>
      </c>
      <c r="K1331" t="s">
        <v>95</v>
      </c>
      <c r="L1331" t="s">
        <v>111</v>
      </c>
      <c r="M1331" t="s">
        <v>112</v>
      </c>
      <c r="N1331" t="s">
        <v>98</v>
      </c>
      <c r="O1331" t="s">
        <v>1345</v>
      </c>
    </row>
    <row r="1332" spans="1:15" x14ac:dyDescent="0.3">
      <c r="A1332" s="130">
        <v>6942</v>
      </c>
      <c r="B1332" s="130">
        <v>28</v>
      </c>
      <c r="C1332" s="130" t="s">
        <v>2956</v>
      </c>
      <c r="D1332">
        <v>10981</v>
      </c>
      <c r="E1332" s="130">
        <v>41641398</v>
      </c>
      <c r="F1332" t="s">
        <v>87</v>
      </c>
      <c r="G1332">
        <v>9135</v>
      </c>
      <c r="H1332" t="s">
        <v>8952</v>
      </c>
      <c r="I1332" s="131">
        <v>37</v>
      </c>
      <c r="J1332" t="s">
        <v>2956</v>
      </c>
      <c r="K1332" t="s">
        <v>95</v>
      </c>
      <c r="L1332" t="s">
        <v>138</v>
      </c>
      <c r="M1332" t="s">
        <v>130</v>
      </c>
      <c r="N1332" t="s">
        <v>150</v>
      </c>
      <c r="O1332" t="s">
        <v>1345</v>
      </c>
    </row>
    <row r="1333" spans="1:15" x14ac:dyDescent="0.3">
      <c r="A1333" s="130">
        <v>6946</v>
      </c>
      <c r="B1333" s="130">
        <v>30</v>
      </c>
      <c r="C1333" s="130" t="s">
        <v>2957</v>
      </c>
      <c r="D1333">
        <v>10988</v>
      </c>
      <c r="E1333" s="131">
        <v>242184</v>
      </c>
      <c r="F1333" t="s">
        <v>87</v>
      </c>
      <c r="G1333">
        <v>9135</v>
      </c>
      <c r="H1333" t="s">
        <v>8953</v>
      </c>
      <c r="I1333" s="130">
        <v>18</v>
      </c>
      <c r="J1333" t="s">
        <v>2957</v>
      </c>
      <c r="K1333" t="s">
        <v>95</v>
      </c>
      <c r="L1333" t="s">
        <v>1293</v>
      </c>
      <c r="M1333" t="s">
        <v>103</v>
      </c>
      <c r="N1333" t="s">
        <v>118</v>
      </c>
      <c r="O1333" t="s">
        <v>1345</v>
      </c>
    </row>
    <row r="1334" spans="1:15" x14ac:dyDescent="0.3">
      <c r="A1334" s="130">
        <v>6961</v>
      </c>
      <c r="B1334" s="130">
        <v>30</v>
      </c>
      <c r="C1334" s="130" t="s">
        <v>2958</v>
      </c>
      <c r="D1334">
        <v>11006</v>
      </c>
      <c r="E1334" s="130">
        <v>19235340</v>
      </c>
      <c r="F1334" t="s">
        <v>87</v>
      </c>
      <c r="G1334">
        <v>358</v>
      </c>
      <c r="H1334" t="s">
        <v>8951</v>
      </c>
      <c r="I1334" s="130">
        <v>10</v>
      </c>
      <c r="J1334" t="s">
        <v>2958</v>
      </c>
      <c r="K1334" t="s">
        <v>95</v>
      </c>
      <c r="L1334" t="s">
        <v>105</v>
      </c>
      <c r="M1334" t="s">
        <v>103</v>
      </c>
      <c r="N1334" t="s">
        <v>98</v>
      </c>
      <c r="O1334" t="s">
        <v>1345</v>
      </c>
    </row>
    <row r="1335" spans="1:15" x14ac:dyDescent="0.3">
      <c r="A1335" s="130">
        <v>6974</v>
      </c>
      <c r="B1335" s="130">
        <v>18</v>
      </c>
      <c r="C1335" s="130" t="s">
        <v>2959</v>
      </c>
      <c r="D1335">
        <v>11022</v>
      </c>
      <c r="E1335" s="130">
        <v>18865549</v>
      </c>
      <c r="F1335" t="s">
        <v>87</v>
      </c>
      <c r="G1335">
        <v>9135</v>
      </c>
      <c r="H1335" t="s">
        <v>8952</v>
      </c>
      <c r="I1335" s="131">
        <v>26</v>
      </c>
      <c r="J1335" t="s">
        <v>2959</v>
      </c>
      <c r="K1335" t="s">
        <v>108</v>
      </c>
      <c r="L1335" t="s">
        <v>151</v>
      </c>
      <c r="M1335" t="s">
        <v>112</v>
      </c>
      <c r="N1335" t="s">
        <v>98</v>
      </c>
      <c r="O1335" t="s">
        <v>1345</v>
      </c>
    </row>
    <row r="1336" spans="1:15" x14ac:dyDescent="0.3">
      <c r="A1336" s="130">
        <v>6975</v>
      </c>
      <c r="B1336" s="130">
        <v>30</v>
      </c>
      <c r="C1336" s="130" t="s">
        <v>2960</v>
      </c>
      <c r="D1336">
        <v>11026</v>
      </c>
      <c r="E1336" s="130">
        <v>91894774</v>
      </c>
      <c r="F1336" t="s">
        <v>87</v>
      </c>
      <c r="G1336">
        <v>77</v>
      </c>
      <c r="H1336" t="s">
        <v>8953</v>
      </c>
      <c r="I1336" s="130">
        <v>18</v>
      </c>
      <c r="J1336" t="s">
        <v>2960</v>
      </c>
      <c r="K1336" t="s">
        <v>95</v>
      </c>
      <c r="L1336" t="s">
        <v>117</v>
      </c>
      <c r="M1336" t="s">
        <v>103</v>
      </c>
      <c r="N1336" t="s">
        <v>114</v>
      </c>
      <c r="O1336" t="s">
        <v>116</v>
      </c>
    </row>
    <row r="1337" spans="1:15" x14ac:dyDescent="0.3">
      <c r="A1337" s="130">
        <v>6976</v>
      </c>
      <c r="B1337" s="130">
        <v>30</v>
      </c>
      <c r="C1337" s="130" t="s">
        <v>2961</v>
      </c>
      <c r="D1337">
        <v>11028</v>
      </c>
      <c r="E1337" s="130">
        <v>7522191</v>
      </c>
      <c r="F1337" t="s">
        <v>87</v>
      </c>
      <c r="G1337">
        <v>77</v>
      </c>
      <c r="H1337" t="s">
        <v>8951</v>
      </c>
      <c r="I1337" s="130">
        <v>3</v>
      </c>
      <c r="J1337" t="s">
        <v>2961</v>
      </c>
      <c r="K1337" t="s">
        <v>95</v>
      </c>
      <c r="L1337" t="s">
        <v>117</v>
      </c>
      <c r="M1337" t="s">
        <v>103</v>
      </c>
      <c r="N1337" t="s">
        <v>104</v>
      </c>
      <c r="O1337" t="s">
        <v>1345</v>
      </c>
    </row>
    <row r="1338" spans="1:15" x14ac:dyDescent="0.3">
      <c r="A1338" s="130">
        <v>6981</v>
      </c>
      <c r="B1338" s="130">
        <v>30</v>
      </c>
      <c r="C1338" s="130" t="s">
        <v>2962</v>
      </c>
      <c r="D1338">
        <v>11039</v>
      </c>
      <c r="E1338" s="130">
        <v>28917748</v>
      </c>
      <c r="F1338" t="s">
        <v>87</v>
      </c>
      <c r="G1338">
        <v>9135</v>
      </c>
      <c r="H1338" t="s">
        <v>8952</v>
      </c>
      <c r="I1338" s="130">
        <v>2</v>
      </c>
      <c r="J1338" t="s">
        <v>2962</v>
      </c>
      <c r="K1338" t="s">
        <v>95</v>
      </c>
      <c r="L1338" t="s">
        <v>111</v>
      </c>
      <c r="M1338" t="s">
        <v>103</v>
      </c>
      <c r="N1338" t="s">
        <v>118</v>
      </c>
      <c r="O1338" t="s">
        <v>1345</v>
      </c>
    </row>
    <row r="1339" spans="1:15" x14ac:dyDescent="0.3">
      <c r="A1339" s="130">
        <v>6985</v>
      </c>
      <c r="B1339" s="130">
        <v>18</v>
      </c>
      <c r="C1339" s="130" t="s">
        <v>2963</v>
      </c>
      <c r="D1339">
        <v>11048</v>
      </c>
      <c r="E1339" s="130">
        <v>59225698</v>
      </c>
      <c r="F1339" t="s">
        <v>87</v>
      </c>
      <c r="G1339">
        <v>9135</v>
      </c>
      <c r="H1339" t="s">
        <v>8953</v>
      </c>
      <c r="I1339" s="130">
        <v>26</v>
      </c>
      <c r="J1339" t="s">
        <v>2963</v>
      </c>
      <c r="K1339" t="s">
        <v>95</v>
      </c>
      <c r="L1339" t="s">
        <v>151</v>
      </c>
      <c r="M1339" t="s">
        <v>112</v>
      </c>
      <c r="N1339" t="s">
        <v>98</v>
      </c>
      <c r="O1339" t="s">
        <v>1345</v>
      </c>
    </row>
    <row r="1340" spans="1:15" x14ac:dyDescent="0.3">
      <c r="A1340" s="130">
        <v>6994</v>
      </c>
      <c r="B1340" s="130">
        <v>30</v>
      </c>
      <c r="C1340" s="130" t="s">
        <v>2964</v>
      </c>
      <c r="D1340">
        <v>11057</v>
      </c>
      <c r="E1340" s="130">
        <v>16490504</v>
      </c>
      <c r="F1340" t="s">
        <v>87</v>
      </c>
      <c r="G1340">
        <v>9135</v>
      </c>
      <c r="H1340" t="s">
        <v>8951</v>
      </c>
      <c r="I1340" s="131">
        <v>3</v>
      </c>
      <c r="J1340" t="s">
        <v>2964</v>
      </c>
      <c r="K1340" t="s">
        <v>108</v>
      </c>
      <c r="L1340" t="s">
        <v>111</v>
      </c>
      <c r="M1340" t="s">
        <v>103</v>
      </c>
      <c r="N1340" t="s">
        <v>98</v>
      </c>
      <c r="O1340" t="s">
        <v>116</v>
      </c>
    </row>
    <row r="1341" spans="1:15" x14ac:dyDescent="0.3">
      <c r="A1341" s="130">
        <v>6995</v>
      </c>
      <c r="B1341" s="130">
        <v>30</v>
      </c>
      <c r="C1341" s="130" t="s">
        <v>2965</v>
      </c>
      <c r="D1341">
        <v>11058</v>
      </c>
      <c r="E1341" s="130">
        <v>16490504</v>
      </c>
      <c r="F1341" t="s">
        <v>87</v>
      </c>
      <c r="G1341">
        <v>9135</v>
      </c>
      <c r="H1341" t="s">
        <v>8952</v>
      </c>
      <c r="I1341" s="130">
        <v>3</v>
      </c>
      <c r="J1341" t="s">
        <v>2965</v>
      </c>
      <c r="K1341" t="s">
        <v>108</v>
      </c>
      <c r="L1341" t="s">
        <v>111</v>
      </c>
      <c r="M1341" t="s">
        <v>103</v>
      </c>
      <c r="N1341" t="s">
        <v>98</v>
      </c>
      <c r="O1341" t="s">
        <v>116</v>
      </c>
    </row>
    <row r="1342" spans="1:15" x14ac:dyDescent="0.3">
      <c r="A1342" s="130">
        <v>6996</v>
      </c>
      <c r="B1342" s="130">
        <v>-1</v>
      </c>
      <c r="C1342" s="130" t="s">
        <v>2966</v>
      </c>
      <c r="D1342">
        <v>11059</v>
      </c>
      <c r="E1342" s="131">
        <v>34690885</v>
      </c>
      <c r="F1342" t="s">
        <v>87</v>
      </c>
      <c r="G1342">
        <v>9135</v>
      </c>
      <c r="H1342" t="s">
        <v>8953</v>
      </c>
      <c r="I1342" s="130">
        <v>3</v>
      </c>
      <c r="J1342" t="s">
        <v>2966</v>
      </c>
      <c r="K1342" t="s">
        <v>108</v>
      </c>
      <c r="L1342" t="s">
        <v>111</v>
      </c>
      <c r="M1342" t="s">
        <v>174</v>
      </c>
      <c r="N1342" t="s">
        <v>152</v>
      </c>
      <c r="O1342" t="s">
        <v>1345</v>
      </c>
    </row>
    <row r="1343" spans="1:15" x14ac:dyDescent="0.3">
      <c r="A1343" s="130">
        <v>7003</v>
      </c>
      <c r="B1343" s="130">
        <v>30</v>
      </c>
      <c r="C1343" s="130" t="s">
        <v>2967</v>
      </c>
      <c r="D1343">
        <v>11070</v>
      </c>
      <c r="E1343" s="131">
        <v>17162983</v>
      </c>
      <c r="F1343" t="s">
        <v>87</v>
      </c>
      <c r="G1343">
        <v>9135</v>
      </c>
      <c r="H1343" t="s">
        <v>8951</v>
      </c>
      <c r="I1343" s="131">
        <v>3</v>
      </c>
      <c r="J1343" t="s">
        <v>2967</v>
      </c>
      <c r="K1343" t="s">
        <v>95</v>
      </c>
      <c r="L1343" t="s">
        <v>96</v>
      </c>
      <c r="M1343" t="s">
        <v>103</v>
      </c>
      <c r="N1343" t="s">
        <v>98</v>
      </c>
      <c r="O1343" t="s">
        <v>1345</v>
      </c>
    </row>
    <row r="1344" spans="1:15" x14ac:dyDescent="0.3">
      <c r="A1344" s="130">
        <v>7007</v>
      </c>
      <c r="B1344" s="130">
        <v>30</v>
      </c>
      <c r="C1344" s="130" t="s">
        <v>2968</v>
      </c>
      <c r="D1344">
        <v>11075</v>
      </c>
      <c r="E1344" s="130">
        <v>8928273</v>
      </c>
      <c r="F1344" t="s">
        <v>87</v>
      </c>
      <c r="G1344">
        <v>358</v>
      </c>
      <c r="H1344" t="s">
        <v>8952</v>
      </c>
      <c r="I1344" s="131">
        <v>10</v>
      </c>
      <c r="J1344" t="s">
        <v>2968</v>
      </c>
      <c r="K1344" t="s">
        <v>95</v>
      </c>
      <c r="L1344" t="s">
        <v>105</v>
      </c>
      <c r="M1344" t="s">
        <v>103</v>
      </c>
      <c r="N1344" t="s">
        <v>98</v>
      </c>
      <c r="O1344" t="s">
        <v>1345</v>
      </c>
    </row>
    <row r="1345" spans="1:15" x14ac:dyDescent="0.3">
      <c r="A1345" s="130">
        <v>7009</v>
      </c>
      <c r="B1345" s="130">
        <v>18</v>
      </c>
      <c r="C1345" s="130" t="s">
        <v>2969</v>
      </c>
      <c r="D1345">
        <v>11078</v>
      </c>
      <c r="E1345" s="130">
        <v>2577145</v>
      </c>
      <c r="F1345" t="s">
        <v>87</v>
      </c>
      <c r="G1345">
        <v>9135</v>
      </c>
      <c r="H1345" t="s">
        <v>8953</v>
      </c>
      <c r="I1345" s="130">
        <v>10</v>
      </c>
      <c r="J1345" t="s">
        <v>2969</v>
      </c>
      <c r="K1345" t="s">
        <v>108</v>
      </c>
      <c r="L1345" t="s">
        <v>127</v>
      </c>
      <c r="M1345" t="s">
        <v>112</v>
      </c>
      <c r="N1345" t="s">
        <v>98</v>
      </c>
      <c r="O1345" t="s">
        <v>1345</v>
      </c>
    </row>
    <row r="1346" spans="1:15" x14ac:dyDescent="0.3">
      <c r="A1346" s="130">
        <v>7014</v>
      </c>
      <c r="B1346" s="130">
        <v>30</v>
      </c>
      <c r="C1346" s="130" t="s">
        <v>2970</v>
      </c>
      <c r="D1346">
        <v>11081</v>
      </c>
      <c r="E1346" s="131">
        <v>25566035</v>
      </c>
      <c r="F1346" t="s">
        <v>87</v>
      </c>
      <c r="G1346">
        <v>358</v>
      </c>
      <c r="H1346" t="s">
        <v>8951</v>
      </c>
      <c r="I1346" s="131">
        <v>10</v>
      </c>
      <c r="J1346" t="s">
        <v>2970</v>
      </c>
      <c r="K1346" t="s">
        <v>95</v>
      </c>
      <c r="L1346" t="s">
        <v>105</v>
      </c>
      <c r="M1346" t="s">
        <v>103</v>
      </c>
      <c r="N1346" t="s">
        <v>98</v>
      </c>
      <c r="O1346" t="s">
        <v>1345</v>
      </c>
    </row>
    <row r="1347" spans="1:15" x14ac:dyDescent="0.3">
      <c r="A1347" s="130">
        <v>7024</v>
      </c>
      <c r="B1347" s="130">
        <v>-1</v>
      </c>
      <c r="C1347" s="130" t="s">
        <v>2971</v>
      </c>
      <c r="D1347">
        <v>11097</v>
      </c>
      <c r="E1347" s="131">
        <v>4406730</v>
      </c>
      <c r="F1347" t="s">
        <v>87</v>
      </c>
      <c r="G1347">
        <v>9135</v>
      </c>
      <c r="H1347" t="s">
        <v>8952</v>
      </c>
      <c r="I1347" s="130">
        <v>24</v>
      </c>
      <c r="J1347" t="s">
        <v>2971</v>
      </c>
      <c r="K1347" t="s">
        <v>108</v>
      </c>
      <c r="L1347" t="s">
        <v>191</v>
      </c>
      <c r="M1347" t="s">
        <v>174</v>
      </c>
      <c r="N1347" t="s">
        <v>98</v>
      </c>
      <c r="O1347" t="s">
        <v>1345</v>
      </c>
    </row>
    <row r="1348" spans="1:15" x14ac:dyDescent="0.3">
      <c r="A1348" s="130">
        <v>7025</v>
      </c>
      <c r="B1348" s="130">
        <v>15</v>
      </c>
      <c r="C1348" s="130" t="s">
        <v>2972</v>
      </c>
      <c r="D1348">
        <v>11098</v>
      </c>
      <c r="E1348" s="130">
        <v>2580316</v>
      </c>
      <c r="F1348" t="s">
        <v>87</v>
      </c>
      <c r="G1348">
        <v>9135</v>
      </c>
      <c r="H1348" t="s">
        <v>8953</v>
      </c>
      <c r="I1348" s="131">
        <v>24</v>
      </c>
      <c r="J1348" t="s">
        <v>2972</v>
      </c>
      <c r="K1348" t="s">
        <v>95</v>
      </c>
      <c r="L1348" t="s">
        <v>191</v>
      </c>
      <c r="M1348" t="s">
        <v>145</v>
      </c>
      <c r="N1348" t="s">
        <v>98</v>
      </c>
      <c r="O1348" t="s">
        <v>1345</v>
      </c>
    </row>
    <row r="1349" spans="1:15" x14ac:dyDescent="0.3">
      <c r="A1349" s="130">
        <v>7034</v>
      </c>
      <c r="B1349" s="130">
        <v>21</v>
      </c>
      <c r="C1349" s="130" t="s">
        <v>2973</v>
      </c>
      <c r="D1349">
        <v>11115</v>
      </c>
      <c r="E1349" s="131">
        <v>10558895</v>
      </c>
      <c r="F1349" t="s">
        <v>87</v>
      </c>
      <c r="G1349">
        <v>9135</v>
      </c>
      <c r="H1349" t="s">
        <v>8951</v>
      </c>
      <c r="I1349" s="131">
        <v>37</v>
      </c>
      <c r="J1349" t="s">
        <v>2973</v>
      </c>
      <c r="K1349" t="s">
        <v>95</v>
      </c>
      <c r="L1349" t="s">
        <v>138</v>
      </c>
      <c r="M1349" t="s">
        <v>137</v>
      </c>
      <c r="N1349" t="s">
        <v>98</v>
      </c>
      <c r="O1349" t="s">
        <v>1345</v>
      </c>
    </row>
    <row r="1350" spans="1:15" x14ac:dyDescent="0.3">
      <c r="A1350" s="130">
        <v>7035</v>
      </c>
      <c r="B1350" s="130">
        <v>60</v>
      </c>
      <c r="C1350" s="130" t="s">
        <v>2974</v>
      </c>
      <c r="D1350">
        <v>11119</v>
      </c>
      <c r="E1350" s="130">
        <v>9625762</v>
      </c>
      <c r="F1350" t="s">
        <v>87</v>
      </c>
      <c r="G1350">
        <v>78</v>
      </c>
      <c r="H1350" t="s">
        <v>8952</v>
      </c>
      <c r="I1350" s="130">
        <v>43</v>
      </c>
      <c r="J1350" t="s">
        <v>2974</v>
      </c>
      <c r="K1350" t="s">
        <v>95</v>
      </c>
      <c r="L1350" t="s">
        <v>159</v>
      </c>
      <c r="M1350" t="s">
        <v>97</v>
      </c>
      <c r="N1350" t="s">
        <v>150</v>
      </c>
      <c r="O1350" t="s">
        <v>1345</v>
      </c>
    </row>
    <row r="1351" spans="1:15" x14ac:dyDescent="0.3">
      <c r="A1351" s="130">
        <v>7037</v>
      </c>
      <c r="B1351" s="130">
        <v>18</v>
      </c>
      <c r="C1351" s="130" t="s">
        <v>2975</v>
      </c>
      <c r="D1351">
        <v>11126</v>
      </c>
      <c r="E1351" s="131">
        <v>19245954</v>
      </c>
      <c r="F1351" t="s">
        <v>87</v>
      </c>
      <c r="G1351">
        <v>9135</v>
      </c>
      <c r="H1351" t="s">
        <v>8953</v>
      </c>
      <c r="I1351" s="130">
        <v>26</v>
      </c>
      <c r="J1351" t="s">
        <v>2975</v>
      </c>
      <c r="K1351" t="s">
        <v>108</v>
      </c>
      <c r="L1351" t="s">
        <v>151</v>
      </c>
      <c r="M1351" t="s">
        <v>112</v>
      </c>
      <c r="N1351" t="s">
        <v>98</v>
      </c>
      <c r="O1351" t="s">
        <v>1345</v>
      </c>
    </row>
    <row r="1352" spans="1:15" x14ac:dyDescent="0.3">
      <c r="A1352" s="130">
        <v>7040</v>
      </c>
      <c r="B1352" s="130">
        <v>30</v>
      </c>
      <c r="C1352" s="130" t="s">
        <v>2976</v>
      </c>
      <c r="D1352">
        <v>11130</v>
      </c>
      <c r="E1352" s="130">
        <v>8928273</v>
      </c>
      <c r="F1352" t="s">
        <v>87</v>
      </c>
      <c r="G1352">
        <v>358</v>
      </c>
      <c r="H1352" t="s">
        <v>8951</v>
      </c>
      <c r="I1352" s="130">
        <v>10</v>
      </c>
      <c r="J1352" t="s">
        <v>2976</v>
      </c>
      <c r="K1352" t="s">
        <v>95</v>
      </c>
      <c r="L1352" t="s">
        <v>105</v>
      </c>
      <c r="M1352" t="s">
        <v>103</v>
      </c>
      <c r="N1352" t="s">
        <v>98</v>
      </c>
      <c r="O1352" t="s">
        <v>1345</v>
      </c>
    </row>
    <row r="1353" spans="1:15" x14ac:dyDescent="0.3">
      <c r="A1353" s="130">
        <v>7042</v>
      </c>
      <c r="B1353" s="130">
        <v>30</v>
      </c>
      <c r="C1353" s="130" t="s">
        <v>2977</v>
      </c>
      <c r="D1353">
        <v>11133</v>
      </c>
      <c r="E1353" s="131">
        <v>8928273</v>
      </c>
      <c r="F1353" t="s">
        <v>87</v>
      </c>
      <c r="G1353">
        <v>358</v>
      </c>
      <c r="H1353" t="s">
        <v>8952</v>
      </c>
      <c r="I1353" s="130">
        <v>10</v>
      </c>
      <c r="J1353" t="s">
        <v>2977</v>
      </c>
      <c r="K1353" t="s">
        <v>95</v>
      </c>
      <c r="L1353" t="s">
        <v>105</v>
      </c>
      <c r="M1353" t="s">
        <v>103</v>
      </c>
      <c r="N1353" t="s">
        <v>98</v>
      </c>
      <c r="O1353" t="s">
        <v>1345</v>
      </c>
    </row>
    <row r="1354" spans="1:15" x14ac:dyDescent="0.3">
      <c r="A1354" s="130">
        <v>7043</v>
      </c>
      <c r="B1354" s="130">
        <v>30</v>
      </c>
      <c r="C1354" s="130" t="s">
        <v>2978</v>
      </c>
      <c r="D1354">
        <v>11134</v>
      </c>
      <c r="E1354" s="130">
        <v>8928273</v>
      </c>
      <c r="F1354" t="s">
        <v>87</v>
      </c>
      <c r="G1354">
        <v>358</v>
      </c>
      <c r="H1354" t="s">
        <v>8953</v>
      </c>
      <c r="I1354" s="131">
        <v>10</v>
      </c>
      <c r="J1354" t="s">
        <v>2978</v>
      </c>
      <c r="K1354" t="s">
        <v>95</v>
      </c>
      <c r="L1354" t="s">
        <v>105</v>
      </c>
      <c r="M1354" t="s">
        <v>103</v>
      </c>
      <c r="N1354" t="s">
        <v>98</v>
      </c>
      <c r="O1354" t="s">
        <v>1345</v>
      </c>
    </row>
    <row r="1355" spans="1:15" x14ac:dyDescent="0.3">
      <c r="A1355" s="130">
        <v>7058</v>
      </c>
      <c r="B1355" s="130">
        <v>28</v>
      </c>
      <c r="C1355" s="130" t="s">
        <v>2979</v>
      </c>
      <c r="D1355">
        <v>11151</v>
      </c>
      <c r="E1355" s="130">
        <v>21062047</v>
      </c>
      <c r="F1355" t="s">
        <v>87</v>
      </c>
      <c r="G1355">
        <v>9135</v>
      </c>
      <c r="H1355" t="s">
        <v>8951</v>
      </c>
      <c r="I1355" s="131">
        <v>3</v>
      </c>
      <c r="J1355" t="s">
        <v>2979</v>
      </c>
      <c r="K1355" t="s">
        <v>95</v>
      </c>
      <c r="L1355" t="s">
        <v>111</v>
      </c>
      <c r="M1355" t="s">
        <v>130</v>
      </c>
      <c r="N1355" t="s">
        <v>98</v>
      </c>
      <c r="O1355" t="s">
        <v>1345</v>
      </c>
    </row>
    <row r="1356" spans="1:15" x14ac:dyDescent="0.3">
      <c r="A1356" s="130">
        <v>7059</v>
      </c>
      <c r="B1356" s="130">
        <v>18</v>
      </c>
      <c r="C1356" s="130" t="s">
        <v>2980</v>
      </c>
      <c r="D1356">
        <v>11152</v>
      </c>
      <c r="E1356" s="131">
        <v>2618143</v>
      </c>
      <c r="F1356" t="s">
        <v>87</v>
      </c>
      <c r="G1356">
        <v>9135</v>
      </c>
      <c r="H1356" t="s">
        <v>8952</v>
      </c>
      <c r="I1356" s="130">
        <v>9</v>
      </c>
      <c r="J1356" t="s">
        <v>2980</v>
      </c>
      <c r="K1356" t="s">
        <v>108</v>
      </c>
      <c r="L1356" t="s">
        <v>163</v>
      </c>
      <c r="M1356" t="s">
        <v>112</v>
      </c>
      <c r="N1356" t="s">
        <v>98</v>
      </c>
      <c r="O1356" t="s">
        <v>1345</v>
      </c>
    </row>
    <row r="1357" spans="1:15" x14ac:dyDescent="0.3">
      <c r="A1357" s="130">
        <v>7061</v>
      </c>
      <c r="B1357" s="130">
        <v>28</v>
      </c>
      <c r="C1357" s="130" t="s">
        <v>2981</v>
      </c>
      <c r="D1357">
        <v>11156</v>
      </c>
      <c r="E1357" s="131">
        <v>3901750</v>
      </c>
      <c r="F1357" t="s">
        <v>87</v>
      </c>
      <c r="G1357">
        <v>9135</v>
      </c>
      <c r="H1357" t="s">
        <v>8953</v>
      </c>
      <c r="I1357" s="130">
        <v>3</v>
      </c>
      <c r="J1357" t="s">
        <v>2981</v>
      </c>
      <c r="K1357" t="s">
        <v>108</v>
      </c>
      <c r="L1357" t="s">
        <v>111</v>
      </c>
      <c r="M1357" t="s">
        <v>130</v>
      </c>
      <c r="N1357" t="s">
        <v>98</v>
      </c>
      <c r="O1357" t="s">
        <v>116</v>
      </c>
    </row>
    <row r="1358" spans="1:15" x14ac:dyDescent="0.3">
      <c r="A1358" s="130">
        <v>7065</v>
      </c>
      <c r="B1358" s="130">
        <v>30</v>
      </c>
      <c r="C1358" s="130" t="s">
        <v>2982</v>
      </c>
      <c r="D1358">
        <v>11162</v>
      </c>
      <c r="E1358" s="131">
        <v>33189131</v>
      </c>
      <c r="F1358" t="s">
        <v>87</v>
      </c>
      <c r="G1358">
        <v>358</v>
      </c>
      <c r="H1358" t="s">
        <v>8951</v>
      </c>
      <c r="I1358" s="131">
        <v>24</v>
      </c>
      <c r="J1358" t="s">
        <v>2982</v>
      </c>
      <c r="K1358" t="s">
        <v>95</v>
      </c>
      <c r="L1358" t="s">
        <v>109</v>
      </c>
      <c r="M1358" t="s">
        <v>103</v>
      </c>
      <c r="N1358" t="s">
        <v>98</v>
      </c>
      <c r="O1358" t="s">
        <v>116</v>
      </c>
    </row>
    <row r="1359" spans="1:15" x14ac:dyDescent="0.3">
      <c r="A1359" s="130">
        <v>7068</v>
      </c>
      <c r="B1359" s="130">
        <v>30</v>
      </c>
      <c r="C1359" s="130" t="s">
        <v>2983</v>
      </c>
      <c r="D1359">
        <v>11166</v>
      </c>
      <c r="E1359" s="130">
        <v>33189131</v>
      </c>
      <c r="F1359" t="s">
        <v>87</v>
      </c>
      <c r="G1359">
        <v>358</v>
      </c>
      <c r="H1359" t="s">
        <v>8952</v>
      </c>
      <c r="I1359" s="130">
        <v>24</v>
      </c>
      <c r="J1359" t="s">
        <v>2983</v>
      </c>
      <c r="K1359" t="s">
        <v>95</v>
      </c>
      <c r="L1359" t="s">
        <v>109</v>
      </c>
      <c r="M1359" t="s">
        <v>103</v>
      </c>
      <c r="N1359" t="s">
        <v>98</v>
      </c>
      <c r="O1359" t="s">
        <v>116</v>
      </c>
    </row>
    <row r="1360" spans="1:15" x14ac:dyDescent="0.3">
      <c r="A1360" s="130">
        <v>7071</v>
      </c>
      <c r="B1360" s="130">
        <v>0</v>
      </c>
      <c r="C1360" s="130" t="s">
        <v>2984</v>
      </c>
      <c r="D1360">
        <v>11171</v>
      </c>
      <c r="E1360" s="130">
        <v>34606593</v>
      </c>
      <c r="F1360" t="s">
        <v>87</v>
      </c>
      <c r="G1360">
        <v>358</v>
      </c>
      <c r="H1360" t="s">
        <v>8953</v>
      </c>
      <c r="I1360" s="130">
        <v>3</v>
      </c>
      <c r="J1360" t="s">
        <v>2984</v>
      </c>
      <c r="K1360" t="s">
        <v>108</v>
      </c>
      <c r="L1360" t="s">
        <v>109</v>
      </c>
      <c r="M1360" t="s">
        <v>100</v>
      </c>
      <c r="N1360" t="s">
        <v>98</v>
      </c>
      <c r="O1360" t="s">
        <v>1345</v>
      </c>
    </row>
    <row r="1361" spans="1:15" x14ac:dyDescent="0.3">
      <c r="A1361" s="130">
        <v>7087</v>
      </c>
      <c r="B1361" s="130">
        <v>18</v>
      </c>
      <c r="C1361" s="130" t="s">
        <v>2985</v>
      </c>
      <c r="D1361">
        <v>11202</v>
      </c>
      <c r="E1361" s="130">
        <v>22745178</v>
      </c>
      <c r="F1361" t="s">
        <v>87</v>
      </c>
      <c r="G1361">
        <v>358</v>
      </c>
      <c r="H1361" t="s">
        <v>8951</v>
      </c>
      <c r="I1361" s="130">
        <v>3</v>
      </c>
      <c r="J1361" t="s">
        <v>2985</v>
      </c>
      <c r="K1361" t="s">
        <v>95</v>
      </c>
      <c r="L1361" t="s">
        <v>109</v>
      </c>
      <c r="M1361" t="s">
        <v>112</v>
      </c>
      <c r="N1361" t="s">
        <v>98</v>
      </c>
      <c r="O1361" t="s">
        <v>1345</v>
      </c>
    </row>
    <row r="1362" spans="1:15" x14ac:dyDescent="0.3">
      <c r="A1362" s="130">
        <v>7091</v>
      </c>
      <c r="B1362" s="130">
        <v>0</v>
      </c>
      <c r="C1362" s="130" t="s">
        <v>2986</v>
      </c>
      <c r="D1362">
        <v>11206</v>
      </c>
      <c r="E1362" s="130">
        <v>29152196</v>
      </c>
      <c r="F1362" t="s">
        <v>87</v>
      </c>
      <c r="G1362">
        <v>9135</v>
      </c>
      <c r="H1362" t="s">
        <v>8952</v>
      </c>
      <c r="I1362" s="130">
        <v>26</v>
      </c>
      <c r="J1362" t="s">
        <v>2986</v>
      </c>
      <c r="K1362" t="s">
        <v>108</v>
      </c>
      <c r="L1362" t="s">
        <v>151</v>
      </c>
      <c r="M1362" t="s">
        <v>100</v>
      </c>
      <c r="N1362" t="s">
        <v>98</v>
      </c>
      <c r="O1362" t="s">
        <v>116</v>
      </c>
    </row>
    <row r="1363" spans="1:15" x14ac:dyDescent="0.3">
      <c r="A1363" s="130">
        <v>7092</v>
      </c>
      <c r="B1363" s="130" t="s">
        <v>135</v>
      </c>
      <c r="C1363" s="130" t="s">
        <v>2987</v>
      </c>
      <c r="D1363">
        <v>11203</v>
      </c>
      <c r="E1363" s="130">
        <v>83646547</v>
      </c>
      <c r="F1363" t="s">
        <v>87</v>
      </c>
      <c r="G1363">
        <v>358</v>
      </c>
      <c r="H1363" t="s">
        <v>8953</v>
      </c>
      <c r="I1363" s="130">
        <v>10</v>
      </c>
      <c r="J1363" t="s">
        <v>2987</v>
      </c>
      <c r="K1363" t="s">
        <v>95</v>
      </c>
      <c r="L1363" t="s">
        <v>105</v>
      </c>
      <c r="M1363" t="s">
        <v>136</v>
      </c>
      <c r="N1363" t="s">
        <v>98</v>
      </c>
      <c r="O1363" t="s">
        <v>1345</v>
      </c>
    </row>
    <row r="1364" spans="1:15" x14ac:dyDescent="0.3">
      <c r="A1364" s="130">
        <v>7095</v>
      </c>
      <c r="B1364" s="130">
        <v>30</v>
      </c>
      <c r="C1364" s="130" t="s">
        <v>2988</v>
      </c>
      <c r="D1364">
        <v>11214</v>
      </c>
      <c r="E1364" s="130">
        <v>33592510</v>
      </c>
      <c r="F1364" t="s">
        <v>87</v>
      </c>
      <c r="G1364">
        <v>77</v>
      </c>
      <c r="H1364" t="s">
        <v>8951</v>
      </c>
      <c r="I1364" s="130">
        <v>41</v>
      </c>
      <c r="J1364" t="s">
        <v>2988</v>
      </c>
      <c r="K1364" t="s">
        <v>95</v>
      </c>
      <c r="L1364" t="s">
        <v>117</v>
      </c>
      <c r="M1364" t="s">
        <v>180</v>
      </c>
      <c r="N1364" t="s">
        <v>118</v>
      </c>
      <c r="O1364" t="s">
        <v>1345</v>
      </c>
    </row>
    <row r="1365" spans="1:15" x14ac:dyDescent="0.3">
      <c r="A1365" s="130">
        <v>7099</v>
      </c>
      <c r="B1365" s="130">
        <v>18</v>
      </c>
      <c r="C1365" s="130" t="s">
        <v>2989</v>
      </c>
      <c r="D1365">
        <v>11219</v>
      </c>
      <c r="E1365" s="130">
        <v>17344459</v>
      </c>
      <c r="F1365" t="s">
        <v>87</v>
      </c>
      <c r="G1365">
        <v>9135</v>
      </c>
      <c r="H1365" t="s">
        <v>8952</v>
      </c>
      <c r="I1365" s="130">
        <v>37</v>
      </c>
      <c r="J1365" t="s">
        <v>2989</v>
      </c>
      <c r="K1365" t="s">
        <v>95</v>
      </c>
      <c r="L1365" t="s">
        <v>138</v>
      </c>
      <c r="M1365" t="s">
        <v>112</v>
      </c>
      <c r="N1365" t="s">
        <v>98</v>
      </c>
      <c r="O1365" t="s">
        <v>116</v>
      </c>
    </row>
    <row r="1366" spans="1:15" x14ac:dyDescent="0.3">
      <c r="A1366" s="130">
        <v>7103</v>
      </c>
      <c r="B1366" s="130">
        <v>18</v>
      </c>
      <c r="C1366" s="130" t="s">
        <v>2990</v>
      </c>
      <c r="D1366">
        <v>11226</v>
      </c>
      <c r="E1366" s="130">
        <v>2578440</v>
      </c>
      <c r="F1366" t="s">
        <v>87</v>
      </c>
      <c r="G1366">
        <v>9135</v>
      </c>
      <c r="H1366" t="s">
        <v>8953</v>
      </c>
      <c r="I1366" s="130">
        <v>26</v>
      </c>
      <c r="J1366" t="s">
        <v>2990</v>
      </c>
      <c r="K1366" t="s">
        <v>108</v>
      </c>
      <c r="L1366" t="s">
        <v>151</v>
      </c>
      <c r="M1366" t="s">
        <v>112</v>
      </c>
      <c r="N1366" t="s">
        <v>114</v>
      </c>
      <c r="O1366" t="s">
        <v>1345</v>
      </c>
    </row>
    <row r="1367" spans="1:15" x14ac:dyDescent="0.3">
      <c r="A1367" s="130">
        <v>7110</v>
      </c>
      <c r="B1367" s="130">
        <v>28</v>
      </c>
      <c r="C1367" s="130" t="s">
        <v>2991</v>
      </c>
      <c r="D1367">
        <v>10987</v>
      </c>
      <c r="E1367" s="130">
        <v>2565617</v>
      </c>
      <c r="F1367" t="s">
        <v>87</v>
      </c>
      <c r="G1367">
        <v>9135</v>
      </c>
      <c r="H1367" t="s">
        <v>8951</v>
      </c>
      <c r="I1367" s="130">
        <v>18</v>
      </c>
      <c r="J1367" t="s">
        <v>2991</v>
      </c>
      <c r="K1367" t="s">
        <v>95</v>
      </c>
      <c r="L1367" t="s">
        <v>140</v>
      </c>
      <c r="M1367" t="s">
        <v>130</v>
      </c>
      <c r="N1367" t="s">
        <v>98</v>
      </c>
      <c r="O1367" t="s">
        <v>1345</v>
      </c>
    </row>
    <row r="1368" spans="1:15" x14ac:dyDescent="0.3">
      <c r="A1368" s="130">
        <v>7114</v>
      </c>
      <c r="B1368" s="130">
        <v>30</v>
      </c>
      <c r="C1368" s="130" t="s">
        <v>2992</v>
      </c>
      <c r="D1368">
        <v>11244</v>
      </c>
      <c r="E1368" s="130">
        <v>242184</v>
      </c>
      <c r="F1368" t="s">
        <v>87</v>
      </c>
      <c r="G1368">
        <v>9135</v>
      </c>
      <c r="H1368" t="s">
        <v>8952</v>
      </c>
      <c r="I1368" s="130">
        <v>24</v>
      </c>
      <c r="J1368" t="s">
        <v>2992</v>
      </c>
      <c r="K1368" t="s">
        <v>108</v>
      </c>
      <c r="L1368" t="s">
        <v>191</v>
      </c>
      <c r="M1368" t="s">
        <v>103</v>
      </c>
      <c r="N1368" t="s">
        <v>114</v>
      </c>
      <c r="O1368" t="s">
        <v>116</v>
      </c>
    </row>
    <row r="1369" spans="1:15" x14ac:dyDescent="0.3">
      <c r="A1369" s="130">
        <v>7125</v>
      </c>
      <c r="B1369" s="130">
        <v>30</v>
      </c>
      <c r="C1369" s="130" t="s">
        <v>2993</v>
      </c>
      <c r="D1369">
        <v>11260</v>
      </c>
      <c r="E1369" s="130">
        <v>23514652</v>
      </c>
      <c r="F1369" t="s">
        <v>87</v>
      </c>
      <c r="G1369">
        <v>9135</v>
      </c>
      <c r="H1369" t="s">
        <v>8953</v>
      </c>
      <c r="I1369" s="130">
        <v>26</v>
      </c>
      <c r="J1369" t="s">
        <v>2993</v>
      </c>
      <c r="K1369" t="s">
        <v>95</v>
      </c>
      <c r="L1369" t="s">
        <v>151</v>
      </c>
      <c r="M1369" t="s">
        <v>103</v>
      </c>
      <c r="N1369" t="s">
        <v>169</v>
      </c>
      <c r="O1369" t="s">
        <v>116</v>
      </c>
    </row>
    <row r="1370" spans="1:15" x14ac:dyDescent="0.3">
      <c r="A1370" s="130">
        <v>7128</v>
      </c>
      <c r="B1370" s="130">
        <v>18</v>
      </c>
      <c r="C1370" s="130" t="s">
        <v>2994</v>
      </c>
      <c r="D1370">
        <v>11262</v>
      </c>
      <c r="E1370" s="131">
        <v>42881356</v>
      </c>
      <c r="F1370" t="s">
        <v>87</v>
      </c>
      <c r="G1370">
        <v>9135</v>
      </c>
      <c r="H1370" t="s">
        <v>8951</v>
      </c>
      <c r="I1370" s="130">
        <v>37</v>
      </c>
      <c r="J1370" t="s">
        <v>2994</v>
      </c>
      <c r="K1370" t="s">
        <v>108</v>
      </c>
      <c r="L1370" t="s">
        <v>138</v>
      </c>
      <c r="M1370" t="s">
        <v>112</v>
      </c>
      <c r="N1370" t="s">
        <v>101</v>
      </c>
      <c r="O1370" t="s">
        <v>1345</v>
      </c>
    </row>
    <row r="1371" spans="1:15" x14ac:dyDescent="0.3">
      <c r="A1371" s="130">
        <v>7138</v>
      </c>
      <c r="B1371" s="130">
        <v>30</v>
      </c>
      <c r="C1371" s="130" t="s">
        <v>2995</v>
      </c>
      <c r="D1371">
        <v>11186</v>
      </c>
      <c r="E1371" s="131">
        <v>28763819</v>
      </c>
      <c r="F1371" t="s">
        <v>87</v>
      </c>
      <c r="G1371">
        <v>9135</v>
      </c>
      <c r="H1371" t="s">
        <v>8952</v>
      </c>
      <c r="I1371" s="131">
        <v>10</v>
      </c>
      <c r="J1371" t="s">
        <v>2995</v>
      </c>
      <c r="K1371" t="s">
        <v>108</v>
      </c>
      <c r="L1371" t="s">
        <v>127</v>
      </c>
      <c r="M1371" t="s">
        <v>103</v>
      </c>
      <c r="N1371" t="s">
        <v>118</v>
      </c>
      <c r="O1371" t="s">
        <v>116</v>
      </c>
    </row>
    <row r="1372" spans="1:15" x14ac:dyDescent="0.3">
      <c r="A1372" s="130">
        <v>7143</v>
      </c>
      <c r="B1372" s="130">
        <v>30</v>
      </c>
      <c r="C1372" s="130" t="s">
        <v>2996</v>
      </c>
      <c r="D1372">
        <v>11287</v>
      </c>
      <c r="E1372" s="130">
        <v>42441965</v>
      </c>
      <c r="F1372" t="s">
        <v>87</v>
      </c>
      <c r="G1372">
        <v>9135</v>
      </c>
      <c r="H1372" t="s">
        <v>8953</v>
      </c>
      <c r="I1372" s="131">
        <v>10</v>
      </c>
      <c r="J1372" t="s">
        <v>2996</v>
      </c>
      <c r="K1372" t="s">
        <v>95</v>
      </c>
      <c r="L1372" t="s">
        <v>96</v>
      </c>
      <c r="M1372" t="s">
        <v>103</v>
      </c>
      <c r="N1372" t="s">
        <v>98</v>
      </c>
      <c r="O1372" t="s">
        <v>1345</v>
      </c>
    </row>
    <row r="1373" spans="1:15" x14ac:dyDescent="0.3">
      <c r="A1373" s="130">
        <v>7145</v>
      </c>
      <c r="B1373" s="130">
        <v>60</v>
      </c>
      <c r="C1373" s="130" t="s">
        <v>2997</v>
      </c>
      <c r="D1373">
        <v>11289</v>
      </c>
      <c r="E1373" s="130">
        <v>3998869</v>
      </c>
      <c r="F1373" t="s">
        <v>87</v>
      </c>
      <c r="G1373">
        <v>9135</v>
      </c>
      <c r="H1373" t="s">
        <v>8951</v>
      </c>
      <c r="I1373" s="131">
        <v>24</v>
      </c>
      <c r="J1373" t="s">
        <v>2997</v>
      </c>
      <c r="K1373" t="s">
        <v>95</v>
      </c>
      <c r="L1373" t="s">
        <v>191</v>
      </c>
      <c r="M1373" t="s">
        <v>97</v>
      </c>
      <c r="N1373" t="s">
        <v>98</v>
      </c>
      <c r="O1373" t="s">
        <v>1345</v>
      </c>
    </row>
    <row r="1374" spans="1:15" x14ac:dyDescent="0.3">
      <c r="A1374" s="130">
        <v>7151</v>
      </c>
      <c r="B1374" s="130">
        <v>30</v>
      </c>
      <c r="C1374" s="130" t="s">
        <v>2998</v>
      </c>
      <c r="D1374">
        <v>11295</v>
      </c>
      <c r="E1374" s="130">
        <v>3364572</v>
      </c>
      <c r="F1374" t="s">
        <v>87</v>
      </c>
      <c r="G1374">
        <v>358</v>
      </c>
      <c r="H1374" t="s">
        <v>8952</v>
      </c>
      <c r="I1374" s="131">
        <v>2</v>
      </c>
      <c r="J1374" t="s">
        <v>2998</v>
      </c>
      <c r="K1374" t="s">
        <v>95</v>
      </c>
      <c r="L1374" t="s">
        <v>109</v>
      </c>
      <c r="M1374" t="s">
        <v>103</v>
      </c>
      <c r="N1374" t="s">
        <v>104</v>
      </c>
      <c r="O1374" t="s">
        <v>116</v>
      </c>
    </row>
    <row r="1375" spans="1:15" x14ac:dyDescent="0.3">
      <c r="A1375" s="130">
        <v>7152</v>
      </c>
      <c r="B1375" s="130">
        <v>18</v>
      </c>
      <c r="C1375" s="130" t="s">
        <v>2999</v>
      </c>
      <c r="D1375">
        <v>11297</v>
      </c>
      <c r="E1375" s="130">
        <v>8666201</v>
      </c>
      <c r="F1375" t="s">
        <v>87</v>
      </c>
      <c r="G1375">
        <v>9135</v>
      </c>
      <c r="H1375" t="s">
        <v>8953</v>
      </c>
      <c r="I1375" s="131">
        <v>38</v>
      </c>
      <c r="J1375" t="s">
        <v>2999</v>
      </c>
      <c r="K1375" t="s">
        <v>108</v>
      </c>
      <c r="L1375" t="s">
        <v>126</v>
      </c>
      <c r="M1375" t="s">
        <v>112</v>
      </c>
      <c r="N1375" t="s">
        <v>98</v>
      </c>
      <c r="O1375" t="s">
        <v>1345</v>
      </c>
    </row>
    <row r="1376" spans="1:15" x14ac:dyDescent="0.3">
      <c r="A1376" s="130">
        <v>7153</v>
      </c>
      <c r="B1376" s="130">
        <v>30</v>
      </c>
      <c r="C1376" s="130" t="s">
        <v>3000</v>
      </c>
      <c r="D1376">
        <v>11299</v>
      </c>
      <c r="E1376" s="130">
        <v>10279488</v>
      </c>
      <c r="F1376" t="s">
        <v>87</v>
      </c>
      <c r="G1376">
        <v>77</v>
      </c>
      <c r="H1376" t="s">
        <v>8951</v>
      </c>
      <c r="I1376" s="130">
        <v>3</v>
      </c>
      <c r="J1376" t="s">
        <v>3000</v>
      </c>
      <c r="K1376" t="s">
        <v>95</v>
      </c>
      <c r="L1376" t="s">
        <v>117</v>
      </c>
      <c r="M1376" t="s">
        <v>103</v>
      </c>
      <c r="N1376" t="s">
        <v>118</v>
      </c>
      <c r="O1376" t="s">
        <v>1345</v>
      </c>
    </row>
    <row r="1377" spans="1:15" x14ac:dyDescent="0.3">
      <c r="A1377" s="130">
        <v>7166</v>
      </c>
      <c r="B1377" s="130">
        <v>30</v>
      </c>
      <c r="C1377" s="130" t="s">
        <v>3001</v>
      </c>
      <c r="D1377">
        <v>11305</v>
      </c>
      <c r="E1377" s="130">
        <v>8830929</v>
      </c>
      <c r="F1377" t="s">
        <v>87</v>
      </c>
      <c r="G1377">
        <v>9135</v>
      </c>
      <c r="H1377" t="s">
        <v>8952</v>
      </c>
      <c r="I1377" s="130">
        <v>9</v>
      </c>
      <c r="J1377" t="s">
        <v>3001</v>
      </c>
      <c r="K1377" t="s">
        <v>108</v>
      </c>
      <c r="L1377" t="s">
        <v>163</v>
      </c>
      <c r="M1377" t="s">
        <v>103</v>
      </c>
      <c r="N1377" t="s">
        <v>98</v>
      </c>
      <c r="O1377" t="s">
        <v>1345</v>
      </c>
    </row>
    <row r="1378" spans="1:15" x14ac:dyDescent="0.3">
      <c r="A1378" s="130">
        <v>7170</v>
      </c>
      <c r="B1378" s="130">
        <v>10</v>
      </c>
      <c r="C1378" s="130" t="s">
        <v>3002</v>
      </c>
      <c r="D1378">
        <v>11325</v>
      </c>
      <c r="E1378" s="130">
        <v>23374794</v>
      </c>
      <c r="F1378" t="s">
        <v>87</v>
      </c>
      <c r="G1378">
        <v>358</v>
      </c>
      <c r="H1378" t="s">
        <v>8953</v>
      </c>
      <c r="I1378" s="130">
        <v>3</v>
      </c>
      <c r="J1378" t="s">
        <v>3002</v>
      </c>
      <c r="K1378" t="s">
        <v>95</v>
      </c>
      <c r="L1378" t="s">
        <v>109</v>
      </c>
      <c r="M1378" t="s">
        <v>133</v>
      </c>
      <c r="N1378" t="s">
        <v>98</v>
      </c>
      <c r="O1378" t="s">
        <v>1345</v>
      </c>
    </row>
    <row r="1379" spans="1:15" x14ac:dyDescent="0.3">
      <c r="A1379" s="130">
        <v>7172</v>
      </c>
      <c r="B1379" s="130">
        <v>18</v>
      </c>
      <c r="C1379" s="130" t="s">
        <v>3003</v>
      </c>
      <c r="D1379">
        <v>11323</v>
      </c>
      <c r="E1379" s="130">
        <v>4431044680</v>
      </c>
      <c r="F1379" t="s">
        <v>87</v>
      </c>
      <c r="G1379">
        <v>9135</v>
      </c>
      <c r="H1379" t="s">
        <v>8951</v>
      </c>
      <c r="I1379" s="131">
        <v>37</v>
      </c>
      <c r="J1379" t="s">
        <v>3003</v>
      </c>
      <c r="K1379" t="s">
        <v>95</v>
      </c>
      <c r="L1379" t="s">
        <v>138</v>
      </c>
      <c r="M1379" t="s">
        <v>112</v>
      </c>
      <c r="N1379" t="s">
        <v>150</v>
      </c>
      <c r="O1379" t="s">
        <v>1345</v>
      </c>
    </row>
    <row r="1380" spans="1:15" x14ac:dyDescent="0.3">
      <c r="A1380" s="130">
        <v>7184</v>
      </c>
      <c r="B1380" s="130">
        <v>30</v>
      </c>
      <c r="C1380" s="130" t="s">
        <v>3004</v>
      </c>
      <c r="D1380">
        <v>11332</v>
      </c>
      <c r="E1380" s="130">
        <v>63567820</v>
      </c>
      <c r="F1380" t="s">
        <v>87</v>
      </c>
      <c r="G1380">
        <v>9135</v>
      </c>
      <c r="H1380" t="s">
        <v>8952</v>
      </c>
      <c r="I1380" s="130">
        <v>9</v>
      </c>
      <c r="J1380" t="s">
        <v>3004</v>
      </c>
      <c r="K1380" t="s">
        <v>95</v>
      </c>
      <c r="L1380" t="s">
        <v>163</v>
      </c>
      <c r="M1380" t="s">
        <v>103</v>
      </c>
      <c r="N1380" t="s">
        <v>98</v>
      </c>
      <c r="O1380" t="s">
        <v>1345</v>
      </c>
    </row>
    <row r="1381" spans="1:15" x14ac:dyDescent="0.3">
      <c r="A1381" s="130">
        <v>7188</v>
      </c>
      <c r="B1381" s="130">
        <v>18</v>
      </c>
      <c r="C1381" s="130" t="s">
        <v>3005</v>
      </c>
      <c r="D1381">
        <v>11340</v>
      </c>
      <c r="E1381" s="130">
        <v>23294509</v>
      </c>
      <c r="F1381" t="s">
        <v>87</v>
      </c>
      <c r="G1381">
        <v>9135</v>
      </c>
      <c r="H1381" t="s">
        <v>8953</v>
      </c>
      <c r="I1381" s="130">
        <v>37</v>
      </c>
      <c r="J1381" t="s">
        <v>3005</v>
      </c>
      <c r="K1381" t="s">
        <v>95</v>
      </c>
      <c r="L1381" t="s">
        <v>138</v>
      </c>
      <c r="M1381" t="s">
        <v>112</v>
      </c>
      <c r="N1381" t="s">
        <v>114</v>
      </c>
      <c r="O1381" t="s">
        <v>1345</v>
      </c>
    </row>
    <row r="1382" spans="1:15" x14ac:dyDescent="0.3">
      <c r="A1382" s="130">
        <v>7193</v>
      </c>
      <c r="B1382" s="130">
        <v>10</v>
      </c>
      <c r="C1382" s="130" t="s">
        <v>3006</v>
      </c>
      <c r="D1382">
        <v>11349</v>
      </c>
      <c r="E1382" s="130">
        <v>15649751</v>
      </c>
      <c r="F1382" t="s">
        <v>87</v>
      </c>
      <c r="G1382">
        <v>358</v>
      </c>
      <c r="H1382" t="s">
        <v>8951</v>
      </c>
      <c r="I1382" s="130">
        <v>3</v>
      </c>
      <c r="J1382" t="s">
        <v>3006</v>
      </c>
      <c r="K1382" t="s">
        <v>95</v>
      </c>
      <c r="L1382" t="s">
        <v>109</v>
      </c>
      <c r="M1382" t="s">
        <v>133</v>
      </c>
      <c r="N1382" t="s">
        <v>98</v>
      </c>
      <c r="O1382" t="s">
        <v>1345</v>
      </c>
    </row>
    <row r="1383" spans="1:15" x14ac:dyDescent="0.3">
      <c r="A1383" s="130">
        <v>7218</v>
      </c>
      <c r="B1383" s="130">
        <v>13058</v>
      </c>
      <c r="C1383" s="130" t="s">
        <v>3007</v>
      </c>
      <c r="D1383">
        <v>11379</v>
      </c>
      <c r="E1383" s="130">
        <v>19072453</v>
      </c>
      <c r="F1383" t="s">
        <v>87</v>
      </c>
      <c r="G1383">
        <v>358</v>
      </c>
      <c r="H1383" t="s">
        <v>8952</v>
      </c>
      <c r="I1383" s="131">
        <v>3</v>
      </c>
      <c r="J1383" t="s">
        <v>3007</v>
      </c>
      <c r="K1383" t="s">
        <v>108</v>
      </c>
      <c r="L1383" t="s">
        <v>109</v>
      </c>
      <c r="M1383" t="s">
        <v>1360</v>
      </c>
      <c r="N1383" t="s">
        <v>98</v>
      </c>
      <c r="O1383" t="s">
        <v>1345</v>
      </c>
    </row>
    <row r="1384" spans="1:15" x14ac:dyDescent="0.3">
      <c r="A1384" s="130">
        <v>7222</v>
      </c>
      <c r="B1384" s="130">
        <v>30</v>
      </c>
      <c r="C1384" s="130" t="s">
        <v>3008</v>
      </c>
      <c r="D1384">
        <v>11386</v>
      </c>
      <c r="E1384" s="130">
        <v>33000167</v>
      </c>
      <c r="F1384" t="s">
        <v>87</v>
      </c>
      <c r="G1384">
        <v>9135</v>
      </c>
      <c r="H1384" t="s">
        <v>8953</v>
      </c>
      <c r="I1384" s="130">
        <v>24</v>
      </c>
      <c r="J1384" t="s">
        <v>3008</v>
      </c>
      <c r="K1384" t="s">
        <v>95</v>
      </c>
      <c r="L1384" t="s">
        <v>102</v>
      </c>
      <c r="M1384" t="s">
        <v>103</v>
      </c>
      <c r="N1384" t="s">
        <v>114</v>
      </c>
      <c r="O1384" t="s">
        <v>1345</v>
      </c>
    </row>
    <row r="1385" spans="1:15" x14ac:dyDescent="0.3">
      <c r="A1385" s="130">
        <v>7226</v>
      </c>
      <c r="B1385" s="130">
        <v>10</v>
      </c>
      <c r="C1385" s="130" t="s">
        <v>3009</v>
      </c>
      <c r="D1385">
        <v>11398</v>
      </c>
      <c r="E1385" s="131">
        <v>9131944</v>
      </c>
      <c r="F1385" t="s">
        <v>87</v>
      </c>
      <c r="G1385">
        <v>9135</v>
      </c>
      <c r="H1385" t="s">
        <v>8951</v>
      </c>
      <c r="I1385" s="130">
        <v>3</v>
      </c>
      <c r="J1385" t="s">
        <v>3009</v>
      </c>
      <c r="K1385" t="s">
        <v>108</v>
      </c>
      <c r="L1385" t="s">
        <v>109</v>
      </c>
      <c r="M1385" t="s">
        <v>133</v>
      </c>
      <c r="N1385" t="s">
        <v>98</v>
      </c>
      <c r="O1385" t="s">
        <v>1345</v>
      </c>
    </row>
    <row r="1386" spans="1:15" x14ac:dyDescent="0.3">
      <c r="A1386" s="130">
        <v>7228</v>
      </c>
      <c r="B1386" s="130">
        <v>18</v>
      </c>
      <c r="C1386" s="130" t="s">
        <v>3010</v>
      </c>
      <c r="D1386">
        <v>11400</v>
      </c>
      <c r="E1386" s="130">
        <v>4470925</v>
      </c>
      <c r="F1386" t="s">
        <v>87</v>
      </c>
      <c r="G1386">
        <v>9135</v>
      </c>
      <c r="H1386" t="s">
        <v>8952</v>
      </c>
      <c r="I1386" s="131">
        <v>10</v>
      </c>
      <c r="J1386" t="s">
        <v>3010</v>
      </c>
      <c r="K1386" t="s">
        <v>108</v>
      </c>
      <c r="L1386" t="s">
        <v>127</v>
      </c>
      <c r="M1386" t="s">
        <v>112</v>
      </c>
      <c r="N1386" t="s">
        <v>98</v>
      </c>
      <c r="O1386" t="s">
        <v>116</v>
      </c>
    </row>
    <row r="1387" spans="1:15" x14ac:dyDescent="0.3">
      <c r="A1387" s="130">
        <v>7229</v>
      </c>
      <c r="B1387" s="130">
        <v>64</v>
      </c>
      <c r="C1387" s="130" t="s">
        <v>3011</v>
      </c>
      <c r="D1387">
        <v>10685</v>
      </c>
      <c r="E1387" s="130">
        <v>655209</v>
      </c>
      <c r="F1387" t="s">
        <v>87</v>
      </c>
      <c r="G1387">
        <v>9135</v>
      </c>
      <c r="H1387" t="s">
        <v>8953</v>
      </c>
      <c r="I1387" s="130">
        <v>9</v>
      </c>
      <c r="J1387" t="s">
        <v>3011</v>
      </c>
      <c r="K1387" t="s">
        <v>95</v>
      </c>
      <c r="L1387" t="s">
        <v>163</v>
      </c>
      <c r="M1387" t="s">
        <v>165</v>
      </c>
      <c r="N1387" t="s">
        <v>114</v>
      </c>
      <c r="O1387" t="s">
        <v>116</v>
      </c>
    </row>
    <row r="1388" spans="1:15" x14ac:dyDescent="0.3">
      <c r="A1388" s="130">
        <v>7235</v>
      </c>
      <c r="B1388" s="130">
        <v>-1</v>
      </c>
      <c r="C1388" s="130" t="s">
        <v>3012</v>
      </c>
      <c r="D1388">
        <v>11407</v>
      </c>
      <c r="E1388" s="130">
        <v>29658922</v>
      </c>
      <c r="F1388" t="s">
        <v>87</v>
      </c>
      <c r="G1388">
        <v>9135</v>
      </c>
      <c r="H1388" t="s">
        <v>8951</v>
      </c>
      <c r="I1388" s="130">
        <v>10</v>
      </c>
      <c r="J1388" t="s">
        <v>3012</v>
      </c>
      <c r="K1388" t="s">
        <v>108</v>
      </c>
      <c r="L1388" t="s">
        <v>127</v>
      </c>
      <c r="M1388" t="s">
        <v>174</v>
      </c>
      <c r="N1388" t="s">
        <v>118</v>
      </c>
      <c r="O1388" t="s">
        <v>1345</v>
      </c>
    </row>
    <row r="1389" spans="1:15" x14ac:dyDescent="0.3">
      <c r="A1389" s="130">
        <v>7240</v>
      </c>
      <c r="B1389" s="130">
        <v>30</v>
      </c>
      <c r="C1389" s="130" t="s">
        <v>3013</v>
      </c>
      <c r="D1389">
        <v>11414</v>
      </c>
      <c r="E1389" s="131">
        <v>29513405</v>
      </c>
      <c r="F1389" t="s">
        <v>87</v>
      </c>
      <c r="G1389">
        <v>9135</v>
      </c>
      <c r="H1389" t="s">
        <v>8952</v>
      </c>
      <c r="I1389" s="131">
        <v>18</v>
      </c>
      <c r="J1389" t="s">
        <v>3013</v>
      </c>
      <c r="K1389" t="s">
        <v>108</v>
      </c>
      <c r="L1389" t="s">
        <v>123</v>
      </c>
      <c r="M1389" t="s">
        <v>103</v>
      </c>
      <c r="N1389" t="s">
        <v>98</v>
      </c>
      <c r="O1389" t="s">
        <v>116</v>
      </c>
    </row>
    <row r="1390" spans="1:15" x14ac:dyDescent="0.3">
      <c r="A1390" s="130">
        <v>7243</v>
      </c>
      <c r="B1390" s="130">
        <v>30</v>
      </c>
      <c r="C1390" s="130" t="s">
        <v>3014</v>
      </c>
      <c r="D1390">
        <v>11391</v>
      </c>
      <c r="E1390" s="130">
        <v>83693366</v>
      </c>
      <c r="F1390" t="s">
        <v>87</v>
      </c>
      <c r="G1390">
        <v>9135</v>
      </c>
      <c r="H1390" t="s">
        <v>8953</v>
      </c>
      <c r="I1390" s="131">
        <v>24</v>
      </c>
      <c r="J1390" t="s">
        <v>3014</v>
      </c>
      <c r="K1390" t="s">
        <v>108</v>
      </c>
      <c r="L1390" t="s">
        <v>191</v>
      </c>
      <c r="M1390" t="s">
        <v>103</v>
      </c>
      <c r="N1390" t="s">
        <v>98</v>
      </c>
      <c r="O1390" t="s">
        <v>1345</v>
      </c>
    </row>
    <row r="1391" spans="1:15" x14ac:dyDescent="0.3">
      <c r="A1391" s="130">
        <v>7245</v>
      </c>
      <c r="B1391" s="130">
        <v>30</v>
      </c>
      <c r="C1391" s="130" t="s">
        <v>3015</v>
      </c>
      <c r="D1391">
        <v>11418</v>
      </c>
      <c r="E1391" s="130">
        <v>3672857</v>
      </c>
      <c r="F1391" t="s">
        <v>87</v>
      </c>
      <c r="G1391">
        <v>9135</v>
      </c>
      <c r="H1391" t="s">
        <v>8951</v>
      </c>
      <c r="I1391" s="130">
        <v>10</v>
      </c>
      <c r="J1391" t="s">
        <v>3015</v>
      </c>
      <c r="K1391" t="s">
        <v>108</v>
      </c>
      <c r="L1391" t="s">
        <v>127</v>
      </c>
      <c r="M1391" t="s">
        <v>103</v>
      </c>
      <c r="N1391" t="s">
        <v>118</v>
      </c>
      <c r="O1391" t="s">
        <v>1345</v>
      </c>
    </row>
    <row r="1392" spans="1:15" x14ac:dyDescent="0.3">
      <c r="A1392" s="130">
        <v>7247</v>
      </c>
      <c r="B1392" s="130">
        <v>60</v>
      </c>
      <c r="C1392" s="130" t="s">
        <v>3016</v>
      </c>
      <c r="D1392">
        <v>11425</v>
      </c>
      <c r="E1392" s="130">
        <v>27462720</v>
      </c>
      <c r="F1392" t="s">
        <v>87</v>
      </c>
      <c r="G1392">
        <v>9135</v>
      </c>
      <c r="H1392" t="s">
        <v>8952</v>
      </c>
      <c r="I1392" s="131">
        <v>3</v>
      </c>
      <c r="J1392" t="s">
        <v>3016</v>
      </c>
      <c r="K1392" t="s">
        <v>108</v>
      </c>
      <c r="L1392" t="s">
        <v>109</v>
      </c>
      <c r="M1392" t="s">
        <v>97</v>
      </c>
      <c r="N1392" t="s">
        <v>98</v>
      </c>
      <c r="O1392" t="s">
        <v>116</v>
      </c>
    </row>
    <row r="1393" spans="1:15" x14ac:dyDescent="0.3">
      <c r="A1393" s="130">
        <v>7248</v>
      </c>
      <c r="B1393" s="130">
        <v>30</v>
      </c>
      <c r="C1393" s="130" t="s">
        <v>3017</v>
      </c>
      <c r="D1393">
        <v>11426</v>
      </c>
      <c r="E1393" s="130">
        <v>7382185</v>
      </c>
      <c r="F1393" t="s">
        <v>87</v>
      </c>
      <c r="G1393">
        <v>9135</v>
      </c>
      <c r="H1393" t="s">
        <v>8953</v>
      </c>
      <c r="I1393" s="130">
        <v>19</v>
      </c>
      <c r="J1393" t="s">
        <v>3017</v>
      </c>
      <c r="K1393" t="s">
        <v>108</v>
      </c>
      <c r="L1393" t="s">
        <v>146</v>
      </c>
      <c r="M1393" t="s">
        <v>103</v>
      </c>
      <c r="N1393" t="s">
        <v>101</v>
      </c>
      <c r="O1393" t="s">
        <v>116</v>
      </c>
    </row>
    <row r="1394" spans="1:15" x14ac:dyDescent="0.3">
      <c r="A1394" s="130">
        <v>7256</v>
      </c>
      <c r="B1394" s="130">
        <v>18</v>
      </c>
      <c r="C1394" s="130" t="s">
        <v>3018</v>
      </c>
      <c r="D1394">
        <v>11432</v>
      </c>
      <c r="E1394" s="131">
        <v>21175203</v>
      </c>
      <c r="F1394" t="s">
        <v>87</v>
      </c>
      <c r="G1394">
        <v>9135</v>
      </c>
      <c r="H1394" t="s">
        <v>8951</v>
      </c>
      <c r="I1394" s="131">
        <v>3</v>
      </c>
      <c r="J1394" t="s">
        <v>3018</v>
      </c>
      <c r="K1394" t="s">
        <v>95</v>
      </c>
      <c r="L1394" t="s">
        <v>111</v>
      </c>
      <c r="M1394" t="s">
        <v>112</v>
      </c>
      <c r="N1394" t="s">
        <v>98</v>
      </c>
      <c r="O1394" t="s">
        <v>1345</v>
      </c>
    </row>
    <row r="1395" spans="1:15" x14ac:dyDescent="0.3">
      <c r="A1395" s="130">
        <v>7259</v>
      </c>
      <c r="B1395" s="130">
        <v>10</v>
      </c>
      <c r="C1395" s="130" t="s">
        <v>3019</v>
      </c>
      <c r="D1395">
        <v>11436</v>
      </c>
      <c r="E1395" s="130">
        <v>2219378</v>
      </c>
      <c r="F1395" t="s">
        <v>87</v>
      </c>
      <c r="G1395">
        <v>358</v>
      </c>
      <c r="H1395" t="s">
        <v>8952</v>
      </c>
      <c r="I1395" s="130">
        <v>10</v>
      </c>
      <c r="J1395" t="s">
        <v>3019</v>
      </c>
      <c r="K1395" t="s">
        <v>108</v>
      </c>
      <c r="L1395" t="s">
        <v>105</v>
      </c>
      <c r="M1395" t="s">
        <v>133</v>
      </c>
      <c r="N1395" t="s">
        <v>141</v>
      </c>
      <c r="O1395" t="s">
        <v>1345</v>
      </c>
    </row>
    <row r="1396" spans="1:15" x14ac:dyDescent="0.3">
      <c r="A1396" s="130">
        <v>7260</v>
      </c>
      <c r="B1396" s="130">
        <v>28</v>
      </c>
      <c r="C1396" s="130" t="s">
        <v>3020</v>
      </c>
      <c r="D1396">
        <v>11437</v>
      </c>
      <c r="E1396" s="130">
        <v>10558895</v>
      </c>
      <c r="F1396" t="s">
        <v>87</v>
      </c>
      <c r="G1396">
        <v>9135</v>
      </c>
      <c r="H1396" t="s">
        <v>8953</v>
      </c>
      <c r="I1396" s="130">
        <v>37</v>
      </c>
      <c r="J1396" t="s">
        <v>3020</v>
      </c>
      <c r="K1396" t="s">
        <v>95</v>
      </c>
      <c r="L1396" t="s">
        <v>138</v>
      </c>
      <c r="M1396" t="s">
        <v>130</v>
      </c>
      <c r="N1396" t="s">
        <v>114</v>
      </c>
      <c r="O1396" t="s">
        <v>1345</v>
      </c>
    </row>
    <row r="1397" spans="1:15" x14ac:dyDescent="0.3">
      <c r="A1397" s="130">
        <v>7265</v>
      </c>
      <c r="B1397" s="130">
        <v>28</v>
      </c>
      <c r="C1397" s="130" t="s">
        <v>3021</v>
      </c>
      <c r="D1397">
        <v>11443</v>
      </c>
      <c r="E1397" s="131">
        <v>19878404</v>
      </c>
      <c r="F1397" t="s">
        <v>87</v>
      </c>
      <c r="G1397">
        <v>9135</v>
      </c>
      <c r="H1397" t="s">
        <v>8951</v>
      </c>
      <c r="I1397" s="130">
        <v>3</v>
      </c>
      <c r="J1397" t="s">
        <v>3021</v>
      </c>
      <c r="K1397" t="s">
        <v>95</v>
      </c>
      <c r="L1397" t="s">
        <v>111</v>
      </c>
      <c r="M1397" t="s">
        <v>130</v>
      </c>
      <c r="N1397" t="s">
        <v>98</v>
      </c>
      <c r="O1397" t="s">
        <v>1345</v>
      </c>
    </row>
    <row r="1398" spans="1:15" x14ac:dyDescent="0.3">
      <c r="A1398" s="130">
        <v>7268</v>
      </c>
      <c r="B1398" s="130" t="s">
        <v>227</v>
      </c>
      <c r="C1398" s="130" t="s">
        <v>3022</v>
      </c>
      <c r="D1398">
        <v>11448</v>
      </c>
      <c r="E1398" s="130">
        <v>20584944</v>
      </c>
      <c r="F1398" t="s">
        <v>87</v>
      </c>
      <c r="G1398">
        <v>358</v>
      </c>
      <c r="H1398" t="s">
        <v>8952</v>
      </c>
      <c r="I1398" s="131">
        <v>3</v>
      </c>
      <c r="J1398" t="s">
        <v>3022</v>
      </c>
      <c r="K1398" t="s">
        <v>108</v>
      </c>
      <c r="L1398" t="s">
        <v>109</v>
      </c>
      <c r="M1398" t="s">
        <v>228</v>
      </c>
      <c r="N1398" t="s">
        <v>152</v>
      </c>
      <c r="O1398" t="s">
        <v>1345</v>
      </c>
    </row>
    <row r="1399" spans="1:15" x14ac:dyDescent="0.3">
      <c r="A1399" s="130">
        <v>7269</v>
      </c>
      <c r="B1399" s="130">
        <v>18</v>
      </c>
      <c r="C1399" s="130" t="s">
        <v>3023</v>
      </c>
      <c r="D1399">
        <v>11298</v>
      </c>
      <c r="E1399" s="130">
        <v>3644204</v>
      </c>
      <c r="F1399" t="s">
        <v>87</v>
      </c>
      <c r="G1399">
        <v>9135</v>
      </c>
      <c r="H1399" t="s">
        <v>8953</v>
      </c>
      <c r="I1399" s="131">
        <v>9</v>
      </c>
      <c r="J1399" t="s">
        <v>3023</v>
      </c>
      <c r="K1399" t="s">
        <v>108</v>
      </c>
      <c r="L1399" t="s">
        <v>163</v>
      </c>
      <c r="M1399" t="s">
        <v>112</v>
      </c>
      <c r="N1399" t="s">
        <v>98</v>
      </c>
      <c r="O1399" t="s">
        <v>1345</v>
      </c>
    </row>
    <row r="1400" spans="1:15" x14ac:dyDescent="0.3">
      <c r="A1400" s="130">
        <v>7272</v>
      </c>
      <c r="B1400" s="130">
        <v>18</v>
      </c>
      <c r="C1400" s="130" t="s">
        <v>3024</v>
      </c>
      <c r="D1400">
        <v>11451</v>
      </c>
      <c r="E1400" s="130">
        <v>3958763</v>
      </c>
      <c r="F1400" t="s">
        <v>87</v>
      </c>
      <c r="G1400">
        <v>9135</v>
      </c>
      <c r="H1400" t="s">
        <v>8951</v>
      </c>
      <c r="I1400" s="130">
        <v>3</v>
      </c>
      <c r="J1400" t="s">
        <v>3024</v>
      </c>
      <c r="K1400" t="s">
        <v>95</v>
      </c>
      <c r="L1400" t="s">
        <v>111</v>
      </c>
      <c r="M1400" t="s">
        <v>112</v>
      </c>
      <c r="N1400" t="s">
        <v>98</v>
      </c>
      <c r="O1400" t="s">
        <v>1345</v>
      </c>
    </row>
    <row r="1401" spans="1:15" x14ac:dyDescent="0.3">
      <c r="A1401" s="130">
        <v>7275</v>
      </c>
      <c r="B1401" s="130">
        <v>28</v>
      </c>
      <c r="C1401" s="130" t="s">
        <v>3025</v>
      </c>
      <c r="D1401">
        <v>11459</v>
      </c>
      <c r="E1401" s="130">
        <v>10558895</v>
      </c>
      <c r="F1401" t="s">
        <v>87</v>
      </c>
      <c r="G1401">
        <v>9135</v>
      </c>
      <c r="H1401" t="s">
        <v>8952</v>
      </c>
      <c r="I1401" s="130">
        <v>37</v>
      </c>
      <c r="J1401" t="s">
        <v>3025</v>
      </c>
      <c r="K1401" t="s">
        <v>95</v>
      </c>
      <c r="L1401" t="s">
        <v>138</v>
      </c>
      <c r="M1401" t="s">
        <v>130</v>
      </c>
      <c r="N1401" t="s">
        <v>114</v>
      </c>
      <c r="O1401" t="s">
        <v>1345</v>
      </c>
    </row>
    <row r="1402" spans="1:15" x14ac:dyDescent="0.3">
      <c r="A1402" s="130">
        <v>7280</v>
      </c>
      <c r="B1402" s="130">
        <v>28</v>
      </c>
      <c r="C1402" s="130" t="s">
        <v>3026</v>
      </c>
      <c r="D1402">
        <v>11464</v>
      </c>
      <c r="E1402" s="131">
        <v>10558895</v>
      </c>
      <c r="F1402" t="s">
        <v>87</v>
      </c>
      <c r="G1402">
        <v>9135</v>
      </c>
      <c r="H1402" t="s">
        <v>8953</v>
      </c>
      <c r="I1402" s="130">
        <v>37</v>
      </c>
      <c r="J1402" t="s">
        <v>3026</v>
      </c>
      <c r="K1402" t="s">
        <v>95</v>
      </c>
      <c r="L1402" t="s">
        <v>138</v>
      </c>
      <c r="M1402" t="s">
        <v>130</v>
      </c>
      <c r="N1402" t="s">
        <v>114</v>
      </c>
      <c r="O1402" t="s">
        <v>1345</v>
      </c>
    </row>
    <row r="1403" spans="1:15" x14ac:dyDescent="0.3">
      <c r="A1403" s="130">
        <v>7284</v>
      </c>
      <c r="B1403" s="130">
        <v>28</v>
      </c>
      <c r="C1403" s="130" t="s">
        <v>3027</v>
      </c>
      <c r="D1403">
        <v>11468</v>
      </c>
      <c r="E1403" s="131">
        <v>10558895</v>
      </c>
      <c r="F1403" t="s">
        <v>87</v>
      </c>
      <c r="G1403">
        <v>9135</v>
      </c>
      <c r="H1403" t="s">
        <v>8951</v>
      </c>
      <c r="I1403" s="130">
        <v>37</v>
      </c>
      <c r="J1403" t="s">
        <v>3027</v>
      </c>
      <c r="K1403" t="s">
        <v>95</v>
      </c>
      <c r="L1403" t="s">
        <v>138</v>
      </c>
      <c r="M1403" t="s">
        <v>130</v>
      </c>
      <c r="N1403" t="s">
        <v>114</v>
      </c>
      <c r="O1403" t="s">
        <v>1345</v>
      </c>
    </row>
    <row r="1404" spans="1:15" x14ac:dyDescent="0.3">
      <c r="A1404" s="130">
        <v>7294</v>
      </c>
      <c r="B1404" s="130">
        <v>30</v>
      </c>
      <c r="C1404" s="130" t="s">
        <v>3028</v>
      </c>
      <c r="D1404">
        <v>11479</v>
      </c>
      <c r="E1404" s="130">
        <v>4060779</v>
      </c>
      <c r="F1404" t="s">
        <v>87</v>
      </c>
      <c r="G1404">
        <v>9135</v>
      </c>
      <c r="H1404" t="s">
        <v>8952</v>
      </c>
      <c r="I1404" s="130">
        <v>10</v>
      </c>
      <c r="J1404" t="s">
        <v>3028</v>
      </c>
      <c r="K1404" t="s">
        <v>95</v>
      </c>
      <c r="L1404" t="s">
        <v>127</v>
      </c>
      <c r="M1404" t="s">
        <v>103</v>
      </c>
      <c r="N1404" t="s">
        <v>98</v>
      </c>
      <c r="O1404" t="s">
        <v>116</v>
      </c>
    </row>
    <row r="1405" spans="1:15" x14ac:dyDescent="0.3">
      <c r="A1405" s="130">
        <v>7296</v>
      </c>
      <c r="B1405" s="130">
        <v>30</v>
      </c>
      <c r="C1405" s="130" t="s">
        <v>3029</v>
      </c>
      <c r="D1405">
        <v>11482</v>
      </c>
      <c r="E1405" s="130">
        <v>13118774</v>
      </c>
      <c r="F1405" t="s">
        <v>87</v>
      </c>
      <c r="G1405">
        <v>358</v>
      </c>
      <c r="H1405" t="s">
        <v>8953</v>
      </c>
      <c r="I1405" s="130">
        <v>3</v>
      </c>
      <c r="J1405" t="s">
        <v>3029</v>
      </c>
      <c r="K1405" t="s">
        <v>108</v>
      </c>
      <c r="L1405" t="s">
        <v>111</v>
      </c>
      <c r="M1405" t="s">
        <v>103</v>
      </c>
      <c r="N1405" t="s">
        <v>98</v>
      </c>
      <c r="O1405" t="s">
        <v>1345</v>
      </c>
    </row>
    <row r="1406" spans="1:15" x14ac:dyDescent="0.3">
      <c r="A1406" s="130">
        <v>7324</v>
      </c>
      <c r="B1406" s="130">
        <v>15</v>
      </c>
      <c r="C1406" s="130" t="s">
        <v>3030</v>
      </c>
      <c r="D1406">
        <v>11506</v>
      </c>
      <c r="E1406" s="131">
        <v>42824619</v>
      </c>
      <c r="F1406" t="s">
        <v>87</v>
      </c>
      <c r="G1406">
        <v>9135</v>
      </c>
      <c r="H1406" t="s">
        <v>8951</v>
      </c>
      <c r="I1406" s="131">
        <v>24</v>
      </c>
      <c r="J1406" t="s">
        <v>3030</v>
      </c>
      <c r="K1406" t="s">
        <v>95</v>
      </c>
      <c r="L1406" t="s">
        <v>191</v>
      </c>
      <c r="M1406" t="s">
        <v>145</v>
      </c>
      <c r="N1406" t="s">
        <v>98</v>
      </c>
      <c r="O1406" t="s">
        <v>1345</v>
      </c>
    </row>
    <row r="1407" spans="1:15" x14ac:dyDescent="0.3">
      <c r="A1407" s="130">
        <v>7326</v>
      </c>
      <c r="B1407" s="130">
        <v>20</v>
      </c>
      <c r="C1407" s="130" t="s">
        <v>3031</v>
      </c>
      <c r="D1407">
        <v>11508</v>
      </c>
      <c r="E1407" s="130">
        <v>10736565</v>
      </c>
      <c r="F1407" t="s">
        <v>87</v>
      </c>
      <c r="G1407">
        <v>9135</v>
      </c>
      <c r="H1407" t="s">
        <v>8952</v>
      </c>
      <c r="I1407" s="130">
        <v>26</v>
      </c>
      <c r="J1407" t="s">
        <v>3031</v>
      </c>
      <c r="K1407" t="s">
        <v>95</v>
      </c>
      <c r="L1407" t="s">
        <v>140</v>
      </c>
      <c r="M1407" t="s">
        <v>148</v>
      </c>
      <c r="N1407" t="s">
        <v>98</v>
      </c>
      <c r="O1407" t="s">
        <v>1345</v>
      </c>
    </row>
    <row r="1408" spans="1:15" x14ac:dyDescent="0.3">
      <c r="A1408" s="130">
        <v>7328</v>
      </c>
      <c r="B1408" s="130">
        <v>30</v>
      </c>
      <c r="C1408" s="130" t="s">
        <v>3032</v>
      </c>
      <c r="D1408">
        <v>11510</v>
      </c>
      <c r="E1408" s="130">
        <v>33000167</v>
      </c>
      <c r="F1408" t="s">
        <v>87</v>
      </c>
      <c r="G1408">
        <v>9135</v>
      </c>
      <c r="H1408" t="s">
        <v>8953</v>
      </c>
      <c r="I1408" s="130">
        <v>24</v>
      </c>
      <c r="J1408" t="s">
        <v>3032</v>
      </c>
      <c r="K1408" t="s">
        <v>95</v>
      </c>
      <c r="L1408" t="s">
        <v>102</v>
      </c>
      <c r="M1408" t="s">
        <v>103</v>
      </c>
      <c r="N1408" t="s">
        <v>114</v>
      </c>
      <c r="O1408" t="s">
        <v>1345</v>
      </c>
    </row>
    <row r="1409" spans="1:15" x14ac:dyDescent="0.3">
      <c r="A1409" s="130">
        <v>7330</v>
      </c>
      <c r="B1409" s="130">
        <v>30</v>
      </c>
      <c r="C1409" s="130" t="s">
        <v>3033</v>
      </c>
      <c r="D1409">
        <v>11512</v>
      </c>
      <c r="E1409" s="130">
        <v>19235340</v>
      </c>
      <c r="F1409" t="s">
        <v>87</v>
      </c>
      <c r="G1409">
        <v>9135</v>
      </c>
      <c r="H1409" t="s">
        <v>8951</v>
      </c>
      <c r="I1409" s="130">
        <v>3</v>
      </c>
      <c r="J1409" t="s">
        <v>3033</v>
      </c>
      <c r="K1409" t="s">
        <v>95</v>
      </c>
      <c r="L1409" t="s">
        <v>111</v>
      </c>
      <c r="M1409" t="s">
        <v>103</v>
      </c>
      <c r="N1409" t="s">
        <v>98</v>
      </c>
      <c r="O1409" t="s">
        <v>1345</v>
      </c>
    </row>
    <row r="1410" spans="1:15" x14ac:dyDescent="0.3">
      <c r="A1410" s="130">
        <v>7331</v>
      </c>
      <c r="B1410" s="130">
        <v>28</v>
      </c>
      <c r="C1410" s="130" t="s">
        <v>3034</v>
      </c>
      <c r="D1410">
        <v>11514</v>
      </c>
      <c r="E1410" s="131">
        <v>17162983</v>
      </c>
      <c r="F1410" t="s">
        <v>87</v>
      </c>
      <c r="G1410">
        <v>9135</v>
      </c>
      <c r="H1410" t="s">
        <v>8952</v>
      </c>
      <c r="I1410" s="131">
        <v>3</v>
      </c>
      <c r="J1410" t="s">
        <v>3034</v>
      </c>
      <c r="K1410" t="s">
        <v>95</v>
      </c>
      <c r="L1410" t="s">
        <v>111</v>
      </c>
      <c r="M1410" t="s">
        <v>130</v>
      </c>
      <c r="N1410" t="s">
        <v>98</v>
      </c>
      <c r="O1410" t="s">
        <v>1345</v>
      </c>
    </row>
    <row r="1411" spans="1:15" x14ac:dyDescent="0.3">
      <c r="A1411" s="130">
        <v>7333</v>
      </c>
      <c r="B1411" s="130">
        <v>18</v>
      </c>
      <c r="C1411" s="130" t="s">
        <v>3035</v>
      </c>
      <c r="D1411">
        <v>11517</v>
      </c>
      <c r="E1411" s="130">
        <v>10279488</v>
      </c>
      <c r="F1411" t="s">
        <v>87</v>
      </c>
      <c r="G1411">
        <v>9135</v>
      </c>
      <c r="H1411" t="s">
        <v>8953</v>
      </c>
      <c r="I1411" s="130">
        <v>37</v>
      </c>
      <c r="J1411" t="s">
        <v>3035</v>
      </c>
      <c r="K1411" t="s">
        <v>95</v>
      </c>
      <c r="L1411" t="s">
        <v>138</v>
      </c>
      <c r="M1411" t="s">
        <v>112</v>
      </c>
      <c r="N1411" t="s">
        <v>98</v>
      </c>
      <c r="O1411" t="s">
        <v>1345</v>
      </c>
    </row>
    <row r="1412" spans="1:15" x14ac:dyDescent="0.3">
      <c r="A1412" s="130">
        <v>7334</v>
      </c>
      <c r="B1412" s="130">
        <v>18</v>
      </c>
      <c r="C1412" s="130" t="s">
        <v>3036</v>
      </c>
      <c r="D1412">
        <v>11521</v>
      </c>
      <c r="E1412" s="130">
        <v>4663056</v>
      </c>
      <c r="F1412" t="s">
        <v>87</v>
      </c>
      <c r="G1412">
        <v>9135</v>
      </c>
      <c r="H1412" t="s">
        <v>8951</v>
      </c>
      <c r="I1412" s="130">
        <v>26</v>
      </c>
      <c r="J1412" t="s">
        <v>3036</v>
      </c>
      <c r="K1412" t="s">
        <v>108</v>
      </c>
      <c r="L1412" t="s">
        <v>151</v>
      </c>
      <c r="M1412" t="s">
        <v>112</v>
      </c>
      <c r="N1412" t="s">
        <v>114</v>
      </c>
      <c r="O1412" t="s">
        <v>1345</v>
      </c>
    </row>
    <row r="1413" spans="1:15" x14ac:dyDescent="0.3">
      <c r="A1413" s="130">
        <v>7338</v>
      </c>
      <c r="B1413" s="130">
        <v>-1</v>
      </c>
      <c r="C1413" s="130" t="s">
        <v>3037</v>
      </c>
      <c r="D1413">
        <v>11526</v>
      </c>
      <c r="E1413" s="131">
        <v>42664883</v>
      </c>
      <c r="F1413" t="s">
        <v>87</v>
      </c>
      <c r="G1413">
        <v>9135</v>
      </c>
      <c r="H1413" t="s">
        <v>8952</v>
      </c>
      <c r="I1413" s="131">
        <v>18</v>
      </c>
      <c r="J1413" t="s">
        <v>3037</v>
      </c>
      <c r="K1413" t="s">
        <v>108</v>
      </c>
      <c r="L1413" t="s">
        <v>123</v>
      </c>
      <c r="M1413" t="s">
        <v>174</v>
      </c>
      <c r="N1413" t="s">
        <v>98</v>
      </c>
      <c r="O1413" t="s">
        <v>116</v>
      </c>
    </row>
    <row r="1414" spans="1:15" x14ac:dyDescent="0.3">
      <c r="A1414" s="130">
        <v>7342</v>
      </c>
      <c r="B1414" s="130">
        <v>30</v>
      </c>
      <c r="C1414" s="130" t="s">
        <v>3038</v>
      </c>
      <c r="D1414">
        <v>11532</v>
      </c>
      <c r="E1414" s="130">
        <v>16622284</v>
      </c>
      <c r="F1414" t="s">
        <v>87</v>
      </c>
      <c r="G1414">
        <v>9135</v>
      </c>
      <c r="H1414" t="s">
        <v>8953</v>
      </c>
      <c r="I1414" s="130">
        <v>3</v>
      </c>
      <c r="J1414" t="s">
        <v>3038</v>
      </c>
      <c r="K1414" t="s">
        <v>95</v>
      </c>
      <c r="L1414" t="s">
        <v>111</v>
      </c>
      <c r="M1414" t="s">
        <v>103</v>
      </c>
      <c r="N1414" t="s">
        <v>98</v>
      </c>
      <c r="O1414" t="s">
        <v>1345</v>
      </c>
    </row>
    <row r="1415" spans="1:15" x14ac:dyDescent="0.3">
      <c r="A1415" s="130">
        <v>7345</v>
      </c>
      <c r="B1415" s="130">
        <v>-1</v>
      </c>
      <c r="C1415" s="130" t="s">
        <v>3039</v>
      </c>
      <c r="D1415">
        <v>10960</v>
      </c>
      <c r="E1415" s="130">
        <v>34038541</v>
      </c>
      <c r="F1415" t="s">
        <v>87</v>
      </c>
      <c r="G1415">
        <v>9135</v>
      </c>
      <c r="H1415" t="s">
        <v>8951</v>
      </c>
      <c r="I1415" s="130">
        <v>9</v>
      </c>
      <c r="J1415" t="s">
        <v>3039</v>
      </c>
      <c r="K1415" t="s">
        <v>108</v>
      </c>
      <c r="L1415" t="s">
        <v>163</v>
      </c>
      <c r="M1415" t="s">
        <v>174</v>
      </c>
      <c r="N1415" t="s">
        <v>98</v>
      </c>
      <c r="O1415" t="s">
        <v>1345</v>
      </c>
    </row>
    <row r="1416" spans="1:15" x14ac:dyDescent="0.3">
      <c r="A1416" s="130">
        <v>7349</v>
      </c>
      <c r="B1416" s="130">
        <v>10</v>
      </c>
      <c r="C1416" s="130" t="s">
        <v>3040</v>
      </c>
      <c r="D1416">
        <v>11538</v>
      </c>
      <c r="E1416" s="130">
        <v>15655289</v>
      </c>
      <c r="F1416" t="s">
        <v>87</v>
      </c>
      <c r="G1416">
        <v>9135</v>
      </c>
      <c r="H1416" t="s">
        <v>8952</v>
      </c>
      <c r="I1416" s="130">
        <v>43</v>
      </c>
      <c r="J1416" t="s">
        <v>3040</v>
      </c>
      <c r="K1416" t="s">
        <v>108</v>
      </c>
      <c r="L1416" t="s">
        <v>120</v>
      </c>
      <c r="M1416" t="s">
        <v>133</v>
      </c>
      <c r="N1416" t="s">
        <v>216</v>
      </c>
      <c r="O1416" t="s">
        <v>1345</v>
      </c>
    </row>
    <row r="1417" spans="1:15" x14ac:dyDescent="0.3">
      <c r="A1417" s="130">
        <v>7353</v>
      </c>
      <c r="B1417" s="130">
        <v>30</v>
      </c>
      <c r="C1417" s="130" t="s">
        <v>3041</v>
      </c>
      <c r="D1417">
        <v>11542</v>
      </c>
      <c r="E1417" s="130">
        <v>18540906</v>
      </c>
      <c r="F1417" t="s">
        <v>87</v>
      </c>
      <c r="G1417">
        <v>9135</v>
      </c>
      <c r="H1417" t="s">
        <v>8953</v>
      </c>
      <c r="I1417" s="131">
        <v>10</v>
      </c>
      <c r="J1417" t="s">
        <v>3041</v>
      </c>
      <c r="K1417" t="s">
        <v>95</v>
      </c>
      <c r="L1417" t="s">
        <v>127</v>
      </c>
      <c r="M1417" t="s">
        <v>103</v>
      </c>
      <c r="N1417" t="s">
        <v>118</v>
      </c>
      <c r="O1417" t="s">
        <v>116</v>
      </c>
    </row>
    <row r="1418" spans="1:15" x14ac:dyDescent="0.3">
      <c r="A1418" s="130">
        <v>7361</v>
      </c>
      <c r="B1418" s="130">
        <v>18</v>
      </c>
      <c r="C1418" s="130" t="s">
        <v>3042</v>
      </c>
      <c r="D1418">
        <v>11557</v>
      </c>
      <c r="E1418" s="130">
        <v>20651311</v>
      </c>
      <c r="F1418" t="s">
        <v>87</v>
      </c>
      <c r="G1418">
        <v>9135</v>
      </c>
      <c r="H1418" t="s">
        <v>8951</v>
      </c>
      <c r="I1418" s="130">
        <v>3</v>
      </c>
      <c r="J1418" t="s">
        <v>3042</v>
      </c>
      <c r="K1418" t="s">
        <v>95</v>
      </c>
      <c r="L1418" t="s">
        <v>96</v>
      </c>
      <c r="M1418" t="s">
        <v>112</v>
      </c>
      <c r="N1418" t="s">
        <v>98</v>
      </c>
      <c r="O1418" t="s">
        <v>1256</v>
      </c>
    </row>
    <row r="1419" spans="1:15" x14ac:dyDescent="0.3">
      <c r="A1419" s="130">
        <v>7368</v>
      </c>
      <c r="B1419" s="130">
        <v>-1</v>
      </c>
      <c r="C1419" s="130" t="s">
        <v>3043</v>
      </c>
      <c r="D1419">
        <v>11564</v>
      </c>
      <c r="E1419" s="131">
        <v>23374794</v>
      </c>
      <c r="F1419" t="s">
        <v>87</v>
      </c>
      <c r="G1419">
        <v>9135</v>
      </c>
      <c r="H1419" t="s">
        <v>8952</v>
      </c>
      <c r="I1419" s="130">
        <v>3</v>
      </c>
      <c r="J1419" t="s">
        <v>3043</v>
      </c>
      <c r="K1419" t="s">
        <v>108</v>
      </c>
      <c r="L1419" t="s">
        <v>111</v>
      </c>
      <c r="M1419" t="s">
        <v>174</v>
      </c>
      <c r="N1419" t="s">
        <v>98</v>
      </c>
      <c r="O1419" t="s">
        <v>116</v>
      </c>
    </row>
    <row r="1420" spans="1:15" x14ac:dyDescent="0.3">
      <c r="A1420" s="130">
        <v>7374</v>
      </c>
      <c r="B1420" s="130">
        <v>18</v>
      </c>
      <c r="C1420" s="130" t="s">
        <v>3044</v>
      </c>
      <c r="D1420">
        <v>11572</v>
      </c>
      <c r="E1420" s="131">
        <v>26285616</v>
      </c>
      <c r="F1420" t="s">
        <v>87</v>
      </c>
      <c r="G1420">
        <v>9135</v>
      </c>
      <c r="H1420" t="s">
        <v>8953</v>
      </c>
      <c r="I1420" s="130">
        <v>37</v>
      </c>
      <c r="J1420" t="s">
        <v>3044</v>
      </c>
      <c r="K1420" t="s">
        <v>95</v>
      </c>
      <c r="L1420" t="s">
        <v>138</v>
      </c>
      <c r="M1420" t="s">
        <v>112</v>
      </c>
      <c r="N1420" t="s">
        <v>101</v>
      </c>
      <c r="O1420" t="s">
        <v>1345</v>
      </c>
    </row>
    <row r="1421" spans="1:15" x14ac:dyDescent="0.3">
      <c r="A1421" s="130">
        <v>7375</v>
      </c>
      <c r="B1421" s="130">
        <v>18</v>
      </c>
      <c r="C1421" s="130" t="s">
        <v>3045</v>
      </c>
      <c r="D1421">
        <v>11573</v>
      </c>
      <c r="E1421" s="131">
        <v>25521683</v>
      </c>
      <c r="F1421" t="s">
        <v>87</v>
      </c>
      <c r="G1421">
        <v>9135</v>
      </c>
      <c r="H1421" t="s">
        <v>8951</v>
      </c>
      <c r="I1421" s="130">
        <v>3</v>
      </c>
      <c r="J1421" t="s">
        <v>3045</v>
      </c>
      <c r="K1421" t="s">
        <v>108</v>
      </c>
      <c r="L1421" t="s">
        <v>111</v>
      </c>
      <c r="M1421" t="s">
        <v>112</v>
      </c>
      <c r="N1421" t="s">
        <v>101</v>
      </c>
      <c r="O1421" t="s">
        <v>1345</v>
      </c>
    </row>
    <row r="1422" spans="1:15" x14ac:dyDescent="0.3">
      <c r="A1422" s="130">
        <v>7376</v>
      </c>
      <c r="B1422" s="130">
        <v>5</v>
      </c>
      <c r="C1422" s="130" t="s">
        <v>3046</v>
      </c>
      <c r="D1422">
        <v>11469</v>
      </c>
      <c r="E1422" s="131">
        <v>27523140</v>
      </c>
      <c r="F1422" t="s">
        <v>87</v>
      </c>
      <c r="G1422">
        <v>9135</v>
      </c>
      <c r="H1422" t="s">
        <v>8952</v>
      </c>
      <c r="I1422" s="131">
        <v>9</v>
      </c>
      <c r="J1422" t="s">
        <v>3046</v>
      </c>
      <c r="K1422" t="s">
        <v>108</v>
      </c>
      <c r="L1422" t="s">
        <v>163</v>
      </c>
      <c r="M1422" t="s">
        <v>129</v>
      </c>
      <c r="N1422" t="s">
        <v>122</v>
      </c>
      <c r="O1422" t="s">
        <v>116</v>
      </c>
    </row>
    <row r="1423" spans="1:15" x14ac:dyDescent="0.3">
      <c r="A1423" s="130">
        <v>7377</v>
      </c>
      <c r="B1423" s="130" t="s">
        <v>1361</v>
      </c>
      <c r="C1423" s="130" t="s">
        <v>3047</v>
      </c>
      <c r="D1423">
        <v>11575</v>
      </c>
      <c r="E1423" s="130">
        <v>30425560</v>
      </c>
      <c r="F1423" t="s">
        <v>87</v>
      </c>
      <c r="G1423">
        <v>9135</v>
      </c>
      <c r="H1423" t="s">
        <v>8953</v>
      </c>
      <c r="I1423" s="130">
        <v>19</v>
      </c>
      <c r="J1423" t="s">
        <v>3047</v>
      </c>
      <c r="K1423" t="s">
        <v>108</v>
      </c>
      <c r="L1423" t="s">
        <v>146</v>
      </c>
      <c r="M1423" t="s">
        <v>1362</v>
      </c>
      <c r="N1423" t="s">
        <v>98</v>
      </c>
      <c r="O1423" t="s">
        <v>1345</v>
      </c>
    </row>
    <row r="1424" spans="1:15" x14ac:dyDescent="0.3">
      <c r="A1424" s="130">
        <v>7380</v>
      </c>
      <c r="B1424" s="130" t="s">
        <v>156</v>
      </c>
      <c r="C1424" s="130" t="s">
        <v>3048</v>
      </c>
      <c r="D1424">
        <v>11578</v>
      </c>
      <c r="E1424" s="130">
        <v>10764189</v>
      </c>
      <c r="F1424" t="s">
        <v>87</v>
      </c>
      <c r="G1424">
        <v>9135</v>
      </c>
      <c r="H1424" t="s">
        <v>8951</v>
      </c>
      <c r="I1424" s="130">
        <v>3</v>
      </c>
      <c r="J1424" t="s">
        <v>3048</v>
      </c>
      <c r="K1424" t="s">
        <v>108</v>
      </c>
      <c r="L1424" t="s">
        <v>111</v>
      </c>
      <c r="M1424" t="s">
        <v>156</v>
      </c>
      <c r="N1424" t="s">
        <v>98</v>
      </c>
      <c r="O1424" t="s">
        <v>116</v>
      </c>
    </row>
    <row r="1425" spans="1:15" x14ac:dyDescent="0.3">
      <c r="A1425" s="130">
        <v>7381</v>
      </c>
      <c r="B1425" s="130">
        <v>18</v>
      </c>
      <c r="C1425" s="130" t="s">
        <v>3049</v>
      </c>
      <c r="D1425">
        <v>11302</v>
      </c>
      <c r="E1425" s="130">
        <v>2920183</v>
      </c>
      <c r="F1425" t="s">
        <v>87</v>
      </c>
      <c r="G1425">
        <v>9135</v>
      </c>
      <c r="H1425" t="s">
        <v>8952</v>
      </c>
      <c r="I1425" s="130">
        <v>9</v>
      </c>
      <c r="J1425" t="s">
        <v>3049</v>
      </c>
      <c r="K1425" t="s">
        <v>95</v>
      </c>
      <c r="L1425" t="s">
        <v>181</v>
      </c>
      <c r="M1425" t="s">
        <v>112</v>
      </c>
      <c r="N1425" t="s">
        <v>98</v>
      </c>
      <c r="O1425" t="s">
        <v>1345</v>
      </c>
    </row>
    <row r="1426" spans="1:15" x14ac:dyDescent="0.3">
      <c r="A1426" s="130">
        <v>7382</v>
      </c>
      <c r="B1426" s="130">
        <v>18</v>
      </c>
      <c r="C1426" s="130" t="s">
        <v>3050</v>
      </c>
      <c r="D1426">
        <v>11580</v>
      </c>
      <c r="E1426" s="130">
        <v>15063096</v>
      </c>
      <c r="F1426" t="s">
        <v>87</v>
      </c>
      <c r="G1426">
        <v>358</v>
      </c>
      <c r="H1426" t="s">
        <v>8953</v>
      </c>
      <c r="I1426" s="131">
        <v>3</v>
      </c>
      <c r="J1426" t="s">
        <v>3050</v>
      </c>
      <c r="K1426" t="s">
        <v>95</v>
      </c>
      <c r="L1426" t="s">
        <v>109</v>
      </c>
      <c r="M1426" t="s">
        <v>112</v>
      </c>
      <c r="N1426" t="s">
        <v>98</v>
      </c>
      <c r="O1426" t="s">
        <v>1345</v>
      </c>
    </row>
    <row r="1427" spans="1:15" x14ac:dyDescent="0.3">
      <c r="A1427" s="130">
        <v>7388</v>
      </c>
      <c r="B1427" s="130">
        <v>-1</v>
      </c>
      <c r="C1427" s="130" t="s">
        <v>3051</v>
      </c>
      <c r="D1427">
        <v>11589</v>
      </c>
      <c r="E1427" s="130">
        <v>37514042</v>
      </c>
      <c r="F1427" t="s">
        <v>87</v>
      </c>
      <c r="G1427">
        <v>9135</v>
      </c>
      <c r="H1427" t="s">
        <v>8951</v>
      </c>
      <c r="I1427" s="130">
        <v>24</v>
      </c>
      <c r="J1427" t="s">
        <v>3051</v>
      </c>
      <c r="K1427" t="s">
        <v>108</v>
      </c>
      <c r="L1427" t="s">
        <v>191</v>
      </c>
      <c r="M1427" t="s">
        <v>174</v>
      </c>
      <c r="N1427" t="s">
        <v>124</v>
      </c>
      <c r="O1427" t="s">
        <v>116</v>
      </c>
    </row>
    <row r="1428" spans="1:15" x14ac:dyDescent="0.3">
      <c r="A1428" s="130">
        <v>7399</v>
      </c>
      <c r="B1428" s="130">
        <v>18</v>
      </c>
      <c r="C1428" s="130" t="s">
        <v>3052</v>
      </c>
      <c r="D1428">
        <v>11606</v>
      </c>
      <c r="E1428" s="130">
        <v>34098737</v>
      </c>
      <c r="F1428" t="s">
        <v>87</v>
      </c>
      <c r="G1428">
        <v>9135</v>
      </c>
      <c r="H1428" t="s">
        <v>8952</v>
      </c>
      <c r="I1428" s="131">
        <v>3</v>
      </c>
      <c r="J1428" t="s">
        <v>3052</v>
      </c>
      <c r="K1428" t="s">
        <v>95</v>
      </c>
      <c r="L1428" t="s">
        <v>111</v>
      </c>
      <c r="M1428" t="s">
        <v>112</v>
      </c>
      <c r="N1428" t="s">
        <v>98</v>
      </c>
      <c r="O1428" t="s">
        <v>1345</v>
      </c>
    </row>
    <row r="1429" spans="1:15" x14ac:dyDescent="0.3">
      <c r="A1429" s="130">
        <v>7406</v>
      </c>
      <c r="B1429" s="130">
        <v>18</v>
      </c>
      <c r="C1429" s="130" t="s">
        <v>3053</v>
      </c>
      <c r="D1429">
        <v>11613</v>
      </c>
      <c r="E1429" s="131">
        <v>8612725</v>
      </c>
      <c r="F1429" t="s">
        <v>87</v>
      </c>
      <c r="G1429">
        <v>9135</v>
      </c>
      <c r="H1429" t="s">
        <v>8953</v>
      </c>
      <c r="I1429" s="130">
        <v>10</v>
      </c>
      <c r="J1429" t="s">
        <v>3053</v>
      </c>
      <c r="K1429" t="s">
        <v>108</v>
      </c>
      <c r="L1429" t="s">
        <v>127</v>
      </c>
      <c r="M1429" t="s">
        <v>112</v>
      </c>
      <c r="N1429" t="s">
        <v>98</v>
      </c>
      <c r="O1429" t="s">
        <v>1345</v>
      </c>
    </row>
    <row r="1430" spans="1:15" x14ac:dyDescent="0.3">
      <c r="A1430" s="130">
        <v>7418</v>
      </c>
      <c r="B1430" s="130">
        <v>30</v>
      </c>
      <c r="C1430" s="130" t="s">
        <v>3054</v>
      </c>
      <c r="D1430">
        <v>11647</v>
      </c>
      <c r="E1430" s="131">
        <v>44553754</v>
      </c>
      <c r="F1430" t="s">
        <v>87</v>
      </c>
      <c r="G1430">
        <v>9135</v>
      </c>
      <c r="H1430" t="s">
        <v>8951</v>
      </c>
      <c r="I1430" s="130">
        <v>9</v>
      </c>
      <c r="J1430" t="s">
        <v>3054</v>
      </c>
      <c r="K1430" t="s">
        <v>95</v>
      </c>
      <c r="L1430" t="s">
        <v>163</v>
      </c>
      <c r="M1430" t="s">
        <v>103</v>
      </c>
      <c r="N1430" t="s">
        <v>114</v>
      </c>
      <c r="O1430" t="s">
        <v>1345</v>
      </c>
    </row>
    <row r="1431" spans="1:15" x14ac:dyDescent="0.3">
      <c r="A1431" s="130">
        <v>7427</v>
      </c>
      <c r="B1431" s="130">
        <v>18</v>
      </c>
      <c r="C1431" s="130" t="s">
        <v>3055</v>
      </c>
      <c r="D1431">
        <v>11662</v>
      </c>
      <c r="E1431" s="130">
        <v>8830929</v>
      </c>
      <c r="F1431" t="s">
        <v>87</v>
      </c>
      <c r="G1431">
        <v>9135</v>
      </c>
      <c r="H1431" t="s">
        <v>8952</v>
      </c>
      <c r="I1431" s="131">
        <v>9</v>
      </c>
      <c r="J1431" t="s">
        <v>3055</v>
      </c>
      <c r="K1431" t="s">
        <v>108</v>
      </c>
      <c r="L1431" t="s">
        <v>163</v>
      </c>
      <c r="M1431" t="s">
        <v>112</v>
      </c>
      <c r="N1431" t="s">
        <v>114</v>
      </c>
      <c r="O1431" t="s">
        <v>116</v>
      </c>
    </row>
    <row r="1432" spans="1:15" x14ac:dyDescent="0.3">
      <c r="A1432" s="130">
        <v>7430</v>
      </c>
      <c r="B1432" s="130">
        <v>60</v>
      </c>
      <c r="C1432" s="130" t="s">
        <v>3056</v>
      </c>
      <c r="D1432">
        <v>11666</v>
      </c>
      <c r="E1432" s="130">
        <v>27462720</v>
      </c>
      <c r="F1432" t="s">
        <v>87</v>
      </c>
      <c r="G1432">
        <v>358</v>
      </c>
      <c r="H1432" t="s">
        <v>8953</v>
      </c>
      <c r="I1432" s="130">
        <v>3</v>
      </c>
      <c r="J1432" t="s">
        <v>3056</v>
      </c>
      <c r="K1432" t="s">
        <v>108</v>
      </c>
      <c r="L1432" t="s">
        <v>109</v>
      </c>
      <c r="M1432" t="s">
        <v>97</v>
      </c>
      <c r="N1432" t="s">
        <v>98</v>
      </c>
      <c r="O1432" t="s">
        <v>116</v>
      </c>
    </row>
    <row r="1433" spans="1:15" x14ac:dyDescent="0.3">
      <c r="A1433" s="130">
        <v>7432</v>
      </c>
      <c r="B1433" s="130">
        <v>30</v>
      </c>
      <c r="C1433" s="130" t="s">
        <v>3057</v>
      </c>
      <c r="D1433">
        <v>11668</v>
      </c>
      <c r="E1433" s="130">
        <v>1704488</v>
      </c>
      <c r="F1433" t="s">
        <v>87</v>
      </c>
      <c r="G1433">
        <v>358</v>
      </c>
      <c r="H1433" t="s">
        <v>8951</v>
      </c>
      <c r="I1433" s="131">
        <v>10</v>
      </c>
      <c r="J1433" t="s">
        <v>3057</v>
      </c>
      <c r="K1433" t="s">
        <v>95</v>
      </c>
      <c r="L1433" t="s">
        <v>105</v>
      </c>
      <c r="M1433" t="s">
        <v>103</v>
      </c>
      <c r="N1433" t="s">
        <v>98</v>
      </c>
      <c r="O1433" t="s">
        <v>1345</v>
      </c>
    </row>
    <row r="1434" spans="1:15" x14ac:dyDescent="0.3">
      <c r="A1434" s="130">
        <v>7434</v>
      </c>
      <c r="B1434" s="130">
        <v>12</v>
      </c>
      <c r="C1434" s="130" t="s">
        <v>3058</v>
      </c>
      <c r="D1434">
        <v>11669</v>
      </c>
      <c r="E1434" s="131">
        <v>2219378</v>
      </c>
      <c r="F1434" t="s">
        <v>87</v>
      </c>
      <c r="G1434">
        <v>358</v>
      </c>
      <c r="H1434" t="s">
        <v>8952</v>
      </c>
      <c r="I1434" s="131">
        <v>10</v>
      </c>
      <c r="J1434" t="s">
        <v>3058</v>
      </c>
      <c r="K1434" t="s">
        <v>108</v>
      </c>
      <c r="L1434" t="s">
        <v>105</v>
      </c>
      <c r="M1434" t="s">
        <v>1363</v>
      </c>
      <c r="N1434" t="s">
        <v>141</v>
      </c>
      <c r="O1434" t="s">
        <v>1345</v>
      </c>
    </row>
    <row r="1435" spans="1:15" x14ac:dyDescent="0.3">
      <c r="A1435" s="130">
        <v>7438</v>
      </c>
      <c r="B1435" s="130">
        <v>18</v>
      </c>
      <c r="C1435" s="130" t="s">
        <v>3059</v>
      </c>
      <c r="D1435">
        <v>11675</v>
      </c>
      <c r="E1435" s="131">
        <v>86729977</v>
      </c>
      <c r="F1435" t="s">
        <v>87</v>
      </c>
      <c r="G1435">
        <v>9135</v>
      </c>
      <c r="H1435" t="s">
        <v>8953</v>
      </c>
      <c r="I1435" s="130">
        <v>10</v>
      </c>
      <c r="J1435" t="s">
        <v>3059</v>
      </c>
      <c r="K1435" t="s">
        <v>108</v>
      </c>
      <c r="L1435" t="s">
        <v>127</v>
      </c>
      <c r="M1435" t="s">
        <v>112</v>
      </c>
      <c r="N1435" t="s">
        <v>166</v>
      </c>
      <c r="O1435" t="s">
        <v>1345</v>
      </c>
    </row>
    <row r="1436" spans="1:15" x14ac:dyDescent="0.3">
      <c r="A1436" s="130">
        <v>7446</v>
      </c>
      <c r="B1436" s="130">
        <v>30</v>
      </c>
      <c r="C1436" s="130" t="s">
        <v>3060</v>
      </c>
      <c r="D1436">
        <v>11690</v>
      </c>
      <c r="E1436" s="131">
        <v>13473637</v>
      </c>
      <c r="F1436" t="s">
        <v>87</v>
      </c>
      <c r="G1436">
        <v>9135</v>
      </c>
      <c r="H1436" t="s">
        <v>8951</v>
      </c>
      <c r="I1436" s="131">
        <v>37</v>
      </c>
      <c r="J1436" t="s">
        <v>3060</v>
      </c>
      <c r="K1436" t="s">
        <v>95</v>
      </c>
      <c r="L1436" t="s">
        <v>138</v>
      </c>
      <c r="M1436" t="s">
        <v>103</v>
      </c>
      <c r="N1436" t="s">
        <v>150</v>
      </c>
      <c r="O1436" t="s">
        <v>1345</v>
      </c>
    </row>
    <row r="1437" spans="1:15" x14ac:dyDescent="0.3">
      <c r="A1437" s="130">
        <v>7450</v>
      </c>
      <c r="B1437" s="130">
        <v>18</v>
      </c>
      <c r="C1437" s="130" t="s">
        <v>3061</v>
      </c>
      <c r="D1437">
        <v>11694</v>
      </c>
      <c r="E1437" s="131">
        <v>15482315</v>
      </c>
      <c r="F1437" t="s">
        <v>87</v>
      </c>
      <c r="G1437">
        <v>9135</v>
      </c>
      <c r="H1437" t="s">
        <v>8952</v>
      </c>
      <c r="I1437" s="131">
        <v>10</v>
      </c>
      <c r="J1437" t="s">
        <v>3061</v>
      </c>
      <c r="K1437" t="s">
        <v>95</v>
      </c>
      <c r="L1437" t="s">
        <v>127</v>
      </c>
      <c r="M1437" t="s">
        <v>112</v>
      </c>
      <c r="N1437" t="s">
        <v>98</v>
      </c>
      <c r="O1437" t="s">
        <v>1345</v>
      </c>
    </row>
    <row r="1438" spans="1:15" x14ac:dyDescent="0.3">
      <c r="A1438" s="130">
        <v>7459</v>
      </c>
      <c r="B1438" s="130">
        <v>30</v>
      </c>
      <c r="C1438" s="130" t="s">
        <v>3062</v>
      </c>
      <c r="D1438">
        <v>11705</v>
      </c>
      <c r="E1438" s="130">
        <v>20098146</v>
      </c>
      <c r="F1438" t="s">
        <v>87</v>
      </c>
      <c r="G1438">
        <v>9135</v>
      </c>
      <c r="H1438" t="s">
        <v>8953</v>
      </c>
      <c r="I1438" s="131">
        <v>9</v>
      </c>
      <c r="J1438" t="s">
        <v>3062</v>
      </c>
      <c r="K1438" t="s">
        <v>95</v>
      </c>
      <c r="L1438" t="s">
        <v>163</v>
      </c>
      <c r="M1438" t="s">
        <v>103</v>
      </c>
      <c r="N1438" t="s">
        <v>114</v>
      </c>
      <c r="O1438" t="s">
        <v>1345</v>
      </c>
    </row>
    <row r="1439" spans="1:15" x14ac:dyDescent="0.3">
      <c r="A1439" s="130">
        <v>7465</v>
      </c>
      <c r="B1439" s="130">
        <v>18</v>
      </c>
      <c r="C1439" s="130" t="s">
        <v>3063</v>
      </c>
      <c r="D1439">
        <v>11713</v>
      </c>
      <c r="E1439" s="131">
        <v>8054995</v>
      </c>
      <c r="F1439" t="s">
        <v>87</v>
      </c>
      <c r="G1439">
        <v>358</v>
      </c>
      <c r="H1439" t="s">
        <v>8951</v>
      </c>
      <c r="I1439" s="131">
        <v>10</v>
      </c>
      <c r="J1439" t="s">
        <v>3063</v>
      </c>
      <c r="K1439" t="s">
        <v>95</v>
      </c>
      <c r="L1439" t="s">
        <v>105</v>
      </c>
      <c r="M1439" t="s">
        <v>112</v>
      </c>
      <c r="N1439" t="s">
        <v>98</v>
      </c>
      <c r="O1439" t="s">
        <v>1345</v>
      </c>
    </row>
    <row r="1440" spans="1:15" x14ac:dyDescent="0.3">
      <c r="A1440" s="130">
        <v>7466</v>
      </c>
      <c r="B1440" s="130">
        <v>18</v>
      </c>
      <c r="C1440" s="130" t="s">
        <v>3064</v>
      </c>
      <c r="D1440">
        <v>11714</v>
      </c>
      <c r="E1440" s="130">
        <v>4727090</v>
      </c>
      <c r="F1440" t="s">
        <v>87</v>
      </c>
      <c r="G1440">
        <v>358</v>
      </c>
      <c r="H1440" t="s">
        <v>8952</v>
      </c>
      <c r="I1440" s="130">
        <v>3</v>
      </c>
      <c r="J1440" t="s">
        <v>3064</v>
      </c>
      <c r="K1440" t="s">
        <v>108</v>
      </c>
      <c r="L1440" t="s">
        <v>111</v>
      </c>
      <c r="M1440" t="s">
        <v>112</v>
      </c>
      <c r="N1440" t="s">
        <v>101</v>
      </c>
      <c r="O1440" t="s">
        <v>1345</v>
      </c>
    </row>
    <row r="1441" spans="1:15" x14ac:dyDescent="0.3">
      <c r="A1441" s="130">
        <v>7471</v>
      </c>
      <c r="B1441" s="130">
        <v>18</v>
      </c>
      <c r="C1441" s="130" t="s">
        <v>3065</v>
      </c>
      <c r="D1441">
        <v>11724</v>
      </c>
      <c r="E1441" s="130">
        <v>35338439</v>
      </c>
      <c r="F1441" t="s">
        <v>87</v>
      </c>
      <c r="G1441">
        <v>9135</v>
      </c>
      <c r="H1441" t="s">
        <v>8953</v>
      </c>
      <c r="I1441" s="130">
        <v>26</v>
      </c>
      <c r="J1441" t="s">
        <v>3065</v>
      </c>
      <c r="K1441" t="s">
        <v>108</v>
      </c>
      <c r="L1441" t="s">
        <v>151</v>
      </c>
      <c r="M1441" t="s">
        <v>112</v>
      </c>
      <c r="N1441" t="s">
        <v>98</v>
      </c>
      <c r="O1441" t="s">
        <v>116</v>
      </c>
    </row>
    <row r="1442" spans="1:15" x14ac:dyDescent="0.3">
      <c r="A1442" s="130">
        <v>7472</v>
      </c>
      <c r="B1442" s="130">
        <v>10</v>
      </c>
      <c r="C1442" s="130" t="s">
        <v>3066</v>
      </c>
      <c r="D1442">
        <v>11725</v>
      </c>
      <c r="E1442" s="130">
        <v>7849577</v>
      </c>
      <c r="F1442" t="s">
        <v>87</v>
      </c>
      <c r="G1442">
        <v>358</v>
      </c>
      <c r="H1442" t="s">
        <v>8951</v>
      </c>
      <c r="I1442" s="130">
        <v>3</v>
      </c>
      <c r="J1442" t="s">
        <v>3066</v>
      </c>
      <c r="K1442" t="s">
        <v>108</v>
      </c>
      <c r="L1442" t="s">
        <v>109</v>
      </c>
      <c r="M1442" t="s">
        <v>133</v>
      </c>
      <c r="N1442" t="s">
        <v>124</v>
      </c>
      <c r="O1442" t="s">
        <v>1345</v>
      </c>
    </row>
    <row r="1443" spans="1:15" x14ac:dyDescent="0.3">
      <c r="A1443" s="130">
        <v>7474</v>
      </c>
      <c r="B1443" s="130">
        <v>30</v>
      </c>
      <c r="C1443" s="130" t="s">
        <v>3067</v>
      </c>
      <c r="D1443">
        <v>11727</v>
      </c>
      <c r="E1443" s="131">
        <v>35234509</v>
      </c>
      <c r="F1443" t="s">
        <v>87</v>
      </c>
      <c r="G1443">
        <v>9135</v>
      </c>
      <c r="H1443" t="s">
        <v>8952</v>
      </c>
      <c r="I1443" s="130">
        <v>19</v>
      </c>
      <c r="J1443" t="s">
        <v>3067</v>
      </c>
      <c r="K1443" t="s">
        <v>95</v>
      </c>
      <c r="L1443" t="s">
        <v>102</v>
      </c>
      <c r="M1443" t="s">
        <v>103</v>
      </c>
      <c r="N1443" t="s">
        <v>98</v>
      </c>
      <c r="O1443" t="s">
        <v>1345</v>
      </c>
    </row>
    <row r="1444" spans="1:15" x14ac:dyDescent="0.3">
      <c r="A1444" s="130">
        <v>7476</v>
      </c>
      <c r="B1444" s="130">
        <v>18</v>
      </c>
      <c r="C1444" s="130" t="s">
        <v>3068</v>
      </c>
      <c r="D1444">
        <v>11730</v>
      </c>
      <c r="E1444" s="130">
        <v>19382418</v>
      </c>
      <c r="F1444" t="s">
        <v>87</v>
      </c>
      <c r="G1444">
        <v>9135</v>
      </c>
      <c r="H1444" t="s">
        <v>8953</v>
      </c>
      <c r="I1444" s="130">
        <v>3</v>
      </c>
      <c r="J1444" t="s">
        <v>3068</v>
      </c>
      <c r="K1444" t="s">
        <v>95</v>
      </c>
      <c r="L1444" t="s">
        <v>111</v>
      </c>
      <c r="M1444" t="s">
        <v>112</v>
      </c>
      <c r="N1444" t="s">
        <v>98</v>
      </c>
      <c r="O1444" t="s">
        <v>1345</v>
      </c>
    </row>
    <row r="1445" spans="1:15" x14ac:dyDescent="0.3">
      <c r="A1445" s="130">
        <v>7489</v>
      </c>
      <c r="B1445" s="130">
        <v>30</v>
      </c>
      <c r="C1445" s="130" t="s">
        <v>3069</v>
      </c>
      <c r="D1445">
        <v>11746</v>
      </c>
      <c r="E1445" s="130">
        <v>507949</v>
      </c>
      <c r="F1445" t="s">
        <v>87</v>
      </c>
      <c r="G1445">
        <v>9135</v>
      </c>
      <c r="H1445" t="s">
        <v>8951</v>
      </c>
      <c r="I1445" s="130">
        <v>19</v>
      </c>
      <c r="J1445" t="s">
        <v>3069</v>
      </c>
      <c r="K1445" t="s">
        <v>108</v>
      </c>
      <c r="L1445" t="s">
        <v>146</v>
      </c>
      <c r="M1445" t="s">
        <v>103</v>
      </c>
      <c r="N1445" t="s">
        <v>98</v>
      </c>
      <c r="O1445" t="s">
        <v>1345</v>
      </c>
    </row>
    <row r="1446" spans="1:15" x14ac:dyDescent="0.3">
      <c r="A1446" s="130">
        <v>7494</v>
      </c>
      <c r="B1446" s="130">
        <v>30</v>
      </c>
      <c r="C1446" s="130" t="s">
        <v>3070</v>
      </c>
      <c r="D1446">
        <v>11753</v>
      </c>
      <c r="E1446" s="131">
        <v>33000167</v>
      </c>
      <c r="F1446" t="s">
        <v>87</v>
      </c>
      <c r="G1446">
        <v>9135</v>
      </c>
      <c r="H1446" t="s">
        <v>8952</v>
      </c>
      <c r="I1446" s="130">
        <v>24</v>
      </c>
      <c r="J1446" t="s">
        <v>3070</v>
      </c>
      <c r="K1446" t="s">
        <v>95</v>
      </c>
      <c r="L1446" t="s">
        <v>102</v>
      </c>
      <c r="M1446" t="s">
        <v>103</v>
      </c>
      <c r="N1446" t="s">
        <v>114</v>
      </c>
      <c r="O1446" t="s">
        <v>1345</v>
      </c>
    </row>
    <row r="1447" spans="1:15" x14ac:dyDescent="0.3">
      <c r="A1447" s="130">
        <v>7496</v>
      </c>
      <c r="B1447" s="130">
        <v>10</v>
      </c>
      <c r="C1447" s="130" t="s">
        <v>3071</v>
      </c>
      <c r="D1447">
        <v>11755</v>
      </c>
      <c r="E1447" s="131">
        <v>41699364</v>
      </c>
      <c r="F1447" t="s">
        <v>87</v>
      </c>
      <c r="G1447">
        <v>9135</v>
      </c>
      <c r="H1447" t="s">
        <v>8953</v>
      </c>
      <c r="I1447" s="130">
        <v>3</v>
      </c>
      <c r="J1447" t="s">
        <v>3071</v>
      </c>
      <c r="K1447" t="s">
        <v>108</v>
      </c>
      <c r="L1447" t="s">
        <v>109</v>
      </c>
      <c r="M1447" t="s">
        <v>133</v>
      </c>
      <c r="N1447" t="s">
        <v>98</v>
      </c>
      <c r="O1447" t="s">
        <v>1345</v>
      </c>
    </row>
    <row r="1448" spans="1:15" x14ac:dyDescent="0.3">
      <c r="A1448" s="130">
        <v>7504</v>
      </c>
      <c r="B1448" s="130">
        <v>10</v>
      </c>
      <c r="C1448" s="130" t="s">
        <v>3072</v>
      </c>
      <c r="D1448">
        <v>11761</v>
      </c>
      <c r="E1448" s="130">
        <v>2617158</v>
      </c>
      <c r="F1448" t="s">
        <v>87</v>
      </c>
      <c r="G1448">
        <v>358</v>
      </c>
      <c r="H1448" t="s">
        <v>8951</v>
      </c>
      <c r="I1448" s="130">
        <v>3</v>
      </c>
      <c r="J1448" t="s">
        <v>3072</v>
      </c>
      <c r="K1448" t="s">
        <v>108</v>
      </c>
      <c r="L1448" t="s">
        <v>109</v>
      </c>
      <c r="M1448" t="s">
        <v>133</v>
      </c>
      <c r="N1448" t="s">
        <v>98</v>
      </c>
      <c r="O1448" t="s">
        <v>1345</v>
      </c>
    </row>
    <row r="1449" spans="1:15" x14ac:dyDescent="0.3">
      <c r="A1449" s="130">
        <v>7509</v>
      </c>
      <c r="B1449" s="130">
        <v>28</v>
      </c>
      <c r="C1449" s="130" t="s">
        <v>3073</v>
      </c>
      <c r="D1449">
        <v>11767</v>
      </c>
      <c r="E1449" s="130">
        <v>43098145</v>
      </c>
      <c r="F1449" t="s">
        <v>87</v>
      </c>
      <c r="G1449">
        <v>9135</v>
      </c>
      <c r="H1449" t="s">
        <v>8952</v>
      </c>
      <c r="I1449" s="130">
        <v>37</v>
      </c>
      <c r="J1449" t="s">
        <v>3073</v>
      </c>
      <c r="K1449" t="s">
        <v>95</v>
      </c>
      <c r="L1449" t="s">
        <v>138</v>
      </c>
      <c r="M1449" t="s">
        <v>130</v>
      </c>
      <c r="N1449" t="s">
        <v>150</v>
      </c>
      <c r="O1449" t="s">
        <v>1345</v>
      </c>
    </row>
    <row r="1450" spans="1:15" x14ac:dyDescent="0.3">
      <c r="A1450" s="130">
        <v>7510</v>
      </c>
      <c r="B1450" s="130">
        <v>60</v>
      </c>
      <c r="C1450" s="130" t="s">
        <v>3074</v>
      </c>
      <c r="D1450">
        <v>11774</v>
      </c>
      <c r="E1450" s="130">
        <v>17500224</v>
      </c>
      <c r="F1450" t="s">
        <v>87</v>
      </c>
      <c r="G1450">
        <v>77</v>
      </c>
      <c r="H1450" t="s">
        <v>8953</v>
      </c>
      <c r="I1450" s="130">
        <v>3</v>
      </c>
      <c r="J1450" t="s">
        <v>3074</v>
      </c>
      <c r="K1450" t="s">
        <v>95</v>
      </c>
      <c r="L1450" t="s">
        <v>256</v>
      </c>
      <c r="M1450" t="s">
        <v>97</v>
      </c>
      <c r="N1450" t="s">
        <v>118</v>
      </c>
      <c r="O1450" t="s">
        <v>116</v>
      </c>
    </row>
    <row r="1451" spans="1:15" x14ac:dyDescent="0.3">
      <c r="A1451" s="130">
        <v>7513</v>
      </c>
      <c r="B1451" s="130">
        <v>10</v>
      </c>
      <c r="C1451" s="130" t="s">
        <v>3075</v>
      </c>
      <c r="D1451">
        <v>11777</v>
      </c>
      <c r="E1451" s="131">
        <v>23374794</v>
      </c>
      <c r="F1451" t="s">
        <v>87</v>
      </c>
      <c r="G1451">
        <v>358</v>
      </c>
      <c r="H1451" t="s">
        <v>8951</v>
      </c>
      <c r="I1451" s="130">
        <v>3</v>
      </c>
      <c r="J1451" t="s">
        <v>3075</v>
      </c>
      <c r="K1451" t="s">
        <v>95</v>
      </c>
      <c r="L1451" t="s">
        <v>109</v>
      </c>
      <c r="M1451" t="s">
        <v>133</v>
      </c>
      <c r="N1451" t="s">
        <v>98</v>
      </c>
      <c r="O1451" t="s">
        <v>1345</v>
      </c>
    </row>
    <row r="1452" spans="1:15" x14ac:dyDescent="0.3">
      <c r="A1452" s="130">
        <v>7514</v>
      </c>
      <c r="B1452" s="130">
        <v>30</v>
      </c>
      <c r="C1452" s="130" t="s">
        <v>3076</v>
      </c>
      <c r="D1452">
        <v>11778</v>
      </c>
      <c r="E1452" s="130">
        <v>24168115</v>
      </c>
      <c r="F1452" t="s">
        <v>87</v>
      </c>
      <c r="G1452">
        <v>9135</v>
      </c>
      <c r="H1452" t="s">
        <v>8952</v>
      </c>
      <c r="I1452" s="130">
        <v>43</v>
      </c>
      <c r="J1452" t="s">
        <v>3076</v>
      </c>
      <c r="K1452" t="s">
        <v>95</v>
      </c>
      <c r="L1452" t="s">
        <v>111</v>
      </c>
      <c r="M1452" t="s">
        <v>103</v>
      </c>
      <c r="N1452" t="s">
        <v>114</v>
      </c>
      <c r="O1452" t="s">
        <v>1345</v>
      </c>
    </row>
    <row r="1453" spans="1:15" x14ac:dyDescent="0.3">
      <c r="A1453" s="130">
        <v>7515</v>
      </c>
      <c r="B1453" s="130">
        <v>30</v>
      </c>
      <c r="C1453" s="130" t="s">
        <v>3077</v>
      </c>
      <c r="D1453">
        <v>11781</v>
      </c>
      <c r="E1453" s="130">
        <v>1157555</v>
      </c>
      <c r="F1453" t="s">
        <v>87</v>
      </c>
      <c r="G1453">
        <v>9135</v>
      </c>
      <c r="H1453" t="s">
        <v>8953</v>
      </c>
      <c r="I1453" s="131">
        <v>37</v>
      </c>
      <c r="J1453" t="s">
        <v>3077</v>
      </c>
      <c r="K1453" t="s">
        <v>95</v>
      </c>
      <c r="L1453" t="s">
        <v>138</v>
      </c>
      <c r="M1453" t="s">
        <v>103</v>
      </c>
      <c r="N1453" t="s">
        <v>101</v>
      </c>
      <c r="O1453" t="s">
        <v>1345</v>
      </c>
    </row>
    <row r="1454" spans="1:15" x14ac:dyDescent="0.3">
      <c r="A1454" s="130">
        <v>7519</v>
      </c>
      <c r="B1454" s="130">
        <v>30</v>
      </c>
      <c r="C1454" s="130" t="s">
        <v>3078</v>
      </c>
      <c r="D1454">
        <v>11788</v>
      </c>
      <c r="E1454" s="130">
        <v>16864907</v>
      </c>
      <c r="F1454" t="s">
        <v>87</v>
      </c>
      <c r="G1454">
        <v>9135</v>
      </c>
      <c r="H1454" t="s">
        <v>8951</v>
      </c>
      <c r="I1454" s="131">
        <v>10</v>
      </c>
      <c r="J1454" t="s">
        <v>3078</v>
      </c>
      <c r="K1454" t="s">
        <v>95</v>
      </c>
      <c r="L1454" t="s">
        <v>127</v>
      </c>
      <c r="M1454" t="s">
        <v>103</v>
      </c>
      <c r="N1454" t="s">
        <v>98</v>
      </c>
      <c r="O1454" t="s">
        <v>1345</v>
      </c>
    </row>
    <row r="1455" spans="1:15" x14ac:dyDescent="0.3">
      <c r="A1455" s="130">
        <v>7523</v>
      </c>
      <c r="B1455" s="130">
        <v>30</v>
      </c>
      <c r="C1455" s="130" t="s">
        <v>3079</v>
      </c>
      <c r="D1455">
        <v>11798</v>
      </c>
      <c r="E1455" s="131">
        <v>31282126</v>
      </c>
      <c r="F1455" t="s">
        <v>87</v>
      </c>
      <c r="G1455">
        <v>9135</v>
      </c>
      <c r="H1455" t="s">
        <v>8952</v>
      </c>
      <c r="I1455" s="131">
        <v>3</v>
      </c>
      <c r="J1455" t="s">
        <v>3079</v>
      </c>
      <c r="K1455" t="s">
        <v>108</v>
      </c>
      <c r="L1455" t="s">
        <v>111</v>
      </c>
      <c r="M1455" t="s">
        <v>103</v>
      </c>
      <c r="N1455" t="s">
        <v>98</v>
      </c>
      <c r="O1455" t="s">
        <v>1345</v>
      </c>
    </row>
    <row r="1456" spans="1:15" x14ac:dyDescent="0.3">
      <c r="A1456" s="130">
        <v>7524</v>
      </c>
      <c r="B1456" s="130">
        <v>30</v>
      </c>
      <c r="C1456" s="130" t="s">
        <v>3080</v>
      </c>
      <c r="D1456">
        <v>11797</v>
      </c>
      <c r="E1456" s="130">
        <v>91894774</v>
      </c>
      <c r="F1456" t="s">
        <v>87</v>
      </c>
      <c r="G1456">
        <v>77</v>
      </c>
      <c r="H1456" t="s">
        <v>8953</v>
      </c>
      <c r="I1456" s="130">
        <v>3</v>
      </c>
      <c r="J1456" t="s">
        <v>3080</v>
      </c>
      <c r="K1456" t="s">
        <v>95</v>
      </c>
      <c r="L1456" t="s">
        <v>117</v>
      </c>
      <c r="M1456" t="s">
        <v>103</v>
      </c>
      <c r="N1456" t="s">
        <v>98</v>
      </c>
      <c r="O1456" t="s">
        <v>1345</v>
      </c>
    </row>
    <row r="1457" spans="1:15" x14ac:dyDescent="0.3">
      <c r="A1457" s="130">
        <v>7530</v>
      </c>
      <c r="B1457" s="130">
        <v>30</v>
      </c>
      <c r="C1457" s="130" t="s">
        <v>3081</v>
      </c>
      <c r="D1457">
        <v>11808</v>
      </c>
      <c r="E1457" s="130">
        <v>14916797</v>
      </c>
      <c r="F1457" t="s">
        <v>87</v>
      </c>
      <c r="G1457">
        <v>9135</v>
      </c>
      <c r="H1457" t="s">
        <v>8951</v>
      </c>
      <c r="I1457" s="131">
        <v>10</v>
      </c>
      <c r="J1457" t="s">
        <v>3081</v>
      </c>
      <c r="K1457" t="s">
        <v>95</v>
      </c>
      <c r="L1457" t="s">
        <v>127</v>
      </c>
      <c r="M1457" t="s">
        <v>103</v>
      </c>
      <c r="N1457" t="s">
        <v>131</v>
      </c>
      <c r="O1457" t="s">
        <v>1345</v>
      </c>
    </row>
    <row r="1458" spans="1:15" x14ac:dyDescent="0.3">
      <c r="A1458" s="130">
        <v>7531</v>
      </c>
      <c r="B1458" s="130">
        <v>18</v>
      </c>
      <c r="C1458" s="130" t="s">
        <v>3082</v>
      </c>
      <c r="D1458">
        <v>11809</v>
      </c>
      <c r="E1458" s="130">
        <v>4136716</v>
      </c>
      <c r="F1458" t="s">
        <v>87</v>
      </c>
      <c r="G1458">
        <v>9135</v>
      </c>
      <c r="H1458" t="s">
        <v>8952</v>
      </c>
      <c r="I1458" s="131">
        <v>18</v>
      </c>
      <c r="J1458" t="s">
        <v>3082</v>
      </c>
      <c r="K1458" t="s">
        <v>108</v>
      </c>
      <c r="L1458" t="s">
        <v>123</v>
      </c>
      <c r="M1458" t="s">
        <v>112</v>
      </c>
      <c r="N1458" t="s">
        <v>101</v>
      </c>
      <c r="O1458" t="s">
        <v>1345</v>
      </c>
    </row>
    <row r="1459" spans="1:15" x14ac:dyDescent="0.3">
      <c r="A1459" s="130">
        <v>7539</v>
      </c>
      <c r="B1459" s="130">
        <v>30</v>
      </c>
      <c r="C1459" s="130" t="s">
        <v>3083</v>
      </c>
      <c r="D1459">
        <v>11820</v>
      </c>
      <c r="E1459" s="130">
        <v>73305997</v>
      </c>
      <c r="F1459" t="s">
        <v>87</v>
      </c>
      <c r="G1459">
        <v>9135</v>
      </c>
      <c r="H1459" t="s">
        <v>8953</v>
      </c>
      <c r="I1459" s="131">
        <v>9</v>
      </c>
      <c r="J1459" t="s">
        <v>3083</v>
      </c>
      <c r="K1459" t="s">
        <v>108</v>
      </c>
      <c r="L1459" t="s">
        <v>1298</v>
      </c>
      <c r="M1459" t="s">
        <v>103</v>
      </c>
      <c r="N1459" t="s">
        <v>114</v>
      </c>
      <c r="O1459" t="s">
        <v>1256</v>
      </c>
    </row>
    <row r="1460" spans="1:15" x14ac:dyDescent="0.3">
      <c r="A1460" s="130">
        <v>7543</v>
      </c>
      <c r="B1460" s="130">
        <v>30</v>
      </c>
      <c r="C1460" s="130" t="s">
        <v>3084</v>
      </c>
      <c r="D1460">
        <v>11823</v>
      </c>
      <c r="E1460" s="130">
        <v>8323347</v>
      </c>
      <c r="F1460" t="s">
        <v>87</v>
      </c>
      <c r="G1460">
        <v>9135</v>
      </c>
      <c r="H1460" t="s">
        <v>8951</v>
      </c>
      <c r="I1460" s="131">
        <v>43</v>
      </c>
      <c r="J1460" t="s">
        <v>3084</v>
      </c>
      <c r="K1460" t="s">
        <v>108</v>
      </c>
      <c r="L1460" t="s">
        <v>1368</v>
      </c>
      <c r="M1460" t="s">
        <v>103</v>
      </c>
      <c r="N1460" t="s">
        <v>124</v>
      </c>
      <c r="O1460" t="s">
        <v>116</v>
      </c>
    </row>
    <row r="1461" spans="1:15" x14ac:dyDescent="0.3">
      <c r="A1461" s="130">
        <v>7544</v>
      </c>
      <c r="B1461" s="130">
        <v>30</v>
      </c>
      <c r="C1461" s="130" t="s">
        <v>3085</v>
      </c>
      <c r="D1461">
        <v>11826</v>
      </c>
      <c r="E1461" s="130">
        <v>33000167</v>
      </c>
      <c r="F1461" t="s">
        <v>87</v>
      </c>
      <c r="G1461">
        <v>9135</v>
      </c>
      <c r="H1461" t="s">
        <v>8952</v>
      </c>
      <c r="I1461" s="130">
        <v>24</v>
      </c>
      <c r="J1461" t="s">
        <v>3085</v>
      </c>
      <c r="K1461" t="s">
        <v>95</v>
      </c>
      <c r="L1461" t="s">
        <v>102</v>
      </c>
      <c r="M1461" t="s">
        <v>103</v>
      </c>
      <c r="N1461" t="s">
        <v>114</v>
      </c>
      <c r="O1461" t="s">
        <v>116</v>
      </c>
    </row>
    <row r="1462" spans="1:15" x14ac:dyDescent="0.3">
      <c r="A1462" s="130">
        <v>7547</v>
      </c>
      <c r="B1462" s="130">
        <v>30</v>
      </c>
      <c r="C1462" s="130" t="s">
        <v>3086</v>
      </c>
      <c r="D1462">
        <v>11829</v>
      </c>
      <c r="E1462" s="130">
        <v>8217851</v>
      </c>
      <c r="F1462" t="s">
        <v>87</v>
      </c>
      <c r="G1462">
        <v>9135</v>
      </c>
      <c r="H1462" t="s">
        <v>8953</v>
      </c>
      <c r="I1462" s="130">
        <v>18</v>
      </c>
      <c r="J1462" t="s">
        <v>3086</v>
      </c>
      <c r="K1462" t="s">
        <v>95</v>
      </c>
      <c r="L1462" t="s">
        <v>123</v>
      </c>
      <c r="M1462" t="s">
        <v>103</v>
      </c>
      <c r="N1462" t="s">
        <v>98</v>
      </c>
      <c r="O1462" t="s">
        <v>116</v>
      </c>
    </row>
    <row r="1463" spans="1:15" x14ac:dyDescent="0.3">
      <c r="A1463" s="130">
        <v>7549</v>
      </c>
      <c r="B1463" s="130">
        <v>18</v>
      </c>
      <c r="C1463" s="130" t="s">
        <v>3087</v>
      </c>
      <c r="D1463">
        <v>11831</v>
      </c>
      <c r="E1463" s="131">
        <v>3644204</v>
      </c>
      <c r="F1463" t="s">
        <v>87</v>
      </c>
      <c r="G1463">
        <v>9135</v>
      </c>
      <c r="H1463" t="s">
        <v>8951</v>
      </c>
      <c r="I1463" s="130">
        <v>9</v>
      </c>
      <c r="J1463" t="s">
        <v>3087</v>
      </c>
      <c r="K1463" t="s">
        <v>108</v>
      </c>
      <c r="L1463" t="s">
        <v>163</v>
      </c>
      <c r="M1463" t="s">
        <v>112</v>
      </c>
      <c r="N1463" t="s">
        <v>98</v>
      </c>
      <c r="O1463" t="s">
        <v>1345</v>
      </c>
    </row>
    <row r="1464" spans="1:15" x14ac:dyDescent="0.3">
      <c r="A1464" s="130">
        <v>7551</v>
      </c>
      <c r="B1464" s="130">
        <v>30</v>
      </c>
      <c r="C1464" s="130" t="s">
        <v>3088</v>
      </c>
      <c r="D1464">
        <v>11834</v>
      </c>
      <c r="E1464" s="131">
        <v>30425560</v>
      </c>
      <c r="F1464" t="s">
        <v>87</v>
      </c>
      <c r="G1464">
        <v>9135</v>
      </c>
      <c r="H1464" t="s">
        <v>8952</v>
      </c>
      <c r="I1464" s="130">
        <v>19</v>
      </c>
      <c r="J1464" t="s">
        <v>3088</v>
      </c>
      <c r="K1464" t="s">
        <v>108</v>
      </c>
      <c r="L1464" t="s">
        <v>146</v>
      </c>
      <c r="M1464" t="s">
        <v>103</v>
      </c>
      <c r="N1464" t="s">
        <v>98</v>
      </c>
      <c r="O1464" t="s">
        <v>1345</v>
      </c>
    </row>
    <row r="1465" spans="1:15" x14ac:dyDescent="0.3">
      <c r="A1465" s="130">
        <v>7563</v>
      </c>
      <c r="B1465" s="130">
        <v>18</v>
      </c>
      <c r="C1465" s="130" t="s">
        <v>3089</v>
      </c>
      <c r="D1465">
        <v>11848</v>
      </c>
      <c r="E1465" s="131">
        <v>8469669</v>
      </c>
      <c r="F1465" t="s">
        <v>87</v>
      </c>
      <c r="G1465">
        <v>9135</v>
      </c>
      <c r="H1465" t="s">
        <v>8953</v>
      </c>
      <c r="I1465" s="130">
        <v>19</v>
      </c>
      <c r="J1465" t="s">
        <v>3089</v>
      </c>
      <c r="K1465" t="s">
        <v>108</v>
      </c>
      <c r="L1465" t="s">
        <v>146</v>
      </c>
      <c r="M1465" t="s">
        <v>112</v>
      </c>
      <c r="N1465" t="s">
        <v>162</v>
      </c>
      <c r="O1465" t="s">
        <v>1345</v>
      </c>
    </row>
    <row r="1466" spans="1:15" x14ac:dyDescent="0.3">
      <c r="A1466" s="130">
        <v>7564</v>
      </c>
      <c r="B1466" s="130">
        <v>18</v>
      </c>
      <c r="C1466" s="130" t="s">
        <v>3090</v>
      </c>
      <c r="D1466">
        <v>11849</v>
      </c>
      <c r="E1466" s="130">
        <v>57991606</v>
      </c>
      <c r="F1466" t="s">
        <v>87</v>
      </c>
      <c r="G1466">
        <v>9135</v>
      </c>
      <c r="H1466" t="s">
        <v>8951</v>
      </c>
      <c r="I1466" s="130">
        <v>37</v>
      </c>
      <c r="J1466" t="s">
        <v>3090</v>
      </c>
      <c r="K1466" t="s">
        <v>95</v>
      </c>
      <c r="L1466" t="s">
        <v>138</v>
      </c>
      <c r="M1466" t="s">
        <v>112</v>
      </c>
      <c r="N1466" t="s">
        <v>150</v>
      </c>
      <c r="O1466" t="s">
        <v>1345</v>
      </c>
    </row>
    <row r="1467" spans="1:15" x14ac:dyDescent="0.3">
      <c r="A1467" s="130">
        <v>7568</v>
      </c>
      <c r="B1467" s="130">
        <v>10</v>
      </c>
      <c r="C1467" s="130" t="s">
        <v>3091</v>
      </c>
      <c r="D1467">
        <v>11857</v>
      </c>
      <c r="E1467" s="130">
        <v>59225698</v>
      </c>
      <c r="F1467" t="s">
        <v>87</v>
      </c>
      <c r="G1467">
        <v>358</v>
      </c>
      <c r="H1467" t="s">
        <v>8952</v>
      </c>
      <c r="I1467" s="131">
        <v>3</v>
      </c>
      <c r="J1467" t="s">
        <v>3091</v>
      </c>
      <c r="K1467" t="s">
        <v>95</v>
      </c>
      <c r="L1467" t="s">
        <v>109</v>
      </c>
      <c r="M1467" t="s">
        <v>133</v>
      </c>
      <c r="N1467" t="s">
        <v>98</v>
      </c>
      <c r="O1467" t="s">
        <v>1345</v>
      </c>
    </row>
    <row r="1468" spans="1:15" x14ac:dyDescent="0.3">
      <c r="A1468" s="130">
        <v>7569</v>
      </c>
      <c r="B1468" s="130">
        <v>18</v>
      </c>
      <c r="C1468" s="130" t="s">
        <v>3092</v>
      </c>
      <c r="D1468">
        <v>11860</v>
      </c>
      <c r="E1468" s="131">
        <v>18353869</v>
      </c>
      <c r="F1468" t="s">
        <v>87</v>
      </c>
      <c r="G1468">
        <v>9135</v>
      </c>
      <c r="H1468" t="s">
        <v>8953</v>
      </c>
      <c r="I1468" s="131">
        <v>37</v>
      </c>
      <c r="J1468" t="s">
        <v>3092</v>
      </c>
      <c r="K1468" t="s">
        <v>108</v>
      </c>
      <c r="L1468" t="s">
        <v>138</v>
      </c>
      <c r="M1468" t="s">
        <v>112</v>
      </c>
      <c r="N1468" t="s">
        <v>101</v>
      </c>
      <c r="O1468" t="s">
        <v>116</v>
      </c>
    </row>
    <row r="1469" spans="1:15" x14ac:dyDescent="0.3">
      <c r="A1469" s="130">
        <v>7588</v>
      </c>
      <c r="B1469" s="130">
        <v>30</v>
      </c>
      <c r="C1469" s="130" t="s">
        <v>3093</v>
      </c>
      <c r="D1469">
        <v>11886</v>
      </c>
      <c r="E1469" s="130">
        <v>4060779</v>
      </c>
      <c r="F1469" t="s">
        <v>87</v>
      </c>
      <c r="G1469">
        <v>9135</v>
      </c>
      <c r="H1469" t="s">
        <v>8951</v>
      </c>
      <c r="I1469" s="130">
        <v>18</v>
      </c>
      <c r="J1469" t="s">
        <v>3093</v>
      </c>
      <c r="K1469" t="s">
        <v>95</v>
      </c>
      <c r="L1469" t="s">
        <v>123</v>
      </c>
      <c r="M1469" t="s">
        <v>103</v>
      </c>
      <c r="N1469" t="s">
        <v>98</v>
      </c>
      <c r="O1469" t="s">
        <v>116</v>
      </c>
    </row>
    <row r="1470" spans="1:15" x14ac:dyDescent="0.3">
      <c r="A1470" s="130">
        <v>7595</v>
      </c>
      <c r="B1470" s="130">
        <v>15</v>
      </c>
      <c r="C1470" s="130" t="s">
        <v>3094</v>
      </c>
      <c r="D1470">
        <v>11897</v>
      </c>
      <c r="E1470" s="131">
        <v>44664375</v>
      </c>
      <c r="F1470" t="s">
        <v>87</v>
      </c>
      <c r="G1470">
        <v>9135</v>
      </c>
      <c r="H1470" t="s">
        <v>8952</v>
      </c>
      <c r="I1470" s="130">
        <v>38</v>
      </c>
      <c r="J1470" t="s">
        <v>3094</v>
      </c>
      <c r="K1470" t="s">
        <v>108</v>
      </c>
      <c r="L1470" t="s">
        <v>126</v>
      </c>
      <c r="M1470" t="s">
        <v>145</v>
      </c>
      <c r="N1470" t="s">
        <v>121</v>
      </c>
      <c r="O1470" t="s">
        <v>116</v>
      </c>
    </row>
    <row r="1471" spans="1:15" x14ac:dyDescent="0.3">
      <c r="A1471" s="130">
        <v>7598</v>
      </c>
      <c r="B1471" s="130">
        <v>18</v>
      </c>
      <c r="C1471" s="130" t="s">
        <v>3095</v>
      </c>
      <c r="D1471">
        <v>11902</v>
      </c>
      <c r="E1471" s="130">
        <v>35588111</v>
      </c>
      <c r="F1471" t="s">
        <v>87</v>
      </c>
      <c r="G1471">
        <v>9135</v>
      </c>
      <c r="H1471" t="s">
        <v>8953</v>
      </c>
      <c r="I1471" s="131">
        <v>3</v>
      </c>
      <c r="J1471" t="s">
        <v>3095</v>
      </c>
      <c r="K1471" t="s">
        <v>108</v>
      </c>
      <c r="L1471" t="s">
        <v>111</v>
      </c>
      <c r="M1471" t="s">
        <v>112</v>
      </c>
      <c r="N1471" t="s">
        <v>98</v>
      </c>
      <c r="O1471" t="s">
        <v>116</v>
      </c>
    </row>
    <row r="1472" spans="1:15" x14ac:dyDescent="0.3">
      <c r="A1472" s="130">
        <v>7602</v>
      </c>
      <c r="B1472" s="130">
        <v>21</v>
      </c>
      <c r="C1472" s="130" t="s">
        <v>3096</v>
      </c>
      <c r="D1472">
        <v>11911</v>
      </c>
      <c r="E1472" s="130">
        <v>8013656</v>
      </c>
      <c r="F1472" t="s">
        <v>87</v>
      </c>
      <c r="G1472">
        <v>9135</v>
      </c>
      <c r="H1472" t="s">
        <v>8951</v>
      </c>
      <c r="I1472" s="130">
        <v>10</v>
      </c>
      <c r="J1472" t="s">
        <v>3096</v>
      </c>
      <c r="K1472" t="s">
        <v>108</v>
      </c>
      <c r="L1472" t="s">
        <v>127</v>
      </c>
      <c r="M1472" t="s">
        <v>137</v>
      </c>
      <c r="N1472" t="s">
        <v>152</v>
      </c>
      <c r="O1472" t="s">
        <v>1345</v>
      </c>
    </row>
    <row r="1473" spans="1:15" x14ac:dyDescent="0.3">
      <c r="A1473" s="130">
        <v>7606</v>
      </c>
      <c r="B1473" s="130">
        <v>10</v>
      </c>
      <c r="C1473" s="130" t="s">
        <v>3097</v>
      </c>
      <c r="D1473">
        <v>11898</v>
      </c>
      <c r="E1473" s="130">
        <v>5515245</v>
      </c>
      <c r="F1473" t="s">
        <v>87</v>
      </c>
      <c r="G1473">
        <v>9135</v>
      </c>
      <c r="H1473" t="s">
        <v>8952</v>
      </c>
      <c r="I1473" s="131">
        <v>18</v>
      </c>
      <c r="J1473" t="s">
        <v>3097</v>
      </c>
      <c r="K1473" t="s">
        <v>95</v>
      </c>
      <c r="L1473" t="s">
        <v>109</v>
      </c>
      <c r="M1473" t="s">
        <v>133</v>
      </c>
      <c r="N1473" t="s">
        <v>98</v>
      </c>
      <c r="O1473" t="s">
        <v>1345</v>
      </c>
    </row>
    <row r="1474" spans="1:15" x14ac:dyDescent="0.3">
      <c r="A1474" s="130">
        <v>7610</v>
      </c>
      <c r="B1474" s="130">
        <v>30</v>
      </c>
      <c r="C1474" s="130" t="s">
        <v>3098</v>
      </c>
      <c r="D1474">
        <v>11921</v>
      </c>
      <c r="E1474" s="131">
        <v>4239328</v>
      </c>
      <c r="F1474" t="s">
        <v>87</v>
      </c>
      <c r="G1474">
        <v>9135</v>
      </c>
      <c r="H1474" t="s">
        <v>8953</v>
      </c>
      <c r="I1474" s="131">
        <v>19</v>
      </c>
      <c r="J1474" t="s">
        <v>3098</v>
      </c>
      <c r="K1474" t="s">
        <v>108</v>
      </c>
      <c r="L1474" t="s">
        <v>146</v>
      </c>
      <c r="M1474" t="s">
        <v>103</v>
      </c>
      <c r="N1474" t="s">
        <v>114</v>
      </c>
      <c r="O1474" t="s">
        <v>1345</v>
      </c>
    </row>
    <row r="1475" spans="1:15" x14ac:dyDescent="0.3">
      <c r="A1475" s="130">
        <v>7612</v>
      </c>
      <c r="B1475" s="130">
        <v>10</v>
      </c>
      <c r="C1475" s="130" t="s">
        <v>3099</v>
      </c>
      <c r="D1475">
        <v>11899</v>
      </c>
      <c r="E1475" s="130">
        <v>5515245</v>
      </c>
      <c r="F1475" t="s">
        <v>87</v>
      </c>
      <c r="G1475">
        <v>9135</v>
      </c>
      <c r="H1475" t="s">
        <v>8951</v>
      </c>
      <c r="I1475" s="130">
        <v>18</v>
      </c>
      <c r="J1475" t="s">
        <v>3099</v>
      </c>
      <c r="K1475" t="s">
        <v>95</v>
      </c>
      <c r="L1475" t="s">
        <v>109</v>
      </c>
      <c r="M1475" t="s">
        <v>133</v>
      </c>
      <c r="N1475" t="s">
        <v>98</v>
      </c>
      <c r="O1475" t="s">
        <v>116</v>
      </c>
    </row>
    <row r="1476" spans="1:15" x14ac:dyDescent="0.3">
      <c r="A1476" s="130">
        <v>7614</v>
      </c>
      <c r="B1476" s="130" t="s">
        <v>156</v>
      </c>
      <c r="C1476" s="130" t="s">
        <v>3100</v>
      </c>
      <c r="D1476">
        <v>11925</v>
      </c>
      <c r="E1476" s="130">
        <v>2602726</v>
      </c>
      <c r="F1476" t="s">
        <v>87</v>
      </c>
      <c r="G1476">
        <v>9135</v>
      </c>
      <c r="H1476" t="s">
        <v>8952</v>
      </c>
      <c r="I1476" s="131">
        <v>3</v>
      </c>
      <c r="J1476" t="s">
        <v>3100</v>
      </c>
      <c r="K1476" t="s">
        <v>108</v>
      </c>
      <c r="L1476" t="s">
        <v>111</v>
      </c>
      <c r="M1476" t="s">
        <v>156</v>
      </c>
      <c r="N1476" t="s">
        <v>98</v>
      </c>
      <c r="O1476" t="s">
        <v>1345</v>
      </c>
    </row>
    <row r="1477" spans="1:15" x14ac:dyDescent="0.3">
      <c r="A1477" s="130">
        <v>7615</v>
      </c>
      <c r="B1477" s="130">
        <v>30</v>
      </c>
      <c r="C1477" s="130" t="s">
        <v>3101</v>
      </c>
      <c r="D1477">
        <v>11924</v>
      </c>
      <c r="E1477" s="130">
        <v>6273155</v>
      </c>
      <c r="F1477" t="s">
        <v>87</v>
      </c>
      <c r="G1477">
        <v>9135</v>
      </c>
      <c r="H1477" t="s">
        <v>8953</v>
      </c>
      <c r="I1477" s="130">
        <v>9</v>
      </c>
      <c r="J1477" t="s">
        <v>3101</v>
      </c>
      <c r="K1477" t="s">
        <v>95</v>
      </c>
      <c r="L1477" t="s">
        <v>163</v>
      </c>
      <c r="M1477" t="s">
        <v>103</v>
      </c>
      <c r="N1477" t="s">
        <v>98</v>
      </c>
      <c r="O1477" t="s">
        <v>116</v>
      </c>
    </row>
    <row r="1478" spans="1:15" x14ac:dyDescent="0.3">
      <c r="A1478" s="130">
        <v>7623</v>
      </c>
      <c r="B1478" s="130">
        <v>30</v>
      </c>
      <c r="C1478" s="130" t="s">
        <v>3102</v>
      </c>
      <c r="D1478">
        <v>11933</v>
      </c>
      <c r="E1478" s="130">
        <v>1157555</v>
      </c>
      <c r="F1478" t="s">
        <v>87</v>
      </c>
      <c r="G1478">
        <v>9135</v>
      </c>
      <c r="H1478" t="s">
        <v>8951</v>
      </c>
      <c r="I1478" s="130">
        <v>40</v>
      </c>
      <c r="J1478" t="s">
        <v>3102</v>
      </c>
      <c r="K1478" t="s">
        <v>95</v>
      </c>
      <c r="L1478" t="s">
        <v>138</v>
      </c>
      <c r="M1478" t="s">
        <v>180</v>
      </c>
      <c r="N1478" t="s">
        <v>101</v>
      </c>
      <c r="O1478" t="s">
        <v>116</v>
      </c>
    </row>
    <row r="1479" spans="1:15" x14ac:dyDescent="0.3">
      <c r="A1479" s="130">
        <v>7632</v>
      </c>
      <c r="B1479" s="130">
        <v>28</v>
      </c>
      <c r="C1479" s="130" t="s">
        <v>3103</v>
      </c>
      <c r="D1479">
        <v>11945</v>
      </c>
      <c r="E1479" s="131">
        <v>18185542</v>
      </c>
      <c r="F1479" t="s">
        <v>87</v>
      </c>
      <c r="G1479">
        <v>9135</v>
      </c>
      <c r="H1479" t="s">
        <v>8952</v>
      </c>
      <c r="I1479" s="131">
        <v>37</v>
      </c>
      <c r="J1479" t="s">
        <v>3103</v>
      </c>
      <c r="K1479" t="s">
        <v>95</v>
      </c>
      <c r="L1479" t="s">
        <v>138</v>
      </c>
      <c r="M1479" t="s">
        <v>130</v>
      </c>
      <c r="N1479" t="s">
        <v>150</v>
      </c>
      <c r="O1479" t="s">
        <v>1345</v>
      </c>
    </row>
    <row r="1480" spans="1:15" x14ac:dyDescent="0.3">
      <c r="A1480" s="130">
        <v>7634</v>
      </c>
      <c r="B1480" s="130">
        <v>18</v>
      </c>
      <c r="C1480" s="130" t="s">
        <v>3104</v>
      </c>
      <c r="D1480">
        <v>11949</v>
      </c>
      <c r="E1480" s="130">
        <v>28029688</v>
      </c>
      <c r="F1480" t="s">
        <v>87</v>
      </c>
      <c r="G1480">
        <v>9135</v>
      </c>
      <c r="H1480" t="s">
        <v>8953</v>
      </c>
      <c r="I1480" s="131">
        <v>24</v>
      </c>
      <c r="J1480" t="s">
        <v>3104</v>
      </c>
      <c r="K1480" t="s">
        <v>108</v>
      </c>
      <c r="L1480" t="s">
        <v>191</v>
      </c>
      <c r="M1480" t="s">
        <v>112</v>
      </c>
      <c r="N1480" t="s">
        <v>98</v>
      </c>
      <c r="O1480" t="s">
        <v>1345</v>
      </c>
    </row>
    <row r="1481" spans="1:15" x14ac:dyDescent="0.3">
      <c r="A1481" s="130">
        <v>7636</v>
      </c>
      <c r="B1481" s="130">
        <v>70</v>
      </c>
      <c r="C1481" s="130" t="s">
        <v>3105</v>
      </c>
      <c r="D1481">
        <v>11795</v>
      </c>
      <c r="E1481" s="130">
        <v>17227422</v>
      </c>
      <c r="F1481" t="s">
        <v>87</v>
      </c>
      <c r="G1481">
        <v>77</v>
      </c>
      <c r="H1481" t="s">
        <v>8951</v>
      </c>
      <c r="I1481" s="130">
        <v>3</v>
      </c>
      <c r="J1481" t="s">
        <v>3105</v>
      </c>
      <c r="K1481" t="s">
        <v>95</v>
      </c>
      <c r="L1481" t="s">
        <v>117</v>
      </c>
      <c r="M1481" t="s">
        <v>200</v>
      </c>
      <c r="N1481" t="s">
        <v>104</v>
      </c>
      <c r="O1481" t="s">
        <v>1345</v>
      </c>
    </row>
    <row r="1482" spans="1:15" x14ac:dyDescent="0.3">
      <c r="A1482" s="130">
        <v>7639</v>
      </c>
      <c r="B1482" s="130">
        <v>30</v>
      </c>
      <c r="C1482" s="130" t="s">
        <v>3106</v>
      </c>
      <c r="D1482">
        <v>11950</v>
      </c>
      <c r="E1482" s="130">
        <v>44553754</v>
      </c>
      <c r="F1482" t="s">
        <v>87</v>
      </c>
      <c r="G1482">
        <v>9135</v>
      </c>
      <c r="H1482" t="s">
        <v>8952</v>
      </c>
      <c r="I1482" s="131">
        <v>3</v>
      </c>
      <c r="J1482" t="s">
        <v>3106</v>
      </c>
      <c r="K1482" t="s">
        <v>95</v>
      </c>
      <c r="L1482" t="s">
        <v>163</v>
      </c>
      <c r="M1482" t="s">
        <v>103</v>
      </c>
      <c r="N1482" t="s">
        <v>98</v>
      </c>
      <c r="O1482" t="s">
        <v>1345</v>
      </c>
    </row>
    <row r="1483" spans="1:15" x14ac:dyDescent="0.3">
      <c r="A1483" s="130">
        <v>7641</v>
      </c>
      <c r="B1483" s="130">
        <v>18</v>
      </c>
      <c r="C1483" s="130" t="s">
        <v>3107</v>
      </c>
      <c r="D1483">
        <v>11955</v>
      </c>
      <c r="E1483" s="130">
        <v>4663056</v>
      </c>
      <c r="F1483" t="s">
        <v>87</v>
      </c>
      <c r="G1483">
        <v>9135</v>
      </c>
      <c r="H1483" t="s">
        <v>8953</v>
      </c>
      <c r="I1483" s="130">
        <v>26</v>
      </c>
      <c r="J1483" t="s">
        <v>3107</v>
      </c>
      <c r="K1483" t="s">
        <v>108</v>
      </c>
      <c r="L1483" t="s">
        <v>151</v>
      </c>
      <c r="M1483" t="s">
        <v>112</v>
      </c>
      <c r="N1483" t="s">
        <v>98</v>
      </c>
      <c r="O1483" t="s">
        <v>1345</v>
      </c>
    </row>
    <row r="1484" spans="1:15" x14ac:dyDescent="0.3">
      <c r="A1484" s="130">
        <v>7642</v>
      </c>
      <c r="B1484" s="130">
        <v>30</v>
      </c>
      <c r="C1484" s="130" t="s">
        <v>3108</v>
      </c>
      <c r="D1484">
        <v>11956</v>
      </c>
      <c r="E1484" s="130">
        <v>507949</v>
      </c>
      <c r="F1484" t="s">
        <v>87</v>
      </c>
      <c r="G1484">
        <v>9135</v>
      </c>
      <c r="H1484" t="s">
        <v>8951</v>
      </c>
      <c r="I1484" s="130">
        <v>19</v>
      </c>
      <c r="J1484" t="s">
        <v>3108</v>
      </c>
      <c r="K1484" t="s">
        <v>95</v>
      </c>
      <c r="L1484" t="s">
        <v>146</v>
      </c>
      <c r="M1484" t="s">
        <v>103</v>
      </c>
      <c r="N1484" t="s">
        <v>98</v>
      </c>
      <c r="O1484" t="s">
        <v>1345</v>
      </c>
    </row>
    <row r="1485" spans="1:15" x14ac:dyDescent="0.3">
      <c r="A1485" s="130">
        <v>7643</v>
      </c>
      <c r="B1485" s="130">
        <v>30</v>
      </c>
      <c r="C1485" s="130" t="s">
        <v>3109</v>
      </c>
      <c r="D1485">
        <v>11957</v>
      </c>
      <c r="E1485" s="131">
        <v>507949</v>
      </c>
      <c r="F1485" t="s">
        <v>87</v>
      </c>
      <c r="G1485">
        <v>9135</v>
      </c>
      <c r="H1485" t="s">
        <v>8952</v>
      </c>
      <c r="I1485" s="130">
        <v>19</v>
      </c>
      <c r="J1485" t="s">
        <v>3109</v>
      </c>
      <c r="K1485" t="s">
        <v>95</v>
      </c>
      <c r="L1485" t="s">
        <v>146</v>
      </c>
      <c r="M1485" t="s">
        <v>103</v>
      </c>
      <c r="N1485" t="s">
        <v>98</v>
      </c>
      <c r="O1485" t="s">
        <v>1345</v>
      </c>
    </row>
    <row r="1486" spans="1:15" x14ac:dyDescent="0.3">
      <c r="A1486" s="130">
        <v>7645</v>
      </c>
      <c r="B1486" s="130">
        <v>18</v>
      </c>
      <c r="C1486" s="130" t="s">
        <v>3110</v>
      </c>
      <c r="D1486">
        <v>11958</v>
      </c>
      <c r="E1486" s="130">
        <v>2864219</v>
      </c>
      <c r="F1486" t="s">
        <v>87</v>
      </c>
      <c r="G1486">
        <v>9135</v>
      </c>
      <c r="H1486" t="s">
        <v>8953</v>
      </c>
      <c r="I1486" s="130">
        <v>9</v>
      </c>
      <c r="J1486" t="s">
        <v>3110</v>
      </c>
      <c r="K1486" t="s">
        <v>108</v>
      </c>
      <c r="L1486" t="s">
        <v>1298</v>
      </c>
      <c r="M1486" t="s">
        <v>112</v>
      </c>
      <c r="N1486" t="s">
        <v>98</v>
      </c>
      <c r="O1486" t="s">
        <v>116</v>
      </c>
    </row>
    <row r="1487" spans="1:15" x14ac:dyDescent="0.3">
      <c r="A1487" s="130">
        <v>7662</v>
      </c>
      <c r="B1487" s="130">
        <v>18</v>
      </c>
      <c r="C1487" s="130" t="s">
        <v>3111</v>
      </c>
      <c r="D1487">
        <v>11980</v>
      </c>
      <c r="E1487" s="131">
        <v>8054995</v>
      </c>
      <c r="F1487" t="s">
        <v>87</v>
      </c>
      <c r="G1487">
        <v>358</v>
      </c>
      <c r="H1487" t="s">
        <v>8951</v>
      </c>
      <c r="I1487" s="130">
        <v>10</v>
      </c>
      <c r="J1487" t="s">
        <v>3111</v>
      </c>
      <c r="K1487" t="s">
        <v>95</v>
      </c>
      <c r="L1487" t="s">
        <v>105</v>
      </c>
      <c r="M1487" t="s">
        <v>112</v>
      </c>
      <c r="N1487" t="s">
        <v>98</v>
      </c>
      <c r="O1487" t="s">
        <v>1345</v>
      </c>
    </row>
    <row r="1488" spans="1:15" x14ac:dyDescent="0.3">
      <c r="A1488" s="130">
        <v>7665</v>
      </c>
      <c r="B1488" s="130">
        <v>45</v>
      </c>
      <c r="C1488" s="130" t="s">
        <v>3112</v>
      </c>
      <c r="D1488">
        <v>11983</v>
      </c>
      <c r="E1488" s="130">
        <v>17162983</v>
      </c>
      <c r="F1488" t="s">
        <v>87</v>
      </c>
      <c r="G1488">
        <v>9135</v>
      </c>
      <c r="H1488" t="s">
        <v>8952</v>
      </c>
      <c r="I1488" s="131">
        <v>3</v>
      </c>
      <c r="J1488" t="s">
        <v>3112</v>
      </c>
      <c r="K1488" t="s">
        <v>108</v>
      </c>
      <c r="L1488" t="s">
        <v>111</v>
      </c>
      <c r="M1488" t="s">
        <v>106</v>
      </c>
      <c r="N1488" t="s">
        <v>98</v>
      </c>
      <c r="O1488" t="s">
        <v>1345</v>
      </c>
    </row>
    <row r="1489" spans="1:15" x14ac:dyDescent="0.3">
      <c r="A1489" s="130">
        <v>7668</v>
      </c>
      <c r="B1489" s="130">
        <v>28</v>
      </c>
      <c r="C1489" s="130" t="s">
        <v>3113</v>
      </c>
      <c r="D1489">
        <v>11986</v>
      </c>
      <c r="E1489" s="130">
        <v>66403270</v>
      </c>
      <c r="F1489" t="s">
        <v>87</v>
      </c>
      <c r="G1489">
        <v>9135</v>
      </c>
      <c r="H1489" t="s">
        <v>8953</v>
      </c>
      <c r="I1489" s="131">
        <v>3</v>
      </c>
      <c r="J1489" t="s">
        <v>3113</v>
      </c>
      <c r="K1489" t="s">
        <v>95</v>
      </c>
      <c r="L1489" t="s">
        <v>111</v>
      </c>
      <c r="M1489" t="s">
        <v>130</v>
      </c>
      <c r="N1489" t="s">
        <v>98</v>
      </c>
      <c r="O1489" t="s">
        <v>1345</v>
      </c>
    </row>
    <row r="1490" spans="1:15" x14ac:dyDescent="0.3">
      <c r="A1490" s="130">
        <v>7669</v>
      </c>
      <c r="B1490" s="130">
        <v>10</v>
      </c>
      <c r="C1490" s="130" t="s">
        <v>3114</v>
      </c>
      <c r="D1490">
        <v>11965</v>
      </c>
      <c r="E1490" s="130">
        <v>89723977</v>
      </c>
      <c r="F1490" t="s">
        <v>87</v>
      </c>
      <c r="G1490">
        <v>9135</v>
      </c>
      <c r="H1490" t="s">
        <v>8951</v>
      </c>
      <c r="I1490" s="131">
        <v>18</v>
      </c>
      <c r="J1490" t="s">
        <v>3114</v>
      </c>
      <c r="K1490" t="s">
        <v>95</v>
      </c>
      <c r="L1490" t="s">
        <v>109</v>
      </c>
      <c r="M1490" t="s">
        <v>133</v>
      </c>
      <c r="N1490" t="s">
        <v>98</v>
      </c>
      <c r="O1490" t="s">
        <v>1345</v>
      </c>
    </row>
    <row r="1491" spans="1:15" x14ac:dyDescent="0.3">
      <c r="A1491" s="130">
        <v>7689</v>
      </c>
      <c r="B1491" s="130">
        <v>-1</v>
      </c>
      <c r="C1491" s="130" t="s">
        <v>3115</v>
      </c>
      <c r="D1491">
        <v>12012</v>
      </c>
      <c r="E1491" s="130">
        <v>27523140</v>
      </c>
      <c r="F1491" t="s">
        <v>87</v>
      </c>
      <c r="G1491">
        <v>9135</v>
      </c>
      <c r="H1491" t="s">
        <v>8952</v>
      </c>
      <c r="I1491" s="131">
        <v>9</v>
      </c>
      <c r="J1491" t="s">
        <v>3115</v>
      </c>
      <c r="K1491" t="s">
        <v>108</v>
      </c>
      <c r="L1491" t="s">
        <v>163</v>
      </c>
      <c r="M1491" t="s">
        <v>174</v>
      </c>
      <c r="N1491" t="s">
        <v>101</v>
      </c>
      <c r="O1491" t="s">
        <v>116</v>
      </c>
    </row>
    <row r="1492" spans="1:15" x14ac:dyDescent="0.3">
      <c r="A1492" s="130">
        <v>7696</v>
      </c>
      <c r="B1492" s="130">
        <v>45</v>
      </c>
      <c r="C1492" s="130" t="s">
        <v>3116</v>
      </c>
      <c r="D1492">
        <v>12020</v>
      </c>
      <c r="E1492" s="130">
        <v>8689024</v>
      </c>
      <c r="F1492" t="s">
        <v>87</v>
      </c>
      <c r="G1492">
        <v>77</v>
      </c>
      <c r="H1492" t="s">
        <v>8953</v>
      </c>
      <c r="I1492" s="130">
        <v>3</v>
      </c>
      <c r="J1492" t="s">
        <v>3116</v>
      </c>
      <c r="K1492" t="s">
        <v>95</v>
      </c>
      <c r="L1492" t="s">
        <v>117</v>
      </c>
      <c r="M1492" t="s">
        <v>106</v>
      </c>
      <c r="N1492" t="s">
        <v>114</v>
      </c>
      <c r="O1492" t="s">
        <v>116</v>
      </c>
    </row>
    <row r="1493" spans="1:15" x14ac:dyDescent="0.3">
      <c r="A1493" s="130">
        <v>7697</v>
      </c>
      <c r="B1493" s="130">
        <v>30</v>
      </c>
      <c r="C1493" s="130" t="s">
        <v>3117</v>
      </c>
      <c r="D1493">
        <v>12021</v>
      </c>
      <c r="E1493" s="130">
        <v>40834342</v>
      </c>
      <c r="F1493" t="s">
        <v>87</v>
      </c>
      <c r="G1493">
        <v>9135</v>
      </c>
      <c r="H1493" t="s">
        <v>8951</v>
      </c>
      <c r="I1493" s="130">
        <v>18</v>
      </c>
      <c r="J1493" t="s">
        <v>3117</v>
      </c>
      <c r="K1493" t="s">
        <v>95</v>
      </c>
      <c r="L1493" t="s">
        <v>123</v>
      </c>
      <c r="M1493" t="s">
        <v>103</v>
      </c>
      <c r="N1493" t="s">
        <v>98</v>
      </c>
      <c r="O1493" t="s">
        <v>1345</v>
      </c>
    </row>
    <row r="1494" spans="1:15" x14ac:dyDescent="0.3">
      <c r="A1494" s="130">
        <v>7699</v>
      </c>
      <c r="B1494" s="130">
        <v>90</v>
      </c>
      <c r="C1494" s="130" t="s">
        <v>3118</v>
      </c>
      <c r="D1494">
        <v>12024</v>
      </c>
      <c r="E1494" s="130">
        <v>655209</v>
      </c>
      <c r="F1494" t="s">
        <v>87</v>
      </c>
      <c r="G1494">
        <v>9135</v>
      </c>
      <c r="H1494" t="s">
        <v>8952</v>
      </c>
      <c r="I1494" s="130">
        <v>9</v>
      </c>
      <c r="J1494" t="s">
        <v>3118</v>
      </c>
      <c r="K1494" t="s">
        <v>95</v>
      </c>
      <c r="L1494" t="s">
        <v>163</v>
      </c>
      <c r="M1494" t="s">
        <v>170</v>
      </c>
      <c r="N1494" t="s">
        <v>118</v>
      </c>
      <c r="O1494" t="s">
        <v>116</v>
      </c>
    </row>
    <row r="1495" spans="1:15" x14ac:dyDescent="0.3">
      <c r="A1495" s="130">
        <v>7700</v>
      </c>
      <c r="B1495" s="130">
        <v>30</v>
      </c>
      <c r="C1495" s="130" t="s">
        <v>3119</v>
      </c>
      <c r="D1495">
        <v>12025</v>
      </c>
      <c r="E1495" s="130">
        <v>532740</v>
      </c>
      <c r="F1495" t="s">
        <v>87</v>
      </c>
      <c r="G1495">
        <v>9135</v>
      </c>
      <c r="H1495" t="s">
        <v>8953</v>
      </c>
      <c r="I1495" s="130">
        <v>10</v>
      </c>
      <c r="J1495" t="s">
        <v>3119</v>
      </c>
      <c r="K1495" t="s">
        <v>95</v>
      </c>
      <c r="L1495" t="s">
        <v>127</v>
      </c>
      <c r="M1495" t="s">
        <v>103</v>
      </c>
      <c r="N1495" t="s">
        <v>118</v>
      </c>
      <c r="O1495" t="s">
        <v>1345</v>
      </c>
    </row>
    <row r="1496" spans="1:15" x14ac:dyDescent="0.3">
      <c r="A1496" s="130">
        <v>7701</v>
      </c>
      <c r="B1496" s="130">
        <v>30</v>
      </c>
      <c r="C1496" s="130" t="s">
        <v>3120</v>
      </c>
      <c r="D1496">
        <v>12026</v>
      </c>
      <c r="E1496" s="131">
        <v>532740</v>
      </c>
      <c r="F1496" t="s">
        <v>87</v>
      </c>
      <c r="G1496">
        <v>9135</v>
      </c>
      <c r="H1496" t="s">
        <v>8951</v>
      </c>
      <c r="I1496" s="131">
        <v>10</v>
      </c>
      <c r="J1496" t="s">
        <v>3120</v>
      </c>
      <c r="K1496" t="s">
        <v>95</v>
      </c>
      <c r="L1496" t="s">
        <v>127</v>
      </c>
      <c r="M1496" t="s">
        <v>103</v>
      </c>
      <c r="N1496" t="s">
        <v>118</v>
      </c>
      <c r="O1496" t="s">
        <v>1345</v>
      </c>
    </row>
    <row r="1497" spans="1:15" x14ac:dyDescent="0.3">
      <c r="A1497" s="130">
        <v>7702</v>
      </c>
      <c r="B1497" s="130">
        <v>60</v>
      </c>
      <c r="C1497" s="130" t="s">
        <v>3121</v>
      </c>
      <c r="D1497">
        <v>12027</v>
      </c>
      <c r="E1497" s="130">
        <v>9625762</v>
      </c>
      <c r="F1497" t="s">
        <v>87</v>
      </c>
      <c r="G1497">
        <v>9135</v>
      </c>
      <c r="H1497" t="s">
        <v>8952</v>
      </c>
      <c r="I1497" s="130">
        <v>43</v>
      </c>
      <c r="J1497" t="s">
        <v>3121</v>
      </c>
      <c r="K1497" t="s">
        <v>95</v>
      </c>
      <c r="L1497" t="s">
        <v>1368</v>
      </c>
      <c r="M1497" t="s">
        <v>97</v>
      </c>
      <c r="N1497" t="s">
        <v>150</v>
      </c>
      <c r="O1497" t="s">
        <v>116</v>
      </c>
    </row>
    <row r="1498" spans="1:15" x14ac:dyDescent="0.3">
      <c r="A1498" s="130">
        <v>7706</v>
      </c>
      <c r="B1498" s="130">
        <v>60</v>
      </c>
      <c r="C1498" s="130" t="s">
        <v>3122</v>
      </c>
      <c r="D1498">
        <v>12033</v>
      </c>
      <c r="E1498" s="131">
        <v>27462720</v>
      </c>
      <c r="F1498" t="s">
        <v>87</v>
      </c>
      <c r="G1498">
        <v>358</v>
      </c>
      <c r="H1498" t="s">
        <v>8953</v>
      </c>
      <c r="I1498" s="130">
        <v>3</v>
      </c>
      <c r="J1498" t="s">
        <v>3122</v>
      </c>
      <c r="K1498" t="s">
        <v>95</v>
      </c>
      <c r="L1498" t="s">
        <v>109</v>
      </c>
      <c r="M1498" t="s">
        <v>97</v>
      </c>
      <c r="N1498" t="s">
        <v>98</v>
      </c>
      <c r="O1498" t="s">
        <v>116</v>
      </c>
    </row>
    <row r="1499" spans="1:15" x14ac:dyDescent="0.3">
      <c r="A1499" s="130">
        <v>7708</v>
      </c>
      <c r="B1499" s="130">
        <v>90</v>
      </c>
      <c r="C1499" s="130" t="s">
        <v>3123</v>
      </c>
      <c r="D1499">
        <v>12035</v>
      </c>
      <c r="E1499" s="130">
        <v>655209</v>
      </c>
      <c r="F1499" t="s">
        <v>87</v>
      </c>
      <c r="G1499">
        <v>9135</v>
      </c>
      <c r="H1499" t="s">
        <v>8951</v>
      </c>
      <c r="I1499" s="131">
        <v>9</v>
      </c>
      <c r="J1499" t="s">
        <v>3123</v>
      </c>
      <c r="K1499" t="s">
        <v>95</v>
      </c>
      <c r="L1499" t="s">
        <v>163</v>
      </c>
      <c r="M1499" t="s">
        <v>170</v>
      </c>
      <c r="N1499" t="s">
        <v>118</v>
      </c>
      <c r="O1499" t="s">
        <v>116</v>
      </c>
    </row>
    <row r="1500" spans="1:15" x14ac:dyDescent="0.3">
      <c r="A1500" s="130">
        <v>7717</v>
      </c>
      <c r="B1500" s="130">
        <v>90</v>
      </c>
      <c r="C1500" s="130" t="s">
        <v>3124</v>
      </c>
      <c r="D1500">
        <v>12051</v>
      </c>
      <c r="E1500" s="130">
        <v>655209</v>
      </c>
      <c r="F1500" t="s">
        <v>87</v>
      </c>
      <c r="G1500">
        <v>9135</v>
      </c>
      <c r="H1500" t="s">
        <v>8952</v>
      </c>
      <c r="I1500" s="130">
        <v>9</v>
      </c>
      <c r="J1500" t="s">
        <v>3124</v>
      </c>
      <c r="K1500" t="s">
        <v>95</v>
      </c>
      <c r="L1500" t="s">
        <v>163</v>
      </c>
      <c r="M1500" t="s">
        <v>170</v>
      </c>
      <c r="N1500" t="s">
        <v>118</v>
      </c>
      <c r="O1500" t="s">
        <v>116</v>
      </c>
    </row>
    <row r="1501" spans="1:15" x14ac:dyDescent="0.3">
      <c r="A1501" s="130">
        <v>7721</v>
      </c>
      <c r="B1501" s="130">
        <v>5</v>
      </c>
      <c r="C1501" s="130" t="s">
        <v>3125</v>
      </c>
      <c r="D1501">
        <v>12057</v>
      </c>
      <c r="E1501" s="130">
        <v>402552</v>
      </c>
      <c r="F1501" t="s">
        <v>87</v>
      </c>
      <c r="G1501">
        <v>77</v>
      </c>
      <c r="H1501" t="s">
        <v>8953</v>
      </c>
      <c r="I1501" s="131">
        <v>3</v>
      </c>
      <c r="J1501" t="s">
        <v>3125</v>
      </c>
      <c r="K1501" t="s">
        <v>108</v>
      </c>
      <c r="L1501" t="s">
        <v>117</v>
      </c>
      <c r="M1501" t="s">
        <v>129</v>
      </c>
      <c r="N1501" t="s">
        <v>131</v>
      </c>
      <c r="O1501" t="s">
        <v>1345</v>
      </c>
    </row>
    <row r="1502" spans="1:15" x14ac:dyDescent="0.3">
      <c r="A1502" s="130">
        <v>7757</v>
      </c>
      <c r="B1502" s="130">
        <v>10</v>
      </c>
      <c r="C1502" s="130" t="s">
        <v>3126</v>
      </c>
      <c r="D1502">
        <v>12107</v>
      </c>
      <c r="E1502" s="131">
        <v>8832667</v>
      </c>
      <c r="F1502" t="s">
        <v>87</v>
      </c>
      <c r="G1502">
        <v>358</v>
      </c>
      <c r="H1502" t="s">
        <v>8951</v>
      </c>
      <c r="I1502" s="131">
        <v>3</v>
      </c>
      <c r="J1502" t="s">
        <v>3126</v>
      </c>
      <c r="K1502" t="s">
        <v>108</v>
      </c>
      <c r="L1502" t="s">
        <v>109</v>
      </c>
      <c r="M1502" t="s">
        <v>133</v>
      </c>
      <c r="N1502" t="s">
        <v>98</v>
      </c>
      <c r="O1502" t="s">
        <v>1345</v>
      </c>
    </row>
    <row r="1503" spans="1:15" x14ac:dyDescent="0.3">
      <c r="A1503" s="130">
        <v>7780</v>
      </c>
      <c r="B1503" s="130" t="s">
        <v>213</v>
      </c>
      <c r="C1503" s="130" t="s">
        <v>3127</v>
      </c>
      <c r="D1503">
        <v>12134</v>
      </c>
      <c r="E1503" s="131">
        <v>14657562</v>
      </c>
      <c r="F1503" t="s">
        <v>87</v>
      </c>
      <c r="G1503">
        <v>9135</v>
      </c>
      <c r="H1503" t="s">
        <v>8952</v>
      </c>
      <c r="I1503" s="131">
        <v>10</v>
      </c>
      <c r="J1503" t="s">
        <v>3127</v>
      </c>
      <c r="K1503" t="s">
        <v>108</v>
      </c>
      <c r="L1503" t="s">
        <v>127</v>
      </c>
      <c r="M1503" t="s">
        <v>213</v>
      </c>
      <c r="N1503" t="s">
        <v>98</v>
      </c>
      <c r="O1503" t="s">
        <v>116</v>
      </c>
    </row>
    <row r="1504" spans="1:15" x14ac:dyDescent="0.3">
      <c r="A1504" s="130">
        <v>7782</v>
      </c>
      <c r="B1504" s="130">
        <v>18</v>
      </c>
      <c r="C1504" s="130" t="s">
        <v>3128</v>
      </c>
      <c r="D1504">
        <v>12137</v>
      </c>
      <c r="E1504" s="131">
        <v>5515245</v>
      </c>
      <c r="F1504" t="s">
        <v>87</v>
      </c>
      <c r="G1504">
        <v>9135</v>
      </c>
      <c r="H1504" t="s">
        <v>8953</v>
      </c>
      <c r="I1504" s="130">
        <v>18</v>
      </c>
      <c r="J1504" t="s">
        <v>3128</v>
      </c>
      <c r="K1504" t="s">
        <v>95</v>
      </c>
      <c r="L1504" t="s">
        <v>109</v>
      </c>
      <c r="M1504" t="s">
        <v>112</v>
      </c>
      <c r="N1504" t="s">
        <v>98</v>
      </c>
      <c r="O1504" t="s">
        <v>1345</v>
      </c>
    </row>
    <row r="1505" spans="1:15" x14ac:dyDescent="0.3">
      <c r="A1505" s="130">
        <v>7793</v>
      </c>
      <c r="B1505" s="130">
        <v>-1</v>
      </c>
      <c r="C1505" s="130" t="s">
        <v>3129</v>
      </c>
      <c r="D1505">
        <v>12149</v>
      </c>
      <c r="E1505" s="130">
        <v>7725521</v>
      </c>
      <c r="F1505" t="s">
        <v>87</v>
      </c>
      <c r="G1505">
        <v>9135</v>
      </c>
      <c r="H1505" t="s">
        <v>8951</v>
      </c>
      <c r="I1505" s="130">
        <v>9</v>
      </c>
      <c r="J1505" t="s">
        <v>3129</v>
      </c>
      <c r="K1505" t="s">
        <v>108</v>
      </c>
      <c r="L1505" t="s">
        <v>125</v>
      </c>
      <c r="M1505" t="s">
        <v>174</v>
      </c>
      <c r="N1505" t="s">
        <v>98</v>
      </c>
      <c r="O1505" t="s">
        <v>1345</v>
      </c>
    </row>
    <row r="1506" spans="1:15" x14ac:dyDescent="0.3">
      <c r="A1506" s="130">
        <v>7815</v>
      </c>
      <c r="B1506" s="130">
        <v>-1</v>
      </c>
      <c r="C1506" s="130" t="s">
        <v>3130</v>
      </c>
      <c r="D1506">
        <v>12181</v>
      </c>
      <c r="E1506" s="130">
        <v>34690885</v>
      </c>
      <c r="F1506" t="s">
        <v>87</v>
      </c>
      <c r="G1506">
        <v>9135</v>
      </c>
      <c r="H1506" t="s">
        <v>8952</v>
      </c>
      <c r="I1506" s="131">
        <v>3</v>
      </c>
      <c r="J1506" t="s">
        <v>3130</v>
      </c>
      <c r="K1506" t="s">
        <v>95</v>
      </c>
      <c r="L1506" t="s">
        <v>111</v>
      </c>
      <c r="M1506" t="s">
        <v>174</v>
      </c>
      <c r="N1506" t="s">
        <v>152</v>
      </c>
      <c r="O1506" t="s">
        <v>1345</v>
      </c>
    </row>
    <row r="1507" spans="1:15" x14ac:dyDescent="0.3">
      <c r="A1507" s="130">
        <v>7819</v>
      </c>
      <c r="B1507" s="130">
        <v>30</v>
      </c>
      <c r="C1507" s="130" t="s">
        <v>3131</v>
      </c>
      <c r="D1507">
        <v>12186</v>
      </c>
      <c r="E1507" s="131">
        <v>5515245</v>
      </c>
      <c r="F1507" t="s">
        <v>87</v>
      </c>
      <c r="G1507">
        <v>9135</v>
      </c>
      <c r="H1507" t="s">
        <v>8953</v>
      </c>
      <c r="I1507" s="131">
        <v>9</v>
      </c>
      <c r="J1507" t="s">
        <v>3131</v>
      </c>
      <c r="K1507" t="s">
        <v>95</v>
      </c>
      <c r="L1507" t="s">
        <v>125</v>
      </c>
      <c r="M1507" t="s">
        <v>103</v>
      </c>
      <c r="N1507" t="s">
        <v>98</v>
      </c>
      <c r="O1507" t="s">
        <v>1345</v>
      </c>
    </row>
    <row r="1508" spans="1:15" x14ac:dyDescent="0.3">
      <c r="A1508" s="130">
        <v>7820</v>
      </c>
      <c r="B1508" s="130">
        <v>30</v>
      </c>
      <c r="C1508" s="130" t="s">
        <v>3132</v>
      </c>
      <c r="D1508">
        <v>12187</v>
      </c>
      <c r="E1508" s="131">
        <v>17159856</v>
      </c>
      <c r="F1508" t="s">
        <v>87</v>
      </c>
      <c r="G1508">
        <v>9135</v>
      </c>
      <c r="H1508" t="s">
        <v>8951</v>
      </c>
      <c r="I1508" s="130">
        <v>3</v>
      </c>
      <c r="J1508" t="s">
        <v>3132</v>
      </c>
      <c r="K1508" t="s">
        <v>95</v>
      </c>
      <c r="L1508" t="s">
        <v>111</v>
      </c>
      <c r="M1508" t="s">
        <v>103</v>
      </c>
      <c r="N1508" t="s">
        <v>98</v>
      </c>
      <c r="O1508" t="s">
        <v>116</v>
      </c>
    </row>
    <row r="1509" spans="1:15" x14ac:dyDescent="0.3">
      <c r="A1509" s="130">
        <v>7824</v>
      </c>
      <c r="B1509" s="130">
        <v>28</v>
      </c>
      <c r="C1509" s="130" t="s">
        <v>3133</v>
      </c>
      <c r="D1509">
        <v>12193</v>
      </c>
      <c r="E1509" s="130">
        <v>35002488</v>
      </c>
      <c r="F1509" t="s">
        <v>87</v>
      </c>
      <c r="G1509">
        <v>9135</v>
      </c>
      <c r="H1509" t="s">
        <v>8952</v>
      </c>
      <c r="I1509" s="130">
        <v>37</v>
      </c>
      <c r="J1509" t="s">
        <v>3133</v>
      </c>
      <c r="K1509" t="s">
        <v>95</v>
      </c>
      <c r="L1509" t="s">
        <v>138</v>
      </c>
      <c r="M1509" t="s">
        <v>130</v>
      </c>
      <c r="N1509" t="s">
        <v>150</v>
      </c>
      <c r="O1509" t="s">
        <v>1345</v>
      </c>
    </row>
    <row r="1510" spans="1:15" x14ac:dyDescent="0.3">
      <c r="A1510" s="130">
        <v>7826</v>
      </c>
      <c r="B1510" s="130">
        <v>28</v>
      </c>
      <c r="C1510" s="130" t="s">
        <v>3134</v>
      </c>
      <c r="D1510">
        <v>12195</v>
      </c>
      <c r="E1510" s="130">
        <v>18185542</v>
      </c>
      <c r="F1510" t="s">
        <v>87</v>
      </c>
      <c r="G1510">
        <v>9135</v>
      </c>
      <c r="H1510" t="s">
        <v>8953</v>
      </c>
      <c r="I1510" s="130">
        <v>37</v>
      </c>
      <c r="J1510" t="s">
        <v>3134</v>
      </c>
      <c r="K1510" t="s">
        <v>95</v>
      </c>
      <c r="L1510" t="s">
        <v>138</v>
      </c>
      <c r="M1510" t="s">
        <v>130</v>
      </c>
      <c r="N1510" t="s">
        <v>150</v>
      </c>
      <c r="O1510" t="s">
        <v>1345</v>
      </c>
    </row>
    <row r="1511" spans="1:15" x14ac:dyDescent="0.3">
      <c r="A1511" s="130">
        <v>7835</v>
      </c>
      <c r="B1511" s="130">
        <v>30</v>
      </c>
      <c r="C1511" s="130" t="s">
        <v>3135</v>
      </c>
      <c r="D1511">
        <v>12206</v>
      </c>
      <c r="E1511" s="130">
        <v>7605563</v>
      </c>
      <c r="F1511" t="s">
        <v>87</v>
      </c>
      <c r="G1511">
        <v>77</v>
      </c>
      <c r="H1511" t="s">
        <v>8951</v>
      </c>
      <c r="I1511" s="131">
        <v>10</v>
      </c>
      <c r="J1511" t="s">
        <v>3135</v>
      </c>
      <c r="K1511" t="s">
        <v>95</v>
      </c>
      <c r="L1511" t="s">
        <v>256</v>
      </c>
      <c r="M1511" t="s">
        <v>103</v>
      </c>
      <c r="N1511" t="s">
        <v>118</v>
      </c>
      <c r="O1511" t="s">
        <v>116</v>
      </c>
    </row>
    <row r="1512" spans="1:15" x14ac:dyDescent="0.3">
      <c r="A1512" s="130">
        <v>7851</v>
      </c>
      <c r="B1512" s="130">
        <v>18</v>
      </c>
      <c r="C1512" s="130" t="s">
        <v>3136</v>
      </c>
      <c r="D1512">
        <v>12225</v>
      </c>
      <c r="E1512" s="130">
        <v>13405183</v>
      </c>
      <c r="F1512" t="s">
        <v>87</v>
      </c>
      <c r="G1512">
        <v>9135</v>
      </c>
      <c r="H1512" t="s">
        <v>8952</v>
      </c>
      <c r="I1512" s="130">
        <v>26</v>
      </c>
      <c r="J1512" t="s">
        <v>3136</v>
      </c>
      <c r="K1512" t="s">
        <v>108</v>
      </c>
      <c r="L1512" t="s">
        <v>151</v>
      </c>
      <c r="M1512" t="s">
        <v>112</v>
      </c>
      <c r="N1512" t="s">
        <v>98</v>
      </c>
      <c r="O1512" t="s">
        <v>1345</v>
      </c>
    </row>
    <row r="1513" spans="1:15" x14ac:dyDescent="0.3">
      <c r="A1513" s="130">
        <v>7852</v>
      </c>
      <c r="B1513" s="130">
        <v>18</v>
      </c>
      <c r="C1513" s="130" t="s">
        <v>3137</v>
      </c>
      <c r="D1513">
        <v>12231</v>
      </c>
      <c r="E1513" s="131">
        <v>15482315</v>
      </c>
      <c r="F1513" t="s">
        <v>87</v>
      </c>
      <c r="G1513">
        <v>9135</v>
      </c>
      <c r="H1513" t="s">
        <v>8953</v>
      </c>
      <c r="I1513" s="131">
        <v>10</v>
      </c>
      <c r="J1513" t="s">
        <v>3137</v>
      </c>
      <c r="K1513" t="s">
        <v>108</v>
      </c>
      <c r="L1513" t="s">
        <v>127</v>
      </c>
      <c r="M1513" t="s">
        <v>112</v>
      </c>
      <c r="N1513" t="s">
        <v>98</v>
      </c>
      <c r="O1513" t="s">
        <v>1345</v>
      </c>
    </row>
    <row r="1514" spans="1:15" x14ac:dyDescent="0.3">
      <c r="A1514" s="130">
        <v>7853</v>
      </c>
      <c r="B1514" s="130">
        <v>18</v>
      </c>
      <c r="C1514" s="130" t="s">
        <v>3138</v>
      </c>
      <c r="D1514">
        <v>12232</v>
      </c>
      <c r="E1514" s="130">
        <v>41435700</v>
      </c>
      <c r="F1514" t="s">
        <v>87</v>
      </c>
      <c r="G1514">
        <v>9135</v>
      </c>
      <c r="H1514" t="s">
        <v>8951</v>
      </c>
      <c r="I1514" s="130">
        <v>3</v>
      </c>
      <c r="J1514" t="s">
        <v>3138</v>
      </c>
      <c r="K1514" t="s">
        <v>95</v>
      </c>
      <c r="L1514" t="s">
        <v>111</v>
      </c>
      <c r="M1514" t="s">
        <v>112</v>
      </c>
      <c r="N1514" t="s">
        <v>98</v>
      </c>
      <c r="O1514" t="s">
        <v>116</v>
      </c>
    </row>
    <row r="1515" spans="1:15" x14ac:dyDescent="0.3">
      <c r="A1515" s="130">
        <v>7858</v>
      </c>
      <c r="B1515" s="130">
        <v>30</v>
      </c>
      <c r="C1515" s="130" t="s">
        <v>3139</v>
      </c>
      <c r="D1515">
        <v>12246</v>
      </c>
      <c r="E1515" s="130">
        <v>51466860</v>
      </c>
      <c r="F1515" t="s">
        <v>87</v>
      </c>
      <c r="G1515">
        <v>9135</v>
      </c>
      <c r="H1515" t="s">
        <v>8952</v>
      </c>
      <c r="I1515" s="131">
        <v>37</v>
      </c>
      <c r="J1515" t="s">
        <v>3139</v>
      </c>
      <c r="K1515" t="s">
        <v>95</v>
      </c>
      <c r="L1515" t="s">
        <v>144</v>
      </c>
      <c r="M1515" t="s">
        <v>103</v>
      </c>
      <c r="N1515" t="s">
        <v>114</v>
      </c>
      <c r="O1515" t="s">
        <v>116</v>
      </c>
    </row>
    <row r="1516" spans="1:15" x14ac:dyDescent="0.3">
      <c r="A1516" s="130">
        <v>7859</v>
      </c>
      <c r="B1516" s="130">
        <v>18</v>
      </c>
      <c r="C1516" s="130" t="s">
        <v>3140</v>
      </c>
      <c r="D1516">
        <v>12251</v>
      </c>
      <c r="E1516" s="130">
        <v>2120261</v>
      </c>
      <c r="F1516" t="s">
        <v>87</v>
      </c>
      <c r="G1516">
        <v>9135</v>
      </c>
      <c r="H1516" t="s">
        <v>8953</v>
      </c>
      <c r="I1516" s="130">
        <v>37</v>
      </c>
      <c r="J1516" t="s">
        <v>3140</v>
      </c>
      <c r="K1516" t="s">
        <v>95</v>
      </c>
      <c r="L1516" t="s">
        <v>144</v>
      </c>
      <c r="M1516" t="s">
        <v>112</v>
      </c>
      <c r="N1516" t="s">
        <v>98</v>
      </c>
      <c r="O1516" t="s">
        <v>1345</v>
      </c>
    </row>
    <row r="1517" spans="1:15" x14ac:dyDescent="0.3">
      <c r="A1517" s="130">
        <v>7861</v>
      </c>
      <c r="B1517" s="130">
        <v>20</v>
      </c>
      <c r="C1517" s="130" t="s">
        <v>3141</v>
      </c>
      <c r="D1517">
        <v>12253</v>
      </c>
      <c r="E1517" s="130">
        <v>237518</v>
      </c>
      <c r="F1517" t="s">
        <v>87</v>
      </c>
      <c r="G1517">
        <v>9135</v>
      </c>
      <c r="H1517" t="s">
        <v>8951</v>
      </c>
      <c r="I1517" s="130">
        <v>10</v>
      </c>
      <c r="J1517" t="s">
        <v>3141</v>
      </c>
      <c r="K1517" t="s">
        <v>95</v>
      </c>
      <c r="L1517" t="s">
        <v>96</v>
      </c>
      <c r="M1517" t="s">
        <v>148</v>
      </c>
      <c r="N1517" t="s">
        <v>98</v>
      </c>
      <c r="O1517" t="s">
        <v>1345</v>
      </c>
    </row>
    <row r="1518" spans="1:15" x14ac:dyDescent="0.3">
      <c r="A1518" s="130">
        <v>7862</v>
      </c>
      <c r="B1518" s="130">
        <v>18</v>
      </c>
      <c r="C1518" s="130" t="s">
        <v>3142</v>
      </c>
      <c r="D1518">
        <v>12255</v>
      </c>
      <c r="E1518" s="131">
        <v>237518</v>
      </c>
      <c r="F1518" t="s">
        <v>87</v>
      </c>
      <c r="G1518">
        <v>9135</v>
      </c>
      <c r="H1518" t="s">
        <v>8952</v>
      </c>
      <c r="I1518" s="130">
        <v>10</v>
      </c>
      <c r="J1518" t="s">
        <v>3142</v>
      </c>
      <c r="K1518" t="s">
        <v>95</v>
      </c>
      <c r="L1518" t="s">
        <v>96</v>
      </c>
      <c r="M1518" t="s">
        <v>112</v>
      </c>
      <c r="N1518" t="s">
        <v>98</v>
      </c>
      <c r="O1518" t="s">
        <v>1345</v>
      </c>
    </row>
    <row r="1519" spans="1:15" x14ac:dyDescent="0.3">
      <c r="A1519" s="130">
        <v>7883</v>
      </c>
      <c r="B1519" s="130">
        <v>30</v>
      </c>
      <c r="C1519" s="130" t="s">
        <v>3143</v>
      </c>
      <c r="D1519">
        <v>12296</v>
      </c>
      <c r="E1519" s="131">
        <v>83646547</v>
      </c>
      <c r="F1519" t="s">
        <v>87</v>
      </c>
      <c r="G1519">
        <v>358</v>
      </c>
      <c r="H1519" t="s">
        <v>8953</v>
      </c>
      <c r="I1519" s="130">
        <v>10</v>
      </c>
      <c r="J1519" t="s">
        <v>3143</v>
      </c>
      <c r="K1519" t="s">
        <v>95</v>
      </c>
      <c r="L1519" t="s">
        <v>105</v>
      </c>
      <c r="M1519" t="s">
        <v>103</v>
      </c>
      <c r="N1519" t="s">
        <v>98</v>
      </c>
      <c r="O1519" t="s">
        <v>1345</v>
      </c>
    </row>
    <row r="1520" spans="1:15" x14ac:dyDescent="0.3">
      <c r="A1520" s="130">
        <v>7885</v>
      </c>
      <c r="B1520" s="130">
        <v>18</v>
      </c>
      <c r="C1520" s="130" t="s">
        <v>3144</v>
      </c>
      <c r="D1520">
        <v>12291</v>
      </c>
      <c r="E1520" s="130">
        <v>13279768</v>
      </c>
      <c r="F1520" t="s">
        <v>87</v>
      </c>
      <c r="G1520">
        <v>9135</v>
      </c>
      <c r="H1520" t="s">
        <v>8951</v>
      </c>
      <c r="I1520" s="130">
        <v>10</v>
      </c>
      <c r="J1520" t="s">
        <v>3144</v>
      </c>
      <c r="K1520" t="s">
        <v>108</v>
      </c>
      <c r="L1520" t="s">
        <v>127</v>
      </c>
      <c r="M1520" t="s">
        <v>112</v>
      </c>
      <c r="N1520" t="s">
        <v>131</v>
      </c>
      <c r="O1520" t="s">
        <v>1345</v>
      </c>
    </row>
    <row r="1521" spans="1:15" x14ac:dyDescent="0.3">
      <c r="A1521" s="130">
        <v>7890</v>
      </c>
      <c r="B1521" s="130">
        <v>30</v>
      </c>
      <c r="C1521" s="130" t="s">
        <v>3145</v>
      </c>
      <c r="D1521">
        <v>12304</v>
      </c>
      <c r="E1521" s="131">
        <v>48785828</v>
      </c>
      <c r="F1521" t="s">
        <v>87</v>
      </c>
      <c r="G1521">
        <v>9135</v>
      </c>
      <c r="H1521" t="s">
        <v>8952</v>
      </c>
      <c r="I1521" s="130">
        <v>9</v>
      </c>
      <c r="J1521" t="s">
        <v>3145</v>
      </c>
      <c r="K1521" t="s">
        <v>95</v>
      </c>
      <c r="L1521" t="s">
        <v>163</v>
      </c>
      <c r="M1521" t="s">
        <v>103</v>
      </c>
      <c r="N1521" t="s">
        <v>98</v>
      </c>
      <c r="O1521" t="s">
        <v>116</v>
      </c>
    </row>
    <row r="1522" spans="1:15" x14ac:dyDescent="0.3">
      <c r="A1522" s="130">
        <v>7898</v>
      </c>
      <c r="B1522" s="130" t="s">
        <v>156</v>
      </c>
      <c r="C1522" s="130" t="s">
        <v>3146</v>
      </c>
      <c r="D1522">
        <v>12313</v>
      </c>
      <c r="E1522" s="130">
        <v>7336695</v>
      </c>
      <c r="F1522" t="s">
        <v>87</v>
      </c>
      <c r="G1522">
        <v>9135</v>
      </c>
      <c r="H1522" t="s">
        <v>8953</v>
      </c>
      <c r="I1522" s="131">
        <v>10</v>
      </c>
      <c r="J1522" t="s">
        <v>3146</v>
      </c>
      <c r="K1522" t="s">
        <v>95</v>
      </c>
      <c r="L1522" t="s">
        <v>127</v>
      </c>
      <c r="M1522" t="s">
        <v>156</v>
      </c>
      <c r="N1522" t="s">
        <v>141</v>
      </c>
      <c r="O1522" t="s">
        <v>1345</v>
      </c>
    </row>
    <row r="1523" spans="1:15" x14ac:dyDescent="0.3">
      <c r="A1523" s="130">
        <v>7909</v>
      </c>
      <c r="B1523" s="130">
        <v>18</v>
      </c>
      <c r="C1523" s="130" t="s">
        <v>3147</v>
      </c>
      <c r="D1523">
        <v>12326</v>
      </c>
      <c r="E1523" s="130">
        <v>2577145</v>
      </c>
      <c r="F1523" t="s">
        <v>87</v>
      </c>
      <c r="G1523">
        <v>9135</v>
      </c>
      <c r="H1523" t="s">
        <v>8951</v>
      </c>
      <c r="I1523" s="130">
        <v>10</v>
      </c>
      <c r="J1523" t="s">
        <v>3147</v>
      </c>
      <c r="K1523" t="s">
        <v>108</v>
      </c>
      <c r="L1523" t="s">
        <v>127</v>
      </c>
      <c r="M1523" t="s">
        <v>112</v>
      </c>
      <c r="N1523" t="s">
        <v>98</v>
      </c>
      <c r="O1523" t="s">
        <v>1345</v>
      </c>
    </row>
    <row r="1524" spans="1:15" x14ac:dyDescent="0.3">
      <c r="A1524" s="130">
        <v>7910</v>
      </c>
      <c r="B1524" s="130">
        <v>21</v>
      </c>
      <c r="C1524" s="130" t="s">
        <v>3148</v>
      </c>
      <c r="D1524">
        <v>12331</v>
      </c>
      <c r="E1524" s="130">
        <v>60863404</v>
      </c>
      <c r="F1524" t="s">
        <v>87</v>
      </c>
      <c r="G1524">
        <v>9135</v>
      </c>
      <c r="H1524" t="s">
        <v>8952</v>
      </c>
      <c r="I1524" s="130">
        <v>3</v>
      </c>
      <c r="J1524" t="s">
        <v>3148</v>
      </c>
      <c r="K1524" t="s">
        <v>108</v>
      </c>
      <c r="L1524" t="s">
        <v>111</v>
      </c>
      <c r="M1524" t="s">
        <v>137</v>
      </c>
      <c r="N1524" t="s">
        <v>98</v>
      </c>
      <c r="O1524" t="s">
        <v>1345</v>
      </c>
    </row>
    <row r="1525" spans="1:15" x14ac:dyDescent="0.3">
      <c r="A1525" s="130">
        <v>7913</v>
      </c>
      <c r="B1525" s="130">
        <v>10</v>
      </c>
      <c r="C1525" s="130" t="s">
        <v>3149</v>
      </c>
      <c r="D1525">
        <v>12336</v>
      </c>
      <c r="E1525" s="131">
        <v>59225698</v>
      </c>
      <c r="F1525" t="s">
        <v>87</v>
      </c>
      <c r="G1525">
        <v>358</v>
      </c>
      <c r="H1525" t="s">
        <v>8953</v>
      </c>
      <c r="I1525" s="130">
        <v>3</v>
      </c>
      <c r="J1525" t="s">
        <v>3149</v>
      </c>
      <c r="K1525" t="s">
        <v>95</v>
      </c>
      <c r="L1525" t="s">
        <v>109</v>
      </c>
      <c r="M1525" t="s">
        <v>133</v>
      </c>
      <c r="N1525" t="s">
        <v>98</v>
      </c>
      <c r="O1525" t="s">
        <v>1345</v>
      </c>
    </row>
    <row r="1526" spans="1:15" x14ac:dyDescent="0.3">
      <c r="A1526" s="130">
        <v>7929</v>
      </c>
      <c r="B1526" s="130">
        <v>90</v>
      </c>
      <c r="C1526" s="130" t="s">
        <v>3150</v>
      </c>
      <c r="D1526">
        <v>12359</v>
      </c>
      <c r="E1526" s="130">
        <v>655209</v>
      </c>
      <c r="F1526" t="s">
        <v>87</v>
      </c>
      <c r="G1526">
        <v>9135</v>
      </c>
      <c r="H1526" t="s">
        <v>8951</v>
      </c>
      <c r="I1526" s="130">
        <v>9</v>
      </c>
      <c r="J1526" t="s">
        <v>3150</v>
      </c>
      <c r="K1526" t="s">
        <v>95</v>
      </c>
      <c r="L1526" t="s">
        <v>163</v>
      </c>
      <c r="M1526" t="s">
        <v>170</v>
      </c>
      <c r="N1526" t="s">
        <v>118</v>
      </c>
      <c r="O1526" t="s">
        <v>116</v>
      </c>
    </row>
    <row r="1527" spans="1:15" x14ac:dyDescent="0.3">
      <c r="A1527" s="130">
        <v>7930</v>
      </c>
      <c r="B1527" s="130">
        <v>90</v>
      </c>
      <c r="C1527" s="130" t="s">
        <v>3151</v>
      </c>
      <c r="D1527">
        <v>12364</v>
      </c>
      <c r="E1527" s="130">
        <v>655209</v>
      </c>
      <c r="F1527" t="s">
        <v>87</v>
      </c>
      <c r="G1527">
        <v>9135</v>
      </c>
      <c r="H1527" t="s">
        <v>8952</v>
      </c>
      <c r="I1527" s="130">
        <v>9</v>
      </c>
      <c r="J1527" t="s">
        <v>3151</v>
      </c>
      <c r="K1527" t="s">
        <v>95</v>
      </c>
      <c r="L1527" t="s">
        <v>181</v>
      </c>
      <c r="M1527" t="s">
        <v>170</v>
      </c>
      <c r="N1527" t="s">
        <v>118</v>
      </c>
      <c r="O1527" t="s">
        <v>116</v>
      </c>
    </row>
    <row r="1528" spans="1:15" x14ac:dyDescent="0.3">
      <c r="A1528" s="130">
        <v>7935</v>
      </c>
      <c r="B1528" s="130">
        <v>30</v>
      </c>
      <c r="C1528" s="130" t="s">
        <v>3152</v>
      </c>
      <c r="D1528">
        <v>12373</v>
      </c>
      <c r="E1528" s="130">
        <v>36178464</v>
      </c>
      <c r="F1528" t="s">
        <v>87</v>
      </c>
      <c r="G1528">
        <v>9135</v>
      </c>
      <c r="H1528" t="s">
        <v>8953</v>
      </c>
      <c r="I1528" s="130">
        <v>37</v>
      </c>
      <c r="J1528" t="s">
        <v>3152</v>
      </c>
      <c r="K1528" t="s">
        <v>95</v>
      </c>
      <c r="L1528" t="s">
        <v>138</v>
      </c>
      <c r="M1528" t="s">
        <v>103</v>
      </c>
      <c r="N1528" t="s">
        <v>150</v>
      </c>
      <c r="O1528" t="s">
        <v>1345</v>
      </c>
    </row>
    <row r="1529" spans="1:15" x14ac:dyDescent="0.3">
      <c r="A1529" s="130">
        <v>7938</v>
      </c>
      <c r="B1529" s="130">
        <v>30</v>
      </c>
      <c r="C1529" s="130" t="s">
        <v>3153</v>
      </c>
      <c r="D1529">
        <v>12375</v>
      </c>
      <c r="E1529" s="131">
        <v>7954091</v>
      </c>
      <c r="F1529" t="s">
        <v>87</v>
      </c>
      <c r="G1529">
        <v>358</v>
      </c>
      <c r="H1529" t="s">
        <v>8951</v>
      </c>
      <c r="I1529" s="130">
        <v>3</v>
      </c>
      <c r="J1529" t="s">
        <v>3153</v>
      </c>
      <c r="K1529" t="s">
        <v>95</v>
      </c>
      <c r="L1529" t="s">
        <v>105</v>
      </c>
      <c r="M1529" t="s">
        <v>103</v>
      </c>
      <c r="N1529" t="s">
        <v>98</v>
      </c>
      <c r="O1529" t="s">
        <v>1345</v>
      </c>
    </row>
    <row r="1530" spans="1:15" x14ac:dyDescent="0.3">
      <c r="A1530" s="130">
        <v>7942</v>
      </c>
      <c r="B1530" s="130">
        <v>18</v>
      </c>
      <c r="C1530" s="130" t="s">
        <v>3154</v>
      </c>
      <c r="D1530">
        <v>12384</v>
      </c>
      <c r="E1530" s="130">
        <v>76519974</v>
      </c>
      <c r="F1530" t="s">
        <v>87</v>
      </c>
      <c r="G1530">
        <v>9135</v>
      </c>
      <c r="H1530" t="s">
        <v>8952</v>
      </c>
      <c r="I1530" s="130">
        <v>10</v>
      </c>
      <c r="J1530" t="s">
        <v>3154</v>
      </c>
      <c r="K1530" t="s">
        <v>95</v>
      </c>
      <c r="L1530" t="s">
        <v>105</v>
      </c>
      <c r="M1530" t="s">
        <v>112</v>
      </c>
      <c r="N1530" t="s">
        <v>98</v>
      </c>
      <c r="O1530" t="s">
        <v>1345</v>
      </c>
    </row>
    <row r="1531" spans="1:15" x14ac:dyDescent="0.3">
      <c r="A1531" s="130">
        <v>7946</v>
      </c>
      <c r="B1531" s="130">
        <v>60</v>
      </c>
      <c r="C1531" s="130" t="s">
        <v>3155</v>
      </c>
      <c r="D1531">
        <v>12372</v>
      </c>
      <c r="E1531" s="130">
        <v>60894730</v>
      </c>
      <c r="F1531" t="s">
        <v>87</v>
      </c>
      <c r="G1531">
        <v>9135</v>
      </c>
      <c r="H1531" t="s">
        <v>8953</v>
      </c>
      <c r="I1531" s="131">
        <v>3</v>
      </c>
      <c r="J1531" t="s">
        <v>3155</v>
      </c>
      <c r="K1531" t="s">
        <v>95</v>
      </c>
      <c r="L1531" t="s">
        <v>120</v>
      </c>
      <c r="M1531" t="s">
        <v>97</v>
      </c>
      <c r="N1531" t="s">
        <v>104</v>
      </c>
      <c r="O1531" t="s">
        <v>1345</v>
      </c>
    </row>
    <row r="1532" spans="1:15" x14ac:dyDescent="0.3">
      <c r="A1532" s="130">
        <v>7957</v>
      </c>
      <c r="B1532" s="130">
        <v>28</v>
      </c>
      <c r="C1532" s="130" t="s">
        <v>3156</v>
      </c>
      <c r="D1532">
        <v>1</v>
      </c>
      <c r="E1532" s="130">
        <v>2012862</v>
      </c>
      <c r="F1532" t="s">
        <v>87</v>
      </c>
      <c r="G1532">
        <v>358</v>
      </c>
      <c r="H1532" t="s">
        <v>8951</v>
      </c>
      <c r="I1532" s="131">
        <v>5</v>
      </c>
      <c r="J1532" t="s">
        <v>3156</v>
      </c>
      <c r="K1532" t="s">
        <v>108</v>
      </c>
      <c r="L1532" t="s">
        <v>127</v>
      </c>
      <c r="M1532" t="s">
        <v>130</v>
      </c>
      <c r="N1532" t="s">
        <v>122</v>
      </c>
      <c r="O1532" t="s">
        <v>116</v>
      </c>
    </row>
    <row r="1533" spans="1:15" x14ac:dyDescent="0.3">
      <c r="A1533" s="130">
        <v>7963</v>
      </c>
      <c r="B1533" s="130">
        <v>30</v>
      </c>
      <c r="C1533" s="130" t="s">
        <v>3157</v>
      </c>
      <c r="D1533">
        <v>12407</v>
      </c>
      <c r="E1533" s="130">
        <v>10670301</v>
      </c>
      <c r="F1533" t="s">
        <v>87</v>
      </c>
      <c r="G1533">
        <v>9135</v>
      </c>
      <c r="H1533" t="s">
        <v>8952</v>
      </c>
      <c r="I1533" s="130">
        <v>19</v>
      </c>
      <c r="J1533" t="s">
        <v>3157</v>
      </c>
      <c r="K1533" t="s">
        <v>108</v>
      </c>
      <c r="L1533" t="s">
        <v>146</v>
      </c>
      <c r="M1533" t="s">
        <v>103</v>
      </c>
      <c r="N1533" t="s">
        <v>114</v>
      </c>
      <c r="O1533" t="s">
        <v>1345</v>
      </c>
    </row>
    <row r="1534" spans="1:15" x14ac:dyDescent="0.3">
      <c r="A1534" s="130">
        <v>7968</v>
      </c>
      <c r="B1534" s="130">
        <v>30</v>
      </c>
      <c r="C1534" s="130" t="s">
        <v>3158</v>
      </c>
      <c r="D1534">
        <v>12411</v>
      </c>
      <c r="E1534" s="130">
        <v>35048514</v>
      </c>
      <c r="F1534" t="s">
        <v>87</v>
      </c>
      <c r="G1534">
        <v>9135</v>
      </c>
      <c r="H1534" t="s">
        <v>8953</v>
      </c>
      <c r="I1534" s="130">
        <v>19</v>
      </c>
      <c r="J1534" t="s">
        <v>3158</v>
      </c>
      <c r="K1534" t="s">
        <v>108</v>
      </c>
      <c r="L1534" t="s">
        <v>146</v>
      </c>
      <c r="M1534" t="s">
        <v>103</v>
      </c>
      <c r="N1534" t="s">
        <v>98</v>
      </c>
      <c r="O1534" t="s">
        <v>1345</v>
      </c>
    </row>
    <row r="1535" spans="1:15" x14ac:dyDescent="0.3">
      <c r="A1535" s="130">
        <v>7969</v>
      </c>
      <c r="B1535" s="130">
        <v>0</v>
      </c>
      <c r="C1535" s="130" t="s">
        <v>3159</v>
      </c>
      <c r="D1535">
        <v>12413</v>
      </c>
      <c r="E1535" s="130">
        <v>29152196</v>
      </c>
      <c r="F1535" t="s">
        <v>87</v>
      </c>
      <c r="G1535">
        <v>9135</v>
      </c>
      <c r="H1535" t="s">
        <v>8951</v>
      </c>
      <c r="I1535" s="131">
        <v>26</v>
      </c>
      <c r="J1535" t="s">
        <v>3159</v>
      </c>
      <c r="K1535" t="s">
        <v>108</v>
      </c>
      <c r="L1535" t="s">
        <v>151</v>
      </c>
      <c r="M1535" t="s">
        <v>100</v>
      </c>
      <c r="N1535" t="s">
        <v>98</v>
      </c>
      <c r="O1535" t="s">
        <v>116</v>
      </c>
    </row>
    <row r="1536" spans="1:15" x14ac:dyDescent="0.3">
      <c r="A1536" s="130">
        <v>7974</v>
      </c>
      <c r="B1536" s="130">
        <v>30</v>
      </c>
      <c r="C1536" s="130" t="s">
        <v>3160</v>
      </c>
      <c r="D1536">
        <v>12421</v>
      </c>
      <c r="E1536" s="130">
        <v>65120057</v>
      </c>
      <c r="F1536" t="s">
        <v>87</v>
      </c>
      <c r="G1536">
        <v>9135</v>
      </c>
      <c r="H1536" t="s">
        <v>8952</v>
      </c>
      <c r="I1536" s="130">
        <v>10</v>
      </c>
      <c r="J1536" t="s">
        <v>3160</v>
      </c>
      <c r="K1536" t="s">
        <v>95</v>
      </c>
      <c r="L1536" t="s">
        <v>127</v>
      </c>
      <c r="M1536" t="s">
        <v>103</v>
      </c>
      <c r="N1536" t="s">
        <v>118</v>
      </c>
      <c r="O1536" t="s">
        <v>1345</v>
      </c>
    </row>
    <row r="1537" spans="1:15" x14ac:dyDescent="0.3">
      <c r="A1537" s="130">
        <v>7989</v>
      </c>
      <c r="B1537" s="130">
        <v>30</v>
      </c>
      <c r="C1537" s="130" t="s">
        <v>3161</v>
      </c>
      <c r="D1537">
        <v>12441</v>
      </c>
      <c r="E1537" s="131">
        <v>83646547</v>
      </c>
      <c r="F1537" t="s">
        <v>87</v>
      </c>
      <c r="G1537">
        <v>358</v>
      </c>
      <c r="H1537" t="s">
        <v>8953</v>
      </c>
      <c r="I1537" s="131">
        <v>10</v>
      </c>
      <c r="J1537" t="s">
        <v>3161</v>
      </c>
      <c r="K1537" t="s">
        <v>95</v>
      </c>
      <c r="L1537" t="s">
        <v>105</v>
      </c>
      <c r="M1537" t="s">
        <v>103</v>
      </c>
      <c r="N1537" t="s">
        <v>98</v>
      </c>
      <c r="O1537" t="s">
        <v>1345</v>
      </c>
    </row>
    <row r="1538" spans="1:15" x14ac:dyDescent="0.3">
      <c r="A1538" s="130">
        <v>7990</v>
      </c>
      <c r="B1538" s="130">
        <v>30</v>
      </c>
      <c r="C1538" s="130" t="s">
        <v>3162</v>
      </c>
      <c r="D1538">
        <v>12442</v>
      </c>
      <c r="E1538" s="130">
        <v>8684547</v>
      </c>
      <c r="F1538" t="s">
        <v>87</v>
      </c>
      <c r="G1538">
        <v>77</v>
      </c>
      <c r="H1538" t="s">
        <v>8951</v>
      </c>
      <c r="I1538" s="131">
        <v>3</v>
      </c>
      <c r="J1538" t="s">
        <v>3162</v>
      </c>
      <c r="K1538" t="s">
        <v>108</v>
      </c>
      <c r="L1538" t="s">
        <v>117</v>
      </c>
      <c r="M1538" t="s">
        <v>103</v>
      </c>
      <c r="N1538" t="s">
        <v>104</v>
      </c>
      <c r="O1538" t="s">
        <v>1345</v>
      </c>
    </row>
    <row r="1539" spans="1:15" x14ac:dyDescent="0.3">
      <c r="A1539" s="130">
        <v>7992</v>
      </c>
      <c r="B1539" s="130">
        <v>30</v>
      </c>
      <c r="C1539" s="130" t="s">
        <v>3163</v>
      </c>
      <c r="D1539">
        <v>12443</v>
      </c>
      <c r="E1539" s="130">
        <v>39935330</v>
      </c>
      <c r="F1539" t="s">
        <v>87</v>
      </c>
      <c r="G1539">
        <v>358</v>
      </c>
      <c r="H1539" t="s">
        <v>8952</v>
      </c>
      <c r="I1539" s="130">
        <v>10</v>
      </c>
      <c r="J1539" t="s">
        <v>3163</v>
      </c>
      <c r="K1539" t="s">
        <v>108</v>
      </c>
      <c r="L1539" t="s">
        <v>105</v>
      </c>
      <c r="M1539" t="s">
        <v>103</v>
      </c>
      <c r="N1539" t="s">
        <v>98</v>
      </c>
      <c r="O1539" t="s">
        <v>116</v>
      </c>
    </row>
    <row r="1540" spans="1:15" x14ac:dyDescent="0.3">
      <c r="A1540" s="130">
        <v>8003</v>
      </c>
      <c r="B1540" s="130">
        <v>60</v>
      </c>
      <c r="C1540" s="130" t="s">
        <v>3164</v>
      </c>
      <c r="D1540">
        <v>12461</v>
      </c>
      <c r="E1540" s="130">
        <v>17162983</v>
      </c>
      <c r="F1540" t="s">
        <v>87</v>
      </c>
      <c r="G1540">
        <v>9135</v>
      </c>
      <c r="H1540" t="s">
        <v>8953</v>
      </c>
      <c r="I1540" s="130">
        <v>3</v>
      </c>
      <c r="J1540" t="s">
        <v>3164</v>
      </c>
      <c r="K1540" t="s">
        <v>95</v>
      </c>
      <c r="L1540" t="s">
        <v>96</v>
      </c>
      <c r="M1540" t="s">
        <v>97</v>
      </c>
      <c r="N1540" t="s">
        <v>98</v>
      </c>
      <c r="O1540" t="s">
        <v>1345</v>
      </c>
    </row>
    <row r="1541" spans="1:15" x14ac:dyDescent="0.3">
      <c r="A1541" s="130">
        <v>8004</v>
      </c>
      <c r="B1541" s="130">
        <v>90</v>
      </c>
      <c r="C1541" s="130" t="s">
        <v>3165</v>
      </c>
      <c r="D1541">
        <v>12462</v>
      </c>
      <c r="E1541" s="130">
        <v>655209</v>
      </c>
      <c r="F1541" t="s">
        <v>87</v>
      </c>
      <c r="G1541">
        <v>9135</v>
      </c>
      <c r="H1541" t="s">
        <v>8951</v>
      </c>
      <c r="I1541" s="130">
        <v>9</v>
      </c>
      <c r="J1541" t="s">
        <v>3165</v>
      </c>
      <c r="K1541" t="s">
        <v>95</v>
      </c>
      <c r="L1541" t="s">
        <v>125</v>
      </c>
      <c r="M1541" t="s">
        <v>170</v>
      </c>
      <c r="N1541" t="s">
        <v>118</v>
      </c>
      <c r="O1541" t="s">
        <v>1345</v>
      </c>
    </row>
    <row r="1542" spans="1:15" x14ac:dyDescent="0.3">
      <c r="A1542" s="130">
        <v>8015</v>
      </c>
      <c r="B1542" s="130">
        <v>-1</v>
      </c>
      <c r="C1542" s="130" t="s">
        <v>3166</v>
      </c>
      <c r="D1542">
        <v>12479</v>
      </c>
      <c r="E1542" s="130">
        <v>26365752</v>
      </c>
      <c r="F1542" t="s">
        <v>87</v>
      </c>
      <c r="G1542">
        <v>358</v>
      </c>
      <c r="H1542" t="s">
        <v>8952</v>
      </c>
      <c r="I1542" s="131">
        <v>3</v>
      </c>
      <c r="J1542" t="s">
        <v>3166</v>
      </c>
      <c r="K1542" t="s">
        <v>108</v>
      </c>
      <c r="L1542" t="s">
        <v>109</v>
      </c>
      <c r="M1542" t="s">
        <v>174</v>
      </c>
      <c r="N1542" t="s">
        <v>152</v>
      </c>
      <c r="O1542" t="s">
        <v>1345</v>
      </c>
    </row>
    <row r="1543" spans="1:15" x14ac:dyDescent="0.3">
      <c r="A1543" s="130">
        <v>8017</v>
      </c>
      <c r="B1543" s="130">
        <v>30</v>
      </c>
      <c r="C1543" s="130" t="s">
        <v>3167</v>
      </c>
      <c r="D1543">
        <v>12483</v>
      </c>
      <c r="E1543" s="130">
        <v>1600200</v>
      </c>
      <c r="F1543" t="s">
        <v>87</v>
      </c>
      <c r="G1543">
        <v>9135</v>
      </c>
      <c r="H1543" t="s">
        <v>8953</v>
      </c>
      <c r="I1543" s="131">
        <v>9</v>
      </c>
      <c r="J1543" t="s">
        <v>3167</v>
      </c>
      <c r="K1543" t="s">
        <v>108</v>
      </c>
      <c r="L1543" t="s">
        <v>163</v>
      </c>
      <c r="M1543" t="s">
        <v>103</v>
      </c>
      <c r="N1543" t="s">
        <v>132</v>
      </c>
      <c r="O1543" t="s">
        <v>116</v>
      </c>
    </row>
    <row r="1544" spans="1:15" x14ac:dyDescent="0.3">
      <c r="A1544" s="130">
        <v>8022</v>
      </c>
      <c r="B1544" s="130">
        <v>30</v>
      </c>
      <c r="C1544" s="130" t="s">
        <v>3168</v>
      </c>
      <c r="D1544">
        <v>12487</v>
      </c>
      <c r="E1544" s="130">
        <v>17159856</v>
      </c>
      <c r="F1544" t="s">
        <v>87</v>
      </c>
      <c r="G1544">
        <v>9135</v>
      </c>
      <c r="H1544" t="s">
        <v>8951</v>
      </c>
      <c r="I1544" s="130">
        <v>3</v>
      </c>
      <c r="J1544" t="s">
        <v>3168</v>
      </c>
      <c r="K1544" t="s">
        <v>95</v>
      </c>
      <c r="L1544" t="s">
        <v>111</v>
      </c>
      <c r="M1544" t="s">
        <v>103</v>
      </c>
      <c r="N1544" t="s">
        <v>98</v>
      </c>
      <c r="O1544" t="s">
        <v>1345</v>
      </c>
    </row>
    <row r="1545" spans="1:15" x14ac:dyDescent="0.3">
      <c r="A1545" s="130">
        <v>8031</v>
      </c>
      <c r="B1545" s="130">
        <v>-1</v>
      </c>
      <c r="C1545" s="130" t="s">
        <v>3169</v>
      </c>
      <c r="D1545">
        <v>12507</v>
      </c>
      <c r="E1545" s="130">
        <v>94203156653</v>
      </c>
      <c r="F1545" t="s">
        <v>87</v>
      </c>
      <c r="G1545">
        <v>9135</v>
      </c>
      <c r="H1545" t="s">
        <v>8952</v>
      </c>
      <c r="I1545" s="131">
        <v>3</v>
      </c>
      <c r="J1545" t="s">
        <v>3169</v>
      </c>
      <c r="K1545" t="s">
        <v>108</v>
      </c>
      <c r="L1545" t="s">
        <v>109</v>
      </c>
      <c r="M1545" t="s">
        <v>174</v>
      </c>
      <c r="N1545" t="s">
        <v>110</v>
      </c>
      <c r="O1545" t="s">
        <v>1345</v>
      </c>
    </row>
    <row r="1546" spans="1:15" x14ac:dyDescent="0.3">
      <c r="A1546" s="130">
        <v>8044</v>
      </c>
      <c r="B1546" s="130">
        <v>15</v>
      </c>
      <c r="C1546" s="130" t="s">
        <v>3170</v>
      </c>
      <c r="D1546">
        <v>12523</v>
      </c>
      <c r="E1546" s="130">
        <v>37408561</v>
      </c>
      <c r="F1546" t="s">
        <v>87</v>
      </c>
      <c r="G1546">
        <v>9135</v>
      </c>
      <c r="H1546" t="s">
        <v>8953</v>
      </c>
      <c r="I1546" s="131">
        <v>24</v>
      </c>
      <c r="J1546" t="s">
        <v>3170</v>
      </c>
      <c r="K1546" t="s">
        <v>108</v>
      </c>
      <c r="L1546" t="s">
        <v>191</v>
      </c>
      <c r="M1546" t="s">
        <v>145</v>
      </c>
      <c r="N1546" t="s">
        <v>107</v>
      </c>
      <c r="O1546" t="s">
        <v>1345</v>
      </c>
    </row>
    <row r="1547" spans="1:15" x14ac:dyDescent="0.3">
      <c r="A1547" s="130">
        <v>8048</v>
      </c>
      <c r="B1547" s="130">
        <v>90</v>
      </c>
      <c r="C1547" s="130" t="s">
        <v>3171</v>
      </c>
      <c r="D1547">
        <v>12529</v>
      </c>
      <c r="E1547" s="131">
        <v>655209</v>
      </c>
      <c r="F1547" t="s">
        <v>87</v>
      </c>
      <c r="G1547">
        <v>9135</v>
      </c>
      <c r="H1547" t="s">
        <v>8951</v>
      </c>
      <c r="I1547" s="131">
        <v>9</v>
      </c>
      <c r="J1547" t="s">
        <v>3171</v>
      </c>
      <c r="K1547" t="s">
        <v>95</v>
      </c>
      <c r="L1547" t="s">
        <v>163</v>
      </c>
      <c r="M1547" t="s">
        <v>170</v>
      </c>
      <c r="N1547" t="s">
        <v>118</v>
      </c>
      <c r="O1547" t="s">
        <v>116</v>
      </c>
    </row>
    <row r="1548" spans="1:15" x14ac:dyDescent="0.3">
      <c r="A1548" s="130">
        <v>8051</v>
      </c>
      <c r="B1548" s="130">
        <v>30</v>
      </c>
      <c r="C1548" s="130" t="s">
        <v>3172</v>
      </c>
      <c r="D1548">
        <v>12534</v>
      </c>
      <c r="E1548" s="130">
        <v>3092799</v>
      </c>
      <c r="F1548" t="s">
        <v>87</v>
      </c>
      <c r="G1548">
        <v>9135</v>
      </c>
      <c r="H1548" t="s">
        <v>8952</v>
      </c>
      <c r="I1548" s="130">
        <v>19</v>
      </c>
      <c r="J1548" t="s">
        <v>3172</v>
      </c>
      <c r="K1548" t="s">
        <v>95</v>
      </c>
      <c r="L1548" t="s">
        <v>146</v>
      </c>
      <c r="M1548" t="s">
        <v>103</v>
      </c>
      <c r="N1548" t="s">
        <v>124</v>
      </c>
      <c r="O1548" t="s">
        <v>1345</v>
      </c>
    </row>
    <row r="1549" spans="1:15" x14ac:dyDescent="0.3">
      <c r="A1549" s="130">
        <v>8053</v>
      </c>
      <c r="B1549" s="130">
        <v>30</v>
      </c>
      <c r="C1549" s="130" t="s">
        <v>3173</v>
      </c>
      <c r="D1549">
        <v>12537</v>
      </c>
      <c r="E1549" s="131">
        <v>13812133</v>
      </c>
      <c r="F1549" t="s">
        <v>87</v>
      </c>
      <c r="G1549">
        <v>9135</v>
      </c>
      <c r="H1549" t="s">
        <v>8953</v>
      </c>
      <c r="I1549" s="131">
        <v>26</v>
      </c>
      <c r="J1549" t="s">
        <v>3173</v>
      </c>
      <c r="K1549" t="s">
        <v>108</v>
      </c>
      <c r="L1549" t="s">
        <v>151</v>
      </c>
      <c r="M1549" t="s">
        <v>103</v>
      </c>
      <c r="N1549" t="s">
        <v>169</v>
      </c>
      <c r="O1549" t="s">
        <v>1345</v>
      </c>
    </row>
    <row r="1550" spans="1:15" x14ac:dyDescent="0.3">
      <c r="A1550" s="130">
        <v>8055</v>
      </c>
      <c r="B1550" s="130">
        <v>10</v>
      </c>
      <c r="C1550" s="130" t="s">
        <v>3174</v>
      </c>
      <c r="D1550">
        <v>12535</v>
      </c>
      <c r="E1550" s="130">
        <v>16956443</v>
      </c>
      <c r="F1550" t="s">
        <v>87</v>
      </c>
      <c r="G1550">
        <v>9135</v>
      </c>
      <c r="H1550" t="s">
        <v>8951</v>
      </c>
      <c r="I1550" s="131">
        <v>3</v>
      </c>
      <c r="J1550" t="s">
        <v>3174</v>
      </c>
      <c r="K1550" t="s">
        <v>108</v>
      </c>
      <c r="L1550" t="s">
        <v>109</v>
      </c>
      <c r="M1550" t="s">
        <v>133</v>
      </c>
      <c r="N1550" t="s">
        <v>98</v>
      </c>
      <c r="O1550" t="s">
        <v>1345</v>
      </c>
    </row>
    <row r="1551" spans="1:15" x14ac:dyDescent="0.3">
      <c r="A1551" s="130">
        <v>8059</v>
      </c>
      <c r="B1551" s="130">
        <v>10</v>
      </c>
      <c r="C1551" s="130" t="s">
        <v>3175</v>
      </c>
      <c r="D1551">
        <v>12509</v>
      </c>
      <c r="E1551" s="130">
        <v>13623957</v>
      </c>
      <c r="F1551" t="s">
        <v>87</v>
      </c>
      <c r="G1551">
        <v>9135</v>
      </c>
      <c r="H1551" t="s">
        <v>8952</v>
      </c>
      <c r="I1551" s="130">
        <v>18</v>
      </c>
      <c r="J1551" t="s">
        <v>3175</v>
      </c>
      <c r="K1551" t="s">
        <v>95</v>
      </c>
      <c r="L1551" t="s">
        <v>1293</v>
      </c>
      <c r="M1551" t="s">
        <v>133</v>
      </c>
      <c r="N1551" t="s">
        <v>98</v>
      </c>
      <c r="O1551" t="s">
        <v>116</v>
      </c>
    </row>
    <row r="1552" spans="1:15" x14ac:dyDescent="0.3">
      <c r="A1552" s="130">
        <v>8066</v>
      </c>
      <c r="B1552" s="130">
        <v>90</v>
      </c>
      <c r="C1552" s="130" t="s">
        <v>3176</v>
      </c>
      <c r="D1552">
        <v>12559</v>
      </c>
      <c r="E1552" s="131">
        <v>655209</v>
      </c>
      <c r="F1552" t="s">
        <v>87</v>
      </c>
      <c r="G1552">
        <v>9135</v>
      </c>
      <c r="H1552" t="s">
        <v>8953</v>
      </c>
      <c r="I1552" s="131">
        <v>9</v>
      </c>
      <c r="J1552" t="s">
        <v>3176</v>
      </c>
      <c r="K1552" t="s">
        <v>95</v>
      </c>
      <c r="L1552" t="s">
        <v>163</v>
      </c>
      <c r="M1552" t="s">
        <v>170</v>
      </c>
      <c r="N1552" t="s">
        <v>118</v>
      </c>
      <c r="O1552" t="s">
        <v>116</v>
      </c>
    </row>
    <row r="1553" spans="1:15" x14ac:dyDescent="0.3">
      <c r="A1553" s="130">
        <v>8068</v>
      </c>
      <c r="B1553" s="130">
        <v>20</v>
      </c>
      <c r="C1553" s="130" t="s">
        <v>3177</v>
      </c>
      <c r="D1553">
        <v>12560</v>
      </c>
      <c r="E1553" s="131">
        <v>237518</v>
      </c>
      <c r="F1553" t="s">
        <v>87</v>
      </c>
      <c r="G1553">
        <v>9135</v>
      </c>
      <c r="H1553" t="s">
        <v>8951</v>
      </c>
      <c r="I1553" s="130">
        <v>3</v>
      </c>
      <c r="J1553" t="s">
        <v>3177</v>
      </c>
      <c r="K1553" t="s">
        <v>95</v>
      </c>
      <c r="L1553" t="s">
        <v>96</v>
      </c>
      <c r="M1553" t="s">
        <v>148</v>
      </c>
      <c r="N1553" t="s">
        <v>98</v>
      </c>
      <c r="O1553" t="s">
        <v>1345</v>
      </c>
    </row>
    <row r="1554" spans="1:15" x14ac:dyDescent="0.3">
      <c r="A1554" s="130">
        <v>8072</v>
      </c>
      <c r="B1554" s="130">
        <v>18</v>
      </c>
      <c r="C1554" s="130" t="s">
        <v>3178</v>
      </c>
      <c r="D1554">
        <v>12563</v>
      </c>
      <c r="E1554" s="130">
        <v>32516008</v>
      </c>
      <c r="F1554" t="s">
        <v>87</v>
      </c>
      <c r="G1554">
        <v>9135</v>
      </c>
      <c r="H1554" t="s">
        <v>8952</v>
      </c>
      <c r="I1554" s="130">
        <v>9</v>
      </c>
      <c r="J1554" t="s">
        <v>3178</v>
      </c>
      <c r="K1554" t="s">
        <v>95</v>
      </c>
      <c r="L1554" t="s">
        <v>163</v>
      </c>
      <c r="M1554" t="s">
        <v>112</v>
      </c>
      <c r="N1554" t="s">
        <v>98</v>
      </c>
      <c r="O1554" t="s">
        <v>1345</v>
      </c>
    </row>
    <row r="1555" spans="1:15" x14ac:dyDescent="0.3">
      <c r="A1555" s="130">
        <v>8076</v>
      </c>
      <c r="B1555" s="130">
        <v>30</v>
      </c>
      <c r="C1555" s="130" t="s">
        <v>3179</v>
      </c>
      <c r="D1555">
        <v>12565</v>
      </c>
      <c r="E1555" s="131">
        <v>35729692</v>
      </c>
      <c r="F1555" t="s">
        <v>87</v>
      </c>
      <c r="G1555">
        <v>77</v>
      </c>
      <c r="H1555" t="s">
        <v>8953</v>
      </c>
      <c r="I1555" s="130">
        <v>3</v>
      </c>
      <c r="J1555" t="s">
        <v>3179</v>
      </c>
      <c r="K1555" t="s">
        <v>95</v>
      </c>
      <c r="L1555" t="s">
        <v>256</v>
      </c>
      <c r="M1555" t="s">
        <v>103</v>
      </c>
      <c r="N1555" t="s">
        <v>98</v>
      </c>
      <c r="O1555" t="s">
        <v>116</v>
      </c>
    </row>
    <row r="1556" spans="1:15" x14ac:dyDescent="0.3">
      <c r="A1556" s="130">
        <v>8090</v>
      </c>
      <c r="B1556" s="130">
        <v>10</v>
      </c>
      <c r="C1556" s="130" t="s">
        <v>3180</v>
      </c>
      <c r="D1556">
        <v>12588</v>
      </c>
      <c r="E1556" s="130">
        <v>3584565</v>
      </c>
      <c r="F1556" t="s">
        <v>87</v>
      </c>
      <c r="G1556">
        <v>358</v>
      </c>
      <c r="H1556" t="s">
        <v>8951</v>
      </c>
      <c r="I1556" s="131">
        <v>3</v>
      </c>
      <c r="J1556" t="s">
        <v>3180</v>
      </c>
      <c r="K1556" t="s">
        <v>108</v>
      </c>
      <c r="L1556" t="s">
        <v>109</v>
      </c>
      <c r="M1556" t="s">
        <v>133</v>
      </c>
      <c r="N1556" t="s">
        <v>98</v>
      </c>
      <c r="O1556" t="s">
        <v>1345</v>
      </c>
    </row>
    <row r="1557" spans="1:15" x14ac:dyDescent="0.3">
      <c r="A1557" s="130">
        <v>8096</v>
      </c>
      <c r="B1557" s="130">
        <v>22</v>
      </c>
      <c r="C1557" s="130" t="s">
        <v>3181</v>
      </c>
      <c r="D1557">
        <v>12596</v>
      </c>
      <c r="E1557" s="130">
        <v>9537442</v>
      </c>
      <c r="F1557" t="s">
        <v>87</v>
      </c>
      <c r="G1557">
        <v>9135</v>
      </c>
      <c r="H1557" t="s">
        <v>8952</v>
      </c>
      <c r="I1557" s="130">
        <v>3</v>
      </c>
      <c r="J1557" t="s">
        <v>3181</v>
      </c>
      <c r="K1557" t="s">
        <v>95</v>
      </c>
      <c r="L1557" t="s">
        <v>109</v>
      </c>
      <c r="M1557" t="s">
        <v>1364</v>
      </c>
      <c r="N1557" t="s">
        <v>122</v>
      </c>
      <c r="O1557" t="s">
        <v>1345</v>
      </c>
    </row>
    <row r="1558" spans="1:15" x14ac:dyDescent="0.3">
      <c r="A1558" s="130">
        <v>8098</v>
      </c>
      <c r="B1558" s="130">
        <v>18</v>
      </c>
      <c r="C1558" s="130" t="s">
        <v>3182</v>
      </c>
      <c r="D1558">
        <v>12597</v>
      </c>
      <c r="E1558" s="130">
        <v>1875603</v>
      </c>
      <c r="F1558" t="s">
        <v>87</v>
      </c>
      <c r="G1558">
        <v>9135</v>
      </c>
      <c r="H1558" t="s">
        <v>8953</v>
      </c>
      <c r="I1558" s="130">
        <v>3</v>
      </c>
      <c r="J1558" t="s">
        <v>3182</v>
      </c>
      <c r="K1558" t="s">
        <v>108</v>
      </c>
      <c r="L1558" t="s">
        <v>111</v>
      </c>
      <c r="M1558" t="s">
        <v>112</v>
      </c>
      <c r="N1558" t="s">
        <v>98</v>
      </c>
      <c r="O1558" t="s">
        <v>1345</v>
      </c>
    </row>
    <row r="1559" spans="1:15" x14ac:dyDescent="0.3">
      <c r="A1559" s="130">
        <v>8111</v>
      </c>
      <c r="B1559" s="130">
        <v>30</v>
      </c>
      <c r="C1559" s="130" t="s">
        <v>3183</v>
      </c>
      <c r="D1559">
        <v>12616</v>
      </c>
      <c r="E1559" s="130">
        <v>33679778</v>
      </c>
      <c r="F1559" t="s">
        <v>87</v>
      </c>
      <c r="G1559">
        <v>9135</v>
      </c>
      <c r="H1559" t="s">
        <v>8951</v>
      </c>
      <c r="I1559" s="130">
        <v>37</v>
      </c>
      <c r="J1559" t="s">
        <v>3183</v>
      </c>
      <c r="K1559" t="s">
        <v>95</v>
      </c>
      <c r="L1559" t="s">
        <v>138</v>
      </c>
      <c r="M1559" t="s">
        <v>103</v>
      </c>
      <c r="N1559" t="s">
        <v>150</v>
      </c>
      <c r="O1559" t="s">
        <v>1345</v>
      </c>
    </row>
    <row r="1560" spans="1:15" x14ac:dyDescent="0.3">
      <c r="A1560" s="130">
        <v>8134</v>
      </c>
      <c r="B1560" s="130" t="s">
        <v>1365</v>
      </c>
      <c r="C1560" s="130" t="s">
        <v>3184</v>
      </c>
      <c r="D1560">
        <v>12665</v>
      </c>
      <c r="E1560" s="131">
        <v>30100373</v>
      </c>
      <c r="F1560" t="s">
        <v>87</v>
      </c>
      <c r="G1560">
        <v>9135</v>
      </c>
      <c r="H1560" t="s">
        <v>8952</v>
      </c>
      <c r="I1560" s="130">
        <v>37</v>
      </c>
      <c r="J1560" t="s">
        <v>3184</v>
      </c>
      <c r="K1560" t="s">
        <v>95</v>
      </c>
      <c r="L1560" t="s">
        <v>183</v>
      </c>
      <c r="M1560" t="s">
        <v>1365</v>
      </c>
      <c r="N1560" t="s">
        <v>101</v>
      </c>
      <c r="O1560" t="s">
        <v>1345</v>
      </c>
    </row>
    <row r="1561" spans="1:15" x14ac:dyDescent="0.3">
      <c r="A1561" s="130">
        <v>8137</v>
      </c>
      <c r="B1561" s="130">
        <v>15</v>
      </c>
      <c r="C1561" s="130" t="s">
        <v>3185</v>
      </c>
      <c r="D1561">
        <v>12669</v>
      </c>
      <c r="E1561" s="131">
        <v>41405292</v>
      </c>
      <c r="F1561" t="s">
        <v>87</v>
      </c>
      <c r="G1561">
        <v>9135</v>
      </c>
      <c r="H1561" t="s">
        <v>8953</v>
      </c>
      <c r="I1561" s="130">
        <v>24</v>
      </c>
      <c r="J1561" t="s">
        <v>3185</v>
      </c>
      <c r="K1561" t="s">
        <v>108</v>
      </c>
      <c r="L1561" t="s">
        <v>191</v>
      </c>
      <c r="M1561" t="s">
        <v>145</v>
      </c>
      <c r="N1561" t="s">
        <v>98</v>
      </c>
      <c r="O1561" t="s">
        <v>1345</v>
      </c>
    </row>
    <row r="1562" spans="1:15" x14ac:dyDescent="0.3">
      <c r="A1562" s="130">
        <v>8138</v>
      </c>
      <c r="B1562" s="130">
        <v>21</v>
      </c>
      <c r="C1562" s="130" t="s">
        <v>3186</v>
      </c>
      <c r="D1562">
        <v>12670</v>
      </c>
      <c r="E1562" s="131">
        <v>10860319</v>
      </c>
      <c r="F1562" t="s">
        <v>87</v>
      </c>
      <c r="G1562">
        <v>9135</v>
      </c>
      <c r="H1562" t="s">
        <v>8951</v>
      </c>
      <c r="I1562" s="131">
        <v>37</v>
      </c>
      <c r="J1562" t="s">
        <v>3186</v>
      </c>
      <c r="K1562" t="s">
        <v>95</v>
      </c>
      <c r="L1562" t="s">
        <v>138</v>
      </c>
      <c r="M1562" t="s">
        <v>137</v>
      </c>
      <c r="N1562" t="s">
        <v>150</v>
      </c>
      <c r="O1562" t="s">
        <v>1345</v>
      </c>
    </row>
    <row r="1563" spans="1:15" x14ac:dyDescent="0.3">
      <c r="A1563" s="130">
        <v>8141</v>
      </c>
      <c r="B1563" s="130">
        <v>30</v>
      </c>
      <c r="C1563" s="130" t="s">
        <v>3187</v>
      </c>
      <c r="D1563">
        <v>12678</v>
      </c>
      <c r="E1563" s="130">
        <v>34252774</v>
      </c>
      <c r="F1563" t="s">
        <v>87</v>
      </c>
      <c r="G1563">
        <v>9135</v>
      </c>
      <c r="H1563" t="s">
        <v>8952</v>
      </c>
      <c r="I1563" s="131">
        <v>43</v>
      </c>
      <c r="J1563" t="s">
        <v>3187</v>
      </c>
      <c r="K1563" t="s">
        <v>95</v>
      </c>
      <c r="L1563" t="s">
        <v>1368</v>
      </c>
      <c r="M1563" t="s">
        <v>103</v>
      </c>
      <c r="N1563" t="s">
        <v>114</v>
      </c>
      <c r="O1563" t="s">
        <v>116</v>
      </c>
    </row>
    <row r="1564" spans="1:15" x14ac:dyDescent="0.3">
      <c r="A1564" s="130">
        <v>8151</v>
      </c>
      <c r="B1564" s="130">
        <v>90</v>
      </c>
      <c r="C1564" s="130" t="s">
        <v>3188</v>
      </c>
      <c r="D1564">
        <v>12690</v>
      </c>
      <c r="E1564" s="131">
        <v>655209</v>
      </c>
      <c r="F1564" t="s">
        <v>87</v>
      </c>
      <c r="G1564">
        <v>9135</v>
      </c>
      <c r="H1564" t="s">
        <v>8953</v>
      </c>
      <c r="I1564" s="130">
        <v>9</v>
      </c>
      <c r="J1564" t="s">
        <v>3188</v>
      </c>
      <c r="K1564" t="s">
        <v>95</v>
      </c>
      <c r="L1564" t="s">
        <v>163</v>
      </c>
      <c r="M1564" t="s">
        <v>170</v>
      </c>
      <c r="N1564" t="s">
        <v>118</v>
      </c>
      <c r="O1564" t="s">
        <v>116</v>
      </c>
    </row>
    <row r="1565" spans="1:15" x14ac:dyDescent="0.3">
      <c r="A1565" s="130">
        <v>8157</v>
      </c>
      <c r="B1565" s="130">
        <v>30</v>
      </c>
      <c r="C1565" s="130" t="s">
        <v>3189</v>
      </c>
      <c r="D1565">
        <v>12699</v>
      </c>
      <c r="E1565" s="131">
        <v>25316870</v>
      </c>
      <c r="F1565" t="s">
        <v>87</v>
      </c>
      <c r="G1565">
        <v>9135</v>
      </c>
      <c r="H1565" t="s">
        <v>8951</v>
      </c>
      <c r="I1565" s="130">
        <v>19</v>
      </c>
      <c r="J1565" t="s">
        <v>3189</v>
      </c>
      <c r="K1565" t="s">
        <v>108</v>
      </c>
      <c r="L1565" t="s">
        <v>146</v>
      </c>
      <c r="M1565" t="s">
        <v>103</v>
      </c>
      <c r="N1565" t="s">
        <v>98</v>
      </c>
      <c r="O1565" t="s">
        <v>1345</v>
      </c>
    </row>
    <row r="1566" spans="1:15" x14ac:dyDescent="0.3">
      <c r="A1566" s="130">
        <v>8158</v>
      </c>
      <c r="B1566" s="130">
        <v>18</v>
      </c>
      <c r="C1566" s="130" t="s">
        <v>3190</v>
      </c>
      <c r="D1566">
        <v>12698</v>
      </c>
      <c r="E1566" s="130">
        <v>20286415</v>
      </c>
      <c r="F1566" t="s">
        <v>87</v>
      </c>
      <c r="G1566">
        <v>9135</v>
      </c>
      <c r="H1566" t="s">
        <v>8952</v>
      </c>
      <c r="I1566" s="130">
        <v>3</v>
      </c>
      <c r="J1566" t="s">
        <v>3190</v>
      </c>
      <c r="K1566" t="s">
        <v>108</v>
      </c>
      <c r="L1566" t="s">
        <v>111</v>
      </c>
      <c r="M1566" t="s">
        <v>112</v>
      </c>
      <c r="N1566" t="s">
        <v>98</v>
      </c>
      <c r="O1566" t="s">
        <v>1345</v>
      </c>
    </row>
    <row r="1567" spans="1:15" x14ac:dyDescent="0.3">
      <c r="A1567" s="130">
        <v>8163</v>
      </c>
      <c r="B1567" s="130">
        <v>18</v>
      </c>
      <c r="C1567" s="130" t="s">
        <v>3191</v>
      </c>
      <c r="D1567">
        <v>12711</v>
      </c>
      <c r="E1567" s="131">
        <v>2354917</v>
      </c>
      <c r="F1567" t="s">
        <v>87</v>
      </c>
      <c r="G1567">
        <v>9135</v>
      </c>
      <c r="H1567" t="s">
        <v>8953</v>
      </c>
      <c r="I1567" s="130">
        <v>26</v>
      </c>
      <c r="J1567" t="s">
        <v>3191</v>
      </c>
      <c r="K1567" t="s">
        <v>108</v>
      </c>
      <c r="L1567" t="s">
        <v>151</v>
      </c>
      <c r="M1567" t="s">
        <v>112</v>
      </c>
      <c r="N1567" t="s">
        <v>98</v>
      </c>
      <c r="O1567" t="s">
        <v>1345</v>
      </c>
    </row>
    <row r="1568" spans="1:15" x14ac:dyDescent="0.3">
      <c r="A1568" s="130">
        <v>8171</v>
      </c>
      <c r="B1568" s="130">
        <v>21</v>
      </c>
      <c r="C1568" s="130" t="s">
        <v>3192</v>
      </c>
      <c r="D1568">
        <v>12723</v>
      </c>
      <c r="E1568" s="130">
        <v>42133195</v>
      </c>
      <c r="F1568" t="s">
        <v>87</v>
      </c>
      <c r="G1568">
        <v>9135</v>
      </c>
      <c r="H1568" t="s">
        <v>8951</v>
      </c>
      <c r="I1568" s="130">
        <v>37</v>
      </c>
      <c r="J1568" t="s">
        <v>3192</v>
      </c>
      <c r="K1568" t="s">
        <v>95</v>
      </c>
      <c r="L1568" t="s">
        <v>138</v>
      </c>
      <c r="M1568" t="s">
        <v>137</v>
      </c>
      <c r="N1568" t="s">
        <v>150</v>
      </c>
      <c r="O1568" t="s">
        <v>1345</v>
      </c>
    </row>
    <row r="1569" spans="1:15" x14ac:dyDescent="0.3">
      <c r="A1569" s="130">
        <v>8172</v>
      </c>
      <c r="B1569" s="130">
        <v>30</v>
      </c>
      <c r="C1569" s="130" t="s">
        <v>3193</v>
      </c>
      <c r="D1569">
        <v>12726</v>
      </c>
      <c r="E1569" s="131">
        <v>2617158</v>
      </c>
      <c r="F1569" t="s">
        <v>87</v>
      </c>
      <c r="G1569">
        <v>9135</v>
      </c>
      <c r="H1569" t="s">
        <v>8952</v>
      </c>
      <c r="I1569" s="131">
        <v>10</v>
      </c>
      <c r="J1569" t="s">
        <v>3193</v>
      </c>
      <c r="K1569" t="s">
        <v>108</v>
      </c>
      <c r="L1569" t="s">
        <v>105</v>
      </c>
      <c r="M1569" t="s">
        <v>103</v>
      </c>
      <c r="N1569" t="s">
        <v>98</v>
      </c>
      <c r="O1569" t="s">
        <v>1345</v>
      </c>
    </row>
    <row r="1570" spans="1:15" x14ac:dyDescent="0.3">
      <c r="A1570" s="130">
        <v>8173</v>
      </c>
      <c r="B1570" s="130">
        <v>30</v>
      </c>
      <c r="C1570" s="130" t="s">
        <v>3194</v>
      </c>
      <c r="D1570">
        <v>12725</v>
      </c>
      <c r="E1570" s="130">
        <v>29060647</v>
      </c>
      <c r="F1570" t="s">
        <v>87</v>
      </c>
      <c r="G1570">
        <v>9135</v>
      </c>
      <c r="H1570" t="s">
        <v>8953</v>
      </c>
      <c r="I1570" s="130">
        <v>18</v>
      </c>
      <c r="J1570" t="s">
        <v>3194</v>
      </c>
      <c r="K1570" t="s">
        <v>95</v>
      </c>
      <c r="L1570" t="s">
        <v>123</v>
      </c>
      <c r="M1570" t="s">
        <v>103</v>
      </c>
      <c r="N1570" t="s">
        <v>98</v>
      </c>
      <c r="O1570" t="s">
        <v>116</v>
      </c>
    </row>
    <row r="1571" spans="1:15" x14ac:dyDescent="0.3">
      <c r="A1571" s="130">
        <v>8179</v>
      </c>
      <c r="B1571" s="130">
        <v>-1</v>
      </c>
      <c r="C1571" s="130" t="s">
        <v>3195</v>
      </c>
      <c r="D1571">
        <v>12736</v>
      </c>
      <c r="E1571" s="131">
        <v>45096989</v>
      </c>
      <c r="F1571" t="s">
        <v>87</v>
      </c>
      <c r="G1571">
        <v>9135</v>
      </c>
      <c r="H1571" t="s">
        <v>8951</v>
      </c>
      <c r="I1571" s="131">
        <v>37</v>
      </c>
      <c r="J1571" t="s">
        <v>3195</v>
      </c>
      <c r="K1571" t="s">
        <v>108</v>
      </c>
      <c r="L1571" t="s">
        <v>138</v>
      </c>
      <c r="M1571" t="s">
        <v>174</v>
      </c>
      <c r="N1571" t="s">
        <v>152</v>
      </c>
      <c r="O1571" t="s">
        <v>1345</v>
      </c>
    </row>
    <row r="1572" spans="1:15" x14ac:dyDescent="0.3">
      <c r="A1572" s="130">
        <v>8183</v>
      </c>
      <c r="B1572" s="130">
        <v>18</v>
      </c>
      <c r="C1572" s="130" t="s">
        <v>3196</v>
      </c>
      <c r="D1572">
        <v>12746</v>
      </c>
      <c r="E1572" s="130">
        <v>20098146</v>
      </c>
      <c r="F1572" t="s">
        <v>87</v>
      </c>
      <c r="G1572">
        <v>9135</v>
      </c>
      <c r="H1572" t="s">
        <v>8952</v>
      </c>
      <c r="I1572" s="130">
        <v>9</v>
      </c>
      <c r="J1572" t="s">
        <v>3196</v>
      </c>
      <c r="K1572" t="s">
        <v>95</v>
      </c>
      <c r="L1572" t="s">
        <v>163</v>
      </c>
      <c r="M1572" t="s">
        <v>112</v>
      </c>
      <c r="N1572" t="s">
        <v>98</v>
      </c>
      <c r="O1572" t="s">
        <v>116</v>
      </c>
    </row>
    <row r="1573" spans="1:15" x14ac:dyDescent="0.3">
      <c r="A1573" s="130">
        <v>8186</v>
      </c>
      <c r="B1573" s="130">
        <v>90</v>
      </c>
      <c r="C1573" s="130" t="s">
        <v>3197</v>
      </c>
      <c r="D1573">
        <v>12752</v>
      </c>
      <c r="E1573" s="130">
        <v>655209</v>
      </c>
      <c r="F1573" t="s">
        <v>87</v>
      </c>
      <c r="G1573">
        <v>9135</v>
      </c>
      <c r="H1573" t="s">
        <v>8953</v>
      </c>
      <c r="I1573" s="130">
        <v>9</v>
      </c>
      <c r="J1573" t="s">
        <v>3197</v>
      </c>
      <c r="K1573" t="s">
        <v>95</v>
      </c>
      <c r="L1573" t="s">
        <v>163</v>
      </c>
      <c r="M1573" t="s">
        <v>170</v>
      </c>
      <c r="N1573" t="s">
        <v>118</v>
      </c>
      <c r="O1573" t="s">
        <v>116</v>
      </c>
    </row>
    <row r="1574" spans="1:15" x14ac:dyDescent="0.3">
      <c r="A1574" s="130">
        <v>8191</v>
      </c>
      <c r="B1574" s="130">
        <v>-1</v>
      </c>
      <c r="C1574" s="130" t="s">
        <v>3198</v>
      </c>
      <c r="D1574">
        <v>12762</v>
      </c>
      <c r="E1574" s="130">
        <v>11520665</v>
      </c>
      <c r="F1574" t="s">
        <v>87</v>
      </c>
      <c r="G1574">
        <v>9135</v>
      </c>
      <c r="H1574" t="s">
        <v>8951</v>
      </c>
      <c r="I1574" s="130">
        <v>19</v>
      </c>
      <c r="J1574" t="s">
        <v>3198</v>
      </c>
      <c r="K1574" t="s">
        <v>108</v>
      </c>
      <c r="L1574" t="s">
        <v>146</v>
      </c>
      <c r="M1574" t="s">
        <v>174</v>
      </c>
      <c r="N1574" t="s">
        <v>98</v>
      </c>
      <c r="O1574" t="s">
        <v>116</v>
      </c>
    </row>
    <row r="1575" spans="1:15" x14ac:dyDescent="0.3">
      <c r="A1575" s="130">
        <v>8197</v>
      </c>
      <c r="B1575" s="130">
        <v>10</v>
      </c>
      <c r="C1575" s="130" t="s">
        <v>3199</v>
      </c>
      <c r="D1575">
        <v>12769</v>
      </c>
      <c r="E1575" s="130">
        <v>18322925</v>
      </c>
      <c r="F1575" t="s">
        <v>87</v>
      </c>
      <c r="G1575">
        <v>358</v>
      </c>
      <c r="H1575" t="s">
        <v>8952</v>
      </c>
      <c r="I1575" s="130">
        <v>3</v>
      </c>
      <c r="J1575" t="s">
        <v>3199</v>
      </c>
      <c r="K1575" t="s">
        <v>108</v>
      </c>
      <c r="L1575" t="s">
        <v>109</v>
      </c>
      <c r="M1575" t="s">
        <v>133</v>
      </c>
      <c r="N1575" t="s">
        <v>98</v>
      </c>
      <c r="O1575" t="s">
        <v>1345</v>
      </c>
    </row>
    <row r="1576" spans="1:15" x14ac:dyDescent="0.3">
      <c r="A1576" s="130">
        <v>8205</v>
      </c>
      <c r="B1576" s="130">
        <v>-1</v>
      </c>
      <c r="C1576" s="130" t="s">
        <v>3200</v>
      </c>
      <c r="D1576">
        <v>12784</v>
      </c>
      <c r="E1576" s="130">
        <v>39248795</v>
      </c>
      <c r="F1576" t="s">
        <v>87</v>
      </c>
      <c r="G1576">
        <v>9135</v>
      </c>
      <c r="H1576" t="s">
        <v>8953</v>
      </c>
      <c r="I1576" s="130">
        <v>38</v>
      </c>
      <c r="J1576" t="s">
        <v>3200</v>
      </c>
      <c r="K1576" t="s">
        <v>108</v>
      </c>
      <c r="L1576" t="s">
        <v>126</v>
      </c>
      <c r="M1576" t="s">
        <v>174</v>
      </c>
      <c r="N1576" t="s">
        <v>98</v>
      </c>
      <c r="O1576" t="s">
        <v>1345</v>
      </c>
    </row>
    <row r="1577" spans="1:15" x14ac:dyDescent="0.3">
      <c r="A1577" s="130">
        <v>8207</v>
      </c>
      <c r="B1577" s="130">
        <v>18</v>
      </c>
      <c r="C1577" s="130" t="s">
        <v>3201</v>
      </c>
      <c r="D1577">
        <v>12787</v>
      </c>
      <c r="E1577" s="130">
        <v>15482315</v>
      </c>
      <c r="F1577" t="s">
        <v>87</v>
      </c>
      <c r="G1577">
        <v>9135</v>
      </c>
      <c r="H1577" t="s">
        <v>8951</v>
      </c>
      <c r="I1577" s="131">
        <v>10</v>
      </c>
      <c r="J1577" t="s">
        <v>3201</v>
      </c>
      <c r="K1577" t="s">
        <v>95</v>
      </c>
      <c r="L1577" t="s">
        <v>127</v>
      </c>
      <c r="M1577" t="s">
        <v>112</v>
      </c>
      <c r="N1577" t="s">
        <v>98</v>
      </c>
      <c r="O1577" t="s">
        <v>1345</v>
      </c>
    </row>
    <row r="1578" spans="1:15" x14ac:dyDescent="0.3">
      <c r="A1578" s="130">
        <v>8217</v>
      </c>
      <c r="B1578" s="130">
        <v>30</v>
      </c>
      <c r="C1578" s="130" t="s">
        <v>3202</v>
      </c>
      <c r="D1578">
        <v>12803</v>
      </c>
      <c r="E1578" s="130">
        <v>28663226</v>
      </c>
      <c r="F1578" t="s">
        <v>87</v>
      </c>
      <c r="G1578">
        <v>9135</v>
      </c>
      <c r="H1578" t="s">
        <v>8952</v>
      </c>
      <c r="I1578" s="131">
        <v>43</v>
      </c>
      <c r="J1578" t="s">
        <v>3202</v>
      </c>
      <c r="K1578" t="s">
        <v>95</v>
      </c>
      <c r="L1578" t="s">
        <v>159</v>
      </c>
      <c r="M1578" t="s">
        <v>103</v>
      </c>
      <c r="N1578" t="s">
        <v>150</v>
      </c>
      <c r="O1578" t="s">
        <v>1345</v>
      </c>
    </row>
    <row r="1579" spans="1:15" x14ac:dyDescent="0.3">
      <c r="A1579" s="130">
        <v>8227</v>
      </c>
      <c r="B1579" s="130">
        <v>-1</v>
      </c>
      <c r="C1579" s="130" t="s">
        <v>3203</v>
      </c>
      <c r="D1579">
        <v>12812</v>
      </c>
      <c r="E1579" s="130">
        <v>28777256</v>
      </c>
      <c r="F1579" t="s">
        <v>87</v>
      </c>
      <c r="G1579">
        <v>9135</v>
      </c>
      <c r="H1579" t="s">
        <v>8953</v>
      </c>
      <c r="I1579" s="130">
        <v>37</v>
      </c>
      <c r="J1579" t="s">
        <v>3203</v>
      </c>
      <c r="K1579" t="s">
        <v>108</v>
      </c>
      <c r="L1579" t="s">
        <v>138</v>
      </c>
      <c r="M1579" t="s">
        <v>174</v>
      </c>
      <c r="N1579" t="s">
        <v>150</v>
      </c>
      <c r="O1579" t="s">
        <v>1345</v>
      </c>
    </row>
    <row r="1580" spans="1:15" x14ac:dyDescent="0.3">
      <c r="A1580" s="130">
        <v>8236</v>
      </c>
      <c r="B1580" s="130">
        <v>90</v>
      </c>
      <c r="C1580" s="130" t="s">
        <v>3204</v>
      </c>
      <c r="D1580">
        <v>12825</v>
      </c>
      <c r="E1580" s="130">
        <v>655209</v>
      </c>
      <c r="F1580" t="s">
        <v>87</v>
      </c>
      <c r="G1580">
        <v>9135</v>
      </c>
      <c r="H1580" t="s">
        <v>8951</v>
      </c>
      <c r="I1580" s="131">
        <v>9</v>
      </c>
      <c r="J1580" t="s">
        <v>3204</v>
      </c>
      <c r="K1580" t="s">
        <v>95</v>
      </c>
      <c r="L1580" t="s">
        <v>163</v>
      </c>
      <c r="M1580" t="s">
        <v>170</v>
      </c>
      <c r="N1580" t="s">
        <v>118</v>
      </c>
      <c r="O1580" t="s">
        <v>116</v>
      </c>
    </row>
    <row r="1581" spans="1:15" x14ac:dyDescent="0.3">
      <c r="A1581" s="130">
        <v>8242</v>
      </c>
      <c r="B1581" s="130">
        <v>15</v>
      </c>
      <c r="C1581" s="130" t="s">
        <v>3205</v>
      </c>
      <c r="D1581">
        <v>12835</v>
      </c>
      <c r="E1581" s="130">
        <v>8681967894</v>
      </c>
      <c r="F1581" t="s">
        <v>87</v>
      </c>
      <c r="G1581">
        <v>9135</v>
      </c>
      <c r="H1581" t="s">
        <v>8952</v>
      </c>
      <c r="I1581" s="130">
        <v>24</v>
      </c>
      <c r="J1581" t="s">
        <v>3205</v>
      </c>
      <c r="K1581" t="s">
        <v>108</v>
      </c>
      <c r="L1581" t="s">
        <v>191</v>
      </c>
      <c r="M1581" t="s">
        <v>145</v>
      </c>
      <c r="N1581" t="s">
        <v>110</v>
      </c>
      <c r="O1581" t="s">
        <v>1345</v>
      </c>
    </row>
    <row r="1582" spans="1:15" x14ac:dyDescent="0.3">
      <c r="A1582" s="130">
        <v>8243</v>
      </c>
      <c r="B1582" s="130">
        <v>18</v>
      </c>
      <c r="C1582" s="130" t="s">
        <v>3206</v>
      </c>
      <c r="D1582">
        <v>12840</v>
      </c>
      <c r="E1582" s="131">
        <v>30100373</v>
      </c>
      <c r="F1582" t="s">
        <v>87</v>
      </c>
      <c r="G1582">
        <v>9135</v>
      </c>
      <c r="H1582" t="s">
        <v>8953</v>
      </c>
      <c r="I1582" s="130">
        <v>37</v>
      </c>
      <c r="J1582" t="s">
        <v>3206</v>
      </c>
      <c r="K1582" t="s">
        <v>108</v>
      </c>
      <c r="L1582" t="s">
        <v>138</v>
      </c>
      <c r="M1582" t="s">
        <v>112</v>
      </c>
      <c r="N1582" t="s">
        <v>101</v>
      </c>
      <c r="O1582" t="s">
        <v>1345</v>
      </c>
    </row>
    <row r="1583" spans="1:15" x14ac:dyDescent="0.3">
      <c r="A1583" s="130">
        <v>8252</v>
      </c>
      <c r="B1583" s="130">
        <v>18</v>
      </c>
      <c r="C1583" s="130" t="s">
        <v>3207</v>
      </c>
      <c r="D1583">
        <v>12853</v>
      </c>
      <c r="E1583" s="130">
        <v>72030927</v>
      </c>
      <c r="F1583" t="s">
        <v>87</v>
      </c>
      <c r="G1583">
        <v>9135</v>
      </c>
      <c r="H1583" t="s">
        <v>8951</v>
      </c>
      <c r="I1583" s="131">
        <v>3</v>
      </c>
      <c r="J1583" t="s">
        <v>3207</v>
      </c>
      <c r="K1583" t="s">
        <v>95</v>
      </c>
      <c r="L1583" t="s">
        <v>111</v>
      </c>
      <c r="M1583" t="s">
        <v>112</v>
      </c>
      <c r="N1583" t="s">
        <v>98</v>
      </c>
      <c r="O1583" t="s">
        <v>1345</v>
      </c>
    </row>
    <row r="1584" spans="1:15" x14ac:dyDescent="0.3">
      <c r="A1584" s="130">
        <v>8253</v>
      </c>
      <c r="B1584" s="130">
        <v>30</v>
      </c>
      <c r="C1584" s="130" t="s">
        <v>3208</v>
      </c>
      <c r="D1584">
        <v>12856</v>
      </c>
      <c r="E1584" s="130">
        <v>183256</v>
      </c>
      <c r="F1584" t="s">
        <v>87</v>
      </c>
      <c r="G1584">
        <v>9135</v>
      </c>
      <c r="H1584" t="s">
        <v>8952</v>
      </c>
      <c r="I1584" s="130">
        <v>9</v>
      </c>
      <c r="J1584" t="s">
        <v>3208</v>
      </c>
      <c r="K1584" t="s">
        <v>95</v>
      </c>
      <c r="L1584" t="s">
        <v>109</v>
      </c>
      <c r="M1584" t="s">
        <v>103</v>
      </c>
      <c r="N1584" t="s">
        <v>114</v>
      </c>
      <c r="O1584" t="s">
        <v>116</v>
      </c>
    </row>
    <row r="1585" spans="1:15" x14ac:dyDescent="0.3">
      <c r="A1585" s="130">
        <v>8254</v>
      </c>
      <c r="B1585" s="130">
        <v>30</v>
      </c>
      <c r="C1585" s="130" t="s">
        <v>3209</v>
      </c>
      <c r="D1585">
        <v>12858</v>
      </c>
      <c r="E1585" s="131">
        <v>183256</v>
      </c>
      <c r="F1585" t="s">
        <v>87</v>
      </c>
      <c r="G1585">
        <v>9135</v>
      </c>
      <c r="H1585" t="s">
        <v>8953</v>
      </c>
      <c r="I1585" s="130">
        <v>9</v>
      </c>
      <c r="J1585" t="s">
        <v>3209</v>
      </c>
      <c r="K1585" t="s">
        <v>95</v>
      </c>
      <c r="L1585" t="s">
        <v>163</v>
      </c>
      <c r="M1585" t="s">
        <v>103</v>
      </c>
      <c r="N1585" t="s">
        <v>114</v>
      </c>
      <c r="O1585" t="s">
        <v>116</v>
      </c>
    </row>
    <row r="1586" spans="1:15" x14ac:dyDescent="0.3">
      <c r="A1586" s="130">
        <v>8265</v>
      </c>
      <c r="B1586" s="130">
        <v>30</v>
      </c>
      <c r="C1586" s="130" t="s">
        <v>3210</v>
      </c>
      <c r="D1586">
        <v>12874</v>
      </c>
      <c r="E1586" s="130">
        <v>7462961</v>
      </c>
      <c r="F1586" t="s">
        <v>87</v>
      </c>
      <c r="G1586">
        <v>9135</v>
      </c>
      <c r="H1586" t="s">
        <v>8951</v>
      </c>
      <c r="I1586" s="130">
        <v>38</v>
      </c>
      <c r="J1586" t="s">
        <v>3210</v>
      </c>
      <c r="K1586" t="s">
        <v>108</v>
      </c>
      <c r="L1586" t="s">
        <v>126</v>
      </c>
      <c r="M1586" t="s">
        <v>103</v>
      </c>
      <c r="N1586" t="s">
        <v>101</v>
      </c>
      <c r="O1586" t="s">
        <v>1345</v>
      </c>
    </row>
    <row r="1587" spans="1:15" x14ac:dyDescent="0.3">
      <c r="A1587" s="130">
        <v>8267</v>
      </c>
      <c r="B1587" s="130">
        <v>30</v>
      </c>
      <c r="C1587" s="130" t="s">
        <v>3211</v>
      </c>
      <c r="D1587">
        <v>12859</v>
      </c>
      <c r="E1587" s="131">
        <v>183256</v>
      </c>
      <c r="F1587" t="s">
        <v>87</v>
      </c>
      <c r="G1587">
        <v>9135</v>
      </c>
      <c r="H1587" t="s">
        <v>8952</v>
      </c>
      <c r="I1587" s="131">
        <v>9</v>
      </c>
      <c r="J1587" t="s">
        <v>3211</v>
      </c>
      <c r="K1587" t="s">
        <v>95</v>
      </c>
      <c r="L1587" t="s">
        <v>109</v>
      </c>
      <c r="M1587" t="s">
        <v>103</v>
      </c>
      <c r="N1587" t="s">
        <v>114</v>
      </c>
      <c r="O1587" t="s">
        <v>116</v>
      </c>
    </row>
    <row r="1588" spans="1:15" x14ac:dyDescent="0.3">
      <c r="A1588" s="130">
        <v>8268</v>
      </c>
      <c r="B1588" s="130">
        <v>30</v>
      </c>
      <c r="C1588" s="130" t="s">
        <v>3212</v>
      </c>
      <c r="D1588">
        <v>12881</v>
      </c>
      <c r="E1588" s="131">
        <v>33000167</v>
      </c>
      <c r="F1588" t="s">
        <v>87</v>
      </c>
      <c r="G1588">
        <v>9135</v>
      </c>
      <c r="H1588" t="s">
        <v>8953</v>
      </c>
      <c r="I1588" s="130">
        <v>24</v>
      </c>
      <c r="J1588" t="s">
        <v>3212</v>
      </c>
      <c r="K1588" t="s">
        <v>95</v>
      </c>
      <c r="L1588" t="s">
        <v>102</v>
      </c>
      <c r="M1588" t="s">
        <v>103</v>
      </c>
      <c r="N1588" t="s">
        <v>114</v>
      </c>
      <c r="O1588" t="s">
        <v>116</v>
      </c>
    </row>
    <row r="1589" spans="1:15" x14ac:dyDescent="0.3">
      <c r="A1589" s="130">
        <v>8270</v>
      </c>
      <c r="B1589" s="130">
        <v>10</v>
      </c>
      <c r="C1589" s="130" t="s">
        <v>3213</v>
      </c>
      <c r="D1589">
        <v>12883</v>
      </c>
      <c r="E1589" s="130">
        <v>19235340</v>
      </c>
      <c r="F1589" t="s">
        <v>87</v>
      </c>
      <c r="G1589">
        <v>358</v>
      </c>
      <c r="H1589" t="s">
        <v>8951</v>
      </c>
      <c r="I1589" s="130">
        <v>3</v>
      </c>
      <c r="J1589" t="s">
        <v>3213</v>
      </c>
      <c r="K1589" t="s">
        <v>108</v>
      </c>
      <c r="L1589" t="s">
        <v>109</v>
      </c>
      <c r="M1589" t="s">
        <v>133</v>
      </c>
      <c r="N1589" t="s">
        <v>98</v>
      </c>
      <c r="O1589" t="s">
        <v>116</v>
      </c>
    </row>
    <row r="1590" spans="1:15" x14ac:dyDescent="0.3">
      <c r="A1590" s="130">
        <v>8271</v>
      </c>
      <c r="B1590" s="130">
        <v>10</v>
      </c>
      <c r="C1590" s="130" t="s">
        <v>3214</v>
      </c>
      <c r="D1590">
        <v>12886</v>
      </c>
      <c r="E1590" s="131">
        <v>3174004</v>
      </c>
      <c r="F1590" t="s">
        <v>87</v>
      </c>
      <c r="G1590">
        <v>9135</v>
      </c>
      <c r="H1590" t="s">
        <v>8952</v>
      </c>
      <c r="I1590" s="131">
        <v>43</v>
      </c>
      <c r="J1590" t="s">
        <v>3214</v>
      </c>
      <c r="K1590" t="s">
        <v>108</v>
      </c>
      <c r="L1590" t="s">
        <v>159</v>
      </c>
      <c r="M1590" t="s">
        <v>133</v>
      </c>
      <c r="N1590" t="s">
        <v>152</v>
      </c>
      <c r="O1590" t="s">
        <v>1345</v>
      </c>
    </row>
    <row r="1591" spans="1:15" x14ac:dyDescent="0.3">
      <c r="A1591" s="130">
        <v>8285</v>
      </c>
      <c r="B1591" s="130">
        <v>28</v>
      </c>
      <c r="C1591" s="130" t="s">
        <v>3215</v>
      </c>
      <c r="D1591">
        <v>12903</v>
      </c>
      <c r="E1591" s="131">
        <v>10860319</v>
      </c>
      <c r="F1591" t="s">
        <v>87</v>
      </c>
      <c r="G1591">
        <v>9135</v>
      </c>
      <c r="H1591" t="s">
        <v>8953</v>
      </c>
      <c r="I1591" s="130">
        <v>37</v>
      </c>
      <c r="J1591" t="s">
        <v>3215</v>
      </c>
      <c r="K1591" t="s">
        <v>95</v>
      </c>
      <c r="L1591" t="s">
        <v>138</v>
      </c>
      <c r="M1591" t="s">
        <v>130</v>
      </c>
      <c r="N1591" t="s">
        <v>150</v>
      </c>
      <c r="O1591" t="s">
        <v>1345</v>
      </c>
    </row>
    <row r="1592" spans="1:15" x14ac:dyDescent="0.3">
      <c r="A1592" s="130">
        <v>8286</v>
      </c>
      <c r="B1592" s="130">
        <v>28</v>
      </c>
      <c r="C1592" s="130" t="s">
        <v>3216</v>
      </c>
      <c r="D1592">
        <v>12906</v>
      </c>
      <c r="E1592" s="130">
        <v>10860319</v>
      </c>
      <c r="F1592" t="s">
        <v>87</v>
      </c>
      <c r="G1592">
        <v>9135</v>
      </c>
      <c r="H1592" t="s">
        <v>8951</v>
      </c>
      <c r="I1592" s="130">
        <v>37</v>
      </c>
      <c r="J1592" t="s">
        <v>3216</v>
      </c>
      <c r="K1592" t="s">
        <v>95</v>
      </c>
      <c r="L1592" t="s">
        <v>138</v>
      </c>
      <c r="M1592" t="s">
        <v>130</v>
      </c>
      <c r="N1592" t="s">
        <v>150</v>
      </c>
      <c r="O1592" t="s">
        <v>1345</v>
      </c>
    </row>
    <row r="1593" spans="1:15" x14ac:dyDescent="0.3">
      <c r="A1593" s="130">
        <v>8304</v>
      </c>
      <c r="B1593" s="130">
        <v>18</v>
      </c>
      <c r="C1593" s="130" t="s">
        <v>3217</v>
      </c>
      <c r="D1593">
        <v>12930</v>
      </c>
      <c r="E1593" s="130">
        <v>34597906</v>
      </c>
      <c r="F1593" t="s">
        <v>87</v>
      </c>
      <c r="G1593">
        <v>9135</v>
      </c>
      <c r="H1593" t="s">
        <v>8952</v>
      </c>
      <c r="I1593" s="130">
        <v>10</v>
      </c>
      <c r="J1593" t="s">
        <v>3217</v>
      </c>
      <c r="K1593" t="s">
        <v>108</v>
      </c>
      <c r="L1593" t="s">
        <v>127</v>
      </c>
      <c r="M1593" t="s">
        <v>112</v>
      </c>
      <c r="N1593" t="s">
        <v>118</v>
      </c>
      <c r="O1593" t="s">
        <v>116</v>
      </c>
    </row>
    <row r="1594" spans="1:15" x14ac:dyDescent="0.3">
      <c r="A1594" s="130">
        <v>8307</v>
      </c>
      <c r="B1594" s="130">
        <v>2</v>
      </c>
      <c r="C1594" s="130" t="s">
        <v>3218</v>
      </c>
      <c r="D1594">
        <v>12937</v>
      </c>
      <c r="E1594" s="130">
        <v>30100373</v>
      </c>
      <c r="F1594" t="s">
        <v>87</v>
      </c>
      <c r="G1594">
        <v>9135</v>
      </c>
      <c r="H1594" t="s">
        <v>8953</v>
      </c>
      <c r="I1594" s="130">
        <v>37</v>
      </c>
      <c r="J1594" t="s">
        <v>3218</v>
      </c>
      <c r="K1594" t="s">
        <v>95</v>
      </c>
      <c r="L1594" t="s">
        <v>183</v>
      </c>
      <c r="M1594" t="s">
        <v>224</v>
      </c>
      <c r="N1594" t="s">
        <v>152</v>
      </c>
      <c r="O1594" t="s">
        <v>1345</v>
      </c>
    </row>
    <row r="1595" spans="1:15" x14ac:dyDescent="0.3">
      <c r="A1595" s="130">
        <v>8308</v>
      </c>
      <c r="B1595" s="130">
        <v>15</v>
      </c>
      <c r="C1595" s="130" t="s">
        <v>3219</v>
      </c>
      <c r="D1595">
        <v>12940</v>
      </c>
      <c r="E1595" s="131">
        <v>4364893</v>
      </c>
      <c r="F1595" t="s">
        <v>87</v>
      </c>
      <c r="G1595">
        <v>9135</v>
      </c>
      <c r="H1595" t="s">
        <v>8951</v>
      </c>
      <c r="I1595" s="130">
        <v>24</v>
      </c>
      <c r="J1595" t="s">
        <v>3219</v>
      </c>
      <c r="K1595" t="s">
        <v>108</v>
      </c>
      <c r="L1595" t="s">
        <v>191</v>
      </c>
      <c r="M1595" t="s">
        <v>145</v>
      </c>
      <c r="N1595" t="s">
        <v>114</v>
      </c>
      <c r="O1595" t="s">
        <v>1345</v>
      </c>
    </row>
    <row r="1596" spans="1:15" x14ac:dyDescent="0.3">
      <c r="A1596" s="130">
        <v>8310</v>
      </c>
      <c r="B1596" s="130">
        <v>30</v>
      </c>
      <c r="C1596" s="130" t="s">
        <v>3220</v>
      </c>
      <c r="D1596">
        <v>12948</v>
      </c>
      <c r="E1596" s="130">
        <v>36178464</v>
      </c>
      <c r="F1596" t="s">
        <v>87</v>
      </c>
      <c r="G1596">
        <v>9135</v>
      </c>
      <c r="H1596" t="s">
        <v>8952</v>
      </c>
      <c r="I1596" s="131">
        <v>37</v>
      </c>
      <c r="J1596" t="s">
        <v>3220</v>
      </c>
      <c r="K1596" t="s">
        <v>95</v>
      </c>
      <c r="L1596" t="s">
        <v>138</v>
      </c>
      <c r="M1596" t="s">
        <v>103</v>
      </c>
      <c r="N1596" t="s">
        <v>150</v>
      </c>
      <c r="O1596" t="s">
        <v>1345</v>
      </c>
    </row>
    <row r="1597" spans="1:15" x14ac:dyDescent="0.3">
      <c r="A1597" s="130">
        <v>8319</v>
      </c>
      <c r="B1597" s="130">
        <v>18</v>
      </c>
      <c r="C1597" s="130" t="s">
        <v>3221</v>
      </c>
      <c r="D1597">
        <v>12960</v>
      </c>
      <c r="E1597" s="130">
        <v>19235340</v>
      </c>
      <c r="F1597" t="s">
        <v>87</v>
      </c>
      <c r="G1597">
        <v>9135</v>
      </c>
      <c r="H1597" t="s">
        <v>8953</v>
      </c>
      <c r="I1597" s="131">
        <v>3</v>
      </c>
      <c r="J1597" t="s">
        <v>3221</v>
      </c>
      <c r="K1597" t="s">
        <v>108</v>
      </c>
      <c r="L1597" t="s">
        <v>111</v>
      </c>
      <c r="M1597" t="s">
        <v>112</v>
      </c>
      <c r="N1597" t="s">
        <v>98</v>
      </c>
      <c r="O1597" t="s">
        <v>116</v>
      </c>
    </row>
    <row r="1598" spans="1:15" x14ac:dyDescent="0.3">
      <c r="A1598" s="130">
        <v>8331</v>
      </c>
      <c r="B1598" s="130">
        <v>90</v>
      </c>
      <c r="C1598" s="130" t="s">
        <v>3222</v>
      </c>
      <c r="D1598">
        <v>12978</v>
      </c>
      <c r="E1598" s="131">
        <v>655209</v>
      </c>
      <c r="F1598" t="s">
        <v>87</v>
      </c>
      <c r="G1598">
        <v>9135</v>
      </c>
      <c r="H1598" t="s">
        <v>8951</v>
      </c>
      <c r="I1598" s="130">
        <v>9</v>
      </c>
      <c r="J1598" t="s">
        <v>3222</v>
      </c>
      <c r="K1598" t="s">
        <v>95</v>
      </c>
      <c r="L1598" t="s">
        <v>181</v>
      </c>
      <c r="M1598" t="s">
        <v>170</v>
      </c>
      <c r="N1598" t="s">
        <v>118</v>
      </c>
      <c r="O1598" t="s">
        <v>116</v>
      </c>
    </row>
    <row r="1599" spans="1:15" x14ac:dyDescent="0.3">
      <c r="A1599" s="130">
        <v>8335</v>
      </c>
      <c r="B1599" s="130">
        <v>30</v>
      </c>
      <c r="C1599" s="130" t="s">
        <v>3223</v>
      </c>
      <c r="D1599">
        <v>12986</v>
      </c>
      <c r="E1599" s="130">
        <v>12343604</v>
      </c>
      <c r="F1599" t="s">
        <v>87</v>
      </c>
      <c r="G1599">
        <v>9135</v>
      </c>
      <c r="H1599" t="s">
        <v>8952</v>
      </c>
      <c r="I1599" s="130">
        <v>19</v>
      </c>
      <c r="J1599" t="s">
        <v>3223</v>
      </c>
      <c r="K1599" t="s">
        <v>108</v>
      </c>
      <c r="L1599" t="s">
        <v>146</v>
      </c>
      <c r="M1599" t="s">
        <v>103</v>
      </c>
      <c r="N1599" t="s">
        <v>98</v>
      </c>
      <c r="O1599" t="s">
        <v>1345</v>
      </c>
    </row>
    <row r="1600" spans="1:15" x14ac:dyDescent="0.3">
      <c r="A1600" s="130">
        <v>8344</v>
      </c>
      <c r="B1600" s="130">
        <v>-1</v>
      </c>
      <c r="C1600" s="130" t="s">
        <v>3224</v>
      </c>
      <c r="D1600">
        <v>13005</v>
      </c>
      <c r="E1600" s="131">
        <v>44587861</v>
      </c>
      <c r="F1600" t="s">
        <v>87</v>
      </c>
      <c r="G1600">
        <v>9135</v>
      </c>
      <c r="H1600" t="s">
        <v>8953</v>
      </c>
      <c r="I1600" s="131">
        <v>24</v>
      </c>
      <c r="J1600" t="s">
        <v>3224</v>
      </c>
      <c r="K1600" t="s">
        <v>108</v>
      </c>
      <c r="L1600" t="s">
        <v>191</v>
      </c>
      <c r="M1600" t="s">
        <v>174</v>
      </c>
      <c r="N1600" t="s">
        <v>114</v>
      </c>
      <c r="O1600" t="s">
        <v>1345</v>
      </c>
    </row>
    <row r="1601" spans="1:15" x14ac:dyDescent="0.3">
      <c r="A1601" s="130">
        <v>8354</v>
      </c>
      <c r="B1601" s="130">
        <v>30</v>
      </c>
      <c r="C1601" s="130" t="s">
        <v>3225</v>
      </c>
      <c r="D1601">
        <v>13016</v>
      </c>
      <c r="E1601" s="130">
        <v>33000167</v>
      </c>
      <c r="F1601" t="s">
        <v>87</v>
      </c>
      <c r="G1601">
        <v>9135</v>
      </c>
      <c r="H1601" t="s">
        <v>8951</v>
      </c>
      <c r="I1601" s="131">
        <v>24</v>
      </c>
      <c r="J1601" t="s">
        <v>3225</v>
      </c>
      <c r="K1601" t="s">
        <v>95</v>
      </c>
      <c r="L1601" t="s">
        <v>102</v>
      </c>
      <c r="M1601" t="s">
        <v>103</v>
      </c>
      <c r="N1601" t="s">
        <v>114</v>
      </c>
      <c r="O1601" t="s">
        <v>1345</v>
      </c>
    </row>
    <row r="1602" spans="1:15" x14ac:dyDescent="0.3">
      <c r="A1602" s="130">
        <v>8357</v>
      </c>
      <c r="B1602" s="130">
        <v>18</v>
      </c>
      <c r="C1602" s="130" t="s">
        <v>3226</v>
      </c>
      <c r="D1602">
        <v>13019</v>
      </c>
      <c r="E1602" s="130">
        <v>17344459</v>
      </c>
      <c r="F1602" t="s">
        <v>87</v>
      </c>
      <c r="G1602">
        <v>9135</v>
      </c>
      <c r="H1602" t="s">
        <v>8952</v>
      </c>
      <c r="I1602" s="130">
        <v>37</v>
      </c>
      <c r="J1602" t="s">
        <v>3226</v>
      </c>
      <c r="K1602" t="s">
        <v>95</v>
      </c>
      <c r="L1602" t="s">
        <v>138</v>
      </c>
      <c r="M1602" t="s">
        <v>112</v>
      </c>
      <c r="N1602" t="s">
        <v>114</v>
      </c>
      <c r="O1602" t="s">
        <v>1345</v>
      </c>
    </row>
    <row r="1603" spans="1:15" x14ac:dyDescent="0.3">
      <c r="A1603" s="130">
        <v>8370</v>
      </c>
      <c r="B1603" s="130">
        <v>90</v>
      </c>
      <c r="C1603" s="130" t="s">
        <v>3227</v>
      </c>
      <c r="D1603">
        <v>13038</v>
      </c>
      <c r="E1603" s="131">
        <v>655209</v>
      </c>
      <c r="F1603" t="s">
        <v>87</v>
      </c>
      <c r="G1603">
        <v>9135</v>
      </c>
      <c r="H1603" t="s">
        <v>8953</v>
      </c>
      <c r="I1603" s="130">
        <v>9</v>
      </c>
      <c r="J1603" t="s">
        <v>3227</v>
      </c>
      <c r="K1603" t="s">
        <v>95</v>
      </c>
      <c r="L1603" t="s">
        <v>252</v>
      </c>
      <c r="M1603" t="s">
        <v>170</v>
      </c>
      <c r="N1603" t="s">
        <v>118</v>
      </c>
      <c r="O1603" t="s">
        <v>1256</v>
      </c>
    </row>
    <row r="1604" spans="1:15" x14ac:dyDescent="0.3">
      <c r="A1604" s="130">
        <v>8374</v>
      </c>
      <c r="B1604" s="130">
        <v>10</v>
      </c>
      <c r="C1604" s="130" t="s">
        <v>3228</v>
      </c>
      <c r="D1604">
        <v>13046</v>
      </c>
      <c r="E1604" s="130">
        <v>8380141</v>
      </c>
      <c r="F1604" t="s">
        <v>87</v>
      </c>
      <c r="G1604">
        <v>358</v>
      </c>
      <c r="H1604" t="s">
        <v>8951</v>
      </c>
      <c r="I1604" s="130">
        <v>3</v>
      </c>
      <c r="J1604" t="s">
        <v>3228</v>
      </c>
      <c r="K1604" t="s">
        <v>108</v>
      </c>
      <c r="L1604" t="s">
        <v>109</v>
      </c>
      <c r="M1604" t="s">
        <v>133</v>
      </c>
      <c r="N1604" t="s">
        <v>98</v>
      </c>
      <c r="O1604" t="s">
        <v>1345</v>
      </c>
    </row>
    <row r="1605" spans="1:15" x14ac:dyDescent="0.3">
      <c r="A1605" s="130">
        <v>8376</v>
      </c>
      <c r="B1605" s="130">
        <v>18</v>
      </c>
      <c r="C1605" s="130" t="s">
        <v>3229</v>
      </c>
      <c r="D1605">
        <v>13048</v>
      </c>
      <c r="E1605" s="130">
        <v>8056030</v>
      </c>
      <c r="F1605" t="s">
        <v>87</v>
      </c>
      <c r="G1605">
        <v>9135</v>
      </c>
      <c r="H1605" t="s">
        <v>8952</v>
      </c>
      <c r="I1605" s="131">
        <v>26</v>
      </c>
      <c r="J1605" t="s">
        <v>3229</v>
      </c>
      <c r="K1605" t="s">
        <v>95</v>
      </c>
      <c r="L1605" t="s">
        <v>151</v>
      </c>
      <c r="M1605" t="s">
        <v>112</v>
      </c>
      <c r="N1605" t="s">
        <v>169</v>
      </c>
      <c r="O1605" t="s">
        <v>116</v>
      </c>
    </row>
    <row r="1606" spans="1:15" x14ac:dyDescent="0.3">
      <c r="A1606" s="130">
        <v>8377</v>
      </c>
      <c r="B1606" s="130">
        <v>15</v>
      </c>
      <c r="C1606" s="130" t="s">
        <v>3230</v>
      </c>
      <c r="D1606">
        <v>13047</v>
      </c>
      <c r="E1606" s="130">
        <v>18742098</v>
      </c>
      <c r="F1606" t="s">
        <v>87</v>
      </c>
      <c r="G1606">
        <v>9135</v>
      </c>
      <c r="H1606" t="s">
        <v>8953</v>
      </c>
      <c r="I1606" s="130">
        <v>38</v>
      </c>
      <c r="J1606" t="s">
        <v>3230</v>
      </c>
      <c r="K1606" t="s">
        <v>108</v>
      </c>
      <c r="L1606" t="s">
        <v>126</v>
      </c>
      <c r="M1606" t="s">
        <v>145</v>
      </c>
      <c r="N1606" t="s">
        <v>98</v>
      </c>
      <c r="O1606" t="s">
        <v>1345</v>
      </c>
    </row>
    <row r="1607" spans="1:15" x14ac:dyDescent="0.3">
      <c r="A1607" s="130">
        <v>8383</v>
      </c>
      <c r="B1607" s="130">
        <v>60</v>
      </c>
      <c r="C1607" s="130" t="s">
        <v>3231</v>
      </c>
      <c r="D1607">
        <v>13032</v>
      </c>
      <c r="E1607" s="130">
        <v>33592510</v>
      </c>
      <c r="F1607" t="s">
        <v>87</v>
      </c>
      <c r="G1607">
        <v>77</v>
      </c>
      <c r="H1607" t="s">
        <v>8951</v>
      </c>
      <c r="I1607" s="130">
        <v>3</v>
      </c>
      <c r="J1607" t="s">
        <v>3231</v>
      </c>
      <c r="K1607" t="s">
        <v>95</v>
      </c>
      <c r="L1607" t="s">
        <v>117</v>
      </c>
      <c r="M1607" t="s">
        <v>97</v>
      </c>
      <c r="N1607" t="s">
        <v>124</v>
      </c>
      <c r="O1607" t="s">
        <v>1345</v>
      </c>
    </row>
    <row r="1608" spans="1:15" x14ac:dyDescent="0.3">
      <c r="A1608" s="130">
        <v>8385</v>
      </c>
      <c r="B1608" s="130">
        <v>30</v>
      </c>
      <c r="C1608" s="130" t="s">
        <v>3232</v>
      </c>
      <c r="D1608">
        <v>13056</v>
      </c>
      <c r="E1608" s="131">
        <v>507949</v>
      </c>
      <c r="F1608" t="s">
        <v>87</v>
      </c>
      <c r="G1608">
        <v>9135</v>
      </c>
      <c r="H1608" t="s">
        <v>8952</v>
      </c>
      <c r="I1608" s="130">
        <v>19</v>
      </c>
      <c r="J1608" t="s">
        <v>3232</v>
      </c>
      <c r="K1608" t="s">
        <v>108</v>
      </c>
      <c r="L1608" t="s">
        <v>146</v>
      </c>
      <c r="M1608" t="s">
        <v>103</v>
      </c>
      <c r="N1608" t="s">
        <v>98</v>
      </c>
      <c r="O1608" t="s">
        <v>1345</v>
      </c>
    </row>
    <row r="1609" spans="1:15" x14ac:dyDescent="0.3">
      <c r="A1609" s="130">
        <v>8394</v>
      </c>
      <c r="B1609" s="130">
        <v>45</v>
      </c>
      <c r="C1609" s="130" t="s">
        <v>3233</v>
      </c>
      <c r="D1609">
        <v>13069</v>
      </c>
      <c r="E1609" s="131">
        <v>49930514</v>
      </c>
      <c r="F1609" t="s">
        <v>87</v>
      </c>
      <c r="G1609">
        <v>9135</v>
      </c>
      <c r="H1609" t="s">
        <v>8953</v>
      </c>
      <c r="I1609" s="130">
        <v>37</v>
      </c>
      <c r="J1609" t="s">
        <v>3233</v>
      </c>
      <c r="K1609" t="s">
        <v>108</v>
      </c>
      <c r="L1609" t="s">
        <v>120</v>
      </c>
      <c r="M1609" t="s">
        <v>106</v>
      </c>
      <c r="N1609" t="s">
        <v>216</v>
      </c>
      <c r="O1609" t="s">
        <v>116</v>
      </c>
    </row>
    <row r="1610" spans="1:15" x14ac:dyDescent="0.3">
      <c r="A1610" s="130">
        <v>8404</v>
      </c>
      <c r="B1610" s="130">
        <v>30</v>
      </c>
      <c r="C1610" s="130" t="s">
        <v>3234</v>
      </c>
      <c r="D1610">
        <v>13067</v>
      </c>
      <c r="E1610" s="131">
        <v>31260089</v>
      </c>
      <c r="F1610" t="s">
        <v>87</v>
      </c>
      <c r="G1610">
        <v>9135</v>
      </c>
      <c r="H1610" t="s">
        <v>8951</v>
      </c>
      <c r="I1610" s="131">
        <v>19</v>
      </c>
      <c r="J1610" t="s">
        <v>3234</v>
      </c>
      <c r="K1610" t="s">
        <v>108</v>
      </c>
      <c r="L1610" t="s">
        <v>146</v>
      </c>
      <c r="M1610" t="s">
        <v>103</v>
      </c>
      <c r="N1610" t="s">
        <v>98</v>
      </c>
      <c r="O1610" t="s">
        <v>1345</v>
      </c>
    </row>
    <row r="1611" spans="1:15" x14ac:dyDescent="0.3">
      <c r="A1611" s="130">
        <v>8408</v>
      </c>
      <c r="B1611" s="130">
        <v>30</v>
      </c>
      <c r="C1611" s="130" t="s">
        <v>3235</v>
      </c>
      <c r="D1611">
        <v>13088</v>
      </c>
      <c r="E1611" s="131">
        <v>20458968</v>
      </c>
      <c r="F1611" t="s">
        <v>87</v>
      </c>
      <c r="G1611">
        <v>9135</v>
      </c>
      <c r="H1611" t="s">
        <v>8952</v>
      </c>
      <c r="I1611" s="131">
        <v>3</v>
      </c>
      <c r="J1611" t="s">
        <v>3235</v>
      </c>
      <c r="K1611" t="s">
        <v>95</v>
      </c>
      <c r="L1611" t="s">
        <v>111</v>
      </c>
      <c r="M1611" t="s">
        <v>103</v>
      </c>
      <c r="N1611" t="s">
        <v>98</v>
      </c>
      <c r="O1611" t="s">
        <v>1345</v>
      </c>
    </row>
    <row r="1612" spans="1:15" x14ac:dyDescent="0.3">
      <c r="A1612" s="130">
        <v>8412</v>
      </c>
      <c r="B1612" s="130">
        <v>30</v>
      </c>
      <c r="C1612" s="130" t="s">
        <v>3236</v>
      </c>
      <c r="D1612">
        <v>13095</v>
      </c>
      <c r="E1612" s="131">
        <v>25225088</v>
      </c>
      <c r="F1612" t="s">
        <v>87</v>
      </c>
      <c r="G1612">
        <v>77</v>
      </c>
      <c r="H1612" t="s">
        <v>8953</v>
      </c>
      <c r="I1612" s="131">
        <v>18</v>
      </c>
      <c r="J1612" t="s">
        <v>3236</v>
      </c>
      <c r="K1612" t="s">
        <v>95</v>
      </c>
      <c r="L1612" t="s">
        <v>256</v>
      </c>
      <c r="M1612" t="s">
        <v>103</v>
      </c>
      <c r="N1612" t="s">
        <v>98</v>
      </c>
      <c r="O1612" t="s">
        <v>116</v>
      </c>
    </row>
    <row r="1613" spans="1:15" x14ac:dyDescent="0.3">
      <c r="A1613" s="130">
        <v>8413</v>
      </c>
      <c r="B1613" s="130">
        <v>10</v>
      </c>
      <c r="C1613" s="130" t="s">
        <v>3237</v>
      </c>
      <c r="D1613">
        <v>13094</v>
      </c>
      <c r="E1613" s="131">
        <v>58062365</v>
      </c>
      <c r="F1613" t="s">
        <v>87</v>
      </c>
      <c r="G1613">
        <v>9135</v>
      </c>
      <c r="H1613" t="s">
        <v>8951</v>
      </c>
      <c r="I1613" s="130">
        <v>10</v>
      </c>
      <c r="J1613" t="s">
        <v>3237</v>
      </c>
      <c r="K1613" t="s">
        <v>108</v>
      </c>
      <c r="L1613" t="s">
        <v>105</v>
      </c>
      <c r="M1613" t="s">
        <v>133</v>
      </c>
      <c r="N1613" t="s">
        <v>101</v>
      </c>
      <c r="O1613" t="s">
        <v>116</v>
      </c>
    </row>
    <row r="1614" spans="1:15" x14ac:dyDescent="0.3">
      <c r="A1614" s="130">
        <v>8417</v>
      </c>
      <c r="B1614" s="130">
        <v>15</v>
      </c>
      <c r="C1614" s="130" t="s">
        <v>3238</v>
      </c>
      <c r="D1614">
        <v>13102</v>
      </c>
      <c r="E1614" s="131">
        <v>15302061</v>
      </c>
      <c r="F1614" t="s">
        <v>87</v>
      </c>
      <c r="G1614">
        <v>9135</v>
      </c>
      <c r="H1614" t="s">
        <v>8952</v>
      </c>
      <c r="I1614" s="131">
        <v>38</v>
      </c>
      <c r="J1614" t="s">
        <v>3238</v>
      </c>
      <c r="K1614" t="s">
        <v>108</v>
      </c>
      <c r="L1614" t="s">
        <v>126</v>
      </c>
      <c r="M1614" t="s">
        <v>145</v>
      </c>
      <c r="N1614" t="s">
        <v>141</v>
      </c>
      <c r="O1614" t="s">
        <v>1345</v>
      </c>
    </row>
    <row r="1615" spans="1:15" x14ac:dyDescent="0.3">
      <c r="A1615" s="130">
        <v>8422</v>
      </c>
      <c r="B1615" s="130">
        <v>28</v>
      </c>
      <c r="C1615" s="130" t="s">
        <v>3239</v>
      </c>
      <c r="D1615">
        <v>13108</v>
      </c>
      <c r="E1615" s="131">
        <v>17164435</v>
      </c>
      <c r="F1615" t="s">
        <v>87</v>
      </c>
      <c r="G1615">
        <v>9135</v>
      </c>
      <c r="H1615" t="s">
        <v>8953</v>
      </c>
      <c r="I1615" s="131">
        <v>3</v>
      </c>
      <c r="J1615" t="s">
        <v>3239</v>
      </c>
      <c r="K1615" t="s">
        <v>95</v>
      </c>
      <c r="L1615" t="s">
        <v>109</v>
      </c>
      <c r="M1615" t="s">
        <v>130</v>
      </c>
      <c r="N1615" t="s">
        <v>98</v>
      </c>
      <c r="O1615" t="s">
        <v>116</v>
      </c>
    </row>
    <row r="1616" spans="1:15" x14ac:dyDescent="0.3">
      <c r="A1616" s="130">
        <v>8426</v>
      </c>
      <c r="B1616" s="130">
        <v>30</v>
      </c>
      <c r="C1616" s="130" t="s">
        <v>3240</v>
      </c>
      <c r="D1616">
        <v>13115</v>
      </c>
      <c r="E1616" s="131">
        <v>17159856</v>
      </c>
      <c r="F1616" t="s">
        <v>87</v>
      </c>
      <c r="G1616">
        <v>9135</v>
      </c>
      <c r="H1616" t="s">
        <v>8951</v>
      </c>
      <c r="I1616" s="131">
        <v>3</v>
      </c>
      <c r="J1616" t="s">
        <v>3240</v>
      </c>
      <c r="K1616" t="s">
        <v>95</v>
      </c>
      <c r="L1616" t="s">
        <v>111</v>
      </c>
      <c r="M1616" t="s">
        <v>103</v>
      </c>
      <c r="N1616" t="s">
        <v>98</v>
      </c>
      <c r="O1616" t="s">
        <v>1345</v>
      </c>
    </row>
    <row r="1617" spans="1:15" x14ac:dyDescent="0.3">
      <c r="A1617" s="130">
        <v>8427</v>
      </c>
      <c r="B1617" s="130">
        <v>30</v>
      </c>
      <c r="C1617" s="130" t="s">
        <v>3241</v>
      </c>
      <c r="D1617">
        <v>13117</v>
      </c>
      <c r="E1617" s="131">
        <v>61150751</v>
      </c>
      <c r="F1617" t="s">
        <v>87</v>
      </c>
      <c r="G1617">
        <v>9135</v>
      </c>
      <c r="H1617" t="s">
        <v>8952</v>
      </c>
      <c r="I1617" s="131">
        <v>24</v>
      </c>
      <c r="J1617" t="s">
        <v>3241</v>
      </c>
      <c r="K1617" t="s">
        <v>108</v>
      </c>
      <c r="L1617" t="s">
        <v>191</v>
      </c>
      <c r="M1617" t="s">
        <v>103</v>
      </c>
      <c r="N1617" t="s">
        <v>114</v>
      </c>
      <c r="O1617" t="s">
        <v>116</v>
      </c>
    </row>
    <row r="1618" spans="1:15" x14ac:dyDescent="0.3">
      <c r="A1618" s="130">
        <v>8440</v>
      </c>
      <c r="B1618" s="130">
        <v>15</v>
      </c>
      <c r="C1618" s="130" t="s">
        <v>3242</v>
      </c>
      <c r="D1618">
        <v>13135</v>
      </c>
      <c r="E1618" s="131">
        <v>12498992</v>
      </c>
      <c r="F1618" t="s">
        <v>87</v>
      </c>
      <c r="G1618">
        <v>9135</v>
      </c>
      <c r="H1618" t="s">
        <v>8953</v>
      </c>
      <c r="I1618" s="130">
        <v>24</v>
      </c>
      <c r="J1618" t="s">
        <v>3242</v>
      </c>
      <c r="K1618" t="s">
        <v>108</v>
      </c>
      <c r="L1618" t="s">
        <v>191</v>
      </c>
      <c r="M1618" t="s">
        <v>145</v>
      </c>
      <c r="N1618" t="s">
        <v>98</v>
      </c>
      <c r="O1618" t="s">
        <v>1345</v>
      </c>
    </row>
    <row r="1619" spans="1:15" x14ac:dyDescent="0.3">
      <c r="A1619" s="130">
        <v>8448</v>
      </c>
      <c r="B1619" s="130">
        <v>-1</v>
      </c>
      <c r="C1619" s="130" t="s">
        <v>3243</v>
      </c>
      <c r="D1619">
        <v>13150</v>
      </c>
      <c r="E1619" s="130">
        <v>45174714</v>
      </c>
      <c r="F1619" t="s">
        <v>87</v>
      </c>
      <c r="G1619">
        <v>9135</v>
      </c>
      <c r="H1619" t="s">
        <v>8951</v>
      </c>
      <c r="I1619" s="131">
        <v>38</v>
      </c>
      <c r="J1619" t="s">
        <v>3243</v>
      </c>
      <c r="K1619" t="s">
        <v>108</v>
      </c>
      <c r="L1619" t="s">
        <v>126</v>
      </c>
      <c r="M1619" t="s">
        <v>174</v>
      </c>
      <c r="N1619" t="s">
        <v>152</v>
      </c>
      <c r="O1619" t="s">
        <v>1345</v>
      </c>
    </row>
    <row r="1620" spans="1:15" x14ac:dyDescent="0.3">
      <c r="A1620" s="130">
        <v>8451</v>
      </c>
      <c r="B1620" s="130">
        <v>30</v>
      </c>
      <c r="C1620" s="130" t="s">
        <v>3244</v>
      </c>
      <c r="D1620">
        <v>13157</v>
      </c>
      <c r="E1620" s="131">
        <v>33000167</v>
      </c>
      <c r="F1620" t="s">
        <v>87</v>
      </c>
      <c r="G1620">
        <v>9135</v>
      </c>
      <c r="H1620" t="s">
        <v>8952</v>
      </c>
      <c r="I1620" s="130">
        <v>24</v>
      </c>
      <c r="J1620" t="s">
        <v>3244</v>
      </c>
      <c r="K1620" t="s">
        <v>95</v>
      </c>
      <c r="L1620" t="s">
        <v>102</v>
      </c>
      <c r="M1620" t="s">
        <v>103</v>
      </c>
      <c r="N1620" t="s">
        <v>114</v>
      </c>
      <c r="O1620" t="s">
        <v>116</v>
      </c>
    </row>
    <row r="1621" spans="1:15" x14ac:dyDescent="0.3">
      <c r="A1621" s="130">
        <v>8454</v>
      </c>
      <c r="B1621" s="130">
        <v>18</v>
      </c>
      <c r="C1621" s="130" t="s">
        <v>3245</v>
      </c>
      <c r="D1621">
        <v>13162</v>
      </c>
      <c r="E1621" s="131">
        <v>10514417</v>
      </c>
      <c r="F1621" t="s">
        <v>87</v>
      </c>
      <c r="G1621">
        <v>9135</v>
      </c>
      <c r="H1621" t="s">
        <v>8953</v>
      </c>
      <c r="I1621" s="131">
        <v>10</v>
      </c>
      <c r="J1621" t="s">
        <v>3245</v>
      </c>
      <c r="K1621" t="s">
        <v>108</v>
      </c>
      <c r="L1621" t="s">
        <v>127</v>
      </c>
      <c r="M1621" t="s">
        <v>112</v>
      </c>
      <c r="N1621" t="s">
        <v>118</v>
      </c>
      <c r="O1621" t="s">
        <v>116</v>
      </c>
    </row>
    <row r="1622" spans="1:15" x14ac:dyDescent="0.3">
      <c r="A1622" s="130">
        <v>8455</v>
      </c>
      <c r="B1622" s="130">
        <v>18</v>
      </c>
      <c r="C1622" s="130" t="s">
        <v>3246</v>
      </c>
      <c r="D1622">
        <v>13163</v>
      </c>
      <c r="E1622" s="131">
        <v>16836669</v>
      </c>
      <c r="F1622" t="s">
        <v>87</v>
      </c>
      <c r="G1622">
        <v>9135</v>
      </c>
      <c r="H1622" t="s">
        <v>8951</v>
      </c>
      <c r="I1622" s="130">
        <v>10</v>
      </c>
      <c r="J1622" t="s">
        <v>3246</v>
      </c>
      <c r="K1622" t="s">
        <v>108</v>
      </c>
      <c r="L1622" t="s">
        <v>127</v>
      </c>
      <c r="M1622" t="s">
        <v>112</v>
      </c>
      <c r="N1622" t="s">
        <v>152</v>
      </c>
      <c r="O1622" t="s">
        <v>1345</v>
      </c>
    </row>
    <row r="1623" spans="1:15" x14ac:dyDescent="0.3">
      <c r="A1623" s="130">
        <v>8458</v>
      </c>
      <c r="B1623" s="130">
        <v>30</v>
      </c>
      <c r="C1623" s="130" t="s">
        <v>3247</v>
      </c>
      <c r="D1623">
        <v>13166</v>
      </c>
      <c r="E1623" s="131">
        <v>42644220</v>
      </c>
      <c r="F1623" t="s">
        <v>87</v>
      </c>
      <c r="G1623">
        <v>9135</v>
      </c>
      <c r="H1623" t="s">
        <v>8952</v>
      </c>
      <c r="I1623" s="131">
        <v>18</v>
      </c>
      <c r="J1623" t="s">
        <v>3247</v>
      </c>
      <c r="K1623" t="s">
        <v>95</v>
      </c>
      <c r="L1623" t="s">
        <v>123</v>
      </c>
      <c r="M1623" t="s">
        <v>103</v>
      </c>
      <c r="N1623" t="s">
        <v>101</v>
      </c>
      <c r="O1623" t="s">
        <v>116</v>
      </c>
    </row>
    <row r="1624" spans="1:15" x14ac:dyDescent="0.3">
      <c r="A1624" s="130">
        <v>8459</v>
      </c>
      <c r="B1624" s="130">
        <v>30</v>
      </c>
      <c r="C1624" s="130" t="s">
        <v>3248</v>
      </c>
      <c r="D1624">
        <v>13168</v>
      </c>
      <c r="E1624" s="131">
        <v>42644220</v>
      </c>
      <c r="F1624" t="s">
        <v>87</v>
      </c>
      <c r="G1624">
        <v>9135</v>
      </c>
      <c r="H1624" t="s">
        <v>8953</v>
      </c>
      <c r="I1624" s="131">
        <v>18</v>
      </c>
      <c r="J1624" t="s">
        <v>3248</v>
      </c>
      <c r="K1624" t="s">
        <v>95</v>
      </c>
      <c r="L1624" t="s">
        <v>123</v>
      </c>
      <c r="M1624" t="s">
        <v>103</v>
      </c>
      <c r="N1624" t="s">
        <v>101</v>
      </c>
      <c r="O1624" t="s">
        <v>1345</v>
      </c>
    </row>
    <row r="1625" spans="1:15" x14ac:dyDescent="0.3">
      <c r="A1625" s="130">
        <v>8460</v>
      </c>
      <c r="B1625" s="131">
        <v>10</v>
      </c>
      <c r="C1625" s="130" t="s">
        <v>3249</v>
      </c>
      <c r="D1625">
        <v>13170</v>
      </c>
      <c r="E1625" s="131">
        <v>31113270</v>
      </c>
      <c r="F1625" t="s">
        <v>113</v>
      </c>
      <c r="G1625">
        <v>358</v>
      </c>
      <c r="H1625" t="s">
        <v>8951</v>
      </c>
      <c r="I1625" s="131">
        <v>3</v>
      </c>
      <c r="J1625" t="s">
        <v>3249</v>
      </c>
      <c r="K1625" t="s">
        <v>95</v>
      </c>
      <c r="L1625" t="s">
        <v>109</v>
      </c>
      <c r="M1625" t="s">
        <v>133</v>
      </c>
      <c r="N1625" t="s">
        <v>98</v>
      </c>
      <c r="O1625" t="s">
        <v>1256</v>
      </c>
    </row>
    <row r="1626" spans="1:15" x14ac:dyDescent="0.3">
      <c r="A1626" s="130">
        <v>8464</v>
      </c>
      <c r="B1626" s="130">
        <v>0</v>
      </c>
      <c r="C1626" s="130" t="s">
        <v>3250</v>
      </c>
      <c r="D1626">
        <v>13146</v>
      </c>
      <c r="E1626" s="130">
        <v>38625489</v>
      </c>
      <c r="F1626" t="s">
        <v>87</v>
      </c>
      <c r="G1626">
        <v>9135</v>
      </c>
      <c r="H1626" t="s">
        <v>8952</v>
      </c>
      <c r="I1626" s="130">
        <v>3</v>
      </c>
      <c r="J1626" t="s">
        <v>3250</v>
      </c>
      <c r="K1626" t="s">
        <v>108</v>
      </c>
      <c r="L1626" t="s">
        <v>1293</v>
      </c>
      <c r="M1626" t="s">
        <v>100</v>
      </c>
      <c r="N1626" t="s">
        <v>98</v>
      </c>
      <c r="O1626" t="s">
        <v>116</v>
      </c>
    </row>
    <row r="1627" spans="1:15" x14ac:dyDescent="0.3">
      <c r="A1627" s="130">
        <v>8466</v>
      </c>
      <c r="B1627" s="130">
        <v>30</v>
      </c>
      <c r="C1627" s="130" t="s">
        <v>3251</v>
      </c>
      <c r="D1627">
        <v>13186</v>
      </c>
      <c r="E1627" s="130">
        <v>42644220</v>
      </c>
      <c r="F1627" t="s">
        <v>87</v>
      </c>
      <c r="G1627">
        <v>9135</v>
      </c>
      <c r="H1627" t="s">
        <v>8953</v>
      </c>
      <c r="I1627" s="130">
        <v>18</v>
      </c>
      <c r="J1627" t="s">
        <v>3251</v>
      </c>
      <c r="K1627" t="s">
        <v>95</v>
      </c>
      <c r="L1627" t="s">
        <v>123</v>
      </c>
      <c r="M1627" t="s">
        <v>103</v>
      </c>
      <c r="N1627" t="s">
        <v>101</v>
      </c>
      <c r="O1627" t="s">
        <v>116</v>
      </c>
    </row>
    <row r="1628" spans="1:15" x14ac:dyDescent="0.3">
      <c r="A1628" s="130">
        <v>8469</v>
      </c>
      <c r="B1628" s="130">
        <v>30</v>
      </c>
      <c r="C1628" s="130" t="s">
        <v>3252</v>
      </c>
      <c r="D1628">
        <v>13196</v>
      </c>
      <c r="E1628" s="131">
        <v>32040030</v>
      </c>
      <c r="F1628" t="s">
        <v>87</v>
      </c>
      <c r="G1628">
        <v>9135</v>
      </c>
      <c r="H1628" t="s">
        <v>8951</v>
      </c>
      <c r="I1628" s="130">
        <v>18</v>
      </c>
      <c r="J1628" t="s">
        <v>3252</v>
      </c>
      <c r="K1628" t="s">
        <v>95</v>
      </c>
      <c r="L1628" t="s">
        <v>123</v>
      </c>
      <c r="M1628" t="s">
        <v>103</v>
      </c>
      <c r="N1628" t="s">
        <v>98</v>
      </c>
      <c r="O1628" t="s">
        <v>116</v>
      </c>
    </row>
    <row r="1629" spans="1:15" x14ac:dyDescent="0.3">
      <c r="A1629" s="130">
        <v>8473</v>
      </c>
      <c r="B1629" s="130">
        <v>60</v>
      </c>
      <c r="C1629" s="130" t="s">
        <v>3253</v>
      </c>
      <c r="D1629">
        <v>13204</v>
      </c>
      <c r="E1629" s="130">
        <v>9625762</v>
      </c>
      <c r="F1629" t="s">
        <v>87</v>
      </c>
      <c r="G1629">
        <v>9135</v>
      </c>
      <c r="H1629" t="s">
        <v>8952</v>
      </c>
      <c r="I1629" s="131">
        <v>43</v>
      </c>
      <c r="J1629" t="s">
        <v>3253</v>
      </c>
      <c r="K1629" t="s">
        <v>95</v>
      </c>
      <c r="L1629" t="s">
        <v>252</v>
      </c>
      <c r="M1629" t="s">
        <v>97</v>
      </c>
      <c r="N1629" t="s">
        <v>150</v>
      </c>
      <c r="O1629" t="s">
        <v>1256</v>
      </c>
    </row>
    <row r="1630" spans="1:15" x14ac:dyDescent="0.3">
      <c r="A1630" s="130">
        <v>8475</v>
      </c>
      <c r="B1630" s="130">
        <v>18</v>
      </c>
      <c r="C1630" s="130" t="s">
        <v>3254</v>
      </c>
      <c r="D1630">
        <v>13206</v>
      </c>
      <c r="E1630" s="131">
        <v>21231267</v>
      </c>
      <c r="F1630" t="s">
        <v>87</v>
      </c>
      <c r="G1630">
        <v>9135</v>
      </c>
      <c r="H1630" t="s">
        <v>8953</v>
      </c>
      <c r="I1630" s="130">
        <v>10</v>
      </c>
      <c r="J1630" t="s">
        <v>3254</v>
      </c>
      <c r="K1630" t="s">
        <v>95</v>
      </c>
      <c r="L1630" t="s">
        <v>127</v>
      </c>
      <c r="M1630" t="s">
        <v>112</v>
      </c>
      <c r="N1630" t="s">
        <v>141</v>
      </c>
      <c r="O1630" t="s">
        <v>1345</v>
      </c>
    </row>
    <row r="1631" spans="1:15" x14ac:dyDescent="0.3">
      <c r="A1631" s="130">
        <v>8478</v>
      </c>
      <c r="B1631" s="130">
        <v>30</v>
      </c>
      <c r="C1631" s="130" t="s">
        <v>3255</v>
      </c>
      <c r="D1631">
        <v>13210</v>
      </c>
      <c r="E1631" s="130">
        <v>35828163</v>
      </c>
      <c r="F1631" t="s">
        <v>87</v>
      </c>
      <c r="G1631">
        <v>9135</v>
      </c>
      <c r="H1631" t="s">
        <v>8951</v>
      </c>
      <c r="I1631" s="131">
        <v>43</v>
      </c>
      <c r="J1631" t="s">
        <v>3255</v>
      </c>
      <c r="K1631" t="s">
        <v>108</v>
      </c>
      <c r="L1631" t="s">
        <v>159</v>
      </c>
      <c r="M1631" t="s">
        <v>103</v>
      </c>
      <c r="N1631" t="s">
        <v>114</v>
      </c>
      <c r="O1631" t="s">
        <v>1345</v>
      </c>
    </row>
    <row r="1632" spans="1:15" x14ac:dyDescent="0.3">
      <c r="A1632" s="130">
        <v>8491</v>
      </c>
      <c r="B1632" s="130">
        <v>30</v>
      </c>
      <c r="C1632" s="130" t="s">
        <v>3256</v>
      </c>
      <c r="D1632">
        <v>13231</v>
      </c>
      <c r="E1632" s="130">
        <v>21658572</v>
      </c>
      <c r="F1632" t="s">
        <v>87</v>
      </c>
      <c r="G1632">
        <v>9135</v>
      </c>
      <c r="H1632" t="s">
        <v>8952</v>
      </c>
      <c r="I1632" s="130">
        <v>19</v>
      </c>
      <c r="J1632" t="s">
        <v>3256</v>
      </c>
      <c r="K1632" t="s">
        <v>108</v>
      </c>
      <c r="L1632" t="s">
        <v>146</v>
      </c>
      <c r="M1632" t="s">
        <v>103</v>
      </c>
      <c r="N1632" t="s">
        <v>98</v>
      </c>
      <c r="O1632" t="s">
        <v>1345</v>
      </c>
    </row>
    <row r="1633" spans="1:15" x14ac:dyDescent="0.3">
      <c r="A1633" s="130">
        <v>8492</v>
      </c>
      <c r="B1633" s="130">
        <v>18</v>
      </c>
      <c r="C1633" s="130" t="s">
        <v>3257</v>
      </c>
      <c r="D1633">
        <v>13234</v>
      </c>
      <c r="E1633" s="130">
        <v>29040725</v>
      </c>
      <c r="F1633" t="s">
        <v>87</v>
      </c>
      <c r="G1633">
        <v>9135</v>
      </c>
      <c r="H1633" t="s">
        <v>8953</v>
      </c>
      <c r="I1633" s="130">
        <v>26</v>
      </c>
      <c r="J1633" t="s">
        <v>3257</v>
      </c>
      <c r="K1633" t="s">
        <v>108</v>
      </c>
      <c r="L1633" t="s">
        <v>151</v>
      </c>
      <c r="M1633" t="s">
        <v>112</v>
      </c>
      <c r="N1633" t="s">
        <v>169</v>
      </c>
      <c r="O1633" t="s">
        <v>1345</v>
      </c>
    </row>
    <row r="1634" spans="1:15" x14ac:dyDescent="0.3">
      <c r="A1634" s="130">
        <v>8497</v>
      </c>
      <c r="B1634" s="130">
        <v>18</v>
      </c>
      <c r="C1634" s="130" t="s">
        <v>3258</v>
      </c>
      <c r="D1634">
        <v>13240</v>
      </c>
      <c r="E1634" s="130">
        <v>19353908</v>
      </c>
      <c r="F1634" t="s">
        <v>87</v>
      </c>
      <c r="G1634">
        <v>9135</v>
      </c>
      <c r="H1634" t="s">
        <v>8951</v>
      </c>
      <c r="I1634" s="130">
        <v>10</v>
      </c>
      <c r="J1634" t="s">
        <v>3258</v>
      </c>
      <c r="K1634" t="s">
        <v>108</v>
      </c>
      <c r="L1634" t="s">
        <v>127</v>
      </c>
      <c r="M1634" t="s">
        <v>112</v>
      </c>
      <c r="N1634" t="s">
        <v>118</v>
      </c>
      <c r="O1634" t="s">
        <v>1345</v>
      </c>
    </row>
    <row r="1635" spans="1:15" x14ac:dyDescent="0.3">
      <c r="A1635" s="130">
        <v>8500</v>
      </c>
      <c r="B1635" s="130">
        <v>18</v>
      </c>
      <c r="C1635" s="130" t="s">
        <v>3259</v>
      </c>
      <c r="D1635">
        <v>13245</v>
      </c>
      <c r="E1635" s="131">
        <v>22451088</v>
      </c>
      <c r="F1635" t="s">
        <v>87</v>
      </c>
      <c r="G1635">
        <v>9135</v>
      </c>
      <c r="H1635" t="s">
        <v>8952</v>
      </c>
      <c r="I1635" s="131">
        <v>3</v>
      </c>
      <c r="J1635" t="s">
        <v>3259</v>
      </c>
      <c r="K1635" t="s">
        <v>95</v>
      </c>
      <c r="L1635" t="s">
        <v>105</v>
      </c>
      <c r="M1635" t="s">
        <v>112</v>
      </c>
      <c r="N1635" t="s">
        <v>98</v>
      </c>
      <c r="O1635" t="s">
        <v>116</v>
      </c>
    </row>
    <row r="1636" spans="1:15" x14ac:dyDescent="0.3">
      <c r="A1636" s="130">
        <v>8501</v>
      </c>
      <c r="B1636" s="130">
        <v>30</v>
      </c>
      <c r="C1636" s="130" t="s">
        <v>3260</v>
      </c>
      <c r="D1636">
        <v>13246</v>
      </c>
      <c r="E1636" s="131">
        <v>10279488</v>
      </c>
      <c r="F1636" t="s">
        <v>87</v>
      </c>
      <c r="G1636">
        <v>77</v>
      </c>
      <c r="H1636" t="s">
        <v>8953</v>
      </c>
      <c r="I1636" s="130">
        <v>3</v>
      </c>
      <c r="J1636" t="s">
        <v>3260</v>
      </c>
      <c r="K1636" t="s">
        <v>95</v>
      </c>
      <c r="L1636" t="s">
        <v>117</v>
      </c>
      <c r="M1636" t="s">
        <v>103</v>
      </c>
      <c r="N1636" t="s">
        <v>118</v>
      </c>
      <c r="O1636" t="s">
        <v>1345</v>
      </c>
    </row>
    <row r="1637" spans="1:15" x14ac:dyDescent="0.3">
      <c r="A1637" s="130">
        <v>8507</v>
      </c>
      <c r="B1637" s="130">
        <v>10</v>
      </c>
      <c r="C1637" s="130" t="s">
        <v>3261</v>
      </c>
      <c r="D1637">
        <v>13258</v>
      </c>
      <c r="E1637" s="131">
        <v>35588111</v>
      </c>
      <c r="F1637" t="s">
        <v>87</v>
      </c>
      <c r="G1637">
        <v>358</v>
      </c>
      <c r="H1637" t="s">
        <v>8951</v>
      </c>
      <c r="I1637" s="131">
        <v>3</v>
      </c>
      <c r="J1637" t="s">
        <v>3261</v>
      </c>
      <c r="K1637" t="s">
        <v>108</v>
      </c>
      <c r="L1637" t="s">
        <v>111</v>
      </c>
      <c r="M1637" t="s">
        <v>133</v>
      </c>
      <c r="N1637" t="s">
        <v>98</v>
      </c>
      <c r="O1637" t="s">
        <v>1345</v>
      </c>
    </row>
    <row r="1638" spans="1:15" x14ac:dyDescent="0.3">
      <c r="A1638" s="130">
        <v>8509</v>
      </c>
      <c r="B1638" s="130">
        <v>60</v>
      </c>
      <c r="C1638" s="130" t="s">
        <v>3262</v>
      </c>
      <c r="D1638">
        <v>13261</v>
      </c>
      <c r="E1638" s="130">
        <v>9625762</v>
      </c>
      <c r="F1638" t="s">
        <v>87</v>
      </c>
      <c r="G1638">
        <v>9135</v>
      </c>
      <c r="H1638" t="s">
        <v>8952</v>
      </c>
      <c r="I1638" s="130">
        <v>19</v>
      </c>
      <c r="J1638" t="s">
        <v>3262</v>
      </c>
      <c r="K1638" t="s">
        <v>95</v>
      </c>
      <c r="L1638" t="s">
        <v>1368</v>
      </c>
      <c r="M1638" t="s">
        <v>97</v>
      </c>
      <c r="N1638" t="s">
        <v>150</v>
      </c>
      <c r="O1638" t="s">
        <v>116</v>
      </c>
    </row>
    <row r="1639" spans="1:15" x14ac:dyDescent="0.3">
      <c r="A1639" s="130">
        <v>8511</v>
      </c>
      <c r="B1639" s="130">
        <v>60</v>
      </c>
      <c r="C1639" s="130" t="s">
        <v>3263</v>
      </c>
      <c r="D1639">
        <v>13265</v>
      </c>
      <c r="E1639" s="130">
        <v>36328635</v>
      </c>
      <c r="F1639" t="s">
        <v>87</v>
      </c>
      <c r="G1639">
        <v>9135</v>
      </c>
      <c r="H1639" t="s">
        <v>8953</v>
      </c>
      <c r="I1639" s="130">
        <v>19</v>
      </c>
      <c r="J1639" t="s">
        <v>3263</v>
      </c>
      <c r="K1639" t="s">
        <v>95</v>
      </c>
      <c r="L1639" t="s">
        <v>1368</v>
      </c>
      <c r="M1639" t="s">
        <v>97</v>
      </c>
      <c r="N1639" t="s">
        <v>150</v>
      </c>
      <c r="O1639" t="s">
        <v>116</v>
      </c>
    </row>
    <row r="1640" spans="1:15" x14ac:dyDescent="0.3">
      <c r="A1640" s="130">
        <v>8521</v>
      </c>
      <c r="B1640" s="130">
        <v>30</v>
      </c>
      <c r="C1640" s="130" t="s">
        <v>3264</v>
      </c>
      <c r="D1640">
        <v>13286</v>
      </c>
      <c r="E1640" s="130">
        <v>83693366</v>
      </c>
      <c r="F1640" t="s">
        <v>87</v>
      </c>
      <c r="G1640">
        <v>9135</v>
      </c>
      <c r="H1640" t="s">
        <v>8951</v>
      </c>
      <c r="I1640" s="131">
        <v>10</v>
      </c>
      <c r="J1640" t="s">
        <v>3264</v>
      </c>
      <c r="K1640" t="s">
        <v>95</v>
      </c>
      <c r="L1640" t="s">
        <v>127</v>
      </c>
      <c r="M1640" t="s">
        <v>103</v>
      </c>
      <c r="N1640" t="s">
        <v>141</v>
      </c>
      <c r="O1640" t="s">
        <v>1345</v>
      </c>
    </row>
    <row r="1641" spans="1:15" x14ac:dyDescent="0.3">
      <c r="A1641" s="130">
        <v>8524</v>
      </c>
      <c r="B1641" s="130">
        <v>90</v>
      </c>
      <c r="C1641" s="130" t="s">
        <v>3265</v>
      </c>
      <c r="D1641">
        <v>13291</v>
      </c>
      <c r="E1641" s="130">
        <v>27426196</v>
      </c>
      <c r="F1641" t="s">
        <v>87</v>
      </c>
      <c r="G1641">
        <v>9135</v>
      </c>
      <c r="H1641" t="s">
        <v>8952</v>
      </c>
      <c r="I1641" s="130">
        <v>9</v>
      </c>
      <c r="J1641" t="s">
        <v>3265</v>
      </c>
      <c r="K1641" t="s">
        <v>108</v>
      </c>
      <c r="L1641" t="s">
        <v>163</v>
      </c>
      <c r="M1641" t="s">
        <v>170</v>
      </c>
      <c r="N1641" t="s">
        <v>98</v>
      </c>
      <c r="O1641" t="s">
        <v>1345</v>
      </c>
    </row>
    <row r="1642" spans="1:15" x14ac:dyDescent="0.3">
      <c r="A1642" s="130">
        <v>8527</v>
      </c>
      <c r="B1642" s="130">
        <v>18</v>
      </c>
      <c r="C1642" s="130" t="s">
        <v>3266</v>
      </c>
      <c r="D1642">
        <v>13298</v>
      </c>
      <c r="E1642" s="131">
        <v>237518</v>
      </c>
      <c r="F1642" t="s">
        <v>87</v>
      </c>
      <c r="G1642">
        <v>9135</v>
      </c>
      <c r="H1642" t="s">
        <v>8953</v>
      </c>
      <c r="I1642" s="130">
        <v>3</v>
      </c>
      <c r="J1642" t="s">
        <v>3266</v>
      </c>
      <c r="K1642" t="s">
        <v>95</v>
      </c>
      <c r="L1642" t="s">
        <v>96</v>
      </c>
      <c r="M1642" t="s">
        <v>112</v>
      </c>
      <c r="N1642" t="s">
        <v>98</v>
      </c>
      <c r="O1642" t="s">
        <v>1345</v>
      </c>
    </row>
    <row r="1643" spans="1:15" x14ac:dyDescent="0.3">
      <c r="A1643" s="130">
        <v>8538</v>
      </c>
      <c r="B1643" s="131">
        <v>30</v>
      </c>
      <c r="C1643" s="130" t="s">
        <v>3267</v>
      </c>
      <c r="D1643">
        <v>13312</v>
      </c>
      <c r="E1643" s="131">
        <v>32582832</v>
      </c>
      <c r="F1643" t="s">
        <v>87</v>
      </c>
      <c r="G1643">
        <v>9135</v>
      </c>
      <c r="H1643" t="s">
        <v>8951</v>
      </c>
      <c r="I1643" s="130">
        <v>18</v>
      </c>
      <c r="J1643" t="s">
        <v>3267</v>
      </c>
      <c r="K1643" t="s">
        <v>95</v>
      </c>
      <c r="L1643" t="s">
        <v>123</v>
      </c>
      <c r="M1643" t="s">
        <v>103</v>
      </c>
      <c r="N1643" t="s">
        <v>98</v>
      </c>
      <c r="O1643" t="s">
        <v>1345</v>
      </c>
    </row>
    <row r="1644" spans="1:15" x14ac:dyDescent="0.3">
      <c r="A1644" s="130">
        <v>8544</v>
      </c>
      <c r="B1644" s="130">
        <v>0</v>
      </c>
      <c r="C1644" s="130" t="s">
        <v>3268</v>
      </c>
      <c r="D1644">
        <v>13325</v>
      </c>
      <c r="E1644" s="131">
        <v>38260778</v>
      </c>
      <c r="F1644" t="s">
        <v>87</v>
      </c>
      <c r="G1644">
        <v>9135</v>
      </c>
      <c r="H1644" t="s">
        <v>8952</v>
      </c>
      <c r="I1644" s="131">
        <v>9</v>
      </c>
      <c r="J1644" t="s">
        <v>3268</v>
      </c>
      <c r="K1644" t="s">
        <v>108</v>
      </c>
      <c r="L1644" t="s">
        <v>181</v>
      </c>
      <c r="M1644" t="s">
        <v>100</v>
      </c>
      <c r="N1644" t="s">
        <v>114</v>
      </c>
      <c r="O1644" t="s">
        <v>1345</v>
      </c>
    </row>
    <row r="1645" spans="1:15" x14ac:dyDescent="0.3">
      <c r="A1645" s="130">
        <v>8545</v>
      </c>
      <c r="B1645" s="130">
        <v>30</v>
      </c>
      <c r="C1645" s="130" t="s">
        <v>3269</v>
      </c>
      <c r="D1645">
        <v>13326</v>
      </c>
      <c r="E1645" s="131">
        <v>33000167</v>
      </c>
      <c r="F1645" t="s">
        <v>87</v>
      </c>
      <c r="G1645">
        <v>9135</v>
      </c>
      <c r="H1645" t="s">
        <v>8953</v>
      </c>
      <c r="I1645" s="130">
        <v>24</v>
      </c>
      <c r="J1645" t="s">
        <v>3269</v>
      </c>
      <c r="K1645" t="s">
        <v>95</v>
      </c>
      <c r="L1645" t="s">
        <v>102</v>
      </c>
      <c r="M1645" t="s">
        <v>103</v>
      </c>
      <c r="N1645" t="s">
        <v>114</v>
      </c>
      <c r="O1645" t="s">
        <v>1345</v>
      </c>
    </row>
    <row r="1646" spans="1:15" x14ac:dyDescent="0.3">
      <c r="A1646" s="130">
        <v>8546</v>
      </c>
      <c r="B1646" s="130">
        <v>18</v>
      </c>
      <c r="C1646" s="130" t="s">
        <v>3270</v>
      </c>
      <c r="D1646">
        <v>13328</v>
      </c>
      <c r="E1646" s="131">
        <v>22451088</v>
      </c>
      <c r="F1646" t="s">
        <v>87</v>
      </c>
      <c r="G1646">
        <v>9135</v>
      </c>
      <c r="H1646" t="s">
        <v>8951</v>
      </c>
      <c r="I1646" s="130">
        <v>9</v>
      </c>
      <c r="J1646" t="s">
        <v>3270</v>
      </c>
      <c r="K1646" t="s">
        <v>95</v>
      </c>
      <c r="L1646" t="s">
        <v>105</v>
      </c>
      <c r="M1646" t="s">
        <v>112</v>
      </c>
      <c r="N1646" t="s">
        <v>98</v>
      </c>
      <c r="O1646" t="s">
        <v>116</v>
      </c>
    </row>
    <row r="1647" spans="1:15" x14ac:dyDescent="0.3">
      <c r="A1647" s="130">
        <v>8547</v>
      </c>
      <c r="B1647" s="130">
        <v>18</v>
      </c>
      <c r="C1647" s="130" t="s">
        <v>3271</v>
      </c>
      <c r="D1647">
        <v>13330</v>
      </c>
      <c r="E1647" s="130">
        <v>22451088</v>
      </c>
      <c r="F1647" t="s">
        <v>87</v>
      </c>
      <c r="G1647">
        <v>9135</v>
      </c>
      <c r="H1647" t="s">
        <v>8952</v>
      </c>
      <c r="I1647" s="131">
        <v>10</v>
      </c>
      <c r="J1647" t="s">
        <v>3271</v>
      </c>
      <c r="K1647" t="s">
        <v>95</v>
      </c>
      <c r="L1647" t="s">
        <v>105</v>
      </c>
      <c r="M1647" t="s">
        <v>112</v>
      </c>
      <c r="N1647" t="s">
        <v>98</v>
      </c>
      <c r="O1647" t="s">
        <v>116</v>
      </c>
    </row>
    <row r="1648" spans="1:15" x14ac:dyDescent="0.3">
      <c r="A1648" s="130">
        <v>8550</v>
      </c>
      <c r="B1648" s="130">
        <v>28</v>
      </c>
      <c r="C1648" s="130" t="s">
        <v>3272</v>
      </c>
      <c r="D1648">
        <v>13334</v>
      </c>
      <c r="E1648" s="130">
        <v>8726496</v>
      </c>
      <c r="F1648" t="s">
        <v>87</v>
      </c>
      <c r="G1648">
        <v>9135</v>
      </c>
      <c r="H1648" t="s">
        <v>8953</v>
      </c>
      <c r="I1648" s="131">
        <v>10</v>
      </c>
      <c r="J1648" t="s">
        <v>3272</v>
      </c>
      <c r="K1648" t="s">
        <v>108</v>
      </c>
      <c r="L1648" t="s">
        <v>127</v>
      </c>
      <c r="M1648" t="s">
        <v>130</v>
      </c>
      <c r="N1648" t="s">
        <v>118</v>
      </c>
      <c r="O1648" t="s">
        <v>1345</v>
      </c>
    </row>
    <row r="1649" spans="1:15" x14ac:dyDescent="0.3">
      <c r="A1649" s="130">
        <v>8565</v>
      </c>
      <c r="B1649" s="130">
        <v>30</v>
      </c>
      <c r="C1649" s="130" t="s">
        <v>3273</v>
      </c>
      <c r="D1649">
        <v>13365</v>
      </c>
      <c r="E1649" s="130">
        <v>17185786</v>
      </c>
      <c r="F1649" t="s">
        <v>87</v>
      </c>
      <c r="G1649">
        <v>358</v>
      </c>
      <c r="H1649" t="s">
        <v>8951</v>
      </c>
      <c r="I1649" s="130">
        <v>3</v>
      </c>
      <c r="J1649" t="s">
        <v>3273</v>
      </c>
      <c r="K1649" t="s">
        <v>95</v>
      </c>
      <c r="L1649" t="s">
        <v>109</v>
      </c>
      <c r="M1649" t="s">
        <v>103</v>
      </c>
      <c r="N1649" t="s">
        <v>98</v>
      </c>
      <c r="O1649" t="s">
        <v>1345</v>
      </c>
    </row>
    <row r="1650" spans="1:15" x14ac:dyDescent="0.3">
      <c r="A1650" s="130">
        <v>8569</v>
      </c>
      <c r="B1650" s="130">
        <v>0</v>
      </c>
      <c r="C1650" s="130" t="s">
        <v>3274</v>
      </c>
      <c r="D1650">
        <v>13373</v>
      </c>
      <c r="E1650" s="130">
        <v>71154462</v>
      </c>
      <c r="F1650" t="s">
        <v>87</v>
      </c>
      <c r="G1650">
        <v>9135</v>
      </c>
      <c r="H1650" t="s">
        <v>8952</v>
      </c>
      <c r="I1650" s="130">
        <v>3</v>
      </c>
      <c r="J1650" t="s">
        <v>3274</v>
      </c>
      <c r="K1650" t="s">
        <v>108</v>
      </c>
      <c r="L1650" t="s">
        <v>1293</v>
      </c>
      <c r="M1650" t="s">
        <v>100</v>
      </c>
      <c r="N1650" t="s">
        <v>122</v>
      </c>
      <c r="O1650" t="s">
        <v>1345</v>
      </c>
    </row>
    <row r="1651" spans="1:15" x14ac:dyDescent="0.3">
      <c r="A1651" s="130">
        <v>8577</v>
      </c>
      <c r="B1651" s="130">
        <v>0</v>
      </c>
      <c r="C1651" s="130" t="s">
        <v>3275</v>
      </c>
      <c r="D1651">
        <v>13384</v>
      </c>
      <c r="E1651" s="130">
        <v>29152196</v>
      </c>
      <c r="F1651" t="s">
        <v>87</v>
      </c>
      <c r="G1651">
        <v>9135</v>
      </c>
      <c r="H1651" t="s">
        <v>8953</v>
      </c>
      <c r="I1651" s="130">
        <v>26</v>
      </c>
      <c r="J1651" t="s">
        <v>3275</v>
      </c>
      <c r="K1651" t="s">
        <v>108</v>
      </c>
      <c r="L1651" t="s">
        <v>151</v>
      </c>
      <c r="M1651" t="s">
        <v>100</v>
      </c>
      <c r="N1651" t="s">
        <v>98</v>
      </c>
      <c r="O1651" t="s">
        <v>1345</v>
      </c>
    </row>
    <row r="1652" spans="1:15" x14ac:dyDescent="0.3">
      <c r="A1652" s="130">
        <v>8584</v>
      </c>
      <c r="B1652" s="130">
        <v>90</v>
      </c>
      <c r="C1652" s="130" t="s">
        <v>3276</v>
      </c>
      <c r="D1652">
        <v>13397</v>
      </c>
      <c r="E1652" s="131">
        <v>655209</v>
      </c>
      <c r="F1652" t="s">
        <v>87</v>
      </c>
      <c r="G1652">
        <v>9135</v>
      </c>
      <c r="H1652" t="s">
        <v>8951</v>
      </c>
      <c r="I1652" s="130">
        <v>9</v>
      </c>
      <c r="J1652" t="s">
        <v>3276</v>
      </c>
      <c r="K1652" t="s">
        <v>95</v>
      </c>
      <c r="L1652" t="s">
        <v>163</v>
      </c>
      <c r="M1652" t="s">
        <v>170</v>
      </c>
      <c r="N1652" t="s">
        <v>114</v>
      </c>
      <c r="O1652" t="s">
        <v>116</v>
      </c>
    </row>
    <row r="1653" spans="1:15" x14ac:dyDescent="0.3">
      <c r="A1653" s="130">
        <v>8589</v>
      </c>
      <c r="B1653" s="130">
        <v>30</v>
      </c>
      <c r="C1653" s="130" t="s">
        <v>3277</v>
      </c>
      <c r="D1653">
        <v>13403</v>
      </c>
      <c r="E1653" s="131">
        <v>91894774</v>
      </c>
      <c r="F1653" t="s">
        <v>87</v>
      </c>
      <c r="G1653">
        <v>77</v>
      </c>
      <c r="H1653" t="s">
        <v>8952</v>
      </c>
      <c r="I1653" s="131">
        <v>3</v>
      </c>
      <c r="J1653" t="s">
        <v>3277</v>
      </c>
      <c r="K1653" t="s">
        <v>95</v>
      </c>
      <c r="L1653" t="s">
        <v>117</v>
      </c>
      <c r="M1653" t="s">
        <v>103</v>
      </c>
      <c r="N1653" t="s">
        <v>104</v>
      </c>
      <c r="O1653" t="s">
        <v>1345</v>
      </c>
    </row>
    <row r="1654" spans="1:15" x14ac:dyDescent="0.3">
      <c r="A1654" s="130">
        <v>8595</v>
      </c>
      <c r="B1654" s="130">
        <v>18</v>
      </c>
      <c r="C1654" s="130" t="s">
        <v>3278</v>
      </c>
      <c r="D1654">
        <v>13412</v>
      </c>
      <c r="E1654" s="130">
        <v>2120261</v>
      </c>
      <c r="F1654" t="s">
        <v>87</v>
      </c>
      <c r="G1654">
        <v>9135</v>
      </c>
      <c r="H1654" t="s">
        <v>8953</v>
      </c>
      <c r="I1654" s="130">
        <v>37</v>
      </c>
      <c r="J1654" t="s">
        <v>3278</v>
      </c>
      <c r="K1654" t="s">
        <v>108</v>
      </c>
      <c r="L1654" t="s">
        <v>144</v>
      </c>
      <c r="M1654" t="s">
        <v>112</v>
      </c>
      <c r="N1654" t="s">
        <v>98</v>
      </c>
      <c r="O1654" t="s">
        <v>116</v>
      </c>
    </row>
    <row r="1655" spans="1:15" x14ac:dyDescent="0.3">
      <c r="A1655" s="130">
        <v>8613</v>
      </c>
      <c r="B1655" s="130">
        <v>15</v>
      </c>
      <c r="C1655" s="130" t="s">
        <v>3279</v>
      </c>
      <c r="D1655">
        <v>13432</v>
      </c>
      <c r="E1655" s="130">
        <v>92779503</v>
      </c>
      <c r="F1655" t="s">
        <v>87</v>
      </c>
      <c r="G1655">
        <v>9135</v>
      </c>
      <c r="H1655" t="s">
        <v>8951</v>
      </c>
      <c r="I1655" s="130">
        <v>38</v>
      </c>
      <c r="J1655" t="s">
        <v>3279</v>
      </c>
      <c r="K1655" t="s">
        <v>108</v>
      </c>
      <c r="L1655" t="s">
        <v>126</v>
      </c>
      <c r="M1655" t="s">
        <v>145</v>
      </c>
      <c r="N1655" t="s">
        <v>98</v>
      </c>
      <c r="O1655" t="s">
        <v>1345</v>
      </c>
    </row>
    <row r="1656" spans="1:15" x14ac:dyDescent="0.3">
      <c r="A1656" s="130">
        <v>8621</v>
      </c>
      <c r="B1656" s="130">
        <v>10</v>
      </c>
      <c r="C1656" s="130" t="s">
        <v>3280</v>
      </c>
      <c r="D1656">
        <v>13447</v>
      </c>
      <c r="E1656" s="130">
        <v>18322925</v>
      </c>
      <c r="F1656" t="s">
        <v>87</v>
      </c>
      <c r="G1656">
        <v>358</v>
      </c>
      <c r="H1656" t="s">
        <v>8952</v>
      </c>
      <c r="I1656" s="131">
        <v>3</v>
      </c>
      <c r="J1656" t="s">
        <v>3280</v>
      </c>
      <c r="K1656" t="s">
        <v>108</v>
      </c>
      <c r="L1656" t="s">
        <v>109</v>
      </c>
      <c r="M1656" t="s">
        <v>133</v>
      </c>
      <c r="N1656" t="s">
        <v>98</v>
      </c>
      <c r="O1656" t="s">
        <v>1345</v>
      </c>
    </row>
    <row r="1657" spans="1:15" x14ac:dyDescent="0.3">
      <c r="A1657" s="130">
        <v>8622</v>
      </c>
      <c r="B1657" s="130">
        <v>60</v>
      </c>
      <c r="C1657" s="130" t="s">
        <v>3281</v>
      </c>
      <c r="D1657">
        <v>13448</v>
      </c>
      <c r="E1657" s="130">
        <v>9625762</v>
      </c>
      <c r="F1657" t="s">
        <v>87</v>
      </c>
      <c r="G1657">
        <v>9135</v>
      </c>
      <c r="H1657" t="s">
        <v>8953</v>
      </c>
      <c r="I1657" s="131">
        <v>19</v>
      </c>
      <c r="J1657" t="s">
        <v>3281</v>
      </c>
      <c r="K1657" t="s">
        <v>95</v>
      </c>
      <c r="L1657" t="s">
        <v>159</v>
      </c>
      <c r="M1657" t="s">
        <v>97</v>
      </c>
      <c r="N1657" t="s">
        <v>150</v>
      </c>
      <c r="O1657" t="s">
        <v>1345</v>
      </c>
    </row>
    <row r="1658" spans="1:15" x14ac:dyDescent="0.3">
      <c r="A1658" s="130">
        <v>8625</v>
      </c>
      <c r="B1658" s="130">
        <v>18</v>
      </c>
      <c r="C1658" s="130" t="s">
        <v>3282</v>
      </c>
      <c r="D1658">
        <v>13454</v>
      </c>
      <c r="E1658" s="130">
        <v>19565706</v>
      </c>
      <c r="F1658" t="s">
        <v>87</v>
      </c>
      <c r="G1658">
        <v>9135</v>
      </c>
      <c r="H1658" t="s">
        <v>8951</v>
      </c>
      <c r="I1658" s="130">
        <v>18</v>
      </c>
      <c r="J1658" t="s">
        <v>3282</v>
      </c>
      <c r="K1658" t="s">
        <v>108</v>
      </c>
      <c r="L1658" t="s">
        <v>123</v>
      </c>
      <c r="M1658" t="s">
        <v>112</v>
      </c>
      <c r="N1658" t="s">
        <v>114</v>
      </c>
      <c r="O1658" t="s">
        <v>1345</v>
      </c>
    </row>
    <row r="1659" spans="1:15" x14ac:dyDescent="0.3">
      <c r="A1659" s="130">
        <v>8639</v>
      </c>
      <c r="B1659" s="130">
        <v>30</v>
      </c>
      <c r="C1659" s="130" t="s">
        <v>3283</v>
      </c>
      <c r="D1659">
        <v>13479</v>
      </c>
      <c r="E1659" s="130">
        <v>33000167</v>
      </c>
      <c r="F1659" t="s">
        <v>87</v>
      </c>
      <c r="G1659">
        <v>9135</v>
      </c>
      <c r="H1659" t="s">
        <v>8952</v>
      </c>
      <c r="I1659" s="130">
        <v>24</v>
      </c>
      <c r="J1659" t="s">
        <v>3283</v>
      </c>
      <c r="K1659" t="s">
        <v>95</v>
      </c>
      <c r="L1659" t="s">
        <v>102</v>
      </c>
      <c r="M1659" t="s">
        <v>103</v>
      </c>
      <c r="N1659" t="s">
        <v>114</v>
      </c>
      <c r="O1659" t="s">
        <v>1345</v>
      </c>
    </row>
    <row r="1660" spans="1:15" x14ac:dyDescent="0.3">
      <c r="A1660" s="130">
        <v>8642</v>
      </c>
      <c r="B1660" s="130">
        <v>18</v>
      </c>
      <c r="C1660" s="130" t="s">
        <v>3284</v>
      </c>
      <c r="D1660">
        <v>13494</v>
      </c>
      <c r="E1660" s="131">
        <v>8932635</v>
      </c>
      <c r="F1660" t="s">
        <v>87</v>
      </c>
      <c r="G1660">
        <v>9135</v>
      </c>
      <c r="H1660" t="s">
        <v>8953</v>
      </c>
      <c r="I1660" s="131">
        <v>26</v>
      </c>
      <c r="J1660" t="s">
        <v>3284</v>
      </c>
      <c r="K1660" t="s">
        <v>108</v>
      </c>
      <c r="L1660" t="s">
        <v>151</v>
      </c>
      <c r="M1660" t="s">
        <v>112</v>
      </c>
      <c r="N1660" t="s">
        <v>169</v>
      </c>
      <c r="O1660" t="s">
        <v>1345</v>
      </c>
    </row>
    <row r="1661" spans="1:15" x14ac:dyDescent="0.3">
      <c r="A1661" s="130">
        <v>8651</v>
      </c>
      <c r="B1661" s="130">
        <v>-1</v>
      </c>
      <c r="C1661" s="130" t="s">
        <v>3285</v>
      </c>
      <c r="D1661">
        <v>13509</v>
      </c>
      <c r="E1661" s="131">
        <v>44669198</v>
      </c>
      <c r="F1661" t="s">
        <v>87</v>
      </c>
      <c r="G1661">
        <v>358</v>
      </c>
      <c r="H1661" t="s">
        <v>8951</v>
      </c>
      <c r="I1661" s="130">
        <v>3</v>
      </c>
      <c r="J1661" t="s">
        <v>3285</v>
      </c>
      <c r="K1661" t="s">
        <v>95</v>
      </c>
      <c r="L1661" t="s">
        <v>109</v>
      </c>
      <c r="M1661" t="s">
        <v>174</v>
      </c>
      <c r="N1661" t="s">
        <v>98</v>
      </c>
      <c r="O1661" t="s">
        <v>1345</v>
      </c>
    </row>
    <row r="1662" spans="1:15" x14ac:dyDescent="0.3">
      <c r="A1662" s="130">
        <v>8653</v>
      </c>
      <c r="B1662" s="130">
        <v>30</v>
      </c>
      <c r="C1662" s="130" t="s">
        <v>3286</v>
      </c>
      <c r="D1662">
        <v>13511</v>
      </c>
      <c r="E1662" s="130">
        <v>40008239</v>
      </c>
      <c r="F1662" t="s">
        <v>87</v>
      </c>
      <c r="G1662">
        <v>358</v>
      </c>
      <c r="H1662" t="s">
        <v>8952</v>
      </c>
      <c r="I1662" s="130">
        <v>3</v>
      </c>
      <c r="J1662" t="s">
        <v>3286</v>
      </c>
      <c r="K1662" t="s">
        <v>95</v>
      </c>
      <c r="L1662" t="s">
        <v>109</v>
      </c>
      <c r="M1662" t="s">
        <v>103</v>
      </c>
      <c r="N1662" t="s">
        <v>98</v>
      </c>
      <c r="O1662" t="s">
        <v>116</v>
      </c>
    </row>
    <row r="1663" spans="1:15" x14ac:dyDescent="0.3">
      <c r="A1663" s="130">
        <v>8655</v>
      </c>
      <c r="B1663" s="130">
        <v>30</v>
      </c>
      <c r="C1663" s="130" t="s">
        <v>3287</v>
      </c>
      <c r="D1663">
        <v>13515</v>
      </c>
      <c r="E1663" s="130">
        <v>9329077</v>
      </c>
      <c r="F1663" t="s">
        <v>87</v>
      </c>
      <c r="G1663">
        <v>358</v>
      </c>
      <c r="H1663" t="s">
        <v>8953</v>
      </c>
      <c r="I1663" s="130">
        <v>3</v>
      </c>
      <c r="J1663" t="s">
        <v>3287</v>
      </c>
      <c r="K1663" t="s">
        <v>95</v>
      </c>
      <c r="L1663" t="s">
        <v>109</v>
      </c>
      <c r="M1663" t="s">
        <v>103</v>
      </c>
      <c r="N1663" t="s">
        <v>98</v>
      </c>
      <c r="O1663" t="s">
        <v>1345</v>
      </c>
    </row>
    <row r="1664" spans="1:15" x14ac:dyDescent="0.3">
      <c r="A1664" s="130">
        <v>8668</v>
      </c>
      <c r="B1664" s="130">
        <v>30</v>
      </c>
      <c r="C1664" s="130" t="s">
        <v>3288</v>
      </c>
      <c r="D1664">
        <v>13533</v>
      </c>
      <c r="E1664" s="131">
        <v>21596361</v>
      </c>
      <c r="F1664" t="s">
        <v>87</v>
      </c>
      <c r="G1664">
        <v>77</v>
      </c>
      <c r="H1664" t="s">
        <v>8951</v>
      </c>
      <c r="I1664" s="131">
        <v>3</v>
      </c>
      <c r="J1664" t="s">
        <v>3288</v>
      </c>
      <c r="K1664" t="s">
        <v>95</v>
      </c>
      <c r="L1664" t="s">
        <v>256</v>
      </c>
      <c r="M1664" t="s">
        <v>103</v>
      </c>
      <c r="N1664" t="s">
        <v>98</v>
      </c>
      <c r="O1664" t="s">
        <v>116</v>
      </c>
    </row>
    <row r="1665" spans="1:15" x14ac:dyDescent="0.3">
      <c r="A1665" s="130">
        <v>8670</v>
      </c>
      <c r="B1665" s="130">
        <v>18</v>
      </c>
      <c r="C1665" s="130" t="s">
        <v>3289</v>
      </c>
      <c r="D1665">
        <v>13534</v>
      </c>
      <c r="E1665" s="130">
        <v>10272096</v>
      </c>
      <c r="F1665" t="s">
        <v>87</v>
      </c>
      <c r="G1665">
        <v>9135</v>
      </c>
      <c r="H1665" t="s">
        <v>8952</v>
      </c>
      <c r="I1665" s="130">
        <v>10</v>
      </c>
      <c r="J1665" t="s">
        <v>3289</v>
      </c>
      <c r="K1665" t="s">
        <v>108</v>
      </c>
      <c r="L1665" t="s">
        <v>127</v>
      </c>
      <c r="M1665" t="s">
        <v>112</v>
      </c>
      <c r="N1665" t="s">
        <v>118</v>
      </c>
      <c r="O1665" t="s">
        <v>1345</v>
      </c>
    </row>
    <row r="1666" spans="1:15" x14ac:dyDescent="0.3">
      <c r="A1666" s="130">
        <v>8671</v>
      </c>
      <c r="B1666" s="130">
        <v>18</v>
      </c>
      <c r="C1666" s="130" t="s">
        <v>3290</v>
      </c>
      <c r="D1666">
        <v>13536</v>
      </c>
      <c r="E1666" s="130">
        <v>731220</v>
      </c>
      <c r="F1666" t="s">
        <v>87</v>
      </c>
      <c r="G1666">
        <v>9135</v>
      </c>
      <c r="H1666" t="s">
        <v>8953</v>
      </c>
      <c r="I1666" s="130">
        <v>26</v>
      </c>
      <c r="J1666" t="s">
        <v>3290</v>
      </c>
      <c r="K1666" t="s">
        <v>108</v>
      </c>
      <c r="L1666" t="s">
        <v>151</v>
      </c>
      <c r="M1666" t="s">
        <v>112</v>
      </c>
      <c r="N1666" t="s">
        <v>114</v>
      </c>
      <c r="O1666" t="s">
        <v>1345</v>
      </c>
    </row>
    <row r="1667" spans="1:15" x14ac:dyDescent="0.3">
      <c r="A1667" s="130">
        <v>8673</v>
      </c>
      <c r="B1667" s="130">
        <v>28</v>
      </c>
      <c r="C1667" s="130" t="s">
        <v>3291</v>
      </c>
      <c r="D1667">
        <v>13540</v>
      </c>
      <c r="E1667" s="130">
        <v>42699600</v>
      </c>
      <c r="F1667" t="s">
        <v>87</v>
      </c>
      <c r="G1667">
        <v>9135</v>
      </c>
      <c r="H1667" t="s">
        <v>8951</v>
      </c>
      <c r="I1667" s="131">
        <v>24</v>
      </c>
      <c r="J1667" t="s">
        <v>3291</v>
      </c>
      <c r="K1667" t="s">
        <v>95</v>
      </c>
      <c r="L1667" t="s">
        <v>191</v>
      </c>
      <c r="M1667" t="s">
        <v>130</v>
      </c>
      <c r="N1667" t="s">
        <v>98</v>
      </c>
      <c r="O1667" t="s">
        <v>116</v>
      </c>
    </row>
    <row r="1668" spans="1:15" x14ac:dyDescent="0.3">
      <c r="A1668" s="130">
        <v>8678</v>
      </c>
      <c r="B1668" s="130">
        <v>30</v>
      </c>
      <c r="C1668" s="130" t="s">
        <v>3292</v>
      </c>
      <c r="D1668">
        <v>13548</v>
      </c>
      <c r="E1668" s="130">
        <v>43300286</v>
      </c>
      <c r="F1668" t="s">
        <v>87</v>
      </c>
      <c r="G1668">
        <v>77</v>
      </c>
      <c r="H1668" t="s">
        <v>8952</v>
      </c>
      <c r="I1668" s="130">
        <v>10</v>
      </c>
      <c r="J1668" t="s">
        <v>3292</v>
      </c>
      <c r="K1668" t="s">
        <v>95</v>
      </c>
      <c r="L1668" t="s">
        <v>1252</v>
      </c>
      <c r="M1668" t="s">
        <v>103</v>
      </c>
      <c r="N1668" t="s">
        <v>118</v>
      </c>
      <c r="O1668" t="s">
        <v>116</v>
      </c>
    </row>
    <row r="1669" spans="1:15" x14ac:dyDescent="0.3">
      <c r="A1669" s="130">
        <v>8680</v>
      </c>
      <c r="B1669" s="130">
        <v>30</v>
      </c>
      <c r="C1669" s="130" t="s">
        <v>3293</v>
      </c>
      <c r="D1669">
        <v>13550</v>
      </c>
      <c r="E1669" s="130">
        <v>17161464</v>
      </c>
      <c r="F1669" t="s">
        <v>87</v>
      </c>
      <c r="G1669">
        <v>9135</v>
      </c>
      <c r="H1669" t="s">
        <v>8953</v>
      </c>
      <c r="I1669" s="131">
        <v>3</v>
      </c>
      <c r="J1669" t="s">
        <v>3293</v>
      </c>
      <c r="K1669" t="s">
        <v>95</v>
      </c>
      <c r="L1669" t="s">
        <v>111</v>
      </c>
      <c r="M1669" t="s">
        <v>103</v>
      </c>
      <c r="N1669" t="s">
        <v>98</v>
      </c>
      <c r="O1669" t="s">
        <v>1345</v>
      </c>
    </row>
    <row r="1670" spans="1:15" x14ac:dyDescent="0.3">
      <c r="A1670" s="130">
        <v>8690</v>
      </c>
      <c r="B1670" s="130">
        <v>30</v>
      </c>
      <c r="C1670" s="130" t="s">
        <v>3294</v>
      </c>
      <c r="D1670">
        <v>13570</v>
      </c>
      <c r="E1670" s="130">
        <v>46588950</v>
      </c>
      <c r="F1670" t="s">
        <v>87</v>
      </c>
      <c r="G1670">
        <v>9135</v>
      </c>
      <c r="H1670" t="s">
        <v>8951</v>
      </c>
      <c r="I1670" s="130">
        <v>37</v>
      </c>
      <c r="J1670" t="s">
        <v>3294</v>
      </c>
      <c r="K1670" t="s">
        <v>95</v>
      </c>
      <c r="L1670" t="s">
        <v>138</v>
      </c>
      <c r="M1670" t="s">
        <v>103</v>
      </c>
      <c r="N1670" t="s">
        <v>131</v>
      </c>
      <c r="O1670" t="s">
        <v>1345</v>
      </c>
    </row>
    <row r="1671" spans="1:15" x14ac:dyDescent="0.3">
      <c r="A1671" s="130">
        <v>8697</v>
      </c>
      <c r="B1671" s="130">
        <v>18</v>
      </c>
      <c r="C1671" s="130" t="s">
        <v>3295</v>
      </c>
      <c r="D1671">
        <v>13581</v>
      </c>
      <c r="E1671" s="130">
        <v>22320881</v>
      </c>
      <c r="F1671" t="s">
        <v>87</v>
      </c>
      <c r="G1671">
        <v>358</v>
      </c>
      <c r="H1671" t="s">
        <v>8952</v>
      </c>
      <c r="I1671" s="130">
        <v>10</v>
      </c>
      <c r="J1671" t="s">
        <v>3295</v>
      </c>
      <c r="K1671" t="s">
        <v>95</v>
      </c>
      <c r="L1671" t="s">
        <v>105</v>
      </c>
      <c r="M1671" t="s">
        <v>112</v>
      </c>
      <c r="N1671" t="s">
        <v>98</v>
      </c>
      <c r="O1671" t="s">
        <v>1345</v>
      </c>
    </row>
    <row r="1672" spans="1:15" x14ac:dyDescent="0.3">
      <c r="A1672" s="130">
        <v>8698</v>
      </c>
      <c r="B1672" s="130">
        <v>30</v>
      </c>
      <c r="C1672" s="130" t="s">
        <v>3296</v>
      </c>
      <c r="D1672">
        <v>13582</v>
      </c>
      <c r="E1672" s="130">
        <v>18998915</v>
      </c>
      <c r="F1672" t="s">
        <v>87</v>
      </c>
      <c r="G1672">
        <v>9135</v>
      </c>
      <c r="H1672" t="s">
        <v>8953</v>
      </c>
      <c r="I1672" s="130">
        <v>10</v>
      </c>
      <c r="J1672" t="s">
        <v>3296</v>
      </c>
      <c r="K1672" t="s">
        <v>95</v>
      </c>
      <c r="L1672" t="s">
        <v>127</v>
      </c>
      <c r="M1672" t="s">
        <v>103</v>
      </c>
      <c r="N1672" t="s">
        <v>118</v>
      </c>
      <c r="O1672" t="s">
        <v>1345</v>
      </c>
    </row>
    <row r="1673" spans="1:15" x14ac:dyDescent="0.3">
      <c r="A1673" s="130">
        <v>8699</v>
      </c>
      <c r="B1673" s="130">
        <v>90</v>
      </c>
      <c r="C1673" s="130" t="s">
        <v>3297</v>
      </c>
      <c r="D1673">
        <v>13584</v>
      </c>
      <c r="E1673" s="130">
        <v>655209</v>
      </c>
      <c r="F1673" t="s">
        <v>87</v>
      </c>
      <c r="G1673">
        <v>9135</v>
      </c>
      <c r="H1673" t="s">
        <v>8951</v>
      </c>
      <c r="I1673" s="130">
        <v>9</v>
      </c>
      <c r="J1673" t="s">
        <v>3297</v>
      </c>
      <c r="K1673" t="s">
        <v>95</v>
      </c>
      <c r="L1673" t="s">
        <v>181</v>
      </c>
      <c r="M1673" t="s">
        <v>170</v>
      </c>
      <c r="N1673" t="s">
        <v>118</v>
      </c>
      <c r="O1673" t="s">
        <v>116</v>
      </c>
    </row>
    <row r="1674" spans="1:15" x14ac:dyDescent="0.3">
      <c r="A1674" s="130">
        <v>8705</v>
      </c>
      <c r="B1674" s="130">
        <v>18</v>
      </c>
      <c r="C1674" s="130" t="s">
        <v>3298</v>
      </c>
      <c r="D1674">
        <v>13599</v>
      </c>
      <c r="E1674" s="130">
        <v>22320881</v>
      </c>
      <c r="F1674" t="s">
        <v>87</v>
      </c>
      <c r="G1674">
        <v>358</v>
      </c>
      <c r="H1674" t="s">
        <v>8952</v>
      </c>
      <c r="I1674" s="130">
        <v>10</v>
      </c>
      <c r="J1674" t="s">
        <v>3298</v>
      </c>
      <c r="K1674" t="s">
        <v>95</v>
      </c>
      <c r="L1674" t="s">
        <v>105</v>
      </c>
      <c r="M1674" t="s">
        <v>112</v>
      </c>
      <c r="N1674" t="s">
        <v>98</v>
      </c>
      <c r="O1674" t="s">
        <v>1345</v>
      </c>
    </row>
    <row r="1675" spans="1:15" x14ac:dyDescent="0.3">
      <c r="A1675" s="130">
        <v>8706</v>
      </c>
      <c r="B1675" s="130">
        <v>30</v>
      </c>
      <c r="C1675" s="130" t="s">
        <v>3299</v>
      </c>
      <c r="D1675">
        <v>13598</v>
      </c>
      <c r="E1675" s="130">
        <v>12598528</v>
      </c>
      <c r="F1675" t="s">
        <v>87</v>
      </c>
      <c r="G1675">
        <v>9135</v>
      </c>
      <c r="H1675" t="s">
        <v>8953</v>
      </c>
      <c r="I1675" s="130">
        <v>43</v>
      </c>
      <c r="J1675" t="s">
        <v>3299</v>
      </c>
      <c r="K1675" t="s">
        <v>95</v>
      </c>
      <c r="L1675" t="s">
        <v>159</v>
      </c>
      <c r="M1675" t="s">
        <v>103</v>
      </c>
      <c r="N1675" t="s">
        <v>124</v>
      </c>
      <c r="O1675" t="s">
        <v>1345</v>
      </c>
    </row>
    <row r="1676" spans="1:15" x14ac:dyDescent="0.3">
      <c r="A1676" s="130">
        <v>8708</v>
      </c>
      <c r="B1676" s="130">
        <v>18</v>
      </c>
      <c r="C1676" s="130" t="s">
        <v>3300</v>
      </c>
      <c r="D1676">
        <v>13601</v>
      </c>
      <c r="E1676" s="130">
        <v>40822693</v>
      </c>
      <c r="F1676" t="s">
        <v>87</v>
      </c>
      <c r="G1676">
        <v>9135</v>
      </c>
      <c r="H1676" t="s">
        <v>8951</v>
      </c>
      <c r="I1676" s="131">
        <v>26</v>
      </c>
      <c r="J1676" t="s">
        <v>3300</v>
      </c>
      <c r="K1676" t="s">
        <v>108</v>
      </c>
      <c r="L1676" t="s">
        <v>151</v>
      </c>
      <c r="M1676" t="s">
        <v>112</v>
      </c>
      <c r="N1676" t="s">
        <v>114</v>
      </c>
      <c r="O1676" t="s">
        <v>1345</v>
      </c>
    </row>
    <row r="1677" spans="1:15" x14ac:dyDescent="0.3">
      <c r="A1677" s="130">
        <v>8709</v>
      </c>
      <c r="B1677" s="131">
        <v>18</v>
      </c>
      <c r="C1677" s="130" t="s">
        <v>3301</v>
      </c>
      <c r="D1677">
        <v>13603</v>
      </c>
      <c r="E1677" s="130">
        <v>22320881</v>
      </c>
      <c r="F1677" t="s">
        <v>87</v>
      </c>
      <c r="G1677">
        <v>358</v>
      </c>
      <c r="H1677" t="s">
        <v>8952</v>
      </c>
      <c r="I1677" s="130">
        <v>10</v>
      </c>
      <c r="J1677" t="s">
        <v>3301</v>
      </c>
      <c r="K1677" t="s">
        <v>95</v>
      </c>
      <c r="L1677" t="s">
        <v>105</v>
      </c>
      <c r="M1677" t="s">
        <v>112</v>
      </c>
      <c r="N1677" t="s">
        <v>98</v>
      </c>
      <c r="O1677" t="s">
        <v>1345</v>
      </c>
    </row>
    <row r="1678" spans="1:15" x14ac:dyDescent="0.3">
      <c r="A1678" s="130">
        <v>8714</v>
      </c>
      <c r="B1678" s="130">
        <v>10</v>
      </c>
      <c r="C1678" s="130" t="s">
        <v>3302</v>
      </c>
      <c r="D1678">
        <v>13615</v>
      </c>
      <c r="E1678" s="130">
        <v>6942142</v>
      </c>
      <c r="F1678" t="s">
        <v>87</v>
      </c>
      <c r="G1678">
        <v>358</v>
      </c>
      <c r="H1678" t="s">
        <v>8953</v>
      </c>
      <c r="I1678" s="131">
        <v>3</v>
      </c>
      <c r="J1678" t="s">
        <v>3302</v>
      </c>
      <c r="K1678" t="s">
        <v>108</v>
      </c>
      <c r="L1678" t="s">
        <v>109</v>
      </c>
      <c r="M1678" t="s">
        <v>133</v>
      </c>
      <c r="N1678" t="s">
        <v>98</v>
      </c>
      <c r="O1678" t="s">
        <v>116</v>
      </c>
    </row>
    <row r="1679" spans="1:15" x14ac:dyDescent="0.3">
      <c r="A1679" s="130">
        <v>8718</v>
      </c>
      <c r="B1679" s="130">
        <v>30</v>
      </c>
      <c r="C1679" s="130" t="s">
        <v>3303</v>
      </c>
      <c r="D1679">
        <v>13624</v>
      </c>
      <c r="E1679" s="130">
        <v>8928273</v>
      </c>
      <c r="F1679" t="s">
        <v>87</v>
      </c>
      <c r="G1679">
        <v>358</v>
      </c>
      <c r="H1679" t="s">
        <v>8951</v>
      </c>
      <c r="I1679" s="131">
        <v>10</v>
      </c>
      <c r="J1679" t="s">
        <v>3303</v>
      </c>
      <c r="K1679" t="s">
        <v>108</v>
      </c>
      <c r="L1679" t="s">
        <v>105</v>
      </c>
      <c r="M1679" t="s">
        <v>103</v>
      </c>
      <c r="N1679" t="s">
        <v>98</v>
      </c>
      <c r="O1679" t="s">
        <v>1345</v>
      </c>
    </row>
    <row r="1680" spans="1:15" x14ac:dyDescent="0.3">
      <c r="A1680" s="130">
        <v>8719</v>
      </c>
      <c r="B1680" s="130">
        <v>30</v>
      </c>
      <c r="C1680" s="130" t="s">
        <v>3304</v>
      </c>
      <c r="D1680">
        <v>13625</v>
      </c>
      <c r="E1680" s="130">
        <v>8928273</v>
      </c>
      <c r="F1680" t="s">
        <v>87</v>
      </c>
      <c r="G1680">
        <v>358</v>
      </c>
      <c r="H1680" t="s">
        <v>8952</v>
      </c>
      <c r="I1680" s="130">
        <v>10</v>
      </c>
      <c r="J1680" t="s">
        <v>3304</v>
      </c>
      <c r="K1680" t="s">
        <v>108</v>
      </c>
      <c r="L1680" t="s">
        <v>105</v>
      </c>
      <c r="M1680" t="s">
        <v>103</v>
      </c>
      <c r="N1680" t="s">
        <v>98</v>
      </c>
      <c r="O1680" t="s">
        <v>1345</v>
      </c>
    </row>
    <row r="1681" spans="1:15" x14ac:dyDescent="0.3">
      <c r="A1681" s="130">
        <v>8728</v>
      </c>
      <c r="B1681" s="130">
        <v>10</v>
      </c>
      <c r="C1681" s="130" t="s">
        <v>3305</v>
      </c>
      <c r="D1681">
        <v>13636</v>
      </c>
      <c r="E1681" s="131">
        <v>41405292</v>
      </c>
      <c r="F1681" t="s">
        <v>87</v>
      </c>
      <c r="G1681">
        <v>9135</v>
      </c>
      <c r="H1681" t="s">
        <v>8953</v>
      </c>
      <c r="I1681" s="131">
        <v>24</v>
      </c>
      <c r="J1681" t="s">
        <v>3305</v>
      </c>
      <c r="K1681" t="s">
        <v>108</v>
      </c>
      <c r="L1681" t="s">
        <v>191</v>
      </c>
      <c r="M1681" t="s">
        <v>133</v>
      </c>
      <c r="N1681" t="s">
        <v>98</v>
      </c>
      <c r="O1681" t="s">
        <v>1345</v>
      </c>
    </row>
    <row r="1682" spans="1:15" x14ac:dyDescent="0.3">
      <c r="A1682" s="130">
        <v>8731</v>
      </c>
      <c r="B1682" s="130">
        <v>18</v>
      </c>
      <c r="C1682" s="130" t="s">
        <v>3306</v>
      </c>
      <c r="D1682">
        <v>13641</v>
      </c>
      <c r="E1682" s="130">
        <v>2187703</v>
      </c>
      <c r="F1682" t="s">
        <v>87</v>
      </c>
      <c r="G1682">
        <v>9135</v>
      </c>
      <c r="H1682" t="s">
        <v>8951</v>
      </c>
      <c r="I1682" s="131">
        <v>26</v>
      </c>
      <c r="J1682" t="s">
        <v>3306</v>
      </c>
      <c r="K1682" t="s">
        <v>108</v>
      </c>
      <c r="L1682" t="s">
        <v>151</v>
      </c>
      <c r="M1682" t="s">
        <v>112</v>
      </c>
      <c r="N1682" t="s">
        <v>98</v>
      </c>
      <c r="O1682" t="s">
        <v>1345</v>
      </c>
    </row>
    <row r="1683" spans="1:15" x14ac:dyDescent="0.3">
      <c r="A1683" s="130">
        <v>8736</v>
      </c>
      <c r="B1683" s="130">
        <v>21</v>
      </c>
      <c r="C1683" s="130" t="s">
        <v>3307</v>
      </c>
      <c r="D1683">
        <v>13648</v>
      </c>
      <c r="E1683" s="130">
        <v>13537925</v>
      </c>
      <c r="F1683" t="s">
        <v>87</v>
      </c>
      <c r="G1683">
        <v>9135</v>
      </c>
      <c r="H1683" t="s">
        <v>8952</v>
      </c>
      <c r="I1683" s="130">
        <v>24</v>
      </c>
      <c r="J1683" t="s">
        <v>3307</v>
      </c>
      <c r="K1683" t="s">
        <v>108</v>
      </c>
      <c r="L1683" t="s">
        <v>191</v>
      </c>
      <c r="M1683" t="s">
        <v>137</v>
      </c>
      <c r="N1683" t="s">
        <v>114</v>
      </c>
      <c r="O1683" t="s">
        <v>1345</v>
      </c>
    </row>
    <row r="1684" spans="1:15" x14ac:dyDescent="0.3">
      <c r="A1684" s="130">
        <v>8737</v>
      </c>
      <c r="B1684" s="130">
        <v>30</v>
      </c>
      <c r="C1684" s="130" t="s">
        <v>3308</v>
      </c>
      <c r="D1684">
        <v>13650</v>
      </c>
      <c r="E1684" s="130">
        <v>33000167</v>
      </c>
      <c r="F1684" t="s">
        <v>87</v>
      </c>
      <c r="G1684">
        <v>9135</v>
      </c>
      <c r="H1684" t="s">
        <v>8953</v>
      </c>
      <c r="I1684" s="130">
        <v>24</v>
      </c>
      <c r="J1684" t="s">
        <v>3308</v>
      </c>
      <c r="K1684" t="s">
        <v>95</v>
      </c>
      <c r="L1684" t="s">
        <v>102</v>
      </c>
      <c r="M1684" t="s">
        <v>103</v>
      </c>
      <c r="N1684" t="s">
        <v>114</v>
      </c>
      <c r="O1684" t="s">
        <v>1345</v>
      </c>
    </row>
    <row r="1685" spans="1:15" x14ac:dyDescent="0.3">
      <c r="A1685" s="130">
        <v>8739</v>
      </c>
      <c r="B1685" s="130">
        <v>18</v>
      </c>
      <c r="C1685" s="130" t="s">
        <v>3309</v>
      </c>
      <c r="D1685">
        <v>13651</v>
      </c>
      <c r="E1685" s="130">
        <v>86826443</v>
      </c>
      <c r="F1685" t="s">
        <v>87</v>
      </c>
      <c r="G1685">
        <v>9135</v>
      </c>
      <c r="H1685" t="s">
        <v>8951</v>
      </c>
      <c r="I1685" s="131">
        <v>3</v>
      </c>
      <c r="J1685" t="s">
        <v>3309</v>
      </c>
      <c r="K1685" t="s">
        <v>108</v>
      </c>
      <c r="L1685" t="s">
        <v>111</v>
      </c>
      <c r="M1685" t="s">
        <v>112</v>
      </c>
      <c r="N1685" t="s">
        <v>98</v>
      </c>
      <c r="O1685" t="s">
        <v>1345</v>
      </c>
    </row>
    <row r="1686" spans="1:15" x14ac:dyDescent="0.3">
      <c r="A1686" s="130">
        <v>8740</v>
      </c>
      <c r="B1686" s="130">
        <v>30</v>
      </c>
      <c r="C1686" s="130" t="s">
        <v>3310</v>
      </c>
      <c r="D1686">
        <v>13652</v>
      </c>
      <c r="E1686" s="130">
        <v>33000167</v>
      </c>
      <c r="F1686" t="s">
        <v>87</v>
      </c>
      <c r="G1686">
        <v>9135</v>
      </c>
      <c r="H1686" t="s">
        <v>8952</v>
      </c>
      <c r="I1686" s="130">
        <v>24</v>
      </c>
      <c r="J1686" t="s">
        <v>3310</v>
      </c>
      <c r="K1686" t="s">
        <v>95</v>
      </c>
      <c r="L1686" t="s">
        <v>102</v>
      </c>
      <c r="M1686" t="s">
        <v>103</v>
      </c>
      <c r="N1686" t="s">
        <v>114</v>
      </c>
      <c r="O1686" t="s">
        <v>1345</v>
      </c>
    </row>
    <row r="1687" spans="1:15" x14ac:dyDescent="0.3">
      <c r="A1687" s="130">
        <v>8746</v>
      </c>
      <c r="B1687" s="130">
        <v>30</v>
      </c>
      <c r="C1687" s="130" t="s">
        <v>3311</v>
      </c>
      <c r="D1687">
        <v>13664</v>
      </c>
      <c r="E1687" s="131">
        <v>12251508</v>
      </c>
      <c r="F1687" t="s">
        <v>87</v>
      </c>
      <c r="G1687">
        <v>9135</v>
      </c>
      <c r="H1687" t="s">
        <v>8953</v>
      </c>
      <c r="I1687" s="131">
        <v>18</v>
      </c>
      <c r="J1687" t="s">
        <v>3311</v>
      </c>
      <c r="K1687" t="s">
        <v>108</v>
      </c>
      <c r="L1687" t="s">
        <v>123</v>
      </c>
      <c r="M1687" t="s">
        <v>103</v>
      </c>
      <c r="N1687" t="s">
        <v>98</v>
      </c>
      <c r="O1687" t="s">
        <v>116</v>
      </c>
    </row>
    <row r="1688" spans="1:15" x14ac:dyDescent="0.3">
      <c r="A1688" s="130">
        <v>8754</v>
      </c>
      <c r="B1688" s="130">
        <v>30</v>
      </c>
      <c r="C1688" s="130" t="s">
        <v>3312</v>
      </c>
      <c r="D1688">
        <v>13676</v>
      </c>
      <c r="E1688" s="130">
        <v>33000167</v>
      </c>
      <c r="F1688" t="s">
        <v>87</v>
      </c>
      <c r="G1688">
        <v>9135</v>
      </c>
      <c r="H1688" t="s">
        <v>8951</v>
      </c>
      <c r="I1688" s="130">
        <v>24</v>
      </c>
      <c r="J1688" t="s">
        <v>3312</v>
      </c>
      <c r="K1688" t="s">
        <v>95</v>
      </c>
      <c r="L1688" t="s">
        <v>102</v>
      </c>
      <c r="M1688" t="s">
        <v>103</v>
      </c>
      <c r="N1688" t="s">
        <v>114</v>
      </c>
      <c r="O1688" t="s">
        <v>1345</v>
      </c>
    </row>
    <row r="1689" spans="1:15" x14ac:dyDescent="0.3">
      <c r="A1689" s="130">
        <v>8755</v>
      </c>
      <c r="B1689" s="130">
        <v>18</v>
      </c>
      <c r="C1689" s="130" t="s">
        <v>3313</v>
      </c>
      <c r="D1689">
        <v>13675</v>
      </c>
      <c r="E1689" s="130">
        <v>5148615</v>
      </c>
      <c r="F1689" t="s">
        <v>87</v>
      </c>
      <c r="G1689">
        <v>9135</v>
      </c>
      <c r="H1689" t="s">
        <v>8952</v>
      </c>
      <c r="I1689" s="130">
        <v>26</v>
      </c>
      <c r="J1689" t="s">
        <v>3313</v>
      </c>
      <c r="K1689" t="s">
        <v>108</v>
      </c>
      <c r="L1689" t="s">
        <v>151</v>
      </c>
      <c r="M1689" t="s">
        <v>112</v>
      </c>
      <c r="N1689" t="s">
        <v>98</v>
      </c>
      <c r="O1689" t="s">
        <v>1345</v>
      </c>
    </row>
    <row r="1690" spans="1:15" x14ac:dyDescent="0.3">
      <c r="A1690" s="130">
        <v>8756</v>
      </c>
      <c r="B1690" s="130">
        <v>30</v>
      </c>
      <c r="C1690" s="130" t="s">
        <v>3314</v>
      </c>
      <c r="D1690">
        <v>13491</v>
      </c>
      <c r="E1690" s="131">
        <v>3642342</v>
      </c>
      <c r="F1690" t="s">
        <v>87</v>
      </c>
      <c r="G1690">
        <v>9135</v>
      </c>
      <c r="H1690" t="s">
        <v>8953</v>
      </c>
      <c r="I1690" s="130">
        <v>43</v>
      </c>
      <c r="J1690" t="s">
        <v>3314</v>
      </c>
      <c r="K1690" t="s">
        <v>95</v>
      </c>
      <c r="L1690" t="s">
        <v>252</v>
      </c>
      <c r="M1690" t="s">
        <v>103</v>
      </c>
      <c r="N1690" t="s">
        <v>114</v>
      </c>
      <c r="O1690" t="s">
        <v>116</v>
      </c>
    </row>
    <row r="1691" spans="1:15" x14ac:dyDescent="0.3">
      <c r="A1691" s="130">
        <v>8758</v>
      </c>
      <c r="B1691" s="130">
        <v>60</v>
      </c>
      <c r="C1691" s="130" t="s">
        <v>3315</v>
      </c>
      <c r="D1691">
        <v>13683</v>
      </c>
      <c r="E1691" s="130">
        <v>42565697</v>
      </c>
      <c r="F1691" t="s">
        <v>87</v>
      </c>
      <c r="G1691">
        <v>9135</v>
      </c>
      <c r="H1691" t="s">
        <v>8951</v>
      </c>
      <c r="I1691" s="131">
        <v>26</v>
      </c>
      <c r="J1691" t="s">
        <v>3315</v>
      </c>
      <c r="K1691" t="s">
        <v>108</v>
      </c>
      <c r="L1691" t="s">
        <v>1293</v>
      </c>
      <c r="M1691" t="s">
        <v>97</v>
      </c>
      <c r="N1691" t="s">
        <v>98</v>
      </c>
      <c r="O1691" t="s">
        <v>116</v>
      </c>
    </row>
    <row r="1692" spans="1:15" x14ac:dyDescent="0.3">
      <c r="A1692" s="130">
        <v>8765</v>
      </c>
      <c r="B1692" s="130">
        <v>30</v>
      </c>
      <c r="C1692" s="130" t="s">
        <v>3316</v>
      </c>
      <c r="D1692">
        <v>13690</v>
      </c>
      <c r="E1692" s="130">
        <v>33000167</v>
      </c>
      <c r="F1692" t="s">
        <v>87</v>
      </c>
      <c r="G1692">
        <v>9135</v>
      </c>
      <c r="H1692" t="s">
        <v>8952</v>
      </c>
      <c r="I1692" s="130">
        <v>24</v>
      </c>
      <c r="J1692" t="s">
        <v>3316</v>
      </c>
      <c r="K1692" t="s">
        <v>95</v>
      </c>
      <c r="L1692" t="s">
        <v>102</v>
      </c>
      <c r="M1692" t="s">
        <v>103</v>
      </c>
      <c r="N1692" t="s">
        <v>114</v>
      </c>
      <c r="O1692" t="s">
        <v>1345</v>
      </c>
    </row>
    <row r="1693" spans="1:15" x14ac:dyDescent="0.3">
      <c r="A1693" s="130">
        <v>8777</v>
      </c>
      <c r="B1693" s="130">
        <v>28</v>
      </c>
      <c r="C1693" s="130" t="s">
        <v>3317</v>
      </c>
      <c r="D1693">
        <v>13708</v>
      </c>
      <c r="E1693" s="130">
        <v>8726496</v>
      </c>
      <c r="F1693" t="s">
        <v>87</v>
      </c>
      <c r="G1693">
        <v>9135</v>
      </c>
      <c r="H1693" t="s">
        <v>8953</v>
      </c>
      <c r="I1693" s="130">
        <v>10</v>
      </c>
      <c r="J1693" t="s">
        <v>3317</v>
      </c>
      <c r="K1693" t="s">
        <v>108</v>
      </c>
      <c r="L1693" t="s">
        <v>127</v>
      </c>
      <c r="M1693" t="s">
        <v>130</v>
      </c>
      <c r="N1693" t="s">
        <v>118</v>
      </c>
      <c r="O1693" t="s">
        <v>1345</v>
      </c>
    </row>
    <row r="1694" spans="1:15" x14ac:dyDescent="0.3">
      <c r="A1694" s="130">
        <v>8779</v>
      </c>
      <c r="B1694" s="130">
        <v>30</v>
      </c>
      <c r="C1694" s="130" t="s">
        <v>3318</v>
      </c>
      <c r="D1694">
        <v>13709</v>
      </c>
      <c r="E1694" s="131">
        <v>33000167</v>
      </c>
      <c r="F1694" t="s">
        <v>87</v>
      </c>
      <c r="G1694">
        <v>9135</v>
      </c>
      <c r="H1694" t="s">
        <v>8951</v>
      </c>
      <c r="I1694" s="131">
        <v>24</v>
      </c>
      <c r="J1694" t="s">
        <v>3318</v>
      </c>
      <c r="K1694" t="s">
        <v>95</v>
      </c>
      <c r="L1694" t="s">
        <v>102</v>
      </c>
      <c r="M1694" t="s">
        <v>103</v>
      </c>
      <c r="N1694" t="s">
        <v>114</v>
      </c>
      <c r="O1694" t="s">
        <v>116</v>
      </c>
    </row>
    <row r="1695" spans="1:15" x14ac:dyDescent="0.3">
      <c r="A1695" s="130">
        <v>8780</v>
      </c>
      <c r="B1695" s="130">
        <v>15</v>
      </c>
      <c r="C1695" s="130" t="s">
        <v>3319</v>
      </c>
      <c r="D1695">
        <v>13710</v>
      </c>
      <c r="E1695" s="130">
        <v>72764368</v>
      </c>
      <c r="F1695" t="s">
        <v>87</v>
      </c>
      <c r="G1695">
        <v>9135</v>
      </c>
      <c r="H1695" t="s">
        <v>8952</v>
      </c>
      <c r="I1695" s="131">
        <v>24</v>
      </c>
      <c r="J1695" t="s">
        <v>3319</v>
      </c>
      <c r="K1695" t="s">
        <v>108</v>
      </c>
      <c r="L1695" t="s">
        <v>191</v>
      </c>
      <c r="M1695" t="s">
        <v>145</v>
      </c>
      <c r="N1695" t="s">
        <v>114</v>
      </c>
      <c r="O1695" t="s">
        <v>1345</v>
      </c>
    </row>
    <row r="1696" spans="1:15" x14ac:dyDescent="0.3">
      <c r="A1696" s="130">
        <v>8781</v>
      </c>
      <c r="B1696" s="130">
        <v>60</v>
      </c>
      <c r="C1696" s="130" t="s">
        <v>3320</v>
      </c>
      <c r="D1696">
        <v>13711</v>
      </c>
      <c r="E1696" s="130">
        <v>9625762</v>
      </c>
      <c r="F1696" t="s">
        <v>87</v>
      </c>
      <c r="G1696">
        <v>9135</v>
      </c>
      <c r="H1696" t="s">
        <v>8953</v>
      </c>
      <c r="I1696" s="130">
        <v>43</v>
      </c>
      <c r="J1696" t="s">
        <v>3320</v>
      </c>
      <c r="K1696" t="s">
        <v>95</v>
      </c>
      <c r="L1696" t="s">
        <v>159</v>
      </c>
      <c r="M1696" t="s">
        <v>97</v>
      </c>
      <c r="N1696" t="s">
        <v>150</v>
      </c>
      <c r="O1696" t="s">
        <v>1345</v>
      </c>
    </row>
    <row r="1697" spans="1:15" x14ac:dyDescent="0.3">
      <c r="A1697" s="130">
        <v>8782</v>
      </c>
      <c r="B1697" s="130">
        <v>30</v>
      </c>
      <c r="C1697" s="130" t="s">
        <v>3321</v>
      </c>
      <c r="D1697">
        <v>13713</v>
      </c>
      <c r="E1697" s="130">
        <v>33000167</v>
      </c>
      <c r="F1697" t="s">
        <v>87</v>
      </c>
      <c r="G1697">
        <v>9135</v>
      </c>
      <c r="H1697" t="s">
        <v>8951</v>
      </c>
      <c r="I1697" s="131">
        <v>24</v>
      </c>
      <c r="J1697" t="s">
        <v>3321</v>
      </c>
      <c r="K1697" t="s">
        <v>95</v>
      </c>
      <c r="L1697" t="s">
        <v>102</v>
      </c>
      <c r="M1697" t="s">
        <v>103</v>
      </c>
      <c r="N1697" t="s">
        <v>114</v>
      </c>
      <c r="O1697" t="s">
        <v>1345</v>
      </c>
    </row>
    <row r="1698" spans="1:15" x14ac:dyDescent="0.3">
      <c r="A1698" s="130">
        <v>8783</v>
      </c>
      <c r="B1698" s="130">
        <v>30</v>
      </c>
      <c r="C1698" s="130" t="s">
        <v>3322</v>
      </c>
      <c r="D1698">
        <v>13712</v>
      </c>
      <c r="E1698" s="130">
        <v>33000167</v>
      </c>
      <c r="F1698" t="s">
        <v>87</v>
      </c>
      <c r="G1698">
        <v>9135</v>
      </c>
      <c r="H1698" t="s">
        <v>8952</v>
      </c>
      <c r="I1698" s="130">
        <v>24</v>
      </c>
      <c r="J1698" t="s">
        <v>3322</v>
      </c>
      <c r="K1698" t="s">
        <v>95</v>
      </c>
      <c r="L1698" t="s">
        <v>102</v>
      </c>
      <c r="M1698" t="s">
        <v>103</v>
      </c>
      <c r="N1698" t="s">
        <v>114</v>
      </c>
      <c r="O1698" t="s">
        <v>1345</v>
      </c>
    </row>
    <row r="1699" spans="1:15" x14ac:dyDescent="0.3">
      <c r="A1699" s="130">
        <v>8785</v>
      </c>
      <c r="B1699" s="130">
        <v>60</v>
      </c>
      <c r="C1699" s="130" t="s">
        <v>3323</v>
      </c>
      <c r="D1699">
        <v>13715</v>
      </c>
      <c r="E1699" s="130">
        <v>9625762</v>
      </c>
      <c r="F1699" t="s">
        <v>87</v>
      </c>
      <c r="G1699">
        <v>9135</v>
      </c>
      <c r="H1699" t="s">
        <v>8953</v>
      </c>
      <c r="I1699" s="130">
        <v>19</v>
      </c>
      <c r="J1699" t="s">
        <v>3323</v>
      </c>
      <c r="K1699" t="s">
        <v>95</v>
      </c>
      <c r="L1699" t="s">
        <v>111</v>
      </c>
      <c r="M1699" t="s">
        <v>97</v>
      </c>
      <c r="N1699" t="s">
        <v>150</v>
      </c>
      <c r="O1699" t="s">
        <v>116</v>
      </c>
    </row>
    <row r="1700" spans="1:15" x14ac:dyDescent="0.3">
      <c r="A1700" s="130">
        <v>8788</v>
      </c>
      <c r="B1700" s="130">
        <v>18</v>
      </c>
      <c r="C1700" s="130" t="s">
        <v>3324</v>
      </c>
      <c r="D1700">
        <v>13718</v>
      </c>
      <c r="E1700" s="131">
        <v>9238252</v>
      </c>
      <c r="F1700" t="s">
        <v>87</v>
      </c>
      <c r="G1700">
        <v>358</v>
      </c>
      <c r="H1700" t="s">
        <v>8951</v>
      </c>
      <c r="I1700" s="130">
        <v>9</v>
      </c>
      <c r="J1700" t="s">
        <v>3324</v>
      </c>
      <c r="K1700" t="s">
        <v>95</v>
      </c>
      <c r="L1700" t="s">
        <v>105</v>
      </c>
      <c r="M1700" t="s">
        <v>112</v>
      </c>
      <c r="N1700" t="s">
        <v>98</v>
      </c>
      <c r="O1700" t="s">
        <v>1345</v>
      </c>
    </row>
    <row r="1701" spans="1:15" x14ac:dyDescent="0.3">
      <c r="A1701" s="130">
        <v>8795</v>
      </c>
      <c r="B1701" s="130">
        <v>60</v>
      </c>
      <c r="C1701" s="130" t="s">
        <v>3325</v>
      </c>
      <c r="D1701">
        <v>13729</v>
      </c>
      <c r="E1701" s="130">
        <v>9625762</v>
      </c>
      <c r="F1701" t="s">
        <v>87</v>
      </c>
      <c r="G1701">
        <v>9135</v>
      </c>
      <c r="H1701" t="s">
        <v>8952</v>
      </c>
      <c r="I1701" s="130">
        <v>19</v>
      </c>
      <c r="J1701" t="s">
        <v>3325</v>
      </c>
      <c r="K1701" t="s">
        <v>95</v>
      </c>
      <c r="L1701" t="s">
        <v>1368</v>
      </c>
      <c r="M1701" t="s">
        <v>97</v>
      </c>
      <c r="N1701" t="s">
        <v>150</v>
      </c>
      <c r="O1701" t="s">
        <v>116</v>
      </c>
    </row>
    <row r="1702" spans="1:15" x14ac:dyDescent="0.3">
      <c r="A1702" s="130">
        <v>8797</v>
      </c>
      <c r="B1702" s="130">
        <v>18</v>
      </c>
      <c r="C1702" s="130" t="s">
        <v>3326</v>
      </c>
      <c r="D1702">
        <v>13732</v>
      </c>
      <c r="E1702" s="131">
        <v>3532392</v>
      </c>
      <c r="F1702" t="s">
        <v>87</v>
      </c>
      <c r="G1702">
        <v>9135</v>
      </c>
      <c r="H1702" t="s">
        <v>8953</v>
      </c>
      <c r="I1702" s="130">
        <v>3</v>
      </c>
      <c r="J1702" t="s">
        <v>3326</v>
      </c>
      <c r="K1702" t="s">
        <v>95</v>
      </c>
      <c r="L1702" t="s">
        <v>96</v>
      </c>
      <c r="M1702" t="s">
        <v>112</v>
      </c>
      <c r="N1702" t="s">
        <v>114</v>
      </c>
      <c r="O1702" t="s">
        <v>1345</v>
      </c>
    </row>
    <row r="1703" spans="1:15" x14ac:dyDescent="0.3">
      <c r="A1703" s="130">
        <v>8798</v>
      </c>
      <c r="B1703" s="130">
        <v>30</v>
      </c>
      <c r="C1703" s="130" t="s">
        <v>3327</v>
      </c>
      <c r="D1703">
        <v>13737</v>
      </c>
      <c r="E1703" s="131">
        <v>23347255</v>
      </c>
      <c r="F1703" t="s">
        <v>87</v>
      </c>
      <c r="G1703">
        <v>9135</v>
      </c>
      <c r="H1703" t="s">
        <v>8951</v>
      </c>
      <c r="I1703" s="131">
        <v>10</v>
      </c>
      <c r="J1703" t="s">
        <v>3327</v>
      </c>
      <c r="K1703" t="s">
        <v>95</v>
      </c>
      <c r="L1703" t="s">
        <v>127</v>
      </c>
      <c r="M1703" t="s">
        <v>103</v>
      </c>
      <c r="N1703" t="s">
        <v>118</v>
      </c>
      <c r="O1703" t="s">
        <v>1345</v>
      </c>
    </row>
    <row r="1704" spans="1:15" x14ac:dyDescent="0.3">
      <c r="A1704" s="130">
        <v>8803</v>
      </c>
      <c r="B1704" s="130">
        <v>0</v>
      </c>
      <c r="C1704" s="130" t="s">
        <v>3328</v>
      </c>
      <c r="D1704">
        <v>13741</v>
      </c>
      <c r="E1704" s="131">
        <v>18449436826</v>
      </c>
      <c r="F1704" t="s">
        <v>87</v>
      </c>
      <c r="G1704">
        <v>9135</v>
      </c>
      <c r="H1704" t="s">
        <v>8952</v>
      </c>
      <c r="I1704" s="131">
        <v>37</v>
      </c>
      <c r="J1704" t="s">
        <v>3328</v>
      </c>
      <c r="K1704" t="s">
        <v>95</v>
      </c>
      <c r="L1704" t="s">
        <v>138</v>
      </c>
      <c r="M1704" t="s">
        <v>100</v>
      </c>
      <c r="N1704" t="s">
        <v>152</v>
      </c>
      <c r="O1704" t="s">
        <v>1345</v>
      </c>
    </row>
    <row r="1705" spans="1:15" x14ac:dyDescent="0.3">
      <c r="A1705" s="130">
        <v>8806</v>
      </c>
      <c r="B1705" s="130">
        <v>18</v>
      </c>
      <c r="C1705" s="130" t="s">
        <v>3329</v>
      </c>
      <c r="D1705">
        <v>13745</v>
      </c>
      <c r="E1705" s="130">
        <v>5025210</v>
      </c>
      <c r="F1705" t="s">
        <v>87</v>
      </c>
      <c r="G1705">
        <v>9135</v>
      </c>
      <c r="H1705" t="s">
        <v>8953</v>
      </c>
      <c r="I1705" s="130">
        <v>10</v>
      </c>
      <c r="J1705" t="s">
        <v>3329</v>
      </c>
      <c r="K1705" t="s">
        <v>108</v>
      </c>
      <c r="L1705" t="s">
        <v>127</v>
      </c>
      <c r="M1705" t="s">
        <v>112</v>
      </c>
      <c r="N1705" t="s">
        <v>114</v>
      </c>
      <c r="O1705" t="s">
        <v>1345</v>
      </c>
    </row>
    <row r="1706" spans="1:15" x14ac:dyDescent="0.3">
      <c r="A1706" s="130">
        <v>8811</v>
      </c>
      <c r="B1706" s="130">
        <v>18</v>
      </c>
      <c r="C1706" s="130" t="s">
        <v>3330</v>
      </c>
      <c r="D1706">
        <v>13751</v>
      </c>
      <c r="E1706" s="131">
        <v>10639965</v>
      </c>
      <c r="F1706" t="s">
        <v>87</v>
      </c>
      <c r="G1706">
        <v>9135</v>
      </c>
      <c r="H1706" t="s">
        <v>8951</v>
      </c>
      <c r="I1706" s="130">
        <v>26</v>
      </c>
      <c r="J1706" t="s">
        <v>3330</v>
      </c>
      <c r="K1706" t="s">
        <v>108</v>
      </c>
      <c r="L1706" t="s">
        <v>151</v>
      </c>
      <c r="M1706" t="s">
        <v>112</v>
      </c>
      <c r="N1706" t="s">
        <v>98</v>
      </c>
      <c r="O1706" t="s">
        <v>116</v>
      </c>
    </row>
    <row r="1707" spans="1:15" x14ac:dyDescent="0.3">
      <c r="A1707" s="130">
        <v>8814</v>
      </c>
      <c r="B1707" s="130">
        <v>18</v>
      </c>
      <c r="C1707" s="130" t="s">
        <v>3331</v>
      </c>
      <c r="D1707">
        <v>13762</v>
      </c>
      <c r="E1707" s="130">
        <v>38349065</v>
      </c>
      <c r="F1707" t="s">
        <v>87</v>
      </c>
      <c r="G1707">
        <v>358</v>
      </c>
      <c r="H1707" t="s">
        <v>8952</v>
      </c>
      <c r="I1707" s="130">
        <v>3</v>
      </c>
      <c r="J1707" t="s">
        <v>3331</v>
      </c>
      <c r="K1707" t="s">
        <v>95</v>
      </c>
      <c r="L1707" t="s">
        <v>109</v>
      </c>
      <c r="M1707" t="s">
        <v>112</v>
      </c>
      <c r="N1707" t="s">
        <v>98</v>
      </c>
      <c r="O1707" t="s">
        <v>116</v>
      </c>
    </row>
    <row r="1708" spans="1:15" x14ac:dyDescent="0.3">
      <c r="A1708" s="130">
        <v>8820</v>
      </c>
      <c r="B1708" s="130">
        <v>0</v>
      </c>
      <c r="C1708" s="130" t="s">
        <v>3332</v>
      </c>
      <c r="D1708">
        <v>13775</v>
      </c>
      <c r="E1708" s="130">
        <v>21583482</v>
      </c>
      <c r="F1708" t="s">
        <v>87</v>
      </c>
      <c r="G1708">
        <v>9135</v>
      </c>
      <c r="H1708" t="s">
        <v>8953</v>
      </c>
      <c r="I1708" s="130">
        <v>19</v>
      </c>
      <c r="J1708" t="s">
        <v>3332</v>
      </c>
      <c r="K1708" t="s">
        <v>108</v>
      </c>
      <c r="L1708" t="s">
        <v>146</v>
      </c>
      <c r="M1708" t="s">
        <v>100</v>
      </c>
      <c r="N1708" t="s">
        <v>101</v>
      </c>
      <c r="O1708" t="s">
        <v>116</v>
      </c>
    </row>
    <row r="1709" spans="1:15" x14ac:dyDescent="0.3">
      <c r="A1709" s="130">
        <v>8821</v>
      </c>
      <c r="B1709" s="130">
        <v>30</v>
      </c>
      <c r="C1709" s="130" t="s">
        <v>3333</v>
      </c>
      <c r="D1709">
        <v>13774</v>
      </c>
      <c r="E1709" s="131">
        <v>33000167</v>
      </c>
      <c r="F1709" t="s">
        <v>87</v>
      </c>
      <c r="G1709">
        <v>9135</v>
      </c>
      <c r="H1709" t="s">
        <v>8951</v>
      </c>
      <c r="I1709" s="131">
        <v>24</v>
      </c>
      <c r="J1709" t="s">
        <v>3333</v>
      </c>
      <c r="K1709" t="s">
        <v>95</v>
      </c>
      <c r="L1709" t="s">
        <v>102</v>
      </c>
      <c r="M1709" t="s">
        <v>103</v>
      </c>
      <c r="N1709" t="s">
        <v>114</v>
      </c>
      <c r="O1709" t="s">
        <v>116</v>
      </c>
    </row>
    <row r="1710" spans="1:15" x14ac:dyDescent="0.3">
      <c r="A1710" s="130">
        <v>8822</v>
      </c>
      <c r="B1710" s="130">
        <v>30</v>
      </c>
      <c r="C1710" s="130" t="s">
        <v>3334</v>
      </c>
      <c r="D1710">
        <v>13776</v>
      </c>
      <c r="E1710" s="130">
        <v>29060647</v>
      </c>
      <c r="F1710" t="s">
        <v>87</v>
      </c>
      <c r="G1710">
        <v>9135</v>
      </c>
      <c r="H1710" t="s">
        <v>8952</v>
      </c>
      <c r="I1710" s="130">
        <v>18</v>
      </c>
      <c r="J1710" t="s">
        <v>3334</v>
      </c>
      <c r="K1710" t="s">
        <v>95</v>
      </c>
      <c r="L1710" t="s">
        <v>123</v>
      </c>
      <c r="M1710" t="s">
        <v>103</v>
      </c>
      <c r="N1710" t="s">
        <v>98</v>
      </c>
      <c r="O1710" t="s">
        <v>116</v>
      </c>
    </row>
    <row r="1711" spans="1:15" x14ac:dyDescent="0.3">
      <c r="A1711" s="130">
        <v>8831</v>
      </c>
      <c r="B1711" s="130">
        <v>18</v>
      </c>
      <c r="C1711" s="130" t="s">
        <v>3335</v>
      </c>
      <c r="D1711">
        <v>13792</v>
      </c>
      <c r="E1711" s="130">
        <v>55064562</v>
      </c>
      <c r="F1711" t="s">
        <v>87</v>
      </c>
      <c r="G1711">
        <v>9135</v>
      </c>
      <c r="H1711" t="s">
        <v>8953</v>
      </c>
      <c r="I1711" s="131">
        <v>37</v>
      </c>
      <c r="J1711" t="s">
        <v>3335</v>
      </c>
      <c r="K1711" t="s">
        <v>95</v>
      </c>
      <c r="L1711" t="s">
        <v>138</v>
      </c>
      <c r="M1711" t="s">
        <v>112</v>
      </c>
      <c r="N1711" t="s">
        <v>141</v>
      </c>
      <c r="O1711" t="s">
        <v>1345</v>
      </c>
    </row>
    <row r="1712" spans="1:15" x14ac:dyDescent="0.3">
      <c r="A1712" s="130">
        <v>8833</v>
      </c>
      <c r="B1712" s="130">
        <v>18</v>
      </c>
      <c r="C1712" s="130" t="s">
        <v>3336</v>
      </c>
      <c r="D1712">
        <v>13793</v>
      </c>
      <c r="E1712" s="130">
        <v>8054995</v>
      </c>
      <c r="F1712" t="s">
        <v>87</v>
      </c>
      <c r="G1712">
        <v>358</v>
      </c>
      <c r="H1712" t="s">
        <v>8951</v>
      </c>
      <c r="I1712" s="130">
        <v>10</v>
      </c>
      <c r="J1712" t="s">
        <v>3336</v>
      </c>
      <c r="K1712" t="s">
        <v>95</v>
      </c>
      <c r="L1712" t="s">
        <v>105</v>
      </c>
      <c r="M1712" t="s">
        <v>112</v>
      </c>
      <c r="N1712" t="s">
        <v>98</v>
      </c>
      <c r="O1712" t="s">
        <v>1345</v>
      </c>
    </row>
    <row r="1713" spans="1:15" x14ac:dyDescent="0.3">
      <c r="A1713" s="130">
        <v>8835</v>
      </c>
      <c r="B1713" s="130">
        <v>18</v>
      </c>
      <c r="C1713" s="130" t="s">
        <v>3337</v>
      </c>
      <c r="D1713">
        <v>13795</v>
      </c>
      <c r="E1713" s="130">
        <v>731155</v>
      </c>
      <c r="F1713" t="s">
        <v>87</v>
      </c>
      <c r="G1713">
        <v>9135</v>
      </c>
      <c r="H1713" t="s">
        <v>8952</v>
      </c>
      <c r="I1713" s="130">
        <v>10</v>
      </c>
      <c r="J1713" t="s">
        <v>3337</v>
      </c>
      <c r="K1713" t="s">
        <v>108</v>
      </c>
      <c r="L1713" t="s">
        <v>127</v>
      </c>
      <c r="M1713" t="s">
        <v>112</v>
      </c>
      <c r="N1713" t="s">
        <v>118</v>
      </c>
      <c r="O1713" t="s">
        <v>1345</v>
      </c>
    </row>
    <row r="1714" spans="1:15" x14ac:dyDescent="0.3">
      <c r="A1714" s="130">
        <v>8846</v>
      </c>
      <c r="B1714" s="130">
        <v>60</v>
      </c>
      <c r="C1714" s="130" t="s">
        <v>3338</v>
      </c>
      <c r="D1714">
        <v>13801</v>
      </c>
      <c r="E1714" s="130">
        <v>33592510</v>
      </c>
      <c r="F1714" t="s">
        <v>87</v>
      </c>
      <c r="G1714">
        <v>77</v>
      </c>
      <c r="H1714" t="s">
        <v>8953</v>
      </c>
      <c r="I1714" s="130">
        <v>2</v>
      </c>
      <c r="J1714" t="s">
        <v>3338</v>
      </c>
      <c r="K1714" t="s">
        <v>95</v>
      </c>
      <c r="L1714" t="s">
        <v>117</v>
      </c>
      <c r="M1714" t="s">
        <v>97</v>
      </c>
      <c r="N1714" t="s">
        <v>118</v>
      </c>
      <c r="O1714" t="s">
        <v>1345</v>
      </c>
    </row>
    <row r="1715" spans="1:15" x14ac:dyDescent="0.3">
      <c r="A1715" s="130">
        <v>8849</v>
      </c>
      <c r="B1715" s="130">
        <v>18</v>
      </c>
      <c r="C1715" s="130" t="s">
        <v>3339</v>
      </c>
      <c r="D1715">
        <v>13808</v>
      </c>
      <c r="E1715" s="130">
        <v>315757</v>
      </c>
      <c r="F1715" t="s">
        <v>87</v>
      </c>
      <c r="G1715">
        <v>9135</v>
      </c>
      <c r="H1715" t="s">
        <v>8951</v>
      </c>
      <c r="I1715" s="131">
        <v>26</v>
      </c>
      <c r="J1715" t="s">
        <v>3339</v>
      </c>
      <c r="K1715" t="s">
        <v>95</v>
      </c>
      <c r="L1715" t="s">
        <v>151</v>
      </c>
      <c r="M1715" t="s">
        <v>112</v>
      </c>
      <c r="N1715" t="s">
        <v>98</v>
      </c>
      <c r="O1715" t="s">
        <v>1345</v>
      </c>
    </row>
    <row r="1716" spans="1:15" x14ac:dyDescent="0.3">
      <c r="A1716" s="130">
        <v>8858</v>
      </c>
      <c r="B1716" s="130">
        <v>18</v>
      </c>
      <c r="C1716" s="130" t="s">
        <v>3340</v>
      </c>
      <c r="D1716">
        <v>13819</v>
      </c>
      <c r="E1716" s="131">
        <v>237518</v>
      </c>
      <c r="F1716" t="s">
        <v>87</v>
      </c>
      <c r="G1716">
        <v>9135</v>
      </c>
      <c r="H1716" t="s">
        <v>8952</v>
      </c>
      <c r="I1716" s="131">
        <v>9</v>
      </c>
      <c r="J1716" t="s">
        <v>3340</v>
      </c>
      <c r="K1716" t="s">
        <v>95</v>
      </c>
      <c r="L1716" t="s">
        <v>96</v>
      </c>
      <c r="M1716" t="s">
        <v>112</v>
      </c>
      <c r="N1716" t="s">
        <v>98</v>
      </c>
      <c r="O1716" t="s">
        <v>1345</v>
      </c>
    </row>
    <row r="1717" spans="1:15" x14ac:dyDescent="0.3">
      <c r="A1717" s="130">
        <v>8870</v>
      </c>
      <c r="B1717" s="130">
        <v>90</v>
      </c>
      <c r="C1717" s="130" t="s">
        <v>3341</v>
      </c>
      <c r="D1717">
        <v>13839</v>
      </c>
      <c r="E1717" s="130">
        <v>35234509</v>
      </c>
      <c r="F1717" t="s">
        <v>87</v>
      </c>
      <c r="G1717">
        <v>9135</v>
      </c>
      <c r="H1717" t="s">
        <v>8953</v>
      </c>
      <c r="I1717" s="130">
        <v>18</v>
      </c>
      <c r="J1717" t="s">
        <v>3341</v>
      </c>
      <c r="K1717" t="s">
        <v>95</v>
      </c>
      <c r="L1717" t="s">
        <v>102</v>
      </c>
      <c r="M1717" t="s">
        <v>170</v>
      </c>
      <c r="N1717" t="s">
        <v>114</v>
      </c>
      <c r="O1717" t="s">
        <v>116</v>
      </c>
    </row>
    <row r="1718" spans="1:15" x14ac:dyDescent="0.3">
      <c r="A1718" s="130">
        <v>8872</v>
      </c>
      <c r="B1718" s="130">
        <v>30</v>
      </c>
      <c r="C1718" s="130" t="s">
        <v>3342</v>
      </c>
      <c r="D1718">
        <v>13843</v>
      </c>
      <c r="E1718" s="130">
        <v>42441965</v>
      </c>
      <c r="F1718" t="s">
        <v>87</v>
      </c>
      <c r="G1718">
        <v>9135</v>
      </c>
      <c r="H1718" t="s">
        <v>8951</v>
      </c>
      <c r="I1718" s="130">
        <v>10</v>
      </c>
      <c r="J1718" t="s">
        <v>3342</v>
      </c>
      <c r="K1718" t="s">
        <v>95</v>
      </c>
      <c r="L1718" t="s">
        <v>96</v>
      </c>
      <c r="M1718" t="s">
        <v>103</v>
      </c>
      <c r="N1718" t="s">
        <v>98</v>
      </c>
      <c r="O1718" t="s">
        <v>1345</v>
      </c>
    </row>
    <row r="1719" spans="1:15" x14ac:dyDescent="0.3">
      <c r="A1719" s="130">
        <v>8883</v>
      </c>
      <c r="B1719" s="130">
        <v>30</v>
      </c>
      <c r="C1719" s="130" t="s">
        <v>3343</v>
      </c>
      <c r="D1719">
        <v>13855</v>
      </c>
      <c r="E1719" s="130">
        <v>25566035</v>
      </c>
      <c r="F1719" t="s">
        <v>87</v>
      </c>
      <c r="G1719">
        <v>9135</v>
      </c>
      <c r="H1719" t="s">
        <v>8952</v>
      </c>
      <c r="I1719" s="131">
        <v>3</v>
      </c>
      <c r="J1719" t="s">
        <v>3343</v>
      </c>
      <c r="K1719" t="s">
        <v>95</v>
      </c>
      <c r="L1719" t="s">
        <v>111</v>
      </c>
      <c r="M1719" t="s">
        <v>103</v>
      </c>
      <c r="N1719" t="s">
        <v>98</v>
      </c>
      <c r="O1719" t="s">
        <v>1345</v>
      </c>
    </row>
    <row r="1720" spans="1:15" x14ac:dyDescent="0.3">
      <c r="A1720" s="130">
        <v>8892</v>
      </c>
      <c r="B1720" s="130">
        <v>30</v>
      </c>
      <c r="C1720" s="130" t="s">
        <v>3344</v>
      </c>
      <c r="D1720">
        <v>13874</v>
      </c>
      <c r="E1720" s="130">
        <v>46350863</v>
      </c>
      <c r="F1720" t="s">
        <v>87</v>
      </c>
      <c r="G1720">
        <v>358</v>
      </c>
      <c r="H1720" t="s">
        <v>8953</v>
      </c>
      <c r="I1720" s="130">
        <v>43</v>
      </c>
      <c r="J1720" t="s">
        <v>3344</v>
      </c>
      <c r="K1720" t="s">
        <v>95</v>
      </c>
      <c r="L1720" t="s">
        <v>105</v>
      </c>
      <c r="M1720" t="s">
        <v>103</v>
      </c>
      <c r="N1720" t="s">
        <v>98</v>
      </c>
      <c r="O1720" t="s">
        <v>116</v>
      </c>
    </row>
    <row r="1721" spans="1:15" x14ac:dyDescent="0.3">
      <c r="A1721" s="130">
        <v>8893</v>
      </c>
      <c r="B1721" s="130">
        <v>30</v>
      </c>
      <c r="C1721" s="130" t="s">
        <v>3345</v>
      </c>
      <c r="D1721">
        <v>13506</v>
      </c>
      <c r="E1721" s="131">
        <v>27610889</v>
      </c>
      <c r="F1721" t="s">
        <v>87</v>
      </c>
      <c r="G1721">
        <v>9135</v>
      </c>
      <c r="H1721" t="s">
        <v>8951</v>
      </c>
      <c r="I1721" s="131">
        <v>3</v>
      </c>
      <c r="J1721" t="s">
        <v>3345</v>
      </c>
      <c r="K1721" t="s">
        <v>95</v>
      </c>
      <c r="L1721" t="s">
        <v>111</v>
      </c>
      <c r="M1721" t="s">
        <v>103</v>
      </c>
      <c r="N1721" t="s">
        <v>98</v>
      </c>
      <c r="O1721" t="s">
        <v>116</v>
      </c>
    </row>
    <row r="1722" spans="1:15" x14ac:dyDescent="0.3">
      <c r="A1722" s="130">
        <v>8894</v>
      </c>
      <c r="B1722" s="130">
        <v>30</v>
      </c>
      <c r="C1722" s="130" t="s">
        <v>3346</v>
      </c>
      <c r="D1722">
        <v>13876</v>
      </c>
      <c r="E1722" s="130">
        <v>33000167</v>
      </c>
      <c r="F1722" t="s">
        <v>87</v>
      </c>
      <c r="G1722">
        <v>9135</v>
      </c>
      <c r="H1722" t="s">
        <v>8952</v>
      </c>
      <c r="I1722" s="130">
        <v>24</v>
      </c>
      <c r="J1722" t="s">
        <v>3346</v>
      </c>
      <c r="K1722" t="s">
        <v>95</v>
      </c>
      <c r="L1722" t="s">
        <v>102</v>
      </c>
      <c r="M1722" t="s">
        <v>103</v>
      </c>
      <c r="N1722" t="s">
        <v>114</v>
      </c>
      <c r="O1722" t="s">
        <v>1345</v>
      </c>
    </row>
    <row r="1723" spans="1:15" x14ac:dyDescent="0.3">
      <c r="A1723" s="130">
        <v>8895</v>
      </c>
      <c r="B1723" s="130">
        <v>60</v>
      </c>
      <c r="C1723" s="130" t="s">
        <v>3347</v>
      </c>
      <c r="D1723">
        <v>13877</v>
      </c>
      <c r="E1723" s="131">
        <v>9625762</v>
      </c>
      <c r="F1723" t="s">
        <v>87</v>
      </c>
      <c r="G1723">
        <v>9135</v>
      </c>
      <c r="H1723" t="s">
        <v>8953</v>
      </c>
      <c r="I1723" s="131">
        <v>19</v>
      </c>
      <c r="J1723" t="s">
        <v>3347</v>
      </c>
      <c r="K1723" t="s">
        <v>95</v>
      </c>
      <c r="L1723" t="s">
        <v>111</v>
      </c>
      <c r="M1723" t="s">
        <v>97</v>
      </c>
      <c r="N1723" t="s">
        <v>150</v>
      </c>
      <c r="O1723" t="s">
        <v>116</v>
      </c>
    </row>
    <row r="1724" spans="1:15" x14ac:dyDescent="0.3">
      <c r="A1724" s="130">
        <v>8897</v>
      </c>
      <c r="B1724" s="130">
        <v>30</v>
      </c>
      <c r="C1724" s="130" t="s">
        <v>3348</v>
      </c>
      <c r="D1724">
        <v>13879</v>
      </c>
      <c r="E1724" s="130">
        <v>33000167</v>
      </c>
      <c r="F1724" t="s">
        <v>87</v>
      </c>
      <c r="G1724">
        <v>9135</v>
      </c>
      <c r="H1724" t="s">
        <v>8951</v>
      </c>
      <c r="I1724" s="130">
        <v>24</v>
      </c>
      <c r="J1724" t="s">
        <v>3348</v>
      </c>
      <c r="K1724" t="s">
        <v>95</v>
      </c>
      <c r="L1724" t="s">
        <v>102</v>
      </c>
      <c r="M1724" t="s">
        <v>103</v>
      </c>
      <c r="N1724" t="s">
        <v>114</v>
      </c>
      <c r="O1724" t="s">
        <v>1345</v>
      </c>
    </row>
    <row r="1725" spans="1:15" x14ac:dyDescent="0.3">
      <c r="A1725" s="130">
        <v>8925</v>
      </c>
      <c r="B1725" s="130" t="s">
        <v>1366</v>
      </c>
      <c r="C1725" s="130" t="s">
        <v>3349</v>
      </c>
      <c r="D1725">
        <v>13919</v>
      </c>
      <c r="E1725" s="131">
        <v>20041620</v>
      </c>
      <c r="F1725" t="s">
        <v>87</v>
      </c>
      <c r="G1725">
        <v>9135</v>
      </c>
      <c r="H1725" t="s">
        <v>8952</v>
      </c>
      <c r="I1725" s="130">
        <v>3</v>
      </c>
      <c r="J1725" t="s">
        <v>3349</v>
      </c>
      <c r="K1725" t="s">
        <v>95</v>
      </c>
      <c r="L1725" t="s">
        <v>102</v>
      </c>
      <c r="M1725" t="s">
        <v>1367</v>
      </c>
      <c r="N1725" t="s">
        <v>152</v>
      </c>
      <c r="O1725" t="s">
        <v>1345</v>
      </c>
    </row>
    <row r="1726" spans="1:15" x14ac:dyDescent="0.3">
      <c r="A1726" s="130">
        <v>8928</v>
      </c>
      <c r="B1726" s="130">
        <v>30</v>
      </c>
      <c r="C1726" s="130" t="s">
        <v>3350</v>
      </c>
      <c r="D1726">
        <v>13929</v>
      </c>
      <c r="E1726" s="130">
        <v>10833408</v>
      </c>
      <c r="F1726" t="s">
        <v>87</v>
      </c>
      <c r="G1726">
        <v>9135</v>
      </c>
      <c r="H1726" t="s">
        <v>8953</v>
      </c>
      <c r="I1726" s="130">
        <v>19</v>
      </c>
      <c r="J1726" t="s">
        <v>3350</v>
      </c>
      <c r="K1726" t="s">
        <v>108</v>
      </c>
      <c r="L1726" t="s">
        <v>159</v>
      </c>
      <c r="M1726" t="s">
        <v>103</v>
      </c>
      <c r="N1726" t="s">
        <v>162</v>
      </c>
      <c r="O1726" t="s">
        <v>1345</v>
      </c>
    </row>
    <row r="1727" spans="1:15" x14ac:dyDescent="0.3">
      <c r="A1727" s="130">
        <v>8936</v>
      </c>
      <c r="B1727" s="130">
        <v>60</v>
      </c>
      <c r="C1727" s="130" t="s">
        <v>3351</v>
      </c>
      <c r="D1727">
        <v>13816</v>
      </c>
      <c r="E1727" s="130">
        <v>17500224</v>
      </c>
      <c r="F1727" t="s">
        <v>87</v>
      </c>
      <c r="G1727">
        <v>77</v>
      </c>
      <c r="H1727" t="s">
        <v>8951</v>
      </c>
      <c r="I1727" s="131">
        <v>3</v>
      </c>
      <c r="J1727" t="s">
        <v>3351</v>
      </c>
      <c r="K1727" t="s">
        <v>95</v>
      </c>
      <c r="L1727" t="s">
        <v>256</v>
      </c>
      <c r="M1727" t="s">
        <v>97</v>
      </c>
      <c r="N1727" t="s">
        <v>104</v>
      </c>
      <c r="O1727" t="s">
        <v>116</v>
      </c>
    </row>
    <row r="1728" spans="1:15" x14ac:dyDescent="0.3">
      <c r="A1728" s="130">
        <v>8941</v>
      </c>
      <c r="B1728" s="130">
        <v>18</v>
      </c>
      <c r="C1728" s="130" t="s">
        <v>3352</v>
      </c>
      <c r="D1728">
        <v>13942</v>
      </c>
      <c r="E1728" s="131">
        <v>89033914115</v>
      </c>
      <c r="F1728" t="s">
        <v>87</v>
      </c>
      <c r="G1728">
        <v>9135</v>
      </c>
      <c r="H1728" t="s">
        <v>8952</v>
      </c>
      <c r="I1728" s="130">
        <v>37</v>
      </c>
      <c r="J1728" t="s">
        <v>3352</v>
      </c>
      <c r="K1728" t="s">
        <v>108</v>
      </c>
      <c r="L1728" t="s">
        <v>138</v>
      </c>
      <c r="M1728" t="s">
        <v>112</v>
      </c>
      <c r="N1728" t="s">
        <v>98</v>
      </c>
      <c r="O1728" t="s">
        <v>1345</v>
      </c>
    </row>
    <row r="1729" spans="1:15" x14ac:dyDescent="0.3">
      <c r="A1729" s="130">
        <v>8943</v>
      </c>
      <c r="B1729" s="130">
        <v>30</v>
      </c>
      <c r="C1729" s="130" t="s">
        <v>3353</v>
      </c>
      <c r="D1729">
        <v>13948</v>
      </c>
      <c r="E1729" s="130">
        <v>2390760</v>
      </c>
      <c r="F1729" t="s">
        <v>87</v>
      </c>
      <c r="G1729">
        <v>9135</v>
      </c>
      <c r="H1729" t="s">
        <v>8953</v>
      </c>
      <c r="I1729" s="130">
        <v>43</v>
      </c>
      <c r="J1729" t="s">
        <v>3353</v>
      </c>
      <c r="K1729" t="s">
        <v>108</v>
      </c>
      <c r="L1729" t="s">
        <v>159</v>
      </c>
      <c r="M1729" t="s">
        <v>103</v>
      </c>
      <c r="N1729" t="s">
        <v>150</v>
      </c>
      <c r="O1729" t="s">
        <v>1345</v>
      </c>
    </row>
    <row r="1730" spans="1:15" x14ac:dyDescent="0.3">
      <c r="A1730" s="130">
        <v>8944</v>
      </c>
      <c r="B1730" s="130">
        <v>35</v>
      </c>
      <c r="C1730" s="130" t="s">
        <v>3354</v>
      </c>
      <c r="D1730">
        <v>13953</v>
      </c>
      <c r="E1730" s="131">
        <v>5416618</v>
      </c>
      <c r="F1730" t="s">
        <v>87</v>
      </c>
      <c r="G1730">
        <v>358</v>
      </c>
      <c r="H1730" t="s">
        <v>8951</v>
      </c>
      <c r="I1730" s="130">
        <v>10</v>
      </c>
      <c r="J1730" t="s">
        <v>3354</v>
      </c>
      <c r="K1730" t="s">
        <v>108</v>
      </c>
      <c r="L1730" t="s">
        <v>120</v>
      </c>
      <c r="M1730" t="s">
        <v>161</v>
      </c>
      <c r="N1730" t="s">
        <v>98</v>
      </c>
      <c r="O1730" t="s">
        <v>1345</v>
      </c>
    </row>
    <row r="1731" spans="1:15" x14ac:dyDescent="0.3">
      <c r="A1731" s="130">
        <v>8950</v>
      </c>
      <c r="B1731" s="130">
        <v>30</v>
      </c>
      <c r="C1731" s="130" t="s">
        <v>3355</v>
      </c>
      <c r="D1731">
        <v>13962</v>
      </c>
      <c r="E1731" s="130">
        <v>8056030</v>
      </c>
      <c r="F1731" t="s">
        <v>87</v>
      </c>
      <c r="G1731">
        <v>9135</v>
      </c>
      <c r="H1731" t="s">
        <v>8952</v>
      </c>
      <c r="I1731" s="130">
        <v>26</v>
      </c>
      <c r="J1731" t="s">
        <v>3355</v>
      </c>
      <c r="K1731" t="s">
        <v>95</v>
      </c>
      <c r="L1731" t="s">
        <v>151</v>
      </c>
      <c r="M1731" t="s">
        <v>103</v>
      </c>
      <c r="N1731" t="s">
        <v>169</v>
      </c>
      <c r="O1731" t="s">
        <v>116</v>
      </c>
    </row>
    <row r="1732" spans="1:15" x14ac:dyDescent="0.3">
      <c r="A1732" s="130">
        <v>8958</v>
      </c>
      <c r="B1732" s="130">
        <v>30</v>
      </c>
      <c r="C1732" s="130" t="s">
        <v>3356</v>
      </c>
      <c r="D1732">
        <v>13978</v>
      </c>
      <c r="E1732" s="131">
        <v>33000167</v>
      </c>
      <c r="F1732" t="s">
        <v>87</v>
      </c>
      <c r="G1732">
        <v>9135</v>
      </c>
      <c r="H1732" t="s">
        <v>8953</v>
      </c>
      <c r="I1732" s="131">
        <v>24</v>
      </c>
      <c r="J1732" t="s">
        <v>3356</v>
      </c>
      <c r="K1732" t="s">
        <v>95</v>
      </c>
      <c r="L1732" t="s">
        <v>102</v>
      </c>
      <c r="M1732" t="s">
        <v>103</v>
      </c>
      <c r="N1732" t="s">
        <v>114</v>
      </c>
      <c r="O1732" t="s">
        <v>1345</v>
      </c>
    </row>
    <row r="1733" spans="1:15" x14ac:dyDescent="0.3">
      <c r="A1733" s="130">
        <v>8964</v>
      </c>
      <c r="B1733" s="130">
        <v>18</v>
      </c>
      <c r="C1733" s="130" t="s">
        <v>3357</v>
      </c>
      <c r="D1733">
        <v>13988</v>
      </c>
      <c r="E1733" s="130">
        <v>8054995</v>
      </c>
      <c r="F1733" t="s">
        <v>87</v>
      </c>
      <c r="G1733">
        <v>358</v>
      </c>
      <c r="H1733" t="s">
        <v>8951</v>
      </c>
      <c r="I1733" s="131">
        <v>10</v>
      </c>
      <c r="J1733" t="s">
        <v>3357</v>
      </c>
      <c r="K1733" t="s">
        <v>95</v>
      </c>
      <c r="L1733" t="s">
        <v>105</v>
      </c>
      <c r="M1733" t="s">
        <v>112</v>
      </c>
      <c r="N1733" t="s">
        <v>98</v>
      </c>
      <c r="O1733" t="s">
        <v>1345</v>
      </c>
    </row>
    <row r="1734" spans="1:15" x14ac:dyDescent="0.3">
      <c r="A1734" s="130">
        <v>8966</v>
      </c>
      <c r="B1734" s="130">
        <v>30</v>
      </c>
      <c r="C1734" s="130" t="s">
        <v>3358</v>
      </c>
      <c r="D1734">
        <v>13991</v>
      </c>
      <c r="E1734" s="130">
        <v>20346524</v>
      </c>
      <c r="F1734" t="s">
        <v>87</v>
      </c>
      <c r="G1734">
        <v>77</v>
      </c>
      <c r="H1734" t="s">
        <v>8952</v>
      </c>
      <c r="I1734" s="131">
        <v>3</v>
      </c>
      <c r="J1734" t="s">
        <v>3358</v>
      </c>
      <c r="K1734" t="s">
        <v>95</v>
      </c>
      <c r="L1734" t="s">
        <v>117</v>
      </c>
      <c r="M1734" t="s">
        <v>103</v>
      </c>
      <c r="N1734" t="s">
        <v>118</v>
      </c>
      <c r="O1734" t="s">
        <v>1345</v>
      </c>
    </row>
    <row r="1735" spans="1:15" x14ac:dyDescent="0.3">
      <c r="A1735" s="130">
        <v>8971</v>
      </c>
      <c r="B1735" s="130">
        <v>18</v>
      </c>
      <c r="C1735" s="130" t="s">
        <v>3359</v>
      </c>
      <c r="D1735">
        <v>14000</v>
      </c>
      <c r="E1735" s="130">
        <v>10639965</v>
      </c>
      <c r="F1735" t="s">
        <v>87</v>
      </c>
      <c r="G1735">
        <v>9135</v>
      </c>
      <c r="H1735" t="s">
        <v>8953</v>
      </c>
      <c r="I1735" s="130">
        <v>26</v>
      </c>
      <c r="J1735" t="s">
        <v>3359</v>
      </c>
      <c r="K1735" t="s">
        <v>108</v>
      </c>
      <c r="L1735" t="s">
        <v>151</v>
      </c>
      <c r="M1735" t="s">
        <v>112</v>
      </c>
      <c r="N1735" t="s">
        <v>98</v>
      </c>
      <c r="O1735" t="s">
        <v>1345</v>
      </c>
    </row>
    <row r="1736" spans="1:15" x14ac:dyDescent="0.3">
      <c r="A1736" s="130">
        <v>8978</v>
      </c>
      <c r="B1736" s="130">
        <v>30</v>
      </c>
      <c r="C1736" s="130" t="s">
        <v>3360</v>
      </c>
      <c r="D1736">
        <v>14006</v>
      </c>
      <c r="E1736" s="131">
        <v>33000167</v>
      </c>
      <c r="F1736" t="s">
        <v>87</v>
      </c>
      <c r="G1736">
        <v>9135</v>
      </c>
      <c r="H1736" t="s">
        <v>8951</v>
      </c>
      <c r="I1736" s="131">
        <v>24</v>
      </c>
      <c r="J1736" t="s">
        <v>3360</v>
      </c>
      <c r="K1736" t="s">
        <v>95</v>
      </c>
      <c r="L1736" t="s">
        <v>102</v>
      </c>
      <c r="M1736" t="s">
        <v>103</v>
      </c>
      <c r="N1736" t="s">
        <v>114</v>
      </c>
      <c r="O1736" t="s">
        <v>1345</v>
      </c>
    </row>
    <row r="1737" spans="1:15" x14ac:dyDescent="0.3">
      <c r="A1737" s="130">
        <v>8986</v>
      </c>
      <c r="B1737" s="130">
        <v>45</v>
      </c>
      <c r="C1737" s="130" t="s">
        <v>3361</v>
      </c>
      <c r="D1737">
        <v>14016</v>
      </c>
      <c r="E1737" s="130">
        <v>61142766</v>
      </c>
      <c r="F1737" t="s">
        <v>87</v>
      </c>
      <c r="G1737">
        <v>77</v>
      </c>
      <c r="H1737" t="s">
        <v>8952</v>
      </c>
      <c r="I1737" s="130">
        <v>3</v>
      </c>
      <c r="J1737" t="s">
        <v>3361</v>
      </c>
      <c r="K1737" t="s">
        <v>95</v>
      </c>
      <c r="L1737" t="s">
        <v>117</v>
      </c>
      <c r="M1737" t="s">
        <v>106</v>
      </c>
      <c r="N1737" t="s">
        <v>104</v>
      </c>
      <c r="O1737" t="s">
        <v>116</v>
      </c>
    </row>
    <row r="1738" spans="1:15" x14ac:dyDescent="0.3">
      <c r="A1738" s="130">
        <v>8989</v>
      </c>
      <c r="B1738" s="130">
        <v>30</v>
      </c>
      <c r="C1738" s="130" t="s">
        <v>3362</v>
      </c>
      <c r="D1738">
        <v>14018</v>
      </c>
      <c r="E1738" s="130">
        <v>6036620</v>
      </c>
      <c r="F1738" t="s">
        <v>87</v>
      </c>
      <c r="G1738">
        <v>9135</v>
      </c>
      <c r="H1738" t="s">
        <v>8953</v>
      </c>
      <c r="I1738" s="130">
        <v>3</v>
      </c>
      <c r="J1738" t="s">
        <v>3362</v>
      </c>
      <c r="K1738" t="s">
        <v>108</v>
      </c>
      <c r="L1738" t="s">
        <v>111</v>
      </c>
      <c r="M1738" t="s">
        <v>103</v>
      </c>
      <c r="N1738" t="s">
        <v>98</v>
      </c>
      <c r="O1738" t="s">
        <v>1345</v>
      </c>
    </row>
    <row r="1739" spans="1:15" x14ac:dyDescent="0.3">
      <c r="A1739" s="130">
        <v>8990</v>
      </c>
      <c r="B1739" s="130">
        <v>30</v>
      </c>
      <c r="C1739" s="130" t="s">
        <v>3363</v>
      </c>
      <c r="D1739">
        <v>14027</v>
      </c>
      <c r="E1739" s="131">
        <v>92660604</v>
      </c>
      <c r="F1739" t="s">
        <v>87</v>
      </c>
      <c r="G1739">
        <v>77</v>
      </c>
      <c r="H1739" t="s">
        <v>8951</v>
      </c>
      <c r="I1739" s="130">
        <v>24</v>
      </c>
      <c r="J1739" t="s">
        <v>3363</v>
      </c>
      <c r="K1739" t="s">
        <v>95</v>
      </c>
      <c r="L1739" t="s">
        <v>117</v>
      </c>
      <c r="M1739" t="s">
        <v>103</v>
      </c>
      <c r="N1739" t="s">
        <v>114</v>
      </c>
      <c r="O1739" t="s">
        <v>1345</v>
      </c>
    </row>
    <row r="1740" spans="1:15" x14ac:dyDescent="0.3">
      <c r="A1740" s="130">
        <v>8997</v>
      </c>
      <c r="B1740" s="130">
        <v>30</v>
      </c>
      <c r="C1740" s="130" t="s">
        <v>3364</v>
      </c>
      <c r="D1740">
        <v>14039</v>
      </c>
      <c r="E1740" s="130">
        <v>33000167</v>
      </c>
      <c r="F1740" t="s">
        <v>87</v>
      </c>
      <c r="G1740">
        <v>9135</v>
      </c>
      <c r="H1740" t="s">
        <v>8952</v>
      </c>
      <c r="I1740" s="131">
        <v>24</v>
      </c>
      <c r="J1740" t="s">
        <v>3364</v>
      </c>
      <c r="K1740" t="s">
        <v>95</v>
      </c>
      <c r="L1740" t="s">
        <v>102</v>
      </c>
      <c r="M1740" t="s">
        <v>103</v>
      </c>
      <c r="N1740" t="s">
        <v>114</v>
      </c>
      <c r="O1740" t="s">
        <v>116</v>
      </c>
    </row>
    <row r="1741" spans="1:15" x14ac:dyDescent="0.3">
      <c r="A1741" s="130">
        <v>8998</v>
      </c>
      <c r="B1741" s="130">
        <v>30</v>
      </c>
      <c r="C1741" s="130" t="s">
        <v>3365</v>
      </c>
      <c r="D1741">
        <v>14041</v>
      </c>
      <c r="E1741" s="131">
        <v>33000167</v>
      </c>
      <c r="F1741" t="s">
        <v>87</v>
      </c>
      <c r="G1741">
        <v>9135</v>
      </c>
      <c r="H1741" t="s">
        <v>8953</v>
      </c>
      <c r="I1741" s="130">
        <v>24</v>
      </c>
      <c r="J1741" t="s">
        <v>3365</v>
      </c>
      <c r="K1741" t="s">
        <v>95</v>
      </c>
      <c r="L1741" t="s">
        <v>102</v>
      </c>
      <c r="M1741" t="s">
        <v>103</v>
      </c>
      <c r="N1741" t="s">
        <v>114</v>
      </c>
      <c r="O1741" t="s">
        <v>1345</v>
      </c>
    </row>
    <row r="1742" spans="1:15" x14ac:dyDescent="0.3">
      <c r="A1742" s="130">
        <v>8999</v>
      </c>
      <c r="B1742" s="130">
        <v>0</v>
      </c>
      <c r="C1742" s="130" t="s">
        <v>3366</v>
      </c>
      <c r="D1742">
        <v>14042</v>
      </c>
      <c r="E1742" s="131">
        <v>4433259</v>
      </c>
      <c r="F1742" t="s">
        <v>87</v>
      </c>
      <c r="G1742">
        <v>9135</v>
      </c>
      <c r="H1742" t="s">
        <v>8951</v>
      </c>
      <c r="I1742" s="131">
        <v>19</v>
      </c>
      <c r="J1742" t="s">
        <v>3366</v>
      </c>
      <c r="K1742" t="s">
        <v>108</v>
      </c>
      <c r="L1742" t="s">
        <v>146</v>
      </c>
      <c r="M1742" t="s">
        <v>100</v>
      </c>
      <c r="N1742" t="s">
        <v>152</v>
      </c>
      <c r="O1742" t="s">
        <v>116</v>
      </c>
    </row>
    <row r="1743" spans="1:15" x14ac:dyDescent="0.3">
      <c r="A1743" s="130">
        <v>9004</v>
      </c>
      <c r="B1743" s="130">
        <v>90</v>
      </c>
      <c r="C1743" s="130" t="s">
        <v>3367</v>
      </c>
      <c r="D1743">
        <v>14046</v>
      </c>
      <c r="E1743" s="131">
        <v>6147451</v>
      </c>
      <c r="F1743" t="s">
        <v>87</v>
      </c>
      <c r="G1743">
        <v>9135</v>
      </c>
      <c r="H1743" t="s">
        <v>8952</v>
      </c>
      <c r="I1743" s="130">
        <v>24</v>
      </c>
      <c r="J1743" t="s">
        <v>3367</v>
      </c>
      <c r="K1743" t="s">
        <v>95</v>
      </c>
      <c r="L1743" t="s">
        <v>191</v>
      </c>
      <c r="M1743" t="s">
        <v>170</v>
      </c>
      <c r="N1743" t="s">
        <v>114</v>
      </c>
      <c r="O1743" t="s">
        <v>1345</v>
      </c>
    </row>
    <row r="1744" spans="1:15" x14ac:dyDescent="0.3">
      <c r="A1744" s="130">
        <v>9014</v>
      </c>
      <c r="B1744" s="130">
        <v>30</v>
      </c>
      <c r="C1744" s="130" t="s">
        <v>3368</v>
      </c>
      <c r="D1744">
        <v>14067</v>
      </c>
      <c r="E1744" s="130">
        <v>33000167</v>
      </c>
      <c r="F1744" t="s">
        <v>87</v>
      </c>
      <c r="G1744">
        <v>9135</v>
      </c>
      <c r="H1744" t="s">
        <v>8953</v>
      </c>
      <c r="I1744" s="130">
        <v>24</v>
      </c>
      <c r="J1744" t="s">
        <v>3368</v>
      </c>
      <c r="K1744" t="s">
        <v>95</v>
      </c>
      <c r="L1744" t="s">
        <v>102</v>
      </c>
      <c r="M1744" t="s">
        <v>103</v>
      </c>
      <c r="N1744" t="s">
        <v>114</v>
      </c>
      <c r="O1744" t="s">
        <v>1345</v>
      </c>
    </row>
    <row r="1745" spans="1:15" x14ac:dyDescent="0.3">
      <c r="A1745" s="130">
        <v>9016</v>
      </c>
      <c r="B1745" s="130">
        <v>15</v>
      </c>
      <c r="C1745" s="130" t="s">
        <v>3369</v>
      </c>
      <c r="D1745">
        <v>14070</v>
      </c>
      <c r="E1745" s="130">
        <v>27136273</v>
      </c>
      <c r="F1745" t="s">
        <v>87</v>
      </c>
      <c r="G1745">
        <v>9135</v>
      </c>
      <c r="H1745" t="s">
        <v>8951</v>
      </c>
      <c r="I1745" s="130">
        <v>38</v>
      </c>
      <c r="J1745" t="s">
        <v>3369</v>
      </c>
      <c r="K1745" t="s">
        <v>108</v>
      </c>
      <c r="L1745" t="s">
        <v>126</v>
      </c>
      <c r="M1745" t="s">
        <v>145</v>
      </c>
      <c r="N1745" t="s">
        <v>98</v>
      </c>
      <c r="O1745" t="s">
        <v>1345</v>
      </c>
    </row>
    <row r="1746" spans="1:15" x14ac:dyDescent="0.3">
      <c r="A1746" s="130">
        <v>9018</v>
      </c>
      <c r="B1746" s="131">
        <v>15</v>
      </c>
      <c r="C1746" s="130" t="s">
        <v>3370</v>
      </c>
      <c r="D1746">
        <v>14074</v>
      </c>
      <c r="E1746" s="130">
        <v>4067378</v>
      </c>
      <c r="F1746" t="s">
        <v>87</v>
      </c>
      <c r="G1746">
        <v>9135</v>
      </c>
      <c r="H1746" t="s">
        <v>8952</v>
      </c>
      <c r="I1746" s="131">
        <v>38</v>
      </c>
      <c r="J1746" t="s">
        <v>3370</v>
      </c>
      <c r="K1746" t="s">
        <v>108</v>
      </c>
      <c r="L1746" t="s">
        <v>126</v>
      </c>
      <c r="M1746" t="s">
        <v>145</v>
      </c>
      <c r="N1746" t="s">
        <v>98</v>
      </c>
      <c r="O1746" t="s">
        <v>1345</v>
      </c>
    </row>
    <row r="1747" spans="1:15" x14ac:dyDescent="0.3">
      <c r="A1747" s="130">
        <v>9021</v>
      </c>
      <c r="B1747" s="130">
        <v>28</v>
      </c>
      <c r="C1747" s="130" t="s">
        <v>3371</v>
      </c>
      <c r="D1747">
        <v>2</v>
      </c>
      <c r="E1747" s="130">
        <v>83734350</v>
      </c>
      <c r="F1747" t="s">
        <v>87</v>
      </c>
      <c r="G1747">
        <v>78</v>
      </c>
      <c r="H1747" t="s">
        <v>8953</v>
      </c>
      <c r="I1747" s="130">
        <v>5</v>
      </c>
      <c r="J1747" t="s">
        <v>3371</v>
      </c>
      <c r="K1747" t="s">
        <v>95</v>
      </c>
      <c r="L1747" t="s">
        <v>102</v>
      </c>
      <c r="M1747" t="s">
        <v>130</v>
      </c>
      <c r="N1747" t="s">
        <v>98</v>
      </c>
      <c r="O1747" t="s">
        <v>116</v>
      </c>
    </row>
    <row r="1748" spans="1:15" x14ac:dyDescent="0.3">
      <c r="A1748" s="130">
        <v>9022</v>
      </c>
      <c r="B1748" s="130">
        <v>30</v>
      </c>
      <c r="C1748" s="130" t="s">
        <v>3372</v>
      </c>
      <c r="D1748">
        <v>14079</v>
      </c>
      <c r="E1748" s="131">
        <v>8056030</v>
      </c>
      <c r="F1748" t="s">
        <v>87</v>
      </c>
      <c r="G1748">
        <v>9135</v>
      </c>
      <c r="H1748" t="s">
        <v>8951</v>
      </c>
      <c r="I1748" s="131">
        <v>26</v>
      </c>
      <c r="J1748" t="s">
        <v>3372</v>
      </c>
      <c r="K1748" t="s">
        <v>95</v>
      </c>
      <c r="L1748" t="s">
        <v>151</v>
      </c>
      <c r="M1748" t="s">
        <v>103</v>
      </c>
      <c r="N1748" t="s">
        <v>169</v>
      </c>
      <c r="O1748" t="s">
        <v>116</v>
      </c>
    </row>
    <row r="1749" spans="1:15" x14ac:dyDescent="0.3">
      <c r="A1749" s="130">
        <v>9025</v>
      </c>
      <c r="B1749" s="130">
        <v>0</v>
      </c>
      <c r="C1749" s="130" t="s">
        <v>3373</v>
      </c>
      <c r="D1749">
        <v>14081</v>
      </c>
      <c r="E1749" s="131">
        <v>38612738</v>
      </c>
      <c r="F1749" t="s">
        <v>87</v>
      </c>
      <c r="G1749">
        <v>9135</v>
      </c>
      <c r="H1749" t="s">
        <v>8952</v>
      </c>
      <c r="I1749" s="130">
        <v>10</v>
      </c>
      <c r="J1749" t="s">
        <v>3373</v>
      </c>
      <c r="K1749" t="s">
        <v>108</v>
      </c>
      <c r="L1749" t="s">
        <v>105</v>
      </c>
      <c r="M1749" t="s">
        <v>100</v>
      </c>
      <c r="N1749" t="s">
        <v>162</v>
      </c>
      <c r="O1749" t="s">
        <v>1345</v>
      </c>
    </row>
    <row r="1750" spans="1:15" x14ac:dyDescent="0.3">
      <c r="A1750" s="130">
        <v>9036</v>
      </c>
      <c r="B1750" s="130">
        <v>12</v>
      </c>
      <c r="C1750" s="130" t="s">
        <v>3374</v>
      </c>
      <c r="D1750">
        <v>14098</v>
      </c>
      <c r="E1750" s="130">
        <v>3115350</v>
      </c>
      <c r="F1750" t="s">
        <v>87</v>
      </c>
      <c r="G1750">
        <v>9135</v>
      </c>
      <c r="H1750" t="s">
        <v>8953</v>
      </c>
      <c r="I1750" s="131">
        <v>37</v>
      </c>
      <c r="J1750" t="s">
        <v>3374</v>
      </c>
      <c r="K1750" t="s">
        <v>95</v>
      </c>
      <c r="L1750" t="s">
        <v>138</v>
      </c>
      <c r="M1750" t="s">
        <v>1363</v>
      </c>
      <c r="N1750" t="s">
        <v>101</v>
      </c>
      <c r="O1750" t="s">
        <v>1345</v>
      </c>
    </row>
    <row r="1751" spans="1:15" x14ac:dyDescent="0.3">
      <c r="A1751" s="130">
        <v>9047</v>
      </c>
      <c r="B1751" s="130">
        <v>30</v>
      </c>
      <c r="C1751" s="130" t="s">
        <v>3375</v>
      </c>
      <c r="D1751">
        <v>14119</v>
      </c>
      <c r="E1751" s="130">
        <v>10279488</v>
      </c>
      <c r="F1751" t="s">
        <v>87</v>
      </c>
      <c r="G1751">
        <v>77</v>
      </c>
      <c r="H1751" t="s">
        <v>8951</v>
      </c>
      <c r="I1751" s="131">
        <v>3</v>
      </c>
      <c r="J1751" t="s">
        <v>3375</v>
      </c>
      <c r="K1751" t="s">
        <v>95</v>
      </c>
      <c r="L1751" t="s">
        <v>149</v>
      </c>
      <c r="M1751" t="s">
        <v>103</v>
      </c>
      <c r="N1751" t="s">
        <v>104</v>
      </c>
      <c r="O1751" t="s">
        <v>116</v>
      </c>
    </row>
    <row r="1752" spans="1:15" x14ac:dyDescent="0.3">
      <c r="A1752" s="130">
        <v>9054</v>
      </c>
      <c r="B1752" s="130">
        <v>28</v>
      </c>
      <c r="C1752" s="130" t="s">
        <v>3376</v>
      </c>
      <c r="D1752">
        <v>14128</v>
      </c>
      <c r="E1752" s="130">
        <v>41641398</v>
      </c>
      <c r="F1752" t="s">
        <v>87</v>
      </c>
      <c r="G1752">
        <v>9135</v>
      </c>
      <c r="H1752" t="s">
        <v>8952</v>
      </c>
      <c r="I1752" s="130">
        <v>37</v>
      </c>
      <c r="J1752" t="s">
        <v>3376</v>
      </c>
      <c r="K1752" t="s">
        <v>95</v>
      </c>
      <c r="L1752" t="s">
        <v>138</v>
      </c>
      <c r="M1752" t="s">
        <v>130</v>
      </c>
      <c r="N1752" t="s">
        <v>150</v>
      </c>
      <c r="O1752" t="s">
        <v>116</v>
      </c>
    </row>
    <row r="1753" spans="1:15" x14ac:dyDescent="0.3">
      <c r="A1753" s="130">
        <v>9061</v>
      </c>
      <c r="B1753" s="130">
        <v>30</v>
      </c>
      <c r="C1753" s="130" t="s">
        <v>3377</v>
      </c>
      <c r="D1753">
        <v>14140</v>
      </c>
      <c r="E1753" s="131">
        <v>40008239</v>
      </c>
      <c r="F1753" t="s">
        <v>87</v>
      </c>
      <c r="G1753">
        <v>358</v>
      </c>
      <c r="H1753" t="s">
        <v>8953</v>
      </c>
      <c r="I1753" s="130">
        <v>3</v>
      </c>
      <c r="J1753" t="s">
        <v>3377</v>
      </c>
      <c r="K1753" t="s">
        <v>95</v>
      </c>
      <c r="L1753" t="s">
        <v>109</v>
      </c>
      <c r="M1753" t="s">
        <v>103</v>
      </c>
      <c r="N1753" t="s">
        <v>98</v>
      </c>
      <c r="O1753" t="s">
        <v>116</v>
      </c>
    </row>
    <row r="1754" spans="1:15" x14ac:dyDescent="0.3">
      <c r="A1754" s="130">
        <v>9066</v>
      </c>
      <c r="B1754" s="130">
        <v>30</v>
      </c>
      <c r="C1754" s="130" t="s">
        <v>3378</v>
      </c>
      <c r="D1754">
        <v>14145</v>
      </c>
      <c r="E1754" s="131">
        <v>17217001</v>
      </c>
      <c r="F1754" t="s">
        <v>87</v>
      </c>
      <c r="G1754">
        <v>9135</v>
      </c>
      <c r="H1754" t="s">
        <v>8951</v>
      </c>
      <c r="I1754" s="130">
        <v>3</v>
      </c>
      <c r="J1754" t="s">
        <v>3378</v>
      </c>
      <c r="K1754" t="s">
        <v>108</v>
      </c>
      <c r="L1754" t="s">
        <v>102</v>
      </c>
      <c r="M1754" t="s">
        <v>103</v>
      </c>
      <c r="N1754" t="s">
        <v>152</v>
      </c>
      <c r="O1754" t="s">
        <v>1345</v>
      </c>
    </row>
    <row r="1755" spans="1:15" x14ac:dyDescent="0.3">
      <c r="A1755" s="130">
        <v>9068</v>
      </c>
      <c r="B1755" s="130">
        <v>18</v>
      </c>
      <c r="C1755" s="130" t="s">
        <v>3379</v>
      </c>
      <c r="D1755">
        <v>14149</v>
      </c>
      <c r="E1755" s="130">
        <v>10202084</v>
      </c>
      <c r="F1755" t="s">
        <v>87</v>
      </c>
      <c r="G1755">
        <v>9135</v>
      </c>
      <c r="H1755" t="s">
        <v>8952</v>
      </c>
      <c r="I1755" s="130">
        <v>10</v>
      </c>
      <c r="J1755" t="s">
        <v>3379</v>
      </c>
      <c r="K1755" t="s">
        <v>108</v>
      </c>
      <c r="L1755" t="s">
        <v>127</v>
      </c>
      <c r="M1755" t="s">
        <v>112</v>
      </c>
      <c r="N1755" t="s">
        <v>118</v>
      </c>
      <c r="O1755" t="s">
        <v>1345</v>
      </c>
    </row>
    <row r="1756" spans="1:15" x14ac:dyDescent="0.3">
      <c r="A1756" s="130">
        <v>9073</v>
      </c>
      <c r="B1756" s="130">
        <v>10</v>
      </c>
      <c r="C1756" s="130" t="s">
        <v>3380</v>
      </c>
      <c r="D1756">
        <v>14153</v>
      </c>
      <c r="E1756" s="130">
        <v>40008239</v>
      </c>
      <c r="F1756" t="s">
        <v>87</v>
      </c>
      <c r="G1756">
        <v>358</v>
      </c>
      <c r="H1756" t="s">
        <v>8953</v>
      </c>
      <c r="I1756" s="131">
        <v>3</v>
      </c>
      <c r="J1756" t="s">
        <v>3380</v>
      </c>
      <c r="K1756" t="s">
        <v>95</v>
      </c>
      <c r="L1756" t="s">
        <v>109</v>
      </c>
      <c r="M1756" t="s">
        <v>133</v>
      </c>
      <c r="N1756" t="s">
        <v>98</v>
      </c>
      <c r="O1756" t="s">
        <v>116</v>
      </c>
    </row>
    <row r="1757" spans="1:15" x14ac:dyDescent="0.3">
      <c r="A1757" s="130">
        <v>9075</v>
      </c>
      <c r="B1757" s="130">
        <v>10</v>
      </c>
      <c r="C1757" s="130" t="s">
        <v>3381</v>
      </c>
      <c r="D1757">
        <v>13262</v>
      </c>
      <c r="E1757" s="131">
        <v>14630809</v>
      </c>
      <c r="F1757" t="s">
        <v>87</v>
      </c>
      <c r="G1757">
        <v>9135</v>
      </c>
      <c r="H1757" t="s">
        <v>8951</v>
      </c>
      <c r="I1757" s="130">
        <v>26</v>
      </c>
      <c r="J1757" t="s">
        <v>3381</v>
      </c>
      <c r="K1757" t="s">
        <v>95</v>
      </c>
      <c r="L1757" t="s">
        <v>140</v>
      </c>
      <c r="M1757" t="s">
        <v>133</v>
      </c>
      <c r="N1757" t="s">
        <v>98</v>
      </c>
      <c r="O1757" t="s">
        <v>116</v>
      </c>
    </row>
    <row r="1758" spans="1:15" x14ac:dyDescent="0.3">
      <c r="A1758" s="130">
        <v>9077</v>
      </c>
      <c r="B1758" s="130">
        <v>28</v>
      </c>
      <c r="C1758" s="130" t="s">
        <v>3382</v>
      </c>
      <c r="D1758">
        <v>14157</v>
      </c>
      <c r="E1758" s="131">
        <v>4446606</v>
      </c>
      <c r="F1758" t="s">
        <v>87</v>
      </c>
      <c r="G1758">
        <v>9135</v>
      </c>
      <c r="H1758" t="s">
        <v>8952</v>
      </c>
      <c r="I1758" s="130">
        <v>37</v>
      </c>
      <c r="J1758" t="s">
        <v>3382</v>
      </c>
      <c r="K1758" t="s">
        <v>108</v>
      </c>
      <c r="L1758" t="s">
        <v>138</v>
      </c>
      <c r="M1758" t="s">
        <v>130</v>
      </c>
      <c r="N1758" t="s">
        <v>98</v>
      </c>
      <c r="O1758" t="s">
        <v>1345</v>
      </c>
    </row>
    <row r="1759" spans="1:15" x14ac:dyDescent="0.3">
      <c r="A1759" s="130">
        <v>9081</v>
      </c>
      <c r="B1759" s="130">
        <v>-1</v>
      </c>
      <c r="C1759" s="130" t="s">
        <v>3383</v>
      </c>
      <c r="D1759">
        <v>14159</v>
      </c>
      <c r="E1759" s="130">
        <v>4695289</v>
      </c>
      <c r="F1759" t="s">
        <v>87</v>
      </c>
      <c r="G1759">
        <v>9135</v>
      </c>
      <c r="H1759" t="s">
        <v>8953</v>
      </c>
      <c r="I1759" s="130">
        <v>10</v>
      </c>
      <c r="J1759" t="s">
        <v>3383</v>
      </c>
      <c r="K1759" t="s">
        <v>108</v>
      </c>
      <c r="L1759" t="s">
        <v>127</v>
      </c>
      <c r="M1759" t="s">
        <v>174</v>
      </c>
      <c r="N1759" t="s">
        <v>118</v>
      </c>
      <c r="O1759" t="s">
        <v>1345</v>
      </c>
    </row>
    <row r="1760" spans="1:15" x14ac:dyDescent="0.3">
      <c r="A1760" s="130">
        <v>9086</v>
      </c>
      <c r="B1760" s="130">
        <v>18</v>
      </c>
      <c r="C1760" s="130" t="s">
        <v>3384</v>
      </c>
      <c r="D1760">
        <v>14172</v>
      </c>
      <c r="E1760" s="130">
        <v>10467594</v>
      </c>
      <c r="F1760" t="s">
        <v>87</v>
      </c>
      <c r="G1760">
        <v>9135</v>
      </c>
      <c r="H1760" t="s">
        <v>8951</v>
      </c>
      <c r="I1760" s="130">
        <v>10</v>
      </c>
      <c r="J1760" t="s">
        <v>3384</v>
      </c>
      <c r="K1760" t="s">
        <v>108</v>
      </c>
      <c r="L1760" t="s">
        <v>127</v>
      </c>
      <c r="M1760" t="s">
        <v>112</v>
      </c>
      <c r="N1760" t="s">
        <v>118</v>
      </c>
      <c r="O1760" t="s">
        <v>116</v>
      </c>
    </row>
    <row r="1761" spans="1:15" x14ac:dyDescent="0.3">
      <c r="A1761" s="130">
        <v>9087</v>
      </c>
      <c r="B1761" s="130">
        <v>21</v>
      </c>
      <c r="C1761" s="130" t="s">
        <v>3385</v>
      </c>
      <c r="D1761">
        <v>14173</v>
      </c>
      <c r="E1761" s="130">
        <v>3466623</v>
      </c>
      <c r="F1761" t="s">
        <v>87</v>
      </c>
      <c r="G1761">
        <v>9135</v>
      </c>
      <c r="H1761" t="s">
        <v>8952</v>
      </c>
      <c r="I1761" s="130">
        <v>3</v>
      </c>
      <c r="J1761" t="s">
        <v>3385</v>
      </c>
      <c r="K1761" t="s">
        <v>108</v>
      </c>
      <c r="L1761" t="s">
        <v>111</v>
      </c>
      <c r="M1761" t="s">
        <v>137</v>
      </c>
      <c r="N1761" t="s">
        <v>98</v>
      </c>
      <c r="O1761" t="s">
        <v>1345</v>
      </c>
    </row>
    <row r="1762" spans="1:15" x14ac:dyDescent="0.3">
      <c r="A1762" s="130">
        <v>9088</v>
      </c>
      <c r="B1762" s="130">
        <v>18</v>
      </c>
      <c r="C1762" s="130" t="s">
        <v>3386</v>
      </c>
      <c r="D1762">
        <v>14178</v>
      </c>
      <c r="E1762" s="130">
        <v>18985180</v>
      </c>
      <c r="F1762" t="s">
        <v>87</v>
      </c>
      <c r="G1762">
        <v>9135</v>
      </c>
      <c r="H1762" t="s">
        <v>8953</v>
      </c>
      <c r="I1762" s="131">
        <v>10</v>
      </c>
      <c r="J1762" t="s">
        <v>3386</v>
      </c>
      <c r="K1762" t="s">
        <v>108</v>
      </c>
      <c r="L1762" t="s">
        <v>127</v>
      </c>
      <c r="M1762" t="s">
        <v>112</v>
      </c>
      <c r="N1762" t="s">
        <v>118</v>
      </c>
      <c r="O1762" t="s">
        <v>1345</v>
      </c>
    </row>
    <row r="1763" spans="1:15" x14ac:dyDescent="0.3">
      <c r="A1763" s="130">
        <v>9092</v>
      </c>
      <c r="B1763" s="130">
        <v>28</v>
      </c>
      <c r="C1763" s="130" t="s">
        <v>3387</v>
      </c>
      <c r="D1763">
        <v>14186</v>
      </c>
      <c r="E1763" s="130">
        <v>8726496</v>
      </c>
      <c r="F1763" t="s">
        <v>87</v>
      </c>
      <c r="G1763">
        <v>9135</v>
      </c>
      <c r="H1763" t="s">
        <v>8951</v>
      </c>
      <c r="I1763" s="131">
        <v>10</v>
      </c>
      <c r="J1763" t="s">
        <v>3387</v>
      </c>
      <c r="K1763" t="s">
        <v>108</v>
      </c>
      <c r="L1763" t="s">
        <v>127</v>
      </c>
      <c r="M1763" t="s">
        <v>130</v>
      </c>
      <c r="N1763" t="s">
        <v>118</v>
      </c>
      <c r="O1763" t="s">
        <v>116</v>
      </c>
    </row>
    <row r="1764" spans="1:15" x14ac:dyDescent="0.3">
      <c r="A1764" s="130">
        <v>9094</v>
      </c>
      <c r="B1764" s="130">
        <v>30</v>
      </c>
      <c r="C1764" s="130" t="s">
        <v>3388</v>
      </c>
      <c r="D1764">
        <v>14188</v>
      </c>
      <c r="E1764" s="130">
        <v>33000167</v>
      </c>
      <c r="F1764" t="s">
        <v>87</v>
      </c>
      <c r="G1764">
        <v>9135</v>
      </c>
      <c r="H1764" t="s">
        <v>8952</v>
      </c>
      <c r="I1764" s="131">
        <v>24</v>
      </c>
      <c r="J1764" t="s">
        <v>3388</v>
      </c>
      <c r="K1764" t="s">
        <v>95</v>
      </c>
      <c r="L1764" t="s">
        <v>102</v>
      </c>
      <c r="M1764" t="s">
        <v>103</v>
      </c>
      <c r="N1764" t="s">
        <v>114</v>
      </c>
      <c r="O1764" t="s">
        <v>1345</v>
      </c>
    </row>
    <row r="1765" spans="1:15" x14ac:dyDescent="0.3">
      <c r="A1765" s="130">
        <v>9095</v>
      </c>
      <c r="B1765" s="130">
        <v>28</v>
      </c>
      <c r="C1765" s="130" t="s">
        <v>3389</v>
      </c>
      <c r="D1765">
        <v>14189</v>
      </c>
      <c r="E1765" s="131">
        <v>8726496</v>
      </c>
      <c r="F1765" t="s">
        <v>87</v>
      </c>
      <c r="G1765">
        <v>9135</v>
      </c>
      <c r="H1765" t="s">
        <v>8953</v>
      </c>
      <c r="I1765" s="130">
        <v>10</v>
      </c>
      <c r="J1765" t="s">
        <v>3389</v>
      </c>
      <c r="K1765" t="s">
        <v>108</v>
      </c>
      <c r="L1765" t="s">
        <v>127</v>
      </c>
      <c r="M1765" t="s">
        <v>130</v>
      </c>
      <c r="N1765" t="s">
        <v>118</v>
      </c>
      <c r="O1765" t="s">
        <v>1345</v>
      </c>
    </row>
    <row r="1766" spans="1:15" x14ac:dyDescent="0.3">
      <c r="A1766" s="130">
        <v>9099</v>
      </c>
      <c r="B1766" s="130">
        <v>30</v>
      </c>
      <c r="C1766" s="130" t="s">
        <v>3390</v>
      </c>
      <c r="D1766">
        <v>14197</v>
      </c>
      <c r="E1766" s="131">
        <v>33000167</v>
      </c>
      <c r="F1766" t="s">
        <v>87</v>
      </c>
      <c r="G1766">
        <v>9135</v>
      </c>
      <c r="H1766" t="s">
        <v>8951</v>
      </c>
      <c r="I1766" s="130">
        <v>24</v>
      </c>
      <c r="J1766" t="s">
        <v>3390</v>
      </c>
      <c r="K1766" t="s">
        <v>95</v>
      </c>
      <c r="L1766" t="s">
        <v>102</v>
      </c>
      <c r="M1766" t="s">
        <v>103</v>
      </c>
      <c r="N1766" t="s">
        <v>114</v>
      </c>
      <c r="O1766" t="s">
        <v>1345</v>
      </c>
    </row>
    <row r="1767" spans="1:15" x14ac:dyDescent="0.3">
      <c r="A1767" s="130">
        <v>9102</v>
      </c>
      <c r="B1767" s="130">
        <v>30</v>
      </c>
      <c r="C1767" s="130" t="s">
        <v>3391</v>
      </c>
      <c r="D1767">
        <v>14202</v>
      </c>
      <c r="E1767" s="130">
        <v>83646547</v>
      </c>
      <c r="F1767" t="s">
        <v>87</v>
      </c>
      <c r="G1767">
        <v>9135</v>
      </c>
      <c r="H1767" t="s">
        <v>8952</v>
      </c>
      <c r="I1767" s="130">
        <v>10</v>
      </c>
      <c r="J1767" t="s">
        <v>3391</v>
      </c>
      <c r="K1767" t="s">
        <v>95</v>
      </c>
      <c r="L1767" t="s">
        <v>105</v>
      </c>
      <c r="M1767" t="s">
        <v>103</v>
      </c>
      <c r="N1767" t="s">
        <v>98</v>
      </c>
      <c r="O1767" t="s">
        <v>1345</v>
      </c>
    </row>
    <row r="1768" spans="1:15" x14ac:dyDescent="0.3">
      <c r="A1768" s="130">
        <v>9105</v>
      </c>
      <c r="B1768" s="130">
        <v>30</v>
      </c>
      <c r="C1768" s="130" t="s">
        <v>3392</v>
      </c>
      <c r="D1768">
        <v>14205</v>
      </c>
      <c r="E1768" s="130">
        <v>3992929</v>
      </c>
      <c r="F1768" t="s">
        <v>87</v>
      </c>
      <c r="G1768">
        <v>9135</v>
      </c>
      <c r="H1768" t="s">
        <v>8953</v>
      </c>
      <c r="I1768" s="131">
        <v>9</v>
      </c>
      <c r="J1768" t="s">
        <v>3392</v>
      </c>
      <c r="K1768" t="s">
        <v>95</v>
      </c>
      <c r="L1768" t="s">
        <v>125</v>
      </c>
      <c r="M1768" t="s">
        <v>103</v>
      </c>
      <c r="N1768" t="s">
        <v>98</v>
      </c>
      <c r="O1768" t="s">
        <v>1345</v>
      </c>
    </row>
    <row r="1769" spans="1:15" x14ac:dyDescent="0.3">
      <c r="A1769" s="130">
        <v>9109</v>
      </c>
      <c r="B1769" s="130">
        <v>30</v>
      </c>
      <c r="C1769" s="130" t="s">
        <v>3393</v>
      </c>
      <c r="D1769">
        <v>14210</v>
      </c>
      <c r="E1769" s="130">
        <v>23921007</v>
      </c>
      <c r="F1769" t="s">
        <v>87</v>
      </c>
      <c r="G1769">
        <v>9135</v>
      </c>
      <c r="H1769" t="s">
        <v>8951</v>
      </c>
      <c r="I1769" s="130">
        <v>3</v>
      </c>
      <c r="J1769" t="s">
        <v>3393</v>
      </c>
      <c r="K1769" t="s">
        <v>95</v>
      </c>
      <c r="L1769" t="s">
        <v>111</v>
      </c>
      <c r="M1769" t="s">
        <v>103</v>
      </c>
      <c r="N1769" t="s">
        <v>98</v>
      </c>
      <c r="O1769" t="s">
        <v>1345</v>
      </c>
    </row>
    <row r="1770" spans="1:15" x14ac:dyDescent="0.3">
      <c r="A1770" s="130">
        <v>9110</v>
      </c>
      <c r="B1770" s="130">
        <v>30</v>
      </c>
      <c r="C1770" s="130" t="s">
        <v>3394</v>
      </c>
      <c r="D1770">
        <v>14212</v>
      </c>
      <c r="E1770" s="130">
        <v>23921007</v>
      </c>
      <c r="F1770" t="s">
        <v>87</v>
      </c>
      <c r="G1770">
        <v>9135</v>
      </c>
      <c r="H1770" t="s">
        <v>8952</v>
      </c>
      <c r="I1770" s="130">
        <v>3</v>
      </c>
      <c r="J1770" t="s">
        <v>3394</v>
      </c>
      <c r="K1770" t="s">
        <v>95</v>
      </c>
      <c r="L1770" t="s">
        <v>111</v>
      </c>
      <c r="M1770" t="s">
        <v>103</v>
      </c>
      <c r="N1770" t="s">
        <v>98</v>
      </c>
      <c r="O1770" t="s">
        <v>1345</v>
      </c>
    </row>
    <row r="1771" spans="1:15" x14ac:dyDescent="0.3">
      <c r="A1771" s="130">
        <v>9111</v>
      </c>
      <c r="B1771" s="130">
        <v>30</v>
      </c>
      <c r="C1771" s="130" t="s">
        <v>3395</v>
      </c>
      <c r="D1771">
        <v>14211</v>
      </c>
      <c r="E1771" s="130">
        <v>1157555</v>
      </c>
      <c r="F1771" t="s">
        <v>87</v>
      </c>
      <c r="G1771">
        <v>9135</v>
      </c>
      <c r="H1771" t="s">
        <v>8953</v>
      </c>
      <c r="I1771" s="131">
        <v>37</v>
      </c>
      <c r="J1771" t="s">
        <v>3395</v>
      </c>
      <c r="K1771" t="s">
        <v>95</v>
      </c>
      <c r="L1771" t="s">
        <v>138</v>
      </c>
      <c r="M1771" t="s">
        <v>103</v>
      </c>
      <c r="N1771" t="s">
        <v>101</v>
      </c>
      <c r="O1771" t="s">
        <v>1345</v>
      </c>
    </row>
    <row r="1772" spans="1:15" x14ac:dyDescent="0.3">
      <c r="A1772" s="130">
        <v>9121</v>
      </c>
      <c r="B1772" s="130">
        <v>18</v>
      </c>
      <c r="C1772" s="130" t="s">
        <v>3396</v>
      </c>
      <c r="D1772">
        <v>14225</v>
      </c>
      <c r="E1772" s="130">
        <v>10405464</v>
      </c>
      <c r="F1772" t="s">
        <v>87</v>
      </c>
      <c r="G1772">
        <v>9135</v>
      </c>
      <c r="H1772" t="s">
        <v>8951</v>
      </c>
      <c r="I1772" s="130">
        <v>24</v>
      </c>
      <c r="J1772" t="s">
        <v>3396</v>
      </c>
      <c r="K1772" t="s">
        <v>108</v>
      </c>
      <c r="L1772" t="s">
        <v>191</v>
      </c>
      <c r="M1772" t="s">
        <v>112</v>
      </c>
      <c r="N1772" t="s">
        <v>122</v>
      </c>
      <c r="O1772" t="s">
        <v>1345</v>
      </c>
    </row>
    <row r="1773" spans="1:15" x14ac:dyDescent="0.3">
      <c r="A1773" s="130">
        <v>9124</v>
      </c>
      <c r="B1773" s="130" t="s">
        <v>135</v>
      </c>
      <c r="C1773" s="130" t="s">
        <v>3397</v>
      </c>
      <c r="D1773">
        <v>14230</v>
      </c>
      <c r="E1773" s="131">
        <v>83646547</v>
      </c>
      <c r="F1773" t="s">
        <v>87</v>
      </c>
      <c r="G1773">
        <v>9135</v>
      </c>
      <c r="H1773" t="s">
        <v>8952</v>
      </c>
      <c r="I1773" s="131">
        <v>10</v>
      </c>
      <c r="J1773" t="s">
        <v>3397</v>
      </c>
      <c r="K1773" t="s">
        <v>95</v>
      </c>
      <c r="L1773" t="s">
        <v>105</v>
      </c>
      <c r="M1773" t="s">
        <v>136</v>
      </c>
      <c r="N1773" t="s">
        <v>98</v>
      </c>
      <c r="O1773" t="s">
        <v>116</v>
      </c>
    </row>
    <row r="1774" spans="1:15" x14ac:dyDescent="0.3">
      <c r="A1774" s="130">
        <v>9125</v>
      </c>
      <c r="B1774" s="130">
        <v>10</v>
      </c>
      <c r="C1774" s="130" t="s">
        <v>3398</v>
      </c>
      <c r="D1774">
        <v>14231</v>
      </c>
      <c r="E1774" s="130">
        <v>32754270</v>
      </c>
      <c r="F1774" t="s">
        <v>87</v>
      </c>
      <c r="G1774">
        <v>358</v>
      </c>
      <c r="H1774" t="s">
        <v>8953</v>
      </c>
      <c r="I1774" s="130">
        <v>3</v>
      </c>
      <c r="J1774" t="s">
        <v>3398</v>
      </c>
      <c r="K1774" t="s">
        <v>108</v>
      </c>
      <c r="L1774" t="s">
        <v>109</v>
      </c>
      <c r="M1774" t="s">
        <v>133</v>
      </c>
      <c r="N1774" t="s">
        <v>150</v>
      </c>
      <c r="O1774" t="s">
        <v>1345</v>
      </c>
    </row>
    <row r="1775" spans="1:15" x14ac:dyDescent="0.3">
      <c r="A1775" s="130">
        <v>9127</v>
      </c>
      <c r="B1775" s="130">
        <v>18</v>
      </c>
      <c r="C1775" s="130" t="s">
        <v>3399</v>
      </c>
      <c r="D1775">
        <v>14233</v>
      </c>
      <c r="E1775" s="131">
        <v>11969639</v>
      </c>
      <c r="F1775" t="s">
        <v>87</v>
      </c>
      <c r="G1775">
        <v>9135</v>
      </c>
      <c r="H1775" t="s">
        <v>8951</v>
      </c>
      <c r="I1775" s="131">
        <v>19</v>
      </c>
      <c r="J1775" t="s">
        <v>3399</v>
      </c>
      <c r="K1775" t="s">
        <v>108</v>
      </c>
      <c r="L1775" t="s">
        <v>105</v>
      </c>
      <c r="M1775" t="s">
        <v>112</v>
      </c>
      <c r="N1775" t="s">
        <v>98</v>
      </c>
      <c r="O1775" t="s">
        <v>1345</v>
      </c>
    </row>
    <row r="1776" spans="1:15" x14ac:dyDescent="0.3">
      <c r="A1776" s="130">
        <v>9129</v>
      </c>
      <c r="B1776" s="130">
        <v>30</v>
      </c>
      <c r="C1776" s="130" t="s">
        <v>3400</v>
      </c>
      <c r="D1776">
        <v>14237</v>
      </c>
      <c r="E1776" s="131">
        <v>83646547</v>
      </c>
      <c r="F1776" t="s">
        <v>87</v>
      </c>
      <c r="G1776">
        <v>9135</v>
      </c>
      <c r="H1776" t="s">
        <v>8952</v>
      </c>
      <c r="I1776" s="130">
        <v>10</v>
      </c>
      <c r="J1776" t="s">
        <v>3400</v>
      </c>
      <c r="K1776" t="s">
        <v>108</v>
      </c>
      <c r="L1776" t="s">
        <v>105</v>
      </c>
      <c r="M1776" t="s">
        <v>103</v>
      </c>
      <c r="N1776" t="s">
        <v>98</v>
      </c>
      <c r="O1776" t="s">
        <v>1345</v>
      </c>
    </row>
    <row r="1777" spans="1:15" x14ac:dyDescent="0.3">
      <c r="A1777" s="130">
        <v>9137</v>
      </c>
      <c r="B1777" s="130">
        <v>30</v>
      </c>
      <c r="C1777" s="130" t="s">
        <v>3401</v>
      </c>
      <c r="D1777">
        <v>14252</v>
      </c>
      <c r="E1777" s="130">
        <v>40008239</v>
      </c>
      <c r="F1777" t="s">
        <v>87</v>
      </c>
      <c r="G1777">
        <v>358</v>
      </c>
      <c r="H1777" t="s">
        <v>8953</v>
      </c>
      <c r="I1777" s="130">
        <v>3</v>
      </c>
      <c r="J1777" t="s">
        <v>3401</v>
      </c>
      <c r="K1777" t="s">
        <v>95</v>
      </c>
      <c r="L1777" t="s">
        <v>109</v>
      </c>
      <c r="M1777" t="s">
        <v>103</v>
      </c>
      <c r="N1777" t="s">
        <v>98</v>
      </c>
      <c r="O1777" t="s">
        <v>116</v>
      </c>
    </row>
    <row r="1778" spans="1:15" x14ac:dyDescent="0.3">
      <c r="A1778" s="130">
        <v>9143</v>
      </c>
      <c r="B1778" s="130">
        <v>30</v>
      </c>
      <c r="C1778" s="130" t="s">
        <v>3402</v>
      </c>
      <c r="D1778">
        <v>14261</v>
      </c>
      <c r="E1778" s="131">
        <v>183256</v>
      </c>
      <c r="F1778" t="s">
        <v>87</v>
      </c>
      <c r="G1778">
        <v>358</v>
      </c>
      <c r="H1778" t="s">
        <v>8951</v>
      </c>
      <c r="I1778" s="131">
        <v>19</v>
      </c>
      <c r="J1778" t="s">
        <v>3402</v>
      </c>
      <c r="K1778" t="s">
        <v>95</v>
      </c>
      <c r="L1778" t="s">
        <v>105</v>
      </c>
      <c r="M1778" t="s">
        <v>103</v>
      </c>
      <c r="N1778" t="s">
        <v>98</v>
      </c>
      <c r="O1778" t="s">
        <v>1345</v>
      </c>
    </row>
    <row r="1779" spans="1:15" x14ac:dyDescent="0.3">
      <c r="A1779" s="130">
        <v>9150</v>
      </c>
      <c r="B1779" s="130">
        <v>10</v>
      </c>
      <c r="C1779" s="130" t="s">
        <v>3403</v>
      </c>
      <c r="D1779">
        <v>14280</v>
      </c>
      <c r="E1779" s="130">
        <v>22729803</v>
      </c>
      <c r="F1779" t="s">
        <v>87</v>
      </c>
      <c r="G1779">
        <v>358</v>
      </c>
      <c r="H1779" t="s">
        <v>8952</v>
      </c>
      <c r="I1779" s="131">
        <v>3</v>
      </c>
      <c r="J1779" t="s">
        <v>3403</v>
      </c>
      <c r="K1779" t="s">
        <v>108</v>
      </c>
      <c r="L1779" t="s">
        <v>109</v>
      </c>
      <c r="M1779" t="s">
        <v>133</v>
      </c>
      <c r="N1779" t="s">
        <v>98</v>
      </c>
      <c r="O1779" t="s">
        <v>1345</v>
      </c>
    </row>
    <row r="1780" spans="1:15" x14ac:dyDescent="0.3">
      <c r="A1780" s="130">
        <v>9151</v>
      </c>
      <c r="B1780" s="130">
        <v>18</v>
      </c>
      <c r="C1780" s="130" t="s">
        <v>3404</v>
      </c>
      <c r="D1780">
        <v>3</v>
      </c>
      <c r="E1780" s="130">
        <v>19157650</v>
      </c>
      <c r="F1780" t="s">
        <v>87</v>
      </c>
      <c r="G1780">
        <v>78</v>
      </c>
      <c r="H1780" t="s">
        <v>8953</v>
      </c>
      <c r="I1780" s="130">
        <v>5</v>
      </c>
      <c r="J1780" t="s">
        <v>3404</v>
      </c>
      <c r="K1780" t="s">
        <v>108</v>
      </c>
      <c r="L1780" t="s">
        <v>127</v>
      </c>
      <c r="M1780" t="s">
        <v>112</v>
      </c>
      <c r="N1780" t="s">
        <v>118</v>
      </c>
      <c r="O1780" t="s">
        <v>1345</v>
      </c>
    </row>
    <row r="1781" spans="1:15" x14ac:dyDescent="0.3">
      <c r="A1781" s="130">
        <v>9158</v>
      </c>
      <c r="B1781" s="130">
        <v>30</v>
      </c>
      <c r="C1781" s="130" t="s">
        <v>3405</v>
      </c>
      <c r="D1781">
        <v>14291</v>
      </c>
      <c r="E1781" s="131">
        <v>56095862</v>
      </c>
      <c r="F1781" t="s">
        <v>87</v>
      </c>
      <c r="G1781">
        <v>9135</v>
      </c>
      <c r="H1781" t="s">
        <v>8951</v>
      </c>
      <c r="I1781" s="130">
        <v>18</v>
      </c>
      <c r="J1781" t="s">
        <v>3405</v>
      </c>
      <c r="K1781" t="s">
        <v>108</v>
      </c>
      <c r="L1781" t="s">
        <v>123</v>
      </c>
      <c r="M1781" t="s">
        <v>103</v>
      </c>
      <c r="N1781" t="s">
        <v>98</v>
      </c>
      <c r="O1781" t="s">
        <v>116</v>
      </c>
    </row>
    <row r="1782" spans="1:15" x14ac:dyDescent="0.3">
      <c r="A1782" s="130">
        <v>9162</v>
      </c>
      <c r="B1782" s="130">
        <v>30</v>
      </c>
      <c r="C1782" s="130" t="s">
        <v>3406</v>
      </c>
      <c r="D1782">
        <v>14300</v>
      </c>
      <c r="E1782" s="130">
        <v>33000167</v>
      </c>
      <c r="F1782" t="s">
        <v>87</v>
      </c>
      <c r="G1782">
        <v>9135</v>
      </c>
      <c r="H1782" t="s">
        <v>8952</v>
      </c>
      <c r="I1782" s="130">
        <v>24</v>
      </c>
      <c r="J1782" t="s">
        <v>3406</v>
      </c>
      <c r="K1782" t="s">
        <v>95</v>
      </c>
      <c r="L1782" t="s">
        <v>102</v>
      </c>
      <c r="M1782" t="s">
        <v>103</v>
      </c>
      <c r="N1782" t="s">
        <v>114</v>
      </c>
      <c r="O1782" t="s">
        <v>116</v>
      </c>
    </row>
    <row r="1783" spans="1:15" x14ac:dyDescent="0.3">
      <c r="A1783" s="130">
        <v>9167</v>
      </c>
      <c r="B1783" s="130">
        <v>18</v>
      </c>
      <c r="C1783" s="130" t="s">
        <v>3407</v>
      </c>
      <c r="D1783">
        <v>14309</v>
      </c>
      <c r="E1783" s="131">
        <v>36448137</v>
      </c>
      <c r="F1783" t="s">
        <v>87</v>
      </c>
      <c r="G1783">
        <v>358</v>
      </c>
      <c r="H1783" t="s">
        <v>8953</v>
      </c>
      <c r="I1783" s="130">
        <v>3</v>
      </c>
      <c r="J1783" t="s">
        <v>3407</v>
      </c>
      <c r="K1783" t="s">
        <v>108</v>
      </c>
      <c r="L1783" t="s">
        <v>109</v>
      </c>
      <c r="M1783" t="s">
        <v>112</v>
      </c>
      <c r="N1783" t="s">
        <v>98</v>
      </c>
      <c r="O1783" t="s">
        <v>1345</v>
      </c>
    </row>
    <row r="1784" spans="1:15" x14ac:dyDescent="0.3">
      <c r="A1784" s="130">
        <v>9169</v>
      </c>
      <c r="B1784" s="130">
        <v>28</v>
      </c>
      <c r="C1784" s="130" t="s">
        <v>3408</v>
      </c>
      <c r="D1784">
        <v>14313</v>
      </c>
      <c r="E1784" s="131">
        <v>19235340</v>
      </c>
      <c r="F1784" t="s">
        <v>87</v>
      </c>
      <c r="G1784">
        <v>9135</v>
      </c>
      <c r="H1784" t="s">
        <v>8951</v>
      </c>
      <c r="I1784" s="131">
        <v>3</v>
      </c>
      <c r="J1784" t="s">
        <v>3408</v>
      </c>
      <c r="K1784" t="s">
        <v>108</v>
      </c>
      <c r="L1784" t="s">
        <v>111</v>
      </c>
      <c r="M1784" t="s">
        <v>130</v>
      </c>
      <c r="N1784" t="s">
        <v>98</v>
      </c>
      <c r="O1784" t="s">
        <v>116</v>
      </c>
    </row>
    <row r="1785" spans="1:15" x14ac:dyDescent="0.3">
      <c r="A1785" s="130">
        <v>9173</v>
      </c>
      <c r="B1785" s="130">
        <v>15</v>
      </c>
      <c r="C1785" s="130" t="s">
        <v>3409</v>
      </c>
      <c r="D1785">
        <v>14329</v>
      </c>
      <c r="E1785" s="130">
        <v>12665156</v>
      </c>
      <c r="F1785" t="s">
        <v>87</v>
      </c>
      <c r="G1785">
        <v>9135</v>
      </c>
      <c r="H1785" t="s">
        <v>8952</v>
      </c>
      <c r="I1785" s="131">
        <v>38</v>
      </c>
      <c r="J1785" t="s">
        <v>3409</v>
      </c>
      <c r="K1785" t="s">
        <v>108</v>
      </c>
      <c r="L1785" t="s">
        <v>126</v>
      </c>
      <c r="M1785" t="s">
        <v>145</v>
      </c>
      <c r="N1785" t="s">
        <v>98</v>
      </c>
      <c r="O1785" t="s">
        <v>116</v>
      </c>
    </row>
    <row r="1786" spans="1:15" x14ac:dyDescent="0.3">
      <c r="A1786" s="130">
        <v>9184</v>
      </c>
      <c r="B1786" s="130">
        <v>28</v>
      </c>
      <c r="C1786" s="130" t="s">
        <v>3410</v>
      </c>
      <c r="D1786">
        <v>14348</v>
      </c>
      <c r="E1786" s="130">
        <v>8726496</v>
      </c>
      <c r="F1786" t="s">
        <v>87</v>
      </c>
      <c r="G1786">
        <v>9135</v>
      </c>
      <c r="H1786" t="s">
        <v>8953</v>
      </c>
      <c r="I1786" s="131">
        <v>10</v>
      </c>
      <c r="J1786" t="s">
        <v>3410</v>
      </c>
      <c r="K1786" t="s">
        <v>108</v>
      </c>
      <c r="L1786" t="s">
        <v>127</v>
      </c>
      <c r="M1786" t="s">
        <v>130</v>
      </c>
      <c r="N1786" t="s">
        <v>118</v>
      </c>
      <c r="O1786" t="s">
        <v>1345</v>
      </c>
    </row>
    <row r="1787" spans="1:15" x14ac:dyDescent="0.3">
      <c r="A1787" s="130">
        <v>9187</v>
      </c>
      <c r="B1787" s="130">
        <v>10</v>
      </c>
      <c r="C1787" s="130" t="s">
        <v>3411</v>
      </c>
      <c r="D1787">
        <v>14352</v>
      </c>
      <c r="E1787" s="130">
        <v>6036620</v>
      </c>
      <c r="F1787" t="s">
        <v>87</v>
      </c>
      <c r="G1787">
        <v>9135</v>
      </c>
      <c r="H1787" t="s">
        <v>8951</v>
      </c>
      <c r="I1787" s="131">
        <v>3</v>
      </c>
      <c r="J1787" t="s">
        <v>3411</v>
      </c>
      <c r="K1787" t="s">
        <v>95</v>
      </c>
      <c r="L1787" t="s">
        <v>111</v>
      </c>
      <c r="M1787" t="s">
        <v>133</v>
      </c>
      <c r="N1787" t="s">
        <v>98</v>
      </c>
      <c r="O1787" t="s">
        <v>1345</v>
      </c>
    </row>
    <row r="1788" spans="1:15" x14ac:dyDescent="0.3">
      <c r="A1788" s="130">
        <v>9188</v>
      </c>
      <c r="B1788" s="130">
        <v>15</v>
      </c>
      <c r="C1788" s="130" t="s">
        <v>3412</v>
      </c>
      <c r="D1788">
        <v>14354</v>
      </c>
      <c r="E1788" s="131">
        <v>19974518</v>
      </c>
      <c r="F1788" t="s">
        <v>87</v>
      </c>
      <c r="G1788">
        <v>9135</v>
      </c>
      <c r="H1788" t="s">
        <v>8952</v>
      </c>
      <c r="I1788" s="131">
        <v>3</v>
      </c>
      <c r="J1788" t="s">
        <v>3412</v>
      </c>
      <c r="K1788" t="s">
        <v>108</v>
      </c>
      <c r="L1788" t="s">
        <v>120</v>
      </c>
      <c r="M1788" t="s">
        <v>145</v>
      </c>
      <c r="N1788" t="s">
        <v>98</v>
      </c>
      <c r="O1788" t="s">
        <v>116</v>
      </c>
    </row>
    <row r="1789" spans="1:15" x14ac:dyDescent="0.3">
      <c r="A1789" s="130">
        <v>9190</v>
      </c>
      <c r="B1789" s="130">
        <v>28</v>
      </c>
      <c r="C1789" s="130" t="s">
        <v>3413</v>
      </c>
      <c r="D1789">
        <v>14357</v>
      </c>
      <c r="E1789" s="131">
        <v>21658572</v>
      </c>
      <c r="F1789" t="s">
        <v>87</v>
      </c>
      <c r="G1789">
        <v>9135</v>
      </c>
      <c r="H1789" t="s">
        <v>8953</v>
      </c>
      <c r="I1789" s="131">
        <v>19</v>
      </c>
      <c r="J1789" t="s">
        <v>3413</v>
      </c>
      <c r="K1789" t="s">
        <v>108</v>
      </c>
      <c r="L1789" t="s">
        <v>105</v>
      </c>
      <c r="M1789" t="s">
        <v>130</v>
      </c>
      <c r="N1789" t="s">
        <v>114</v>
      </c>
      <c r="O1789" t="s">
        <v>1345</v>
      </c>
    </row>
    <row r="1790" spans="1:15" x14ac:dyDescent="0.3">
      <c r="A1790" s="130">
        <v>9191</v>
      </c>
      <c r="B1790" s="130">
        <v>30</v>
      </c>
      <c r="C1790" s="130" t="s">
        <v>3414</v>
      </c>
      <c r="D1790">
        <v>14358</v>
      </c>
      <c r="E1790" s="131">
        <v>36178464</v>
      </c>
      <c r="F1790" t="s">
        <v>87</v>
      </c>
      <c r="G1790">
        <v>9135</v>
      </c>
      <c r="H1790" t="s">
        <v>8951</v>
      </c>
      <c r="I1790" s="130">
        <v>37</v>
      </c>
      <c r="J1790" t="s">
        <v>3414</v>
      </c>
      <c r="K1790" t="s">
        <v>95</v>
      </c>
      <c r="L1790" t="s">
        <v>138</v>
      </c>
      <c r="M1790" t="s">
        <v>103</v>
      </c>
      <c r="N1790" t="s">
        <v>150</v>
      </c>
      <c r="O1790" t="s">
        <v>1345</v>
      </c>
    </row>
    <row r="1791" spans="1:15" x14ac:dyDescent="0.3">
      <c r="A1791" s="130">
        <v>9197</v>
      </c>
      <c r="B1791" s="130">
        <v>30</v>
      </c>
      <c r="C1791" s="130" t="s">
        <v>3415</v>
      </c>
      <c r="D1791">
        <v>14364</v>
      </c>
      <c r="E1791" s="130">
        <v>36178464</v>
      </c>
      <c r="F1791" t="s">
        <v>87</v>
      </c>
      <c r="G1791">
        <v>9135</v>
      </c>
      <c r="H1791" t="s">
        <v>8952</v>
      </c>
      <c r="I1791" s="130">
        <v>37</v>
      </c>
      <c r="J1791" t="s">
        <v>3415</v>
      </c>
      <c r="K1791" t="s">
        <v>95</v>
      </c>
      <c r="L1791" t="s">
        <v>138</v>
      </c>
      <c r="M1791" t="s">
        <v>103</v>
      </c>
      <c r="N1791" t="s">
        <v>150</v>
      </c>
      <c r="O1791" t="s">
        <v>1345</v>
      </c>
    </row>
    <row r="1792" spans="1:15" x14ac:dyDescent="0.3">
      <c r="A1792" s="130">
        <v>9198</v>
      </c>
      <c r="B1792" s="130">
        <v>30</v>
      </c>
      <c r="C1792" s="130" t="s">
        <v>3416</v>
      </c>
      <c r="D1792">
        <v>14365</v>
      </c>
      <c r="E1792" s="130">
        <v>28129807</v>
      </c>
      <c r="F1792" t="s">
        <v>87</v>
      </c>
      <c r="G1792">
        <v>9135</v>
      </c>
      <c r="H1792" t="s">
        <v>8953</v>
      </c>
      <c r="I1792" s="130">
        <v>18</v>
      </c>
      <c r="J1792" t="s">
        <v>3416</v>
      </c>
      <c r="K1792" t="s">
        <v>108</v>
      </c>
      <c r="L1792" t="s">
        <v>123</v>
      </c>
      <c r="M1792" t="s">
        <v>103</v>
      </c>
      <c r="N1792" t="s">
        <v>98</v>
      </c>
      <c r="O1792" t="s">
        <v>1345</v>
      </c>
    </row>
    <row r="1793" spans="1:15" x14ac:dyDescent="0.3">
      <c r="A1793" s="130">
        <v>9199</v>
      </c>
      <c r="B1793" s="130">
        <v>30</v>
      </c>
      <c r="C1793" s="130" t="s">
        <v>3417</v>
      </c>
      <c r="D1793">
        <v>14366</v>
      </c>
      <c r="E1793" s="130">
        <v>28129807</v>
      </c>
      <c r="F1793" t="s">
        <v>87</v>
      </c>
      <c r="G1793">
        <v>9135</v>
      </c>
      <c r="H1793" t="s">
        <v>8951</v>
      </c>
      <c r="I1793" s="130">
        <v>18</v>
      </c>
      <c r="J1793" t="s">
        <v>3417</v>
      </c>
      <c r="K1793" t="s">
        <v>108</v>
      </c>
      <c r="L1793" t="s">
        <v>123</v>
      </c>
      <c r="M1793" t="s">
        <v>103</v>
      </c>
      <c r="N1793" t="s">
        <v>98</v>
      </c>
      <c r="O1793" t="s">
        <v>1345</v>
      </c>
    </row>
    <row r="1794" spans="1:15" x14ac:dyDescent="0.3">
      <c r="A1794" s="130">
        <v>9202</v>
      </c>
      <c r="B1794" s="130">
        <v>18</v>
      </c>
      <c r="C1794" s="130" t="s">
        <v>3418</v>
      </c>
      <c r="D1794">
        <v>14367</v>
      </c>
      <c r="E1794" s="130">
        <v>5899350</v>
      </c>
      <c r="F1794" t="s">
        <v>87</v>
      </c>
      <c r="G1794">
        <v>9135</v>
      </c>
      <c r="H1794" t="s">
        <v>8952</v>
      </c>
      <c r="I1794" s="131">
        <v>9</v>
      </c>
      <c r="J1794" t="s">
        <v>3418</v>
      </c>
      <c r="K1794" t="s">
        <v>95</v>
      </c>
      <c r="L1794" t="s">
        <v>163</v>
      </c>
      <c r="M1794" t="s">
        <v>112</v>
      </c>
      <c r="N1794" t="s">
        <v>122</v>
      </c>
      <c r="O1794" t="s">
        <v>116</v>
      </c>
    </row>
    <row r="1795" spans="1:15" x14ac:dyDescent="0.3">
      <c r="A1795" s="130">
        <v>9216</v>
      </c>
      <c r="B1795" s="130">
        <v>18</v>
      </c>
      <c r="C1795" s="130" t="s">
        <v>3419</v>
      </c>
      <c r="D1795">
        <v>14387</v>
      </c>
      <c r="E1795" s="131">
        <v>27786322</v>
      </c>
      <c r="F1795" t="s">
        <v>87</v>
      </c>
      <c r="G1795">
        <v>358</v>
      </c>
      <c r="H1795" t="s">
        <v>8953</v>
      </c>
      <c r="I1795" s="130">
        <v>19</v>
      </c>
      <c r="J1795" t="s">
        <v>3419</v>
      </c>
      <c r="K1795" t="s">
        <v>108</v>
      </c>
      <c r="L1795" t="s">
        <v>105</v>
      </c>
      <c r="M1795" t="s">
        <v>112</v>
      </c>
      <c r="N1795" t="s">
        <v>98</v>
      </c>
      <c r="O1795" t="s">
        <v>1345</v>
      </c>
    </row>
    <row r="1796" spans="1:15" x14ac:dyDescent="0.3">
      <c r="A1796" s="130">
        <v>9219</v>
      </c>
      <c r="B1796" s="130">
        <v>18</v>
      </c>
      <c r="C1796" s="130" t="s">
        <v>3420</v>
      </c>
      <c r="D1796">
        <v>14391</v>
      </c>
      <c r="E1796" s="130">
        <v>27786322</v>
      </c>
      <c r="F1796" t="s">
        <v>87</v>
      </c>
      <c r="G1796">
        <v>358</v>
      </c>
      <c r="H1796" t="s">
        <v>8951</v>
      </c>
      <c r="I1796" s="130">
        <v>19</v>
      </c>
      <c r="J1796" t="s">
        <v>3420</v>
      </c>
      <c r="K1796" t="s">
        <v>108</v>
      </c>
      <c r="L1796" t="s">
        <v>105</v>
      </c>
      <c r="M1796" t="s">
        <v>112</v>
      </c>
      <c r="N1796" t="s">
        <v>98</v>
      </c>
      <c r="O1796" t="s">
        <v>1345</v>
      </c>
    </row>
    <row r="1797" spans="1:15" x14ac:dyDescent="0.3">
      <c r="A1797" s="130">
        <v>9220</v>
      </c>
      <c r="B1797" s="130">
        <v>30</v>
      </c>
      <c r="C1797" s="130" t="s">
        <v>3421</v>
      </c>
      <c r="D1797">
        <v>14110</v>
      </c>
      <c r="E1797" s="130">
        <v>15063096</v>
      </c>
      <c r="F1797" t="s">
        <v>87</v>
      </c>
      <c r="G1797">
        <v>9135</v>
      </c>
      <c r="H1797" t="s">
        <v>8952</v>
      </c>
      <c r="I1797" s="130">
        <v>10</v>
      </c>
      <c r="J1797" t="s">
        <v>3421</v>
      </c>
      <c r="K1797" t="s">
        <v>95</v>
      </c>
      <c r="L1797" t="s">
        <v>127</v>
      </c>
      <c r="M1797" t="s">
        <v>103</v>
      </c>
      <c r="N1797" t="s">
        <v>118</v>
      </c>
      <c r="O1797" t="s">
        <v>1345</v>
      </c>
    </row>
    <row r="1798" spans="1:15" x14ac:dyDescent="0.3">
      <c r="A1798" s="130">
        <v>9222</v>
      </c>
      <c r="B1798" s="130">
        <v>18</v>
      </c>
      <c r="C1798" s="130" t="s">
        <v>3422</v>
      </c>
      <c r="D1798">
        <v>14395</v>
      </c>
      <c r="E1798" s="131">
        <v>32234110</v>
      </c>
      <c r="F1798" t="s">
        <v>87</v>
      </c>
      <c r="G1798">
        <v>9135</v>
      </c>
      <c r="H1798" t="s">
        <v>8953</v>
      </c>
      <c r="I1798" s="131">
        <v>37</v>
      </c>
      <c r="J1798" t="s">
        <v>3422</v>
      </c>
      <c r="K1798" t="s">
        <v>108</v>
      </c>
      <c r="L1798" t="s">
        <v>138</v>
      </c>
      <c r="M1798" t="s">
        <v>112</v>
      </c>
      <c r="N1798" t="s">
        <v>150</v>
      </c>
      <c r="O1798" t="s">
        <v>116</v>
      </c>
    </row>
    <row r="1799" spans="1:15" x14ac:dyDescent="0.3">
      <c r="A1799" s="130">
        <v>9224</v>
      </c>
      <c r="B1799" s="130">
        <v>18</v>
      </c>
      <c r="C1799" s="130" t="s">
        <v>3423</v>
      </c>
      <c r="D1799">
        <v>14396</v>
      </c>
      <c r="E1799" s="130">
        <v>7779913</v>
      </c>
      <c r="F1799" t="s">
        <v>87</v>
      </c>
      <c r="G1799">
        <v>9135</v>
      </c>
      <c r="H1799" t="s">
        <v>8951</v>
      </c>
      <c r="I1799" s="130">
        <v>37</v>
      </c>
      <c r="J1799" t="s">
        <v>3423</v>
      </c>
      <c r="K1799" t="s">
        <v>108</v>
      </c>
      <c r="L1799" t="s">
        <v>138</v>
      </c>
      <c r="M1799" t="s">
        <v>112</v>
      </c>
      <c r="N1799" t="s">
        <v>150</v>
      </c>
      <c r="O1799" t="s">
        <v>1345</v>
      </c>
    </row>
    <row r="1800" spans="1:15" x14ac:dyDescent="0.3">
      <c r="A1800" s="130">
        <v>9233</v>
      </c>
      <c r="B1800" s="130">
        <v>90</v>
      </c>
      <c r="C1800" s="130" t="s">
        <v>3424</v>
      </c>
      <c r="D1800">
        <v>14404</v>
      </c>
      <c r="E1800" s="130">
        <v>655209</v>
      </c>
      <c r="F1800" t="s">
        <v>87</v>
      </c>
      <c r="G1800">
        <v>9135</v>
      </c>
      <c r="H1800" t="s">
        <v>8952</v>
      </c>
      <c r="I1800" s="130">
        <v>9</v>
      </c>
      <c r="J1800" t="s">
        <v>3424</v>
      </c>
      <c r="K1800" t="s">
        <v>95</v>
      </c>
      <c r="L1800" t="s">
        <v>163</v>
      </c>
      <c r="M1800" t="s">
        <v>170</v>
      </c>
      <c r="N1800" t="s">
        <v>118</v>
      </c>
      <c r="O1800" t="s">
        <v>1345</v>
      </c>
    </row>
    <row r="1801" spans="1:15" x14ac:dyDescent="0.3">
      <c r="A1801" s="130">
        <v>9239</v>
      </c>
      <c r="B1801" s="130">
        <v>18</v>
      </c>
      <c r="C1801" s="130" t="s">
        <v>3425</v>
      </c>
      <c r="D1801">
        <v>14412</v>
      </c>
      <c r="E1801" s="130">
        <v>10639965</v>
      </c>
      <c r="F1801" t="s">
        <v>87</v>
      </c>
      <c r="G1801">
        <v>9135</v>
      </c>
      <c r="H1801" t="s">
        <v>8953</v>
      </c>
      <c r="I1801" s="131">
        <v>26</v>
      </c>
      <c r="J1801" t="s">
        <v>3425</v>
      </c>
      <c r="K1801" t="s">
        <v>108</v>
      </c>
      <c r="L1801" t="s">
        <v>151</v>
      </c>
      <c r="M1801" t="s">
        <v>112</v>
      </c>
      <c r="N1801" t="s">
        <v>98</v>
      </c>
      <c r="O1801" t="s">
        <v>1345</v>
      </c>
    </row>
    <row r="1802" spans="1:15" x14ac:dyDescent="0.3">
      <c r="A1802" s="130">
        <v>9242</v>
      </c>
      <c r="B1802" s="130">
        <v>-1</v>
      </c>
      <c r="C1802" s="130" t="s">
        <v>3426</v>
      </c>
      <c r="D1802">
        <v>14419</v>
      </c>
      <c r="E1802" s="131">
        <v>9464279</v>
      </c>
      <c r="F1802" t="s">
        <v>87</v>
      </c>
      <c r="G1802">
        <v>9135</v>
      </c>
      <c r="H1802" t="s">
        <v>8951</v>
      </c>
      <c r="I1802" s="131">
        <v>10</v>
      </c>
      <c r="J1802" t="s">
        <v>3426</v>
      </c>
      <c r="K1802" t="s">
        <v>108</v>
      </c>
      <c r="L1802" t="s">
        <v>127</v>
      </c>
      <c r="M1802" t="s">
        <v>174</v>
      </c>
      <c r="N1802" t="s">
        <v>101</v>
      </c>
      <c r="O1802" t="s">
        <v>116</v>
      </c>
    </row>
    <row r="1803" spans="1:15" x14ac:dyDescent="0.3">
      <c r="A1803" s="130">
        <v>9246</v>
      </c>
      <c r="B1803" s="130">
        <v>18</v>
      </c>
      <c r="C1803" s="130" t="s">
        <v>3427</v>
      </c>
      <c r="D1803">
        <v>14423</v>
      </c>
      <c r="E1803" s="130">
        <v>20752602</v>
      </c>
      <c r="F1803" t="s">
        <v>87</v>
      </c>
      <c r="G1803">
        <v>9135</v>
      </c>
      <c r="H1803" t="s">
        <v>8952</v>
      </c>
      <c r="I1803" s="130">
        <v>18</v>
      </c>
      <c r="J1803" t="s">
        <v>3427</v>
      </c>
      <c r="K1803" t="s">
        <v>108</v>
      </c>
      <c r="L1803" t="s">
        <v>123</v>
      </c>
      <c r="M1803" t="s">
        <v>112</v>
      </c>
      <c r="N1803" t="s">
        <v>98</v>
      </c>
      <c r="O1803" t="s">
        <v>1345</v>
      </c>
    </row>
    <row r="1804" spans="1:15" x14ac:dyDescent="0.3">
      <c r="A1804" s="130">
        <v>9258</v>
      </c>
      <c r="B1804" s="130">
        <v>28</v>
      </c>
      <c r="C1804" s="130" t="s">
        <v>3428</v>
      </c>
      <c r="D1804">
        <v>14434</v>
      </c>
      <c r="E1804" s="130">
        <v>38377844</v>
      </c>
      <c r="F1804" t="s">
        <v>87</v>
      </c>
      <c r="G1804">
        <v>9135</v>
      </c>
      <c r="H1804" t="s">
        <v>8953</v>
      </c>
      <c r="I1804" s="130">
        <v>37</v>
      </c>
      <c r="J1804" t="s">
        <v>3428</v>
      </c>
      <c r="K1804" t="s">
        <v>95</v>
      </c>
      <c r="L1804" t="s">
        <v>138</v>
      </c>
      <c r="M1804" t="s">
        <v>130</v>
      </c>
      <c r="N1804" t="s">
        <v>150</v>
      </c>
      <c r="O1804" t="s">
        <v>1345</v>
      </c>
    </row>
    <row r="1805" spans="1:15" x14ac:dyDescent="0.3">
      <c r="A1805" s="130">
        <v>9261</v>
      </c>
      <c r="B1805" s="130">
        <v>18</v>
      </c>
      <c r="C1805" s="130" t="s">
        <v>3429</v>
      </c>
      <c r="D1805">
        <v>14438</v>
      </c>
      <c r="E1805" s="130">
        <v>42896595</v>
      </c>
      <c r="F1805" t="s">
        <v>113</v>
      </c>
      <c r="G1805">
        <v>9135</v>
      </c>
      <c r="H1805" t="s">
        <v>8951</v>
      </c>
      <c r="I1805" s="131">
        <v>9</v>
      </c>
      <c r="J1805" t="s">
        <v>3429</v>
      </c>
      <c r="K1805" t="s">
        <v>95</v>
      </c>
      <c r="L1805" t="s">
        <v>1298</v>
      </c>
      <c r="M1805" t="s">
        <v>112</v>
      </c>
      <c r="N1805" t="s">
        <v>98</v>
      </c>
      <c r="O1805" t="s">
        <v>1256</v>
      </c>
    </row>
    <row r="1806" spans="1:15" x14ac:dyDescent="0.3">
      <c r="A1806" s="130">
        <v>9267</v>
      </c>
      <c r="B1806" s="130">
        <v>90</v>
      </c>
      <c r="C1806" s="130" t="s">
        <v>3430</v>
      </c>
      <c r="D1806">
        <v>14445</v>
      </c>
      <c r="E1806" s="130">
        <v>35234509</v>
      </c>
      <c r="F1806" t="s">
        <v>87</v>
      </c>
      <c r="G1806">
        <v>9135</v>
      </c>
      <c r="H1806" t="s">
        <v>8952</v>
      </c>
      <c r="I1806" s="130">
        <v>18</v>
      </c>
      <c r="J1806" t="s">
        <v>3430</v>
      </c>
      <c r="K1806" t="s">
        <v>95</v>
      </c>
      <c r="L1806" t="s">
        <v>102</v>
      </c>
      <c r="M1806" t="s">
        <v>170</v>
      </c>
      <c r="N1806" t="s">
        <v>98</v>
      </c>
      <c r="O1806" t="s">
        <v>116</v>
      </c>
    </row>
    <row r="1807" spans="1:15" x14ac:dyDescent="0.3">
      <c r="A1807" s="130">
        <v>9268</v>
      </c>
      <c r="B1807" s="130">
        <v>30</v>
      </c>
      <c r="C1807" s="130" t="s">
        <v>3431</v>
      </c>
      <c r="D1807">
        <v>14447</v>
      </c>
      <c r="E1807" s="130">
        <v>33000167</v>
      </c>
      <c r="F1807" t="s">
        <v>87</v>
      </c>
      <c r="G1807">
        <v>9135</v>
      </c>
      <c r="H1807" t="s">
        <v>8953</v>
      </c>
      <c r="I1807" s="131">
        <v>24</v>
      </c>
      <c r="J1807" t="s">
        <v>3431</v>
      </c>
      <c r="K1807" t="s">
        <v>95</v>
      </c>
      <c r="L1807" t="s">
        <v>102</v>
      </c>
      <c r="M1807" t="s">
        <v>103</v>
      </c>
      <c r="N1807" t="s">
        <v>114</v>
      </c>
      <c r="O1807" t="s">
        <v>116</v>
      </c>
    </row>
    <row r="1808" spans="1:15" x14ac:dyDescent="0.3">
      <c r="A1808" s="130">
        <v>9270</v>
      </c>
      <c r="B1808" s="130">
        <v>30</v>
      </c>
      <c r="C1808" s="130" t="s">
        <v>3432</v>
      </c>
      <c r="D1808">
        <v>14451</v>
      </c>
      <c r="E1808" s="131">
        <v>91894774</v>
      </c>
      <c r="F1808" t="s">
        <v>87</v>
      </c>
      <c r="G1808">
        <v>77</v>
      </c>
      <c r="H1808" t="s">
        <v>8951</v>
      </c>
      <c r="I1808" s="131">
        <v>3</v>
      </c>
      <c r="J1808" t="s">
        <v>3432</v>
      </c>
      <c r="K1808" t="s">
        <v>95</v>
      </c>
      <c r="L1808" t="s">
        <v>117</v>
      </c>
      <c r="M1808" t="s">
        <v>103</v>
      </c>
      <c r="N1808" t="s">
        <v>104</v>
      </c>
      <c r="O1808" t="s">
        <v>1345</v>
      </c>
    </row>
    <row r="1809" spans="1:15" x14ac:dyDescent="0.3">
      <c r="A1809" s="130">
        <v>9278</v>
      </c>
      <c r="B1809" s="130">
        <v>30</v>
      </c>
      <c r="C1809" s="130" t="s">
        <v>3433</v>
      </c>
      <c r="D1809">
        <v>14466</v>
      </c>
      <c r="E1809" s="131">
        <v>5451496</v>
      </c>
      <c r="F1809" t="s">
        <v>87</v>
      </c>
      <c r="G1809">
        <v>9135</v>
      </c>
      <c r="H1809" t="s">
        <v>8952</v>
      </c>
      <c r="I1809" s="130">
        <v>3</v>
      </c>
      <c r="J1809" t="s">
        <v>3433</v>
      </c>
      <c r="K1809" t="s">
        <v>95</v>
      </c>
      <c r="L1809" t="s">
        <v>111</v>
      </c>
      <c r="M1809" t="s">
        <v>103</v>
      </c>
      <c r="N1809" t="s">
        <v>98</v>
      </c>
      <c r="O1809" t="s">
        <v>1345</v>
      </c>
    </row>
    <row r="1810" spans="1:15" x14ac:dyDescent="0.3">
      <c r="A1810" s="130">
        <v>9285</v>
      </c>
      <c r="B1810" s="130">
        <v>18</v>
      </c>
      <c r="C1810" s="130" t="s">
        <v>3434</v>
      </c>
      <c r="D1810">
        <v>14477</v>
      </c>
      <c r="E1810" s="130">
        <v>15063096</v>
      </c>
      <c r="F1810" t="s">
        <v>87</v>
      </c>
      <c r="G1810">
        <v>9135</v>
      </c>
      <c r="H1810" t="s">
        <v>8953</v>
      </c>
      <c r="I1810" s="130">
        <v>3</v>
      </c>
      <c r="J1810" t="s">
        <v>3434</v>
      </c>
      <c r="K1810" t="s">
        <v>108</v>
      </c>
      <c r="L1810" t="s">
        <v>111</v>
      </c>
      <c r="M1810" t="s">
        <v>112</v>
      </c>
      <c r="N1810" t="s">
        <v>98</v>
      </c>
      <c r="O1810" t="s">
        <v>1345</v>
      </c>
    </row>
    <row r="1811" spans="1:15" x14ac:dyDescent="0.3">
      <c r="A1811" s="130">
        <v>9286</v>
      </c>
      <c r="B1811" s="130">
        <v>30</v>
      </c>
      <c r="C1811" s="130" t="s">
        <v>3435</v>
      </c>
      <c r="D1811">
        <v>14475</v>
      </c>
      <c r="E1811" s="131">
        <v>3503152</v>
      </c>
      <c r="F1811" t="s">
        <v>87</v>
      </c>
      <c r="G1811">
        <v>77</v>
      </c>
      <c r="H1811" t="s">
        <v>8951</v>
      </c>
      <c r="I1811" s="131">
        <v>28</v>
      </c>
      <c r="J1811" t="s">
        <v>3435</v>
      </c>
      <c r="K1811" t="s">
        <v>95</v>
      </c>
      <c r="L1811" t="s">
        <v>117</v>
      </c>
      <c r="M1811" t="s">
        <v>103</v>
      </c>
      <c r="N1811" t="s">
        <v>98</v>
      </c>
      <c r="O1811" t="s">
        <v>1256</v>
      </c>
    </row>
    <row r="1812" spans="1:15" x14ac:dyDescent="0.3">
      <c r="A1812" s="130">
        <v>9292</v>
      </c>
      <c r="B1812" s="130">
        <v>18</v>
      </c>
      <c r="C1812" s="130" t="s">
        <v>3436</v>
      </c>
      <c r="D1812">
        <v>14486</v>
      </c>
      <c r="E1812" s="130">
        <v>4892580</v>
      </c>
      <c r="F1812" t="s">
        <v>87</v>
      </c>
      <c r="G1812">
        <v>9135</v>
      </c>
      <c r="H1812" t="s">
        <v>8952</v>
      </c>
      <c r="I1812" s="130">
        <v>9</v>
      </c>
      <c r="J1812" t="s">
        <v>3436</v>
      </c>
      <c r="K1812" t="s">
        <v>95</v>
      </c>
      <c r="L1812" t="s">
        <v>163</v>
      </c>
      <c r="M1812" t="s">
        <v>112</v>
      </c>
      <c r="N1812" t="s">
        <v>107</v>
      </c>
      <c r="O1812" t="s">
        <v>1345</v>
      </c>
    </row>
    <row r="1813" spans="1:15" x14ac:dyDescent="0.3">
      <c r="A1813" s="130">
        <v>9294</v>
      </c>
      <c r="B1813" s="130" t="s">
        <v>135</v>
      </c>
      <c r="C1813" s="130" t="s">
        <v>3437</v>
      </c>
      <c r="D1813">
        <v>14490</v>
      </c>
      <c r="E1813" s="130">
        <v>83646547</v>
      </c>
      <c r="F1813" t="s">
        <v>87</v>
      </c>
      <c r="G1813">
        <v>358</v>
      </c>
      <c r="H1813" t="s">
        <v>8953</v>
      </c>
      <c r="I1813" s="130">
        <v>10</v>
      </c>
      <c r="J1813" t="s">
        <v>3437</v>
      </c>
      <c r="K1813" t="s">
        <v>95</v>
      </c>
      <c r="L1813" t="s">
        <v>105</v>
      </c>
      <c r="M1813" t="s">
        <v>136</v>
      </c>
      <c r="N1813" t="s">
        <v>98</v>
      </c>
      <c r="O1813" t="s">
        <v>116</v>
      </c>
    </row>
    <row r="1814" spans="1:15" x14ac:dyDescent="0.3">
      <c r="A1814" s="130">
        <v>9307</v>
      </c>
      <c r="B1814" s="130">
        <v>30</v>
      </c>
      <c r="C1814" s="130" t="s">
        <v>3438</v>
      </c>
      <c r="D1814">
        <v>14509</v>
      </c>
      <c r="E1814" s="130">
        <v>17193590</v>
      </c>
      <c r="F1814" t="s">
        <v>87</v>
      </c>
      <c r="G1814">
        <v>9135</v>
      </c>
      <c r="H1814" t="s">
        <v>8951</v>
      </c>
      <c r="I1814" s="130">
        <v>3</v>
      </c>
      <c r="J1814" t="s">
        <v>3438</v>
      </c>
      <c r="K1814" t="s">
        <v>95</v>
      </c>
      <c r="L1814" t="s">
        <v>111</v>
      </c>
      <c r="M1814" t="s">
        <v>103</v>
      </c>
      <c r="N1814" t="s">
        <v>98</v>
      </c>
      <c r="O1814" t="s">
        <v>1345</v>
      </c>
    </row>
    <row r="1815" spans="1:15" x14ac:dyDescent="0.3">
      <c r="A1815" s="130">
        <v>9323</v>
      </c>
      <c r="B1815" s="130">
        <v>18</v>
      </c>
      <c r="C1815" s="130" t="s">
        <v>3439</v>
      </c>
      <c r="D1815">
        <v>14529</v>
      </c>
      <c r="E1815" s="131">
        <v>2354917</v>
      </c>
      <c r="F1815" t="s">
        <v>87</v>
      </c>
      <c r="G1815">
        <v>9135</v>
      </c>
      <c r="H1815" t="s">
        <v>8952</v>
      </c>
      <c r="I1815" s="131">
        <v>26</v>
      </c>
      <c r="J1815" t="s">
        <v>3439</v>
      </c>
      <c r="K1815" t="s">
        <v>108</v>
      </c>
      <c r="L1815" t="s">
        <v>151</v>
      </c>
      <c r="M1815" t="s">
        <v>112</v>
      </c>
      <c r="N1815" t="s">
        <v>98</v>
      </c>
      <c r="O1815" t="s">
        <v>1345</v>
      </c>
    </row>
    <row r="1816" spans="1:15" x14ac:dyDescent="0.3">
      <c r="A1816" s="130">
        <v>9326</v>
      </c>
      <c r="B1816" s="130" t="s">
        <v>234</v>
      </c>
      <c r="C1816" s="130" t="s">
        <v>3440</v>
      </c>
      <c r="D1816">
        <v>14532</v>
      </c>
      <c r="E1816" s="131">
        <v>6232484</v>
      </c>
      <c r="F1816" t="s">
        <v>87</v>
      </c>
      <c r="G1816">
        <v>9135</v>
      </c>
      <c r="H1816" t="s">
        <v>8953</v>
      </c>
      <c r="I1816" s="130">
        <v>19</v>
      </c>
      <c r="J1816" t="s">
        <v>3440</v>
      </c>
      <c r="K1816" t="s">
        <v>108</v>
      </c>
      <c r="L1816" t="s">
        <v>109</v>
      </c>
      <c r="M1816" t="s">
        <v>234</v>
      </c>
      <c r="N1816" t="s">
        <v>98</v>
      </c>
      <c r="O1816" t="s">
        <v>1345</v>
      </c>
    </row>
    <row r="1817" spans="1:15" x14ac:dyDescent="0.3">
      <c r="A1817" s="130">
        <v>9335</v>
      </c>
      <c r="B1817" s="130">
        <v>30</v>
      </c>
      <c r="C1817" s="130" t="s">
        <v>3441</v>
      </c>
      <c r="D1817">
        <v>14548</v>
      </c>
      <c r="E1817" s="130">
        <v>33000167</v>
      </c>
      <c r="F1817" t="s">
        <v>87</v>
      </c>
      <c r="G1817">
        <v>9135</v>
      </c>
      <c r="H1817" t="s">
        <v>8951</v>
      </c>
      <c r="I1817" s="131">
        <v>24</v>
      </c>
      <c r="J1817" t="s">
        <v>3441</v>
      </c>
      <c r="K1817" t="s">
        <v>95</v>
      </c>
      <c r="L1817" t="s">
        <v>102</v>
      </c>
      <c r="M1817" t="s">
        <v>103</v>
      </c>
      <c r="N1817" t="s">
        <v>114</v>
      </c>
      <c r="O1817" t="s">
        <v>1345</v>
      </c>
    </row>
    <row r="1818" spans="1:15" x14ac:dyDescent="0.3">
      <c r="A1818" s="130">
        <v>9343</v>
      </c>
      <c r="B1818" s="130">
        <v>30</v>
      </c>
      <c r="C1818" s="130" t="s">
        <v>3442</v>
      </c>
      <c r="D1818">
        <v>14562</v>
      </c>
      <c r="E1818" s="130">
        <v>15063096</v>
      </c>
      <c r="F1818" t="s">
        <v>87</v>
      </c>
      <c r="G1818">
        <v>9135</v>
      </c>
      <c r="H1818" t="s">
        <v>8952</v>
      </c>
      <c r="I1818" s="131">
        <v>3</v>
      </c>
      <c r="J1818" t="s">
        <v>3442</v>
      </c>
      <c r="K1818" t="s">
        <v>95</v>
      </c>
      <c r="L1818" t="s">
        <v>111</v>
      </c>
      <c r="M1818" t="s">
        <v>103</v>
      </c>
      <c r="N1818" t="s">
        <v>98</v>
      </c>
      <c r="O1818" t="s">
        <v>1345</v>
      </c>
    </row>
    <row r="1819" spans="1:15" x14ac:dyDescent="0.3">
      <c r="A1819" s="130">
        <v>9345</v>
      </c>
      <c r="B1819" s="130">
        <v>90</v>
      </c>
      <c r="C1819" s="130" t="s">
        <v>3443</v>
      </c>
      <c r="D1819">
        <v>14565</v>
      </c>
      <c r="E1819" s="130">
        <v>35234509</v>
      </c>
      <c r="F1819" t="s">
        <v>87</v>
      </c>
      <c r="G1819">
        <v>9135</v>
      </c>
      <c r="H1819" t="s">
        <v>8953</v>
      </c>
      <c r="I1819" s="131">
        <v>18</v>
      </c>
      <c r="J1819" t="s">
        <v>3443</v>
      </c>
      <c r="K1819" t="s">
        <v>95</v>
      </c>
      <c r="L1819" t="s">
        <v>102</v>
      </c>
      <c r="M1819" t="s">
        <v>170</v>
      </c>
      <c r="N1819" t="s">
        <v>98</v>
      </c>
      <c r="O1819" t="s">
        <v>116</v>
      </c>
    </row>
    <row r="1820" spans="1:15" x14ac:dyDescent="0.3">
      <c r="A1820" s="130">
        <v>9348</v>
      </c>
      <c r="B1820" s="130">
        <v>0</v>
      </c>
      <c r="C1820" s="130" t="s">
        <v>3444</v>
      </c>
      <c r="D1820">
        <v>14567</v>
      </c>
      <c r="E1820" s="131">
        <v>6005194658</v>
      </c>
      <c r="F1820" t="s">
        <v>87</v>
      </c>
      <c r="G1820">
        <v>9135</v>
      </c>
      <c r="H1820" t="s">
        <v>8951</v>
      </c>
      <c r="I1820" s="130">
        <v>3</v>
      </c>
      <c r="J1820" t="s">
        <v>3444</v>
      </c>
      <c r="K1820" t="s">
        <v>108</v>
      </c>
      <c r="L1820" t="s">
        <v>120</v>
      </c>
      <c r="M1820" t="s">
        <v>100</v>
      </c>
      <c r="N1820" t="s">
        <v>110</v>
      </c>
      <c r="O1820" t="s">
        <v>116</v>
      </c>
    </row>
    <row r="1821" spans="1:15" x14ac:dyDescent="0.3">
      <c r="A1821" s="130">
        <v>9349</v>
      </c>
      <c r="B1821" s="130">
        <v>18</v>
      </c>
      <c r="C1821" s="130" t="s">
        <v>3445</v>
      </c>
      <c r="D1821">
        <v>14569</v>
      </c>
      <c r="E1821" s="131">
        <v>3646245</v>
      </c>
      <c r="F1821" t="s">
        <v>87</v>
      </c>
      <c r="G1821">
        <v>9135</v>
      </c>
      <c r="H1821" t="s">
        <v>8952</v>
      </c>
      <c r="I1821" s="131">
        <v>19</v>
      </c>
      <c r="J1821" t="s">
        <v>3445</v>
      </c>
      <c r="K1821" t="s">
        <v>108</v>
      </c>
      <c r="L1821" t="s">
        <v>146</v>
      </c>
      <c r="M1821" t="s">
        <v>112</v>
      </c>
      <c r="N1821" t="s">
        <v>114</v>
      </c>
      <c r="O1821" t="s">
        <v>1345</v>
      </c>
    </row>
    <row r="1822" spans="1:15" x14ac:dyDescent="0.3">
      <c r="A1822" s="130">
        <v>9363</v>
      </c>
      <c r="B1822" s="130">
        <v>10</v>
      </c>
      <c r="C1822" s="130" t="s">
        <v>3446</v>
      </c>
      <c r="D1822">
        <v>14584</v>
      </c>
      <c r="E1822" s="130">
        <v>3523188</v>
      </c>
      <c r="F1822" t="s">
        <v>113</v>
      </c>
      <c r="G1822">
        <v>358</v>
      </c>
      <c r="H1822" t="s">
        <v>8953</v>
      </c>
      <c r="I1822" s="131">
        <v>3</v>
      </c>
      <c r="J1822" t="s">
        <v>3446</v>
      </c>
      <c r="K1822" t="s">
        <v>95</v>
      </c>
      <c r="L1822" t="s">
        <v>109</v>
      </c>
      <c r="M1822" t="s">
        <v>133</v>
      </c>
      <c r="N1822" t="s">
        <v>98</v>
      </c>
      <c r="O1822" t="s">
        <v>1256</v>
      </c>
    </row>
    <row r="1823" spans="1:15" x14ac:dyDescent="0.3">
      <c r="A1823" s="130">
        <v>9378</v>
      </c>
      <c r="B1823" s="130">
        <v>60</v>
      </c>
      <c r="C1823" s="130" t="s">
        <v>3447</v>
      </c>
      <c r="D1823">
        <v>14605</v>
      </c>
      <c r="E1823" s="130">
        <v>9625762</v>
      </c>
      <c r="F1823" t="s">
        <v>87</v>
      </c>
      <c r="G1823">
        <v>9135</v>
      </c>
      <c r="H1823" t="s">
        <v>8951</v>
      </c>
      <c r="I1823" s="130">
        <v>19</v>
      </c>
      <c r="J1823" t="s">
        <v>3447</v>
      </c>
      <c r="K1823" t="s">
        <v>95</v>
      </c>
      <c r="L1823" t="s">
        <v>1368</v>
      </c>
      <c r="M1823" t="s">
        <v>97</v>
      </c>
      <c r="N1823" t="s">
        <v>150</v>
      </c>
      <c r="O1823" t="s">
        <v>116</v>
      </c>
    </row>
    <row r="1824" spans="1:15" x14ac:dyDescent="0.3">
      <c r="A1824" s="130">
        <v>9393</v>
      </c>
      <c r="B1824" s="130">
        <v>18</v>
      </c>
      <c r="C1824" s="130" t="s">
        <v>3448</v>
      </c>
      <c r="D1824">
        <v>14626</v>
      </c>
      <c r="E1824" s="130">
        <v>237518</v>
      </c>
      <c r="F1824" t="s">
        <v>87</v>
      </c>
      <c r="G1824">
        <v>9135</v>
      </c>
      <c r="H1824" t="s">
        <v>8952</v>
      </c>
      <c r="I1824" s="130">
        <v>10</v>
      </c>
      <c r="J1824" t="s">
        <v>3448</v>
      </c>
      <c r="K1824" t="s">
        <v>95</v>
      </c>
      <c r="L1824" t="s">
        <v>96</v>
      </c>
      <c r="M1824" t="s">
        <v>112</v>
      </c>
      <c r="N1824" t="s">
        <v>98</v>
      </c>
      <c r="O1824" t="s">
        <v>1345</v>
      </c>
    </row>
    <row r="1825" spans="1:15" x14ac:dyDescent="0.3">
      <c r="A1825" s="130">
        <v>9397</v>
      </c>
      <c r="B1825" s="130">
        <v>30</v>
      </c>
      <c r="C1825" s="130" t="s">
        <v>3449</v>
      </c>
      <c r="D1825">
        <v>14628</v>
      </c>
      <c r="E1825" s="130">
        <v>18715383</v>
      </c>
      <c r="F1825" t="s">
        <v>87</v>
      </c>
      <c r="G1825">
        <v>77</v>
      </c>
      <c r="H1825" t="s">
        <v>8953</v>
      </c>
      <c r="I1825" s="130">
        <v>2</v>
      </c>
      <c r="J1825" t="s">
        <v>3449</v>
      </c>
      <c r="K1825" t="s">
        <v>95</v>
      </c>
      <c r="L1825" t="s">
        <v>256</v>
      </c>
      <c r="M1825" t="s">
        <v>103</v>
      </c>
      <c r="N1825" t="s">
        <v>131</v>
      </c>
      <c r="O1825" t="s">
        <v>116</v>
      </c>
    </row>
    <row r="1826" spans="1:15" x14ac:dyDescent="0.3">
      <c r="A1826" s="130">
        <v>9403</v>
      </c>
      <c r="B1826" s="130">
        <v>30</v>
      </c>
      <c r="C1826" s="130" t="s">
        <v>3450</v>
      </c>
      <c r="D1826">
        <v>14640</v>
      </c>
      <c r="E1826" s="131">
        <v>4849715</v>
      </c>
      <c r="F1826" t="s">
        <v>87</v>
      </c>
      <c r="G1826">
        <v>358</v>
      </c>
      <c r="H1826" t="s">
        <v>8951</v>
      </c>
      <c r="I1826" s="130">
        <v>3</v>
      </c>
      <c r="J1826" t="s">
        <v>3450</v>
      </c>
      <c r="K1826" t="s">
        <v>95</v>
      </c>
      <c r="L1826" t="s">
        <v>105</v>
      </c>
      <c r="M1826" t="s">
        <v>103</v>
      </c>
      <c r="N1826" t="s">
        <v>98</v>
      </c>
      <c r="O1826" t="s">
        <v>1345</v>
      </c>
    </row>
    <row r="1827" spans="1:15" x14ac:dyDescent="0.3">
      <c r="A1827" s="130">
        <v>9404</v>
      </c>
      <c r="B1827" s="130">
        <v>90</v>
      </c>
      <c r="C1827" s="130" t="s">
        <v>3451</v>
      </c>
      <c r="D1827">
        <v>14641</v>
      </c>
      <c r="E1827" s="130">
        <v>35234509</v>
      </c>
      <c r="F1827" t="s">
        <v>87</v>
      </c>
      <c r="G1827">
        <v>9135</v>
      </c>
      <c r="H1827" t="s">
        <v>8952</v>
      </c>
      <c r="I1827" s="131">
        <v>18</v>
      </c>
      <c r="J1827" t="s">
        <v>3451</v>
      </c>
      <c r="K1827" t="s">
        <v>95</v>
      </c>
      <c r="L1827" t="s">
        <v>102</v>
      </c>
      <c r="M1827" t="s">
        <v>170</v>
      </c>
      <c r="N1827" t="s">
        <v>114</v>
      </c>
      <c r="O1827" t="s">
        <v>116</v>
      </c>
    </row>
    <row r="1828" spans="1:15" x14ac:dyDescent="0.3">
      <c r="A1828" s="130">
        <v>9416</v>
      </c>
      <c r="B1828" s="130">
        <v>30</v>
      </c>
      <c r="C1828" s="130" t="s">
        <v>3452</v>
      </c>
      <c r="D1828">
        <v>14654</v>
      </c>
      <c r="E1828" s="130">
        <v>32040030</v>
      </c>
      <c r="F1828" t="s">
        <v>87</v>
      </c>
      <c r="G1828">
        <v>9135</v>
      </c>
      <c r="H1828" t="s">
        <v>8953</v>
      </c>
      <c r="I1828" s="130">
        <v>18</v>
      </c>
      <c r="J1828" t="s">
        <v>3452</v>
      </c>
      <c r="K1828" t="s">
        <v>95</v>
      </c>
      <c r="L1828" t="s">
        <v>123</v>
      </c>
      <c r="M1828" t="s">
        <v>103</v>
      </c>
      <c r="N1828" t="s">
        <v>98</v>
      </c>
      <c r="O1828" t="s">
        <v>1345</v>
      </c>
    </row>
    <row r="1829" spans="1:15" x14ac:dyDescent="0.3">
      <c r="A1829" s="130">
        <v>9420</v>
      </c>
      <c r="B1829" s="130">
        <v>18</v>
      </c>
      <c r="C1829" s="130" t="s">
        <v>3453</v>
      </c>
      <c r="D1829">
        <v>14664</v>
      </c>
      <c r="E1829" s="130">
        <v>9550684</v>
      </c>
      <c r="F1829" t="s">
        <v>87</v>
      </c>
      <c r="G1829">
        <v>9135</v>
      </c>
      <c r="H1829" t="s">
        <v>8951</v>
      </c>
      <c r="I1829" s="131">
        <v>9</v>
      </c>
      <c r="J1829" t="s">
        <v>3453</v>
      </c>
      <c r="K1829" t="s">
        <v>108</v>
      </c>
      <c r="L1829" t="s">
        <v>163</v>
      </c>
      <c r="M1829" t="s">
        <v>112</v>
      </c>
      <c r="N1829" t="s">
        <v>98</v>
      </c>
      <c r="O1829" t="s">
        <v>116</v>
      </c>
    </row>
    <row r="1830" spans="1:15" x14ac:dyDescent="0.3">
      <c r="A1830" s="130">
        <v>9426</v>
      </c>
      <c r="B1830" s="130">
        <v>30</v>
      </c>
      <c r="C1830" s="130" t="s">
        <v>3454</v>
      </c>
      <c r="D1830">
        <v>14673</v>
      </c>
      <c r="E1830" s="131">
        <v>20800648</v>
      </c>
      <c r="F1830" t="s">
        <v>87</v>
      </c>
      <c r="G1830">
        <v>9135</v>
      </c>
      <c r="H1830" t="s">
        <v>8952</v>
      </c>
      <c r="I1830" s="130">
        <v>38</v>
      </c>
      <c r="J1830" t="s">
        <v>3454</v>
      </c>
      <c r="K1830" t="s">
        <v>108</v>
      </c>
      <c r="L1830" t="s">
        <v>126</v>
      </c>
      <c r="M1830" t="s">
        <v>103</v>
      </c>
      <c r="N1830" t="s">
        <v>98</v>
      </c>
      <c r="O1830" t="s">
        <v>116</v>
      </c>
    </row>
    <row r="1831" spans="1:15" x14ac:dyDescent="0.3">
      <c r="A1831" s="130">
        <v>9430</v>
      </c>
      <c r="B1831" s="130">
        <v>30</v>
      </c>
      <c r="C1831" s="130" t="s">
        <v>3455</v>
      </c>
      <c r="D1831">
        <v>14683</v>
      </c>
      <c r="E1831" s="131">
        <v>40834342</v>
      </c>
      <c r="F1831" t="s">
        <v>87</v>
      </c>
      <c r="G1831">
        <v>9135</v>
      </c>
      <c r="H1831" t="s">
        <v>8953</v>
      </c>
      <c r="I1831" s="130">
        <v>18</v>
      </c>
      <c r="J1831" t="s">
        <v>3455</v>
      </c>
      <c r="K1831" t="s">
        <v>95</v>
      </c>
      <c r="L1831" t="s">
        <v>123</v>
      </c>
      <c r="M1831" t="s">
        <v>103</v>
      </c>
      <c r="N1831" t="s">
        <v>98</v>
      </c>
      <c r="O1831" t="s">
        <v>116</v>
      </c>
    </row>
    <row r="1832" spans="1:15" x14ac:dyDescent="0.3">
      <c r="A1832" s="130">
        <v>9445</v>
      </c>
      <c r="B1832" s="130">
        <v>30</v>
      </c>
      <c r="C1832" s="130" t="s">
        <v>3456</v>
      </c>
      <c r="D1832">
        <v>14702</v>
      </c>
      <c r="E1832" s="130">
        <v>4849715</v>
      </c>
      <c r="F1832" t="s">
        <v>87</v>
      </c>
      <c r="G1832">
        <v>358</v>
      </c>
      <c r="H1832" t="s">
        <v>8951</v>
      </c>
      <c r="I1832" s="131">
        <v>9</v>
      </c>
      <c r="J1832" t="s">
        <v>3456</v>
      </c>
      <c r="K1832" t="s">
        <v>95</v>
      </c>
      <c r="L1832" t="s">
        <v>105</v>
      </c>
      <c r="M1832" t="s">
        <v>103</v>
      </c>
      <c r="N1832" t="s">
        <v>98</v>
      </c>
      <c r="O1832" t="s">
        <v>1345</v>
      </c>
    </row>
    <row r="1833" spans="1:15" x14ac:dyDescent="0.3">
      <c r="A1833" s="130">
        <v>9446</v>
      </c>
      <c r="B1833" s="130">
        <v>15</v>
      </c>
      <c r="C1833" s="130" t="s">
        <v>3457</v>
      </c>
      <c r="D1833">
        <v>14703</v>
      </c>
      <c r="E1833" s="130">
        <v>34359912</v>
      </c>
      <c r="F1833" t="s">
        <v>87</v>
      </c>
      <c r="G1833">
        <v>9135</v>
      </c>
      <c r="H1833" t="s">
        <v>8952</v>
      </c>
      <c r="I1833" s="130">
        <v>38</v>
      </c>
      <c r="J1833" t="s">
        <v>3457</v>
      </c>
      <c r="K1833" t="s">
        <v>108</v>
      </c>
      <c r="L1833" t="s">
        <v>126</v>
      </c>
      <c r="M1833" t="s">
        <v>145</v>
      </c>
      <c r="N1833" t="s">
        <v>98</v>
      </c>
      <c r="O1833" t="s">
        <v>116</v>
      </c>
    </row>
    <row r="1834" spans="1:15" x14ac:dyDescent="0.3">
      <c r="A1834" s="130">
        <v>9450</v>
      </c>
      <c r="B1834" s="130">
        <v>30</v>
      </c>
      <c r="C1834" s="130" t="s">
        <v>3458</v>
      </c>
      <c r="D1834">
        <v>14716</v>
      </c>
      <c r="E1834" s="130">
        <v>46350863</v>
      </c>
      <c r="F1834" t="s">
        <v>87</v>
      </c>
      <c r="G1834">
        <v>358</v>
      </c>
      <c r="H1834" t="s">
        <v>8953</v>
      </c>
      <c r="I1834" s="130">
        <v>18</v>
      </c>
      <c r="J1834" t="s">
        <v>3458</v>
      </c>
      <c r="K1834" t="s">
        <v>95</v>
      </c>
      <c r="L1834" t="s">
        <v>105</v>
      </c>
      <c r="M1834" t="s">
        <v>103</v>
      </c>
      <c r="N1834" t="s">
        <v>98</v>
      </c>
      <c r="O1834" t="s">
        <v>116</v>
      </c>
    </row>
    <row r="1835" spans="1:15" x14ac:dyDescent="0.3">
      <c r="A1835" s="130">
        <v>9471</v>
      </c>
      <c r="B1835" s="130">
        <v>0</v>
      </c>
      <c r="C1835" s="130" t="s">
        <v>3459</v>
      </c>
      <c r="D1835">
        <v>14759</v>
      </c>
      <c r="E1835" s="130">
        <v>45698342</v>
      </c>
      <c r="F1835" t="s">
        <v>87</v>
      </c>
      <c r="G1835">
        <v>9135</v>
      </c>
      <c r="H1835" t="s">
        <v>8951</v>
      </c>
      <c r="I1835" s="130">
        <v>18</v>
      </c>
      <c r="J1835" t="s">
        <v>3459</v>
      </c>
      <c r="K1835" t="s">
        <v>108</v>
      </c>
      <c r="L1835" t="s">
        <v>123</v>
      </c>
      <c r="M1835" t="s">
        <v>100</v>
      </c>
      <c r="N1835" t="s">
        <v>98</v>
      </c>
      <c r="O1835" t="s">
        <v>1345</v>
      </c>
    </row>
    <row r="1836" spans="1:15" x14ac:dyDescent="0.3">
      <c r="A1836" s="130">
        <v>9473</v>
      </c>
      <c r="B1836" s="130">
        <v>10</v>
      </c>
      <c r="C1836" s="130" t="s">
        <v>3460</v>
      </c>
      <c r="D1836">
        <v>14763</v>
      </c>
      <c r="E1836" s="130">
        <v>3173661</v>
      </c>
      <c r="F1836" t="s">
        <v>87</v>
      </c>
      <c r="G1836">
        <v>358</v>
      </c>
      <c r="H1836" t="s">
        <v>8952</v>
      </c>
      <c r="I1836" s="130">
        <v>3</v>
      </c>
      <c r="J1836" t="s">
        <v>3460</v>
      </c>
      <c r="K1836" t="s">
        <v>108</v>
      </c>
      <c r="L1836" t="s">
        <v>109</v>
      </c>
      <c r="M1836" t="s">
        <v>133</v>
      </c>
      <c r="N1836" t="s">
        <v>107</v>
      </c>
      <c r="O1836" t="s">
        <v>116</v>
      </c>
    </row>
    <row r="1837" spans="1:15" x14ac:dyDescent="0.3">
      <c r="A1837" s="130">
        <v>9480</v>
      </c>
      <c r="B1837" s="130">
        <v>18</v>
      </c>
      <c r="C1837" s="130" t="s">
        <v>3461</v>
      </c>
      <c r="D1837">
        <v>14772</v>
      </c>
      <c r="E1837" s="131">
        <v>7779913</v>
      </c>
      <c r="F1837" t="s">
        <v>87</v>
      </c>
      <c r="G1837">
        <v>9135</v>
      </c>
      <c r="H1837" t="s">
        <v>8953</v>
      </c>
      <c r="I1837" s="130">
        <v>37</v>
      </c>
      <c r="J1837" t="s">
        <v>3461</v>
      </c>
      <c r="K1837" t="s">
        <v>108</v>
      </c>
      <c r="L1837" t="s">
        <v>138</v>
      </c>
      <c r="M1837" t="s">
        <v>112</v>
      </c>
      <c r="N1837" t="s">
        <v>150</v>
      </c>
      <c r="O1837" t="s">
        <v>116</v>
      </c>
    </row>
    <row r="1838" spans="1:15" x14ac:dyDescent="0.3">
      <c r="A1838" s="130">
        <v>9483</v>
      </c>
      <c r="B1838" s="130">
        <v>0</v>
      </c>
      <c r="C1838" s="130" t="s">
        <v>3462</v>
      </c>
      <c r="D1838">
        <v>14777</v>
      </c>
      <c r="E1838" s="130">
        <v>42952776</v>
      </c>
      <c r="F1838" t="s">
        <v>87</v>
      </c>
      <c r="G1838">
        <v>9135</v>
      </c>
      <c r="H1838" t="s">
        <v>8951</v>
      </c>
      <c r="I1838" s="130">
        <v>9</v>
      </c>
      <c r="J1838" t="s">
        <v>3462</v>
      </c>
      <c r="K1838" t="s">
        <v>108</v>
      </c>
      <c r="L1838" t="s">
        <v>163</v>
      </c>
      <c r="M1838" t="s">
        <v>100</v>
      </c>
      <c r="N1838" t="s">
        <v>114</v>
      </c>
      <c r="O1838" t="s">
        <v>116</v>
      </c>
    </row>
    <row r="1839" spans="1:15" x14ac:dyDescent="0.3">
      <c r="A1839" s="130">
        <v>9493</v>
      </c>
      <c r="B1839" s="130">
        <v>30</v>
      </c>
      <c r="C1839" s="130" t="s">
        <v>3463</v>
      </c>
      <c r="D1839">
        <v>14785</v>
      </c>
      <c r="E1839" s="131">
        <v>17161464</v>
      </c>
      <c r="F1839" t="s">
        <v>87</v>
      </c>
      <c r="G1839">
        <v>9135</v>
      </c>
      <c r="H1839" t="s">
        <v>8952</v>
      </c>
      <c r="I1839" s="130">
        <v>3</v>
      </c>
      <c r="J1839" t="s">
        <v>3463</v>
      </c>
      <c r="K1839" t="s">
        <v>95</v>
      </c>
      <c r="L1839" t="s">
        <v>96</v>
      </c>
      <c r="M1839" t="s">
        <v>103</v>
      </c>
      <c r="N1839" t="s">
        <v>98</v>
      </c>
      <c r="O1839" t="s">
        <v>1345</v>
      </c>
    </row>
    <row r="1840" spans="1:15" x14ac:dyDescent="0.3">
      <c r="A1840" s="130">
        <v>9494</v>
      </c>
      <c r="B1840" s="130">
        <v>0</v>
      </c>
      <c r="C1840" s="130" t="s">
        <v>3464</v>
      </c>
      <c r="D1840">
        <v>14610</v>
      </c>
      <c r="E1840" s="130">
        <v>42422048</v>
      </c>
      <c r="F1840" t="s">
        <v>87</v>
      </c>
      <c r="G1840">
        <v>77</v>
      </c>
      <c r="H1840" t="s">
        <v>8953</v>
      </c>
      <c r="I1840" s="130">
        <v>24</v>
      </c>
      <c r="J1840" t="s">
        <v>3464</v>
      </c>
      <c r="K1840" t="s">
        <v>108</v>
      </c>
      <c r="L1840" t="s">
        <v>235</v>
      </c>
      <c r="M1840" t="s">
        <v>100</v>
      </c>
      <c r="N1840" t="s">
        <v>118</v>
      </c>
      <c r="O1840" t="s">
        <v>1256</v>
      </c>
    </row>
    <row r="1841" spans="1:15" x14ac:dyDescent="0.3">
      <c r="A1841" s="130">
        <v>9498</v>
      </c>
      <c r="B1841" s="130">
        <v>30</v>
      </c>
      <c r="C1841" s="130" t="s">
        <v>3465</v>
      </c>
      <c r="D1841">
        <v>14794</v>
      </c>
      <c r="E1841" s="130">
        <v>33193996</v>
      </c>
      <c r="F1841" t="s">
        <v>87</v>
      </c>
      <c r="G1841">
        <v>9135</v>
      </c>
      <c r="H1841" t="s">
        <v>8951</v>
      </c>
      <c r="I1841" s="130">
        <v>3</v>
      </c>
      <c r="J1841" t="s">
        <v>3465</v>
      </c>
      <c r="K1841" t="s">
        <v>95</v>
      </c>
      <c r="L1841" t="s">
        <v>111</v>
      </c>
      <c r="M1841" t="s">
        <v>103</v>
      </c>
      <c r="N1841" t="s">
        <v>98</v>
      </c>
      <c r="O1841" t="s">
        <v>1345</v>
      </c>
    </row>
    <row r="1842" spans="1:15" x14ac:dyDescent="0.3">
      <c r="A1842" s="130">
        <v>9499</v>
      </c>
      <c r="B1842" s="130">
        <v>10</v>
      </c>
      <c r="C1842" s="130" t="s">
        <v>3466</v>
      </c>
      <c r="D1842">
        <v>14796</v>
      </c>
      <c r="E1842" s="130">
        <v>22690912</v>
      </c>
      <c r="F1842" t="s">
        <v>87</v>
      </c>
      <c r="G1842">
        <v>9135</v>
      </c>
      <c r="H1842" t="s">
        <v>8952</v>
      </c>
      <c r="I1842" s="130">
        <v>3</v>
      </c>
      <c r="J1842" t="s">
        <v>3466</v>
      </c>
      <c r="K1842" t="s">
        <v>95</v>
      </c>
      <c r="L1842" t="s">
        <v>120</v>
      </c>
      <c r="M1842" t="s">
        <v>133</v>
      </c>
      <c r="N1842" t="s">
        <v>152</v>
      </c>
      <c r="O1842" t="s">
        <v>116</v>
      </c>
    </row>
    <row r="1843" spans="1:15" x14ac:dyDescent="0.3">
      <c r="A1843" s="130">
        <v>9500</v>
      </c>
      <c r="B1843" s="130">
        <v>30</v>
      </c>
      <c r="C1843" s="130" t="s">
        <v>3467</v>
      </c>
      <c r="D1843">
        <v>14799</v>
      </c>
      <c r="E1843" s="130">
        <v>91894774</v>
      </c>
      <c r="F1843" t="s">
        <v>87</v>
      </c>
      <c r="G1843">
        <v>77</v>
      </c>
      <c r="H1843" t="s">
        <v>8953</v>
      </c>
      <c r="I1843" s="131">
        <v>18</v>
      </c>
      <c r="J1843" t="s">
        <v>3467</v>
      </c>
      <c r="K1843" t="s">
        <v>95</v>
      </c>
      <c r="L1843" t="s">
        <v>117</v>
      </c>
      <c r="M1843" t="s">
        <v>103</v>
      </c>
      <c r="N1843" t="s">
        <v>98</v>
      </c>
      <c r="O1843" t="s">
        <v>116</v>
      </c>
    </row>
    <row r="1844" spans="1:15" x14ac:dyDescent="0.3">
      <c r="A1844" s="130">
        <v>9502</v>
      </c>
      <c r="B1844" s="130">
        <v>28</v>
      </c>
      <c r="C1844" s="130" t="s">
        <v>3468</v>
      </c>
      <c r="D1844">
        <v>14802</v>
      </c>
      <c r="E1844" s="131">
        <v>19235340</v>
      </c>
      <c r="F1844" t="s">
        <v>87</v>
      </c>
      <c r="G1844">
        <v>9135</v>
      </c>
      <c r="H1844" t="s">
        <v>8951</v>
      </c>
      <c r="I1844" s="131">
        <v>3</v>
      </c>
      <c r="J1844" t="s">
        <v>3468</v>
      </c>
      <c r="K1844" t="s">
        <v>108</v>
      </c>
      <c r="L1844" t="s">
        <v>111</v>
      </c>
      <c r="M1844" t="s">
        <v>130</v>
      </c>
      <c r="N1844" t="s">
        <v>98</v>
      </c>
      <c r="O1844" t="s">
        <v>116</v>
      </c>
    </row>
    <row r="1845" spans="1:15" x14ac:dyDescent="0.3">
      <c r="A1845" s="130">
        <v>9507</v>
      </c>
      <c r="B1845" s="130">
        <v>30</v>
      </c>
      <c r="C1845" s="130" t="s">
        <v>3469</v>
      </c>
      <c r="D1845">
        <v>14795</v>
      </c>
      <c r="E1845" s="130">
        <v>83646547</v>
      </c>
      <c r="F1845" t="s">
        <v>87</v>
      </c>
      <c r="G1845">
        <v>358</v>
      </c>
      <c r="H1845" t="s">
        <v>8952</v>
      </c>
      <c r="I1845" s="130">
        <v>10</v>
      </c>
      <c r="J1845" t="s">
        <v>3469</v>
      </c>
      <c r="K1845" t="s">
        <v>95</v>
      </c>
      <c r="L1845" t="s">
        <v>105</v>
      </c>
      <c r="M1845" t="s">
        <v>103</v>
      </c>
      <c r="N1845" t="s">
        <v>98</v>
      </c>
      <c r="O1845" t="s">
        <v>1345</v>
      </c>
    </row>
    <row r="1846" spans="1:15" x14ac:dyDescent="0.3">
      <c r="A1846" s="130">
        <v>9512</v>
      </c>
      <c r="B1846" s="130">
        <v>18</v>
      </c>
      <c r="C1846" s="130" t="s">
        <v>3470</v>
      </c>
      <c r="D1846">
        <v>14819</v>
      </c>
      <c r="E1846" s="130">
        <v>17216661</v>
      </c>
      <c r="F1846" t="s">
        <v>87</v>
      </c>
      <c r="G1846">
        <v>358</v>
      </c>
      <c r="H1846" t="s">
        <v>8953</v>
      </c>
      <c r="I1846" s="130">
        <v>10</v>
      </c>
      <c r="J1846" t="s">
        <v>3470</v>
      </c>
      <c r="K1846" t="s">
        <v>108</v>
      </c>
      <c r="L1846" t="s">
        <v>105</v>
      </c>
      <c r="M1846" t="s">
        <v>112</v>
      </c>
      <c r="N1846" t="s">
        <v>98</v>
      </c>
      <c r="O1846" t="s">
        <v>116</v>
      </c>
    </row>
    <row r="1847" spans="1:15" x14ac:dyDescent="0.3">
      <c r="A1847" s="130">
        <v>9517</v>
      </c>
      <c r="B1847" s="130">
        <v>30</v>
      </c>
      <c r="C1847" s="130" t="s">
        <v>3471</v>
      </c>
      <c r="D1847">
        <v>14827</v>
      </c>
      <c r="E1847" s="130">
        <v>46081185</v>
      </c>
      <c r="F1847" t="s">
        <v>87</v>
      </c>
      <c r="G1847">
        <v>9135</v>
      </c>
      <c r="H1847" t="s">
        <v>8951</v>
      </c>
      <c r="I1847" s="130">
        <v>3</v>
      </c>
      <c r="J1847" t="s">
        <v>3471</v>
      </c>
      <c r="K1847" t="s">
        <v>95</v>
      </c>
      <c r="L1847" t="s">
        <v>96</v>
      </c>
      <c r="M1847" t="s">
        <v>103</v>
      </c>
      <c r="N1847" t="s">
        <v>98</v>
      </c>
      <c r="O1847" t="s">
        <v>1345</v>
      </c>
    </row>
    <row r="1848" spans="1:15" x14ac:dyDescent="0.3">
      <c r="A1848" s="130">
        <v>9521</v>
      </c>
      <c r="B1848" s="130">
        <v>20</v>
      </c>
      <c r="C1848" s="130" t="s">
        <v>3472</v>
      </c>
      <c r="D1848">
        <v>14832</v>
      </c>
      <c r="E1848" s="130">
        <v>10736565</v>
      </c>
      <c r="F1848" t="s">
        <v>87</v>
      </c>
      <c r="G1848">
        <v>9135</v>
      </c>
      <c r="H1848" t="s">
        <v>8952</v>
      </c>
      <c r="I1848" s="130">
        <v>18</v>
      </c>
      <c r="J1848" t="s">
        <v>3472</v>
      </c>
      <c r="K1848" t="s">
        <v>95</v>
      </c>
      <c r="L1848" t="s">
        <v>111</v>
      </c>
      <c r="M1848" t="s">
        <v>148</v>
      </c>
      <c r="N1848" t="s">
        <v>98</v>
      </c>
      <c r="O1848" t="s">
        <v>1345</v>
      </c>
    </row>
    <row r="1849" spans="1:15" x14ac:dyDescent="0.3">
      <c r="A1849" s="130">
        <v>9525</v>
      </c>
      <c r="B1849" s="130">
        <v>15</v>
      </c>
      <c r="C1849" s="130" t="s">
        <v>3473</v>
      </c>
      <c r="D1849">
        <v>14837</v>
      </c>
      <c r="E1849" s="130">
        <v>32561494</v>
      </c>
      <c r="F1849" t="s">
        <v>87</v>
      </c>
      <c r="G1849">
        <v>358</v>
      </c>
      <c r="H1849" t="s">
        <v>8953</v>
      </c>
      <c r="I1849" s="130">
        <v>3</v>
      </c>
      <c r="J1849" t="s">
        <v>3473</v>
      </c>
      <c r="K1849" t="s">
        <v>108</v>
      </c>
      <c r="L1849" t="s">
        <v>109</v>
      </c>
      <c r="M1849" t="s">
        <v>145</v>
      </c>
      <c r="N1849" t="s">
        <v>98</v>
      </c>
      <c r="O1849" t="s">
        <v>116</v>
      </c>
    </row>
    <row r="1850" spans="1:15" x14ac:dyDescent="0.3">
      <c r="A1850" s="130">
        <v>9530</v>
      </c>
      <c r="B1850" s="130">
        <v>30</v>
      </c>
      <c r="C1850" s="130" t="s">
        <v>3474</v>
      </c>
      <c r="D1850">
        <v>14463</v>
      </c>
      <c r="E1850" s="130">
        <v>388601</v>
      </c>
      <c r="F1850" t="s">
        <v>87</v>
      </c>
      <c r="G1850">
        <v>9135</v>
      </c>
      <c r="H1850" t="s">
        <v>8951</v>
      </c>
      <c r="I1850" s="130">
        <v>18</v>
      </c>
      <c r="J1850" t="s">
        <v>3474</v>
      </c>
      <c r="K1850" t="s">
        <v>108</v>
      </c>
      <c r="L1850" t="s">
        <v>123</v>
      </c>
      <c r="M1850" t="s">
        <v>103</v>
      </c>
      <c r="N1850" t="s">
        <v>98</v>
      </c>
      <c r="O1850" t="s">
        <v>1345</v>
      </c>
    </row>
    <row r="1851" spans="1:15" x14ac:dyDescent="0.3">
      <c r="A1851" s="130">
        <v>9534</v>
      </c>
      <c r="B1851" s="130">
        <v>30</v>
      </c>
      <c r="C1851" s="130" t="s">
        <v>3475</v>
      </c>
      <c r="D1851">
        <v>14758</v>
      </c>
      <c r="E1851" s="131">
        <v>44813864</v>
      </c>
      <c r="F1851" t="s">
        <v>87</v>
      </c>
      <c r="G1851">
        <v>9135</v>
      </c>
      <c r="H1851" t="s">
        <v>8952</v>
      </c>
      <c r="I1851" s="130">
        <v>18</v>
      </c>
      <c r="J1851" t="s">
        <v>3475</v>
      </c>
      <c r="K1851" t="s">
        <v>108</v>
      </c>
      <c r="L1851" t="s">
        <v>123</v>
      </c>
      <c r="M1851" t="s">
        <v>103</v>
      </c>
      <c r="N1851" t="s">
        <v>98</v>
      </c>
      <c r="O1851" t="s">
        <v>1345</v>
      </c>
    </row>
    <row r="1852" spans="1:15" x14ac:dyDescent="0.3">
      <c r="A1852" s="130">
        <v>9539</v>
      </c>
      <c r="B1852" s="130">
        <v>10</v>
      </c>
      <c r="C1852" s="130" t="s">
        <v>3476</v>
      </c>
      <c r="D1852">
        <v>14854</v>
      </c>
      <c r="E1852" s="130">
        <v>31031932</v>
      </c>
      <c r="F1852" t="s">
        <v>87</v>
      </c>
      <c r="G1852">
        <v>9135</v>
      </c>
      <c r="H1852" t="s">
        <v>8953</v>
      </c>
      <c r="I1852" s="130">
        <v>24</v>
      </c>
      <c r="J1852" t="s">
        <v>3476</v>
      </c>
      <c r="K1852" t="s">
        <v>108</v>
      </c>
      <c r="L1852" t="s">
        <v>191</v>
      </c>
      <c r="M1852" t="s">
        <v>133</v>
      </c>
      <c r="N1852" t="s">
        <v>98</v>
      </c>
      <c r="O1852" t="s">
        <v>1345</v>
      </c>
    </row>
    <row r="1853" spans="1:15" x14ac:dyDescent="0.3">
      <c r="A1853" s="130">
        <v>9574</v>
      </c>
      <c r="B1853" s="130">
        <v>30</v>
      </c>
      <c r="C1853" s="130" t="s">
        <v>3477</v>
      </c>
      <c r="D1853">
        <v>14895</v>
      </c>
      <c r="E1853" s="130">
        <v>2617158</v>
      </c>
      <c r="F1853" t="s">
        <v>87</v>
      </c>
      <c r="G1853">
        <v>358</v>
      </c>
      <c r="H1853" t="s">
        <v>8951</v>
      </c>
      <c r="I1853" s="131">
        <v>3</v>
      </c>
      <c r="J1853" t="s">
        <v>3477</v>
      </c>
      <c r="K1853" t="s">
        <v>95</v>
      </c>
      <c r="L1853" t="s">
        <v>109</v>
      </c>
      <c r="M1853" t="s">
        <v>103</v>
      </c>
      <c r="N1853" t="s">
        <v>98</v>
      </c>
      <c r="O1853" t="s">
        <v>1345</v>
      </c>
    </row>
    <row r="1854" spans="1:15" x14ac:dyDescent="0.3">
      <c r="A1854" s="130">
        <v>9575</v>
      </c>
      <c r="B1854" s="130">
        <v>0</v>
      </c>
      <c r="C1854" s="130" t="s">
        <v>3478</v>
      </c>
      <c r="D1854">
        <v>14896</v>
      </c>
      <c r="E1854" s="131">
        <v>11520665</v>
      </c>
      <c r="F1854" t="s">
        <v>87</v>
      </c>
      <c r="G1854">
        <v>9135</v>
      </c>
      <c r="H1854" t="s">
        <v>8952</v>
      </c>
      <c r="I1854" s="130">
        <v>19</v>
      </c>
      <c r="J1854" t="s">
        <v>3478</v>
      </c>
      <c r="K1854" t="s">
        <v>108</v>
      </c>
      <c r="L1854" t="s">
        <v>146</v>
      </c>
      <c r="M1854" t="s">
        <v>100</v>
      </c>
      <c r="N1854" t="s">
        <v>98</v>
      </c>
      <c r="O1854" t="s">
        <v>116</v>
      </c>
    </row>
    <row r="1855" spans="1:15" x14ac:dyDescent="0.3">
      <c r="A1855" s="130">
        <v>9592</v>
      </c>
      <c r="B1855" s="130">
        <v>30</v>
      </c>
      <c r="C1855" s="130" t="s">
        <v>3479</v>
      </c>
      <c r="D1855">
        <v>14903</v>
      </c>
      <c r="E1855" s="130">
        <v>21596361</v>
      </c>
      <c r="F1855" t="s">
        <v>87</v>
      </c>
      <c r="G1855">
        <v>77</v>
      </c>
      <c r="H1855" t="s">
        <v>8953</v>
      </c>
      <c r="I1855" s="131">
        <v>3</v>
      </c>
      <c r="J1855" t="s">
        <v>3479</v>
      </c>
      <c r="K1855" t="s">
        <v>95</v>
      </c>
      <c r="L1855" t="s">
        <v>256</v>
      </c>
      <c r="M1855" t="s">
        <v>103</v>
      </c>
      <c r="N1855" t="s">
        <v>98</v>
      </c>
      <c r="O1855" t="s">
        <v>1345</v>
      </c>
    </row>
    <row r="1856" spans="1:15" x14ac:dyDescent="0.3">
      <c r="A1856" s="130">
        <v>9599</v>
      </c>
      <c r="B1856" s="130">
        <v>30</v>
      </c>
      <c r="C1856" s="130" t="s">
        <v>3480</v>
      </c>
      <c r="D1856">
        <v>14913</v>
      </c>
      <c r="E1856" s="131">
        <v>26984326</v>
      </c>
      <c r="F1856" t="s">
        <v>87</v>
      </c>
      <c r="G1856">
        <v>9135</v>
      </c>
      <c r="H1856" t="s">
        <v>8951</v>
      </c>
      <c r="I1856" s="131">
        <v>19</v>
      </c>
      <c r="J1856" t="s">
        <v>3480</v>
      </c>
      <c r="K1856" t="s">
        <v>108</v>
      </c>
      <c r="L1856" t="s">
        <v>146</v>
      </c>
      <c r="M1856" t="s">
        <v>103</v>
      </c>
      <c r="N1856" t="s">
        <v>114</v>
      </c>
      <c r="O1856" t="s">
        <v>1345</v>
      </c>
    </row>
    <row r="1857" spans="1:15" x14ac:dyDescent="0.3">
      <c r="A1857" s="130">
        <v>9601</v>
      </c>
      <c r="B1857" s="130">
        <v>18</v>
      </c>
      <c r="C1857" s="130" t="s">
        <v>3481</v>
      </c>
      <c r="D1857">
        <v>14914</v>
      </c>
      <c r="E1857" s="131">
        <v>9008497</v>
      </c>
      <c r="F1857" t="s">
        <v>87</v>
      </c>
      <c r="G1857">
        <v>9135</v>
      </c>
      <c r="H1857" t="s">
        <v>8952</v>
      </c>
      <c r="I1857" s="130">
        <v>26</v>
      </c>
      <c r="J1857" t="s">
        <v>3481</v>
      </c>
      <c r="K1857" t="s">
        <v>108</v>
      </c>
      <c r="L1857" t="s">
        <v>151</v>
      </c>
      <c r="M1857" t="s">
        <v>112</v>
      </c>
      <c r="N1857" t="s">
        <v>98</v>
      </c>
      <c r="O1857" t="s">
        <v>1345</v>
      </c>
    </row>
    <row r="1858" spans="1:15" x14ac:dyDescent="0.3">
      <c r="A1858" s="130">
        <v>9613</v>
      </c>
      <c r="B1858" s="130">
        <v>30</v>
      </c>
      <c r="C1858" s="130" t="s">
        <v>3482</v>
      </c>
      <c r="D1858">
        <v>14930</v>
      </c>
      <c r="E1858" s="130">
        <v>27467586</v>
      </c>
      <c r="F1858" t="s">
        <v>87</v>
      </c>
      <c r="G1858">
        <v>9135</v>
      </c>
      <c r="H1858" t="s">
        <v>8953</v>
      </c>
      <c r="I1858" s="131">
        <v>18</v>
      </c>
      <c r="J1858" t="s">
        <v>3482</v>
      </c>
      <c r="K1858" t="s">
        <v>95</v>
      </c>
      <c r="L1858" t="s">
        <v>123</v>
      </c>
      <c r="M1858" t="s">
        <v>103</v>
      </c>
      <c r="N1858" t="s">
        <v>98</v>
      </c>
      <c r="O1858" t="s">
        <v>116</v>
      </c>
    </row>
    <row r="1859" spans="1:15" x14ac:dyDescent="0.3">
      <c r="A1859" s="130">
        <v>9615</v>
      </c>
      <c r="B1859" s="130">
        <v>30</v>
      </c>
      <c r="C1859" s="130" t="s">
        <v>3483</v>
      </c>
      <c r="D1859">
        <v>14932</v>
      </c>
      <c r="E1859" s="130">
        <v>903166</v>
      </c>
      <c r="F1859" t="s">
        <v>87</v>
      </c>
      <c r="G1859">
        <v>9135</v>
      </c>
      <c r="H1859" t="s">
        <v>8951</v>
      </c>
      <c r="I1859" s="130">
        <v>19</v>
      </c>
      <c r="J1859" t="s">
        <v>3483</v>
      </c>
      <c r="K1859" t="s">
        <v>108</v>
      </c>
      <c r="L1859" t="s">
        <v>146</v>
      </c>
      <c r="M1859" t="s">
        <v>103</v>
      </c>
      <c r="N1859" t="s">
        <v>169</v>
      </c>
      <c r="O1859" t="s">
        <v>1345</v>
      </c>
    </row>
    <row r="1860" spans="1:15" x14ac:dyDescent="0.3">
      <c r="A1860" s="130">
        <v>9618</v>
      </c>
      <c r="B1860" s="130">
        <v>30</v>
      </c>
      <c r="C1860" s="130" t="s">
        <v>3484</v>
      </c>
      <c r="D1860">
        <v>14936</v>
      </c>
      <c r="E1860" s="130">
        <v>44167450</v>
      </c>
      <c r="F1860" t="s">
        <v>87</v>
      </c>
      <c r="G1860">
        <v>9135</v>
      </c>
      <c r="H1860" t="s">
        <v>8952</v>
      </c>
      <c r="I1860" s="130">
        <v>24</v>
      </c>
      <c r="J1860" t="s">
        <v>3484</v>
      </c>
      <c r="K1860" t="s">
        <v>95</v>
      </c>
      <c r="L1860" t="s">
        <v>191</v>
      </c>
      <c r="M1860" t="s">
        <v>103</v>
      </c>
      <c r="N1860" t="s">
        <v>114</v>
      </c>
      <c r="O1860" t="s">
        <v>116</v>
      </c>
    </row>
    <row r="1861" spans="1:15" x14ac:dyDescent="0.3">
      <c r="A1861" s="130">
        <v>9619</v>
      </c>
      <c r="B1861" s="130">
        <v>0</v>
      </c>
      <c r="C1861" s="130" t="s">
        <v>3485</v>
      </c>
      <c r="D1861">
        <v>14937</v>
      </c>
      <c r="E1861" s="130">
        <v>26365752</v>
      </c>
      <c r="F1861" t="s">
        <v>87</v>
      </c>
      <c r="G1861">
        <v>358</v>
      </c>
      <c r="H1861" t="s">
        <v>8953</v>
      </c>
      <c r="I1861" s="130">
        <v>3</v>
      </c>
      <c r="J1861" t="s">
        <v>3485</v>
      </c>
      <c r="K1861" t="s">
        <v>108</v>
      </c>
      <c r="L1861" t="s">
        <v>109</v>
      </c>
      <c r="M1861" t="s">
        <v>100</v>
      </c>
      <c r="N1861" t="s">
        <v>152</v>
      </c>
      <c r="O1861" t="s">
        <v>1345</v>
      </c>
    </row>
    <row r="1862" spans="1:15" x14ac:dyDescent="0.3">
      <c r="A1862" s="130">
        <v>9643</v>
      </c>
      <c r="B1862" s="130">
        <v>30</v>
      </c>
      <c r="C1862" s="130" t="s">
        <v>3486</v>
      </c>
      <c r="D1862">
        <v>14956</v>
      </c>
      <c r="E1862" s="130">
        <v>8675955</v>
      </c>
      <c r="F1862" t="s">
        <v>87</v>
      </c>
      <c r="G1862">
        <v>9135</v>
      </c>
      <c r="H1862" t="s">
        <v>8951</v>
      </c>
      <c r="I1862" s="130">
        <v>18</v>
      </c>
      <c r="J1862" t="s">
        <v>3486</v>
      </c>
      <c r="K1862" t="s">
        <v>108</v>
      </c>
      <c r="L1862" t="s">
        <v>123</v>
      </c>
      <c r="M1862" t="s">
        <v>103</v>
      </c>
      <c r="N1862" t="s">
        <v>98</v>
      </c>
      <c r="O1862" t="s">
        <v>1345</v>
      </c>
    </row>
    <row r="1863" spans="1:15" x14ac:dyDescent="0.3">
      <c r="A1863" s="130">
        <v>9655</v>
      </c>
      <c r="B1863" s="130">
        <v>18</v>
      </c>
      <c r="C1863" s="130" t="s">
        <v>3487</v>
      </c>
      <c r="D1863">
        <v>14970</v>
      </c>
      <c r="E1863" s="130">
        <v>8054995</v>
      </c>
      <c r="F1863" t="s">
        <v>87</v>
      </c>
      <c r="G1863">
        <v>358</v>
      </c>
      <c r="H1863" t="s">
        <v>8952</v>
      </c>
      <c r="I1863" s="130">
        <v>10</v>
      </c>
      <c r="J1863" t="s">
        <v>3487</v>
      </c>
      <c r="K1863" t="s">
        <v>95</v>
      </c>
      <c r="L1863" t="s">
        <v>105</v>
      </c>
      <c r="M1863" t="s">
        <v>112</v>
      </c>
      <c r="N1863" t="s">
        <v>98</v>
      </c>
      <c r="O1863" t="s">
        <v>1345</v>
      </c>
    </row>
    <row r="1864" spans="1:15" x14ac:dyDescent="0.3">
      <c r="A1864" s="130">
        <v>9656</v>
      </c>
      <c r="B1864" s="130">
        <v>90</v>
      </c>
      <c r="C1864" s="130" t="s">
        <v>3488</v>
      </c>
      <c r="D1864">
        <v>14971</v>
      </c>
      <c r="E1864" s="130">
        <v>35234509</v>
      </c>
      <c r="F1864" t="s">
        <v>87</v>
      </c>
      <c r="G1864">
        <v>9135</v>
      </c>
      <c r="H1864" t="s">
        <v>8953</v>
      </c>
      <c r="I1864" s="130">
        <v>18</v>
      </c>
      <c r="J1864" t="s">
        <v>3488</v>
      </c>
      <c r="K1864" t="s">
        <v>95</v>
      </c>
      <c r="L1864" t="s">
        <v>102</v>
      </c>
      <c r="M1864" t="s">
        <v>170</v>
      </c>
      <c r="N1864" t="s">
        <v>114</v>
      </c>
      <c r="O1864" t="s">
        <v>116</v>
      </c>
    </row>
    <row r="1865" spans="1:15" x14ac:dyDescent="0.3">
      <c r="A1865" s="130">
        <v>9670</v>
      </c>
      <c r="B1865" s="130">
        <v>20</v>
      </c>
      <c r="C1865" s="130" t="s">
        <v>3489</v>
      </c>
      <c r="D1865">
        <v>14999</v>
      </c>
      <c r="E1865" s="130">
        <v>21066139</v>
      </c>
      <c r="F1865" t="s">
        <v>87</v>
      </c>
      <c r="G1865">
        <v>358</v>
      </c>
      <c r="H1865" t="s">
        <v>8951</v>
      </c>
      <c r="I1865" s="130">
        <v>3</v>
      </c>
      <c r="J1865" t="s">
        <v>3489</v>
      </c>
      <c r="K1865" t="s">
        <v>108</v>
      </c>
      <c r="L1865" t="s">
        <v>109</v>
      </c>
      <c r="M1865" t="s">
        <v>148</v>
      </c>
      <c r="N1865" t="s">
        <v>98</v>
      </c>
      <c r="O1865" t="s">
        <v>116</v>
      </c>
    </row>
    <row r="1866" spans="1:15" x14ac:dyDescent="0.3">
      <c r="A1866" s="130">
        <v>9671</v>
      </c>
      <c r="B1866" s="130">
        <v>30</v>
      </c>
      <c r="C1866" s="130" t="s">
        <v>3490</v>
      </c>
      <c r="D1866">
        <v>15002</v>
      </c>
      <c r="E1866" s="130">
        <v>43300286</v>
      </c>
      <c r="F1866" t="s">
        <v>87</v>
      </c>
      <c r="G1866">
        <v>77</v>
      </c>
      <c r="H1866" t="s">
        <v>8952</v>
      </c>
      <c r="I1866" s="130">
        <v>10</v>
      </c>
      <c r="J1866" t="s">
        <v>3490</v>
      </c>
      <c r="K1866" t="s">
        <v>95</v>
      </c>
      <c r="L1866" t="s">
        <v>1255</v>
      </c>
      <c r="M1866" t="s">
        <v>103</v>
      </c>
      <c r="N1866" t="s">
        <v>118</v>
      </c>
      <c r="O1866" t="s">
        <v>1345</v>
      </c>
    </row>
    <row r="1867" spans="1:15" x14ac:dyDescent="0.3">
      <c r="A1867" s="130">
        <v>9675</v>
      </c>
      <c r="B1867" s="130">
        <v>30</v>
      </c>
      <c r="C1867" s="130" t="s">
        <v>3491</v>
      </c>
      <c r="D1867">
        <v>14997</v>
      </c>
      <c r="E1867" s="130">
        <v>5276701</v>
      </c>
      <c r="F1867" t="s">
        <v>87</v>
      </c>
      <c r="G1867">
        <v>9135</v>
      </c>
      <c r="H1867" t="s">
        <v>8953</v>
      </c>
      <c r="I1867" s="130">
        <v>18</v>
      </c>
      <c r="J1867" t="s">
        <v>3491</v>
      </c>
      <c r="K1867" t="s">
        <v>108</v>
      </c>
      <c r="L1867" t="s">
        <v>123</v>
      </c>
      <c r="M1867" t="s">
        <v>103</v>
      </c>
      <c r="N1867" t="s">
        <v>98</v>
      </c>
      <c r="O1867" t="s">
        <v>1345</v>
      </c>
    </row>
    <row r="1868" spans="1:15" x14ac:dyDescent="0.3">
      <c r="A1868" s="130">
        <v>9678</v>
      </c>
      <c r="B1868" s="130">
        <v>18</v>
      </c>
      <c r="C1868" s="130" t="s">
        <v>3492</v>
      </c>
      <c r="D1868">
        <v>15013</v>
      </c>
      <c r="E1868" s="130">
        <v>43908732</v>
      </c>
      <c r="F1868" t="s">
        <v>87</v>
      </c>
      <c r="G1868">
        <v>9135</v>
      </c>
      <c r="H1868" t="s">
        <v>8951</v>
      </c>
      <c r="I1868" s="130">
        <v>37</v>
      </c>
      <c r="J1868" t="s">
        <v>3492</v>
      </c>
      <c r="K1868" t="s">
        <v>95</v>
      </c>
      <c r="L1868" t="s">
        <v>138</v>
      </c>
      <c r="M1868" t="s">
        <v>112</v>
      </c>
      <c r="N1868" t="s">
        <v>101</v>
      </c>
      <c r="O1868" t="s">
        <v>1345</v>
      </c>
    </row>
    <row r="1869" spans="1:15" x14ac:dyDescent="0.3">
      <c r="A1869" s="130">
        <v>9679</v>
      </c>
      <c r="B1869" s="130">
        <v>30</v>
      </c>
      <c r="C1869" s="130" t="s">
        <v>3493</v>
      </c>
      <c r="D1869">
        <v>15015</v>
      </c>
      <c r="E1869" s="131">
        <v>95865572</v>
      </c>
      <c r="F1869" t="s">
        <v>87</v>
      </c>
      <c r="G1869">
        <v>9135</v>
      </c>
      <c r="H1869" t="s">
        <v>8952</v>
      </c>
      <c r="I1869" s="130">
        <v>9</v>
      </c>
      <c r="J1869" t="s">
        <v>3493</v>
      </c>
      <c r="K1869" t="s">
        <v>95</v>
      </c>
      <c r="L1869" t="s">
        <v>163</v>
      </c>
      <c r="M1869" t="s">
        <v>103</v>
      </c>
      <c r="N1869" t="s">
        <v>114</v>
      </c>
      <c r="O1869" t="s">
        <v>116</v>
      </c>
    </row>
    <row r="1870" spans="1:15" x14ac:dyDescent="0.3">
      <c r="A1870" s="130">
        <v>9686</v>
      </c>
      <c r="B1870" s="130">
        <v>-1</v>
      </c>
      <c r="C1870" s="130" t="s">
        <v>3494</v>
      </c>
      <c r="D1870">
        <v>15027</v>
      </c>
      <c r="E1870" s="131">
        <v>49811010315</v>
      </c>
      <c r="F1870" t="s">
        <v>87</v>
      </c>
      <c r="G1870">
        <v>9135</v>
      </c>
      <c r="H1870" t="s">
        <v>8953</v>
      </c>
      <c r="I1870" s="130">
        <v>3</v>
      </c>
      <c r="J1870" t="s">
        <v>3494</v>
      </c>
      <c r="K1870" t="s">
        <v>108</v>
      </c>
      <c r="L1870" t="s">
        <v>102</v>
      </c>
      <c r="M1870" t="s">
        <v>174</v>
      </c>
      <c r="N1870" t="s">
        <v>110</v>
      </c>
      <c r="O1870" t="s">
        <v>1345</v>
      </c>
    </row>
    <row r="1871" spans="1:15" x14ac:dyDescent="0.3">
      <c r="A1871" s="130">
        <v>9687</v>
      </c>
      <c r="B1871" s="130">
        <v>-1</v>
      </c>
      <c r="C1871" s="130" t="s">
        <v>3495</v>
      </c>
      <c r="D1871">
        <v>15028</v>
      </c>
      <c r="E1871" s="130">
        <v>49811010315</v>
      </c>
      <c r="F1871" t="s">
        <v>87</v>
      </c>
      <c r="G1871">
        <v>9135</v>
      </c>
      <c r="H1871" t="s">
        <v>8951</v>
      </c>
      <c r="I1871" s="131">
        <v>3</v>
      </c>
      <c r="J1871" t="s">
        <v>3495</v>
      </c>
      <c r="K1871" t="s">
        <v>108</v>
      </c>
      <c r="L1871" t="s">
        <v>102</v>
      </c>
      <c r="M1871" t="s">
        <v>174</v>
      </c>
      <c r="N1871" t="s">
        <v>110</v>
      </c>
      <c r="O1871" t="s">
        <v>1345</v>
      </c>
    </row>
    <row r="1872" spans="1:15" x14ac:dyDescent="0.3">
      <c r="A1872" s="130">
        <v>9695</v>
      </c>
      <c r="B1872" s="130">
        <v>-1</v>
      </c>
      <c r="C1872" s="130" t="s">
        <v>3496</v>
      </c>
      <c r="D1872">
        <v>15042</v>
      </c>
      <c r="E1872" s="130">
        <v>9026681</v>
      </c>
      <c r="F1872" t="s">
        <v>87</v>
      </c>
      <c r="G1872">
        <v>358</v>
      </c>
      <c r="H1872" t="s">
        <v>8952</v>
      </c>
      <c r="I1872" s="130">
        <v>3</v>
      </c>
      <c r="J1872" t="s">
        <v>3496</v>
      </c>
      <c r="K1872" t="s">
        <v>108</v>
      </c>
      <c r="L1872" t="s">
        <v>109</v>
      </c>
      <c r="M1872" t="s">
        <v>174</v>
      </c>
      <c r="N1872" t="s">
        <v>152</v>
      </c>
      <c r="O1872" t="s">
        <v>1345</v>
      </c>
    </row>
    <row r="1873" spans="1:15" x14ac:dyDescent="0.3">
      <c r="A1873" s="130">
        <v>9703</v>
      </c>
      <c r="B1873" s="130">
        <v>18</v>
      </c>
      <c r="C1873" s="130" t="s">
        <v>3497</v>
      </c>
      <c r="D1873">
        <v>15053</v>
      </c>
      <c r="E1873" s="130">
        <v>76436849</v>
      </c>
      <c r="F1873" t="s">
        <v>87</v>
      </c>
      <c r="G1873">
        <v>9135</v>
      </c>
      <c r="H1873" t="s">
        <v>8953</v>
      </c>
      <c r="I1873" s="131">
        <v>9</v>
      </c>
      <c r="J1873" t="s">
        <v>3497</v>
      </c>
      <c r="K1873" t="s">
        <v>95</v>
      </c>
      <c r="L1873" t="s">
        <v>163</v>
      </c>
      <c r="M1873" t="s">
        <v>112</v>
      </c>
      <c r="N1873" t="s">
        <v>98</v>
      </c>
      <c r="O1873" t="s">
        <v>1345</v>
      </c>
    </row>
    <row r="1874" spans="1:15" x14ac:dyDescent="0.3">
      <c r="A1874" s="130">
        <v>9705</v>
      </c>
      <c r="B1874" s="132">
        <v>-1</v>
      </c>
      <c r="C1874" s="130" t="s">
        <v>3498</v>
      </c>
      <c r="D1874">
        <v>15057</v>
      </c>
      <c r="E1874" s="130">
        <v>29658922</v>
      </c>
      <c r="F1874" t="s">
        <v>87</v>
      </c>
      <c r="G1874">
        <v>9135</v>
      </c>
      <c r="H1874" t="s">
        <v>8951</v>
      </c>
      <c r="I1874" s="131">
        <v>10</v>
      </c>
      <c r="J1874" t="s">
        <v>3498</v>
      </c>
      <c r="K1874" t="s">
        <v>95</v>
      </c>
      <c r="L1874" t="s">
        <v>127</v>
      </c>
      <c r="M1874" t="s">
        <v>174</v>
      </c>
      <c r="N1874" t="s">
        <v>98</v>
      </c>
      <c r="O1874" t="s">
        <v>1345</v>
      </c>
    </row>
    <row r="1875" spans="1:15" x14ac:dyDescent="0.3">
      <c r="A1875" s="130">
        <v>9706</v>
      </c>
      <c r="B1875" s="130">
        <v>18</v>
      </c>
      <c r="C1875" s="130" t="s">
        <v>3499</v>
      </c>
      <c r="D1875">
        <v>15060</v>
      </c>
      <c r="E1875" s="130">
        <v>22745178</v>
      </c>
      <c r="F1875" t="s">
        <v>87</v>
      </c>
      <c r="G1875">
        <v>358</v>
      </c>
      <c r="H1875" t="s">
        <v>8952</v>
      </c>
      <c r="I1875" s="131">
        <v>3</v>
      </c>
      <c r="J1875" t="s">
        <v>3499</v>
      </c>
      <c r="K1875" t="s">
        <v>95</v>
      </c>
      <c r="L1875" t="s">
        <v>109</v>
      </c>
      <c r="M1875" t="s">
        <v>112</v>
      </c>
      <c r="N1875" t="s">
        <v>98</v>
      </c>
      <c r="O1875" t="s">
        <v>1345</v>
      </c>
    </row>
    <row r="1876" spans="1:15" x14ac:dyDescent="0.3">
      <c r="A1876" s="130">
        <v>9708</v>
      </c>
      <c r="B1876" s="130">
        <v>30</v>
      </c>
      <c r="C1876" s="130" t="s">
        <v>3500</v>
      </c>
      <c r="D1876">
        <v>13597</v>
      </c>
      <c r="E1876" s="130">
        <v>5773057</v>
      </c>
      <c r="F1876" t="s">
        <v>87</v>
      </c>
      <c r="G1876">
        <v>9135</v>
      </c>
      <c r="H1876" t="s">
        <v>8953</v>
      </c>
      <c r="I1876" s="130">
        <v>9</v>
      </c>
      <c r="J1876" t="s">
        <v>3500</v>
      </c>
      <c r="K1876" t="s">
        <v>95</v>
      </c>
      <c r="L1876" t="s">
        <v>163</v>
      </c>
      <c r="M1876" t="s">
        <v>103</v>
      </c>
      <c r="N1876" t="s">
        <v>114</v>
      </c>
      <c r="O1876" t="s">
        <v>116</v>
      </c>
    </row>
    <row r="1877" spans="1:15" x14ac:dyDescent="0.3">
      <c r="A1877" s="130">
        <v>9711</v>
      </c>
      <c r="B1877" s="130">
        <v>18</v>
      </c>
      <c r="C1877" s="130" t="s">
        <v>3501</v>
      </c>
      <c r="D1877">
        <v>15068</v>
      </c>
      <c r="E1877" s="130">
        <v>38145955</v>
      </c>
      <c r="F1877" t="s">
        <v>87</v>
      </c>
      <c r="G1877">
        <v>9135</v>
      </c>
      <c r="H1877" t="s">
        <v>8951</v>
      </c>
      <c r="I1877" s="130">
        <v>10</v>
      </c>
      <c r="J1877" t="s">
        <v>3501</v>
      </c>
      <c r="K1877" t="s">
        <v>108</v>
      </c>
      <c r="L1877" t="s">
        <v>105</v>
      </c>
      <c r="M1877" t="s">
        <v>112</v>
      </c>
      <c r="N1877" t="s">
        <v>114</v>
      </c>
      <c r="O1877" t="s">
        <v>1345</v>
      </c>
    </row>
    <row r="1878" spans="1:15" x14ac:dyDescent="0.3">
      <c r="A1878" s="130">
        <v>9768</v>
      </c>
      <c r="B1878" s="130">
        <v>-1</v>
      </c>
      <c r="C1878" s="130" t="s">
        <v>3502</v>
      </c>
      <c r="D1878">
        <v>15088</v>
      </c>
      <c r="E1878" s="130">
        <v>30029902649</v>
      </c>
      <c r="F1878" t="s">
        <v>87</v>
      </c>
      <c r="G1878">
        <v>9135</v>
      </c>
      <c r="H1878" t="s">
        <v>8952</v>
      </c>
      <c r="I1878" s="131">
        <v>3</v>
      </c>
      <c r="J1878" t="s">
        <v>3502</v>
      </c>
      <c r="K1878" t="s">
        <v>108</v>
      </c>
      <c r="L1878" t="s">
        <v>102</v>
      </c>
      <c r="M1878" t="s">
        <v>174</v>
      </c>
      <c r="N1878" t="s">
        <v>110</v>
      </c>
      <c r="O1878" t="s">
        <v>116</v>
      </c>
    </row>
    <row r="1879" spans="1:15" x14ac:dyDescent="0.3">
      <c r="A1879" s="130">
        <v>9769</v>
      </c>
      <c r="B1879" s="130">
        <v>30</v>
      </c>
      <c r="C1879" s="130" t="s">
        <v>3503</v>
      </c>
      <c r="D1879">
        <v>15094</v>
      </c>
      <c r="E1879" s="131">
        <v>25566035</v>
      </c>
      <c r="F1879" t="s">
        <v>87</v>
      </c>
      <c r="G1879">
        <v>358</v>
      </c>
      <c r="H1879" t="s">
        <v>8953</v>
      </c>
      <c r="I1879" s="130">
        <v>10</v>
      </c>
      <c r="J1879" t="s">
        <v>3503</v>
      </c>
      <c r="K1879" t="s">
        <v>95</v>
      </c>
      <c r="L1879" t="s">
        <v>105</v>
      </c>
      <c r="M1879" t="s">
        <v>103</v>
      </c>
      <c r="N1879" t="s">
        <v>98</v>
      </c>
      <c r="O1879" t="s">
        <v>1345</v>
      </c>
    </row>
    <row r="1880" spans="1:15" x14ac:dyDescent="0.3">
      <c r="A1880" s="130">
        <v>9772</v>
      </c>
      <c r="B1880" s="130">
        <v>18</v>
      </c>
      <c r="C1880" s="130" t="s">
        <v>3504</v>
      </c>
      <c r="D1880">
        <v>15095</v>
      </c>
      <c r="E1880" s="131">
        <v>21062047</v>
      </c>
      <c r="F1880" t="s">
        <v>87</v>
      </c>
      <c r="G1880">
        <v>9135</v>
      </c>
      <c r="H1880" t="s">
        <v>8951</v>
      </c>
      <c r="I1880" s="131">
        <v>3</v>
      </c>
      <c r="J1880" t="s">
        <v>3504</v>
      </c>
      <c r="K1880" t="s">
        <v>95</v>
      </c>
      <c r="L1880" t="s">
        <v>111</v>
      </c>
      <c r="M1880" t="s">
        <v>112</v>
      </c>
      <c r="N1880" t="s">
        <v>98</v>
      </c>
      <c r="O1880" t="s">
        <v>1345</v>
      </c>
    </row>
    <row r="1881" spans="1:15" x14ac:dyDescent="0.3">
      <c r="A1881" s="130">
        <v>9788</v>
      </c>
      <c r="B1881" s="130">
        <v>60</v>
      </c>
      <c r="C1881" s="130" t="s">
        <v>3505</v>
      </c>
      <c r="D1881">
        <v>15117</v>
      </c>
      <c r="E1881" s="130">
        <v>33592510</v>
      </c>
      <c r="F1881" t="s">
        <v>87</v>
      </c>
      <c r="G1881">
        <v>77</v>
      </c>
      <c r="H1881" t="s">
        <v>8952</v>
      </c>
      <c r="I1881" s="130">
        <v>3</v>
      </c>
      <c r="J1881" t="s">
        <v>3505</v>
      </c>
      <c r="K1881" t="s">
        <v>95</v>
      </c>
      <c r="L1881" t="s">
        <v>117</v>
      </c>
      <c r="M1881" t="s">
        <v>97</v>
      </c>
      <c r="N1881" t="s">
        <v>124</v>
      </c>
      <c r="O1881" t="s">
        <v>1345</v>
      </c>
    </row>
    <row r="1882" spans="1:15" x14ac:dyDescent="0.3">
      <c r="A1882" s="130">
        <v>9794</v>
      </c>
      <c r="B1882" s="130">
        <v>30</v>
      </c>
      <c r="C1882" s="130" t="s">
        <v>3506</v>
      </c>
      <c r="D1882">
        <v>15119</v>
      </c>
      <c r="E1882" s="130">
        <v>20177671</v>
      </c>
      <c r="F1882" t="s">
        <v>87</v>
      </c>
      <c r="G1882">
        <v>9135</v>
      </c>
      <c r="H1882" t="s">
        <v>8953</v>
      </c>
      <c r="I1882" s="131">
        <v>10</v>
      </c>
      <c r="J1882" t="s">
        <v>3506</v>
      </c>
      <c r="K1882" t="s">
        <v>95</v>
      </c>
      <c r="L1882" t="s">
        <v>127</v>
      </c>
      <c r="M1882" t="s">
        <v>103</v>
      </c>
      <c r="N1882" t="s">
        <v>118</v>
      </c>
      <c r="O1882" t="s">
        <v>1345</v>
      </c>
    </row>
    <row r="1883" spans="1:15" x14ac:dyDescent="0.3">
      <c r="A1883" s="130">
        <v>9795</v>
      </c>
      <c r="B1883" s="130">
        <v>30</v>
      </c>
      <c r="C1883" s="130" t="s">
        <v>3507</v>
      </c>
      <c r="D1883">
        <v>15127</v>
      </c>
      <c r="E1883" s="131">
        <v>8217851</v>
      </c>
      <c r="F1883" t="s">
        <v>87</v>
      </c>
      <c r="G1883">
        <v>9135</v>
      </c>
      <c r="H1883" t="s">
        <v>8951</v>
      </c>
      <c r="I1883" s="130">
        <v>18</v>
      </c>
      <c r="J1883" t="s">
        <v>3507</v>
      </c>
      <c r="K1883" t="s">
        <v>95</v>
      </c>
      <c r="L1883" t="s">
        <v>123</v>
      </c>
      <c r="M1883" t="s">
        <v>103</v>
      </c>
      <c r="N1883" t="s">
        <v>98</v>
      </c>
      <c r="O1883" t="s">
        <v>116</v>
      </c>
    </row>
    <row r="1884" spans="1:15" x14ac:dyDescent="0.3">
      <c r="A1884" s="130">
        <v>9797</v>
      </c>
      <c r="B1884" s="130">
        <v>30</v>
      </c>
      <c r="C1884" s="130" t="s">
        <v>3508</v>
      </c>
      <c r="D1884">
        <v>15129</v>
      </c>
      <c r="E1884" s="130">
        <v>8217851</v>
      </c>
      <c r="F1884" t="s">
        <v>87</v>
      </c>
      <c r="G1884">
        <v>9135</v>
      </c>
      <c r="H1884" t="s">
        <v>8952</v>
      </c>
      <c r="I1884" s="130">
        <v>18</v>
      </c>
      <c r="J1884" t="s">
        <v>3508</v>
      </c>
      <c r="K1884" t="s">
        <v>95</v>
      </c>
      <c r="L1884" t="s">
        <v>123</v>
      </c>
      <c r="M1884" t="s">
        <v>103</v>
      </c>
      <c r="N1884" t="s">
        <v>98</v>
      </c>
      <c r="O1884" t="s">
        <v>116</v>
      </c>
    </row>
    <row r="1885" spans="1:15" x14ac:dyDescent="0.3">
      <c r="A1885" s="130">
        <v>9799</v>
      </c>
      <c r="B1885" s="130">
        <v>30</v>
      </c>
      <c r="C1885" s="130" t="s">
        <v>3509</v>
      </c>
      <c r="D1885">
        <v>15130</v>
      </c>
      <c r="E1885" s="131">
        <v>8217851</v>
      </c>
      <c r="F1885" t="s">
        <v>87</v>
      </c>
      <c r="G1885">
        <v>9135</v>
      </c>
      <c r="H1885" t="s">
        <v>8953</v>
      </c>
      <c r="I1885" s="131">
        <v>18</v>
      </c>
      <c r="J1885" t="s">
        <v>3509</v>
      </c>
      <c r="K1885" t="s">
        <v>95</v>
      </c>
      <c r="L1885" t="s">
        <v>123</v>
      </c>
      <c r="M1885" t="s">
        <v>103</v>
      </c>
      <c r="N1885" t="s">
        <v>98</v>
      </c>
      <c r="O1885" t="s">
        <v>116</v>
      </c>
    </row>
    <row r="1886" spans="1:15" x14ac:dyDescent="0.3">
      <c r="A1886" s="130">
        <v>9804</v>
      </c>
      <c r="B1886" s="130">
        <v>30</v>
      </c>
      <c r="C1886" s="130" t="s">
        <v>3510</v>
      </c>
      <c r="D1886">
        <v>15142</v>
      </c>
      <c r="E1886" s="131">
        <v>15512963</v>
      </c>
      <c r="F1886" t="s">
        <v>87</v>
      </c>
      <c r="G1886">
        <v>9135</v>
      </c>
      <c r="H1886" t="s">
        <v>8951</v>
      </c>
      <c r="I1886" s="130">
        <v>19</v>
      </c>
      <c r="J1886" t="s">
        <v>3510</v>
      </c>
      <c r="K1886" t="s">
        <v>108</v>
      </c>
      <c r="L1886" t="s">
        <v>146</v>
      </c>
      <c r="M1886" t="s">
        <v>103</v>
      </c>
      <c r="N1886" t="s">
        <v>169</v>
      </c>
      <c r="O1886" t="s">
        <v>1345</v>
      </c>
    </row>
    <row r="1887" spans="1:15" x14ac:dyDescent="0.3">
      <c r="A1887" s="130">
        <v>9808</v>
      </c>
      <c r="B1887" s="130">
        <v>18</v>
      </c>
      <c r="C1887" s="130" t="s">
        <v>3511</v>
      </c>
      <c r="D1887">
        <v>15146</v>
      </c>
      <c r="E1887" s="130">
        <v>7197417</v>
      </c>
      <c r="F1887" t="s">
        <v>87</v>
      </c>
      <c r="G1887">
        <v>9135</v>
      </c>
      <c r="H1887" t="s">
        <v>8952</v>
      </c>
      <c r="I1887" s="130">
        <v>26</v>
      </c>
      <c r="J1887" t="s">
        <v>3511</v>
      </c>
      <c r="K1887" t="s">
        <v>95</v>
      </c>
      <c r="L1887" t="s">
        <v>151</v>
      </c>
      <c r="M1887" t="s">
        <v>112</v>
      </c>
      <c r="N1887" t="s">
        <v>98</v>
      </c>
      <c r="O1887" t="s">
        <v>1345</v>
      </c>
    </row>
    <row r="1888" spans="1:15" x14ac:dyDescent="0.3">
      <c r="A1888" s="130">
        <v>9824</v>
      </c>
      <c r="B1888" s="130">
        <v>10</v>
      </c>
      <c r="C1888" s="130" t="s">
        <v>3512</v>
      </c>
      <c r="D1888">
        <v>15172</v>
      </c>
      <c r="E1888" s="130">
        <v>17445321</v>
      </c>
      <c r="F1888" t="s">
        <v>87</v>
      </c>
      <c r="G1888">
        <v>358</v>
      </c>
      <c r="H1888" t="s">
        <v>8953</v>
      </c>
      <c r="I1888" s="131">
        <v>3</v>
      </c>
      <c r="J1888" t="s">
        <v>3512</v>
      </c>
      <c r="K1888" t="s">
        <v>95</v>
      </c>
      <c r="L1888" t="s">
        <v>193</v>
      </c>
      <c r="M1888" t="s">
        <v>133</v>
      </c>
      <c r="N1888" t="s">
        <v>162</v>
      </c>
      <c r="O1888" t="s">
        <v>116</v>
      </c>
    </row>
    <row r="1889" spans="1:15" x14ac:dyDescent="0.3">
      <c r="A1889" s="130">
        <v>9830</v>
      </c>
      <c r="B1889" s="130">
        <v>18</v>
      </c>
      <c r="C1889" s="130" t="s">
        <v>3513</v>
      </c>
      <c r="D1889">
        <v>15180</v>
      </c>
      <c r="E1889" s="131">
        <v>3147393</v>
      </c>
      <c r="F1889" t="s">
        <v>87</v>
      </c>
      <c r="G1889">
        <v>9135</v>
      </c>
      <c r="H1889" t="s">
        <v>8951</v>
      </c>
      <c r="I1889" s="130">
        <v>37</v>
      </c>
      <c r="J1889" t="s">
        <v>3513</v>
      </c>
      <c r="K1889" t="s">
        <v>108</v>
      </c>
      <c r="L1889" t="s">
        <v>144</v>
      </c>
      <c r="M1889" t="s">
        <v>112</v>
      </c>
      <c r="N1889" t="s">
        <v>132</v>
      </c>
      <c r="O1889" t="s">
        <v>1345</v>
      </c>
    </row>
    <row r="1890" spans="1:15" x14ac:dyDescent="0.3">
      <c r="A1890" s="130">
        <v>9837</v>
      </c>
      <c r="B1890" s="130">
        <v>30</v>
      </c>
      <c r="C1890" s="130" t="s">
        <v>3514</v>
      </c>
      <c r="D1890">
        <v>15191</v>
      </c>
      <c r="E1890" s="130">
        <v>32909546</v>
      </c>
      <c r="F1890" t="s">
        <v>87</v>
      </c>
      <c r="G1890">
        <v>9135</v>
      </c>
      <c r="H1890" t="s">
        <v>8952</v>
      </c>
      <c r="I1890" s="130">
        <v>3</v>
      </c>
      <c r="J1890" t="s">
        <v>3514</v>
      </c>
      <c r="K1890" t="s">
        <v>95</v>
      </c>
      <c r="L1890" t="s">
        <v>96</v>
      </c>
      <c r="M1890" t="s">
        <v>103</v>
      </c>
      <c r="N1890" t="s">
        <v>98</v>
      </c>
      <c r="O1890" t="s">
        <v>1345</v>
      </c>
    </row>
    <row r="1891" spans="1:15" x14ac:dyDescent="0.3">
      <c r="A1891" s="130">
        <v>9843</v>
      </c>
      <c r="B1891" s="130">
        <v>30</v>
      </c>
      <c r="C1891" s="130" t="s">
        <v>3515</v>
      </c>
      <c r="D1891">
        <v>15199</v>
      </c>
      <c r="E1891" s="130">
        <v>19235340</v>
      </c>
      <c r="F1891" t="s">
        <v>87</v>
      </c>
      <c r="G1891">
        <v>358</v>
      </c>
      <c r="H1891" t="s">
        <v>8953</v>
      </c>
      <c r="I1891" s="131">
        <v>10</v>
      </c>
      <c r="J1891" t="s">
        <v>3515</v>
      </c>
      <c r="K1891" t="s">
        <v>95</v>
      </c>
      <c r="L1891" t="s">
        <v>105</v>
      </c>
      <c r="M1891" t="s">
        <v>103</v>
      </c>
      <c r="N1891" t="s">
        <v>98</v>
      </c>
      <c r="O1891" t="s">
        <v>1345</v>
      </c>
    </row>
    <row r="1892" spans="1:15" x14ac:dyDescent="0.3">
      <c r="A1892" s="130">
        <v>9845</v>
      </c>
      <c r="B1892" s="130">
        <v>18</v>
      </c>
      <c r="C1892" s="130" t="s">
        <v>3516</v>
      </c>
      <c r="D1892">
        <v>15202</v>
      </c>
      <c r="E1892" s="130">
        <v>19708406</v>
      </c>
      <c r="F1892" t="s">
        <v>87</v>
      </c>
      <c r="G1892">
        <v>77</v>
      </c>
      <c r="H1892" t="s">
        <v>8951</v>
      </c>
      <c r="I1892" s="130">
        <v>3</v>
      </c>
      <c r="J1892" t="s">
        <v>3516</v>
      </c>
      <c r="K1892" t="s">
        <v>108</v>
      </c>
      <c r="L1892" t="s">
        <v>235</v>
      </c>
      <c r="M1892" t="s">
        <v>112</v>
      </c>
      <c r="N1892" t="s">
        <v>118</v>
      </c>
      <c r="O1892" t="s">
        <v>116</v>
      </c>
    </row>
    <row r="1893" spans="1:15" x14ac:dyDescent="0.3">
      <c r="A1893" s="130">
        <v>9846</v>
      </c>
      <c r="B1893" s="130">
        <v>30</v>
      </c>
      <c r="C1893" s="130" t="s">
        <v>3517</v>
      </c>
      <c r="D1893">
        <v>15203</v>
      </c>
      <c r="E1893" s="130">
        <v>33000167</v>
      </c>
      <c r="F1893" t="s">
        <v>87</v>
      </c>
      <c r="G1893">
        <v>9135</v>
      </c>
      <c r="H1893" t="s">
        <v>8952</v>
      </c>
      <c r="I1893" s="130">
        <v>24</v>
      </c>
      <c r="J1893" t="s">
        <v>3517</v>
      </c>
      <c r="K1893" t="s">
        <v>95</v>
      </c>
      <c r="L1893" t="s">
        <v>102</v>
      </c>
      <c r="M1893" t="s">
        <v>103</v>
      </c>
      <c r="N1893" t="s">
        <v>114</v>
      </c>
      <c r="O1893" t="s">
        <v>1345</v>
      </c>
    </row>
    <row r="1894" spans="1:15" x14ac:dyDescent="0.3">
      <c r="A1894" s="130">
        <v>9849</v>
      </c>
      <c r="B1894" s="130">
        <v>18</v>
      </c>
      <c r="C1894" s="130" t="s">
        <v>3518</v>
      </c>
      <c r="D1894">
        <v>15208</v>
      </c>
      <c r="E1894" s="130">
        <v>315757</v>
      </c>
      <c r="F1894" t="s">
        <v>87</v>
      </c>
      <c r="G1894">
        <v>9135</v>
      </c>
      <c r="H1894" t="s">
        <v>8953</v>
      </c>
      <c r="I1894" s="130">
        <v>26</v>
      </c>
      <c r="J1894" t="s">
        <v>3518</v>
      </c>
      <c r="K1894" t="s">
        <v>95</v>
      </c>
      <c r="L1894" t="s">
        <v>151</v>
      </c>
      <c r="M1894" t="s">
        <v>112</v>
      </c>
      <c r="N1894" t="s">
        <v>98</v>
      </c>
      <c r="O1894" t="s">
        <v>116</v>
      </c>
    </row>
    <row r="1895" spans="1:15" x14ac:dyDescent="0.3">
      <c r="A1895" s="130">
        <v>9852</v>
      </c>
      <c r="B1895" s="130">
        <v>90</v>
      </c>
      <c r="C1895" s="130" t="s">
        <v>3519</v>
      </c>
      <c r="D1895">
        <v>15211</v>
      </c>
      <c r="E1895" s="130">
        <v>655209</v>
      </c>
      <c r="F1895" t="s">
        <v>87</v>
      </c>
      <c r="G1895">
        <v>9135</v>
      </c>
      <c r="H1895" t="s">
        <v>8951</v>
      </c>
      <c r="I1895" s="130">
        <v>9</v>
      </c>
      <c r="J1895" t="s">
        <v>3519</v>
      </c>
      <c r="K1895" t="s">
        <v>95</v>
      </c>
      <c r="L1895" t="s">
        <v>163</v>
      </c>
      <c r="M1895" t="s">
        <v>170</v>
      </c>
      <c r="N1895" t="s">
        <v>118</v>
      </c>
      <c r="O1895" t="s">
        <v>116</v>
      </c>
    </row>
    <row r="1896" spans="1:15" x14ac:dyDescent="0.3">
      <c r="A1896" s="130">
        <v>9853</v>
      </c>
      <c r="B1896" s="130">
        <v>-1</v>
      </c>
      <c r="C1896" s="130" t="s">
        <v>3520</v>
      </c>
      <c r="D1896">
        <v>15212</v>
      </c>
      <c r="E1896" s="131">
        <v>7372735</v>
      </c>
      <c r="F1896" t="s">
        <v>87</v>
      </c>
      <c r="G1896">
        <v>358</v>
      </c>
      <c r="H1896" t="s">
        <v>8952</v>
      </c>
      <c r="I1896" s="130">
        <v>3</v>
      </c>
      <c r="J1896" t="s">
        <v>3520</v>
      </c>
      <c r="K1896" t="s">
        <v>108</v>
      </c>
      <c r="L1896" t="s">
        <v>109</v>
      </c>
      <c r="M1896" t="s">
        <v>174</v>
      </c>
      <c r="N1896" t="s">
        <v>98</v>
      </c>
      <c r="O1896" t="s">
        <v>116</v>
      </c>
    </row>
    <row r="1897" spans="1:15" x14ac:dyDescent="0.3">
      <c r="A1897" s="130">
        <v>9855</v>
      </c>
      <c r="B1897" s="130">
        <v>10</v>
      </c>
      <c r="C1897" s="130" t="s">
        <v>3521</v>
      </c>
      <c r="D1897">
        <v>15213</v>
      </c>
      <c r="E1897" s="130">
        <v>43711951</v>
      </c>
      <c r="F1897" t="s">
        <v>87</v>
      </c>
      <c r="G1897">
        <v>358</v>
      </c>
      <c r="H1897" t="s">
        <v>8953</v>
      </c>
      <c r="I1897" s="131">
        <v>3</v>
      </c>
      <c r="J1897" t="s">
        <v>3521</v>
      </c>
      <c r="K1897" t="s">
        <v>108</v>
      </c>
      <c r="L1897" t="s">
        <v>109</v>
      </c>
      <c r="M1897" t="s">
        <v>133</v>
      </c>
      <c r="N1897" t="s">
        <v>98</v>
      </c>
      <c r="O1897" t="s">
        <v>116</v>
      </c>
    </row>
    <row r="1898" spans="1:15" x14ac:dyDescent="0.3">
      <c r="A1898" s="130">
        <v>9857</v>
      </c>
      <c r="B1898" s="130">
        <v>-1</v>
      </c>
      <c r="C1898" s="130" t="s">
        <v>3522</v>
      </c>
      <c r="D1898">
        <v>15218</v>
      </c>
      <c r="E1898" s="130">
        <v>19258554</v>
      </c>
      <c r="F1898" t="s">
        <v>87</v>
      </c>
      <c r="G1898">
        <v>9135</v>
      </c>
      <c r="H1898" t="s">
        <v>8951</v>
      </c>
      <c r="I1898" s="130">
        <v>10</v>
      </c>
      <c r="J1898" t="s">
        <v>3522</v>
      </c>
      <c r="K1898" t="s">
        <v>108</v>
      </c>
      <c r="L1898" t="s">
        <v>127</v>
      </c>
      <c r="M1898" t="s">
        <v>174</v>
      </c>
      <c r="N1898" t="s">
        <v>118</v>
      </c>
      <c r="O1898" t="s">
        <v>1345</v>
      </c>
    </row>
    <row r="1899" spans="1:15" x14ac:dyDescent="0.3">
      <c r="A1899" s="130">
        <v>9861</v>
      </c>
      <c r="B1899" s="130">
        <v>18</v>
      </c>
      <c r="C1899" s="130" t="s">
        <v>3523</v>
      </c>
      <c r="D1899">
        <v>15221</v>
      </c>
      <c r="E1899" s="130">
        <v>17723933</v>
      </c>
      <c r="F1899" t="s">
        <v>87</v>
      </c>
      <c r="G1899">
        <v>9135</v>
      </c>
      <c r="H1899" t="s">
        <v>8952</v>
      </c>
      <c r="I1899" s="131">
        <v>3</v>
      </c>
      <c r="J1899" t="s">
        <v>3523</v>
      </c>
      <c r="K1899" t="s">
        <v>108</v>
      </c>
      <c r="L1899" t="s">
        <v>111</v>
      </c>
      <c r="M1899" t="s">
        <v>112</v>
      </c>
      <c r="N1899" t="s">
        <v>98</v>
      </c>
      <c r="O1899" t="s">
        <v>1345</v>
      </c>
    </row>
    <row r="1900" spans="1:15" x14ac:dyDescent="0.3">
      <c r="A1900" s="130">
        <v>9870</v>
      </c>
      <c r="B1900" s="130">
        <v>30</v>
      </c>
      <c r="C1900" s="130" t="s">
        <v>3524</v>
      </c>
      <c r="D1900">
        <v>15233</v>
      </c>
      <c r="E1900" s="130">
        <v>47419874</v>
      </c>
      <c r="F1900" t="s">
        <v>87</v>
      </c>
      <c r="G1900">
        <v>9135</v>
      </c>
      <c r="H1900" t="s">
        <v>8953</v>
      </c>
      <c r="I1900" s="130">
        <v>38</v>
      </c>
      <c r="J1900" t="s">
        <v>3524</v>
      </c>
      <c r="K1900" t="s">
        <v>108</v>
      </c>
      <c r="L1900" t="s">
        <v>126</v>
      </c>
      <c r="M1900" t="s">
        <v>103</v>
      </c>
      <c r="N1900" t="s">
        <v>118</v>
      </c>
      <c r="O1900" t="s">
        <v>116</v>
      </c>
    </row>
    <row r="1901" spans="1:15" x14ac:dyDescent="0.3">
      <c r="A1901" s="130">
        <v>9882</v>
      </c>
      <c r="B1901" s="130">
        <v>18</v>
      </c>
      <c r="C1901" s="130" t="s">
        <v>3525</v>
      </c>
      <c r="D1901">
        <v>15254</v>
      </c>
      <c r="E1901" s="130">
        <v>18225557</v>
      </c>
      <c r="F1901" t="s">
        <v>87</v>
      </c>
      <c r="G1901">
        <v>358</v>
      </c>
      <c r="H1901" t="s">
        <v>8951</v>
      </c>
      <c r="I1901" s="130">
        <v>10</v>
      </c>
      <c r="J1901" t="s">
        <v>3525</v>
      </c>
      <c r="K1901" t="s">
        <v>108</v>
      </c>
      <c r="L1901" t="s">
        <v>105</v>
      </c>
      <c r="M1901" t="s">
        <v>112</v>
      </c>
      <c r="N1901" t="s">
        <v>98</v>
      </c>
      <c r="O1901" t="s">
        <v>116</v>
      </c>
    </row>
    <row r="1902" spans="1:15" x14ac:dyDescent="0.3">
      <c r="A1902" s="130">
        <v>9885</v>
      </c>
      <c r="B1902" s="130">
        <v>30</v>
      </c>
      <c r="C1902" s="130" t="s">
        <v>3526</v>
      </c>
      <c r="D1902">
        <v>15261</v>
      </c>
      <c r="E1902" s="130">
        <v>51466860</v>
      </c>
      <c r="F1902" t="s">
        <v>87</v>
      </c>
      <c r="G1902">
        <v>9135</v>
      </c>
      <c r="H1902" t="s">
        <v>8952</v>
      </c>
      <c r="I1902" s="130">
        <v>37</v>
      </c>
      <c r="J1902" t="s">
        <v>3526</v>
      </c>
      <c r="K1902" t="s">
        <v>95</v>
      </c>
      <c r="L1902" t="s">
        <v>144</v>
      </c>
      <c r="M1902" t="s">
        <v>103</v>
      </c>
      <c r="N1902" t="s">
        <v>141</v>
      </c>
      <c r="O1902" t="s">
        <v>116</v>
      </c>
    </row>
    <row r="1903" spans="1:15" x14ac:dyDescent="0.3">
      <c r="A1903" s="130">
        <v>9889</v>
      </c>
      <c r="B1903" s="130">
        <v>0</v>
      </c>
      <c r="C1903" s="130" t="s">
        <v>3527</v>
      </c>
      <c r="D1903">
        <v>15267</v>
      </c>
      <c r="E1903" s="131">
        <v>18127274</v>
      </c>
      <c r="F1903" t="s">
        <v>87</v>
      </c>
      <c r="G1903">
        <v>9135</v>
      </c>
      <c r="H1903" t="s">
        <v>8953</v>
      </c>
      <c r="I1903" s="130">
        <v>3</v>
      </c>
      <c r="J1903" t="s">
        <v>3527</v>
      </c>
      <c r="K1903" t="s">
        <v>108</v>
      </c>
      <c r="L1903" t="s">
        <v>102</v>
      </c>
      <c r="M1903" t="s">
        <v>100</v>
      </c>
      <c r="N1903" t="s">
        <v>152</v>
      </c>
      <c r="O1903" t="s">
        <v>1345</v>
      </c>
    </row>
    <row r="1904" spans="1:15" x14ac:dyDescent="0.3">
      <c r="A1904" s="130">
        <v>9891</v>
      </c>
      <c r="B1904" s="130">
        <v>-1</v>
      </c>
      <c r="C1904" s="130" t="s">
        <v>3528</v>
      </c>
      <c r="D1904">
        <v>15270</v>
      </c>
      <c r="E1904" s="131">
        <v>21441058</v>
      </c>
      <c r="F1904" t="s">
        <v>87</v>
      </c>
      <c r="G1904">
        <v>9135</v>
      </c>
      <c r="H1904" t="s">
        <v>8951</v>
      </c>
      <c r="I1904" s="130">
        <v>9</v>
      </c>
      <c r="J1904" t="s">
        <v>3528</v>
      </c>
      <c r="K1904" t="s">
        <v>108</v>
      </c>
      <c r="L1904" t="s">
        <v>163</v>
      </c>
      <c r="M1904" t="s">
        <v>174</v>
      </c>
      <c r="N1904" t="s">
        <v>98</v>
      </c>
      <c r="O1904" t="s">
        <v>116</v>
      </c>
    </row>
    <row r="1905" spans="1:15" x14ac:dyDescent="0.3">
      <c r="A1905" s="130">
        <v>9892</v>
      </c>
      <c r="B1905" s="130">
        <v>18</v>
      </c>
      <c r="C1905" s="130" t="s">
        <v>3529</v>
      </c>
      <c r="D1905">
        <v>15271</v>
      </c>
      <c r="E1905" s="131">
        <v>5675750</v>
      </c>
      <c r="F1905" t="s">
        <v>87</v>
      </c>
      <c r="G1905">
        <v>9135</v>
      </c>
      <c r="H1905" t="s">
        <v>8952</v>
      </c>
      <c r="I1905" s="131">
        <v>26</v>
      </c>
      <c r="J1905" t="s">
        <v>3529</v>
      </c>
      <c r="K1905" t="s">
        <v>95</v>
      </c>
      <c r="L1905" t="s">
        <v>151</v>
      </c>
      <c r="M1905" t="s">
        <v>112</v>
      </c>
      <c r="N1905" t="s">
        <v>98</v>
      </c>
      <c r="O1905" t="s">
        <v>1345</v>
      </c>
    </row>
    <row r="1906" spans="1:15" x14ac:dyDescent="0.3">
      <c r="A1906" s="130">
        <v>9896</v>
      </c>
      <c r="B1906" s="130">
        <v>30</v>
      </c>
      <c r="C1906" s="130" t="s">
        <v>3530</v>
      </c>
      <c r="D1906">
        <v>15274</v>
      </c>
      <c r="E1906" s="130">
        <v>44319688</v>
      </c>
      <c r="F1906" t="s">
        <v>87</v>
      </c>
      <c r="G1906">
        <v>9135</v>
      </c>
      <c r="H1906" t="s">
        <v>8953</v>
      </c>
      <c r="I1906" s="130">
        <v>18</v>
      </c>
      <c r="J1906" t="s">
        <v>3530</v>
      </c>
      <c r="K1906" t="s">
        <v>95</v>
      </c>
      <c r="L1906" t="s">
        <v>123</v>
      </c>
      <c r="M1906" t="s">
        <v>103</v>
      </c>
      <c r="N1906" t="s">
        <v>101</v>
      </c>
      <c r="O1906" t="s">
        <v>1345</v>
      </c>
    </row>
    <row r="1907" spans="1:15" x14ac:dyDescent="0.3">
      <c r="A1907" s="130">
        <v>9897</v>
      </c>
      <c r="B1907" s="130">
        <v>30</v>
      </c>
      <c r="C1907" s="130" t="s">
        <v>3531</v>
      </c>
      <c r="D1907">
        <v>15288</v>
      </c>
      <c r="E1907" s="131">
        <v>1643229</v>
      </c>
      <c r="F1907" t="s">
        <v>87</v>
      </c>
      <c r="G1907">
        <v>9135</v>
      </c>
      <c r="H1907" t="s">
        <v>8951</v>
      </c>
      <c r="I1907" s="130">
        <v>38</v>
      </c>
      <c r="J1907" t="s">
        <v>3531</v>
      </c>
      <c r="K1907" t="s">
        <v>108</v>
      </c>
      <c r="L1907" t="s">
        <v>126</v>
      </c>
      <c r="M1907" t="s">
        <v>103</v>
      </c>
      <c r="N1907" t="s">
        <v>98</v>
      </c>
      <c r="O1907" t="s">
        <v>1345</v>
      </c>
    </row>
    <row r="1908" spans="1:15" x14ac:dyDescent="0.3">
      <c r="A1908" s="130">
        <v>9898</v>
      </c>
      <c r="B1908" s="130">
        <v>30</v>
      </c>
      <c r="C1908" s="130" t="s">
        <v>3532</v>
      </c>
      <c r="D1908">
        <v>15275</v>
      </c>
      <c r="E1908" s="130">
        <v>44319688</v>
      </c>
      <c r="F1908" t="s">
        <v>87</v>
      </c>
      <c r="G1908">
        <v>9135</v>
      </c>
      <c r="H1908" t="s">
        <v>8952</v>
      </c>
      <c r="I1908" s="131">
        <v>18</v>
      </c>
      <c r="J1908" t="s">
        <v>3532</v>
      </c>
      <c r="K1908" t="s">
        <v>95</v>
      </c>
      <c r="L1908" t="s">
        <v>123</v>
      </c>
      <c r="M1908" t="s">
        <v>103</v>
      </c>
      <c r="N1908" t="s">
        <v>101</v>
      </c>
      <c r="O1908" t="s">
        <v>1345</v>
      </c>
    </row>
    <row r="1909" spans="1:15" x14ac:dyDescent="0.3">
      <c r="A1909" s="130">
        <v>9900</v>
      </c>
      <c r="B1909" s="130">
        <v>30</v>
      </c>
      <c r="C1909" s="130" t="s">
        <v>3533</v>
      </c>
      <c r="D1909">
        <v>15276</v>
      </c>
      <c r="E1909" s="131">
        <v>44319688</v>
      </c>
      <c r="F1909" t="s">
        <v>87</v>
      </c>
      <c r="G1909">
        <v>9135</v>
      </c>
      <c r="H1909" t="s">
        <v>8953</v>
      </c>
      <c r="I1909" s="131">
        <v>18</v>
      </c>
      <c r="J1909" t="s">
        <v>3533</v>
      </c>
      <c r="K1909" t="s">
        <v>95</v>
      </c>
      <c r="L1909" t="s">
        <v>123</v>
      </c>
      <c r="M1909" t="s">
        <v>103</v>
      </c>
      <c r="N1909" t="s">
        <v>101</v>
      </c>
      <c r="O1909" t="s">
        <v>1345</v>
      </c>
    </row>
    <row r="1910" spans="1:15" x14ac:dyDescent="0.3">
      <c r="A1910" s="130">
        <v>9902</v>
      </c>
      <c r="B1910" s="130">
        <v>30</v>
      </c>
      <c r="C1910" s="130" t="s">
        <v>3534</v>
      </c>
      <c r="D1910">
        <v>15277</v>
      </c>
      <c r="E1910" s="130">
        <v>44319688</v>
      </c>
      <c r="F1910" t="s">
        <v>87</v>
      </c>
      <c r="G1910">
        <v>9135</v>
      </c>
      <c r="H1910" t="s">
        <v>8951</v>
      </c>
      <c r="I1910" s="130">
        <v>18</v>
      </c>
      <c r="J1910" t="s">
        <v>3534</v>
      </c>
      <c r="K1910" t="s">
        <v>95</v>
      </c>
      <c r="L1910" t="s">
        <v>123</v>
      </c>
      <c r="M1910" t="s">
        <v>103</v>
      </c>
      <c r="N1910" t="s">
        <v>101</v>
      </c>
      <c r="O1910" t="s">
        <v>1345</v>
      </c>
    </row>
    <row r="1911" spans="1:15" x14ac:dyDescent="0.3">
      <c r="A1911" s="130">
        <v>9903</v>
      </c>
      <c r="B1911" s="130">
        <v>30</v>
      </c>
      <c r="C1911" s="130" t="s">
        <v>3535</v>
      </c>
      <c r="D1911">
        <v>15278</v>
      </c>
      <c r="E1911" s="131">
        <v>44319688</v>
      </c>
      <c r="F1911" t="s">
        <v>87</v>
      </c>
      <c r="G1911">
        <v>9135</v>
      </c>
      <c r="H1911" t="s">
        <v>8952</v>
      </c>
      <c r="I1911" s="130">
        <v>18</v>
      </c>
      <c r="J1911" t="s">
        <v>3535</v>
      </c>
      <c r="K1911" t="s">
        <v>95</v>
      </c>
      <c r="L1911" t="s">
        <v>123</v>
      </c>
      <c r="M1911" t="s">
        <v>103</v>
      </c>
      <c r="N1911" t="s">
        <v>101</v>
      </c>
      <c r="O1911" t="s">
        <v>1345</v>
      </c>
    </row>
    <row r="1912" spans="1:15" x14ac:dyDescent="0.3">
      <c r="A1912" s="130">
        <v>9904</v>
      </c>
      <c r="B1912" s="130">
        <v>30</v>
      </c>
      <c r="C1912" s="130" t="s">
        <v>3536</v>
      </c>
      <c r="D1912">
        <v>15279</v>
      </c>
      <c r="E1912" s="130">
        <v>44319688</v>
      </c>
      <c r="F1912" t="s">
        <v>87</v>
      </c>
      <c r="G1912">
        <v>9135</v>
      </c>
      <c r="H1912" t="s">
        <v>8953</v>
      </c>
      <c r="I1912" s="131">
        <v>18</v>
      </c>
      <c r="J1912" t="s">
        <v>3536</v>
      </c>
      <c r="K1912" t="s">
        <v>95</v>
      </c>
      <c r="L1912" t="s">
        <v>123</v>
      </c>
      <c r="M1912" t="s">
        <v>103</v>
      </c>
      <c r="N1912" t="s">
        <v>101</v>
      </c>
      <c r="O1912" t="s">
        <v>1345</v>
      </c>
    </row>
    <row r="1913" spans="1:15" x14ac:dyDescent="0.3">
      <c r="A1913" s="130">
        <v>9905</v>
      </c>
      <c r="B1913" s="130">
        <v>30</v>
      </c>
      <c r="C1913" s="130" t="s">
        <v>3537</v>
      </c>
      <c r="D1913">
        <v>15280</v>
      </c>
      <c r="E1913" s="130">
        <v>44319688</v>
      </c>
      <c r="F1913" t="s">
        <v>87</v>
      </c>
      <c r="G1913">
        <v>9135</v>
      </c>
      <c r="H1913" t="s">
        <v>8951</v>
      </c>
      <c r="I1913" s="131">
        <v>18</v>
      </c>
      <c r="J1913" t="s">
        <v>3537</v>
      </c>
      <c r="K1913" t="s">
        <v>95</v>
      </c>
      <c r="L1913" t="s">
        <v>123</v>
      </c>
      <c r="M1913" t="s">
        <v>103</v>
      </c>
      <c r="N1913" t="s">
        <v>101</v>
      </c>
      <c r="O1913" t="s">
        <v>1345</v>
      </c>
    </row>
    <row r="1914" spans="1:15" x14ac:dyDescent="0.3">
      <c r="A1914" s="130">
        <v>9906</v>
      </c>
      <c r="B1914" s="130">
        <v>30</v>
      </c>
      <c r="C1914" s="130" t="s">
        <v>3538</v>
      </c>
      <c r="D1914">
        <v>15281</v>
      </c>
      <c r="E1914" s="130">
        <v>44319688</v>
      </c>
      <c r="F1914" t="s">
        <v>87</v>
      </c>
      <c r="G1914">
        <v>9135</v>
      </c>
      <c r="H1914" t="s">
        <v>8952</v>
      </c>
      <c r="I1914" s="131">
        <v>18</v>
      </c>
      <c r="J1914" t="s">
        <v>3538</v>
      </c>
      <c r="K1914" t="s">
        <v>95</v>
      </c>
      <c r="L1914" t="s">
        <v>123</v>
      </c>
      <c r="M1914" t="s">
        <v>103</v>
      </c>
      <c r="N1914" t="s">
        <v>101</v>
      </c>
      <c r="O1914" t="s">
        <v>1345</v>
      </c>
    </row>
    <row r="1915" spans="1:15" x14ac:dyDescent="0.3">
      <c r="A1915" s="130">
        <v>9920</v>
      </c>
      <c r="B1915" s="130">
        <v>18</v>
      </c>
      <c r="C1915" s="130" t="s">
        <v>3539</v>
      </c>
      <c r="D1915">
        <v>15308</v>
      </c>
      <c r="E1915" s="130">
        <v>2250663</v>
      </c>
      <c r="F1915" t="s">
        <v>87</v>
      </c>
      <c r="G1915">
        <v>358</v>
      </c>
      <c r="H1915" t="s">
        <v>8953</v>
      </c>
      <c r="I1915" s="131">
        <v>10</v>
      </c>
      <c r="J1915" t="s">
        <v>3539</v>
      </c>
      <c r="K1915" t="s">
        <v>108</v>
      </c>
      <c r="L1915" t="s">
        <v>105</v>
      </c>
      <c r="M1915" t="s">
        <v>112</v>
      </c>
      <c r="N1915" t="s">
        <v>98</v>
      </c>
      <c r="O1915" t="s">
        <v>116</v>
      </c>
    </row>
    <row r="1916" spans="1:15" x14ac:dyDescent="0.3">
      <c r="A1916" s="130">
        <v>9948</v>
      </c>
      <c r="B1916" s="130">
        <v>30</v>
      </c>
      <c r="C1916" s="130" t="s">
        <v>3540</v>
      </c>
      <c r="D1916">
        <v>15346</v>
      </c>
      <c r="E1916" s="130">
        <v>13623957</v>
      </c>
      <c r="F1916" t="s">
        <v>87</v>
      </c>
      <c r="G1916">
        <v>9135</v>
      </c>
      <c r="H1916" t="s">
        <v>8951</v>
      </c>
      <c r="I1916" s="131">
        <v>18</v>
      </c>
      <c r="J1916" t="s">
        <v>3540</v>
      </c>
      <c r="K1916" t="s">
        <v>95</v>
      </c>
      <c r="L1916" t="s">
        <v>111</v>
      </c>
      <c r="M1916" t="s">
        <v>103</v>
      </c>
      <c r="N1916" t="s">
        <v>98</v>
      </c>
      <c r="O1916" t="s">
        <v>116</v>
      </c>
    </row>
    <row r="1917" spans="1:15" x14ac:dyDescent="0.3">
      <c r="A1917" s="130">
        <v>9962</v>
      </c>
      <c r="B1917" s="130">
        <v>10</v>
      </c>
      <c r="C1917" s="130" t="s">
        <v>3541</v>
      </c>
      <c r="D1917">
        <v>15363</v>
      </c>
      <c r="E1917" s="130">
        <v>22705423</v>
      </c>
      <c r="F1917" t="s">
        <v>87</v>
      </c>
      <c r="G1917">
        <v>9135</v>
      </c>
      <c r="H1917" t="s">
        <v>8952</v>
      </c>
      <c r="I1917" s="130">
        <v>18</v>
      </c>
      <c r="J1917" t="s">
        <v>3541</v>
      </c>
      <c r="K1917" t="s">
        <v>108</v>
      </c>
      <c r="L1917" t="s">
        <v>111</v>
      </c>
      <c r="M1917" t="s">
        <v>133</v>
      </c>
      <c r="N1917" t="s">
        <v>98</v>
      </c>
      <c r="O1917" t="s">
        <v>116</v>
      </c>
    </row>
    <row r="1918" spans="1:15" x14ac:dyDescent="0.3">
      <c r="A1918" s="130">
        <v>9976</v>
      </c>
      <c r="B1918" s="130">
        <v>30</v>
      </c>
      <c r="C1918" s="130" t="s">
        <v>3542</v>
      </c>
      <c r="D1918">
        <v>15380</v>
      </c>
      <c r="E1918" s="130">
        <v>27865757</v>
      </c>
      <c r="F1918" t="s">
        <v>87</v>
      </c>
      <c r="G1918">
        <v>77</v>
      </c>
      <c r="H1918" t="s">
        <v>8953</v>
      </c>
      <c r="I1918" s="130">
        <v>18</v>
      </c>
      <c r="J1918" t="s">
        <v>3542</v>
      </c>
      <c r="K1918" t="s">
        <v>95</v>
      </c>
      <c r="L1918" t="s">
        <v>235</v>
      </c>
      <c r="M1918" t="s">
        <v>103</v>
      </c>
      <c r="N1918" t="s">
        <v>107</v>
      </c>
      <c r="O1918" t="s">
        <v>1345</v>
      </c>
    </row>
    <row r="1919" spans="1:15" x14ac:dyDescent="0.3">
      <c r="A1919" s="130">
        <v>9978</v>
      </c>
      <c r="B1919" s="130">
        <v>30</v>
      </c>
      <c r="C1919" s="130" t="s">
        <v>3543</v>
      </c>
      <c r="D1919">
        <v>15381</v>
      </c>
      <c r="E1919" s="131">
        <v>22475574</v>
      </c>
      <c r="F1919" t="s">
        <v>87</v>
      </c>
      <c r="G1919">
        <v>9135</v>
      </c>
      <c r="H1919" t="s">
        <v>8951</v>
      </c>
      <c r="I1919" s="131">
        <v>19</v>
      </c>
      <c r="J1919" t="s">
        <v>3543</v>
      </c>
      <c r="K1919" t="s">
        <v>108</v>
      </c>
      <c r="L1919" t="s">
        <v>146</v>
      </c>
      <c r="M1919" t="s">
        <v>103</v>
      </c>
      <c r="N1919" t="s">
        <v>169</v>
      </c>
      <c r="O1919" t="s">
        <v>1345</v>
      </c>
    </row>
    <row r="1920" spans="1:15" x14ac:dyDescent="0.3">
      <c r="A1920" s="130">
        <v>9979</v>
      </c>
      <c r="B1920" s="130">
        <v>18</v>
      </c>
      <c r="C1920" s="130" t="s">
        <v>3544</v>
      </c>
      <c r="D1920">
        <v>15382</v>
      </c>
      <c r="E1920" s="130">
        <v>1294551</v>
      </c>
      <c r="F1920" t="s">
        <v>87</v>
      </c>
      <c r="G1920">
        <v>9135</v>
      </c>
      <c r="H1920" t="s">
        <v>8952</v>
      </c>
      <c r="I1920" s="130">
        <v>10</v>
      </c>
      <c r="J1920" t="s">
        <v>3544</v>
      </c>
      <c r="K1920" t="s">
        <v>95</v>
      </c>
      <c r="L1920" t="s">
        <v>127</v>
      </c>
      <c r="M1920" t="s">
        <v>112</v>
      </c>
      <c r="N1920" t="s">
        <v>118</v>
      </c>
      <c r="O1920" t="s">
        <v>1345</v>
      </c>
    </row>
    <row r="1921" spans="1:15" x14ac:dyDescent="0.3">
      <c r="A1921" s="130">
        <v>9981</v>
      </c>
      <c r="B1921" s="130">
        <v>10</v>
      </c>
      <c r="C1921" s="130" t="s">
        <v>3545</v>
      </c>
      <c r="D1921">
        <v>15121</v>
      </c>
      <c r="E1921" s="131">
        <v>779721</v>
      </c>
      <c r="F1921" t="s">
        <v>87</v>
      </c>
      <c r="G1921">
        <v>9135</v>
      </c>
      <c r="H1921" t="s">
        <v>8953</v>
      </c>
      <c r="I1921" s="131">
        <v>18</v>
      </c>
      <c r="J1921" t="s">
        <v>3545</v>
      </c>
      <c r="K1921" t="s">
        <v>108</v>
      </c>
      <c r="L1921" t="s">
        <v>123</v>
      </c>
      <c r="M1921" t="s">
        <v>133</v>
      </c>
      <c r="N1921" t="s">
        <v>152</v>
      </c>
      <c r="O1921" t="s">
        <v>1345</v>
      </c>
    </row>
    <row r="1922" spans="1:15" x14ac:dyDescent="0.3">
      <c r="A1922" s="130">
        <v>9987</v>
      </c>
      <c r="B1922" s="130">
        <v>30</v>
      </c>
      <c r="C1922" s="130" t="s">
        <v>3546</v>
      </c>
      <c r="D1922">
        <v>15391</v>
      </c>
      <c r="E1922" s="130">
        <v>24649541</v>
      </c>
      <c r="F1922" t="s">
        <v>87</v>
      </c>
      <c r="G1922">
        <v>9135</v>
      </c>
      <c r="H1922" t="s">
        <v>8951</v>
      </c>
      <c r="I1922" s="130">
        <v>18</v>
      </c>
      <c r="J1922" t="s">
        <v>3546</v>
      </c>
      <c r="K1922" t="s">
        <v>95</v>
      </c>
      <c r="L1922" t="s">
        <v>123</v>
      </c>
      <c r="M1922" t="s">
        <v>103</v>
      </c>
      <c r="N1922" t="s">
        <v>98</v>
      </c>
      <c r="O1922" t="s">
        <v>1345</v>
      </c>
    </row>
    <row r="1923" spans="1:15" x14ac:dyDescent="0.3">
      <c r="A1923" s="130">
        <v>9999</v>
      </c>
      <c r="B1923" s="130">
        <v>10</v>
      </c>
      <c r="C1923" s="130" t="s">
        <v>3547</v>
      </c>
      <c r="D1923">
        <v>15410</v>
      </c>
      <c r="E1923" s="130">
        <v>4737552</v>
      </c>
      <c r="F1923" t="s">
        <v>87</v>
      </c>
      <c r="G1923">
        <v>358</v>
      </c>
      <c r="H1923" t="s">
        <v>8952</v>
      </c>
      <c r="I1923" s="130">
        <v>3</v>
      </c>
      <c r="J1923" t="s">
        <v>3547</v>
      </c>
      <c r="K1923" t="s">
        <v>108</v>
      </c>
      <c r="L1923" t="s">
        <v>109</v>
      </c>
      <c r="M1923" t="s">
        <v>133</v>
      </c>
      <c r="N1923" t="s">
        <v>101</v>
      </c>
      <c r="O1923" t="s">
        <v>116</v>
      </c>
    </row>
    <row r="1924" spans="1:15" x14ac:dyDescent="0.3">
      <c r="A1924" s="130">
        <v>10001</v>
      </c>
      <c r="B1924" s="130">
        <v>28</v>
      </c>
      <c r="C1924" s="130" t="s">
        <v>3548</v>
      </c>
      <c r="D1924">
        <v>15414</v>
      </c>
      <c r="E1924" s="130">
        <v>42699600</v>
      </c>
      <c r="F1924" t="s">
        <v>87</v>
      </c>
      <c r="G1924">
        <v>9135</v>
      </c>
      <c r="H1924" t="s">
        <v>8953</v>
      </c>
      <c r="I1924" s="130">
        <v>24</v>
      </c>
      <c r="J1924" t="s">
        <v>3548</v>
      </c>
      <c r="K1924" t="s">
        <v>95</v>
      </c>
      <c r="L1924" t="s">
        <v>191</v>
      </c>
      <c r="M1924" t="s">
        <v>130</v>
      </c>
      <c r="N1924" t="s">
        <v>98</v>
      </c>
      <c r="O1924" t="s">
        <v>116</v>
      </c>
    </row>
    <row r="1925" spans="1:15" x14ac:dyDescent="0.3">
      <c r="A1925" s="130">
        <v>10005</v>
      </c>
      <c r="B1925" s="130">
        <v>0</v>
      </c>
      <c r="C1925" s="130" t="s">
        <v>3549</v>
      </c>
      <c r="D1925">
        <v>15422</v>
      </c>
      <c r="E1925" s="130">
        <v>8679666</v>
      </c>
      <c r="F1925" t="s">
        <v>87</v>
      </c>
      <c r="G1925">
        <v>9135</v>
      </c>
      <c r="H1925" t="s">
        <v>8951</v>
      </c>
      <c r="I1925" s="130">
        <v>10</v>
      </c>
      <c r="J1925" t="s">
        <v>3549</v>
      </c>
      <c r="K1925" t="s">
        <v>108</v>
      </c>
      <c r="L1925" t="s">
        <v>203</v>
      </c>
      <c r="M1925" t="s">
        <v>100</v>
      </c>
      <c r="N1925" t="s">
        <v>107</v>
      </c>
      <c r="O1925" t="s">
        <v>1256</v>
      </c>
    </row>
    <row r="1926" spans="1:15" x14ac:dyDescent="0.3">
      <c r="A1926" s="130">
        <v>10010</v>
      </c>
      <c r="B1926" s="130">
        <v>31</v>
      </c>
      <c r="C1926" s="130" t="s">
        <v>3550</v>
      </c>
      <c r="D1926">
        <v>15430</v>
      </c>
      <c r="E1926" s="131">
        <v>10736565</v>
      </c>
      <c r="F1926" t="s">
        <v>87</v>
      </c>
      <c r="G1926">
        <v>9135</v>
      </c>
      <c r="H1926" t="s">
        <v>8952</v>
      </c>
      <c r="I1926" s="130">
        <v>9</v>
      </c>
      <c r="J1926" t="s">
        <v>3550</v>
      </c>
      <c r="K1926" t="s">
        <v>95</v>
      </c>
      <c r="L1926" t="s">
        <v>125</v>
      </c>
      <c r="M1926" t="s">
        <v>1266</v>
      </c>
      <c r="N1926" t="s">
        <v>114</v>
      </c>
      <c r="O1926" t="s">
        <v>1345</v>
      </c>
    </row>
    <row r="1927" spans="1:15" x14ac:dyDescent="0.3">
      <c r="A1927" s="130">
        <v>10013</v>
      </c>
      <c r="B1927" s="130">
        <v>30</v>
      </c>
      <c r="C1927" s="130" t="s">
        <v>3551</v>
      </c>
      <c r="D1927">
        <v>15435</v>
      </c>
      <c r="E1927" s="130">
        <v>17469701</v>
      </c>
      <c r="F1927" t="s">
        <v>87</v>
      </c>
      <c r="G1927">
        <v>358</v>
      </c>
      <c r="H1927" t="s">
        <v>8953</v>
      </c>
      <c r="I1927" s="130">
        <v>3</v>
      </c>
      <c r="J1927" t="s">
        <v>3551</v>
      </c>
      <c r="K1927" t="s">
        <v>95</v>
      </c>
      <c r="L1927" t="s">
        <v>109</v>
      </c>
      <c r="M1927" t="s">
        <v>103</v>
      </c>
      <c r="N1927" t="s">
        <v>114</v>
      </c>
      <c r="O1927" t="s">
        <v>1345</v>
      </c>
    </row>
    <row r="1928" spans="1:15" x14ac:dyDescent="0.3">
      <c r="A1928" s="130">
        <v>10014</v>
      </c>
      <c r="B1928" s="130">
        <v>10</v>
      </c>
      <c r="C1928" s="130" t="s">
        <v>3552</v>
      </c>
      <c r="D1928">
        <v>15439</v>
      </c>
      <c r="E1928" s="131">
        <v>4737552</v>
      </c>
      <c r="F1928" t="s">
        <v>87</v>
      </c>
      <c r="G1928">
        <v>358</v>
      </c>
      <c r="H1928" t="s">
        <v>8951</v>
      </c>
      <c r="I1928" s="130">
        <v>3</v>
      </c>
      <c r="J1928" t="s">
        <v>3552</v>
      </c>
      <c r="K1928" t="s">
        <v>108</v>
      </c>
      <c r="L1928" t="s">
        <v>109</v>
      </c>
      <c r="M1928" t="s">
        <v>133</v>
      </c>
      <c r="N1928" t="s">
        <v>101</v>
      </c>
      <c r="O1928" t="s">
        <v>1345</v>
      </c>
    </row>
    <row r="1929" spans="1:15" x14ac:dyDescent="0.3">
      <c r="A1929" s="130">
        <v>10017</v>
      </c>
      <c r="B1929" s="130">
        <v>30</v>
      </c>
      <c r="C1929" s="130" t="s">
        <v>3553</v>
      </c>
      <c r="D1929">
        <v>15444</v>
      </c>
      <c r="E1929" s="130">
        <v>26243219</v>
      </c>
      <c r="F1929" t="s">
        <v>87</v>
      </c>
      <c r="G1929">
        <v>9135</v>
      </c>
      <c r="H1929" t="s">
        <v>8952</v>
      </c>
      <c r="I1929" s="130">
        <v>19</v>
      </c>
      <c r="J1929" t="s">
        <v>3553</v>
      </c>
      <c r="K1929" t="s">
        <v>108</v>
      </c>
      <c r="L1929" t="s">
        <v>146</v>
      </c>
      <c r="M1929" t="s">
        <v>103</v>
      </c>
      <c r="N1929" t="s">
        <v>169</v>
      </c>
      <c r="O1929" t="s">
        <v>1345</v>
      </c>
    </row>
    <row r="1930" spans="1:15" x14ac:dyDescent="0.3">
      <c r="A1930" s="130">
        <v>10018</v>
      </c>
      <c r="B1930" s="130">
        <v>30</v>
      </c>
      <c r="C1930" s="130" t="s">
        <v>3554</v>
      </c>
      <c r="D1930">
        <v>15445</v>
      </c>
      <c r="E1930" s="131">
        <v>1623434</v>
      </c>
      <c r="F1930" t="s">
        <v>87</v>
      </c>
      <c r="G1930">
        <v>9135</v>
      </c>
      <c r="H1930" t="s">
        <v>8953</v>
      </c>
      <c r="I1930" s="130">
        <v>3</v>
      </c>
      <c r="J1930" t="s">
        <v>3554</v>
      </c>
      <c r="K1930" t="s">
        <v>108</v>
      </c>
      <c r="L1930" t="s">
        <v>111</v>
      </c>
      <c r="M1930" t="s">
        <v>103</v>
      </c>
      <c r="N1930" t="s">
        <v>98</v>
      </c>
      <c r="O1930" t="s">
        <v>1345</v>
      </c>
    </row>
    <row r="1931" spans="1:15" x14ac:dyDescent="0.3">
      <c r="A1931" s="130">
        <v>10027</v>
      </c>
      <c r="B1931" s="130">
        <v>18</v>
      </c>
      <c r="C1931" s="130" t="s">
        <v>3555</v>
      </c>
      <c r="D1931">
        <v>15459</v>
      </c>
      <c r="E1931" s="130">
        <v>4612844</v>
      </c>
      <c r="F1931" t="s">
        <v>87</v>
      </c>
      <c r="G1931">
        <v>9135</v>
      </c>
      <c r="H1931" t="s">
        <v>8951</v>
      </c>
      <c r="I1931" s="130">
        <v>3</v>
      </c>
      <c r="J1931" t="s">
        <v>3555</v>
      </c>
      <c r="K1931" t="s">
        <v>108</v>
      </c>
      <c r="L1931" t="s">
        <v>111</v>
      </c>
      <c r="M1931" t="s">
        <v>112</v>
      </c>
      <c r="N1931" t="s">
        <v>98</v>
      </c>
      <c r="O1931" t="s">
        <v>1345</v>
      </c>
    </row>
    <row r="1932" spans="1:15" x14ac:dyDescent="0.3">
      <c r="A1932" s="130">
        <v>10028</v>
      </c>
      <c r="B1932" s="130">
        <v>10</v>
      </c>
      <c r="C1932" s="130" t="s">
        <v>3556</v>
      </c>
      <c r="D1932">
        <v>15460</v>
      </c>
      <c r="E1932" s="131">
        <v>32754270</v>
      </c>
      <c r="F1932" t="s">
        <v>87</v>
      </c>
      <c r="G1932">
        <v>358</v>
      </c>
      <c r="H1932" t="s">
        <v>8952</v>
      </c>
      <c r="I1932" s="131">
        <v>3</v>
      </c>
      <c r="J1932" t="s">
        <v>3556</v>
      </c>
      <c r="K1932" t="s">
        <v>108</v>
      </c>
      <c r="L1932" t="s">
        <v>109</v>
      </c>
      <c r="M1932" t="s">
        <v>133</v>
      </c>
      <c r="N1932" t="s">
        <v>150</v>
      </c>
      <c r="O1932" t="s">
        <v>1345</v>
      </c>
    </row>
    <row r="1933" spans="1:15" x14ac:dyDescent="0.3">
      <c r="A1933" s="130">
        <v>10031</v>
      </c>
      <c r="B1933" s="130" t="s">
        <v>229</v>
      </c>
      <c r="C1933" s="130" t="s">
        <v>3557</v>
      </c>
      <c r="D1933">
        <v>15268</v>
      </c>
      <c r="E1933" s="131">
        <v>25290339</v>
      </c>
      <c r="F1933" t="s">
        <v>87</v>
      </c>
      <c r="G1933">
        <v>9135</v>
      </c>
      <c r="H1933" t="s">
        <v>8953</v>
      </c>
      <c r="I1933" s="130">
        <v>9</v>
      </c>
      <c r="J1933" t="s">
        <v>3557</v>
      </c>
      <c r="K1933" t="s">
        <v>108</v>
      </c>
      <c r="L1933" t="s">
        <v>120</v>
      </c>
      <c r="M1933" t="s">
        <v>230</v>
      </c>
      <c r="N1933" t="s">
        <v>98</v>
      </c>
      <c r="O1933" t="s">
        <v>1256</v>
      </c>
    </row>
    <row r="1934" spans="1:15" x14ac:dyDescent="0.3">
      <c r="A1934" s="130">
        <v>10032</v>
      </c>
      <c r="B1934" s="130">
        <v>30</v>
      </c>
      <c r="C1934" s="130" t="s">
        <v>3558</v>
      </c>
      <c r="D1934">
        <v>15466</v>
      </c>
      <c r="E1934" s="131">
        <v>8117778</v>
      </c>
      <c r="F1934" t="s">
        <v>87</v>
      </c>
      <c r="G1934">
        <v>9135</v>
      </c>
      <c r="H1934" t="s">
        <v>8951</v>
      </c>
      <c r="I1934" s="131">
        <v>19</v>
      </c>
      <c r="J1934" t="s">
        <v>3558</v>
      </c>
      <c r="K1934" t="s">
        <v>108</v>
      </c>
      <c r="L1934" t="s">
        <v>146</v>
      </c>
      <c r="M1934" t="s">
        <v>103</v>
      </c>
      <c r="N1934" t="s">
        <v>98</v>
      </c>
      <c r="O1934" t="s">
        <v>116</v>
      </c>
    </row>
    <row r="1935" spans="1:15" x14ac:dyDescent="0.3">
      <c r="A1935" s="130">
        <v>10033</v>
      </c>
      <c r="B1935" s="130">
        <v>60</v>
      </c>
      <c r="C1935" s="130" t="s">
        <v>3559</v>
      </c>
      <c r="D1935">
        <v>15468</v>
      </c>
      <c r="E1935" s="130">
        <v>17162983</v>
      </c>
      <c r="F1935" t="s">
        <v>87</v>
      </c>
      <c r="G1935">
        <v>9135</v>
      </c>
      <c r="H1935" t="s">
        <v>8952</v>
      </c>
      <c r="I1935" s="131">
        <v>10</v>
      </c>
      <c r="J1935" t="s">
        <v>3559</v>
      </c>
      <c r="K1935" t="s">
        <v>95</v>
      </c>
      <c r="L1935" t="s">
        <v>105</v>
      </c>
      <c r="M1935" t="s">
        <v>97</v>
      </c>
      <c r="N1935" t="s">
        <v>98</v>
      </c>
      <c r="O1935" t="s">
        <v>1345</v>
      </c>
    </row>
    <row r="1936" spans="1:15" x14ac:dyDescent="0.3">
      <c r="A1936" s="130">
        <v>10042</v>
      </c>
      <c r="B1936" s="130">
        <v>30</v>
      </c>
      <c r="C1936" s="130" t="s">
        <v>3560</v>
      </c>
      <c r="D1936">
        <v>15482</v>
      </c>
      <c r="E1936" s="131">
        <v>33000167</v>
      </c>
      <c r="F1936" t="s">
        <v>87</v>
      </c>
      <c r="G1936">
        <v>9135</v>
      </c>
      <c r="H1936" t="s">
        <v>8953</v>
      </c>
      <c r="I1936" s="130">
        <v>24</v>
      </c>
      <c r="J1936" t="s">
        <v>3560</v>
      </c>
      <c r="K1936" t="s">
        <v>95</v>
      </c>
      <c r="L1936" t="s">
        <v>102</v>
      </c>
      <c r="M1936" t="s">
        <v>103</v>
      </c>
      <c r="N1936" t="s">
        <v>114</v>
      </c>
      <c r="O1936" t="s">
        <v>1345</v>
      </c>
    </row>
    <row r="1937" spans="1:15" x14ac:dyDescent="0.3">
      <c r="A1937" s="130">
        <v>10050</v>
      </c>
      <c r="B1937" s="130">
        <v>18</v>
      </c>
      <c r="C1937" s="130" t="s">
        <v>3561</v>
      </c>
      <c r="D1937">
        <v>15486</v>
      </c>
      <c r="E1937" s="130">
        <v>18225557</v>
      </c>
      <c r="F1937" t="s">
        <v>87</v>
      </c>
      <c r="G1937">
        <v>358</v>
      </c>
      <c r="H1937" t="s">
        <v>8951</v>
      </c>
      <c r="I1937" s="131">
        <v>10</v>
      </c>
      <c r="J1937" t="s">
        <v>3561</v>
      </c>
      <c r="K1937" t="s">
        <v>108</v>
      </c>
      <c r="L1937" t="s">
        <v>105</v>
      </c>
      <c r="M1937" t="s">
        <v>112</v>
      </c>
      <c r="N1937" t="s">
        <v>98</v>
      </c>
      <c r="O1937" t="s">
        <v>1345</v>
      </c>
    </row>
    <row r="1938" spans="1:15" x14ac:dyDescent="0.3">
      <c r="A1938" s="130">
        <v>10054</v>
      </c>
      <c r="B1938" s="130">
        <v>30</v>
      </c>
      <c r="C1938" s="130" t="s">
        <v>3562</v>
      </c>
      <c r="D1938">
        <v>15492</v>
      </c>
      <c r="E1938" s="130">
        <v>44319688</v>
      </c>
      <c r="F1938" t="s">
        <v>87</v>
      </c>
      <c r="G1938">
        <v>9135</v>
      </c>
      <c r="H1938" t="s">
        <v>8952</v>
      </c>
      <c r="I1938" s="130">
        <v>18</v>
      </c>
      <c r="J1938" t="s">
        <v>3562</v>
      </c>
      <c r="K1938" t="s">
        <v>95</v>
      </c>
      <c r="L1938" t="s">
        <v>123</v>
      </c>
      <c r="M1938" t="s">
        <v>103</v>
      </c>
      <c r="N1938" t="s">
        <v>101</v>
      </c>
      <c r="O1938" t="s">
        <v>1345</v>
      </c>
    </row>
    <row r="1939" spans="1:15" x14ac:dyDescent="0.3">
      <c r="A1939" s="130">
        <v>10060</v>
      </c>
      <c r="B1939" s="130">
        <v>30</v>
      </c>
      <c r="C1939" s="130" t="s">
        <v>3563</v>
      </c>
      <c r="D1939">
        <v>15512</v>
      </c>
      <c r="E1939" s="130">
        <v>17155391</v>
      </c>
      <c r="F1939" t="s">
        <v>87</v>
      </c>
      <c r="G1939">
        <v>358</v>
      </c>
      <c r="H1939" t="s">
        <v>8953</v>
      </c>
      <c r="I1939" s="131">
        <v>10</v>
      </c>
      <c r="J1939" t="s">
        <v>3563</v>
      </c>
      <c r="K1939" t="s">
        <v>95</v>
      </c>
      <c r="L1939" t="s">
        <v>105</v>
      </c>
      <c r="M1939" t="s">
        <v>103</v>
      </c>
      <c r="N1939" t="s">
        <v>98</v>
      </c>
      <c r="O1939" t="s">
        <v>1345</v>
      </c>
    </row>
    <row r="1940" spans="1:15" x14ac:dyDescent="0.3">
      <c r="A1940" s="130">
        <v>10061</v>
      </c>
      <c r="B1940" s="130">
        <v>30</v>
      </c>
      <c r="C1940" s="130" t="s">
        <v>3564</v>
      </c>
      <c r="D1940">
        <v>15511</v>
      </c>
      <c r="E1940" s="130">
        <v>1157555</v>
      </c>
      <c r="F1940" t="s">
        <v>87</v>
      </c>
      <c r="G1940">
        <v>9135</v>
      </c>
      <c r="H1940" t="s">
        <v>8951</v>
      </c>
      <c r="I1940" s="130">
        <v>37</v>
      </c>
      <c r="J1940" t="s">
        <v>3564</v>
      </c>
      <c r="K1940" t="s">
        <v>95</v>
      </c>
      <c r="L1940" t="s">
        <v>138</v>
      </c>
      <c r="M1940" t="s">
        <v>103</v>
      </c>
      <c r="N1940" t="s">
        <v>101</v>
      </c>
      <c r="O1940" t="s">
        <v>1345</v>
      </c>
    </row>
    <row r="1941" spans="1:15" x14ac:dyDescent="0.3">
      <c r="A1941" s="130">
        <v>10091</v>
      </c>
      <c r="B1941" s="130">
        <v>18</v>
      </c>
      <c r="C1941" s="130" t="s">
        <v>3565</v>
      </c>
      <c r="D1941">
        <v>15544</v>
      </c>
      <c r="E1941" s="131">
        <v>10279488</v>
      </c>
      <c r="F1941" t="s">
        <v>87</v>
      </c>
      <c r="G1941">
        <v>9135</v>
      </c>
      <c r="H1941" t="s">
        <v>8952</v>
      </c>
      <c r="I1941" s="131">
        <v>37</v>
      </c>
      <c r="J1941" t="s">
        <v>3565</v>
      </c>
      <c r="K1941" t="s">
        <v>95</v>
      </c>
      <c r="L1941" t="s">
        <v>138</v>
      </c>
      <c r="M1941" t="s">
        <v>112</v>
      </c>
      <c r="N1941" t="s">
        <v>114</v>
      </c>
      <c r="O1941" t="s">
        <v>1345</v>
      </c>
    </row>
    <row r="1942" spans="1:15" x14ac:dyDescent="0.3">
      <c r="A1942" s="130">
        <v>10096</v>
      </c>
      <c r="B1942" s="130">
        <v>30</v>
      </c>
      <c r="C1942" s="130" t="s">
        <v>3566</v>
      </c>
      <c r="D1942">
        <v>15550</v>
      </c>
      <c r="E1942" s="131">
        <v>33010786</v>
      </c>
      <c r="F1942" t="s">
        <v>87</v>
      </c>
      <c r="G1942">
        <v>9135</v>
      </c>
      <c r="H1942" t="s">
        <v>8953</v>
      </c>
      <c r="I1942" s="131">
        <v>24</v>
      </c>
      <c r="J1942" t="s">
        <v>3566</v>
      </c>
      <c r="K1942" t="s">
        <v>108</v>
      </c>
      <c r="L1942" t="s">
        <v>191</v>
      </c>
      <c r="M1942" t="s">
        <v>103</v>
      </c>
      <c r="N1942" t="s">
        <v>141</v>
      </c>
      <c r="O1942" t="s">
        <v>1345</v>
      </c>
    </row>
    <row r="1943" spans="1:15" x14ac:dyDescent="0.3">
      <c r="A1943" s="130">
        <v>10103</v>
      </c>
      <c r="B1943" s="130">
        <v>18</v>
      </c>
      <c r="C1943" s="130" t="s">
        <v>3567</v>
      </c>
      <c r="D1943">
        <v>15557</v>
      </c>
      <c r="E1943" s="131">
        <v>8680836</v>
      </c>
      <c r="F1943" t="s">
        <v>87</v>
      </c>
      <c r="G1943">
        <v>9135</v>
      </c>
      <c r="H1943" t="s">
        <v>8951</v>
      </c>
      <c r="I1943" s="131">
        <v>26</v>
      </c>
      <c r="J1943" t="s">
        <v>3567</v>
      </c>
      <c r="K1943" t="s">
        <v>108</v>
      </c>
      <c r="L1943" t="s">
        <v>151</v>
      </c>
      <c r="M1943" t="s">
        <v>112</v>
      </c>
      <c r="N1943" t="s">
        <v>98</v>
      </c>
      <c r="O1943" t="s">
        <v>1345</v>
      </c>
    </row>
    <row r="1944" spans="1:15" x14ac:dyDescent="0.3">
      <c r="A1944" s="130">
        <v>10116</v>
      </c>
      <c r="B1944" s="130">
        <v>30</v>
      </c>
      <c r="C1944" s="130" t="s">
        <v>3568</v>
      </c>
      <c r="D1944">
        <v>15569</v>
      </c>
      <c r="E1944" s="131">
        <v>3992929</v>
      </c>
      <c r="F1944" t="s">
        <v>87</v>
      </c>
      <c r="G1944">
        <v>9135</v>
      </c>
      <c r="H1944" t="s">
        <v>8952</v>
      </c>
      <c r="I1944" s="131">
        <v>9</v>
      </c>
      <c r="J1944" t="s">
        <v>3568</v>
      </c>
      <c r="K1944" t="s">
        <v>95</v>
      </c>
      <c r="L1944" t="s">
        <v>163</v>
      </c>
      <c r="M1944" t="s">
        <v>103</v>
      </c>
      <c r="N1944" t="s">
        <v>98</v>
      </c>
      <c r="O1944" t="s">
        <v>1345</v>
      </c>
    </row>
    <row r="1945" spans="1:15" x14ac:dyDescent="0.3">
      <c r="A1945" s="130">
        <v>10117</v>
      </c>
      <c r="B1945" s="130">
        <v>10</v>
      </c>
      <c r="C1945" s="130" t="s">
        <v>3569</v>
      </c>
      <c r="D1945">
        <v>15570</v>
      </c>
      <c r="E1945" s="131">
        <v>17162983</v>
      </c>
      <c r="F1945" t="s">
        <v>87</v>
      </c>
      <c r="G1945">
        <v>358</v>
      </c>
      <c r="H1945" t="s">
        <v>8953</v>
      </c>
      <c r="I1945" s="130">
        <v>3</v>
      </c>
      <c r="J1945" t="s">
        <v>3569</v>
      </c>
      <c r="K1945" t="s">
        <v>95</v>
      </c>
      <c r="L1945" t="s">
        <v>109</v>
      </c>
      <c r="M1945" t="s">
        <v>133</v>
      </c>
      <c r="N1945" t="s">
        <v>98</v>
      </c>
      <c r="O1945" t="s">
        <v>1345</v>
      </c>
    </row>
    <row r="1946" spans="1:15" x14ac:dyDescent="0.3">
      <c r="A1946" s="130">
        <v>10123</v>
      </c>
      <c r="B1946" s="130">
        <v>30</v>
      </c>
      <c r="C1946" s="130" t="s">
        <v>3570</v>
      </c>
      <c r="D1946">
        <v>15576</v>
      </c>
      <c r="E1946" s="131">
        <v>4305071</v>
      </c>
      <c r="F1946" t="s">
        <v>87</v>
      </c>
      <c r="G1946">
        <v>9135</v>
      </c>
      <c r="H1946" t="s">
        <v>8951</v>
      </c>
      <c r="I1946" s="130">
        <v>3</v>
      </c>
      <c r="J1946" t="s">
        <v>3570</v>
      </c>
      <c r="K1946" t="s">
        <v>95</v>
      </c>
      <c r="L1946" t="s">
        <v>111</v>
      </c>
      <c r="M1946" t="s">
        <v>103</v>
      </c>
      <c r="N1946" t="s">
        <v>98</v>
      </c>
      <c r="O1946" t="s">
        <v>1345</v>
      </c>
    </row>
    <row r="1947" spans="1:15" x14ac:dyDescent="0.3">
      <c r="A1947" s="130">
        <v>10124</v>
      </c>
      <c r="B1947" s="130">
        <v>18</v>
      </c>
      <c r="C1947" s="130" t="s">
        <v>3571</v>
      </c>
      <c r="D1947">
        <v>15578</v>
      </c>
      <c r="E1947" s="130">
        <v>57991606</v>
      </c>
      <c r="F1947" t="s">
        <v>87</v>
      </c>
      <c r="G1947">
        <v>9135</v>
      </c>
      <c r="H1947" t="s">
        <v>8952</v>
      </c>
      <c r="I1947" s="130">
        <v>37</v>
      </c>
      <c r="J1947" t="s">
        <v>3571</v>
      </c>
      <c r="K1947" t="s">
        <v>95</v>
      </c>
      <c r="L1947" t="s">
        <v>138</v>
      </c>
      <c r="M1947" t="s">
        <v>112</v>
      </c>
      <c r="N1947" t="s">
        <v>98</v>
      </c>
      <c r="O1947" t="s">
        <v>1345</v>
      </c>
    </row>
    <row r="1948" spans="1:15" x14ac:dyDescent="0.3">
      <c r="A1948" s="130">
        <v>10125</v>
      </c>
      <c r="B1948" s="130">
        <v>18</v>
      </c>
      <c r="C1948" s="130" t="s">
        <v>3572</v>
      </c>
      <c r="D1948">
        <v>15579</v>
      </c>
      <c r="E1948" s="130">
        <v>3646245</v>
      </c>
      <c r="F1948" t="s">
        <v>87</v>
      </c>
      <c r="G1948">
        <v>9135</v>
      </c>
      <c r="H1948" t="s">
        <v>8953</v>
      </c>
      <c r="I1948" s="130">
        <v>19</v>
      </c>
      <c r="J1948" t="s">
        <v>3572</v>
      </c>
      <c r="K1948" t="s">
        <v>108</v>
      </c>
      <c r="L1948" t="s">
        <v>146</v>
      </c>
      <c r="M1948" t="s">
        <v>112</v>
      </c>
      <c r="N1948" t="s">
        <v>98</v>
      </c>
      <c r="O1948" t="s">
        <v>1345</v>
      </c>
    </row>
    <row r="1949" spans="1:15" x14ac:dyDescent="0.3">
      <c r="A1949" s="130">
        <v>10127</v>
      </c>
      <c r="B1949" s="130">
        <v>28</v>
      </c>
      <c r="C1949" s="130" t="s">
        <v>3573</v>
      </c>
      <c r="D1949">
        <v>15582</v>
      </c>
      <c r="E1949" s="130">
        <v>36146575</v>
      </c>
      <c r="F1949" t="s">
        <v>87</v>
      </c>
      <c r="G1949">
        <v>9135</v>
      </c>
      <c r="H1949" t="s">
        <v>8951</v>
      </c>
      <c r="I1949" s="130">
        <v>24</v>
      </c>
      <c r="J1949" t="s">
        <v>3573</v>
      </c>
      <c r="K1949" t="s">
        <v>95</v>
      </c>
      <c r="L1949" t="s">
        <v>138</v>
      </c>
      <c r="M1949" t="s">
        <v>130</v>
      </c>
      <c r="N1949" t="s">
        <v>114</v>
      </c>
      <c r="O1949" t="s">
        <v>116</v>
      </c>
    </row>
    <row r="1950" spans="1:15" x14ac:dyDescent="0.3">
      <c r="A1950" s="130">
        <v>10134</v>
      </c>
      <c r="B1950" s="130">
        <v>28</v>
      </c>
      <c r="C1950" s="130" t="s">
        <v>3574</v>
      </c>
      <c r="D1950">
        <v>15593</v>
      </c>
      <c r="E1950" s="131">
        <v>29117705</v>
      </c>
      <c r="F1950" t="s">
        <v>87</v>
      </c>
      <c r="G1950">
        <v>9135</v>
      </c>
      <c r="H1950" t="s">
        <v>8952</v>
      </c>
      <c r="I1950" s="130">
        <v>24</v>
      </c>
      <c r="J1950" t="s">
        <v>3574</v>
      </c>
      <c r="K1950" t="s">
        <v>95</v>
      </c>
      <c r="L1950" t="s">
        <v>144</v>
      </c>
      <c r="M1950" t="s">
        <v>130</v>
      </c>
      <c r="N1950" t="s">
        <v>98</v>
      </c>
      <c r="O1950" t="s">
        <v>1345</v>
      </c>
    </row>
    <row r="1951" spans="1:15" x14ac:dyDescent="0.3">
      <c r="A1951" s="130">
        <v>10137</v>
      </c>
      <c r="B1951" s="130">
        <v>30</v>
      </c>
      <c r="C1951" s="130" t="s">
        <v>3575</v>
      </c>
      <c r="D1951">
        <v>15600</v>
      </c>
      <c r="E1951" s="130">
        <v>3364572</v>
      </c>
      <c r="F1951" t="s">
        <v>87</v>
      </c>
      <c r="G1951">
        <v>358</v>
      </c>
      <c r="H1951" t="s">
        <v>8953</v>
      </c>
      <c r="I1951" s="130">
        <v>3</v>
      </c>
      <c r="J1951" t="s">
        <v>3575</v>
      </c>
      <c r="K1951" t="s">
        <v>108</v>
      </c>
      <c r="L1951" t="s">
        <v>1293</v>
      </c>
      <c r="M1951" t="s">
        <v>103</v>
      </c>
      <c r="N1951" t="s">
        <v>98</v>
      </c>
      <c r="O1951" t="s">
        <v>116</v>
      </c>
    </row>
    <row r="1952" spans="1:15" x14ac:dyDescent="0.3">
      <c r="A1952" s="130">
        <v>10144</v>
      </c>
      <c r="B1952" s="130">
        <v>30</v>
      </c>
      <c r="C1952" s="130" t="s">
        <v>3576</v>
      </c>
      <c r="D1952">
        <v>15607</v>
      </c>
      <c r="E1952" s="131">
        <v>5451496</v>
      </c>
      <c r="F1952" t="s">
        <v>87</v>
      </c>
      <c r="G1952">
        <v>9135</v>
      </c>
      <c r="H1952" t="s">
        <v>8951</v>
      </c>
      <c r="I1952" s="131">
        <v>19</v>
      </c>
      <c r="J1952" t="s">
        <v>3576</v>
      </c>
      <c r="K1952" t="s">
        <v>108</v>
      </c>
      <c r="L1952" t="s">
        <v>146</v>
      </c>
      <c r="M1952" t="s">
        <v>103</v>
      </c>
      <c r="N1952" t="s">
        <v>169</v>
      </c>
      <c r="O1952" t="s">
        <v>1345</v>
      </c>
    </row>
    <row r="1953" spans="1:15" x14ac:dyDescent="0.3">
      <c r="A1953" s="130">
        <v>10145</v>
      </c>
      <c r="B1953" s="130">
        <v>21</v>
      </c>
      <c r="C1953" s="130" t="s">
        <v>3577</v>
      </c>
      <c r="D1953">
        <v>15610</v>
      </c>
      <c r="E1953" s="130">
        <v>71015853</v>
      </c>
      <c r="F1953" t="s">
        <v>87</v>
      </c>
      <c r="G1953">
        <v>9135</v>
      </c>
      <c r="H1953" t="s">
        <v>8952</v>
      </c>
      <c r="I1953" s="130">
        <v>3</v>
      </c>
      <c r="J1953" t="s">
        <v>3577</v>
      </c>
      <c r="K1953" t="s">
        <v>95</v>
      </c>
      <c r="L1953" t="s">
        <v>111</v>
      </c>
      <c r="M1953" t="s">
        <v>137</v>
      </c>
      <c r="N1953" t="s">
        <v>98</v>
      </c>
      <c r="O1953" t="s">
        <v>1345</v>
      </c>
    </row>
    <row r="1954" spans="1:15" x14ac:dyDescent="0.3">
      <c r="A1954" s="130">
        <v>10146</v>
      </c>
      <c r="B1954" s="130">
        <v>30</v>
      </c>
      <c r="C1954" s="130" t="s">
        <v>3578</v>
      </c>
      <c r="D1954">
        <v>15611</v>
      </c>
      <c r="E1954" s="130">
        <v>2617158</v>
      </c>
      <c r="F1954" t="s">
        <v>87</v>
      </c>
      <c r="G1954">
        <v>358</v>
      </c>
      <c r="H1954" t="s">
        <v>8953</v>
      </c>
      <c r="I1954" s="130">
        <v>10</v>
      </c>
      <c r="J1954" t="s">
        <v>3578</v>
      </c>
      <c r="K1954" t="s">
        <v>95</v>
      </c>
      <c r="L1954" t="s">
        <v>105</v>
      </c>
      <c r="M1954" t="s">
        <v>103</v>
      </c>
      <c r="N1954" t="s">
        <v>98</v>
      </c>
      <c r="O1954" t="s">
        <v>1345</v>
      </c>
    </row>
    <row r="1955" spans="1:15" x14ac:dyDescent="0.3">
      <c r="A1955" s="130">
        <v>10148</v>
      </c>
      <c r="B1955" s="130">
        <v>10</v>
      </c>
      <c r="C1955" s="130" t="s">
        <v>3579</v>
      </c>
      <c r="D1955">
        <v>15617</v>
      </c>
      <c r="E1955" s="130">
        <v>31861222</v>
      </c>
      <c r="F1955" t="s">
        <v>87</v>
      </c>
      <c r="G1955">
        <v>9135</v>
      </c>
      <c r="H1955" t="s">
        <v>8951</v>
      </c>
      <c r="I1955" s="131">
        <v>26</v>
      </c>
      <c r="J1955" t="s">
        <v>3579</v>
      </c>
      <c r="K1955" t="s">
        <v>108</v>
      </c>
      <c r="L1955" t="s">
        <v>151</v>
      </c>
      <c r="M1955" t="s">
        <v>133</v>
      </c>
      <c r="N1955" t="s">
        <v>98</v>
      </c>
      <c r="O1955" t="s">
        <v>116</v>
      </c>
    </row>
    <row r="1956" spans="1:15" x14ac:dyDescent="0.3">
      <c r="A1956" s="130">
        <v>10150</v>
      </c>
      <c r="B1956" s="130">
        <v>30</v>
      </c>
      <c r="C1956" s="130" t="s">
        <v>3580</v>
      </c>
      <c r="D1956">
        <v>15620</v>
      </c>
      <c r="E1956" s="130">
        <v>13623957</v>
      </c>
      <c r="F1956" t="s">
        <v>87</v>
      </c>
      <c r="G1956">
        <v>9135</v>
      </c>
      <c r="H1956" t="s">
        <v>8952</v>
      </c>
      <c r="I1956" s="131">
        <v>9</v>
      </c>
      <c r="J1956" t="s">
        <v>3580</v>
      </c>
      <c r="K1956" t="s">
        <v>95</v>
      </c>
      <c r="L1956" t="s">
        <v>163</v>
      </c>
      <c r="M1956" t="s">
        <v>103</v>
      </c>
      <c r="N1956" t="s">
        <v>98</v>
      </c>
      <c r="O1956" t="s">
        <v>116</v>
      </c>
    </row>
    <row r="1957" spans="1:15" x14ac:dyDescent="0.3">
      <c r="A1957" s="130">
        <v>10156</v>
      </c>
      <c r="B1957" s="130">
        <v>18</v>
      </c>
      <c r="C1957" s="130" t="s">
        <v>3581</v>
      </c>
      <c r="D1957">
        <v>15633</v>
      </c>
      <c r="E1957" s="130">
        <v>19157650</v>
      </c>
      <c r="F1957" t="s">
        <v>87</v>
      </c>
      <c r="G1957">
        <v>9135</v>
      </c>
      <c r="H1957" t="s">
        <v>8953</v>
      </c>
      <c r="I1957" s="130">
        <v>10</v>
      </c>
      <c r="J1957" t="s">
        <v>3581</v>
      </c>
      <c r="K1957" t="s">
        <v>95</v>
      </c>
      <c r="L1957" t="s">
        <v>127</v>
      </c>
      <c r="M1957" t="s">
        <v>112</v>
      </c>
      <c r="N1957" t="s">
        <v>118</v>
      </c>
      <c r="O1957" t="s">
        <v>1345</v>
      </c>
    </row>
    <row r="1958" spans="1:15" x14ac:dyDescent="0.3">
      <c r="A1958" s="130">
        <v>10158</v>
      </c>
      <c r="B1958" s="130">
        <v>30</v>
      </c>
      <c r="C1958" s="130" t="s">
        <v>3582</v>
      </c>
      <c r="D1958">
        <v>15636</v>
      </c>
      <c r="E1958" s="130">
        <v>6232484</v>
      </c>
      <c r="F1958" t="s">
        <v>87</v>
      </c>
      <c r="G1958">
        <v>358</v>
      </c>
      <c r="H1958" t="s">
        <v>8951</v>
      </c>
      <c r="I1958" s="130">
        <v>19</v>
      </c>
      <c r="J1958" t="s">
        <v>3582</v>
      </c>
      <c r="K1958" t="s">
        <v>108</v>
      </c>
      <c r="L1958" t="s">
        <v>109</v>
      </c>
      <c r="M1958" t="s">
        <v>103</v>
      </c>
      <c r="N1958" t="s">
        <v>98</v>
      </c>
      <c r="O1958" t="s">
        <v>1345</v>
      </c>
    </row>
    <row r="1959" spans="1:15" x14ac:dyDescent="0.3">
      <c r="A1959" s="130">
        <v>10159</v>
      </c>
      <c r="B1959" s="130">
        <v>21</v>
      </c>
      <c r="C1959" s="130" t="s">
        <v>3583</v>
      </c>
      <c r="D1959">
        <v>15637</v>
      </c>
      <c r="E1959" s="131">
        <v>4737552</v>
      </c>
      <c r="F1959" t="s">
        <v>87</v>
      </c>
      <c r="G1959">
        <v>358</v>
      </c>
      <c r="H1959" t="s">
        <v>8952</v>
      </c>
      <c r="I1959" s="130">
        <v>3</v>
      </c>
      <c r="J1959" t="s">
        <v>3583</v>
      </c>
      <c r="K1959" t="s">
        <v>108</v>
      </c>
      <c r="L1959" t="s">
        <v>109</v>
      </c>
      <c r="M1959" t="s">
        <v>137</v>
      </c>
      <c r="N1959" t="s">
        <v>101</v>
      </c>
      <c r="O1959" t="s">
        <v>1345</v>
      </c>
    </row>
    <row r="1960" spans="1:15" x14ac:dyDescent="0.3">
      <c r="A1960" s="130">
        <v>10160</v>
      </c>
      <c r="B1960" s="130">
        <v>18</v>
      </c>
      <c r="C1960" s="130" t="s">
        <v>3584</v>
      </c>
      <c r="D1960">
        <v>15638</v>
      </c>
      <c r="E1960" s="130">
        <v>3584565</v>
      </c>
      <c r="F1960" t="s">
        <v>87</v>
      </c>
      <c r="G1960">
        <v>358</v>
      </c>
      <c r="H1960" t="s">
        <v>8953</v>
      </c>
      <c r="I1960" s="131">
        <v>10</v>
      </c>
      <c r="J1960" t="s">
        <v>3584</v>
      </c>
      <c r="K1960" t="s">
        <v>108</v>
      </c>
      <c r="L1960" t="s">
        <v>105</v>
      </c>
      <c r="M1960" t="s">
        <v>112</v>
      </c>
      <c r="N1960" t="s">
        <v>98</v>
      </c>
      <c r="O1960" t="s">
        <v>116</v>
      </c>
    </row>
    <row r="1961" spans="1:15" x14ac:dyDescent="0.3">
      <c r="A1961" s="130">
        <v>10178</v>
      </c>
      <c r="B1961" s="130">
        <v>21</v>
      </c>
      <c r="C1961" s="130" t="s">
        <v>3585</v>
      </c>
      <c r="D1961">
        <v>15656</v>
      </c>
      <c r="E1961" s="131">
        <v>4737552</v>
      </c>
      <c r="F1961" t="s">
        <v>87</v>
      </c>
      <c r="G1961">
        <v>358</v>
      </c>
      <c r="H1961" t="s">
        <v>8951</v>
      </c>
      <c r="I1961" s="130">
        <v>3</v>
      </c>
      <c r="J1961" t="s">
        <v>3585</v>
      </c>
      <c r="K1961" t="s">
        <v>108</v>
      </c>
      <c r="L1961" t="s">
        <v>109</v>
      </c>
      <c r="M1961" t="s">
        <v>137</v>
      </c>
      <c r="N1961" t="s">
        <v>101</v>
      </c>
      <c r="O1961" t="s">
        <v>1345</v>
      </c>
    </row>
    <row r="1962" spans="1:15" x14ac:dyDescent="0.3">
      <c r="A1962" s="130">
        <v>10181</v>
      </c>
      <c r="B1962" s="130" t="s">
        <v>227</v>
      </c>
      <c r="C1962" s="130" t="s">
        <v>3586</v>
      </c>
      <c r="D1962">
        <v>15663</v>
      </c>
      <c r="E1962" s="131">
        <v>39251498</v>
      </c>
      <c r="F1962" t="s">
        <v>87</v>
      </c>
      <c r="G1962">
        <v>9135</v>
      </c>
      <c r="H1962" t="s">
        <v>8952</v>
      </c>
      <c r="I1962" s="131">
        <v>3</v>
      </c>
      <c r="J1962" t="s">
        <v>3586</v>
      </c>
      <c r="K1962" t="s">
        <v>108</v>
      </c>
      <c r="L1962" t="s">
        <v>111</v>
      </c>
      <c r="M1962" t="s">
        <v>228</v>
      </c>
      <c r="N1962" t="s">
        <v>98</v>
      </c>
      <c r="O1962" t="s">
        <v>1345</v>
      </c>
    </row>
    <row r="1963" spans="1:15" x14ac:dyDescent="0.3">
      <c r="A1963" s="130">
        <v>10184</v>
      </c>
      <c r="B1963" s="130">
        <v>30</v>
      </c>
      <c r="C1963" s="130" t="s">
        <v>3587</v>
      </c>
      <c r="D1963">
        <v>15666</v>
      </c>
      <c r="E1963" s="130">
        <v>51466860</v>
      </c>
      <c r="F1963" t="s">
        <v>87</v>
      </c>
      <c r="G1963">
        <v>9135</v>
      </c>
      <c r="H1963" t="s">
        <v>8953</v>
      </c>
      <c r="I1963" s="130">
        <v>37</v>
      </c>
      <c r="J1963" t="s">
        <v>3587</v>
      </c>
      <c r="K1963" t="s">
        <v>95</v>
      </c>
      <c r="L1963" t="s">
        <v>144</v>
      </c>
      <c r="M1963" t="s">
        <v>103</v>
      </c>
      <c r="N1963" t="s">
        <v>141</v>
      </c>
      <c r="O1963" t="s">
        <v>116</v>
      </c>
    </row>
    <row r="1964" spans="1:15" x14ac:dyDescent="0.3">
      <c r="A1964" s="130">
        <v>10198</v>
      </c>
      <c r="B1964" s="130">
        <v>30</v>
      </c>
      <c r="C1964" s="130" t="s">
        <v>3588</v>
      </c>
      <c r="D1964">
        <v>15685</v>
      </c>
      <c r="E1964" s="130">
        <v>18306662</v>
      </c>
      <c r="F1964" t="s">
        <v>113</v>
      </c>
      <c r="G1964">
        <v>77</v>
      </c>
      <c r="H1964" t="s">
        <v>8951</v>
      </c>
      <c r="I1964" s="131">
        <v>24</v>
      </c>
      <c r="J1964" t="s">
        <v>3588</v>
      </c>
      <c r="K1964" t="s">
        <v>108</v>
      </c>
      <c r="L1964" t="s">
        <v>235</v>
      </c>
      <c r="M1964" t="s">
        <v>103</v>
      </c>
      <c r="N1964" t="s">
        <v>131</v>
      </c>
      <c r="O1964" t="s">
        <v>1256</v>
      </c>
    </row>
    <row r="1965" spans="1:15" x14ac:dyDescent="0.3">
      <c r="A1965" s="130">
        <v>10201</v>
      </c>
      <c r="B1965" s="130">
        <v>30</v>
      </c>
      <c r="C1965" s="130" t="s">
        <v>3589</v>
      </c>
      <c r="D1965">
        <v>15691</v>
      </c>
      <c r="E1965" s="130">
        <v>5451496</v>
      </c>
      <c r="F1965" t="s">
        <v>87</v>
      </c>
      <c r="G1965">
        <v>9135</v>
      </c>
      <c r="H1965" t="s">
        <v>8952</v>
      </c>
      <c r="I1965" s="130">
        <v>19</v>
      </c>
      <c r="J1965" t="s">
        <v>3589</v>
      </c>
      <c r="K1965" t="s">
        <v>108</v>
      </c>
      <c r="L1965" t="s">
        <v>146</v>
      </c>
      <c r="M1965" t="s">
        <v>103</v>
      </c>
      <c r="N1965" t="s">
        <v>169</v>
      </c>
      <c r="O1965" t="s">
        <v>1345</v>
      </c>
    </row>
    <row r="1966" spans="1:15" x14ac:dyDescent="0.3">
      <c r="A1966" s="130">
        <v>10202</v>
      </c>
      <c r="B1966" s="130">
        <v>30</v>
      </c>
      <c r="C1966" s="130" t="s">
        <v>3590</v>
      </c>
      <c r="D1966">
        <v>15694</v>
      </c>
      <c r="E1966" s="130">
        <v>61584223</v>
      </c>
      <c r="F1966" t="s">
        <v>87</v>
      </c>
      <c r="G1966">
        <v>9135</v>
      </c>
      <c r="H1966" t="s">
        <v>8953</v>
      </c>
      <c r="I1966" s="130">
        <v>3</v>
      </c>
      <c r="J1966" t="s">
        <v>3590</v>
      </c>
      <c r="K1966" t="s">
        <v>95</v>
      </c>
      <c r="L1966" t="s">
        <v>111</v>
      </c>
      <c r="M1966" t="s">
        <v>103</v>
      </c>
      <c r="N1966" t="s">
        <v>98</v>
      </c>
      <c r="O1966" t="s">
        <v>116</v>
      </c>
    </row>
    <row r="1967" spans="1:15" x14ac:dyDescent="0.3">
      <c r="A1967" s="130">
        <v>10206</v>
      </c>
      <c r="B1967" s="130">
        <v>30</v>
      </c>
      <c r="C1967" s="130" t="s">
        <v>3591</v>
      </c>
      <c r="D1967">
        <v>15709</v>
      </c>
      <c r="E1967" s="130">
        <v>17193590</v>
      </c>
      <c r="F1967" t="s">
        <v>87</v>
      </c>
      <c r="G1967">
        <v>9135</v>
      </c>
      <c r="H1967" t="s">
        <v>8951</v>
      </c>
      <c r="I1967" s="130">
        <v>3</v>
      </c>
      <c r="J1967" t="s">
        <v>3591</v>
      </c>
      <c r="K1967" t="s">
        <v>95</v>
      </c>
      <c r="L1967" t="s">
        <v>111</v>
      </c>
      <c r="M1967" t="s">
        <v>103</v>
      </c>
      <c r="N1967" t="s">
        <v>98</v>
      </c>
      <c r="O1967" t="s">
        <v>1345</v>
      </c>
    </row>
    <row r="1968" spans="1:15" x14ac:dyDescent="0.3">
      <c r="A1968" s="130">
        <v>10207</v>
      </c>
      <c r="B1968" s="130">
        <v>30</v>
      </c>
      <c r="C1968" s="130" t="s">
        <v>3592</v>
      </c>
      <c r="D1968">
        <v>15711</v>
      </c>
      <c r="E1968" s="130">
        <v>8928273</v>
      </c>
      <c r="F1968" t="s">
        <v>87</v>
      </c>
      <c r="G1968">
        <v>358</v>
      </c>
      <c r="H1968" t="s">
        <v>8952</v>
      </c>
      <c r="I1968" s="131">
        <v>10</v>
      </c>
      <c r="J1968" t="s">
        <v>3592</v>
      </c>
      <c r="K1968" t="s">
        <v>95</v>
      </c>
      <c r="L1968" t="s">
        <v>105</v>
      </c>
      <c r="M1968" t="s">
        <v>103</v>
      </c>
      <c r="N1968" t="s">
        <v>98</v>
      </c>
      <c r="O1968" t="s">
        <v>1345</v>
      </c>
    </row>
    <row r="1969" spans="1:15" x14ac:dyDescent="0.3">
      <c r="A1969" s="130">
        <v>10208</v>
      </c>
      <c r="B1969" s="130">
        <v>30</v>
      </c>
      <c r="C1969" s="130" t="s">
        <v>3593</v>
      </c>
      <c r="D1969">
        <v>15712</v>
      </c>
      <c r="E1969" s="130">
        <v>17162983</v>
      </c>
      <c r="F1969" t="s">
        <v>87</v>
      </c>
      <c r="G1969">
        <v>358</v>
      </c>
      <c r="H1969" t="s">
        <v>8953</v>
      </c>
      <c r="I1969" s="131">
        <v>24</v>
      </c>
      <c r="J1969" t="s">
        <v>3593</v>
      </c>
      <c r="K1969" t="s">
        <v>108</v>
      </c>
      <c r="L1969" t="s">
        <v>109</v>
      </c>
      <c r="M1969" t="s">
        <v>103</v>
      </c>
      <c r="N1969" t="s">
        <v>98</v>
      </c>
      <c r="O1969" t="s">
        <v>1345</v>
      </c>
    </row>
    <row r="1970" spans="1:15" x14ac:dyDescent="0.3">
      <c r="A1970" s="130">
        <v>10209</v>
      </c>
      <c r="B1970" s="130">
        <v>30</v>
      </c>
      <c r="C1970" s="130" t="s">
        <v>3594</v>
      </c>
      <c r="D1970">
        <v>15714</v>
      </c>
      <c r="E1970" s="130">
        <v>8928273</v>
      </c>
      <c r="F1970" t="s">
        <v>87</v>
      </c>
      <c r="G1970">
        <v>358</v>
      </c>
      <c r="H1970" t="s">
        <v>8951</v>
      </c>
      <c r="I1970" s="130">
        <v>10</v>
      </c>
      <c r="J1970" t="s">
        <v>3594</v>
      </c>
      <c r="K1970" t="s">
        <v>95</v>
      </c>
      <c r="L1970" t="s">
        <v>105</v>
      </c>
      <c r="M1970" t="s">
        <v>103</v>
      </c>
      <c r="N1970" t="s">
        <v>98</v>
      </c>
      <c r="O1970" t="s">
        <v>1345</v>
      </c>
    </row>
    <row r="1971" spans="1:15" x14ac:dyDescent="0.3">
      <c r="A1971" s="130">
        <v>10213</v>
      </c>
      <c r="B1971" s="130">
        <v>-1</v>
      </c>
      <c r="C1971" s="130" t="s">
        <v>3595</v>
      </c>
      <c r="D1971">
        <v>15715</v>
      </c>
      <c r="E1971" s="130">
        <v>11411952</v>
      </c>
      <c r="F1971" t="s">
        <v>87</v>
      </c>
      <c r="G1971">
        <v>9135</v>
      </c>
      <c r="H1971" t="s">
        <v>8952</v>
      </c>
      <c r="I1971" s="130">
        <v>38</v>
      </c>
      <c r="J1971" t="s">
        <v>3595</v>
      </c>
      <c r="K1971" t="s">
        <v>108</v>
      </c>
      <c r="L1971" t="s">
        <v>126</v>
      </c>
      <c r="M1971" t="s">
        <v>174</v>
      </c>
      <c r="N1971" t="s">
        <v>98</v>
      </c>
      <c r="O1971" t="s">
        <v>116</v>
      </c>
    </row>
    <row r="1972" spans="1:15" x14ac:dyDescent="0.3">
      <c r="A1972" s="130">
        <v>10215</v>
      </c>
      <c r="B1972" s="130">
        <v>30</v>
      </c>
      <c r="C1972" s="130" t="s">
        <v>3596</v>
      </c>
      <c r="D1972">
        <v>15722</v>
      </c>
      <c r="E1972" s="130">
        <v>10670301</v>
      </c>
      <c r="F1972" t="s">
        <v>87</v>
      </c>
      <c r="G1972">
        <v>9135</v>
      </c>
      <c r="H1972" t="s">
        <v>8953</v>
      </c>
      <c r="I1972" s="130">
        <v>19</v>
      </c>
      <c r="J1972" t="s">
        <v>3596</v>
      </c>
      <c r="K1972" t="s">
        <v>108</v>
      </c>
      <c r="L1972" t="s">
        <v>146</v>
      </c>
      <c r="M1972" t="s">
        <v>103</v>
      </c>
      <c r="N1972" t="s">
        <v>114</v>
      </c>
      <c r="O1972" t="s">
        <v>1345</v>
      </c>
    </row>
    <row r="1973" spans="1:15" x14ac:dyDescent="0.3">
      <c r="A1973" s="130">
        <v>10223</v>
      </c>
      <c r="B1973" s="130">
        <v>18</v>
      </c>
      <c r="C1973" s="130" t="s">
        <v>3597</v>
      </c>
      <c r="D1973">
        <v>15733</v>
      </c>
      <c r="E1973" s="130">
        <v>4612844</v>
      </c>
      <c r="F1973" t="s">
        <v>87</v>
      </c>
      <c r="G1973">
        <v>9135</v>
      </c>
      <c r="H1973" t="s">
        <v>8951</v>
      </c>
      <c r="I1973" s="130">
        <v>3</v>
      </c>
      <c r="J1973" t="s">
        <v>3597</v>
      </c>
      <c r="K1973" t="s">
        <v>108</v>
      </c>
      <c r="L1973" t="s">
        <v>111</v>
      </c>
      <c r="M1973" t="s">
        <v>112</v>
      </c>
      <c r="N1973" t="s">
        <v>98</v>
      </c>
      <c r="O1973" t="s">
        <v>116</v>
      </c>
    </row>
    <row r="1974" spans="1:15" x14ac:dyDescent="0.3">
      <c r="A1974" s="130">
        <v>10228</v>
      </c>
      <c r="B1974" s="130">
        <v>30</v>
      </c>
      <c r="C1974" s="130" t="s">
        <v>3598</v>
      </c>
      <c r="D1974">
        <v>15723</v>
      </c>
      <c r="E1974" s="130">
        <v>33000167</v>
      </c>
      <c r="F1974" t="s">
        <v>87</v>
      </c>
      <c r="G1974">
        <v>9135</v>
      </c>
      <c r="H1974" t="s">
        <v>8952</v>
      </c>
      <c r="I1974" s="131">
        <v>24</v>
      </c>
      <c r="J1974" t="s">
        <v>3598</v>
      </c>
      <c r="K1974" t="s">
        <v>95</v>
      </c>
      <c r="L1974" t="s">
        <v>102</v>
      </c>
      <c r="M1974" t="s">
        <v>103</v>
      </c>
      <c r="N1974" t="s">
        <v>114</v>
      </c>
      <c r="O1974" t="s">
        <v>116</v>
      </c>
    </row>
    <row r="1975" spans="1:15" x14ac:dyDescent="0.3">
      <c r="A1975" s="130">
        <v>10231</v>
      </c>
      <c r="B1975" s="130">
        <v>30</v>
      </c>
      <c r="C1975" s="130" t="s">
        <v>3599</v>
      </c>
      <c r="D1975">
        <v>15740</v>
      </c>
      <c r="E1975" s="131">
        <v>12557849</v>
      </c>
      <c r="F1975" t="s">
        <v>87</v>
      </c>
      <c r="G1975">
        <v>9135</v>
      </c>
      <c r="H1975" t="s">
        <v>8953</v>
      </c>
      <c r="I1975" s="131">
        <v>9</v>
      </c>
      <c r="J1975" t="s">
        <v>3599</v>
      </c>
      <c r="K1975" t="s">
        <v>108</v>
      </c>
      <c r="L1975" t="s">
        <v>163</v>
      </c>
      <c r="M1975" t="s">
        <v>103</v>
      </c>
      <c r="N1975" t="s">
        <v>114</v>
      </c>
      <c r="O1975" t="s">
        <v>116</v>
      </c>
    </row>
    <row r="1976" spans="1:15" x14ac:dyDescent="0.3">
      <c r="A1976" s="130">
        <v>10232</v>
      </c>
      <c r="B1976" s="130">
        <v>30</v>
      </c>
      <c r="C1976" s="130" t="s">
        <v>3600</v>
      </c>
      <c r="D1976">
        <v>15742</v>
      </c>
      <c r="E1976" s="130">
        <v>33000167</v>
      </c>
      <c r="F1976" t="s">
        <v>87</v>
      </c>
      <c r="G1976">
        <v>9135</v>
      </c>
      <c r="H1976" t="s">
        <v>8951</v>
      </c>
      <c r="I1976" s="130">
        <v>24</v>
      </c>
      <c r="J1976" t="s">
        <v>3600</v>
      </c>
      <c r="K1976" t="s">
        <v>95</v>
      </c>
      <c r="L1976" t="s">
        <v>102</v>
      </c>
      <c r="M1976" t="s">
        <v>103</v>
      </c>
      <c r="N1976" t="s">
        <v>114</v>
      </c>
      <c r="O1976" t="s">
        <v>116</v>
      </c>
    </row>
    <row r="1977" spans="1:15" x14ac:dyDescent="0.3">
      <c r="A1977" s="130">
        <v>10234</v>
      </c>
      <c r="B1977" s="130">
        <v>18</v>
      </c>
      <c r="C1977" s="130" t="s">
        <v>3601</v>
      </c>
      <c r="D1977">
        <v>15747</v>
      </c>
      <c r="E1977" s="130">
        <v>25699174</v>
      </c>
      <c r="F1977" t="s">
        <v>87</v>
      </c>
      <c r="G1977">
        <v>358</v>
      </c>
      <c r="H1977" t="s">
        <v>8952</v>
      </c>
      <c r="I1977" s="131">
        <v>3</v>
      </c>
      <c r="J1977" t="s">
        <v>3601</v>
      </c>
      <c r="K1977" t="s">
        <v>108</v>
      </c>
      <c r="L1977" t="s">
        <v>109</v>
      </c>
      <c r="M1977" t="s">
        <v>112</v>
      </c>
      <c r="N1977" t="s">
        <v>98</v>
      </c>
      <c r="O1977" t="s">
        <v>1345</v>
      </c>
    </row>
    <row r="1978" spans="1:15" x14ac:dyDescent="0.3">
      <c r="A1978" s="130">
        <v>10235</v>
      </c>
      <c r="B1978" s="130">
        <v>10</v>
      </c>
      <c r="C1978" s="130" t="s">
        <v>3602</v>
      </c>
      <c r="D1978">
        <v>15749</v>
      </c>
      <c r="E1978" s="130">
        <v>7287580</v>
      </c>
      <c r="F1978" t="s">
        <v>87</v>
      </c>
      <c r="G1978">
        <v>358</v>
      </c>
      <c r="H1978" t="s">
        <v>8953</v>
      </c>
      <c r="I1978" s="130">
        <v>3</v>
      </c>
      <c r="J1978" t="s">
        <v>3602</v>
      </c>
      <c r="K1978" t="s">
        <v>95</v>
      </c>
      <c r="L1978" t="s">
        <v>109</v>
      </c>
      <c r="M1978" t="s">
        <v>133</v>
      </c>
      <c r="N1978" t="s">
        <v>98</v>
      </c>
      <c r="O1978" t="s">
        <v>1345</v>
      </c>
    </row>
    <row r="1979" spans="1:15" x14ac:dyDescent="0.3">
      <c r="A1979" s="130">
        <v>10239</v>
      </c>
      <c r="B1979" s="130">
        <v>30</v>
      </c>
      <c r="C1979" s="130" t="s">
        <v>3603</v>
      </c>
      <c r="D1979">
        <v>15753</v>
      </c>
      <c r="E1979" s="130">
        <v>53503652</v>
      </c>
      <c r="F1979" t="s">
        <v>87</v>
      </c>
      <c r="G1979">
        <v>9135</v>
      </c>
      <c r="H1979" t="s">
        <v>8951</v>
      </c>
      <c r="I1979" s="130">
        <v>9</v>
      </c>
      <c r="J1979" t="s">
        <v>3603</v>
      </c>
      <c r="K1979" t="s">
        <v>95</v>
      </c>
      <c r="L1979" t="s">
        <v>163</v>
      </c>
      <c r="M1979" t="s">
        <v>103</v>
      </c>
      <c r="N1979" t="s">
        <v>98</v>
      </c>
      <c r="O1979" t="s">
        <v>116</v>
      </c>
    </row>
    <row r="1980" spans="1:15" x14ac:dyDescent="0.3">
      <c r="A1980" s="130">
        <v>10245</v>
      </c>
      <c r="B1980" s="130">
        <v>10</v>
      </c>
      <c r="C1980" s="130" t="s">
        <v>3604</v>
      </c>
      <c r="D1980">
        <v>15759</v>
      </c>
      <c r="E1980" s="130">
        <v>5042690</v>
      </c>
      <c r="F1980" t="s">
        <v>87</v>
      </c>
      <c r="G1980">
        <v>9135</v>
      </c>
      <c r="H1980" t="s">
        <v>8952</v>
      </c>
      <c r="I1980" s="130">
        <v>3</v>
      </c>
      <c r="J1980" t="s">
        <v>3604</v>
      </c>
      <c r="K1980" t="s">
        <v>95</v>
      </c>
      <c r="L1980" t="s">
        <v>96</v>
      </c>
      <c r="M1980" t="s">
        <v>133</v>
      </c>
      <c r="N1980" t="s">
        <v>98</v>
      </c>
      <c r="O1980" t="s">
        <v>1345</v>
      </c>
    </row>
    <row r="1981" spans="1:15" x14ac:dyDescent="0.3">
      <c r="A1981" s="130">
        <v>10249</v>
      </c>
      <c r="B1981" s="130">
        <v>30</v>
      </c>
      <c r="C1981" s="130" t="s">
        <v>3605</v>
      </c>
      <c r="D1981">
        <v>15764</v>
      </c>
      <c r="E1981" s="131">
        <v>17162983</v>
      </c>
      <c r="F1981" t="s">
        <v>87</v>
      </c>
      <c r="G1981">
        <v>358</v>
      </c>
      <c r="H1981" t="s">
        <v>8953</v>
      </c>
      <c r="I1981" s="130">
        <v>24</v>
      </c>
      <c r="J1981" t="s">
        <v>3605</v>
      </c>
      <c r="K1981" t="s">
        <v>95</v>
      </c>
      <c r="L1981" t="s">
        <v>109</v>
      </c>
      <c r="M1981" t="s">
        <v>103</v>
      </c>
      <c r="N1981" t="s">
        <v>98</v>
      </c>
      <c r="O1981" t="s">
        <v>116</v>
      </c>
    </row>
    <row r="1982" spans="1:15" x14ac:dyDescent="0.3">
      <c r="A1982" s="130">
        <v>10250</v>
      </c>
      <c r="B1982" s="130">
        <v>18</v>
      </c>
      <c r="C1982" s="130" t="s">
        <v>3606</v>
      </c>
      <c r="D1982">
        <v>15765</v>
      </c>
      <c r="E1982" s="130">
        <v>17821756</v>
      </c>
      <c r="F1982" t="s">
        <v>87</v>
      </c>
      <c r="G1982">
        <v>9135</v>
      </c>
      <c r="H1982" t="s">
        <v>8951</v>
      </c>
      <c r="I1982" s="130">
        <v>10</v>
      </c>
      <c r="J1982" t="s">
        <v>3606</v>
      </c>
      <c r="K1982" t="s">
        <v>108</v>
      </c>
      <c r="L1982" t="s">
        <v>127</v>
      </c>
      <c r="M1982" t="s">
        <v>112</v>
      </c>
      <c r="N1982" t="s">
        <v>98</v>
      </c>
      <c r="O1982" t="s">
        <v>1345</v>
      </c>
    </row>
    <row r="1983" spans="1:15" x14ac:dyDescent="0.3">
      <c r="A1983" s="130">
        <v>10255</v>
      </c>
      <c r="B1983" s="130">
        <v>10</v>
      </c>
      <c r="C1983" s="130" t="s">
        <v>3607</v>
      </c>
      <c r="D1983">
        <v>15772</v>
      </c>
      <c r="E1983" s="131">
        <v>2434768</v>
      </c>
      <c r="F1983" t="s">
        <v>87</v>
      </c>
      <c r="G1983">
        <v>9135</v>
      </c>
      <c r="H1983" t="s">
        <v>8952</v>
      </c>
      <c r="I1983" s="131">
        <v>24</v>
      </c>
      <c r="J1983" t="s">
        <v>3607</v>
      </c>
      <c r="K1983" t="s">
        <v>108</v>
      </c>
      <c r="L1983" t="s">
        <v>191</v>
      </c>
      <c r="M1983" t="s">
        <v>133</v>
      </c>
      <c r="N1983" t="s">
        <v>122</v>
      </c>
      <c r="O1983" t="s">
        <v>1345</v>
      </c>
    </row>
    <row r="1984" spans="1:15" x14ac:dyDescent="0.3">
      <c r="A1984" s="130">
        <v>10265</v>
      </c>
      <c r="B1984" s="130">
        <v>18</v>
      </c>
      <c r="C1984" s="130" t="s">
        <v>3608</v>
      </c>
      <c r="D1984">
        <v>15787</v>
      </c>
      <c r="E1984" s="130">
        <v>7779913</v>
      </c>
      <c r="F1984" t="s">
        <v>87</v>
      </c>
      <c r="G1984">
        <v>9135</v>
      </c>
      <c r="H1984" t="s">
        <v>8953</v>
      </c>
      <c r="I1984" s="131">
        <v>37</v>
      </c>
      <c r="J1984" t="s">
        <v>3608</v>
      </c>
      <c r="K1984" t="s">
        <v>95</v>
      </c>
      <c r="L1984" t="s">
        <v>138</v>
      </c>
      <c r="M1984" t="s">
        <v>112</v>
      </c>
      <c r="N1984" t="s">
        <v>150</v>
      </c>
      <c r="O1984" t="s">
        <v>1345</v>
      </c>
    </row>
    <row r="1985" spans="1:15" x14ac:dyDescent="0.3">
      <c r="A1985" s="130">
        <v>10268</v>
      </c>
      <c r="B1985" s="130">
        <v>30</v>
      </c>
      <c r="C1985" s="130" t="s">
        <v>3609</v>
      </c>
      <c r="D1985">
        <v>15792</v>
      </c>
      <c r="E1985" s="131">
        <v>34392465</v>
      </c>
      <c r="F1985" t="s">
        <v>87</v>
      </c>
      <c r="G1985">
        <v>9135</v>
      </c>
      <c r="H1985" t="s">
        <v>8951</v>
      </c>
      <c r="I1985" s="130">
        <v>19</v>
      </c>
      <c r="J1985" t="s">
        <v>3609</v>
      </c>
      <c r="K1985" t="s">
        <v>95</v>
      </c>
      <c r="L1985" t="s">
        <v>146</v>
      </c>
      <c r="M1985" t="s">
        <v>103</v>
      </c>
      <c r="N1985" t="s">
        <v>150</v>
      </c>
      <c r="O1985" t="s">
        <v>1345</v>
      </c>
    </row>
    <row r="1986" spans="1:15" x14ac:dyDescent="0.3">
      <c r="A1986" s="130">
        <v>10275</v>
      </c>
      <c r="B1986" s="130">
        <v>30</v>
      </c>
      <c r="C1986" s="130" t="s">
        <v>3610</v>
      </c>
      <c r="D1986">
        <v>15801</v>
      </c>
      <c r="E1986" s="130">
        <v>56095862</v>
      </c>
      <c r="F1986" t="s">
        <v>87</v>
      </c>
      <c r="G1986">
        <v>9135</v>
      </c>
      <c r="H1986" t="s">
        <v>8952</v>
      </c>
      <c r="I1986" s="130">
        <v>18</v>
      </c>
      <c r="J1986" t="s">
        <v>3610</v>
      </c>
      <c r="K1986" t="s">
        <v>108</v>
      </c>
      <c r="L1986" t="s">
        <v>123</v>
      </c>
      <c r="M1986" t="s">
        <v>103</v>
      </c>
      <c r="N1986" t="s">
        <v>98</v>
      </c>
      <c r="O1986" t="s">
        <v>116</v>
      </c>
    </row>
    <row r="1987" spans="1:15" x14ac:dyDescent="0.3">
      <c r="A1987" s="130">
        <v>10281</v>
      </c>
      <c r="B1987" s="130">
        <v>30</v>
      </c>
      <c r="C1987" s="130" t="s">
        <v>3611</v>
      </c>
      <c r="D1987">
        <v>15811</v>
      </c>
      <c r="E1987" s="130">
        <v>17162983</v>
      </c>
      <c r="F1987" t="s">
        <v>87</v>
      </c>
      <c r="G1987">
        <v>358</v>
      </c>
      <c r="H1987" t="s">
        <v>8953</v>
      </c>
      <c r="I1987" s="131">
        <v>3</v>
      </c>
      <c r="J1987" t="s">
        <v>3611</v>
      </c>
      <c r="K1987" t="s">
        <v>95</v>
      </c>
      <c r="L1987" t="s">
        <v>109</v>
      </c>
      <c r="M1987" t="s">
        <v>103</v>
      </c>
      <c r="N1987" t="s">
        <v>98</v>
      </c>
      <c r="O1987" t="s">
        <v>1345</v>
      </c>
    </row>
    <row r="1988" spans="1:15" x14ac:dyDescent="0.3">
      <c r="A1988" s="130">
        <v>10291</v>
      </c>
      <c r="B1988" s="130">
        <v>0</v>
      </c>
      <c r="C1988" s="130" t="s">
        <v>3612</v>
      </c>
      <c r="D1988">
        <v>15822</v>
      </c>
      <c r="E1988" s="130">
        <v>8673321</v>
      </c>
      <c r="F1988" t="s">
        <v>87</v>
      </c>
      <c r="G1988">
        <v>358</v>
      </c>
      <c r="H1988" t="s">
        <v>8951</v>
      </c>
      <c r="I1988" s="131">
        <v>3</v>
      </c>
      <c r="J1988" t="s">
        <v>3612</v>
      </c>
      <c r="K1988" t="s">
        <v>108</v>
      </c>
      <c r="L1988" t="s">
        <v>109</v>
      </c>
      <c r="M1988" t="s">
        <v>100</v>
      </c>
      <c r="N1988" t="s">
        <v>98</v>
      </c>
      <c r="O1988" t="s">
        <v>1256</v>
      </c>
    </row>
    <row r="1989" spans="1:15" x14ac:dyDescent="0.3">
      <c r="A1989" s="130">
        <v>10294</v>
      </c>
      <c r="B1989" s="130">
        <v>90</v>
      </c>
      <c r="C1989" s="130" t="s">
        <v>3613</v>
      </c>
      <c r="D1989">
        <v>15829</v>
      </c>
      <c r="E1989" s="131">
        <v>35234509</v>
      </c>
      <c r="F1989" t="s">
        <v>87</v>
      </c>
      <c r="G1989">
        <v>9135</v>
      </c>
      <c r="H1989" t="s">
        <v>8952</v>
      </c>
      <c r="I1989" s="130">
        <v>18</v>
      </c>
      <c r="J1989" t="s">
        <v>3613</v>
      </c>
      <c r="K1989" t="s">
        <v>95</v>
      </c>
      <c r="L1989" t="s">
        <v>102</v>
      </c>
      <c r="M1989" t="s">
        <v>170</v>
      </c>
      <c r="N1989" t="s">
        <v>114</v>
      </c>
      <c r="O1989" t="s">
        <v>116</v>
      </c>
    </row>
    <row r="1990" spans="1:15" x14ac:dyDescent="0.3">
      <c r="A1990" s="130">
        <v>10300</v>
      </c>
      <c r="B1990" s="130">
        <v>28</v>
      </c>
      <c r="C1990" s="130" t="s">
        <v>3614</v>
      </c>
      <c r="D1990">
        <v>15836</v>
      </c>
      <c r="E1990" s="130">
        <v>38377844</v>
      </c>
      <c r="F1990" t="s">
        <v>87</v>
      </c>
      <c r="G1990">
        <v>9135</v>
      </c>
      <c r="H1990" t="s">
        <v>8953</v>
      </c>
      <c r="I1990" s="130">
        <v>37</v>
      </c>
      <c r="J1990" t="s">
        <v>3614</v>
      </c>
      <c r="K1990" t="s">
        <v>95</v>
      </c>
      <c r="L1990" t="s">
        <v>138</v>
      </c>
      <c r="M1990" t="s">
        <v>130</v>
      </c>
      <c r="N1990" t="s">
        <v>150</v>
      </c>
      <c r="O1990" t="s">
        <v>116</v>
      </c>
    </row>
    <row r="1991" spans="1:15" x14ac:dyDescent="0.3">
      <c r="A1991" s="130">
        <v>10303</v>
      </c>
      <c r="B1991" s="130">
        <v>14</v>
      </c>
      <c r="C1991" s="130" t="s">
        <v>3615</v>
      </c>
      <c r="D1991">
        <v>15839</v>
      </c>
      <c r="E1991" s="130">
        <v>6036986</v>
      </c>
      <c r="F1991" t="s">
        <v>87</v>
      </c>
      <c r="G1991">
        <v>358</v>
      </c>
      <c r="H1991" t="s">
        <v>8951</v>
      </c>
      <c r="I1991" s="130">
        <v>3</v>
      </c>
      <c r="J1991" t="s">
        <v>3615</v>
      </c>
      <c r="K1991" t="s">
        <v>108</v>
      </c>
      <c r="L1991" t="s">
        <v>109</v>
      </c>
      <c r="M1991" t="s">
        <v>179</v>
      </c>
      <c r="N1991" t="s">
        <v>98</v>
      </c>
      <c r="O1991" t="s">
        <v>116</v>
      </c>
    </row>
    <row r="1992" spans="1:15" x14ac:dyDescent="0.3">
      <c r="A1992" s="130">
        <v>10314</v>
      </c>
      <c r="B1992" s="130">
        <v>21</v>
      </c>
      <c r="C1992" s="130" t="s">
        <v>3616</v>
      </c>
      <c r="D1992">
        <v>15859</v>
      </c>
      <c r="E1992" s="130">
        <v>36089898</v>
      </c>
      <c r="F1992" t="s">
        <v>87</v>
      </c>
      <c r="G1992">
        <v>9135</v>
      </c>
      <c r="H1992" t="s">
        <v>8952</v>
      </c>
      <c r="I1992" s="130">
        <v>3</v>
      </c>
      <c r="J1992" t="s">
        <v>3616</v>
      </c>
      <c r="K1992" t="s">
        <v>108</v>
      </c>
      <c r="L1992" t="s">
        <v>111</v>
      </c>
      <c r="M1992" t="s">
        <v>137</v>
      </c>
      <c r="N1992" t="s">
        <v>98</v>
      </c>
      <c r="O1992" t="s">
        <v>1345</v>
      </c>
    </row>
    <row r="1993" spans="1:15" x14ac:dyDescent="0.3">
      <c r="A1993" s="130">
        <v>10315</v>
      </c>
      <c r="B1993" s="130">
        <v>18</v>
      </c>
      <c r="C1993" s="130" t="s">
        <v>3617</v>
      </c>
      <c r="D1993">
        <v>15860</v>
      </c>
      <c r="E1993" s="130">
        <v>33767</v>
      </c>
      <c r="F1993" t="s">
        <v>87</v>
      </c>
      <c r="G1993">
        <v>9135</v>
      </c>
      <c r="H1993" t="s">
        <v>8953</v>
      </c>
      <c r="I1993" s="130">
        <v>9</v>
      </c>
      <c r="J1993" t="s">
        <v>3617</v>
      </c>
      <c r="K1993" t="s">
        <v>108</v>
      </c>
      <c r="L1993" t="s">
        <v>163</v>
      </c>
      <c r="M1993" t="s">
        <v>112</v>
      </c>
      <c r="N1993" t="s">
        <v>107</v>
      </c>
      <c r="O1993" t="s">
        <v>1345</v>
      </c>
    </row>
    <row r="1994" spans="1:15" x14ac:dyDescent="0.3">
      <c r="A1994" s="130">
        <v>10316</v>
      </c>
      <c r="B1994" s="130">
        <v>30</v>
      </c>
      <c r="C1994" s="130" t="s">
        <v>3618</v>
      </c>
      <c r="D1994">
        <v>15861</v>
      </c>
      <c r="E1994" s="131">
        <v>18209965</v>
      </c>
      <c r="F1994" t="s">
        <v>87</v>
      </c>
      <c r="G1994">
        <v>9135</v>
      </c>
      <c r="H1994" t="s">
        <v>8951</v>
      </c>
      <c r="I1994" s="131">
        <v>3</v>
      </c>
      <c r="J1994" t="s">
        <v>3618</v>
      </c>
      <c r="K1994" t="s">
        <v>108</v>
      </c>
      <c r="L1994" t="s">
        <v>111</v>
      </c>
      <c r="M1994" t="s">
        <v>103</v>
      </c>
      <c r="N1994" t="s">
        <v>98</v>
      </c>
      <c r="O1994" t="s">
        <v>116</v>
      </c>
    </row>
    <row r="1995" spans="1:15" x14ac:dyDescent="0.3">
      <c r="A1995" s="130">
        <v>10335</v>
      </c>
      <c r="B1995" s="130">
        <v>30</v>
      </c>
      <c r="C1995" s="130" t="s">
        <v>3619</v>
      </c>
      <c r="D1995">
        <v>15899</v>
      </c>
      <c r="E1995" s="131">
        <v>8260577</v>
      </c>
      <c r="F1995" t="s">
        <v>87</v>
      </c>
      <c r="G1995">
        <v>9135</v>
      </c>
      <c r="H1995" t="s">
        <v>8952</v>
      </c>
      <c r="I1995" s="130">
        <v>18</v>
      </c>
      <c r="J1995" t="s">
        <v>3619</v>
      </c>
      <c r="K1995" t="s">
        <v>108</v>
      </c>
      <c r="L1995" t="s">
        <v>123</v>
      </c>
      <c r="M1995" t="s">
        <v>103</v>
      </c>
      <c r="N1995" t="s">
        <v>98</v>
      </c>
      <c r="O1995" t="s">
        <v>116</v>
      </c>
    </row>
    <row r="1996" spans="1:15" x14ac:dyDescent="0.3">
      <c r="A1996" s="130">
        <v>10339</v>
      </c>
      <c r="B1996" s="130">
        <v>0</v>
      </c>
      <c r="C1996" s="130" t="s">
        <v>3620</v>
      </c>
      <c r="D1996">
        <v>15908</v>
      </c>
      <c r="E1996" s="130">
        <v>11152629</v>
      </c>
      <c r="F1996" t="s">
        <v>87</v>
      </c>
      <c r="G1996">
        <v>358</v>
      </c>
      <c r="H1996" t="s">
        <v>8953</v>
      </c>
      <c r="I1996" s="131">
        <v>9</v>
      </c>
      <c r="J1996" t="s">
        <v>3620</v>
      </c>
      <c r="K1996" t="s">
        <v>108</v>
      </c>
      <c r="L1996" t="s">
        <v>105</v>
      </c>
      <c r="M1996" t="s">
        <v>100</v>
      </c>
      <c r="N1996" t="s">
        <v>101</v>
      </c>
      <c r="O1996" t="s">
        <v>116</v>
      </c>
    </row>
    <row r="1997" spans="1:15" x14ac:dyDescent="0.3">
      <c r="A1997" s="130">
        <v>10341</v>
      </c>
      <c r="B1997" s="130">
        <v>-1</v>
      </c>
      <c r="C1997" s="130" t="s">
        <v>3621</v>
      </c>
      <c r="D1997">
        <v>15913</v>
      </c>
      <c r="E1997" s="130">
        <v>38260778</v>
      </c>
      <c r="F1997" t="s">
        <v>87</v>
      </c>
      <c r="G1997">
        <v>9135</v>
      </c>
      <c r="H1997" t="s">
        <v>8951</v>
      </c>
      <c r="I1997" s="130">
        <v>9</v>
      </c>
      <c r="J1997" t="s">
        <v>3621</v>
      </c>
      <c r="K1997" t="s">
        <v>95</v>
      </c>
      <c r="L1997" t="s">
        <v>125</v>
      </c>
      <c r="M1997" t="s">
        <v>174</v>
      </c>
      <c r="N1997" t="s">
        <v>114</v>
      </c>
      <c r="O1997" t="s">
        <v>1345</v>
      </c>
    </row>
    <row r="1998" spans="1:15" x14ac:dyDescent="0.3">
      <c r="A1998" s="130">
        <v>10347</v>
      </c>
      <c r="B1998" s="130">
        <v>30</v>
      </c>
      <c r="C1998" s="130" t="s">
        <v>3622</v>
      </c>
      <c r="D1998">
        <v>15926</v>
      </c>
      <c r="E1998" s="130">
        <v>19235340</v>
      </c>
      <c r="F1998" t="s">
        <v>87</v>
      </c>
      <c r="G1998">
        <v>9135</v>
      </c>
      <c r="H1998" t="s">
        <v>8952</v>
      </c>
      <c r="I1998" s="130">
        <v>10</v>
      </c>
      <c r="J1998" t="s">
        <v>3622</v>
      </c>
      <c r="K1998" t="s">
        <v>95</v>
      </c>
      <c r="L1998" t="s">
        <v>127</v>
      </c>
      <c r="M1998" t="s">
        <v>103</v>
      </c>
      <c r="N1998" t="s">
        <v>118</v>
      </c>
      <c r="O1998" t="s">
        <v>1345</v>
      </c>
    </row>
    <row r="1999" spans="1:15" x14ac:dyDescent="0.3">
      <c r="A1999" s="130">
        <v>10348</v>
      </c>
      <c r="B1999" s="130">
        <v>30</v>
      </c>
      <c r="C1999" s="130" t="s">
        <v>3623</v>
      </c>
      <c r="D1999">
        <v>15927</v>
      </c>
      <c r="E1999" s="130">
        <v>1704488</v>
      </c>
      <c r="F1999" t="s">
        <v>87</v>
      </c>
      <c r="G1999">
        <v>358</v>
      </c>
      <c r="H1999" t="s">
        <v>8953</v>
      </c>
      <c r="I1999" s="131">
        <v>10</v>
      </c>
      <c r="J1999" t="s">
        <v>3623</v>
      </c>
      <c r="K1999" t="s">
        <v>95</v>
      </c>
      <c r="L1999" t="s">
        <v>105</v>
      </c>
      <c r="M1999" t="s">
        <v>103</v>
      </c>
      <c r="N1999" t="s">
        <v>98</v>
      </c>
      <c r="O1999" t="s">
        <v>1345</v>
      </c>
    </row>
    <row r="2000" spans="1:15" x14ac:dyDescent="0.3">
      <c r="A2000" s="130">
        <v>10352</v>
      </c>
      <c r="B2000" s="130">
        <v>18</v>
      </c>
      <c r="C2000" s="130" t="s">
        <v>3624</v>
      </c>
      <c r="D2000">
        <v>15931</v>
      </c>
      <c r="E2000" s="130">
        <v>31187368</v>
      </c>
      <c r="F2000" t="s">
        <v>87</v>
      </c>
      <c r="G2000">
        <v>9135</v>
      </c>
      <c r="H2000" t="s">
        <v>8951</v>
      </c>
      <c r="I2000" s="131">
        <v>26</v>
      </c>
      <c r="J2000" t="s">
        <v>3624</v>
      </c>
      <c r="K2000" t="s">
        <v>108</v>
      </c>
      <c r="L2000" t="s">
        <v>151</v>
      </c>
      <c r="M2000" t="s">
        <v>112</v>
      </c>
      <c r="N2000" t="s">
        <v>169</v>
      </c>
      <c r="O2000" t="s">
        <v>1345</v>
      </c>
    </row>
    <row r="2001" spans="1:15" x14ac:dyDescent="0.3">
      <c r="A2001" s="130">
        <v>10361</v>
      </c>
      <c r="B2001" s="130">
        <v>30</v>
      </c>
      <c r="C2001" s="130" t="s">
        <v>3625</v>
      </c>
      <c r="D2001">
        <v>15933</v>
      </c>
      <c r="E2001" s="131">
        <v>8343492</v>
      </c>
      <c r="F2001" t="s">
        <v>87</v>
      </c>
      <c r="G2001">
        <v>9135</v>
      </c>
      <c r="H2001" t="s">
        <v>8952</v>
      </c>
      <c r="I2001" s="131">
        <v>37</v>
      </c>
      <c r="J2001" t="s">
        <v>3625</v>
      </c>
      <c r="K2001" t="s">
        <v>95</v>
      </c>
      <c r="L2001" t="s">
        <v>138</v>
      </c>
      <c r="M2001" t="s">
        <v>103</v>
      </c>
      <c r="N2001" t="s">
        <v>150</v>
      </c>
      <c r="O2001" t="s">
        <v>1345</v>
      </c>
    </row>
    <row r="2002" spans="1:15" x14ac:dyDescent="0.3">
      <c r="A2002" s="130">
        <v>10365</v>
      </c>
      <c r="B2002" s="130">
        <v>30</v>
      </c>
      <c r="C2002" s="130" t="s">
        <v>3626</v>
      </c>
      <c r="D2002">
        <v>15947</v>
      </c>
      <c r="E2002" s="130">
        <v>36178464</v>
      </c>
      <c r="F2002" t="s">
        <v>87</v>
      </c>
      <c r="G2002">
        <v>9135</v>
      </c>
      <c r="H2002" t="s">
        <v>8953</v>
      </c>
      <c r="I2002" s="130">
        <v>37</v>
      </c>
      <c r="J2002" t="s">
        <v>3626</v>
      </c>
      <c r="K2002" t="s">
        <v>95</v>
      </c>
      <c r="L2002" t="s">
        <v>138</v>
      </c>
      <c r="M2002" t="s">
        <v>103</v>
      </c>
      <c r="N2002" t="s">
        <v>150</v>
      </c>
      <c r="O2002" t="s">
        <v>1345</v>
      </c>
    </row>
    <row r="2003" spans="1:15" x14ac:dyDescent="0.3">
      <c r="A2003" s="130">
        <v>10367</v>
      </c>
      <c r="B2003" s="130">
        <v>10</v>
      </c>
      <c r="C2003" s="130" t="s">
        <v>3627</v>
      </c>
      <c r="D2003">
        <v>15954</v>
      </c>
      <c r="E2003" s="131">
        <v>25699174</v>
      </c>
      <c r="F2003" t="s">
        <v>87</v>
      </c>
      <c r="G2003">
        <v>358</v>
      </c>
      <c r="H2003" t="s">
        <v>8951</v>
      </c>
      <c r="I2003" s="130">
        <v>3</v>
      </c>
      <c r="J2003" t="s">
        <v>3627</v>
      </c>
      <c r="K2003" t="s">
        <v>108</v>
      </c>
      <c r="L2003" t="s">
        <v>109</v>
      </c>
      <c r="M2003" t="s">
        <v>133</v>
      </c>
      <c r="N2003" t="s">
        <v>98</v>
      </c>
      <c r="O2003" t="s">
        <v>1345</v>
      </c>
    </row>
    <row r="2004" spans="1:15" x14ac:dyDescent="0.3">
      <c r="A2004" s="130">
        <v>10368</v>
      </c>
      <c r="B2004" s="130">
        <v>30</v>
      </c>
      <c r="C2004" s="130" t="s">
        <v>3628</v>
      </c>
      <c r="D2004">
        <v>15955</v>
      </c>
      <c r="E2004" s="130">
        <v>8343492</v>
      </c>
      <c r="F2004" t="s">
        <v>87</v>
      </c>
      <c r="G2004">
        <v>9135</v>
      </c>
      <c r="H2004" t="s">
        <v>8952</v>
      </c>
      <c r="I2004" s="131">
        <v>37</v>
      </c>
      <c r="J2004" t="s">
        <v>3628</v>
      </c>
      <c r="K2004" t="s">
        <v>95</v>
      </c>
      <c r="L2004" t="s">
        <v>138</v>
      </c>
      <c r="M2004" t="s">
        <v>103</v>
      </c>
      <c r="N2004" t="s">
        <v>150</v>
      </c>
      <c r="O2004" t="s">
        <v>1345</v>
      </c>
    </row>
    <row r="2005" spans="1:15" x14ac:dyDescent="0.3">
      <c r="A2005" s="130">
        <v>10371</v>
      </c>
      <c r="B2005" s="130">
        <v>90</v>
      </c>
      <c r="C2005" s="130" t="s">
        <v>3629</v>
      </c>
      <c r="D2005">
        <v>15959</v>
      </c>
      <c r="E2005" s="131">
        <v>35234509</v>
      </c>
      <c r="F2005" t="s">
        <v>87</v>
      </c>
      <c r="G2005">
        <v>9135</v>
      </c>
      <c r="H2005" t="s">
        <v>8953</v>
      </c>
      <c r="I2005" s="130">
        <v>19</v>
      </c>
      <c r="J2005" t="s">
        <v>3629</v>
      </c>
      <c r="K2005" t="s">
        <v>95</v>
      </c>
      <c r="L2005" t="s">
        <v>102</v>
      </c>
      <c r="M2005" t="s">
        <v>170</v>
      </c>
      <c r="N2005" t="s">
        <v>114</v>
      </c>
      <c r="O2005" t="s">
        <v>116</v>
      </c>
    </row>
    <row r="2006" spans="1:15" x14ac:dyDescent="0.3">
      <c r="A2006" s="130">
        <v>10384</v>
      </c>
      <c r="B2006" s="130">
        <v>30</v>
      </c>
      <c r="C2006" s="130" t="s">
        <v>3630</v>
      </c>
      <c r="D2006">
        <v>15985</v>
      </c>
      <c r="E2006" s="131">
        <v>33000167</v>
      </c>
      <c r="F2006" t="s">
        <v>87</v>
      </c>
      <c r="G2006">
        <v>9135</v>
      </c>
      <c r="H2006" t="s">
        <v>8951</v>
      </c>
      <c r="I2006" s="130">
        <v>24</v>
      </c>
      <c r="J2006" t="s">
        <v>3630</v>
      </c>
      <c r="K2006" t="s">
        <v>95</v>
      </c>
      <c r="L2006" t="s">
        <v>102</v>
      </c>
      <c r="M2006" t="s">
        <v>103</v>
      </c>
      <c r="N2006" t="s">
        <v>114</v>
      </c>
      <c r="O2006" t="s">
        <v>116</v>
      </c>
    </row>
    <row r="2007" spans="1:15" x14ac:dyDescent="0.3">
      <c r="A2007" s="130">
        <v>10389</v>
      </c>
      <c r="B2007" s="130">
        <v>10</v>
      </c>
      <c r="C2007" s="130" t="s">
        <v>3631</v>
      </c>
      <c r="D2007">
        <v>15990</v>
      </c>
      <c r="E2007" s="130">
        <v>83495275</v>
      </c>
      <c r="F2007" t="s">
        <v>87</v>
      </c>
      <c r="G2007">
        <v>9135</v>
      </c>
      <c r="H2007" t="s">
        <v>8952</v>
      </c>
      <c r="I2007" s="131">
        <v>26</v>
      </c>
      <c r="J2007" t="s">
        <v>3631</v>
      </c>
      <c r="K2007" t="s">
        <v>108</v>
      </c>
      <c r="L2007" t="s">
        <v>1293</v>
      </c>
      <c r="M2007" t="s">
        <v>133</v>
      </c>
      <c r="N2007" t="s">
        <v>98</v>
      </c>
      <c r="O2007" t="s">
        <v>1345</v>
      </c>
    </row>
    <row r="2008" spans="1:15" x14ac:dyDescent="0.3">
      <c r="A2008" s="130">
        <v>10391</v>
      </c>
      <c r="B2008" s="130">
        <v>30</v>
      </c>
      <c r="C2008" s="130" t="s">
        <v>3632</v>
      </c>
      <c r="D2008">
        <v>15993</v>
      </c>
      <c r="E2008" s="130">
        <v>32265293</v>
      </c>
      <c r="F2008" t="s">
        <v>87</v>
      </c>
      <c r="G2008">
        <v>77</v>
      </c>
      <c r="H2008" t="s">
        <v>8953</v>
      </c>
      <c r="I2008" s="130">
        <v>3</v>
      </c>
      <c r="J2008" t="s">
        <v>3632</v>
      </c>
      <c r="K2008" t="s">
        <v>95</v>
      </c>
      <c r="L2008" t="s">
        <v>256</v>
      </c>
      <c r="M2008" t="s">
        <v>103</v>
      </c>
      <c r="N2008" t="s">
        <v>98</v>
      </c>
      <c r="O2008" t="s">
        <v>1345</v>
      </c>
    </row>
    <row r="2009" spans="1:15" x14ac:dyDescent="0.3">
      <c r="A2009" s="130">
        <v>10394</v>
      </c>
      <c r="B2009" s="130">
        <v>15</v>
      </c>
      <c r="C2009" s="130" t="s">
        <v>3633</v>
      </c>
      <c r="D2009">
        <v>15920</v>
      </c>
      <c r="E2009" s="130">
        <v>10228340</v>
      </c>
      <c r="F2009" t="s">
        <v>87</v>
      </c>
      <c r="G2009">
        <v>9135</v>
      </c>
      <c r="H2009" t="s">
        <v>8951</v>
      </c>
      <c r="I2009" s="130">
        <v>37</v>
      </c>
      <c r="J2009" t="s">
        <v>3633</v>
      </c>
      <c r="K2009" t="s">
        <v>95</v>
      </c>
      <c r="L2009" t="s">
        <v>144</v>
      </c>
      <c r="M2009" t="s">
        <v>145</v>
      </c>
      <c r="N2009" t="s">
        <v>118</v>
      </c>
      <c r="O2009" t="s">
        <v>116</v>
      </c>
    </row>
    <row r="2010" spans="1:15" x14ac:dyDescent="0.3">
      <c r="A2010" s="130">
        <v>10423</v>
      </c>
      <c r="B2010" s="130">
        <v>18</v>
      </c>
      <c r="C2010" s="130" t="s">
        <v>3634</v>
      </c>
      <c r="D2010">
        <v>16034</v>
      </c>
      <c r="E2010" s="130">
        <v>8847174</v>
      </c>
      <c r="F2010" t="s">
        <v>87</v>
      </c>
      <c r="G2010">
        <v>9135</v>
      </c>
      <c r="H2010" t="s">
        <v>8952</v>
      </c>
      <c r="I2010" s="130">
        <v>10</v>
      </c>
      <c r="J2010" t="s">
        <v>3634</v>
      </c>
      <c r="K2010" t="s">
        <v>108</v>
      </c>
      <c r="L2010" t="s">
        <v>127</v>
      </c>
      <c r="M2010" t="s">
        <v>112</v>
      </c>
      <c r="N2010" t="s">
        <v>141</v>
      </c>
      <c r="O2010" t="s">
        <v>1345</v>
      </c>
    </row>
    <row r="2011" spans="1:15" x14ac:dyDescent="0.3">
      <c r="A2011" s="130">
        <v>10442</v>
      </c>
      <c r="B2011" s="130">
        <v>30</v>
      </c>
      <c r="C2011" s="130" t="s">
        <v>3635</v>
      </c>
      <c r="D2011">
        <v>16059</v>
      </c>
      <c r="E2011" s="131">
        <v>21681150</v>
      </c>
      <c r="F2011" t="s">
        <v>87</v>
      </c>
      <c r="G2011">
        <v>9135</v>
      </c>
      <c r="H2011" t="s">
        <v>8953</v>
      </c>
      <c r="I2011" s="130">
        <v>3</v>
      </c>
      <c r="J2011" t="s">
        <v>3635</v>
      </c>
      <c r="K2011" t="s">
        <v>95</v>
      </c>
      <c r="L2011" t="s">
        <v>111</v>
      </c>
      <c r="M2011" t="s">
        <v>103</v>
      </c>
      <c r="N2011" t="s">
        <v>98</v>
      </c>
      <c r="O2011" t="s">
        <v>1345</v>
      </c>
    </row>
    <row r="2012" spans="1:15" x14ac:dyDescent="0.3">
      <c r="A2012" s="130">
        <v>10448</v>
      </c>
      <c r="B2012" s="130">
        <v>30</v>
      </c>
      <c r="C2012" s="130" t="s">
        <v>3636</v>
      </c>
      <c r="D2012">
        <v>16069</v>
      </c>
      <c r="E2012" s="131">
        <v>19330112</v>
      </c>
      <c r="F2012" t="s">
        <v>87</v>
      </c>
      <c r="G2012">
        <v>77</v>
      </c>
      <c r="H2012" t="s">
        <v>8951</v>
      </c>
      <c r="I2012" s="130">
        <v>3</v>
      </c>
      <c r="J2012" t="s">
        <v>3636</v>
      </c>
      <c r="K2012" t="s">
        <v>95</v>
      </c>
      <c r="L2012" t="s">
        <v>256</v>
      </c>
      <c r="M2012" t="s">
        <v>103</v>
      </c>
      <c r="N2012" t="s">
        <v>98</v>
      </c>
      <c r="O2012" t="s">
        <v>1345</v>
      </c>
    </row>
    <row r="2013" spans="1:15" x14ac:dyDescent="0.3">
      <c r="A2013" s="130">
        <v>10461</v>
      </c>
      <c r="B2013" s="130">
        <v>0</v>
      </c>
      <c r="C2013" s="130" t="s">
        <v>3637</v>
      </c>
      <c r="D2013">
        <v>16088</v>
      </c>
      <c r="E2013" s="130">
        <v>23637112</v>
      </c>
      <c r="F2013" t="s">
        <v>87</v>
      </c>
      <c r="G2013">
        <v>9135</v>
      </c>
      <c r="H2013" t="s">
        <v>8952</v>
      </c>
      <c r="I2013" s="131">
        <v>19</v>
      </c>
      <c r="J2013" t="s">
        <v>3637</v>
      </c>
      <c r="K2013" t="s">
        <v>108</v>
      </c>
      <c r="L2013" t="s">
        <v>146</v>
      </c>
      <c r="M2013" t="s">
        <v>100</v>
      </c>
      <c r="N2013" t="s">
        <v>124</v>
      </c>
      <c r="O2013" t="s">
        <v>1345</v>
      </c>
    </row>
    <row r="2014" spans="1:15" x14ac:dyDescent="0.3">
      <c r="A2014" s="130">
        <v>10469</v>
      </c>
      <c r="B2014" s="130">
        <v>18</v>
      </c>
      <c r="C2014" s="130" t="s">
        <v>3638</v>
      </c>
      <c r="D2014">
        <v>16100</v>
      </c>
      <c r="E2014" s="131">
        <v>237518</v>
      </c>
      <c r="F2014" t="s">
        <v>87</v>
      </c>
      <c r="G2014">
        <v>358</v>
      </c>
      <c r="H2014" t="s">
        <v>8953</v>
      </c>
      <c r="I2014" s="130">
        <v>9</v>
      </c>
      <c r="J2014" t="s">
        <v>3638</v>
      </c>
      <c r="K2014" t="s">
        <v>95</v>
      </c>
      <c r="L2014" t="s">
        <v>105</v>
      </c>
      <c r="M2014" t="s">
        <v>112</v>
      </c>
      <c r="N2014" t="s">
        <v>98</v>
      </c>
      <c r="O2014" t="s">
        <v>1345</v>
      </c>
    </row>
    <row r="2015" spans="1:15" x14ac:dyDescent="0.3">
      <c r="A2015" s="130">
        <v>10470</v>
      </c>
      <c r="B2015" s="130">
        <v>18</v>
      </c>
      <c r="C2015" s="130" t="s">
        <v>3639</v>
      </c>
      <c r="D2015">
        <v>16103</v>
      </c>
      <c r="E2015" s="130">
        <v>237518</v>
      </c>
      <c r="F2015" t="s">
        <v>87</v>
      </c>
      <c r="G2015">
        <v>358</v>
      </c>
      <c r="H2015" t="s">
        <v>8951</v>
      </c>
      <c r="I2015" s="130">
        <v>10</v>
      </c>
      <c r="J2015" t="s">
        <v>3639</v>
      </c>
      <c r="K2015" t="s">
        <v>95</v>
      </c>
      <c r="L2015" t="s">
        <v>105</v>
      </c>
      <c r="M2015" t="s">
        <v>112</v>
      </c>
      <c r="N2015" t="s">
        <v>98</v>
      </c>
      <c r="O2015" t="s">
        <v>1345</v>
      </c>
    </row>
    <row r="2016" spans="1:15" x14ac:dyDescent="0.3">
      <c r="A2016" s="130">
        <v>10472</v>
      </c>
      <c r="B2016" s="130">
        <v>30</v>
      </c>
      <c r="C2016" s="130" t="s">
        <v>3640</v>
      </c>
      <c r="D2016">
        <v>16102</v>
      </c>
      <c r="E2016" s="131">
        <v>20096410000</v>
      </c>
      <c r="F2016" t="s">
        <v>87</v>
      </c>
      <c r="G2016">
        <v>9135</v>
      </c>
      <c r="H2016" t="s">
        <v>8952</v>
      </c>
      <c r="I2016" s="130">
        <v>38</v>
      </c>
      <c r="J2016" t="s">
        <v>3640</v>
      </c>
      <c r="K2016" t="s">
        <v>108</v>
      </c>
      <c r="L2016" t="s">
        <v>126</v>
      </c>
      <c r="M2016" t="s">
        <v>103</v>
      </c>
      <c r="N2016" t="s">
        <v>141</v>
      </c>
      <c r="O2016" t="s">
        <v>1345</v>
      </c>
    </row>
    <row r="2017" spans="1:15" x14ac:dyDescent="0.3">
      <c r="A2017" s="130">
        <v>10479</v>
      </c>
      <c r="B2017" s="130">
        <v>-1</v>
      </c>
      <c r="C2017" s="130" t="s">
        <v>3641</v>
      </c>
      <c r="D2017">
        <v>16115</v>
      </c>
      <c r="E2017" s="131">
        <v>24341819</v>
      </c>
      <c r="F2017" t="s">
        <v>87</v>
      </c>
      <c r="G2017">
        <v>9135</v>
      </c>
      <c r="H2017" t="s">
        <v>8953</v>
      </c>
      <c r="I2017" s="131">
        <v>9</v>
      </c>
      <c r="J2017" t="s">
        <v>3641</v>
      </c>
      <c r="K2017" t="s">
        <v>108</v>
      </c>
      <c r="L2017" t="s">
        <v>163</v>
      </c>
      <c r="M2017" t="s">
        <v>174</v>
      </c>
      <c r="N2017" t="s">
        <v>114</v>
      </c>
      <c r="O2017" t="s">
        <v>116</v>
      </c>
    </row>
    <row r="2018" spans="1:15" x14ac:dyDescent="0.3">
      <c r="A2018" s="130">
        <v>10486</v>
      </c>
      <c r="B2018" s="130">
        <v>30</v>
      </c>
      <c r="C2018" s="130" t="s">
        <v>3642</v>
      </c>
      <c r="D2018">
        <v>16120</v>
      </c>
      <c r="E2018" s="130">
        <v>32040030</v>
      </c>
      <c r="F2018" t="s">
        <v>87</v>
      </c>
      <c r="G2018">
        <v>9135</v>
      </c>
      <c r="H2018" t="s">
        <v>8951</v>
      </c>
      <c r="I2018" s="131">
        <v>18</v>
      </c>
      <c r="J2018" t="s">
        <v>3642</v>
      </c>
      <c r="K2018" t="s">
        <v>95</v>
      </c>
      <c r="L2018" t="s">
        <v>123</v>
      </c>
      <c r="M2018" t="s">
        <v>103</v>
      </c>
      <c r="N2018" t="s">
        <v>98</v>
      </c>
      <c r="O2018" t="s">
        <v>1345</v>
      </c>
    </row>
    <row r="2019" spans="1:15" x14ac:dyDescent="0.3">
      <c r="A2019" s="130">
        <v>10502</v>
      </c>
      <c r="B2019" s="130">
        <v>30</v>
      </c>
      <c r="C2019" s="130" t="s">
        <v>3643</v>
      </c>
      <c r="D2019">
        <v>16143</v>
      </c>
      <c r="E2019" s="131">
        <v>8343492</v>
      </c>
      <c r="F2019" t="s">
        <v>87</v>
      </c>
      <c r="G2019">
        <v>77</v>
      </c>
      <c r="H2019" t="s">
        <v>8952</v>
      </c>
      <c r="I2019" s="131">
        <v>18</v>
      </c>
      <c r="J2019" t="s">
        <v>3643</v>
      </c>
      <c r="K2019" t="s">
        <v>95</v>
      </c>
      <c r="L2019" t="s">
        <v>1255</v>
      </c>
      <c r="M2019" t="s">
        <v>103</v>
      </c>
      <c r="N2019" t="s">
        <v>98</v>
      </c>
      <c r="O2019" t="s">
        <v>1345</v>
      </c>
    </row>
    <row r="2020" spans="1:15" x14ac:dyDescent="0.3">
      <c r="A2020" s="130">
        <v>10503</v>
      </c>
      <c r="B2020" s="130">
        <v>30</v>
      </c>
      <c r="C2020" s="130" t="s">
        <v>3644</v>
      </c>
      <c r="D2020">
        <v>16145</v>
      </c>
      <c r="E2020" s="130">
        <v>33193996</v>
      </c>
      <c r="F2020" t="s">
        <v>87</v>
      </c>
      <c r="G2020">
        <v>9135</v>
      </c>
      <c r="H2020" t="s">
        <v>8953</v>
      </c>
      <c r="I2020" s="130">
        <v>3</v>
      </c>
      <c r="J2020" t="s">
        <v>3644</v>
      </c>
      <c r="K2020" t="s">
        <v>95</v>
      </c>
      <c r="L2020" t="s">
        <v>111</v>
      </c>
      <c r="M2020" t="s">
        <v>103</v>
      </c>
      <c r="N2020" t="s">
        <v>98</v>
      </c>
      <c r="O2020" t="s">
        <v>1345</v>
      </c>
    </row>
    <row r="2021" spans="1:15" x14ac:dyDescent="0.3">
      <c r="A2021" s="130">
        <v>10523</v>
      </c>
      <c r="B2021" s="130">
        <v>30</v>
      </c>
      <c r="C2021" s="130" t="s">
        <v>3645</v>
      </c>
      <c r="D2021">
        <v>16177</v>
      </c>
      <c r="E2021" s="130">
        <v>10736565</v>
      </c>
      <c r="F2021" t="s">
        <v>87</v>
      </c>
      <c r="G2021">
        <v>9135</v>
      </c>
      <c r="H2021" t="s">
        <v>8951</v>
      </c>
      <c r="I2021" s="131">
        <v>9</v>
      </c>
      <c r="J2021" t="s">
        <v>3645</v>
      </c>
      <c r="K2021" t="s">
        <v>95</v>
      </c>
      <c r="L2021" t="s">
        <v>163</v>
      </c>
      <c r="M2021" t="s">
        <v>103</v>
      </c>
      <c r="N2021" t="s">
        <v>114</v>
      </c>
      <c r="O2021" t="s">
        <v>1345</v>
      </c>
    </row>
    <row r="2022" spans="1:15" x14ac:dyDescent="0.3">
      <c r="A2022" s="130">
        <v>10531</v>
      </c>
      <c r="B2022" s="130">
        <v>60</v>
      </c>
      <c r="C2022" s="130" t="s">
        <v>3646</v>
      </c>
      <c r="D2022">
        <v>16185</v>
      </c>
      <c r="E2022" s="130">
        <v>17185786</v>
      </c>
      <c r="F2022" t="s">
        <v>87</v>
      </c>
      <c r="G2022">
        <v>358</v>
      </c>
      <c r="H2022" t="s">
        <v>8952</v>
      </c>
      <c r="I2022" s="130">
        <v>10</v>
      </c>
      <c r="J2022" t="s">
        <v>3646</v>
      </c>
      <c r="K2022" t="s">
        <v>95</v>
      </c>
      <c r="L2022" t="s">
        <v>105</v>
      </c>
      <c r="M2022" t="s">
        <v>97</v>
      </c>
      <c r="N2022" t="s">
        <v>98</v>
      </c>
      <c r="O2022" t="s">
        <v>1345</v>
      </c>
    </row>
    <row r="2023" spans="1:15" x14ac:dyDescent="0.3">
      <c r="A2023" s="130">
        <v>10537</v>
      </c>
      <c r="B2023" s="130">
        <v>-1</v>
      </c>
      <c r="C2023" s="130" t="s">
        <v>3647</v>
      </c>
      <c r="D2023">
        <v>16199</v>
      </c>
      <c r="E2023" s="130">
        <v>779721</v>
      </c>
      <c r="F2023" t="s">
        <v>87</v>
      </c>
      <c r="G2023">
        <v>9135</v>
      </c>
      <c r="H2023" t="s">
        <v>8953</v>
      </c>
      <c r="I2023" s="130">
        <v>18</v>
      </c>
      <c r="J2023" t="s">
        <v>3647</v>
      </c>
      <c r="K2023" t="s">
        <v>108</v>
      </c>
      <c r="L2023" t="s">
        <v>123</v>
      </c>
      <c r="M2023" t="s">
        <v>174</v>
      </c>
      <c r="N2023" t="s">
        <v>152</v>
      </c>
      <c r="O2023" t="s">
        <v>1345</v>
      </c>
    </row>
    <row r="2024" spans="1:15" x14ac:dyDescent="0.3">
      <c r="A2024" s="130">
        <v>10544</v>
      </c>
      <c r="B2024" s="130">
        <v>90</v>
      </c>
      <c r="C2024" s="130" t="s">
        <v>3648</v>
      </c>
      <c r="D2024">
        <v>16206</v>
      </c>
      <c r="E2024" s="130">
        <v>655209</v>
      </c>
      <c r="F2024" t="s">
        <v>87</v>
      </c>
      <c r="G2024">
        <v>9135</v>
      </c>
      <c r="H2024" t="s">
        <v>8951</v>
      </c>
      <c r="I2024" s="130">
        <v>9</v>
      </c>
      <c r="J2024" t="s">
        <v>3648</v>
      </c>
      <c r="K2024" t="s">
        <v>95</v>
      </c>
      <c r="L2024" t="s">
        <v>163</v>
      </c>
      <c r="M2024" t="s">
        <v>170</v>
      </c>
      <c r="N2024" t="s">
        <v>118</v>
      </c>
      <c r="O2024" t="s">
        <v>116</v>
      </c>
    </row>
    <row r="2025" spans="1:15" x14ac:dyDescent="0.3">
      <c r="A2025" s="130">
        <v>10550</v>
      </c>
      <c r="B2025" s="130">
        <v>60</v>
      </c>
      <c r="C2025" s="130" t="s">
        <v>3649</v>
      </c>
      <c r="D2025">
        <v>16219</v>
      </c>
      <c r="E2025" s="130">
        <v>9625762</v>
      </c>
      <c r="F2025" t="s">
        <v>87</v>
      </c>
      <c r="G2025">
        <v>9135</v>
      </c>
      <c r="H2025" t="s">
        <v>8952</v>
      </c>
      <c r="I2025" s="130">
        <v>19</v>
      </c>
      <c r="J2025" t="s">
        <v>3649</v>
      </c>
      <c r="K2025" t="s">
        <v>95</v>
      </c>
      <c r="L2025" t="s">
        <v>1368</v>
      </c>
      <c r="M2025" t="s">
        <v>97</v>
      </c>
      <c r="N2025" t="s">
        <v>150</v>
      </c>
      <c r="O2025" t="s">
        <v>116</v>
      </c>
    </row>
    <row r="2026" spans="1:15" x14ac:dyDescent="0.3">
      <c r="A2026" s="130">
        <v>10552</v>
      </c>
      <c r="B2026" s="130">
        <v>60</v>
      </c>
      <c r="C2026" s="130" t="s">
        <v>3650</v>
      </c>
      <c r="D2026">
        <v>16221</v>
      </c>
      <c r="E2026" s="131">
        <v>9625762</v>
      </c>
      <c r="F2026" t="s">
        <v>87</v>
      </c>
      <c r="G2026">
        <v>9135</v>
      </c>
      <c r="H2026" t="s">
        <v>8953</v>
      </c>
      <c r="I2026" s="131">
        <v>19</v>
      </c>
      <c r="J2026" t="s">
        <v>3650</v>
      </c>
      <c r="K2026" t="s">
        <v>95</v>
      </c>
      <c r="L2026" t="s">
        <v>159</v>
      </c>
      <c r="M2026" t="s">
        <v>97</v>
      </c>
      <c r="N2026" t="s">
        <v>150</v>
      </c>
      <c r="O2026" t="s">
        <v>1345</v>
      </c>
    </row>
    <row r="2027" spans="1:15" x14ac:dyDescent="0.3">
      <c r="A2027" s="130">
        <v>10561</v>
      </c>
      <c r="B2027" s="130">
        <v>15</v>
      </c>
      <c r="C2027" s="130" t="s">
        <v>3651</v>
      </c>
      <c r="D2027">
        <v>16064</v>
      </c>
      <c r="E2027" s="130">
        <v>55183248</v>
      </c>
      <c r="F2027" t="s">
        <v>87</v>
      </c>
      <c r="G2027">
        <v>9135</v>
      </c>
      <c r="H2027" t="s">
        <v>8951</v>
      </c>
      <c r="I2027" s="131">
        <v>37</v>
      </c>
      <c r="J2027" t="s">
        <v>3651</v>
      </c>
      <c r="K2027" t="s">
        <v>108</v>
      </c>
      <c r="L2027" t="s">
        <v>120</v>
      </c>
      <c r="M2027" t="s">
        <v>145</v>
      </c>
      <c r="N2027" t="s">
        <v>114</v>
      </c>
      <c r="O2027" t="s">
        <v>1345</v>
      </c>
    </row>
    <row r="2028" spans="1:15" x14ac:dyDescent="0.3">
      <c r="A2028" s="130">
        <v>10563</v>
      </c>
      <c r="B2028" s="130">
        <v>-1</v>
      </c>
      <c r="C2028" s="130" t="s">
        <v>3652</v>
      </c>
      <c r="D2028">
        <v>16231</v>
      </c>
      <c r="E2028" s="130">
        <v>4633717</v>
      </c>
      <c r="F2028" t="s">
        <v>87</v>
      </c>
      <c r="G2028">
        <v>9135</v>
      </c>
      <c r="H2028" t="s">
        <v>8952</v>
      </c>
      <c r="I2028" s="130">
        <v>3</v>
      </c>
      <c r="J2028" t="s">
        <v>3652</v>
      </c>
      <c r="K2028" t="s">
        <v>108</v>
      </c>
      <c r="L2028" t="s">
        <v>111</v>
      </c>
      <c r="M2028" t="s">
        <v>174</v>
      </c>
      <c r="N2028" t="s">
        <v>98</v>
      </c>
      <c r="O2028" t="s">
        <v>116</v>
      </c>
    </row>
    <row r="2029" spans="1:15" x14ac:dyDescent="0.3">
      <c r="A2029" s="130">
        <v>10574</v>
      </c>
      <c r="B2029" s="130">
        <v>2</v>
      </c>
      <c r="C2029" s="130" t="s">
        <v>3653</v>
      </c>
      <c r="D2029">
        <v>16247</v>
      </c>
      <c r="E2029" s="131">
        <v>38696365</v>
      </c>
      <c r="F2029" t="s">
        <v>87</v>
      </c>
      <c r="G2029">
        <v>358</v>
      </c>
      <c r="H2029" t="s">
        <v>8953</v>
      </c>
      <c r="I2029" s="130">
        <v>9</v>
      </c>
      <c r="J2029" t="s">
        <v>3653</v>
      </c>
      <c r="K2029" t="s">
        <v>95</v>
      </c>
      <c r="L2029" t="s">
        <v>105</v>
      </c>
      <c r="M2029" t="s">
        <v>1261</v>
      </c>
      <c r="N2029" t="s">
        <v>98</v>
      </c>
      <c r="O2029" t="s">
        <v>1345</v>
      </c>
    </row>
    <row r="2030" spans="1:15" x14ac:dyDescent="0.3">
      <c r="A2030" s="130">
        <v>10575</v>
      </c>
      <c r="B2030" s="130">
        <v>30</v>
      </c>
      <c r="C2030" s="130" t="s">
        <v>3654</v>
      </c>
      <c r="D2030">
        <v>16248</v>
      </c>
      <c r="E2030" s="131">
        <v>17193590</v>
      </c>
      <c r="F2030" t="s">
        <v>87</v>
      </c>
      <c r="G2030">
        <v>77</v>
      </c>
      <c r="H2030" t="s">
        <v>8951</v>
      </c>
      <c r="I2030" s="130">
        <v>3</v>
      </c>
      <c r="J2030" t="s">
        <v>3654</v>
      </c>
      <c r="K2030" t="s">
        <v>95</v>
      </c>
      <c r="L2030" t="s">
        <v>1255</v>
      </c>
      <c r="M2030" t="s">
        <v>103</v>
      </c>
      <c r="N2030" t="s">
        <v>98</v>
      </c>
      <c r="O2030" t="s">
        <v>1345</v>
      </c>
    </row>
    <row r="2031" spans="1:15" x14ac:dyDescent="0.3">
      <c r="A2031" s="130">
        <v>10601</v>
      </c>
      <c r="B2031" s="130">
        <v>-1</v>
      </c>
      <c r="C2031" s="130" t="s">
        <v>3655</v>
      </c>
      <c r="D2031">
        <v>16287</v>
      </c>
      <c r="E2031" s="131">
        <v>4695289</v>
      </c>
      <c r="F2031" t="s">
        <v>87</v>
      </c>
      <c r="G2031">
        <v>9135</v>
      </c>
      <c r="H2031" t="s">
        <v>8952</v>
      </c>
      <c r="I2031" s="131">
        <v>10</v>
      </c>
      <c r="J2031" t="s">
        <v>3655</v>
      </c>
      <c r="K2031" t="s">
        <v>108</v>
      </c>
      <c r="L2031" t="s">
        <v>127</v>
      </c>
      <c r="M2031" t="s">
        <v>174</v>
      </c>
      <c r="N2031" t="s">
        <v>118</v>
      </c>
      <c r="O2031" t="s">
        <v>1345</v>
      </c>
    </row>
    <row r="2032" spans="1:15" x14ac:dyDescent="0.3">
      <c r="A2032" s="130">
        <v>10603</v>
      </c>
      <c r="B2032" s="130">
        <v>10</v>
      </c>
      <c r="C2032" s="130" t="s">
        <v>3656</v>
      </c>
      <c r="D2032">
        <v>16291</v>
      </c>
      <c r="E2032" s="130">
        <v>10776314</v>
      </c>
      <c r="F2032" t="s">
        <v>87</v>
      </c>
      <c r="G2032">
        <v>358</v>
      </c>
      <c r="H2032" t="s">
        <v>8953</v>
      </c>
      <c r="I2032" s="131">
        <v>3</v>
      </c>
      <c r="J2032" t="s">
        <v>3656</v>
      </c>
      <c r="K2032" t="s">
        <v>108</v>
      </c>
      <c r="L2032" t="s">
        <v>109</v>
      </c>
      <c r="M2032" t="s">
        <v>133</v>
      </c>
      <c r="N2032" t="s">
        <v>98</v>
      </c>
      <c r="O2032" t="s">
        <v>1345</v>
      </c>
    </row>
    <row r="2033" spans="1:15" x14ac:dyDescent="0.3">
      <c r="A2033" s="130">
        <v>10613</v>
      </c>
      <c r="B2033" s="130">
        <v>18</v>
      </c>
      <c r="C2033" s="130" t="s">
        <v>3657</v>
      </c>
      <c r="D2033">
        <v>16307</v>
      </c>
      <c r="E2033" s="130">
        <v>11791746</v>
      </c>
      <c r="F2033" t="s">
        <v>87</v>
      </c>
      <c r="G2033">
        <v>9135</v>
      </c>
      <c r="H2033" t="s">
        <v>8951</v>
      </c>
      <c r="I2033" s="131">
        <v>9</v>
      </c>
      <c r="J2033" t="s">
        <v>3657</v>
      </c>
      <c r="K2033" t="s">
        <v>108</v>
      </c>
      <c r="L2033" t="s">
        <v>163</v>
      </c>
      <c r="M2033" t="s">
        <v>112</v>
      </c>
      <c r="N2033" t="s">
        <v>98</v>
      </c>
      <c r="O2033" t="s">
        <v>116</v>
      </c>
    </row>
    <row r="2034" spans="1:15" x14ac:dyDescent="0.3">
      <c r="A2034" s="130">
        <v>10622</v>
      </c>
      <c r="B2034" s="130">
        <v>21</v>
      </c>
      <c r="C2034" s="130" t="s">
        <v>3658</v>
      </c>
      <c r="D2034">
        <v>16319</v>
      </c>
      <c r="E2034" s="130">
        <v>17002138</v>
      </c>
      <c r="F2034" t="s">
        <v>87</v>
      </c>
      <c r="G2034">
        <v>77</v>
      </c>
      <c r="H2034" t="s">
        <v>8952</v>
      </c>
      <c r="I2034" s="130">
        <v>26</v>
      </c>
      <c r="J2034" t="s">
        <v>3658</v>
      </c>
      <c r="K2034" t="s">
        <v>95</v>
      </c>
      <c r="L2034" t="s">
        <v>235</v>
      </c>
      <c r="M2034" t="s">
        <v>137</v>
      </c>
      <c r="N2034" t="s">
        <v>132</v>
      </c>
      <c r="O2034" t="s">
        <v>116</v>
      </c>
    </row>
    <row r="2035" spans="1:15" x14ac:dyDescent="0.3">
      <c r="A2035" s="130">
        <v>10624</v>
      </c>
      <c r="B2035" s="130">
        <v>30</v>
      </c>
      <c r="C2035" s="130" t="s">
        <v>3659</v>
      </c>
      <c r="D2035">
        <v>16312</v>
      </c>
      <c r="E2035" s="130">
        <v>1417222</v>
      </c>
      <c r="F2035" t="s">
        <v>87</v>
      </c>
      <c r="G2035">
        <v>77</v>
      </c>
      <c r="H2035" t="s">
        <v>8953</v>
      </c>
      <c r="I2035" s="130">
        <v>3</v>
      </c>
      <c r="J2035" t="s">
        <v>3659</v>
      </c>
      <c r="K2035" t="s">
        <v>95</v>
      </c>
      <c r="L2035" t="s">
        <v>117</v>
      </c>
      <c r="M2035" t="s">
        <v>103</v>
      </c>
      <c r="N2035" t="s">
        <v>122</v>
      </c>
      <c r="O2035" t="s">
        <v>1256</v>
      </c>
    </row>
    <row r="2036" spans="1:15" x14ac:dyDescent="0.3">
      <c r="A2036" s="130">
        <v>10629</v>
      </c>
      <c r="B2036" s="130">
        <v>60</v>
      </c>
      <c r="C2036" s="130" t="s">
        <v>3660</v>
      </c>
      <c r="D2036">
        <v>16331</v>
      </c>
      <c r="E2036" s="130">
        <v>17185786</v>
      </c>
      <c r="F2036" t="s">
        <v>87</v>
      </c>
      <c r="G2036">
        <v>358</v>
      </c>
      <c r="H2036" t="s">
        <v>8951</v>
      </c>
      <c r="I2036" s="130">
        <v>10</v>
      </c>
      <c r="J2036" t="s">
        <v>3660</v>
      </c>
      <c r="K2036" t="s">
        <v>95</v>
      </c>
      <c r="L2036" t="s">
        <v>105</v>
      </c>
      <c r="M2036" t="s">
        <v>97</v>
      </c>
      <c r="N2036" t="s">
        <v>98</v>
      </c>
      <c r="O2036" t="s">
        <v>1345</v>
      </c>
    </row>
    <row r="2037" spans="1:15" x14ac:dyDescent="0.3">
      <c r="A2037" s="130">
        <v>10642</v>
      </c>
      <c r="B2037" s="130">
        <v>28</v>
      </c>
      <c r="C2037" s="130" t="s">
        <v>3661</v>
      </c>
      <c r="D2037">
        <v>16333</v>
      </c>
      <c r="E2037" s="130">
        <v>38404399</v>
      </c>
      <c r="F2037" t="s">
        <v>87</v>
      </c>
      <c r="G2037">
        <v>9135</v>
      </c>
      <c r="H2037" t="s">
        <v>8952</v>
      </c>
      <c r="I2037" s="130">
        <v>37</v>
      </c>
      <c r="J2037" t="s">
        <v>3661</v>
      </c>
      <c r="K2037" t="s">
        <v>95</v>
      </c>
      <c r="L2037" t="s">
        <v>138</v>
      </c>
      <c r="M2037" t="s">
        <v>130</v>
      </c>
      <c r="N2037" t="s">
        <v>150</v>
      </c>
      <c r="O2037" t="s">
        <v>1345</v>
      </c>
    </row>
    <row r="2038" spans="1:15" x14ac:dyDescent="0.3">
      <c r="A2038" s="130">
        <v>10659</v>
      </c>
      <c r="B2038" s="130">
        <v>18</v>
      </c>
      <c r="C2038" s="130" t="s">
        <v>3662</v>
      </c>
      <c r="D2038">
        <v>16338</v>
      </c>
      <c r="E2038" s="130">
        <v>65109944</v>
      </c>
      <c r="F2038" t="s">
        <v>87</v>
      </c>
      <c r="G2038">
        <v>9135</v>
      </c>
      <c r="H2038" t="s">
        <v>8953</v>
      </c>
      <c r="I2038" s="131">
        <v>3</v>
      </c>
      <c r="J2038" t="s">
        <v>3662</v>
      </c>
      <c r="K2038" t="s">
        <v>108</v>
      </c>
      <c r="L2038" t="s">
        <v>111</v>
      </c>
      <c r="M2038" t="s">
        <v>112</v>
      </c>
      <c r="N2038" t="s">
        <v>98</v>
      </c>
      <c r="O2038" t="s">
        <v>116</v>
      </c>
    </row>
    <row r="2039" spans="1:15" x14ac:dyDescent="0.3">
      <c r="A2039" s="130">
        <v>10662</v>
      </c>
      <c r="B2039" s="130">
        <v>30</v>
      </c>
      <c r="C2039" s="130" t="s">
        <v>3663</v>
      </c>
      <c r="D2039">
        <v>16341</v>
      </c>
      <c r="E2039" s="130">
        <v>17185786</v>
      </c>
      <c r="F2039" t="s">
        <v>87</v>
      </c>
      <c r="G2039">
        <v>358</v>
      </c>
      <c r="H2039" t="s">
        <v>8951</v>
      </c>
      <c r="I2039" s="130">
        <v>10</v>
      </c>
      <c r="J2039" t="s">
        <v>3663</v>
      </c>
      <c r="K2039" t="s">
        <v>95</v>
      </c>
      <c r="L2039" t="s">
        <v>109</v>
      </c>
      <c r="M2039" t="s">
        <v>103</v>
      </c>
      <c r="N2039" t="s">
        <v>98</v>
      </c>
      <c r="O2039" t="s">
        <v>1345</v>
      </c>
    </row>
    <row r="2040" spans="1:15" x14ac:dyDescent="0.3">
      <c r="A2040" s="130">
        <v>10663</v>
      </c>
      <c r="B2040" s="130">
        <v>30</v>
      </c>
      <c r="C2040" s="130" t="s">
        <v>3664</v>
      </c>
      <c r="D2040">
        <v>16337</v>
      </c>
      <c r="E2040" s="130">
        <v>16622284</v>
      </c>
      <c r="F2040" t="s">
        <v>87</v>
      </c>
      <c r="G2040">
        <v>9135</v>
      </c>
      <c r="H2040" t="s">
        <v>8952</v>
      </c>
      <c r="I2040" s="131">
        <v>9</v>
      </c>
      <c r="J2040" t="s">
        <v>3664</v>
      </c>
      <c r="K2040" t="s">
        <v>95</v>
      </c>
      <c r="L2040" t="s">
        <v>163</v>
      </c>
      <c r="M2040" t="s">
        <v>103</v>
      </c>
      <c r="N2040" t="s">
        <v>114</v>
      </c>
      <c r="O2040" t="s">
        <v>116</v>
      </c>
    </row>
    <row r="2041" spans="1:15" x14ac:dyDescent="0.3">
      <c r="A2041" s="130">
        <v>10670</v>
      </c>
      <c r="B2041" s="130">
        <v>90</v>
      </c>
      <c r="C2041" s="130" t="s">
        <v>3665</v>
      </c>
      <c r="D2041">
        <v>16346</v>
      </c>
      <c r="E2041" s="130">
        <v>655209</v>
      </c>
      <c r="F2041" t="s">
        <v>87</v>
      </c>
      <c r="G2041">
        <v>9135</v>
      </c>
      <c r="H2041" t="s">
        <v>8953</v>
      </c>
      <c r="I2041" s="130">
        <v>9</v>
      </c>
      <c r="J2041" t="s">
        <v>3665</v>
      </c>
      <c r="K2041" t="s">
        <v>95</v>
      </c>
      <c r="L2041" t="s">
        <v>181</v>
      </c>
      <c r="M2041" t="s">
        <v>170</v>
      </c>
      <c r="N2041" t="s">
        <v>118</v>
      </c>
      <c r="O2041" t="s">
        <v>116</v>
      </c>
    </row>
    <row r="2042" spans="1:15" x14ac:dyDescent="0.3">
      <c r="A2042" s="130">
        <v>10685</v>
      </c>
      <c r="C2042" s="130" t="s">
        <v>3666</v>
      </c>
      <c r="D2042">
        <v>16353</v>
      </c>
      <c r="E2042" s="131">
        <v>32112142</v>
      </c>
      <c r="F2042" t="s">
        <v>87</v>
      </c>
      <c r="G2042">
        <v>77</v>
      </c>
      <c r="H2042" t="s">
        <v>8951</v>
      </c>
      <c r="I2042" s="131">
        <v>43</v>
      </c>
      <c r="J2042" t="s">
        <v>3666</v>
      </c>
      <c r="K2042" t="s">
        <v>95</v>
      </c>
      <c r="L2042" t="s">
        <v>235</v>
      </c>
      <c r="N2042" t="s">
        <v>114</v>
      </c>
      <c r="O2042" t="s">
        <v>1256</v>
      </c>
    </row>
    <row r="2043" spans="1:15" x14ac:dyDescent="0.3">
      <c r="A2043" s="130">
        <v>10694</v>
      </c>
      <c r="B2043" s="130">
        <v>30</v>
      </c>
      <c r="C2043" s="130" t="s">
        <v>3667</v>
      </c>
      <c r="D2043">
        <v>16375</v>
      </c>
      <c r="E2043" s="130">
        <v>28763819</v>
      </c>
      <c r="F2043" t="s">
        <v>87</v>
      </c>
      <c r="G2043">
        <v>9135</v>
      </c>
      <c r="H2043" t="s">
        <v>8952</v>
      </c>
      <c r="I2043" s="130">
        <v>3</v>
      </c>
      <c r="J2043" t="s">
        <v>3667</v>
      </c>
      <c r="K2043" t="s">
        <v>95</v>
      </c>
      <c r="L2043" t="s">
        <v>111</v>
      </c>
      <c r="M2043" t="s">
        <v>103</v>
      </c>
      <c r="N2043" t="s">
        <v>98</v>
      </c>
      <c r="O2043" t="s">
        <v>116</v>
      </c>
    </row>
    <row r="2044" spans="1:15" x14ac:dyDescent="0.3">
      <c r="A2044" s="130">
        <v>10699</v>
      </c>
      <c r="B2044" s="130">
        <v>18</v>
      </c>
      <c r="C2044" s="130" t="s">
        <v>3668</v>
      </c>
      <c r="D2044">
        <v>16380</v>
      </c>
      <c r="E2044" s="130">
        <v>19739564</v>
      </c>
      <c r="F2044" t="s">
        <v>87</v>
      </c>
      <c r="G2044">
        <v>358</v>
      </c>
      <c r="H2044" t="s">
        <v>8953</v>
      </c>
      <c r="I2044" s="130">
        <v>9</v>
      </c>
      <c r="J2044" t="s">
        <v>3668</v>
      </c>
      <c r="K2044" t="s">
        <v>95</v>
      </c>
      <c r="L2044" t="s">
        <v>105</v>
      </c>
      <c r="M2044" t="s">
        <v>112</v>
      </c>
      <c r="N2044" t="s">
        <v>98</v>
      </c>
      <c r="O2044" t="s">
        <v>1345</v>
      </c>
    </row>
    <row r="2045" spans="1:15" x14ac:dyDescent="0.3">
      <c r="A2045" s="130">
        <v>10700</v>
      </c>
      <c r="B2045" s="130">
        <v>30</v>
      </c>
      <c r="C2045" s="130" t="s">
        <v>3669</v>
      </c>
      <c r="D2045">
        <v>16381</v>
      </c>
      <c r="E2045" s="131">
        <v>19739564</v>
      </c>
      <c r="F2045" t="s">
        <v>87</v>
      </c>
      <c r="G2045">
        <v>358</v>
      </c>
      <c r="H2045" t="s">
        <v>8951</v>
      </c>
      <c r="I2045" s="131">
        <v>10</v>
      </c>
      <c r="J2045" t="s">
        <v>3669</v>
      </c>
      <c r="K2045" t="s">
        <v>95</v>
      </c>
      <c r="L2045" t="s">
        <v>105</v>
      </c>
      <c r="M2045" t="s">
        <v>103</v>
      </c>
      <c r="N2045" t="s">
        <v>98</v>
      </c>
      <c r="O2045" t="s">
        <v>1345</v>
      </c>
    </row>
    <row r="2046" spans="1:15" x14ac:dyDescent="0.3">
      <c r="A2046" s="130">
        <v>10707</v>
      </c>
      <c r="B2046" s="130">
        <v>10</v>
      </c>
      <c r="C2046" s="130" t="s">
        <v>3670</v>
      </c>
      <c r="D2046">
        <v>16389</v>
      </c>
      <c r="E2046" s="130">
        <v>36561742</v>
      </c>
      <c r="F2046" t="s">
        <v>87</v>
      </c>
      <c r="G2046">
        <v>358</v>
      </c>
      <c r="H2046" t="s">
        <v>8952</v>
      </c>
      <c r="I2046" s="131">
        <v>3</v>
      </c>
      <c r="J2046" t="s">
        <v>3670</v>
      </c>
      <c r="K2046" t="s">
        <v>108</v>
      </c>
      <c r="L2046" t="s">
        <v>1293</v>
      </c>
      <c r="M2046" t="s">
        <v>133</v>
      </c>
      <c r="N2046" t="s">
        <v>98</v>
      </c>
      <c r="O2046" t="s">
        <v>1345</v>
      </c>
    </row>
    <row r="2047" spans="1:15" x14ac:dyDescent="0.3">
      <c r="A2047" s="130">
        <v>10714</v>
      </c>
      <c r="B2047" s="130">
        <v>30</v>
      </c>
      <c r="C2047" s="130" t="s">
        <v>3671</v>
      </c>
      <c r="D2047">
        <v>16404</v>
      </c>
      <c r="E2047" s="130">
        <v>2617158</v>
      </c>
      <c r="F2047" t="s">
        <v>87</v>
      </c>
      <c r="G2047">
        <v>358</v>
      </c>
      <c r="H2047" t="s">
        <v>8953</v>
      </c>
      <c r="I2047" s="130">
        <v>10</v>
      </c>
      <c r="J2047" t="s">
        <v>3671</v>
      </c>
      <c r="K2047" t="s">
        <v>108</v>
      </c>
      <c r="L2047" t="s">
        <v>105</v>
      </c>
      <c r="M2047" t="s">
        <v>103</v>
      </c>
      <c r="N2047" t="s">
        <v>98</v>
      </c>
      <c r="O2047" t="s">
        <v>116</v>
      </c>
    </row>
    <row r="2048" spans="1:15" x14ac:dyDescent="0.3">
      <c r="A2048" s="130">
        <v>10722</v>
      </c>
      <c r="B2048" s="130">
        <v>30</v>
      </c>
      <c r="C2048" s="130" t="s">
        <v>3672</v>
      </c>
      <c r="D2048">
        <v>16415</v>
      </c>
      <c r="E2048" s="131">
        <v>33193996</v>
      </c>
      <c r="F2048" t="s">
        <v>87</v>
      </c>
      <c r="G2048">
        <v>9135</v>
      </c>
      <c r="H2048" t="s">
        <v>8951</v>
      </c>
      <c r="I2048" s="130">
        <v>3</v>
      </c>
      <c r="J2048" t="s">
        <v>3672</v>
      </c>
      <c r="K2048" t="s">
        <v>95</v>
      </c>
      <c r="L2048" t="s">
        <v>111</v>
      </c>
      <c r="M2048" t="s">
        <v>103</v>
      </c>
      <c r="N2048" t="s">
        <v>98</v>
      </c>
      <c r="O2048" t="s">
        <v>1345</v>
      </c>
    </row>
    <row r="2049" spans="1:15" x14ac:dyDescent="0.3">
      <c r="A2049" s="130">
        <v>10732</v>
      </c>
      <c r="B2049" s="130">
        <v>-1</v>
      </c>
      <c r="C2049" s="130" t="s">
        <v>3673</v>
      </c>
      <c r="D2049">
        <v>16427</v>
      </c>
      <c r="E2049" s="130">
        <v>38075244</v>
      </c>
      <c r="F2049" t="s">
        <v>87</v>
      </c>
      <c r="G2049">
        <v>9135</v>
      </c>
      <c r="H2049" t="s">
        <v>8952</v>
      </c>
      <c r="I2049" s="131">
        <v>3</v>
      </c>
      <c r="J2049" t="s">
        <v>3673</v>
      </c>
      <c r="K2049" t="s">
        <v>108</v>
      </c>
      <c r="L2049" t="s">
        <v>111</v>
      </c>
      <c r="M2049" t="s">
        <v>174</v>
      </c>
      <c r="N2049" t="s">
        <v>98</v>
      </c>
      <c r="O2049" t="s">
        <v>1345</v>
      </c>
    </row>
    <row r="2050" spans="1:15" x14ac:dyDescent="0.3">
      <c r="A2050" s="130">
        <v>10735</v>
      </c>
      <c r="B2050" s="130">
        <v>0</v>
      </c>
      <c r="C2050" s="130" t="s">
        <v>3674</v>
      </c>
      <c r="D2050">
        <v>16431</v>
      </c>
      <c r="E2050" s="130">
        <v>39768697</v>
      </c>
      <c r="F2050" t="s">
        <v>87</v>
      </c>
      <c r="G2050">
        <v>9135</v>
      </c>
      <c r="H2050" t="s">
        <v>8953</v>
      </c>
      <c r="I2050" s="131">
        <v>18</v>
      </c>
      <c r="J2050" t="s">
        <v>3674</v>
      </c>
      <c r="K2050" t="s">
        <v>108</v>
      </c>
      <c r="L2050" t="s">
        <v>1293</v>
      </c>
      <c r="M2050" t="s">
        <v>100</v>
      </c>
      <c r="N2050" t="s">
        <v>98</v>
      </c>
      <c r="O2050" t="s">
        <v>116</v>
      </c>
    </row>
    <row r="2051" spans="1:15" x14ac:dyDescent="0.3">
      <c r="A2051" s="130">
        <v>10744</v>
      </c>
      <c r="B2051" s="130">
        <v>30</v>
      </c>
      <c r="C2051" s="130" t="s">
        <v>3675</v>
      </c>
      <c r="D2051">
        <v>16448</v>
      </c>
      <c r="E2051" s="130">
        <v>3364572</v>
      </c>
      <c r="F2051" t="s">
        <v>87</v>
      </c>
      <c r="G2051">
        <v>9135</v>
      </c>
      <c r="H2051" t="s">
        <v>8951</v>
      </c>
      <c r="I2051" s="131">
        <v>3</v>
      </c>
      <c r="J2051" t="s">
        <v>3675</v>
      </c>
      <c r="K2051" t="s">
        <v>108</v>
      </c>
      <c r="L2051" t="s">
        <v>1293</v>
      </c>
      <c r="M2051" t="s">
        <v>103</v>
      </c>
      <c r="N2051" t="s">
        <v>98</v>
      </c>
      <c r="O2051" t="s">
        <v>116</v>
      </c>
    </row>
    <row r="2052" spans="1:15" x14ac:dyDescent="0.3">
      <c r="A2052" s="130">
        <v>10749</v>
      </c>
      <c r="B2052" s="130">
        <v>30</v>
      </c>
      <c r="C2052" s="130" t="s">
        <v>3676</v>
      </c>
      <c r="D2052">
        <v>16455</v>
      </c>
      <c r="E2052" s="131">
        <v>61575775</v>
      </c>
      <c r="F2052" t="s">
        <v>87</v>
      </c>
      <c r="G2052">
        <v>77</v>
      </c>
      <c r="H2052" t="s">
        <v>8952</v>
      </c>
      <c r="I2052" s="130">
        <v>18</v>
      </c>
      <c r="J2052" t="s">
        <v>3676</v>
      </c>
      <c r="K2052" t="s">
        <v>95</v>
      </c>
      <c r="L2052" t="s">
        <v>117</v>
      </c>
      <c r="M2052" t="s">
        <v>103</v>
      </c>
      <c r="N2052" t="s">
        <v>98</v>
      </c>
      <c r="O2052" t="s">
        <v>1256</v>
      </c>
    </row>
    <row r="2053" spans="1:15" x14ac:dyDescent="0.3">
      <c r="A2053" s="130">
        <v>10754</v>
      </c>
      <c r="B2053" s="130">
        <v>60</v>
      </c>
      <c r="C2053" s="130" t="s">
        <v>3677</v>
      </c>
      <c r="D2053">
        <v>16465</v>
      </c>
      <c r="E2053" s="131">
        <v>9625762</v>
      </c>
      <c r="F2053" t="s">
        <v>87</v>
      </c>
      <c r="G2053">
        <v>9135</v>
      </c>
      <c r="H2053" t="s">
        <v>8953</v>
      </c>
      <c r="I2053" s="130">
        <v>19</v>
      </c>
      <c r="J2053" t="s">
        <v>3677</v>
      </c>
      <c r="K2053" t="s">
        <v>95</v>
      </c>
      <c r="L2053" t="s">
        <v>1368</v>
      </c>
      <c r="M2053" t="s">
        <v>97</v>
      </c>
      <c r="N2053" t="s">
        <v>150</v>
      </c>
      <c r="O2053" t="s">
        <v>116</v>
      </c>
    </row>
    <row r="2054" spans="1:15" x14ac:dyDescent="0.3">
      <c r="A2054" s="130">
        <v>10761</v>
      </c>
      <c r="B2054" s="130">
        <v>30</v>
      </c>
      <c r="C2054" s="130" t="s">
        <v>3678</v>
      </c>
      <c r="D2054">
        <v>16481</v>
      </c>
      <c r="E2054" s="131">
        <v>61150751</v>
      </c>
      <c r="F2054" t="s">
        <v>87</v>
      </c>
      <c r="G2054">
        <v>9135</v>
      </c>
      <c r="H2054" t="s">
        <v>8951</v>
      </c>
      <c r="I2054" s="130">
        <v>24</v>
      </c>
      <c r="J2054" t="s">
        <v>3678</v>
      </c>
      <c r="K2054" t="s">
        <v>108</v>
      </c>
      <c r="L2054" t="s">
        <v>191</v>
      </c>
      <c r="M2054" t="s">
        <v>103</v>
      </c>
      <c r="N2054" t="s">
        <v>114</v>
      </c>
      <c r="O2054" t="s">
        <v>1345</v>
      </c>
    </row>
    <row r="2055" spans="1:15" x14ac:dyDescent="0.3">
      <c r="A2055" s="130">
        <v>10769</v>
      </c>
      <c r="B2055" s="130">
        <v>30</v>
      </c>
      <c r="C2055" s="130" t="s">
        <v>3679</v>
      </c>
      <c r="D2055">
        <v>16492</v>
      </c>
      <c r="E2055" s="131">
        <v>35588111</v>
      </c>
      <c r="F2055" t="s">
        <v>87</v>
      </c>
      <c r="G2055">
        <v>358</v>
      </c>
      <c r="H2055" t="s">
        <v>8952</v>
      </c>
      <c r="I2055" s="130">
        <v>3</v>
      </c>
      <c r="J2055" t="s">
        <v>3679</v>
      </c>
      <c r="K2055" t="s">
        <v>95</v>
      </c>
      <c r="L2055" t="s">
        <v>109</v>
      </c>
      <c r="M2055" t="s">
        <v>103</v>
      </c>
      <c r="N2055" t="s">
        <v>98</v>
      </c>
      <c r="O2055" t="s">
        <v>1345</v>
      </c>
    </row>
    <row r="2056" spans="1:15" x14ac:dyDescent="0.3">
      <c r="A2056" s="130">
        <v>10771</v>
      </c>
      <c r="B2056" s="130">
        <v>60</v>
      </c>
      <c r="C2056" s="130" t="s">
        <v>3680</v>
      </c>
      <c r="D2056">
        <v>16495</v>
      </c>
      <c r="E2056" s="130">
        <v>9625762</v>
      </c>
      <c r="F2056" t="s">
        <v>87</v>
      </c>
      <c r="G2056">
        <v>9135</v>
      </c>
      <c r="H2056" t="s">
        <v>8953</v>
      </c>
      <c r="I2056" s="131">
        <v>19</v>
      </c>
      <c r="J2056" t="s">
        <v>3680</v>
      </c>
      <c r="K2056" t="s">
        <v>95</v>
      </c>
      <c r="L2056" t="s">
        <v>1368</v>
      </c>
      <c r="M2056" t="s">
        <v>97</v>
      </c>
      <c r="N2056" t="s">
        <v>150</v>
      </c>
      <c r="O2056" t="s">
        <v>116</v>
      </c>
    </row>
    <row r="2057" spans="1:15" x14ac:dyDescent="0.3">
      <c r="A2057" s="130">
        <v>10774</v>
      </c>
      <c r="B2057" s="130">
        <v>45</v>
      </c>
      <c r="C2057" s="130" t="s">
        <v>3681</v>
      </c>
      <c r="D2057">
        <v>16497</v>
      </c>
      <c r="E2057" s="130">
        <v>40202969</v>
      </c>
      <c r="F2057" t="s">
        <v>87</v>
      </c>
      <c r="G2057">
        <v>9135</v>
      </c>
      <c r="H2057" t="s">
        <v>8951</v>
      </c>
      <c r="I2057" s="130">
        <v>10</v>
      </c>
      <c r="J2057" t="s">
        <v>3681</v>
      </c>
      <c r="K2057" t="s">
        <v>95</v>
      </c>
      <c r="L2057" t="s">
        <v>127</v>
      </c>
      <c r="M2057" t="s">
        <v>106</v>
      </c>
      <c r="N2057" t="s">
        <v>104</v>
      </c>
      <c r="O2057" t="s">
        <v>116</v>
      </c>
    </row>
    <row r="2058" spans="1:15" x14ac:dyDescent="0.3">
      <c r="A2058" s="130">
        <v>10775</v>
      </c>
      <c r="B2058" s="130">
        <v>30</v>
      </c>
      <c r="C2058" s="130" t="s">
        <v>3682</v>
      </c>
      <c r="D2058">
        <v>16474</v>
      </c>
      <c r="E2058" s="130">
        <v>3175048</v>
      </c>
      <c r="F2058" t="s">
        <v>113</v>
      </c>
      <c r="G2058">
        <v>9135</v>
      </c>
      <c r="H2058" t="s">
        <v>8952</v>
      </c>
      <c r="I2058" s="130">
        <v>43</v>
      </c>
      <c r="J2058" t="s">
        <v>3682</v>
      </c>
      <c r="K2058" t="s">
        <v>108</v>
      </c>
      <c r="L2058" t="s">
        <v>1241</v>
      </c>
      <c r="M2058" t="s">
        <v>103</v>
      </c>
      <c r="N2058" t="s">
        <v>98</v>
      </c>
      <c r="O2058" t="s">
        <v>1256</v>
      </c>
    </row>
    <row r="2059" spans="1:15" x14ac:dyDescent="0.3">
      <c r="A2059" s="130">
        <v>10784</v>
      </c>
      <c r="B2059" s="130">
        <v>30</v>
      </c>
      <c r="C2059" s="130" t="s">
        <v>3683</v>
      </c>
      <c r="D2059">
        <v>16506</v>
      </c>
      <c r="E2059" s="131">
        <v>1294551</v>
      </c>
      <c r="F2059" t="s">
        <v>87</v>
      </c>
      <c r="G2059">
        <v>9135</v>
      </c>
      <c r="H2059" t="s">
        <v>8953</v>
      </c>
      <c r="I2059" s="130">
        <v>19</v>
      </c>
      <c r="J2059" t="s">
        <v>3683</v>
      </c>
      <c r="K2059" t="s">
        <v>95</v>
      </c>
      <c r="L2059" t="s">
        <v>146</v>
      </c>
      <c r="M2059" t="s">
        <v>103</v>
      </c>
      <c r="N2059" t="s">
        <v>114</v>
      </c>
      <c r="O2059" t="s">
        <v>1345</v>
      </c>
    </row>
    <row r="2060" spans="1:15" x14ac:dyDescent="0.3">
      <c r="A2060" s="130">
        <v>10785</v>
      </c>
      <c r="B2060" s="130">
        <v>0</v>
      </c>
      <c r="C2060" s="130" t="s">
        <v>3684</v>
      </c>
      <c r="D2060">
        <v>16507</v>
      </c>
      <c r="E2060" s="130">
        <v>34375501</v>
      </c>
      <c r="F2060" t="s">
        <v>87</v>
      </c>
      <c r="G2060">
        <v>9135</v>
      </c>
      <c r="H2060" t="s">
        <v>8951</v>
      </c>
      <c r="I2060" s="131">
        <v>26</v>
      </c>
      <c r="J2060" t="s">
        <v>3684</v>
      </c>
      <c r="K2060" t="s">
        <v>108</v>
      </c>
      <c r="L2060" t="s">
        <v>151</v>
      </c>
      <c r="M2060" t="s">
        <v>100</v>
      </c>
      <c r="N2060" t="s">
        <v>98</v>
      </c>
      <c r="O2060" t="s">
        <v>1345</v>
      </c>
    </row>
    <row r="2061" spans="1:15" x14ac:dyDescent="0.3">
      <c r="A2061" s="130">
        <v>10786</v>
      </c>
      <c r="B2061" s="130">
        <v>10</v>
      </c>
      <c r="C2061" s="130" t="s">
        <v>3685</v>
      </c>
      <c r="D2061">
        <v>16510</v>
      </c>
      <c r="E2061" s="130">
        <v>17162983</v>
      </c>
      <c r="F2061" t="s">
        <v>87</v>
      </c>
      <c r="G2061">
        <v>358</v>
      </c>
      <c r="H2061" t="s">
        <v>8952</v>
      </c>
      <c r="I2061" s="130">
        <v>3</v>
      </c>
      <c r="J2061" t="s">
        <v>3685</v>
      </c>
      <c r="K2061" t="s">
        <v>95</v>
      </c>
      <c r="L2061" t="s">
        <v>109</v>
      </c>
      <c r="M2061" t="s">
        <v>133</v>
      </c>
      <c r="N2061" t="s">
        <v>98</v>
      </c>
      <c r="O2061" t="s">
        <v>116</v>
      </c>
    </row>
    <row r="2062" spans="1:15" x14ac:dyDescent="0.3">
      <c r="A2062" s="130">
        <v>10792</v>
      </c>
      <c r="B2062" s="130">
        <v>30</v>
      </c>
      <c r="C2062" s="130" t="s">
        <v>3686</v>
      </c>
      <c r="D2062">
        <v>16517</v>
      </c>
      <c r="E2062" s="130">
        <v>1157555</v>
      </c>
      <c r="F2062" t="s">
        <v>87</v>
      </c>
      <c r="G2062">
        <v>9135</v>
      </c>
      <c r="H2062" t="s">
        <v>8953</v>
      </c>
      <c r="I2062" s="131">
        <v>37</v>
      </c>
      <c r="J2062" t="s">
        <v>3686</v>
      </c>
      <c r="K2062" t="s">
        <v>95</v>
      </c>
      <c r="L2062" t="s">
        <v>138</v>
      </c>
      <c r="M2062" t="s">
        <v>103</v>
      </c>
      <c r="N2062" t="s">
        <v>101</v>
      </c>
      <c r="O2062" t="s">
        <v>1345</v>
      </c>
    </row>
    <row r="2063" spans="1:15" x14ac:dyDescent="0.3">
      <c r="A2063" s="130">
        <v>10793</v>
      </c>
      <c r="B2063" s="130">
        <v>18</v>
      </c>
      <c r="C2063" s="130" t="s">
        <v>3687</v>
      </c>
      <c r="D2063">
        <v>16518</v>
      </c>
      <c r="E2063" s="130">
        <v>3855220</v>
      </c>
      <c r="F2063" t="s">
        <v>87</v>
      </c>
      <c r="G2063">
        <v>9135</v>
      </c>
      <c r="H2063" t="s">
        <v>8951</v>
      </c>
      <c r="I2063" s="130">
        <v>3</v>
      </c>
      <c r="J2063" t="s">
        <v>3687</v>
      </c>
      <c r="K2063" t="s">
        <v>108</v>
      </c>
      <c r="L2063" t="s">
        <v>111</v>
      </c>
      <c r="M2063" t="s">
        <v>112</v>
      </c>
      <c r="N2063" t="s">
        <v>98</v>
      </c>
      <c r="O2063" t="s">
        <v>1345</v>
      </c>
    </row>
    <row r="2064" spans="1:15" x14ac:dyDescent="0.3">
      <c r="A2064" s="130">
        <v>10794</v>
      </c>
      <c r="B2064" s="130">
        <v>10</v>
      </c>
      <c r="C2064" s="130" t="s">
        <v>3688</v>
      </c>
      <c r="D2064">
        <v>16520</v>
      </c>
      <c r="E2064" s="130">
        <v>16500021</v>
      </c>
      <c r="F2064" t="s">
        <v>87</v>
      </c>
      <c r="G2064">
        <v>9135</v>
      </c>
      <c r="H2064" t="s">
        <v>8952</v>
      </c>
      <c r="I2064" s="130">
        <v>3</v>
      </c>
      <c r="J2064" t="s">
        <v>3688</v>
      </c>
      <c r="K2064" t="s">
        <v>108</v>
      </c>
      <c r="L2064" t="s">
        <v>153</v>
      </c>
      <c r="M2064" t="s">
        <v>133</v>
      </c>
      <c r="N2064" t="s">
        <v>98</v>
      </c>
      <c r="O2064" t="s">
        <v>1345</v>
      </c>
    </row>
    <row r="2065" spans="1:15" x14ac:dyDescent="0.3">
      <c r="A2065" s="130">
        <v>10799</v>
      </c>
      <c r="B2065" s="130">
        <v>18</v>
      </c>
      <c r="C2065" s="130" t="s">
        <v>3689</v>
      </c>
      <c r="D2065">
        <v>16527</v>
      </c>
      <c r="E2065" s="131">
        <v>17162983</v>
      </c>
      <c r="F2065" t="s">
        <v>87</v>
      </c>
      <c r="G2065">
        <v>358</v>
      </c>
      <c r="H2065" t="s">
        <v>8953</v>
      </c>
      <c r="I2065" s="131">
        <v>3</v>
      </c>
      <c r="J2065" t="s">
        <v>3689</v>
      </c>
      <c r="K2065" t="s">
        <v>95</v>
      </c>
      <c r="L2065" t="s">
        <v>109</v>
      </c>
      <c r="M2065" t="s">
        <v>112</v>
      </c>
      <c r="N2065" t="s">
        <v>98</v>
      </c>
      <c r="O2065" t="s">
        <v>116</v>
      </c>
    </row>
    <row r="2066" spans="1:15" x14ac:dyDescent="0.3">
      <c r="A2066" s="130">
        <v>10801</v>
      </c>
      <c r="B2066" s="130">
        <v>30</v>
      </c>
      <c r="C2066" s="130" t="s">
        <v>3690</v>
      </c>
      <c r="D2066">
        <v>16084</v>
      </c>
      <c r="E2066" s="131">
        <v>37514042</v>
      </c>
      <c r="F2066" t="s">
        <v>87</v>
      </c>
      <c r="G2066">
        <v>9135</v>
      </c>
      <c r="H2066" t="s">
        <v>8951</v>
      </c>
      <c r="I2066" s="130">
        <v>19</v>
      </c>
      <c r="J2066" t="s">
        <v>3690</v>
      </c>
      <c r="K2066" t="s">
        <v>95</v>
      </c>
      <c r="L2066" t="s">
        <v>1249</v>
      </c>
      <c r="M2066" t="s">
        <v>103</v>
      </c>
      <c r="N2066" t="s">
        <v>98</v>
      </c>
      <c r="O2066" t="s">
        <v>1256</v>
      </c>
    </row>
    <row r="2067" spans="1:15" x14ac:dyDescent="0.3">
      <c r="A2067" s="130">
        <v>10808</v>
      </c>
      <c r="B2067" s="130">
        <v>18</v>
      </c>
      <c r="C2067" s="130" t="s">
        <v>3691</v>
      </c>
      <c r="D2067">
        <v>16536</v>
      </c>
      <c r="E2067" s="130">
        <v>29296671</v>
      </c>
      <c r="F2067" t="s">
        <v>87</v>
      </c>
      <c r="G2067">
        <v>9135</v>
      </c>
      <c r="H2067" t="s">
        <v>8952</v>
      </c>
      <c r="I2067" s="130">
        <v>10</v>
      </c>
      <c r="J2067" t="s">
        <v>3691</v>
      </c>
      <c r="K2067" t="s">
        <v>108</v>
      </c>
      <c r="L2067" t="s">
        <v>127</v>
      </c>
      <c r="M2067" t="s">
        <v>112</v>
      </c>
      <c r="N2067" t="s">
        <v>118</v>
      </c>
      <c r="O2067" t="s">
        <v>1345</v>
      </c>
    </row>
    <row r="2068" spans="1:15" x14ac:dyDescent="0.3">
      <c r="A2068" s="130">
        <v>10810</v>
      </c>
      <c r="B2068" s="130">
        <v>60</v>
      </c>
      <c r="C2068" s="130" t="s">
        <v>3692</v>
      </c>
      <c r="D2068">
        <v>16539</v>
      </c>
      <c r="E2068" s="131">
        <v>9625762</v>
      </c>
      <c r="F2068" t="s">
        <v>87</v>
      </c>
      <c r="G2068">
        <v>9135</v>
      </c>
      <c r="H2068" t="s">
        <v>8953</v>
      </c>
      <c r="I2068" s="130">
        <v>43</v>
      </c>
      <c r="J2068" t="s">
        <v>3692</v>
      </c>
      <c r="K2068" t="s">
        <v>95</v>
      </c>
      <c r="L2068" t="s">
        <v>1368</v>
      </c>
      <c r="M2068" t="s">
        <v>97</v>
      </c>
      <c r="N2068" t="s">
        <v>150</v>
      </c>
      <c r="O2068" t="s">
        <v>116</v>
      </c>
    </row>
    <row r="2069" spans="1:15" x14ac:dyDescent="0.3">
      <c r="A2069" s="130">
        <v>10811</v>
      </c>
      <c r="B2069" s="130">
        <v>30</v>
      </c>
      <c r="C2069" s="130" t="s">
        <v>3693</v>
      </c>
      <c r="D2069">
        <v>16542</v>
      </c>
      <c r="E2069" s="130">
        <v>8213823</v>
      </c>
      <c r="F2069" t="s">
        <v>113</v>
      </c>
      <c r="G2069">
        <v>77</v>
      </c>
      <c r="H2069" t="s">
        <v>8951</v>
      </c>
      <c r="I2069" s="130">
        <v>10</v>
      </c>
      <c r="J2069" t="s">
        <v>3693</v>
      </c>
      <c r="K2069" t="s">
        <v>95</v>
      </c>
      <c r="L2069" t="s">
        <v>117</v>
      </c>
      <c r="M2069" t="s">
        <v>103</v>
      </c>
      <c r="N2069" t="s">
        <v>118</v>
      </c>
      <c r="O2069" t="s">
        <v>1256</v>
      </c>
    </row>
    <row r="2070" spans="1:15" x14ac:dyDescent="0.3">
      <c r="A2070" s="130">
        <v>10812</v>
      </c>
      <c r="B2070" s="130">
        <v>60</v>
      </c>
      <c r="C2070" s="130" t="s">
        <v>3694</v>
      </c>
      <c r="D2070">
        <v>16543</v>
      </c>
      <c r="E2070" s="130">
        <v>9625762</v>
      </c>
      <c r="F2070" t="s">
        <v>87</v>
      </c>
      <c r="G2070">
        <v>9135</v>
      </c>
      <c r="H2070" t="s">
        <v>8952</v>
      </c>
      <c r="I2070" s="130">
        <v>19</v>
      </c>
      <c r="J2070" t="s">
        <v>3694</v>
      </c>
      <c r="K2070" t="s">
        <v>95</v>
      </c>
      <c r="L2070" t="s">
        <v>1368</v>
      </c>
      <c r="M2070" t="s">
        <v>97</v>
      </c>
      <c r="N2070" t="s">
        <v>150</v>
      </c>
      <c r="O2070" t="s">
        <v>116</v>
      </c>
    </row>
    <row r="2071" spans="1:15" x14ac:dyDescent="0.3">
      <c r="A2071" s="130">
        <v>10813</v>
      </c>
      <c r="B2071" s="130">
        <v>30</v>
      </c>
      <c r="C2071" s="130" t="s">
        <v>3695</v>
      </c>
      <c r="D2071">
        <v>16548</v>
      </c>
      <c r="E2071" s="131">
        <v>7522191</v>
      </c>
      <c r="F2071" t="s">
        <v>87</v>
      </c>
      <c r="G2071">
        <v>77</v>
      </c>
      <c r="H2071" t="s">
        <v>8953</v>
      </c>
      <c r="I2071" s="130">
        <v>19</v>
      </c>
      <c r="J2071" t="s">
        <v>3695</v>
      </c>
      <c r="K2071" t="s">
        <v>95</v>
      </c>
      <c r="L2071" t="s">
        <v>235</v>
      </c>
      <c r="M2071" t="s">
        <v>103</v>
      </c>
      <c r="N2071" t="s">
        <v>118</v>
      </c>
      <c r="O2071" t="s">
        <v>1256</v>
      </c>
    </row>
    <row r="2072" spans="1:15" x14ac:dyDescent="0.3">
      <c r="A2072" s="130">
        <v>10822</v>
      </c>
      <c r="B2072" s="130">
        <v>18</v>
      </c>
      <c r="C2072" s="130" t="s">
        <v>3696</v>
      </c>
      <c r="D2072">
        <v>16571</v>
      </c>
      <c r="E2072" s="131">
        <v>7209686</v>
      </c>
      <c r="F2072" t="s">
        <v>87</v>
      </c>
      <c r="G2072">
        <v>9135</v>
      </c>
      <c r="H2072" t="s">
        <v>8951</v>
      </c>
      <c r="I2072" s="130">
        <v>10</v>
      </c>
      <c r="J2072" t="s">
        <v>3696</v>
      </c>
      <c r="K2072" t="s">
        <v>108</v>
      </c>
      <c r="L2072" t="s">
        <v>127</v>
      </c>
      <c r="M2072" t="s">
        <v>112</v>
      </c>
      <c r="N2072" t="s">
        <v>118</v>
      </c>
      <c r="O2072" t="s">
        <v>1345</v>
      </c>
    </row>
    <row r="2073" spans="1:15" x14ac:dyDescent="0.3">
      <c r="A2073" s="130">
        <v>10824</v>
      </c>
      <c r="B2073" s="130">
        <v>10</v>
      </c>
      <c r="C2073" s="130" t="s">
        <v>3697</v>
      </c>
      <c r="D2073">
        <v>16573</v>
      </c>
      <c r="E2073" s="130">
        <v>56679871</v>
      </c>
      <c r="F2073" t="s">
        <v>87</v>
      </c>
      <c r="G2073">
        <v>9135</v>
      </c>
      <c r="H2073" t="s">
        <v>8952</v>
      </c>
      <c r="I2073" s="130">
        <v>3</v>
      </c>
      <c r="J2073" t="s">
        <v>3697</v>
      </c>
      <c r="K2073" t="s">
        <v>95</v>
      </c>
      <c r="L2073" t="s">
        <v>1293</v>
      </c>
      <c r="M2073" t="s">
        <v>133</v>
      </c>
      <c r="N2073" t="s">
        <v>98</v>
      </c>
      <c r="O2073" t="s">
        <v>1345</v>
      </c>
    </row>
    <row r="2074" spans="1:15" x14ac:dyDescent="0.3">
      <c r="A2074" s="130">
        <v>10831</v>
      </c>
      <c r="B2074" s="130">
        <v>18</v>
      </c>
      <c r="C2074" s="130" t="s">
        <v>3698</v>
      </c>
      <c r="D2074">
        <v>16581</v>
      </c>
      <c r="E2074" s="130">
        <v>8680836</v>
      </c>
      <c r="F2074" t="s">
        <v>87</v>
      </c>
      <c r="G2074">
        <v>9135</v>
      </c>
      <c r="H2074" t="s">
        <v>8953</v>
      </c>
      <c r="I2074" s="131">
        <v>26</v>
      </c>
      <c r="J2074" t="s">
        <v>3698</v>
      </c>
      <c r="K2074" t="s">
        <v>108</v>
      </c>
      <c r="L2074" t="s">
        <v>151</v>
      </c>
      <c r="M2074" t="s">
        <v>112</v>
      </c>
      <c r="N2074" t="s">
        <v>98</v>
      </c>
      <c r="O2074" t="s">
        <v>1345</v>
      </c>
    </row>
    <row r="2075" spans="1:15" x14ac:dyDescent="0.3">
      <c r="A2075" s="130">
        <v>10836</v>
      </c>
      <c r="B2075" s="130">
        <v>10</v>
      </c>
      <c r="C2075" s="130" t="s">
        <v>3699</v>
      </c>
      <c r="D2075">
        <v>16577</v>
      </c>
      <c r="E2075" s="131">
        <v>9522417</v>
      </c>
      <c r="F2075" t="s">
        <v>87</v>
      </c>
      <c r="G2075">
        <v>9135</v>
      </c>
      <c r="H2075" t="s">
        <v>8951</v>
      </c>
      <c r="I2075" s="131">
        <v>24</v>
      </c>
      <c r="J2075" t="s">
        <v>3699</v>
      </c>
      <c r="K2075" t="s">
        <v>108</v>
      </c>
      <c r="L2075" t="s">
        <v>1248</v>
      </c>
      <c r="M2075" t="s">
        <v>133</v>
      </c>
      <c r="N2075" t="s">
        <v>98</v>
      </c>
      <c r="O2075" t="s">
        <v>1345</v>
      </c>
    </row>
    <row r="2076" spans="1:15" x14ac:dyDescent="0.3">
      <c r="A2076" s="130">
        <v>10845</v>
      </c>
      <c r="B2076" s="130">
        <v>30</v>
      </c>
      <c r="C2076" s="130" t="s">
        <v>3700</v>
      </c>
      <c r="D2076">
        <v>16442</v>
      </c>
      <c r="E2076" s="130">
        <v>34562112</v>
      </c>
      <c r="F2076" t="s">
        <v>87</v>
      </c>
      <c r="G2076">
        <v>9135</v>
      </c>
      <c r="H2076" t="s">
        <v>8952</v>
      </c>
      <c r="I2076" s="130">
        <v>18</v>
      </c>
      <c r="J2076" t="s">
        <v>3700</v>
      </c>
      <c r="K2076" t="s">
        <v>108</v>
      </c>
      <c r="L2076" t="s">
        <v>123</v>
      </c>
      <c r="M2076" t="s">
        <v>103</v>
      </c>
      <c r="N2076" t="s">
        <v>98</v>
      </c>
      <c r="O2076" t="s">
        <v>1345</v>
      </c>
    </row>
    <row r="2077" spans="1:15" x14ac:dyDescent="0.3">
      <c r="A2077" s="130">
        <v>10847</v>
      </c>
      <c r="B2077" s="130">
        <v>30</v>
      </c>
      <c r="C2077" s="130" t="s">
        <v>3701</v>
      </c>
      <c r="D2077">
        <v>16601</v>
      </c>
      <c r="E2077" s="130">
        <v>3174004</v>
      </c>
      <c r="F2077" t="s">
        <v>87</v>
      </c>
      <c r="G2077">
        <v>358</v>
      </c>
      <c r="H2077" t="s">
        <v>8953</v>
      </c>
      <c r="I2077" s="131">
        <v>43</v>
      </c>
      <c r="J2077" t="s">
        <v>3701</v>
      </c>
      <c r="K2077" t="s">
        <v>108</v>
      </c>
      <c r="L2077" t="s">
        <v>173</v>
      </c>
      <c r="M2077" t="s">
        <v>103</v>
      </c>
      <c r="N2077" t="s">
        <v>98</v>
      </c>
      <c r="O2077" t="s">
        <v>1345</v>
      </c>
    </row>
    <row r="2078" spans="1:15" x14ac:dyDescent="0.3">
      <c r="A2078" s="130">
        <v>10851</v>
      </c>
      <c r="B2078" s="130">
        <v>30</v>
      </c>
      <c r="C2078" s="130" t="s">
        <v>3702</v>
      </c>
      <c r="D2078">
        <v>16604</v>
      </c>
      <c r="E2078" s="131">
        <v>21062047</v>
      </c>
      <c r="F2078" t="s">
        <v>87</v>
      </c>
      <c r="G2078">
        <v>9135</v>
      </c>
      <c r="H2078" t="s">
        <v>8951</v>
      </c>
      <c r="I2078" s="130">
        <v>3</v>
      </c>
      <c r="J2078" t="s">
        <v>3702</v>
      </c>
      <c r="K2078" t="s">
        <v>95</v>
      </c>
      <c r="L2078" t="s">
        <v>111</v>
      </c>
      <c r="M2078" t="s">
        <v>103</v>
      </c>
      <c r="N2078" t="s">
        <v>98</v>
      </c>
      <c r="O2078" t="s">
        <v>116</v>
      </c>
    </row>
    <row r="2079" spans="1:15" x14ac:dyDescent="0.3">
      <c r="A2079" s="130">
        <v>10862</v>
      </c>
      <c r="B2079" s="130">
        <v>18</v>
      </c>
      <c r="C2079" s="130" t="s">
        <v>3703</v>
      </c>
      <c r="D2079">
        <v>16623</v>
      </c>
      <c r="E2079" s="130">
        <v>26770408</v>
      </c>
      <c r="F2079" t="s">
        <v>87</v>
      </c>
      <c r="G2079">
        <v>9135</v>
      </c>
      <c r="H2079" t="s">
        <v>8952</v>
      </c>
      <c r="I2079" s="131">
        <v>9</v>
      </c>
      <c r="J2079" t="s">
        <v>3703</v>
      </c>
      <c r="K2079" t="s">
        <v>108</v>
      </c>
      <c r="L2079" t="s">
        <v>125</v>
      </c>
      <c r="M2079" t="s">
        <v>112</v>
      </c>
      <c r="N2079" t="s">
        <v>98</v>
      </c>
      <c r="O2079" t="s">
        <v>116</v>
      </c>
    </row>
    <row r="2080" spans="1:15" x14ac:dyDescent="0.3">
      <c r="A2080" s="130">
        <v>10872</v>
      </c>
      <c r="B2080" s="130">
        <v>30</v>
      </c>
      <c r="C2080" s="130" t="s">
        <v>3704</v>
      </c>
      <c r="D2080">
        <v>16637</v>
      </c>
      <c r="E2080" s="131">
        <v>3992929</v>
      </c>
      <c r="F2080" t="s">
        <v>87</v>
      </c>
      <c r="G2080">
        <v>9135</v>
      </c>
      <c r="H2080" t="s">
        <v>8953</v>
      </c>
      <c r="I2080" s="130">
        <v>9</v>
      </c>
      <c r="J2080" t="s">
        <v>3704</v>
      </c>
      <c r="K2080" t="s">
        <v>95</v>
      </c>
      <c r="L2080" t="s">
        <v>163</v>
      </c>
      <c r="M2080" t="s">
        <v>103</v>
      </c>
      <c r="N2080" t="s">
        <v>98</v>
      </c>
      <c r="O2080" t="s">
        <v>1345</v>
      </c>
    </row>
    <row r="2081" spans="1:15" x14ac:dyDescent="0.3">
      <c r="A2081" s="130">
        <v>10884</v>
      </c>
      <c r="B2081" s="130">
        <v>30</v>
      </c>
      <c r="C2081" s="130" t="s">
        <v>3705</v>
      </c>
      <c r="D2081">
        <v>16657</v>
      </c>
      <c r="E2081" s="131">
        <v>18593815</v>
      </c>
      <c r="F2081" t="s">
        <v>87</v>
      </c>
      <c r="G2081">
        <v>9135</v>
      </c>
      <c r="H2081" t="s">
        <v>8951</v>
      </c>
      <c r="I2081" s="130">
        <v>19</v>
      </c>
      <c r="J2081" t="s">
        <v>3705</v>
      </c>
      <c r="K2081" t="s">
        <v>95</v>
      </c>
      <c r="L2081" t="s">
        <v>146</v>
      </c>
      <c r="M2081" t="s">
        <v>103</v>
      </c>
      <c r="N2081" t="s">
        <v>118</v>
      </c>
      <c r="O2081" t="s">
        <v>116</v>
      </c>
    </row>
    <row r="2082" spans="1:15" x14ac:dyDescent="0.3">
      <c r="A2082" s="130">
        <v>10888</v>
      </c>
      <c r="B2082" s="130">
        <v>30</v>
      </c>
      <c r="C2082" s="130" t="s">
        <v>3706</v>
      </c>
      <c r="D2082">
        <v>16659</v>
      </c>
      <c r="E2082" s="130">
        <v>5078186</v>
      </c>
      <c r="F2082" t="s">
        <v>87</v>
      </c>
      <c r="G2082">
        <v>9135</v>
      </c>
      <c r="H2082" t="s">
        <v>8952</v>
      </c>
      <c r="I2082" s="130">
        <v>18</v>
      </c>
      <c r="J2082" t="s">
        <v>3706</v>
      </c>
      <c r="K2082" t="s">
        <v>108</v>
      </c>
      <c r="L2082" t="s">
        <v>123</v>
      </c>
      <c r="M2082" t="s">
        <v>103</v>
      </c>
      <c r="N2082" t="s">
        <v>98</v>
      </c>
      <c r="O2082" t="s">
        <v>116</v>
      </c>
    </row>
    <row r="2083" spans="1:15" x14ac:dyDescent="0.3">
      <c r="A2083" s="130">
        <v>10902</v>
      </c>
      <c r="B2083" s="130">
        <v>21</v>
      </c>
      <c r="C2083" s="130" t="s">
        <v>3707</v>
      </c>
      <c r="D2083">
        <v>16679</v>
      </c>
      <c r="E2083" s="130">
        <v>22113908</v>
      </c>
      <c r="F2083" t="s">
        <v>87</v>
      </c>
      <c r="G2083">
        <v>9135</v>
      </c>
      <c r="H2083" t="s">
        <v>8953</v>
      </c>
      <c r="I2083" s="130">
        <v>3</v>
      </c>
      <c r="J2083" t="s">
        <v>3707</v>
      </c>
      <c r="K2083" t="s">
        <v>108</v>
      </c>
      <c r="L2083" t="s">
        <v>111</v>
      </c>
      <c r="M2083" t="s">
        <v>137</v>
      </c>
      <c r="N2083" t="s">
        <v>98</v>
      </c>
      <c r="O2083" t="s">
        <v>116</v>
      </c>
    </row>
    <row r="2084" spans="1:15" x14ac:dyDescent="0.3">
      <c r="A2084" s="130">
        <v>10904</v>
      </c>
      <c r="B2084" s="130">
        <v>30</v>
      </c>
      <c r="C2084" s="130" t="s">
        <v>3708</v>
      </c>
      <c r="D2084">
        <v>16681</v>
      </c>
      <c r="E2084" s="130">
        <v>532740</v>
      </c>
      <c r="F2084" t="s">
        <v>87</v>
      </c>
      <c r="G2084">
        <v>358</v>
      </c>
      <c r="H2084" t="s">
        <v>8951</v>
      </c>
      <c r="I2084" s="131">
        <v>3</v>
      </c>
      <c r="J2084" t="s">
        <v>3708</v>
      </c>
      <c r="K2084" t="s">
        <v>95</v>
      </c>
      <c r="L2084" t="s">
        <v>109</v>
      </c>
      <c r="M2084" t="s">
        <v>103</v>
      </c>
      <c r="N2084" t="s">
        <v>118</v>
      </c>
      <c r="O2084" t="s">
        <v>1345</v>
      </c>
    </row>
    <row r="2085" spans="1:15" x14ac:dyDescent="0.3">
      <c r="A2085" s="130">
        <v>10911</v>
      </c>
      <c r="B2085" s="130">
        <v>30</v>
      </c>
      <c r="C2085" s="130" t="s">
        <v>3709</v>
      </c>
      <c r="D2085">
        <v>16691</v>
      </c>
      <c r="E2085" s="130">
        <v>40580071</v>
      </c>
      <c r="F2085" t="s">
        <v>87</v>
      </c>
      <c r="G2085">
        <v>9135</v>
      </c>
      <c r="H2085" t="s">
        <v>8952</v>
      </c>
      <c r="I2085" s="130">
        <v>3</v>
      </c>
      <c r="J2085" t="s">
        <v>3709</v>
      </c>
      <c r="K2085" t="s">
        <v>108</v>
      </c>
      <c r="L2085" t="s">
        <v>111</v>
      </c>
      <c r="M2085" t="s">
        <v>103</v>
      </c>
      <c r="N2085" t="s">
        <v>98</v>
      </c>
      <c r="O2085" t="s">
        <v>1345</v>
      </c>
    </row>
    <row r="2086" spans="1:15" x14ac:dyDescent="0.3">
      <c r="A2086" s="130">
        <v>10919</v>
      </c>
      <c r="B2086" s="130">
        <v>30</v>
      </c>
      <c r="C2086" s="130" t="s">
        <v>3710</v>
      </c>
      <c r="D2086">
        <v>16701</v>
      </c>
      <c r="E2086" s="130">
        <v>46155662</v>
      </c>
      <c r="F2086" t="s">
        <v>87</v>
      </c>
      <c r="G2086">
        <v>9135</v>
      </c>
      <c r="H2086" t="s">
        <v>8953</v>
      </c>
      <c r="I2086" s="130">
        <v>26</v>
      </c>
      <c r="J2086" t="s">
        <v>3710</v>
      </c>
      <c r="K2086" t="s">
        <v>95</v>
      </c>
      <c r="L2086" t="s">
        <v>123</v>
      </c>
      <c r="M2086" t="s">
        <v>103</v>
      </c>
      <c r="N2086" t="s">
        <v>98</v>
      </c>
      <c r="O2086" t="s">
        <v>116</v>
      </c>
    </row>
    <row r="2087" spans="1:15" x14ac:dyDescent="0.3">
      <c r="A2087" s="130">
        <v>10931</v>
      </c>
      <c r="B2087" s="130">
        <v>30</v>
      </c>
      <c r="C2087" s="130" t="s">
        <v>3711</v>
      </c>
      <c r="D2087">
        <v>16654</v>
      </c>
      <c r="E2087" s="130">
        <v>16851889</v>
      </c>
      <c r="F2087" t="s">
        <v>113</v>
      </c>
      <c r="G2087">
        <v>9135</v>
      </c>
      <c r="H2087" t="s">
        <v>8951</v>
      </c>
      <c r="I2087" s="130">
        <v>43</v>
      </c>
      <c r="J2087" t="s">
        <v>3711</v>
      </c>
      <c r="K2087" t="s">
        <v>108</v>
      </c>
      <c r="L2087" t="s">
        <v>1241</v>
      </c>
      <c r="M2087" t="s">
        <v>103</v>
      </c>
      <c r="N2087" t="s">
        <v>98</v>
      </c>
      <c r="O2087" t="s">
        <v>1256</v>
      </c>
    </row>
    <row r="2088" spans="1:15" x14ac:dyDescent="0.3">
      <c r="A2088" s="130">
        <v>10942</v>
      </c>
      <c r="B2088" s="130">
        <v>18</v>
      </c>
      <c r="C2088" s="130" t="s">
        <v>3712</v>
      </c>
      <c r="D2088">
        <v>16734</v>
      </c>
      <c r="E2088" s="131">
        <v>59225698</v>
      </c>
      <c r="F2088" t="s">
        <v>87</v>
      </c>
      <c r="G2088">
        <v>9135</v>
      </c>
      <c r="H2088" t="s">
        <v>8952</v>
      </c>
      <c r="I2088" s="130">
        <v>37</v>
      </c>
      <c r="J2088" t="s">
        <v>3712</v>
      </c>
      <c r="K2088" t="s">
        <v>95</v>
      </c>
      <c r="L2088" t="s">
        <v>138</v>
      </c>
      <c r="M2088" t="s">
        <v>112</v>
      </c>
      <c r="N2088" t="s">
        <v>150</v>
      </c>
      <c r="O2088" t="s">
        <v>1345</v>
      </c>
    </row>
    <row r="2089" spans="1:15" x14ac:dyDescent="0.3">
      <c r="A2089" s="130">
        <v>10943</v>
      </c>
      <c r="B2089" s="130">
        <v>10</v>
      </c>
      <c r="C2089" s="130" t="s">
        <v>3713</v>
      </c>
      <c r="D2089">
        <v>16735</v>
      </c>
      <c r="E2089" s="130">
        <v>17262213</v>
      </c>
      <c r="F2089" t="s">
        <v>87</v>
      </c>
      <c r="G2089">
        <v>358</v>
      </c>
      <c r="H2089" t="s">
        <v>8953</v>
      </c>
      <c r="I2089" s="130">
        <v>10</v>
      </c>
      <c r="J2089" t="s">
        <v>3713</v>
      </c>
      <c r="K2089" t="s">
        <v>95</v>
      </c>
      <c r="L2089" t="s">
        <v>105</v>
      </c>
      <c r="M2089" t="s">
        <v>133</v>
      </c>
      <c r="N2089" t="s">
        <v>98</v>
      </c>
      <c r="O2089" t="s">
        <v>1345</v>
      </c>
    </row>
    <row r="2090" spans="1:15" x14ac:dyDescent="0.3">
      <c r="A2090" s="130">
        <v>10945</v>
      </c>
      <c r="B2090" s="130">
        <v>30</v>
      </c>
      <c r="C2090" s="130" t="s">
        <v>3714</v>
      </c>
      <c r="D2090">
        <v>16738</v>
      </c>
      <c r="E2090" s="130">
        <v>8807683</v>
      </c>
      <c r="F2090" t="s">
        <v>87</v>
      </c>
      <c r="G2090">
        <v>9135</v>
      </c>
      <c r="H2090" t="s">
        <v>8951</v>
      </c>
      <c r="I2090" s="130">
        <v>26</v>
      </c>
      <c r="J2090" t="s">
        <v>3714</v>
      </c>
      <c r="K2090" t="s">
        <v>95</v>
      </c>
      <c r="L2090" t="s">
        <v>151</v>
      </c>
      <c r="M2090" t="s">
        <v>103</v>
      </c>
      <c r="N2090" t="s">
        <v>118</v>
      </c>
      <c r="O2090" t="s">
        <v>116</v>
      </c>
    </row>
    <row r="2091" spans="1:15" x14ac:dyDescent="0.3">
      <c r="A2091" s="130">
        <v>10950</v>
      </c>
      <c r="B2091" s="130">
        <v>30</v>
      </c>
      <c r="C2091" s="130" t="s">
        <v>3715</v>
      </c>
      <c r="D2091">
        <v>16722</v>
      </c>
      <c r="E2091" s="130">
        <v>94480480</v>
      </c>
      <c r="F2091" t="s">
        <v>87</v>
      </c>
      <c r="G2091">
        <v>358</v>
      </c>
      <c r="H2091" t="s">
        <v>8952</v>
      </c>
      <c r="I2091" s="130">
        <v>43</v>
      </c>
      <c r="J2091" t="s">
        <v>3715</v>
      </c>
      <c r="K2091" t="s">
        <v>95</v>
      </c>
      <c r="L2091" t="s">
        <v>173</v>
      </c>
      <c r="M2091" t="s">
        <v>103</v>
      </c>
      <c r="N2091" t="s">
        <v>114</v>
      </c>
      <c r="O2091" t="s">
        <v>1345</v>
      </c>
    </row>
    <row r="2092" spans="1:15" x14ac:dyDescent="0.3">
      <c r="A2092" s="130">
        <v>10966</v>
      </c>
      <c r="B2092" s="130">
        <v>30</v>
      </c>
      <c r="C2092" s="130" t="s">
        <v>3716</v>
      </c>
      <c r="D2092">
        <v>16772</v>
      </c>
      <c r="E2092" s="131">
        <v>28983487</v>
      </c>
      <c r="F2092" t="s">
        <v>87</v>
      </c>
      <c r="G2092">
        <v>9135</v>
      </c>
      <c r="H2092" t="s">
        <v>8953</v>
      </c>
      <c r="I2092" s="130">
        <v>19</v>
      </c>
      <c r="J2092" t="s">
        <v>3716</v>
      </c>
      <c r="K2092" t="s">
        <v>108</v>
      </c>
      <c r="L2092" t="s">
        <v>146</v>
      </c>
      <c r="M2092" t="s">
        <v>103</v>
      </c>
      <c r="N2092" t="s">
        <v>114</v>
      </c>
      <c r="O2092" t="s">
        <v>1345</v>
      </c>
    </row>
    <row r="2093" spans="1:15" x14ac:dyDescent="0.3">
      <c r="A2093" s="130">
        <v>10982</v>
      </c>
      <c r="B2093" s="130">
        <v>30</v>
      </c>
      <c r="C2093" s="130" t="s">
        <v>3717</v>
      </c>
      <c r="D2093">
        <v>16796</v>
      </c>
      <c r="E2093" s="130">
        <v>45456117</v>
      </c>
      <c r="F2093" t="s">
        <v>87</v>
      </c>
      <c r="G2093">
        <v>9135</v>
      </c>
      <c r="H2093" t="s">
        <v>8951</v>
      </c>
      <c r="I2093" s="130">
        <v>19</v>
      </c>
      <c r="J2093" t="s">
        <v>3717</v>
      </c>
      <c r="K2093" t="s">
        <v>95</v>
      </c>
      <c r="L2093" t="s">
        <v>146</v>
      </c>
      <c r="M2093" t="s">
        <v>103</v>
      </c>
      <c r="N2093" t="s">
        <v>132</v>
      </c>
      <c r="O2093" t="s">
        <v>116</v>
      </c>
    </row>
    <row r="2094" spans="1:15" x14ac:dyDescent="0.3">
      <c r="A2094" s="130">
        <v>10990</v>
      </c>
      <c r="B2094" s="130">
        <v>18</v>
      </c>
      <c r="C2094" s="130" t="s">
        <v>3718</v>
      </c>
      <c r="D2094">
        <v>16804</v>
      </c>
      <c r="E2094" s="130">
        <v>2120261</v>
      </c>
      <c r="F2094" t="s">
        <v>87</v>
      </c>
      <c r="G2094">
        <v>358</v>
      </c>
      <c r="H2094" t="s">
        <v>8952</v>
      </c>
      <c r="I2094" s="130">
        <v>37</v>
      </c>
      <c r="J2094" t="s">
        <v>3718</v>
      </c>
      <c r="K2094" t="s">
        <v>108</v>
      </c>
      <c r="L2094" t="s">
        <v>144</v>
      </c>
      <c r="M2094" t="s">
        <v>112</v>
      </c>
      <c r="N2094" t="s">
        <v>98</v>
      </c>
      <c r="O2094" t="s">
        <v>116</v>
      </c>
    </row>
    <row r="2095" spans="1:15" x14ac:dyDescent="0.3">
      <c r="A2095" s="130">
        <v>10997</v>
      </c>
      <c r="B2095" s="130">
        <v>30</v>
      </c>
      <c r="C2095" s="130" t="s">
        <v>3719</v>
      </c>
      <c r="D2095">
        <v>16811</v>
      </c>
      <c r="E2095" s="131">
        <v>35234509</v>
      </c>
      <c r="F2095" t="s">
        <v>87</v>
      </c>
      <c r="G2095">
        <v>358</v>
      </c>
      <c r="H2095" t="s">
        <v>8953</v>
      </c>
      <c r="I2095" s="130">
        <v>19</v>
      </c>
      <c r="J2095" t="s">
        <v>3719</v>
      </c>
      <c r="K2095" t="s">
        <v>95</v>
      </c>
      <c r="L2095" t="s">
        <v>102</v>
      </c>
      <c r="M2095" t="s">
        <v>103</v>
      </c>
      <c r="N2095" t="s">
        <v>98</v>
      </c>
      <c r="O2095" t="s">
        <v>1345</v>
      </c>
    </row>
    <row r="2096" spans="1:15" x14ac:dyDescent="0.3">
      <c r="A2096" s="130">
        <v>11008</v>
      </c>
      <c r="B2096" s="130">
        <v>30</v>
      </c>
      <c r="C2096" s="130" t="s">
        <v>3720</v>
      </c>
      <c r="D2096">
        <v>16829</v>
      </c>
      <c r="E2096" s="131">
        <v>20059618</v>
      </c>
      <c r="F2096" t="s">
        <v>87</v>
      </c>
      <c r="G2096">
        <v>77</v>
      </c>
      <c r="H2096" t="s">
        <v>8951</v>
      </c>
      <c r="I2096" s="130">
        <v>3</v>
      </c>
      <c r="J2096" t="s">
        <v>3720</v>
      </c>
      <c r="K2096" t="s">
        <v>95</v>
      </c>
      <c r="L2096" t="s">
        <v>256</v>
      </c>
      <c r="M2096" t="s">
        <v>103</v>
      </c>
      <c r="N2096" t="s">
        <v>131</v>
      </c>
      <c r="O2096" t="s">
        <v>116</v>
      </c>
    </row>
    <row r="2097" spans="1:15" x14ac:dyDescent="0.3">
      <c r="A2097" s="130">
        <v>11010</v>
      </c>
      <c r="B2097" s="130">
        <v>30</v>
      </c>
      <c r="C2097" s="130" t="s">
        <v>3721</v>
      </c>
      <c r="D2097">
        <v>16837</v>
      </c>
      <c r="E2097" s="131">
        <v>10248815</v>
      </c>
      <c r="F2097" t="s">
        <v>87</v>
      </c>
      <c r="G2097">
        <v>9135</v>
      </c>
      <c r="H2097" t="s">
        <v>8952</v>
      </c>
      <c r="I2097" s="130">
        <v>10</v>
      </c>
      <c r="J2097" t="s">
        <v>3721</v>
      </c>
      <c r="K2097" t="s">
        <v>108</v>
      </c>
      <c r="L2097" t="s">
        <v>127</v>
      </c>
      <c r="M2097" t="s">
        <v>103</v>
      </c>
      <c r="N2097" t="s">
        <v>118</v>
      </c>
      <c r="O2097" t="s">
        <v>1345</v>
      </c>
    </row>
    <row r="2098" spans="1:15" x14ac:dyDescent="0.3">
      <c r="A2098" s="130">
        <v>11011</v>
      </c>
      <c r="B2098" s="130">
        <v>-1</v>
      </c>
      <c r="C2098" s="130" t="s">
        <v>3722</v>
      </c>
      <c r="D2098">
        <v>16838</v>
      </c>
      <c r="E2098" s="130">
        <v>4690015</v>
      </c>
      <c r="F2098" t="s">
        <v>87</v>
      </c>
      <c r="G2098">
        <v>9135</v>
      </c>
      <c r="H2098" t="s">
        <v>8953</v>
      </c>
      <c r="I2098" s="130">
        <v>24</v>
      </c>
      <c r="J2098" t="s">
        <v>3722</v>
      </c>
      <c r="K2098" t="s">
        <v>108</v>
      </c>
      <c r="L2098" t="s">
        <v>191</v>
      </c>
      <c r="M2098" t="s">
        <v>174</v>
      </c>
      <c r="N2098" t="s">
        <v>114</v>
      </c>
      <c r="O2098" t="s">
        <v>1345</v>
      </c>
    </row>
    <row r="2099" spans="1:15" x14ac:dyDescent="0.3">
      <c r="A2099" s="130">
        <v>11015</v>
      </c>
      <c r="B2099" s="130">
        <v>30</v>
      </c>
      <c r="C2099" s="130" t="s">
        <v>3723</v>
      </c>
      <c r="D2099">
        <v>16834</v>
      </c>
      <c r="E2099" s="130">
        <v>22104045</v>
      </c>
      <c r="F2099" t="s">
        <v>113</v>
      </c>
      <c r="G2099">
        <v>77</v>
      </c>
      <c r="H2099" t="s">
        <v>8951</v>
      </c>
      <c r="I2099" s="130">
        <v>43</v>
      </c>
      <c r="J2099" t="s">
        <v>3723</v>
      </c>
      <c r="K2099" t="s">
        <v>95</v>
      </c>
      <c r="L2099" t="s">
        <v>117</v>
      </c>
      <c r="M2099" t="s">
        <v>103</v>
      </c>
      <c r="N2099" t="s">
        <v>118</v>
      </c>
      <c r="O2099" t="s">
        <v>1256</v>
      </c>
    </row>
    <row r="2100" spans="1:15" x14ac:dyDescent="0.3">
      <c r="A2100" s="130">
        <v>11031</v>
      </c>
      <c r="B2100" s="130">
        <v>30</v>
      </c>
      <c r="C2100" s="130" t="s">
        <v>3724</v>
      </c>
      <c r="D2100">
        <v>16810</v>
      </c>
      <c r="E2100" s="130">
        <v>33841727</v>
      </c>
      <c r="F2100" t="s">
        <v>87</v>
      </c>
      <c r="G2100">
        <v>358</v>
      </c>
      <c r="H2100" t="s">
        <v>8952</v>
      </c>
      <c r="I2100" s="131">
        <v>10</v>
      </c>
      <c r="J2100" t="s">
        <v>3724</v>
      </c>
      <c r="K2100" t="s">
        <v>108</v>
      </c>
      <c r="L2100" t="s">
        <v>105</v>
      </c>
      <c r="M2100" t="s">
        <v>103</v>
      </c>
      <c r="N2100" t="s">
        <v>118</v>
      </c>
      <c r="O2100" t="s">
        <v>1345</v>
      </c>
    </row>
    <row r="2101" spans="1:15" x14ac:dyDescent="0.3">
      <c r="A2101" s="130">
        <v>11033</v>
      </c>
      <c r="B2101" s="130" t="s">
        <v>234</v>
      </c>
      <c r="C2101" s="130" t="s">
        <v>3725</v>
      </c>
      <c r="D2101">
        <v>16867</v>
      </c>
      <c r="E2101" s="131">
        <v>33841727</v>
      </c>
      <c r="F2101" t="s">
        <v>87</v>
      </c>
      <c r="G2101">
        <v>358</v>
      </c>
      <c r="H2101" t="s">
        <v>8953</v>
      </c>
      <c r="I2101" s="131">
        <v>10</v>
      </c>
      <c r="J2101" t="s">
        <v>3725</v>
      </c>
      <c r="K2101" t="s">
        <v>95</v>
      </c>
      <c r="L2101" t="s">
        <v>109</v>
      </c>
      <c r="M2101" t="s">
        <v>234</v>
      </c>
      <c r="N2101" t="s">
        <v>98</v>
      </c>
      <c r="O2101" t="s">
        <v>116</v>
      </c>
    </row>
    <row r="2102" spans="1:15" x14ac:dyDescent="0.3">
      <c r="A2102" s="130">
        <v>11035</v>
      </c>
      <c r="B2102" s="130">
        <v>-1</v>
      </c>
      <c r="C2102" s="130" t="s">
        <v>3726</v>
      </c>
      <c r="D2102">
        <v>16869</v>
      </c>
      <c r="E2102" s="130">
        <v>29658922</v>
      </c>
      <c r="F2102" t="s">
        <v>87</v>
      </c>
      <c r="G2102">
        <v>9135</v>
      </c>
      <c r="H2102" t="s">
        <v>8951</v>
      </c>
      <c r="I2102" s="130">
        <v>10</v>
      </c>
      <c r="J2102" t="s">
        <v>3726</v>
      </c>
      <c r="K2102" t="s">
        <v>108</v>
      </c>
      <c r="L2102" t="s">
        <v>127</v>
      </c>
      <c r="M2102" t="s">
        <v>174</v>
      </c>
      <c r="N2102" t="s">
        <v>118</v>
      </c>
      <c r="O2102" t="s">
        <v>116</v>
      </c>
    </row>
    <row r="2103" spans="1:15" x14ac:dyDescent="0.3">
      <c r="A2103" s="130">
        <v>11036</v>
      </c>
      <c r="B2103" s="130">
        <v>18</v>
      </c>
      <c r="C2103" s="130" t="s">
        <v>3727</v>
      </c>
      <c r="D2103">
        <v>16871</v>
      </c>
      <c r="E2103" s="131">
        <v>3887613</v>
      </c>
      <c r="F2103" t="s">
        <v>87</v>
      </c>
      <c r="G2103">
        <v>9135</v>
      </c>
      <c r="H2103" t="s">
        <v>8952</v>
      </c>
      <c r="I2103" s="130">
        <v>10</v>
      </c>
      <c r="J2103" t="s">
        <v>3727</v>
      </c>
      <c r="K2103" t="s">
        <v>108</v>
      </c>
      <c r="L2103" t="s">
        <v>127</v>
      </c>
      <c r="M2103" t="s">
        <v>112</v>
      </c>
      <c r="N2103" t="s">
        <v>118</v>
      </c>
      <c r="O2103" t="s">
        <v>116</v>
      </c>
    </row>
    <row r="2104" spans="1:15" x14ac:dyDescent="0.3">
      <c r="A2104" s="130">
        <v>11042</v>
      </c>
      <c r="B2104" s="130">
        <v>10</v>
      </c>
      <c r="C2104" s="130" t="s">
        <v>3728</v>
      </c>
      <c r="D2104">
        <v>16884</v>
      </c>
      <c r="E2104" s="130">
        <v>30017321</v>
      </c>
      <c r="F2104" t="s">
        <v>87</v>
      </c>
      <c r="G2104">
        <v>9135</v>
      </c>
      <c r="H2104" t="s">
        <v>8953</v>
      </c>
      <c r="I2104" s="131">
        <v>18</v>
      </c>
      <c r="J2104" t="s">
        <v>3728</v>
      </c>
      <c r="K2104" t="s">
        <v>108</v>
      </c>
      <c r="L2104" t="s">
        <v>1293</v>
      </c>
      <c r="M2104" t="s">
        <v>133</v>
      </c>
      <c r="N2104" t="s">
        <v>98</v>
      </c>
      <c r="O2104" t="s">
        <v>116</v>
      </c>
    </row>
    <row r="2105" spans="1:15" x14ac:dyDescent="0.3">
      <c r="A2105" s="130">
        <v>11047</v>
      </c>
      <c r="B2105" s="130">
        <v>28</v>
      </c>
      <c r="C2105" s="130" t="s">
        <v>3729</v>
      </c>
      <c r="D2105">
        <v>16891</v>
      </c>
      <c r="E2105" s="130">
        <v>31953284</v>
      </c>
      <c r="F2105" t="s">
        <v>87</v>
      </c>
      <c r="G2105">
        <v>9135</v>
      </c>
      <c r="H2105" t="s">
        <v>8951</v>
      </c>
      <c r="I2105" s="131">
        <v>10</v>
      </c>
      <c r="J2105" t="s">
        <v>3729</v>
      </c>
      <c r="K2105" t="s">
        <v>108</v>
      </c>
      <c r="L2105" t="s">
        <v>127</v>
      </c>
      <c r="M2105" t="s">
        <v>130</v>
      </c>
      <c r="N2105" t="s">
        <v>118</v>
      </c>
      <c r="O2105" t="s">
        <v>1345</v>
      </c>
    </row>
    <row r="2106" spans="1:15" x14ac:dyDescent="0.3">
      <c r="A2106" s="130">
        <v>11048</v>
      </c>
      <c r="B2106" s="130">
        <v>45</v>
      </c>
      <c r="C2106" s="130" t="s">
        <v>3730</v>
      </c>
      <c r="D2106">
        <v>16889</v>
      </c>
      <c r="E2106" s="130">
        <v>18238980</v>
      </c>
      <c r="F2106" t="s">
        <v>87</v>
      </c>
      <c r="G2106">
        <v>9135</v>
      </c>
      <c r="H2106" t="s">
        <v>8952</v>
      </c>
      <c r="I2106" s="131">
        <v>24</v>
      </c>
      <c r="J2106" t="s">
        <v>3730</v>
      </c>
      <c r="K2106" t="s">
        <v>95</v>
      </c>
      <c r="L2106" t="s">
        <v>191</v>
      </c>
      <c r="M2106" t="s">
        <v>106</v>
      </c>
      <c r="N2106" t="s">
        <v>124</v>
      </c>
      <c r="O2106" t="s">
        <v>116</v>
      </c>
    </row>
    <row r="2107" spans="1:15" x14ac:dyDescent="0.3">
      <c r="A2107" s="130">
        <v>11054</v>
      </c>
      <c r="B2107" s="130">
        <v>45</v>
      </c>
      <c r="C2107" s="130" t="s">
        <v>3731</v>
      </c>
      <c r="D2107">
        <v>16895</v>
      </c>
      <c r="E2107" s="130">
        <v>18238980</v>
      </c>
      <c r="F2107" t="s">
        <v>87</v>
      </c>
      <c r="G2107">
        <v>9135</v>
      </c>
      <c r="H2107" t="s">
        <v>8953</v>
      </c>
      <c r="I2107" s="130">
        <v>24</v>
      </c>
      <c r="J2107" t="s">
        <v>3731</v>
      </c>
      <c r="K2107" t="s">
        <v>95</v>
      </c>
      <c r="L2107" t="s">
        <v>191</v>
      </c>
      <c r="M2107" t="s">
        <v>106</v>
      </c>
      <c r="N2107" t="s">
        <v>124</v>
      </c>
      <c r="O2107" t="s">
        <v>116</v>
      </c>
    </row>
    <row r="2108" spans="1:15" x14ac:dyDescent="0.3">
      <c r="A2108" s="130">
        <v>11055</v>
      </c>
      <c r="B2108" s="130">
        <v>45</v>
      </c>
      <c r="C2108" s="130" t="s">
        <v>3732</v>
      </c>
      <c r="D2108">
        <v>16899</v>
      </c>
      <c r="E2108" s="130">
        <v>18238980</v>
      </c>
      <c r="F2108" t="s">
        <v>87</v>
      </c>
      <c r="G2108">
        <v>9135</v>
      </c>
      <c r="H2108" t="s">
        <v>8951</v>
      </c>
      <c r="I2108" s="131">
        <v>24</v>
      </c>
      <c r="J2108" t="s">
        <v>3732</v>
      </c>
      <c r="K2108" t="s">
        <v>95</v>
      </c>
      <c r="L2108" t="s">
        <v>191</v>
      </c>
      <c r="M2108" t="s">
        <v>106</v>
      </c>
      <c r="N2108" t="s">
        <v>124</v>
      </c>
      <c r="O2108" t="s">
        <v>116</v>
      </c>
    </row>
    <row r="2109" spans="1:15" x14ac:dyDescent="0.3">
      <c r="A2109" s="130">
        <v>11057</v>
      </c>
      <c r="B2109" s="130">
        <v>45</v>
      </c>
      <c r="C2109" s="130" t="s">
        <v>3733</v>
      </c>
      <c r="D2109">
        <v>16901</v>
      </c>
      <c r="E2109" s="130">
        <v>18238980</v>
      </c>
      <c r="F2109" t="s">
        <v>87</v>
      </c>
      <c r="G2109">
        <v>9135</v>
      </c>
      <c r="H2109" t="s">
        <v>8952</v>
      </c>
      <c r="I2109" s="130">
        <v>24</v>
      </c>
      <c r="J2109" t="s">
        <v>3733</v>
      </c>
      <c r="K2109" t="s">
        <v>95</v>
      </c>
      <c r="L2109" t="s">
        <v>191</v>
      </c>
      <c r="M2109" t="s">
        <v>106</v>
      </c>
      <c r="N2109" t="s">
        <v>124</v>
      </c>
      <c r="O2109" t="s">
        <v>116</v>
      </c>
    </row>
    <row r="2110" spans="1:15" x14ac:dyDescent="0.3">
      <c r="A2110" s="130">
        <v>11059</v>
      </c>
      <c r="B2110" s="130">
        <v>45</v>
      </c>
      <c r="C2110" s="130" t="s">
        <v>3734</v>
      </c>
      <c r="D2110">
        <v>16904</v>
      </c>
      <c r="E2110" s="131">
        <v>18238980</v>
      </c>
      <c r="F2110" t="s">
        <v>87</v>
      </c>
      <c r="G2110">
        <v>9135</v>
      </c>
      <c r="H2110" t="s">
        <v>8953</v>
      </c>
      <c r="I2110" s="130">
        <v>24</v>
      </c>
      <c r="J2110" t="s">
        <v>3734</v>
      </c>
      <c r="K2110" t="s">
        <v>95</v>
      </c>
      <c r="L2110" t="s">
        <v>191</v>
      </c>
      <c r="M2110" t="s">
        <v>106</v>
      </c>
      <c r="N2110" t="s">
        <v>124</v>
      </c>
      <c r="O2110" t="s">
        <v>116</v>
      </c>
    </row>
    <row r="2111" spans="1:15" x14ac:dyDescent="0.3">
      <c r="A2111" s="130">
        <v>11060</v>
      </c>
      <c r="B2111" s="130">
        <v>45</v>
      </c>
      <c r="C2111" s="130" t="s">
        <v>3735</v>
      </c>
      <c r="D2111">
        <v>16906</v>
      </c>
      <c r="E2111" s="131">
        <v>18238980</v>
      </c>
      <c r="F2111" t="s">
        <v>87</v>
      </c>
      <c r="G2111">
        <v>9135</v>
      </c>
      <c r="H2111" t="s">
        <v>8951</v>
      </c>
      <c r="I2111" s="130">
        <v>24</v>
      </c>
      <c r="J2111" t="s">
        <v>3735</v>
      </c>
      <c r="K2111" t="s">
        <v>95</v>
      </c>
      <c r="L2111" t="s">
        <v>191</v>
      </c>
      <c r="M2111" t="s">
        <v>106</v>
      </c>
      <c r="N2111" t="s">
        <v>124</v>
      </c>
      <c r="O2111" t="s">
        <v>116</v>
      </c>
    </row>
    <row r="2112" spans="1:15" x14ac:dyDescent="0.3">
      <c r="A2112" s="130">
        <v>11065</v>
      </c>
      <c r="B2112" s="130">
        <v>90</v>
      </c>
      <c r="C2112" s="130" t="s">
        <v>3736</v>
      </c>
      <c r="D2112">
        <v>16912</v>
      </c>
      <c r="E2112" s="130">
        <v>35234509</v>
      </c>
      <c r="F2112" t="s">
        <v>87</v>
      </c>
      <c r="G2112">
        <v>358</v>
      </c>
      <c r="H2112" t="s">
        <v>8952</v>
      </c>
      <c r="I2112" s="130">
        <v>18</v>
      </c>
      <c r="J2112" t="s">
        <v>3736</v>
      </c>
      <c r="K2112" t="s">
        <v>95</v>
      </c>
      <c r="L2112" t="s">
        <v>102</v>
      </c>
      <c r="M2112" t="s">
        <v>170</v>
      </c>
      <c r="N2112" t="s">
        <v>98</v>
      </c>
      <c r="O2112" t="s">
        <v>116</v>
      </c>
    </row>
    <row r="2113" spans="1:15" x14ac:dyDescent="0.3">
      <c r="A2113" s="130">
        <v>11075</v>
      </c>
      <c r="B2113" s="130">
        <v>15</v>
      </c>
      <c r="C2113" s="130" t="s">
        <v>3737</v>
      </c>
      <c r="D2113">
        <v>16926</v>
      </c>
      <c r="E2113" s="130">
        <v>72030927</v>
      </c>
      <c r="F2113" t="s">
        <v>87</v>
      </c>
      <c r="G2113">
        <v>9135</v>
      </c>
      <c r="H2113" t="s">
        <v>8953</v>
      </c>
      <c r="I2113" s="131">
        <v>18</v>
      </c>
      <c r="J2113" t="s">
        <v>3737</v>
      </c>
      <c r="K2113" t="s">
        <v>108</v>
      </c>
      <c r="L2113" t="s">
        <v>1293</v>
      </c>
      <c r="M2113" t="s">
        <v>145</v>
      </c>
      <c r="N2113" t="s">
        <v>98</v>
      </c>
      <c r="O2113" t="s">
        <v>116</v>
      </c>
    </row>
    <row r="2114" spans="1:15" x14ac:dyDescent="0.3">
      <c r="A2114" s="130">
        <v>11076</v>
      </c>
      <c r="B2114" s="130">
        <v>30</v>
      </c>
      <c r="C2114" s="130" t="s">
        <v>3738</v>
      </c>
      <c r="D2114">
        <v>16928</v>
      </c>
      <c r="E2114" s="130">
        <v>83646547</v>
      </c>
      <c r="F2114" t="s">
        <v>87</v>
      </c>
      <c r="G2114">
        <v>358</v>
      </c>
      <c r="H2114" t="s">
        <v>8951</v>
      </c>
      <c r="I2114" s="130">
        <v>10</v>
      </c>
      <c r="J2114" t="s">
        <v>3738</v>
      </c>
      <c r="K2114" t="s">
        <v>108</v>
      </c>
      <c r="L2114" t="s">
        <v>105</v>
      </c>
      <c r="M2114" t="s">
        <v>103</v>
      </c>
      <c r="N2114" t="s">
        <v>98</v>
      </c>
      <c r="O2114" t="s">
        <v>1345</v>
      </c>
    </row>
    <row r="2115" spans="1:15" x14ac:dyDescent="0.3">
      <c r="A2115" s="130">
        <v>11079</v>
      </c>
      <c r="B2115" s="130">
        <v>10</v>
      </c>
      <c r="C2115" s="130" t="s">
        <v>3739</v>
      </c>
      <c r="D2115">
        <v>16931</v>
      </c>
      <c r="E2115" s="131">
        <v>6232484</v>
      </c>
      <c r="F2115" t="s">
        <v>87</v>
      </c>
      <c r="G2115">
        <v>358</v>
      </c>
      <c r="H2115" t="s">
        <v>8952</v>
      </c>
      <c r="I2115" s="131">
        <v>3</v>
      </c>
      <c r="J2115" t="s">
        <v>3739</v>
      </c>
      <c r="K2115" t="s">
        <v>95</v>
      </c>
      <c r="L2115" t="s">
        <v>105</v>
      </c>
      <c r="M2115" t="s">
        <v>133</v>
      </c>
      <c r="N2115" t="s">
        <v>98</v>
      </c>
      <c r="O2115" t="s">
        <v>1345</v>
      </c>
    </row>
    <row r="2116" spans="1:15" x14ac:dyDescent="0.3">
      <c r="A2116" s="130">
        <v>11083</v>
      </c>
      <c r="B2116" s="130">
        <v>30</v>
      </c>
      <c r="C2116" s="130" t="s">
        <v>3740</v>
      </c>
      <c r="D2116">
        <v>16939</v>
      </c>
      <c r="E2116" s="130">
        <v>5925052</v>
      </c>
      <c r="F2116" t="s">
        <v>87</v>
      </c>
      <c r="G2116">
        <v>9135</v>
      </c>
      <c r="H2116" t="s">
        <v>8953</v>
      </c>
      <c r="I2116" s="130">
        <v>38</v>
      </c>
      <c r="J2116" t="s">
        <v>3740</v>
      </c>
      <c r="K2116" t="s">
        <v>108</v>
      </c>
      <c r="L2116" t="s">
        <v>126</v>
      </c>
      <c r="M2116" t="s">
        <v>103</v>
      </c>
      <c r="N2116" t="s">
        <v>141</v>
      </c>
      <c r="O2116" t="s">
        <v>1345</v>
      </c>
    </row>
    <row r="2117" spans="1:15" x14ac:dyDescent="0.3">
      <c r="A2117" s="130">
        <v>11086</v>
      </c>
      <c r="B2117" s="130">
        <v>18</v>
      </c>
      <c r="C2117" s="130" t="s">
        <v>3741</v>
      </c>
      <c r="D2117">
        <v>16948</v>
      </c>
      <c r="E2117" s="131">
        <v>43200669</v>
      </c>
      <c r="F2117" t="s">
        <v>87</v>
      </c>
      <c r="G2117">
        <v>9135</v>
      </c>
      <c r="H2117" t="s">
        <v>8951</v>
      </c>
      <c r="I2117" s="130">
        <v>10</v>
      </c>
      <c r="J2117" t="s">
        <v>3741</v>
      </c>
      <c r="K2117" t="s">
        <v>108</v>
      </c>
      <c r="L2117" t="s">
        <v>127</v>
      </c>
      <c r="M2117" t="s">
        <v>112</v>
      </c>
      <c r="N2117" t="s">
        <v>131</v>
      </c>
      <c r="O2117" t="s">
        <v>1345</v>
      </c>
    </row>
    <row r="2118" spans="1:15" x14ac:dyDescent="0.3">
      <c r="A2118" s="130">
        <v>11090</v>
      </c>
      <c r="B2118" s="130">
        <v>0</v>
      </c>
      <c r="C2118" s="130" t="s">
        <v>3742</v>
      </c>
      <c r="D2118">
        <v>16954</v>
      </c>
      <c r="E2118" s="131">
        <v>28757000</v>
      </c>
      <c r="F2118" t="s">
        <v>87</v>
      </c>
      <c r="G2118">
        <v>358</v>
      </c>
      <c r="H2118" t="s">
        <v>8952</v>
      </c>
      <c r="I2118" s="130">
        <v>3</v>
      </c>
      <c r="J2118" t="s">
        <v>3742</v>
      </c>
      <c r="K2118" t="s">
        <v>95</v>
      </c>
      <c r="L2118" t="s">
        <v>102</v>
      </c>
      <c r="M2118" t="s">
        <v>100</v>
      </c>
      <c r="N2118" t="s">
        <v>122</v>
      </c>
      <c r="O2118" t="s">
        <v>1256</v>
      </c>
    </row>
    <row r="2119" spans="1:15" x14ac:dyDescent="0.3">
      <c r="A2119" s="130">
        <v>11103</v>
      </c>
      <c r="B2119" s="130">
        <v>30</v>
      </c>
      <c r="C2119" s="130" t="s">
        <v>3743</v>
      </c>
      <c r="D2119">
        <v>16981</v>
      </c>
      <c r="E2119" s="130">
        <v>40373631</v>
      </c>
      <c r="F2119" t="s">
        <v>87</v>
      </c>
      <c r="G2119">
        <v>9135</v>
      </c>
      <c r="H2119" t="s">
        <v>8953</v>
      </c>
      <c r="I2119" s="131">
        <v>9</v>
      </c>
      <c r="J2119" t="s">
        <v>3743</v>
      </c>
      <c r="K2119" t="s">
        <v>108</v>
      </c>
      <c r="L2119" t="s">
        <v>163</v>
      </c>
      <c r="M2119" t="s">
        <v>103</v>
      </c>
      <c r="N2119" t="s">
        <v>98</v>
      </c>
      <c r="O2119" t="s">
        <v>1345</v>
      </c>
    </row>
    <row r="2120" spans="1:15" x14ac:dyDescent="0.3">
      <c r="A2120" s="130">
        <v>11105</v>
      </c>
      <c r="B2120" s="130">
        <v>30</v>
      </c>
      <c r="C2120" s="130" t="s">
        <v>3744</v>
      </c>
      <c r="D2120">
        <v>16987</v>
      </c>
      <c r="E2120" s="131">
        <v>45456117</v>
      </c>
      <c r="F2120" t="s">
        <v>87</v>
      </c>
      <c r="G2120">
        <v>9135</v>
      </c>
      <c r="H2120" t="s">
        <v>8951</v>
      </c>
      <c r="I2120" s="131">
        <v>19</v>
      </c>
      <c r="J2120" t="s">
        <v>3744</v>
      </c>
      <c r="K2120" t="s">
        <v>95</v>
      </c>
      <c r="L2120" t="s">
        <v>146</v>
      </c>
      <c r="M2120" t="s">
        <v>103</v>
      </c>
      <c r="N2120" t="s">
        <v>132</v>
      </c>
      <c r="O2120" t="s">
        <v>116</v>
      </c>
    </row>
    <row r="2121" spans="1:15" x14ac:dyDescent="0.3">
      <c r="A2121" s="130">
        <v>11106</v>
      </c>
      <c r="B2121" s="130">
        <v>30</v>
      </c>
      <c r="C2121" s="130" t="s">
        <v>3745</v>
      </c>
      <c r="D2121">
        <v>16991</v>
      </c>
      <c r="E2121" s="130">
        <v>45456117</v>
      </c>
      <c r="F2121" t="s">
        <v>87</v>
      </c>
      <c r="G2121">
        <v>9135</v>
      </c>
      <c r="H2121" t="s">
        <v>8952</v>
      </c>
      <c r="I2121" s="131">
        <v>19</v>
      </c>
      <c r="J2121" t="s">
        <v>3745</v>
      </c>
      <c r="K2121" t="s">
        <v>95</v>
      </c>
      <c r="L2121" t="s">
        <v>146</v>
      </c>
      <c r="M2121" t="s">
        <v>103</v>
      </c>
      <c r="N2121" t="s">
        <v>132</v>
      </c>
      <c r="O2121" t="s">
        <v>116</v>
      </c>
    </row>
    <row r="2122" spans="1:15" x14ac:dyDescent="0.3">
      <c r="A2122" s="130">
        <v>11107</v>
      </c>
      <c r="B2122" s="130">
        <v>30</v>
      </c>
      <c r="C2122" s="130" t="s">
        <v>3746</v>
      </c>
      <c r="D2122">
        <v>16989</v>
      </c>
      <c r="E2122" s="130">
        <v>10238755</v>
      </c>
      <c r="F2122" t="s">
        <v>87</v>
      </c>
      <c r="G2122">
        <v>77</v>
      </c>
      <c r="H2122" t="s">
        <v>8953</v>
      </c>
      <c r="I2122" s="130">
        <v>3</v>
      </c>
      <c r="J2122" t="s">
        <v>3746</v>
      </c>
      <c r="K2122" t="s">
        <v>95</v>
      </c>
      <c r="L2122" t="s">
        <v>256</v>
      </c>
      <c r="M2122" t="s">
        <v>103</v>
      </c>
      <c r="N2122" t="s">
        <v>150</v>
      </c>
      <c r="O2122" t="s">
        <v>116</v>
      </c>
    </row>
    <row r="2123" spans="1:15" x14ac:dyDescent="0.3">
      <c r="A2123" s="130">
        <v>11108</v>
      </c>
      <c r="B2123" s="130">
        <v>30</v>
      </c>
      <c r="C2123" s="130" t="s">
        <v>3747</v>
      </c>
      <c r="D2123">
        <v>16995</v>
      </c>
      <c r="E2123" s="131">
        <v>45456117</v>
      </c>
      <c r="F2123" t="s">
        <v>87</v>
      </c>
      <c r="G2123">
        <v>9135</v>
      </c>
      <c r="H2123" t="s">
        <v>8951</v>
      </c>
      <c r="I2123" s="130">
        <v>19</v>
      </c>
      <c r="J2123" t="s">
        <v>3747</v>
      </c>
      <c r="K2123" t="s">
        <v>95</v>
      </c>
      <c r="L2123" t="s">
        <v>146</v>
      </c>
      <c r="M2123" t="s">
        <v>103</v>
      </c>
      <c r="N2123" t="s">
        <v>132</v>
      </c>
      <c r="O2123" t="s">
        <v>116</v>
      </c>
    </row>
    <row r="2124" spans="1:15" x14ac:dyDescent="0.3">
      <c r="A2124" s="130">
        <v>11113</v>
      </c>
      <c r="B2124" s="130">
        <v>30</v>
      </c>
      <c r="C2124" s="130" t="s">
        <v>3748</v>
      </c>
      <c r="D2124">
        <v>17004</v>
      </c>
      <c r="E2124" s="130">
        <v>51466860</v>
      </c>
      <c r="F2124" t="s">
        <v>87</v>
      </c>
      <c r="G2124">
        <v>337</v>
      </c>
      <c r="H2124" t="s">
        <v>8952</v>
      </c>
      <c r="I2124" s="131">
        <v>37</v>
      </c>
      <c r="J2124" t="s">
        <v>3748</v>
      </c>
      <c r="K2124" t="s">
        <v>108</v>
      </c>
      <c r="L2124" t="s">
        <v>144</v>
      </c>
      <c r="M2124" t="s">
        <v>103</v>
      </c>
      <c r="N2124" t="s">
        <v>114</v>
      </c>
      <c r="O2124" t="s">
        <v>1345</v>
      </c>
    </row>
    <row r="2125" spans="1:15" x14ac:dyDescent="0.3">
      <c r="A2125" s="130">
        <v>11125</v>
      </c>
      <c r="B2125" s="130">
        <v>18</v>
      </c>
      <c r="C2125" s="130" t="s">
        <v>3749</v>
      </c>
      <c r="D2125">
        <v>17025</v>
      </c>
      <c r="E2125" s="130">
        <v>7197417</v>
      </c>
      <c r="F2125" t="s">
        <v>87</v>
      </c>
      <c r="G2125">
        <v>9135</v>
      </c>
      <c r="H2125" t="s">
        <v>8953</v>
      </c>
      <c r="I2125" s="130">
        <v>26</v>
      </c>
      <c r="J2125" t="s">
        <v>3749</v>
      </c>
      <c r="K2125" t="s">
        <v>95</v>
      </c>
      <c r="L2125" t="s">
        <v>151</v>
      </c>
      <c r="M2125" t="s">
        <v>112</v>
      </c>
      <c r="N2125" t="s">
        <v>98</v>
      </c>
      <c r="O2125" t="s">
        <v>1345</v>
      </c>
    </row>
    <row r="2126" spans="1:15" x14ac:dyDescent="0.3">
      <c r="A2126" s="130">
        <v>11131</v>
      </c>
      <c r="B2126" s="130">
        <v>18</v>
      </c>
      <c r="C2126" s="130" t="s">
        <v>3750</v>
      </c>
      <c r="D2126">
        <v>17036</v>
      </c>
      <c r="E2126" s="130">
        <v>17069832</v>
      </c>
      <c r="F2126" t="s">
        <v>87</v>
      </c>
      <c r="G2126">
        <v>9135</v>
      </c>
      <c r="H2126" t="s">
        <v>8951</v>
      </c>
      <c r="I2126" s="130">
        <v>3</v>
      </c>
      <c r="J2126" t="s">
        <v>3750</v>
      </c>
      <c r="K2126" t="s">
        <v>108</v>
      </c>
      <c r="L2126" t="s">
        <v>111</v>
      </c>
      <c r="M2126" t="s">
        <v>112</v>
      </c>
      <c r="N2126" t="s">
        <v>152</v>
      </c>
      <c r="O2126" t="s">
        <v>116</v>
      </c>
    </row>
    <row r="2127" spans="1:15" x14ac:dyDescent="0.3">
      <c r="A2127" s="130">
        <v>11132</v>
      </c>
      <c r="B2127" s="130">
        <v>30</v>
      </c>
      <c r="C2127" s="130" t="s">
        <v>3751</v>
      </c>
      <c r="D2127">
        <v>16945</v>
      </c>
      <c r="E2127" s="131">
        <v>33756768</v>
      </c>
      <c r="F2127" t="s">
        <v>87</v>
      </c>
      <c r="G2127">
        <v>9135</v>
      </c>
      <c r="H2127" t="s">
        <v>8952</v>
      </c>
      <c r="I2127" s="130">
        <v>18</v>
      </c>
      <c r="J2127" t="s">
        <v>3751</v>
      </c>
      <c r="K2127" t="s">
        <v>95</v>
      </c>
      <c r="L2127" t="s">
        <v>123</v>
      </c>
      <c r="M2127" t="s">
        <v>103</v>
      </c>
      <c r="N2127" t="s">
        <v>121</v>
      </c>
      <c r="O2127" t="s">
        <v>116</v>
      </c>
    </row>
    <row r="2128" spans="1:15" x14ac:dyDescent="0.3">
      <c r="A2128" s="130">
        <v>11136</v>
      </c>
      <c r="B2128" s="130">
        <v>-1</v>
      </c>
      <c r="C2128" s="130" t="s">
        <v>3752</v>
      </c>
      <c r="D2128">
        <v>17045</v>
      </c>
      <c r="E2128" s="130">
        <v>29658922</v>
      </c>
      <c r="F2128" t="s">
        <v>87</v>
      </c>
      <c r="G2128">
        <v>9135</v>
      </c>
      <c r="H2128" t="s">
        <v>8953</v>
      </c>
      <c r="I2128" s="131">
        <v>10</v>
      </c>
      <c r="J2128" t="s">
        <v>3752</v>
      </c>
      <c r="K2128" t="s">
        <v>108</v>
      </c>
      <c r="L2128" t="s">
        <v>127</v>
      </c>
      <c r="M2128" t="s">
        <v>174</v>
      </c>
      <c r="N2128" t="s">
        <v>118</v>
      </c>
      <c r="O2128" t="s">
        <v>116</v>
      </c>
    </row>
    <row r="2129" spans="1:15" x14ac:dyDescent="0.3">
      <c r="A2129" s="130">
        <v>11142</v>
      </c>
      <c r="B2129" s="130">
        <v>30</v>
      </c>
      <c r="C2129" s="130" t="s">
        <v>3753</v>
      </c>
      <c r="D2129">
        <v>17051</v>
      </c>
      <c r="E2129" s="130">
        <v>25288906</v>
      </c>
      <c r="F2129" t="s">
        <v>87</v>
      </c>
      <c r="G2129">
        <v>77</v>
      </c>
      <c r="H2129" t="s">
        <v>8951</v>
      </c>
      <c r="I2129" s="130">
        <v>18</v>
      </c>
      <c r="J2129" t="s">
        <v>3753</v>
      </c>
      <c r="K2129" t="s">
        <v>95</v>
      </c>
      <c r="L2129" t="s">
        <v>1255</v>
      </c>
      <c r="M2129" t="s">
        <v>103</v>
      </c>
      <c r="N2129" t="s">
        <v>98</v>
      </c>
      <c r="O2129" t="s">
        <v>1345</v>
      </c>
    </row>
    <row r="2130" spans="1:15" x14ac:dyDescent="0.3">
      <c r="A2130" s="130">
        <v>11144</v>
      </c>
      <c r="B2130" s="130">
        <v>30</v>
      </c>
      <c r="C2130" s="130" t="s">
        <v>3754</v>
      </c>
      <c r="D2130">
        <v>17053</v>
      </c>
      <c r="E2130" s="130">
        <v>8056030</v>
      </c>
      <c r="F2130" t="s">
        <v>87</v>
      </c>
      <c r="G2130">
        <v>9135</v>
      </c>
      <c r="H2130" t="s">
        <v>8952</v>
      </c>
      <c r="I2130" s="130">
        <v>26</v>
      </c>
      <c r="J2130" t="s">
        <v>3754</v>
      </c>
      <c r="K2130" t="s">
        <v>95</v>
      </c>
      <c r="L2130" t="s">
        <v>151</v>
      </c>
      <c r="M2130" t="s">
        <v>103</v>
      </c>
      <c r="N2130" t="s">
        <v>169</v>
      </c>
      <c r="O2130" t="s">
        <v>1345</v>
      </c>
    </row>
    <row r="2131" spans="1:15" x14ac:dyDescent="0.3">
      <c r="A2131" s="130">
        <v>11155</v>
      </c>
      <c r="B2131" s="130">
        <v>30</v>
      </c>
      <c r="C2131" s="130" t="s">
        <v>3755</v>
      </c>
      <c r="D2131">
        <v>17060</v>
      </c>
      <c r="E2131" s="130">
        <v>65088700</v>
      </c>
      <c r="F2131" t="s">
        <v>87</v>
      </c>
      <c r="G2131">
        <v>9135</v>
      </c>
      <c r="H2131" t="s">
        <v>8953</v>
      </c>
      <c r="I2131" s="130">
        <v>9</v>
      </c>
      <c r="J2131" t="s">
        <v>3755</v>
      </c>
      <c r="K2131" t="s">
        <v>108</v>
      </c>
      <c r="L2131" t="s">
        <v>163</v>
      </c>
      <c r="M2131" t="s">
        <v>103</v>
      </c>
      <c r="N2131" t="s">
        <v>98</v>
      </c>
      <c r="O2131" t="s">
        <v>116</v>
      </c>
    </row>
    <row r="2132" spans="1:15" x14ac:dyDescent="0.3">
      <c r="A2132" s="130">
        <v>11157</v>
      </c>
      <c r="B2132" s="130">
        <v>30</v>
      </c>
      <c r="C2132" s="130" t="s">
        <v>3756</v>
      </c>
      <c r="D2132">
        <v>17063</v>
      </c>
      <c r="E2132" s="130">
        <v>3992929</v>
      </c>
      <c r="F2132" t="s">
        <v>87</v>
      </c>
      <c r="G2132">
        <v>9135</v>
      </c>
      <c r="H2132" t="s">
        <v>8951</v>
      </c>
      <c r="I2132" s="130">
        <v>9</v>
      </c>
      <c r="J2132" t="s">
        <v>3756</v>
      </c>
      <c r="K2132" t="s">
        <v>95</v>
      </c>
      <c r="L2132" t="s">
        <v>125</v>
      </c>
      <c r="M2132" t="s">
        <v>103</v>
      </c>
      <c r="N2132" t="s">
        <v>98</v>
      </c>
      <c r="O2132" t="s">
        <v>1345</v>
      </c>
    </row>
    <row r="2133" spans="1:15" x14ac:dyDescent="0.3">
      <c r="A2133" s="130">
        <v>11158</v>
      </c>
      <c r="B2133" s="130" t="s">
        <v>1358</v>
      </c>
      <c r="C2133" s="130" t="s">
        <v>3757</v>
      </c>
      <c r="D2133">
        <v>17064</v>
      </c>
      <c r="E2133" s="130">
        <v>6965292</v>
      </c>
      <c r="F2133" t="s">
        <v>87</v>
      </c>
      <c r="G2133">
        <v>337</v>
      </c>
      <c r="H2133" t="s">
        <v>8952</v>
      </c>
      <c r="I2133" s="130">
        <v>37</v>
      </c>
      <c r="J2133" t="s">
        <v>3757</v>
      </c>
      <c r="K2133" t="s">
        <v>95</v>
      </c>
      <c r="L2133" t="s">
        <v>144</v>
      </c>
      <c r="M2133" t="s">
        <v>1358</v>
      </c>
      <c r="N2133" t="s">
        <v>98</v>
      </c>
      <c r="O2133" t="s">
        <v>1345</v>
      </c>
    </row>
    <row r="2134" spans="1:15" x14ac:dyDescent="0.3">
      <c r="A2134" s="130">
        <v>11163</v>
      </c>
      <c r="B2134" s="130">
        <v>18</v>
      </c>
      <c r="C2134" s="130" t="s">
        <v>3758</v>
      </c>
      <c r="D2134">
        <v>17070</v>
      </c>
      <c r="E2134" s="130">
        <v>41570356</v>
      </c>
      <c r="F2134" t="s">
        <v>87</v>
      </c>
      <c r="G2134">
        <v>358</v>
      </c>
      <c r="H2134" t="s">
        <v>8953</v>
      </c>
      <c r="I2134" s="130">
        <v>19</v>
      </c>
      <c r="J2134" t="s">
        <v>3758</v>
      </c>
      <c r="K2134" t="s">
        <v>108</v>
      </c>
      <c r="L2134" t="s">
        <v>105</v>
      </c>
      <c r="M2134" t="s">
        <v>112</v>
      </c>
      <c r="N2134" t="s">
        <v>122</v>
      </c>
      <c r="O2134" t="s">
        <v>1345</v>
      </c>
    </row>
    <row r="2135" spans="1:15" x14ac:dyDescent="0.3">
      <c r="A2135" s="130">
        <v>11164</v>
      </c>
      <c r="B2135" s="130">
        <v>21</v>
      </c>
      <c r="C2135" s="130" t="s">
        <v>3759</v>
      </c>
      <c r="D2135">
        <v>17071</v>
      </c>
      <c r="E2135" s="131">
        <v>2602726</v>
      </c>
      <c r="F2135" t="s">
        <v>87</v>
      </c>
      <c r="G2135">
        <v>9135</v>
      </c>
      <c r="H2135" t="s">
        <v>8951</v>
      </c>
      <c r="I2135" s="131">
        <v>3</v>
      </c>
      <c r="J2135" t="s">
        <v>3759</v>
      </c>
      <c r="K2135" t="s">
        <v>108</v>
      </c>
      <c r="L2135" t="s">
        <v>111</v>
      </c>
      <c r="M2135" t="s">
        <v>137</v>
      </c>
      <c r="N2135" t="s">
        <v>98</v>
      </c>
      <c r="O2135" t="s">
        <v>116</v>
      </c>
    </row>
    <row r="2136" spans="1:15" x14ac:dyDescent="0.3">
      <c r="A2136" s="130">
        <v>11179</v>
      </c>
      <c r="B2136" s="130">
        <v>21</v>
      </c>
      <c r="C2136" s="130" t="s">
        <v>3760</v>
      </c>
      <c r="D2136">
        <v>17091</v>
      </c>
      <c r="E2136" s="131">
        <v>5476099</v>
      </c>
      <c r="F2136" t="s">
        <v>87</v>
      </c>
      <c r="G2136">
        <v>9135</v>
      </c>
      <c r="H2136" t="s">
        <v>8952</v>
      </c>
      <c r="I2136" s="130">
        <v>3</v>
      </c>
      <c r="J2136" t="s">
        <v>3760</v>
      </c>
      <c r="K2136" t="s">
        <v>95</v>
      </c>
      <c r="L2136" t="s">
        <v>111</v>
      </c>
      <c r="M2136" t="s">
        <v>137</v>
      </c>
      <c r="N2136" t="s">
        <v>98</v>
      </c>
      <c r="O2136" t="s">
        <v>1345</v>
      </c>
    </row>
    <row r="2137" spans="1:15" x14ac:dyDescent="0.3">
      <c r="A2137" s="130">
        <v>11180</v>
      </c>
      <c r="B2137" s="130">
        <v>30</v>
      </c>
      <c r="C2137" s="130" t="s">
        <v>3761</v>
      </c>
      <c r="D2137">
        <v>17092</v>
      </c>
      <c r="E2137" s="130">
        <v>5848387</v>
      </c>
      <c r="F2137" t="s">
        <v>87</v>
      </c>
      <c r="G2137">
        <v>77</v>
      </c>
      <c r="H2137" t="s">
        <v>8953</v>
      </c>
      <c r="I2137" s="130">
        <v>10</v>
      </c>
      <c r="J2137" t="s">
        <v>3761</v>
      </c>
      <c r="K2137" t="s">
        <v>95</v>
      </c>
      <c r="L2137" t="s">
        <v>117</v>
      </c>
      <c r="M2137" t="s">
        <v>103</v>
      </c>
      <c r="N2137" t="s">
        <v>118</v>
      </c>
      <c r="O2137" t="s">
        <v>1345</v>
      </c>
    </row>
    <row r="2138" spans="1:15" x14ac:dyDescent="0.3">
      <c r="A2138" s="130">
        <v>11185</v>
      </c>
      <c r="B2138" s="130">
        <v>30</v>
      </c>
      <c r="C2138" s="130" t="s">
        <v>3762</v>
      </c>
      <c r="D2138">
        <v>17098</v>
      </c>
      <c r="E2138" s="130">
        <v>56679871</v>
      </c>
      <c r="F2138" t="s">
        <v>87</v>
      </c>
      <c r="G2138">
        <v>9135</v>
      </c>
      <c r="H2138" t="s">
        <v>8951</v>
      </c>
      <c r="I2138" s="130">
        <v>3</v>
      </c>
      <c r="J2138" t="s">
        <v>3762</v>
      </c>
      <c r="K2138" t="s">
        <v>108</v>
      </c>
      <c r="L2138" t="s">
        <v>1293</v>
      </c>
      <c r="M2138" t="s">
        <v>103</v>
      </c>
      <c r="N2138" t="s">
        <v>98</v>
      </c>
      <c r="O2138" t="s">
        <v>1345</v>
      </c>
    </row>
    <row r="2139" spans="1:15" x14ac:dyDescent="0.3">
      <c r="A2139" s="130">
        <v>11190</v>
      </c>
      <c r="B2139" s="130">
        <v>30</v>
      </c>
      <c r="C2139" s="130" t="s">
        <v>3763</v>
      </c>
      <c r="D2139">
        <v>17102</v>
      </c>
      <c r="E2139" s="130">
        <v>8675955</v>
      </c>
      <c r="F2139" t="s">
        <v>87</v>
      </c>
      <c r="G2139">
        <v>9135</v>
      </c>
      <c r="H2139" t="s">
        <v>8952</v>
      </c>
      <c r="I2139" s="130">
        <v>18</v>
      </c>
      <c r="J2139" t="s">
        <v>3763</v>
      </c>
      <c r="K2139" t="s">
        <v>108</v>
      </c>
      <c r="L2139" t="s">
        <v>123</v>
      </c>
      <c r="M2139" t="s">
        <v>103</v>
      </c>
      <c r="N2139" t="s">
        <v>122</v>
      </c>
      <c r="O2139" t="s">
        <v>116</v>
      </c>
    </row>
    <row r="2140" spans="1:15" x14ac:dyDescent="0.3">
      <c r="A2140" s="130">
        <v>11200</v>
      </c>
      <c r="B2140" s="130">
        <v>30</v>
      </c>
      <c r="C2140" s="130" t="s">
        <v>3764</v>
      </c>
      <c r="D2140">
        <v>17114</v>
      </c>
      <c r="E2140" s="130">
        <v>29736706</v>
      </c>
      <c r="F2140" t="s">
        <v>87</v>
      </c>
      <c r="G2140">
        <v>9135</v>
      </c>
      <c r="H2140" t="s">
        <v>8953</v>
      </c>
      <c r="I2140" s="130">
        <v>18</v>
      </c>
      <c r="J2140" t="s">
        <v>3764</v>
      </c>
      <c r="K2140" t="s">
        <v>95</v>
      </c>
      <c r="L2140" t="s">
        <v>123</v>
      </c>
      <c r="M2140" t="s">
        <v>103</v>
      </c>
      <c r="N2140" t="s">
        <v>98</v>
      </c>
      <c r="O2140" t="s">
        <v>116</v>
      </c>
    </row>
    <row r="2141" spans="1:15" x14ac:dyDescent="0.3">
      <c r="A2141" s="130">
        <v>11210</v>
      </c>
      <c r="B2141" s="130">
        <v>30</v>
      </c>
      <c r="C2141" s="130" t="s">
        <v>3765</v>
      </c>
      <c r="D2141">
        <v>17132</v>
      </c>
      <c r="E2141" s="130">
        <v>19235340</v>
      </c>
      <c r="F2141" t="s">
        <v>87</v>
      </c>
      <c r="G2141">
        <v>9135</v>
      </c>
      <c r="H2141" t="s">
        <v>8951</v>
      </c>
      <c r="I2141" s="130">
        <v>3</v>
      </c>
      <c r="J2141" t="s">
        <v>3765</v>
      </c>
      <c r="K2141" t="s">
        <v>108</v>
      </c>
      <c r="L2141" t="s">
        <v>111</v>
      </c>
      <c r="M2141" t="s">
        <v>103</v>
      </c>
      <c r="N2141" t="s">
        <v>98</v>
      </c>
      <c r="O2141" t="s">
        <v>116</v>
      </c>
    </row>
    <row r="2142" spans="1:15" x14ac:dyDescent="0.3">
      <c r="A2142" s="130">
        <v>11212</v>
      </c>
      <c r="B2142" s="130">
        <v>18</v>
      </c>
      <c r="C2142" s="130" t="s">
        <v>3766</v>
      </c>
      <c r="D2142">
        <v>17139</v>
      </c>
      <c r="E2142" s="130">
        <v>33748321</v>
      </c>
      <c r="F2142" t="s">
        <v>87</v>
      </c>
      <c r="G2142">
        <v>9135</v>
      </c>
      <c r="H2142" t="s">
        <v>8952</v>
      </c>
      <c r="I2142" s="131">
        <v>19</v>
      </c>
      <c r="J2142" t="s">
        <v>3766</v>
      </c>
      <c r="K2142" t="s">
        <v>108</v>
      </c>
      <c r="L2142" t="s">
        <v>146</v>
      </c>
      <c r="M2142" t="s">
        <v>112</v>
      </c>
      <c r="N2142" t="s">
        <v>98</v>
      </c>
      <c r="O2142" t="s">
        <v>1345</v>
      </c>
    </row>
    <row r="2143" spans="1:15" x14ac:dyDescent="0.3">
      <c r="A2143" s="130">
        <v>11219</v>
      </c>
      <c r="B2143" s="130">
        <v>30</v>
      </c>
      <c r="C2143" s="130" t="s">
        <v>3767</v>
      </c>
      <c r="D2143">
        <v>17145</v>
      </c>
      <c r="E2143" s="130">
        <v>83646547</v>
      </c>
      <c r="F2143" t="s">
        <v>87</v>
      </c>
      <c r="G2143">
        <v>358</v>
      </c>
      <c r="H2143" t="s">
        <v>8953</v>
      </c>
      <c r="I2143" s="131">
        <v>10</v>
      </c>
      <c r="J2143" t="s">
        <v>3767</v>
      </c>
      <c r="K2143" t="s">
        <v>108</v>
      </c>
      <c r="L2143" t="s">
        <v>105</v>
      </c>
      <c r="M2143" t="s">
        <v>103</v>
      </c>
      <c r="N2143" t="s">
        <v>98</v>
      </c>
      <c r="O2143" t="s">
        <v>1345</v>
      </c>
    </row>
    <row r="2144" spans="1:15" x14ac:dyDescent="0.3">
      <c r="A2144" s="130">
        <v>11223</v>
      </c>
      <c r="B2144" s="130">
        <v>60</v>
      </c>
      <c r="C2144" s="130" t="s">
        <v>3768</v>
      </c>
      <c r="D2144">
        <v>16814</v>
      </c>
      <c r="E2144" s="130">
        <v>33592510</v>
      </c>
      <c r="F2144" t="s">
        <v>87</v>
      </c>
      <c r="G2144">
        <v>77</v>
      </c>
      <c r="H2144" t="s">
        <v>8951</v>
      </c>
      <c r="I2144" s="130">
        <v>10</v>
      </c>
      <c r="J2144" t="s">
        <v>3768</v>
      </c>
      <c r="K2144" t="s">
        <v>95</v>
      </c>
      <c r="L2144" t="s">
        <v>256</v>
      </c>
      <c r="M2144" t="s">
        <v>97</v>
      </c>
      <c r="N2144" t="s">
        <v>118</v>
      </c>
      <c r="O2144" t="s">
        <v>1345</v>
      </c>
    </row>
    <row r="2145" spans="1:15" x14ac:dyDescent="0.3">
      <c r="A2145" s="130">
        <v>11227</v>
      </c>
      <c r="B2145" s="130">
        <v>10</v>
      </c>
      <c r="C2145" s="130" t="s">
        <v>3769</v>
      </c>
      <c r="D2145">
        <v>17156</v>
      </c>
      <c r="E2145" s="130">
        <v>20163915</v>
      </c>
      <c r="F2145" t="s">
        <v>87</v>
      </c>
      <c r="G2145">
        <v>9135</v>
      </c>
      <c r="H2145" t="s">
        <v>8952</v>
      </c>
      <c r="I2145" s="131">
        <v>3</v>
      </c>
      <c r="J2145" t="s">
        <v>3769</v>
      </c>
      <c r="K2145" t="s">
        <v>108</v>
      </c>
      <c r="L2145" t="s">
        <v>111</v>
      </c>
      <c r="M2145" t="s">
        <v>133</v>
      </c>
      <c r="N2145" t="s">
        <v>98</v>
      </c>
      <c r="O2145" t="s">
        <v>1345</v>
      </c>
    </row>
    <row r="2146" spans="1:15" x14ac:dyDescent="0.3">
      <c r="A2146" s="130">
        <v>11228</v>
      </c>
      <c r="B2146" s="130">
        <v>30</v>
      </c>
      <c r="C2146" s="130" t="s">
        <v>3770</v>
      </c>
      <c r="D2146">
        <v>17155</v>
      </c>
      <c r="E2146" s="130">
        <v>13457942</v>
      </c>
      <c r="F2146" t="s">
        <v>87</v>
      </c>
      <c r="G2146">
        <v>77</v>
      </c>
      <c r="H2146" t="s">
        <v>8953</v>
      </c>
      <c r="I2146" s="131">
        <v>3</v>
      </c>
      <c r="J2146" t="s">
        <v>3770</v>
      </c>
      <c r="K2146" t="s">
        <v>95</v>
      </c>
      <c r="L2146" t="s">
        <v>256</v>
      </c>
      <c r="M2146" t="s">
        <v>103</v>
      </c>
      <c r="N2146" t="s">
        <v>98</v>
      </c>
      <c r="O2146" t="s">
        <v>116</v>
      </c>
    </row>
    <row r="2147" spans="1:15" x14ac:dyDescent="0.3">
      <c r="A2147" s="130">
        <v>11235</v>
      </c>
      <c r="B2147" s="130">
        <v>30</v>
      </c>
      <c r="C2147" s="130" t="s">
        <v>3771</v>
      </c>
      <c r="D2147">
        <v>17167</v>
      </c>
      <c r="E2147" s="130">
        <v>51466860</v>
      </c>
      <c r="F2147" t="s">
        <v>87</v>
      </c>
      <c r="G2147">
        <v>337</v>
      </c>
      <c r="H2147" t="s">
        <v>8951</v>
      </c>
      <c r="I2147" s="131">
        <v>37</v>
      </c>
      <c r="J2147" t="s">
        <v>3771</v>
      </c>
      <c r="K2147" t="s">
        <v>95</v>
      </c>
      <c r="L2147" t="s">
        <v>144</v>
      </c>
      <c r="M2147" t="s">
        <v>103</v>
      </c>
      <c r="N2147" t="s">
        <v>141</v>
      </c>
      <c r="O2147" t="s">
        <v>116</v>
      </c>
    </row>
    <row r="2148" spans="1:15" x14ac:dyDescent="0.3">
      <c r="A2148" s="130">
        <v>11241</v>
      </c>
      <c r="B2148" s="130">
        <v>10</v>
      </c>
      <c r="C2148" s="130" t="s">
        <v>3772</v>
      </c>
      <c r="D2148">
        <v>17177</v>
      </c>
      <c r="E2148" s="130">
        <v>16551114</v>
      </c>
      <c r="F2148" t="s">
        <v>87</v>
      </c>
      <c r="G2148">
        <v>9135</v>
      </c>
      <c r="H2148" t="s">
        <v>8952</v>
      </c>
      <c r="I2148" s="130">
        <v>3</v>
      </c>
      <c r="J2148" t="s">
        <v>3772</v>
      </c>
      <c r="K2148" t="s">
        <v>108</v>
      </c>
      <c r="L2148" t="s">
        <v>111</v>
      </c>
      <c r="M2148" t="s">
        <v>133</v>
      </c>
      <c r="N2148" t="s">
        <v>98</v>
      </c>
      <c r="O2148" t="s">
        <v>1345</v>
      </c>
    </row>
    <row r="2149" spans="1:15" x14ac:dyDescent="0.3">
      <c r="A2149" s="130">
        <v>11249</v>
      </c>
      <c r="B2149" s="130">
        <v>18</v>
      </c>
      <c r="C2149" s="130" t="s">
        <v>3773</v>
      </c>
      <c r="D2149">
        <v>17188</v>
      </c>
      <c r="E2149" s="130">
        <v>17069832</v>
      </c>
      <c r="F2149" t="s">
        <v>87</v>
      </c>
      <c r="G2149">
        <v>9135</v>
      </c>
      <c r="H2149" t="s">
        <v>8953</v>
      </c>
      <c r="I2149" s="131">
        <v>3</v>
      </c>
      <c r="J2149" t="s">
        <v>3773</v>
      </c>
      <c r="K2149" t="s">
        <v>108</v>
      </c>
      <c r="L2149" t="s">
        <v>111</v>
      </c>
      <c r="M2149" t="s">
        <v>112</v>
      </c>
      <c r="N2149" t="s">
        <v>152</v>
      </c>
      <c r="O2149" t="s">
        <v>116</v>
      </c>
    </row>
    <row r="2150" spans="1:15" x14ac:dyDescent="0.3">
      <c r="A2150" s="130">
        <v>11258</v>
      </c>
      <c r="B2150" s="130">
        <v>30</v>
      </c>
      <c r="C2150" s="130" t="s">
        <v>3774</v>
      </c>
      <c r="D2150">
        <v>17197</v>
      </c>
      <c r="E2150" s="130">
        <v>19235340</v>
      </c>
      <c r="F2150" t="s">
        <v>87</v>
      </c>
      <c r="G2150">
        <v>9135</v>
      </c>
      <c r="H2150" t="s">
        <v>8951</v>
      </c>
      <c r="I2150" s="130">
        <v>3</v>
      </c>
      <c r="J2150" t="s">
        <v>3774</v>
      </c>
      <c r="K2150" t="s">
        <v>108</v>
      </c>
      <c r="L2150" t="s">
        <v>111</v>
      </c>
      <c r="M2150" t="s">
        <v>103</v>
      </c>
      <c r="N2150" t="s">
        <v>98</v>
      </c>
      <c r="O2150" t="s">
        <v>116</v>
      </c>
    </row>
    <row r="2151" spans="1:15" x14ac:dyDescent="0.3">
      <c r="A2151" s="130">
        <v>11261</v>
      </c>
      <c r="B2151" s="130">
        <v>30</v>
      </c>
      <c r="C2151" s="130" t="s">
        <v>3775</v>
      </c>
      <c r="D2151">
        <v>17201</v>
      </c>
      <c r="E2151" s="131">
        <v>18726947</v>
      </c>
      <c r="F2151" t="s">
        <v>87</v>
      </c>
      <c r="G2151">
        <v>9135</v>
      </c>
      <c r="H2151" t="s">
        <v>8952</v>
      </c>
      <c r="I2151" s="131">
        <v>3</v>
      </c>
      <c r="J2151" t="s">
        <v>3775</v>
      </c>
      <c r="K2151" t="s">
        <v>95</v>
      </c>
      <c r="L2151" t="s">
        <v>111</v>
      </c>
      <c r="M2151" t="s">
        <v>103</v>
      </c>
      <c r="N2151" t="s">
        <v>98</v>
      </c>
      <c r="O2151" t="s">
        <v>1345</v>
      </c>
    </row>
    <row r="2152" spans="1:15" x14ac:dyDescent="0.3">
      <c r="A2152" s="130">
        <v>11263</v>
      </c>
      <c r="B2152" s="130">
        <v>30</v>
      </c>
      <c r="C2152" s="130" t="s">
        <v>3776</v>
      </c>
      <c r="D2152">
        <v>17203</v>
      </c>
      <c r="E2152" s="130">
        <v>46954377</v>
      </c>
      <c r="F2152" t="s">
        <v>87</v>
      </c>
      <c r="G2152">
        <v>358</v>
      </c>
      <c r="H2152" t="s">
        <v>8953</v>
      </c>
      <c r="I2152" s="131">
        <v>10</v>
      </c>
      <c r="J2152" t="s">
        <v>3776</v>
      </c>
      <c r="K2152" t="s">
        <v>95</v>
      </c>
      <c r="L2152" t="s">
        <v>105</v>
      </c>
      <c r="M2152" t="s">
        <v>103</v>
      </c>
      <c r="N2152" t="s">
        <v>98</v>
      </c>
      <c r="O2152" t="s">
        <v>1345</v>
      </c>
    </row>
    <row r="2153" spans="1:15" x14ac:dyDescent="0.3">
      <c r="A2153" s="130">
        <v>11275</v>
      </c>
      <c r="B2153" s="130">
        <v>10</v>
      </c>
      <c r="C2153" s="130" t="s">
        <v>3777</v>
      </c>
      <c r="D2153">
        <v>17216</v>
      </c>
      <c r="E2153" s="131">
        <v>89723977</v>
      </c>
      <c r="F2153" t="s">
        <v>87</v>
      </c>
      <c r="G2153">
        <v>9135</v>
      </c>
      <c r="H2153" t="s">
        <v>8951</v>
      </c>
      <c r="I2153" s="130">
        <v>18</v>
      </c>
      <c r="J2153" t="s">
        <v>3777</v>
      </c>
      <c r="K2153" t="s">
        <v>95</v>
      </c>
      <c r="L2153" t="s">
        <v>1293</v>
      </c>
      <c r="M2153" t="s">
        <v>133</v>
      </c>
      <c r="N2153" t="s">
        <v>98</v>
      </c>
      <c r="O2153" t="s">
        <v>1345</v>
      </c>
    </row>
    <row r="2154" spans="1:15" x14ac:dyDescent="0.3">
      <c r="A2154" s="130">
        <v>11276</v>
      </c>
      <c r="B2154" s="130">
        <v>28</v>
      </c>
      <c r="C2154" s="130" t="s">
        <v>3778</v>
      </c>
      <c r="D2154">
        <v>17220</v>
      </c>
      <c r="E2154" s="130">
        <v>17162983</v>
      </c>
      <c r="F2154" t="s">
        <v>87</v>
      </c>
      <c r="G2154">
        <v>9135</v>
      </c>
      <c r="H2154" t="s">
        <v>8952</v>
      </c>
      <c r="I2154" s="130">
        <v>3</v>
      </c>
      <c r="J2154" t="s">
        <v>3778</v>
      </c>
      <c r="K2154" t="s">
        <v>95</v>
      </c>
      <c r="L2154" t="s">
        <v>111</v>
      </c>
      <c r="M2154" t="s">
        <v>130</v>
      </c>
      <c r="N2154" t="s">
        <v>98</v>
      </c>
      <c r="O2154" t="s">
        <v>1345</v>
      </c>
    </row>
    <row r="2155" spans="1:15" x14ac:dyDescent="0.3">
      <c r="A2155" s="130">
        <v>11279</v>
      </c>
      <c r="B2155" s="130">
        <v>15</v>
      </c>
      <c r="C2155" s="130" t="s">
        <v>3779</v>
      </c>
      <c r="D2155">
        <v>17222</v>
      </c>
      <c r="E2155" s="130">
        <v>2056701</v>
      </c>
      <c r="F2155" t="s">
        <v>87</v>
      </c>
      <c r="G2155">
        <v>9135</v>
      </c>
      <c r="H2155" t="s">
        <v>8953</v>
      </c>
      <c r="I2155" s="130">
        <v>24</v>
      </c>
      <c r="J2155" t="s">
        <v>3779</v>
      </c>
      <c r="K2155" t="s">
        <v>108</v>
      </c>
      <c r="L2155" t="s">
        <v>191</v>
      </c>
      <c r="M2155" t="s">
        <v>145</v>
      </c>
      <c r="N2155" t="s">
        <v>114</v>
      </c>
      <c r="O2155" t="s">
        <v>1345</v>
      </c>
    </row>
    <row r="2156" spans="1:15" x14ac:dyDescent="0.3">
      <c r="A2156" s="130">
        <v>11283</v>
      </c>
      <c r="B2156" s="130">
        <v>10</v>
      </c>
      <c r="C2156" s="130" t="s">
        <v>3780</v>
      </c>
      <c r="D2156">
        <v>17232</v>
      </c>
      <c r="E2156" s="130">
        <v>89723977</v>
      </c>
      <c r="F2156" t="s">
        <v>87</v>
      </c>
      <c r="G2156">
        <v>9135</v>
      </c>
      <c r="H2156" t="s">
        <v>8951</v>
      </c>
      <c r="I2156" s="130">
        <v>18</v>
      </c>
      <c r="J2156" t="s">
        <v>3780</v>
      </c>
      <c r="K2156" t="s">
        <v>108</v>
      </c>
      <c r="L2156" t="s">
        <v>1293</v>
      </c>
      <c r="M2156" t="s">
        <v>133</v>
      </c>
      <c r="N2156" t="s">
        <v>98</v>
      </c>
      <c r="O2156" t="s">
        <v>1345</v>
      </c>
    </row>
    <row r="2157" spans="1:15" x14ac:dyDescent="0.3">
      <c r="A2157" s="130">
        <v>11286</v>
      </c>
      <c r="B2157" s="130">
        <v>30</v>
      </c>
      <c r="C2157" s="130" t="s">
        <v>3781</v>
      </c>
      <c r="D2157">
        <v>17241</v>
      </c>
      <c r="E2157" s="130">
        <v>19739564</v>
      </c>
      <c r="F2157" t="s">
        <v>87</v>
      </c>
      <c r="G2157">
        <v>358</v>
      </c>
      <c r="H2157" t="s">
        <v>8952</v>
      </c>
      <c r="I2157" s="130">
        <v>10</v>
      </c>
      <c r="J2157" t="s">
        <v>3781</v>
      </c>
      <c r="K2157" t="s">
        <v>95</v>
      </c>
      <c r="L2157" t="s">
        <v>105</v>
      </c>
      <c r="M2157" t="s">
        <v>103</v>
      </c>
      <c r="N2157" t="s">
        <v>98</v>
      </c>
      <c r="O2157" t="s">
        <v>1345</v>
      </c>
    </row>
    <row r="2158" spans="1:15" x14ac:dyDescent="0.3">
      <c r="A2158" s="130">
        <v>11299</v>
      </c>
      <c r="B2158" s="130">
        <v>30</v>
      </c>
      <c r="C2158" s="130" t="s">
        <v>3782</v>
      </c>
      <c r="D2158">
        <v>17257</v>
      </c>
      <c r="E2158" s="130">
        <v>3130160</v>
      </c>
      <c r="F2158" t="s">
        <v>87</v>
      </c>
      <c r="G2158">
        <v>358</v>
      </c>
      <c r="H2158" t="s">
        <v>8953</v>
      </c>
      <c r="I2158" s="131">
        <v>10</v>
      </c>
      <c r="J2158" t="s">
        <v>3782</v>
      </c>
      <c r="K2158" t="s">
        <v>95</v>
      </c>
      <c r="L2158" t="s">
        <v>105</v>
      </c>
      <c r="M2158" t="s">
        <v>103</v>
      </c>
      <c r="N2158" t="s">
        <v>98</v>
      </c>
      <c r="O2158" t="s">
        <v>1345</v>
      </c>
    </row>
    <row r="2159" spans="1:15" x14ac:dyDescent="0.3">
      <c r="A2159" s="130">
        <v>11302</v>
      </c>
      <c r="B2159" s="130">
        <v>30</v>
      </c>
      <c r="C2159" s="130" t="s">
        <v>3783</v>
      </c>
      <c r="D2159">
        <v>17263</v>
      </c>
      <c r="E2159" s="130">
        <v>24649541</v>
      </c>
      <c r="F2159" t="s">
        <v>87</v>
      </c>
      <c r="G2159">
        <v>9135</v>
      </c>
      <c r="H2159" t="s">
        <v>8951</v>
      </c>
      <c r="I2159" s="130">
        <v>18</v>
      </c>
      <c r="J2159" t="s">
        <v>3783</v>
      </c>
      <c r="K2159" t="s">
        <v>95</v>
      </c>
      <c r="L2159" t="s">
        <v>123</v>
      </c>
      <c r="M2159" t="s">
        <v>103</v>
      </c>
      <c r="N2159" t="s">
        <v>98</v>
      </c>
      <c r="O2159" t="s">
        <v>116</v>
      </c>
    </row>
    <row r="2160" spans="1:15" x14ac:dyDescent="0.3">
      <c r="A2160" s="130">
        <v>11304</v>
      </c>
      <c r="B2160" s="130">
        <v>30</v>
      </c>
      <c r="C2160" s="130" t="s">
        <v>3784</v>
      </c>
      <c r="D2160">
        <v>17265</v>
      </c>
      <c r="E2160" s="131">
        <v>27426196</v>
      </c>
      <c r="F2160" t="s">
        <v>87</v>
      </c>
      <c r="G2160">
        <v>9135</v>
      </c>
      <c r="H2160" t="s">
        <v>8952</v>
      </c>
      <c r="I2160" s="130">
        <v>9</v>
      </c>
      <c r="J2160" t="s">
        <v>3784</v>
      </c>
      <c r="K2160" t="s">
        <v>95</v>
      </c>
      <c r="L2160" t="s">
        <v>163</v>
      </c>
      <c r="M2160" t="s">
        <v>103</v>
      </c>
      <c r="N2160" t="s">
        <v>98</v>
      </c>
      <c r="O2160" t="s">
        <v>1345</v>
      </c>
    </row>
    <row r="2161" spans="1:15" x14ac:dyDescent="0.3">
      <c r="A2161" s="130">
        <v>11342</v>
      </c>
      <c r="B2161" s="130">
        <v>10</v>
      </c>
      <c r="C2161" s="130" t="s">
        <v>3785</v>
      </c>
      <c r="D2161">
        <v>17325</v>
      </c>
      <c r="E2161" s="130">
        <v>20607836</v>
      </c>
      <c r="F2161" t="s">
        <v>87</v>
      </c>
      <c r="G2161">
        <v>9135</v>
      </c>
      <c r="H2161" t="s">
        <v>8953</v>
      </c>
      <c r="I2161" s="131">
        <v>3</v>
      </c>
      <c r="J2161" t="s">
        <v>3785</v>
      </c>
      <c r="K2161" t="s">
        <v>108</v>
      </c>
      <c r="L2161" t="s">
        <v>153</v>
      </c>
      <c r="M2161" t="s">
        <v>133</v>
      </c>
      <c r="N2161" t="s">
        <v>98</v>
      </c>
      <c r="O2161" t="s">
        <v>1256</v>
      </c>
    </row>
    <row r="2162" spans="1:15" x14ac:dyDescent="0.3">
      <c r="A2162" s="130">
        <v>11348</v>
      </c>
      <c r="B2162" s="130">
        <v>35</v>
      </c>
      <c r="C2162" s="130" t="s">
        <v>3786</v>
      </c>
      <c r="D2162">
        <v>17331</v>
      </c>
      <c r="E2162" s="130">
        <v>51466860</v>
      </c>
      <c r="F2162" t="s">
        <v>87</v>
      </c>
      <c r="G2162">
        <v>9135</v>
      </c>
      <c r="H2162" t="s">
        <v>8951</v>
      </c>
      <c r="I2162" s="130">
        <v>37</v>
      </c>
      <c r="J2162" t="s">
        <v>3786</v>
      </c>
      <c r="K2162" t="s">
        <v>95</v>
      </c>
      <c r="L2162" t="s">
        <v>144</v>
      </c>
      <c r="M2162" t="s">
        <v>161</v>
      </c>
      <c r="N2162" t="s">
        <v>141</v>
      </c>
      <c r="O2162" t="s">
        <v>116</v>
      </c>
    </row>
    <row r="2163" spans="1:15" x14ac:dyDescent="0.3">
      <c r="A2163" s="130">
        <v>11351</v>
      </c>
      <c r="B2163" s="130">
        <v>18</v>
      </c>
      <c r="C2163" s="130" t="s">
        <v>3787</v>
      </c>
      <c r="D2163">
        <v>17334</v>
      </c>
      <c r="E2163" s="130">
        <v>7681387</v>
      </c>
      <c r="F2163" t="s">
        <v>87</v>
      </c>
      <c r="G2163">
        <v>9135</v>
      </c>
      <c r="H2163" t="s">
        <v>8952</v>
      </c>
      <c r="I2163" s="130">
        <v>9</v>
      </c>
      <c r="J2163" t="s">
        <v>3787</v>
      </c>
      <c r="K2163" t="s">
        <v>108</v>
      </c>
      <c r="L2163" t="s">
        <v>163</v>
      </c>
      <c r="M2163" t="s">
        <v>112</v>
      </c>
      <c r="N2163" t="s">
        <v>98</v>
      </c>
      <c r="O2163" t="s">
        <v>116</v>
      </c>
    </row>
    <row r="2164" spans="1:15" x14ac:dyDescent="0.3">
      <c r="A2164" s="130">
        <v>11357</v>
      </c>
      <c r="B2164" s="130">
        <v>20</v>
      </c>
      <c r="C2164" s="130" t="s">
        <v>3788</v>
      </c>
      <c r="D2164">
        <v>17342</v>
      </c>
      <c r="E2164" s="130">
        <v>1623434</v>
      </c>
      <c r="F2164" t="s">
        <v>87</v>
      </c>
      <c r="G2164">
        <v>9135</v>
      </c>
      <c r="H2164" t="s">
        <v>8953</v>
      </c>
      <c r="I2164" s="131">
        <v>3</v>
      </c>
      <c r="J2164" t="s">
        <v>3788</v>
      </c>
      <c r="K2164" t="s">
        <v>108</v>
      </c>
      <c r="L2164" t="s">
        <v>111</v>
      </c>
      <c r="M2164" t="s">
        <v>148</v>
      </c>
      <c r="N2164" t="s">
        <v>98</v>
      </c>
      <c r="O2164" t="s">
        <v>116</v>
      </c>
    </row>
    <row r="2165" spans="1:15" x14ac:dyDescent="0.3">
      <c r="A2165" s="130">
        <v>11371</v>
      </c>
      <c r="B2165" s="130">
        <v>30</v>
      </c>
      <c r="C2165" s="130" t="s">
        <v>3789</v>
      </c>
      <c r="D2165">
        <v>17365</v>
      </c>
      <c r="E2165" s="130">
        <v>31260473</v>
      </c>
      <c r="F2165" t="s">
        <v>87</v>
      </c>
      <c r="G2165">
        <v>9135</v>
      </c>
      <c r="H2165" t="s">
        <v>8951</v>
      </c>
      <c r="I2165" s="131">
        <v>18</v>
      </c>
      <c r="J2165" t="s">
        <v>3789</v>
      </c>
      <c r="K2165" t="s">
        <v>95</v>
      </c>
      <c r="L2165" t="s">
        <v>123</v>
      </c>
      <c r="M2165" t="s">
        <v>103</v>
      </c>
      <c r="N2165" t="s">
        <v>98</v>
      </c>
      <c r="O2165" t="s">
        <v>116</v>
      </c>
    </row>
    <row r="2166" spans="1:15" x14ac:dyDescent="0.3">
      <c r="A2166" s="130">
        <v>11374</v>
      </c>
      <c r="B2166" s="130">
        <v>20</v>
      </c>
      <c r="C2166" s="130" t="s">
        <v>3790</v>
      </c>
      <c r="D2166">
        <v>17367</v>
      </c>
      <c r="E2166" s="130">
        <v>10736565</v>
      </c>
      <c r="F2166" t="s">
        <v>87</v>
      </c>
      <c r="G2166">
        <v>9135</v>
      </c>
      <c r="H2166" t="s">
        <v>8952</v>
      </c>
      <c r="I2166" s="130">
        <v>3</v>
      </c>
      <c r="J2166" t="s">
        <v>3790</v>
      </c>
      <c r="K2166" t="s">
        <v>95</v>
      </c>
      <c r="L2166" t="s">
        <v>111</v>
      </c>
      <c r="M2166" t="s">
        <v>148</v>
      </c>
      <c r="N2166" t="s">
        <v>98</v>
      </c>
      <c r="O2166" t="s">
        <v>1345</v>
      </c>
    </row>
    <row r="2167" spans="1:15" x14ac:dyDescent="0.3">
      <c r="A2167" s="130">
        <v>11384</v>
      </c>
      <c r="B2167" s="130">
        <v>30</v>
      </c>
      <c r="C2167" s="130" t="s">
        <v>3791</v>
      </c>
      <c r="D2167">
        <v>17381</v>
      </c>
      <c r="E2167" s="131">
        <v>44992350</v>
      </c>
      <c r="F2167" t="s">
        <v>87</v>
      </c>
      <c r="G2167">
        <v>9135</v>
      </c>
      <c r="H2167" t="s">
        <v>8953</v>
      </c>
      <c r="I2167" s="130">
        <v>19</v>
      </c>
      <c r="J2167" t="s">
        <v>3791</v>
      </c>
      <c r="K2167" t="s">
        <v>108</v>
      </c>
      <c r="L2167" t="s">
        <v>146</v>
      </c>
      <c r="M2167" t="s">
        <v>103</v>
      </c>
      <c r="N2167" t="s">
        <v>98</v>
      </c>
      <c r="O2167" t="s">
        <v>1345</v>
      </c>
    </row>
    <row r="2168" spans="1:15" x14ac:dyDescent="0.3">
      <c r="A2168" s="130">
        <v>11390</v>
      </c>
      <c r="B2168" s="130">
        <v>0</v>
      </c>
      <c r="C2168" s="130" t="s">
        <v>3792</v>
      </c>
      <c r="D2168">
        <v>17390</v>
      </c>
      <c r="E2168" s="130">
        <v>18127274</v>
      </c>
      <c r="F2168" t="s">
        <v>87</v>
      </c>
      <c r="G2168">
        <v>358</v>
      </c>
      <c r="H2168" t="s">
        <v>8951</v>
      </c>
      <c r="I2168" s="131">
        <v>3</v>
      </c>
      <c r="J2168" t="s">
        <v>3792</v>
      </c>
      <c r="K2168" t="s">
        <v>95</v>
      </c>
      <c r="L2168" t="s">
        <v>102</v>
      </c>
      <c r="M2168" t="s">
        <v>100</v>
      </c>
      <c r="N2168" t="s">
        <v>152</v>
      </c>
      <c r="O2168" t="s">
        <v>1345</v>
      </c>
    </row>
    <row r="2169" spans="1:15" x14ac:dyDescent="0.3">
      <c r="A2169" s="130">
        <v>11391</v>
      </c>
      <c r="B2169" s="130">
        <v>60</v>
      </c>
      <c r="C2169" s="130" t="s">
        <v>3793</v>
      </c>
      <c r="D2169">
        <v>17385</v>
      </c>
      <c r="E2169" s="130">
        <v>33592510</v>
      </c>
      <c r="F2169" t="s">
        <v>87</v>
      </c>
      <c r="G2169">
        <v>77</v>
      </c>
      <c r="H2169" t="s">
        <v>8952</v>
      </c>
      <c r="I2169" s="130">
        <v>3</v>
      </c>
      <c r="J2169" t="s">
        <v>3793</v>
      </c>
      <c r="K2169" t="s">
        <v>95</v>
      </c>
      <c r="L2169" t="s">
        <v>117</v>
      </c>
      <c r="M2169" t="s">
        <v>97</v>
      </c>
      <c r="N2169" t="s">
        <v>118</v>
      </c>
      <c r="O2169" t="s">
        <v>1256</v>
      </c>
    </row>
    <row r="2170" spans="1:15" x14ac:dyDescent="0.3">
      <c r="A2170" s="130">
        <v>11419</v>
      </c>
      <c r="B2170" s="130">
        <v>18</v>
      </c>
      <c r="C2170" s="130" t="s">
        <v>3794</v>
      </c>
      <c r="D2170">
        <v>17448</v>
      </c>
      <c r="E2170" s="130">
        <v>36163718</v>
      </c>
      <c r="F2170" t="s">
        <v>87</v>
      </c>
      <c r="G2170">
        <v>9135</v>
      </c>
      <c r="H2170" t="s">
        <v>8953</v>
      </c>
      <c r="I2170" s="130">
        <v>37</v>
      </c>
      <c r="J2170" t="s">
        <v>3794</v>
      </c>
      <c r="K2170" t="s">
        <v>95</v>
      </c>
      <c r="L2170" t="s">
        <v>138</v>
      </c>
      <c r="M2170" t="s">
        <v>112</v>
      </c>
      <c r="N2170" t="s">
        <v>101</v>
      </c>
      <c r="O2170" t="s">
        <v>1345</v>
      </c>
    </row>
    <row r="2171" spans="1:15" x14ac:dyDescent="0.3">
      <c r="A2171" s="130">
        <v>11422</v>
      </c>
      <c r="B2171" s="130">
        <v>30</v>
      </c>
      <c r="C2171" s="130" t="s">
        <v>3795</v>
      </c>
      <c r="D2171">
        <v>17273</v>
      </c>
      <c r="E2171" s="130">
        <v>9245217</v>
      </c>
      <c r="F2171" t="s">
        <v>87</v>
      </c>
      <c r="G2171">
        <v>9135</v>
      </c>
      <c r="H2171" t="s">
        <v>8951</v>
      </c>
      <c r="I2171" s="130">
        <v>19</v>
      </c>
      <c r="J2171" t="s">
        <v>3795</v>
      </c>
      <c r="K2171" t="s">
        <v>108</v>
      </c>
      <c r="L2171" t="s">
        <v>146</v>
      </c>
      <c r="M2171" t="s">
        <v>103</v>
      </c>
      <c r="N2171" t="s">
        <v>98</v>
      </c>
      <c r="O2171" t="s">
        <v>116</v>
      </c>
    </row>
    <row r="2172" spans="1:15" x14ac:dyDescent="0.3">
      <c r="A2172" s="130">
        <v>11424</v>
      </c>
      <c r="B2172" s="130">
        <v>60</v>
      </c>
      <c r="C2172" s="130" t="s">
        <v>3796</v>
      </c>
      <c r="D2172">
        <v>17453</v>
      </c>
      <c r="E2172" s="130">
        <v>33592510</v>
      </c>
      <c r="F2172" t="s">
        <v>87</v>
      </c>
      <c r="G2172">
        <v>77</v>
      </c>
      <c r="H2172" t="s">
        <v>8952</v>
      </c>
      <c r="I2172" s="131">
        <v>3</v>
      </c>
      <c r="J2172" t="s">
        <v>3796</v>
      </c>
      <c r="K2172" t="s">
        <v>95</v>
      </c>
      <c r="L2172" t="s">
        <v>117</v>
      </c>
      <c r="M2172" t="s">
        <v>97</v>
      </c>
      <c r="N2172" t="s">
        <v>118</v>
      </c>
      <c r="O2172" t="s">
        <v>116</v>
      </c>
    </row>
    <row r="2173" spans="1:15" x14ac:dyDescent="0.3">
      <c r="A2173" s="130">
        <v>11425</v>
      </c>
      <c r="B2173" s="130" t="s">
        <v>156</v>
      </c>
      <c r="C2173" s="130" t="s">
        <v>3797</v>
      </c>
      <c r="D2173">
        <v>17454</v>
      </c>
      <c r="E2173" s="131">
        <v>26619878</v>
      </c>
      <c r="F2173" t="s">
        <v>87</v>
      </c>
      <c r="G2173">
        <v>9135</v>
      </c>
      <c r="H2173" t="s">
        <v>8953</v>
      </c>
      <c r="I2173" s="131">
        <v>18</v>
      </c>
      <c r="J2173" t="s">
        <v>3797</v>
      </c>
      <c r="K2173" t="s">
        <v>108</v>
      </c>
      <c r="L2173" t="s">
        <v>1293</v>
      </c>
      <c r="M2173" t="s">
        <v>156</v>
      </c>
      <c r="N2173" t="s">
        <v>98</v>
      </c>
      <c r="O2173" t="s">
        <v>116</v>
      </c>
    </row>
    <row r="2174" spans="1:15" x14ac:dyDescent="0.3">
      <c r="A2174" s="130">
        <v>11428</v>
      </c>
      <c r="B2174" s="130">
        <v>30</v>
      </c>
      <c r="C2174" s="130" t="s">
        <v>3798</v>
      </c>
      <c r="D2174">
        <v>17461</v>
      </c>
      <c r="E2174" s="131">
        <v>4446606</v>
      </c>
      <c r="F2174" t="s">
        <v>87</v>
      </c>
      <c r="G2174">
        <v>9135</v>
      </c>
      <c r="H2174" t="s">
        <v>8951</v>
      </c>
      <c r="I2174" s="130">
        <v>3</v>
      </c>
      <c r="J2174" t="s">
        <v>3798</v>
      </c>
      <c r="K2174" t="s">
        <v>95</v>
      </c>
      <c r="L2174" t="s">
        <v>138</v>
      </c>
      <c r="M2174" t="s">
        <v>103</v>
      </c>
      <c r="N2174" t="s">
        <v>150</v>
      </c>
      <c r="O2174" t="s">
        <v>1345</v>
      </c>
    </row>
    <row r="2175" spans="1:15" x14ac:dyDescent="0.3">
      <c r="A2175" s="130">
        <v>11431</v>
      </c>
      <c r="B2175" s="130">
        <v>30</v>
      </c>
      <c r="C2175" s="130" t="s">
        <v>3799</v>
      </c>
      <c r="D2175">
        <v>17467</v>
      </c>
      <c r="E2175" s="130">
        <v>8217851</v>
      </c>
      <c r="F2175" t="s">
        <v>87</v>
      </c>
      <c r="G2175">
        <v>9135</v>
      </c>
      <c r="H2175" t="s">
        <v>8952</v>
      </c>
      <c r="I2175" s="130">
        <v>18</v>
      </c>
      <c r="J2175" t="s">
        <v>3799</v>
      </c>
      <c r="K2175" t="s">
        <v>95</v>
      </c>
      <c r="L2175" t="s">
        <v>123</v>
      </c>
      <c r="M2175" t="s">
        <v>103</v>
      </c>
      <c r="N2175" t="s">
        <v>98</v>
      </c>
      <c r="O2175" t="s">
        <v>1345</v>
      </c>
    </row>
    <row r="2176" spans="1:15" x14ac:dyDescent="0.3">
      <c r="A2176" s="130">
        <v>11441</v>
      </c>
      <c r="B2176" s="130">
        <v>30</v>
      </c>
      <c r="C2176" s="130" t="s">
        <v>3800</v>
      </c>
      <c r="D2176">
        <v>17476</v>
      </c>
      <c r="E2176" s="130">
        <v>7522191</v>
      </c>
      <c r="F2176" t="s">
        <v>87</v>
      </c>
      <c r="G2176">
        <v>9135</v>
      </c>
      <c r="H2176" t="s">
        <v>8953</v>
      </c>
      <c r="I2176" s="130">
        <v>43</v>
      </c>
      <c r="J2176" t="s">
        <v>3800</v>
      </c>
      <c r="K2176" t="s">
        <v>95</v>
      </c>
      <c r="L2176" t="s">
        <v>1368</v>
      </c>
      <c r="M2176" t="s">
        <v>103</v>
      </c>
      <c r="N2176" t="s">
        <v>114</v>
      </c>
      <c r="O2176" t="s">
        <v>116</v>
      </c>
    </row>
    <row r="2177" spans="1:15" x14ac:dyDescent="0.3">
      <c r="A2177" s="130">
        <v>11442</v>
      </c>
      <c r="B2177" s="130">
        <v>30</v>
      </c>
      <c r="C2177" s="130" t="s">
        <v>3801</v>
      </c>
      <c r="D2177">
        <v>17478</v>
      </c>
      <c r="E2177" s="130">
        <v>82992686</v>
      </c>
      <c r="F2177" t="s">
        <v>87</v>
      </c>
      <c r="G2177">
        <v>9135</v>
      </c>
      <c r="H2177" t="s">
        <v>8951</v>
      </c>
      <c r="I2177" s="130">
        <v>3</v>
      </c>
      <c r="J2177" t="s">
        <v>3801</v>
      </c>
      <c r="K2177" t="s">
        <v>108</v>
      </c>
      <c r="L2177" t="s">
        <v>111</v>
      </c>
      <c r="M2177" t="s">
        <v>103</v>
      </c>
      <c r="N2177" t="s">
        <v>98</v>
      </c>
      <c r="O2177" t="s">
        <v>1345</v>
      </c>
    </row>
    <row r="2178" spans="1:15" x14ac:dyDescent="0.3">
      <c r="A2178" s="130">
        <v>11444</v>
      </c>
      <c r="B2178" s="130">
        <v>30</v>
      </c>
      <c r="C2178" s="130" t="s">
        <v>3802</v>
      </c>
      <c r="D2178">
        <v>17483</v>
      </c>
      <c r="E2178" s="130">
        <v>2565617</v>
      </c>
      <c r="F2178" t="s">
        <v>87</v>
      </c>
      <c r="G2178">
        <v>9135</v>
      </c>
      <c r="H2178" t="s">
        <v>8952</v>
      </c>
      <c r="I2178" s="130">
        <v>3</v>
      </c>
      <c r="J2178" t="s">
        <v>3802</v>
      </c>
      <c r="K2178" t="s">
        <v>95</v>
      </c>
      <c r="L2178" t="s">
        <v>111</v>
      </c>
      <c r="M2178" t="s">
        <v>103</v>
      </c>
      <c r="N2178" t="s">
        <v>98</v>
      </c>
      <c r="O2178" t="s">
        <v>1345</v>
      </c>
    </row>
    <row r="2179" spans="1:15" x14ac:dyDescent="0.3">
      <c r="A2179" s="130">
        <v>11457</v>
      </c>
      <c r="B2179" s="130">
        <v>18</v>
      </c>
      <c r="C2179" s="130" t="s">
        <v>3803</v>
      </c>
      <c r="D2179">
        <v>17496</v>
      </c>
      <c r="E2179" s="130">
        <v>7447225</v>
      </c>
      <c r="F2179" t="s">
        <v>87</v>
      </c>
      <c r="G2179">
        <v>358</v>
      </c>
      <c r="H2179" t="s">
        <v>8953</v>
      </c>
      <c r="I2179" s="130">
        <v>37</v>
      </c>
      <c r="J2179" t="s">
        <v>3803</v>
      </c>
      <c r="K2179" t="s">
        <v>108</v>
      </c>
      <c r="L2179" t="s">
        <v>144</v>
      </c>
      <c r="M2179" t="s">
        <v>112</v>
      </c>
      <c r="N2179" t="s">
        <v>98</v>
      </c>
      <c r="O2179" t="s">
        <v>1345</v>
      </c>
    </row>
    <row r="2180" spans="1:15" x14ac:dyDescent="0.3">
      <c r="A2180" s="130">
        <v>11458</v>
      </c>
      <c r="B2180" s="130">
        <v>21</v>
      </c>
      <c r="C2180" s="130" t="s">
        <v>3804</v>
      </c>
      <c r="D2180">
        <v>17497</v>
      </c>
      <c r="E2180" s="130">
        <v>7102198</v>
      </c>
      <c r="F2180" t="s">
        <v>87</v>
      </c>
      <c r="G2180">
        <v>9135</v>
      </c>
      <c r="H2180" t="s">
        <v>8951</v>
      </c>
      <c r="I2180" s="130">
        <v>10</v>
      </c>
      <c r="J2180" t="s">
        <v>3804</v>
      </c>
      <c r="K2180" t="s">
        <v>95</v>
      </c>
      <c r="L2180" t="s">
        <v>127</v>
      </c>
      <c r="M2180" t="s">
        <v>137</v>
      </c>
      <c r="N2180" t="s">
        <v>98</v>
      </c>
      <c r="O2180" t="s">
        <v>1345</v>
      </c>
    </row>
    <row r="2181" spans="1:15" x14ac:dyDescent="0.3">
      <c r="A2181" s="130">
        <v>11459</v>
      </c>
      <c r="B2181" s="130">
        <v>21</v>
      </c>
      <c r="C2181" s="130" t="s">
        <v>3805</v>
      </c>
      <c r="D2181">
        <v>17498</v>
      </c>
      <c r="E2181" s="130">
        <v>17069832</v>
      </c>
      <c r="F2181" t="s">
        <v>87</v>
      </c>
      <c r="G2181">
        <v>9135</v>
      </c>
      <c r="H2181" t="s">
        <v>8952</v>
      </c>
      <c r="I2181" s="130">
        <v>3</v>
      </c>
      <c r="J2181" t="s">
        <v>3805</v>
      </c>
      <c r="K2181" t="s">
        <v>108</v>
      </c>
      <c r="L2181" t="s">
        <v>111</v>
      </c>
      <c r="M2181" t="s">
        <v>137</v>
      </c>
      <c r="N2181" t="s">
        <v>152</v>
      </c>
      <c r="O2181" t="s">
        <v>1345</v>
      </c>
    </row>
    <row r="2182" spans="1:15" x14ac:dyDescent="0.3">
      <c r="A2182" s="130">
        <v>11463</v>
      </c>
      <c r="B2182" s="130">
        <v>10</v>
      </c>
      <c r="C2182" s="130" t="s">
        <v>3806</v>
      </c>
      <c r="D2182">
        <v>17502</v>
      </c>
      <c r="E2182" s="131">
        <v>7401114</v>
      </c>
      <c r="F2182" t="s">
        <v>87</v>
      </c>
      <c r="G2182">
        <v>9135</v>
      </c>
      <c r="H2182" t="s">
        <v>8953</v>
      </c>
      <c r="I2182" s="130">
        <v>3</v>
      </c>
      <c r="J2182" t="s">
        <v>3806</v>
      </c>
      <c r="K2182" t="s">
        <v>108</v>
      </c>
      <c r="L2182" t="s">
        <v>153</v>
      </c>
      <c r="M2182" t="s">
        <v>133</v>
      </c>
      <c r="N2182" t="s">
        <v>98</v>
      </c>
      <c r="O2182" t="s">
        <v>1345</v>
      </c>
    </row>
    <row r="2183" spans="1:15" x14ac:dyDescent="0.3">
      <c r="A2183" s="130">
        <v>11465</v>
      </c>
      <c r="B2183" s="130">
        <v>30</v>
      </c>
      <c r="C2183" s="130" t="s">
        <v>3807</v>
      </c>
      <c r="D2183">
        <v>17504</v>
      </c>
      <c r="E2183" s="130">
        <v>17162983</v>
      </c>
      <c r="F2183" t="s">
        <v>87</v>
      </c>
      <c r="G2183">
        <v>358</v>
      </c>
      <c r="H2183" t="s">
        <v>8951</v>
      </c>
      <c r="I2183" s="130">
        <v>3</v>
      </c>
      <c r="J2183" t="s">
        <v>3807</v>
      </c>
      <c r="K2183" t="s">
        <v>95</v>
      </c>
      <c r="L2183" t="s">
        <v>109</v>
      </c>
      <c r="M2183" t="s">
        <v>103</v>
      </c>
      <c r="N2183" t="s">
        <v>98</v>
      </c>
      <c r="O2183" t="s">
        <v>1345</v>
      </c>
    </row>
    <row r="2184" spans="1:15" x14ac:dyDescent="0.3">
      <c r="A2184" s="130">
        <v>11475</v>
      </c>
      <c r="B2184" s="130">
        <v>10</v>
      </c>
      <c r="C2184" s="130" t="s">
        <v>3808</v>
      </c>
      <c r="D2184">
        <v>17528</v>
      </c>
      <c r="E2184" s="130">
        <v>41209365</v>
      </c>
      <c r="F2184" t="s">
        <v>87</v>
      </c>
      <c r="G2184">
        <v>358</v>
      </c>
      <c r="H2184" t="s">
        <v>8952</v>
      </c>
      <c r="I2184" s="131">
        <v>3</v>
      </c>
      <c r="J2184" t="s">
        <v>3808</v>
      </c>
      <c r="K2184" t="s">
        <v>108</v>
      </c>
      <c r="L2184" t="s">
        <v>153</v>
      </c>
      <c r="M2184" t="s">
        <v>133</v>
      </c>
      <c r="N2184" t="s">
        <v>101</v>
      </c>
      <c r="O2184" t="s">
        <v>1345</v>
      </c>
    </row>
    <row r="2185" spans="1:15" x14ac:dyDescent="0.3">
      <c r="A2185" s="130">
        <v>11476</v>
      </c>
      <c r="B2185" s="130">
        <v>30</v>
      </c>
      <c r="C2185" s="130" t="s">
        <v>3809</v>
      </c>
      <c r="D2185">
        <v>17531</v>
      </c>
      <c r="E2185" s="130">
        <v>8928273</v>
      </c>
      <c r="F2185" t="s">
        <v>87</v>
      </c>
      <c r="G2185">
        <v>358</v>
      </c>
      <c r="H2185" t="s">
        <v>8953</v>
      </c>
      <c r="I2185" s="131">
        <v>10</v>
      </c>
      <c r="J2185" t="s">
        <v>3809</v>
      </c>
      <c r="K2185" t="s">
        <v>95</v>
      </c>
      <c r="L2185" t="s">
        <v>105</v>
      </c>
      <c r="M2185" t="s">
        <v>103</v>
      </c>
      <c r="N2185" t="s">
        <v>124</v>
      </c>
      <c r="O2185" t="s">
        <v>1345</v>
      </c>
    </row>
    <row r="2186" spans="1:15" x14ac:dyDescent="0.3">
      <c r="A2186" s="130">
        <v>11480</v>
      </c>
      <c r="B2186" s="130">
        <v>30</v>
      </c>
      <c r="C2186" s="130" t="s">
        <v>3810</v>
      </c>
      <c r="D2186">
        <v>17535</v>
      </c>
      <c r="E2186" s="130">
        <v>42929315</v>
      </c>
      <c r="F2186" t="s">
        <v>87</v>
      </c>
      <c r="G2186">
        <v>9135</v>
      </c>
      <c r="H2186" t="s">
        <v>8951</v>
      </c>
      <c r="I2186" s="130">
        <v>3</v>
      </c>
      <c r="J2186" t="s">
        <v>3810</v>
      </c>
      <c r="K2186" t="s">
        <v>108</v>
      </c>
      <c r="L2186" t="s">
        <v>111</v>
      </c>
      <c r="M2186" t="s">
        <v>103</v>
      </c>
      <c r="N2186" t="s">
        <v>98</v>
      </c>
      <c r="O2186" t="s">
        <v>116</v>
      </c>
    </row>
    <row r="2187" spans="1:15" x14ac:dyDescent="0.3">
      <c r="A2187" s="130">
        <v>11484</v>
      </c>
      <c r="B2187" s="130">
        <v>18</v>
      </c>
      <c r="C2187" s="130" t="s">
        <v>3811</v>
      </c>
      <c r="D2187">
        <v>17546</v>
      </c>
      <c r="E2187" s="130">
        <v>43776491</v>
      </c>
      <c r="F2187" t="s">
        <v>113</v>
      </c>
      <c r="G2187">
        <v>77</v>
      </c>
      <c r="H2187" t="s">
        <v>8952</v>
      </c>
      <c r="I2187" s="130">
        <v>37</v>
      </c>
      <c r="J2187" t="s">
        <v>3811</v>
      </c>
      <c r="K2187" t="s">
        <v>95</v>
      </c>
      <c r="L2187" t="s">
        <v>117</v>
      </c>
      <c r="M2187" t="s">
        <v>112</v>
      </c>
      <c r="N2187" t="s">
        <v>131</v>
      </c>
      <c r="O2187" t="s">
        <v>1256</v>
      </c>
    </row>
    <row r="2188" spans="1:15" x14ac:dyDescent="0.3">
      <c r="A2188" s="130">
        <v>11488</v>
      </c>
      <c r="B2188" s="130">
        <v>30</v>
      </c>
      <c r="C2188" s="130" t="s">
        <v>3812</v>
      </c>
      <c r="D2188">
        <v>17561</v>
      </c>
      <c r="E2188" s="131">
        <v>3992929</v>
      </c>
      <c r="F2188" t="s">
        <v>87</v>
      </c>
      <c r="G2188">
        <v>9135</v>
      </c>
      <c r="H2188" t="s">
        <v>8953</v>
      </c>
      <c r="I2188" s="130">
        <v>9</v>
      </c>
      <c r="J2188" t="s">
        <v>3812</v>
      </c>
      <c r="K2188" t="s">
        <v>95</v>
      </c>
      <c r="L2188" t="s">
        <v>163</v>
      </c>
      <c r="M2188" t="s">
        <v>103</v>
      </c>
      <c r="N2188" t="s">
        <v>98</v>
      </c>
      <c r="O2188" t="s">
        <v>1345</v>
      </c>
    </row>
    <row r="2189" spans="1:15" x14ac:dyDescent="0.3">
      <c r="A2189" s="130">
        <v>11491</v>
      </c>
      <c r="B2189" s="130">
        <v>18</v>
      </c>
      <c r="C2189" s="130" t="s">
        <v>3813</v>
      </c>
      <c r="D2189">
        <v>17567</v>
      </c>
      <c r="E2189" s="130">
        <v>41016423</v>
      </c>
      <c r="F2189" t="s">
        <v>87</v>
      </c>
      <c r="G2189">
        <v>9135</v>
      </c>
      <c r="H2189" t="s">
        <v>8951</v>
      </c>
      <c r="I2189" s="130">
        <v>37</v>
      </c>
      <c r="J2189" t="s">
        <v>3813</v>
      </c>
      <c r="K2189" t="s">
        <v>95</v>
      </c>
      <c r="L2189" t="s">
        <v>138</v>
      </c>
      <c r="M2189" t="s">
        <v>112</v>
      </c>
      <c r="N2189" t="s">
        <v>114</v>
      </c>
      <c r="O2189" t="s">
        <v>1345</v>
      </c>
    </row>
    <row r="2190" spans="1:15" x14ac:dyDescent="0.3">
      <c r="A2190" s="130">
        <v>11496</v>
      </c>
      <c r="B2190" s="130">
        <v>10</v>
      </c>
      <c r="C2190" s="130" t="s">
        <v>3814</v>
      </c>
      <c r="D2190">
        <v>17574</v>
      </c>
      <c r="E2190" s="130">
        <v>1676783</v>
      </c>
      <c r="F2190" t="s">
        <v>87</v>
      </c>
      <c r="G2190">
        <v>9135</v>
      </c>
      <c r="H2190" t="s">
        <v>8952</v>
      </c>
      <c r="I2190" s="130">
        <v>37</v>
      </c>
      <c r="J2190" t="s">
        <v>3814</v>
      </c>
      <c r="K2190" t="s">
        <v>95</v>
      </c>
      <c r="L2190" t="s">
        <v>138</v>
      </c>
      <c r="M2190" t="s">
        <v>133</v>
      </c>
      <c r="N2190" t="s">
        <v>150</v>
      </c>
      <c r="O2190" t="s">
        <v>1345</v>
      </c>
    </row>
    <row r="2191" spans="1:15" x14ac:dyDescent="0.3">
      <c r="A2191" s="130">
        <v>11497</v>
      </c>
      <c r="B2191" s="130">
        <v>30</v>
      </c>
      <c r="C2191" s="130" t="s">
        <v>3815</v>
      </c>
      <c r="D2191">
        <v>17576</v>
      </c>
      <c r="E2191" s="130">
        <v>20458968</v>
      </c>
      <c r="F2191" t="s">
        <v>87</v>
      </c>
      <c r="G2191">
        <v>358</v>
      </c>
      <c r="H2191" t="s">
        <v>8953</v>
      </c>
      <c r="I2191" s="130">
        <v>3</v>
      </c>
      <c r="J2191" t="s">
        <v>3815</v>
      </c>
      <c r="K2191" t="s">
        <v>95</v>
      </c>
      <c r="L2191" t="s">
        <v>109</v>
      </c>
      <c r="M2191" t="s">
        <v>103</v>
      </c>
      <c r="N2191" t="s">
        <v>118</v>
      </c>
      <c r="O2191" t="s">
        <v>1345</v>
      </c>
    </row>
    <row r="2192" spans="1:15" x14ac:dyDescent="0.3">
      <c r="A2192" s="130">
        <v>11502</v>
      </c>
      <c r="B2192" s="130">
        <v>30</v>
      </c>
      <c r="C2192" s="130" t="s">
        <v>3816</v>
      </c>
      <c r="D2192">
        <v>17583</v>
      </c>
      <c r="E2192" s="131">
        <v>10515785</v>
      </c>
      <c r="F2192" t="s">
        <v>87</v>
      </c>
      <c r="G2192">
        <v>9135</v>
      </c>
      <c r="H2192" t="s">
        <v>8951</v>
      </c>
      <c r="I2192" s="131">
        <v>9</v>
      </c>
      <c r="J2192" t="s">
        <v>3816</v>
      </c>
      <c r="K2192" t="s">
        <v>108</v>
      </c>
      <c r="L2192" t="s">
        <v>1298</v>
      </c>
      <c r="M2192" t="s">
        <v>103</v>
      </c>
      <c r="N2192" t="s">
        <v>98</v>
      </c>
      <c r="O2192" t="s">
        <v>116</v>
      </c>
    </row>
    <row r="2193" spans="1:15" x14ac:dyDescent="0.3">
      <c r="A2193" s="130">
        <v>11503</v>
      </c>
      <c r="B2193" s="130">
        <v>18</v>
      </c>
      <c r="C2193" s="130" t="s">
        <v>3817</v>
      </c>
      <c r="D2193">
        <v>17584</v>
      </c>
      <c r="E2193" s="131">
        <v>26770408</v>
      </c>
      <c r="F2193" t="s">
        <v>87</v>
      </c>
      <c r="G2193">
        <v>9135</v>
      </c>
      <c r="H2193" t="s">
        <v>8952</v>
      </c>
      <c r="I2193" s="131">
        <v>9</v>
      </c>
      <c r="J2193" t="s">
        <v>3817</v>
      </c>
      <c r="K2193" t="s">
        <v>108</v>
      </c>
      <c r="L2193" t="s">
        <v>125</v>
      </c>
      <c r="M2193" t="s">
        <v>112</v>
      </c>
      <c r="N2193" t="s">
        <v>98</v>
      </c>
      <c r="O2193" t="s">
        <v>1345</v>
      </c>
    </row>
    <row r="2194" spans="1:15" x14ac:dyDescent="0.3">
      <c r="A2194" s="130">
        <v>11507</v>
      </c>
      <c r="B2194" s="130">
        <v>2</v>
      </c>
      <c r="C2194" s="130" t="s">
        <v>3818</v>
      </c>
      <c r="D2194">
        <v>17586</v>
      </c>
      <c r="E2194" s="130">
        <v>49873722</v>
      </c>
      <c r="F2194" t="s">
        <v>87</v>
      </c>
      <c r="G2194">
        <v>9135</v>
      </c>
      <c r="H2194" t="s">
        <v>8953</v>
      </c>
      <c r="I2194" s="130">
        <v>24</v>
      </c>
      <c r="J2194" t="s">
        <v>3818</v>
      </c>
      <c r="K2194" t="s">
        <v>108</v>
      </c>
      <c r="L2194" t="s">
        <v>191</v>
      </c>
      <c r="M2194" t="s">
        <v>224</v>
      </c>
      <c r="N2194" t="s">
        <v>162</v>
      </c>
      <c r="O2194" t="s">
        <v>1345</v>
      </c>
    </row>
    <row r="2195" spans="1:15" x14ac:dyDescent="0.3">
      <c r="A2195" s="130">
        <v>11510</v>
      </c>
      <c r="B2195" s="130">
        <v>10</v>
      </c>
      <c r="C2195" s="130" t="s">
        <v>3819</v>
      </c>
      <c r="D2195">
        <v>17590</v>
      </c>
      <c r="E2195" s="130">
        <v>173802</v>
      </c>
      <c r="F2195" t="s">
        <v>87</v>
      </c>
      <c r="G2195">
        <v>358</v>
      </c>
      <c r="H2195" t="s">
        <v>8951</v>
      </c>
      <c r="I2195" s="130">
        <v>10</v>
      </c>
      <c r="J2195" t="s">
        <v>3819</v>
      </c>
      <c r="K2195" t="s">
        <v>108</v>
      </c>
      <c r="L2195" t="s">
        <v>105</v>
      </c>
      <c r="M2195" t="s">
        <v>133</v>
      </c>
      <c r="N2195" t="s">
        <v>98</v>
      </c>
      <c r="O2195" t="s">
        <v>1345</v>
      </c>
    </row>
    <row r="2196" spans="1:15" x14ac:dyDescent="0.3">
      <c r="A2196" s="130">
        <v>11514</v>
      </c>
      <c r="B2196" s="130">
        <v>30</v>
      </c>
      <c r="C2196" s="130" t="s">
        <v>3820</v>
      </c>
      <c r="D2196">
        <v>17596</v>
      </c>
      <c r="E2196" s="130">
        <v>22475574</v>
      </c>
      <c r="F2196" t="s">
        <v>87</v>
      </c>
      <c r="G2196">
        <v>9135</v>
      </c>
      <c r="H2196" t="s">
        <v>8952</v>
      </c>
      <c r="I2196" s="130">
        <v>19</v>
      </c>
      <c r="J2196" t="s">
        <v>3820</v>
      </c>
      <c r="K2196" t="s">
        <v>108</v>
      </c>
      <c r="L2196" t="s">
        <v>146</v>
      </c>
      <c r="M2196" t="s">
        <v>103</v>
      </c>
      <c r="N2196" t="s">
        <v>169</v>
      </c>
      <c r="O2196" t="s">
        <v>1345</v>
      </c>
    </row>
    <row r="2197" spans="1:15" x14ac:dyDescent="0.3">
      <c r="A2197" s="130">
        <v>11515</v>
      </c>
      <c r="B2197" s="130">
        <v>30</v>
      </c>
      <c r="C2197" s="130" t="s">
        <v>3821</v>
      </c>
      <c r="D2197">
        <v>17598</v>
      </c>
      <c r="E2197" s="130">
        <v>83693366</v>
      </c>
      <c r="F2197" t="s">
        <v>87</v>
      </c>
      <c r="G2197">
        <v>9135</v>
      </c>
      <c r="H2197" t="s">
        <v>8953</v>
      </c>
      <c r="I2197" s="130">
        <v>9</v>
      </c>
      <c r="J2197" t="s">
        <v>3821</v>
      </c>
      <c r="K2197" t="s">
        <v>108</v>
      </c>
      <c r="L2197" t="s">
        <v>163</v>
      </c>
      <c r="M2197" t="s">
        <v>103</v>
      </c>
      <c r="N2197" t="s">
        <v>98</v>
      </c>
      <c r="O2197" t="s">
        <v>1345</v>
      </c>
    </row>
    <row r="2198" spans="1:15" x14ac:dyDescent="0.3">
      <c r="A2198" s="130">
        <v>11524</v>
      </c>
      <c r="B2198" s="130">
        <v>30</v>
      </c>
      <c r="C2198" s="130" t="s">
        <v>3822</v>
      </c>
      <c r="D2198">
        <v>17604</v>
      </c>
      <c r="E2198" s="130">
        <v>19973593</v>
      </c>
      <c r="F2198" t="s">
        <v>87</v>
      </c>
      <c r="G2198">
        <v>77</v>
      </c>
      <c r="H2198" t="s">
        <v>8951</v>
      </c>
      <c r="I2198" s="131">
        <v>3</v>
      </c>
      <c r="J2198" t="s">
        <v>3822</v>
      </c>
      <c r="K2198" t="s">
        <v>108</v>
      </c>
      <c r="L2198" t="s">
        <v>235</v>
      </c>
      <c r="M2198" t="s">
        <v>103</v>
      </c>
      <c r="N2198" t="s">
        <v>131</v>
      </c>
      <c r="O2198" t="s">
        <v>1345</v>
      </c>
    </row>
    <row r="2199" spans="1:15" x14ac:dyDescent="0.3">
      <c r="A2199" s="130">
        <v>11526</v>
      </c>
      <c r="B2199" s="130">
        <v>30</v>
      </c>
      <c r="C2199" s="130" t="s">
        <v>3823</v>
      </c>
      <c r="D2199">
        <v>17611</v>
      </c>
      <c r="E2199" s="130">
        <v>15063096</v>
      </c>
      <c r="F2199" t="s">
        <v>87</v>
      </c>
      <c r="G2199">
        <v>9135</v>
      </c>
      <c r="H2199" t="s">
        <v>8952</v>
      </c>
      <c r="I2199" s="130">
        <v>10</v>
      </c>
      <c r="J2199" t="s">
        <v>3823</v>
      </c>
      <c r="K2199" t="s">
        <v>95</v>
      </c>
      <c r="L2199" t="s">
        <v>127</v>
      </c>
      <c r="M2199" t="s">
        <v>103</v>
      </c>
      <c r="N2199" t="s">
        <v>118</v>
      </c>
      <c r="O2199" t="s">
        <v>1345</v>
      </c>
    </row>
    <row r="2200" spans="1:15" x14ac:dyDescent="0.3">
      <c r="A2200" s="130">
        <v>11528</v>
      </c>
      <c r="B2200" s="130">
        <v>18</v>
      </c>
      <c r="C2200" s="130" t="s">
        <v>3824</v>
      </c>
      <c r="D2200">
        <v>17613</v>
      </c>
      <c r="E2200" s="130">
        <v>10279488</v>
      </c>
      <c r="F2200" t="s">
        <v>87</v>
      </c>
      <c r="G2200">
        <v>77</v>
      </c>
      <c r="H2200" t="s">
        <v>8953</v>
      </c>
      <c r="I2200" s="130">
        <v>26</v>
      </c>
      <c r="J2200" t="s">
        <v>3824</v>
      </c>
      <c r="K2200" t="s">
        <v>95</v>
      </c>
      <c r="L2200" t="s">
        <v>117</v>
      </c>
      <c r="M2200" t="s">
        <v>112</v>
      </c>
      <c r="N2200" t="s">
        <v>104</v>
      </c>
      <c r="O2200" t="s">
        <v>116</v>
      </c>
    </row>
    <row r="2201" spans="1:15" x14ac:dyDescent="0.3">
      <c r="A2201" s="130">
        <v>11533</v>
      </c>
      <c r="B2201" s="130">
        <v>28</v>
      </c>
      <c r="C2201" s="130" t="s">
        <v>3825</v>
      </c>
      <c r="D2201">
        <v>17621</v>
      </c>
      <c r="E2201" s="130">
        <v>38404399</v>
      </c>
      <c r="F2201" t="s">
        <v>87</v>
      </c>
      <c r="G2201">
        <v>9135</v>
      </c>
      <c r="H2201" t="s">
        <v>8951</v>
      </c>
      <c r="I2201" s="131">
        <v>37</v>
      </c>
      <c r="J2201" t="s">
        <v>3825</v>
      </c>
      <c r="K2201" t="s">
        <v>95</v>
      </c>
      <c r="L2201" t="s">
        <v>138</v>
      </c>
      <c r="M2201" t="s">
        <v>130</v>
      </c>
      <c r="N2201" t="s">
        <v>150</v>
      </c>
      <c r="O2201" t="s">
        <v>1345</v>
      </c>
    </row>
    <row r="2202" spans="1:15" x14ac:dyDescent="0.3">
      <c r="A2202" s="130">
        <v>11535</v>
      </c>
      <c r="B2202" s="130">
        <v>18</v>
      </c>
      <c r="C2202" s="130" t="s">
        <v>3826</v>
      </c>
      <c r="D2202">
        <v>17625</v>
      </c>
      <c r="E2202" s="130">
        <v>4169215</v>
      </c>
      <c r="F2202" t="s">
        <v>87</v>
      </c>
      <c r="G2202">
        <v>9135</v>
      </c>
      <c r="H2202" t="s">
        <v>8952</v>
      </c>
      <c r="I2202" s="130">
        <v>9</v>
      </c>
      <c r="J2202" t="s">
        <v>3826</v>
      </c>
      <c r="K2202" t="s">
        <v>95</v>
      </c>
      <c r="L2202" t="s">
        <v>163</v>
      </c>
      <c r="M2202" t="s">
        <v>112</v>
      </c>
      <c r="N2202" t="s">
        <v>98</v>
      </c>
      <c r="O2202" t="s">
        <v>116</v>
      </c>
    </row>
    <row r="2203" spans="1:15" x14ac:dyDescent="0.3">
      <c r="A2203" s="130">
        <v>11556</v>
      </c>
      <c r="B2203" s="130">
        <v>18</v>
      </c>
      <c r="C2203" s="130" t="s">
        <v>3827</v>
      </c>
      <c r="D2203">
        <v>17623</v>
      </c>
      <c r="E2203" s="130">
        <v>10964887</v>
      </c>
      <c r="F2203" t="s">
        <v>87</v>
      </c>
      <c r="G2203">
        <v>358</v>
      </c>
      <c r="H2203" t="s">
        <v>8953</v>
      </c>
      <c r="I2203" s="130">
        <v>10</v>
      </c>
      <c r="J2203" t="s">
        <v>3827</v>
      </c>
      <c r="K2203" t="s">
        <v>108</v>
      </c>
      <c r="L2203" t="s">
        <v>105</v>
      </c>
      <c r="M2203" t="s">
        <v>112</v>
      </c>
      <c r="N2203" t="s">
        <v>98</v>
      </c>
      <c r="O2203" t="s">
        <v>1345</v>
      </c>
    </row>
    <row r="2204" spans="1:15" x14ac:dyDescent="0.3">
      <c r="A2204" s="130">
        <v>11568</v>
      </c>
      <c r="B2204" s="130">
        <v>60</v>
      </c>
      <c r="C2204" s="130" t="s">
        <v>3828</v>
      </c>
      <c r="D2204">
        <v>17670</v>
      </c>
      <c r="E2204" s="130">
        <v>61150348</v>
      </c>
      <c r="F2204" t="s">
        <v>113</v>
      </c>
      <c r="G2204">
        <v>77</v>
      </c>
      <c r="H2204" t="s">
        <v>8951</v>
      </c>
      <c r="I2204" s="130">
        <v>24</v>
      </c>
      <c r="J2204" t="s">
        <v>3828</v>
      </c>
      <c r="K2204" t="s">
        <v>95</v>
      </c>
      <c r="L2204" t="s">
        <v>117</v>
      </c>
      <c r="M2204" t="s">
        <v>97</v>
      </c>
      <c r="N2204" t="s">
        <v>114</v>
      </c>
      <c r="O2204" t="s">
        <v>1256</v>
      </c>
    </row>
    <row r="2205" spans="1:15" x14ac:dyDescent="0.3">
      <c r="A2205" s="130">
        <v>11569</v>
      </c>
      <c r="B2205" s="130">
        <v>45</v>
      </c>
      <c r="C2205" s="130" t="s">
        <v>3829</v>
      </c>
      <c r="D2205">
        <v>17671</v>
      </c>
      <c r="E2205" s="130">
        <v>18238980</v>
      </c>
      <c r="F2205" t="s">
        <v>87</v>
      </c>
      <c r="G2205">
        <v>9135</v>
      </c>
      <c r="H2205" t="s">
        <v>8952</v>
      </c>
      <c r="I2205" s="130">
        <v>24</v>
      </c>
      <c r="J2205" t="s">
        <v>3829</v>
      </c>
      <c r="K2205" t="s">
        <v>95</v>
      </c>
      <c r="L2205" t="s">
        <v>191</v>
      </c>
      <c r="M2205" t="s">
        <v>106</v>
      </c>
      <c r="N2205" t="s">
        <v>124</v>
      </c>
      <c r="O2205" t="s">
        <v>116</v>
      </c>
    </row>
    <row r="2206" spans="1:15" x14ac:dyDescent="0.3">
      <c r="A2206" s="130">
        <v>11591</v>
      </c>
      <c r="B2206" s="130">
        <v>60</v>
      </c>
      <c r="C2206" s="130" t="s">
        <v>3830</v>
      </c>
      <c r="D2206">
        <v>17700</v>
      </c>
      <c r="E2206" s="131">
        <v>17170150</v>
      </c>
      <c r="F2206" t="s">
        <v>87</v>
      </c>
      <c r="G2206">
        <v>77</v>
      </c>
      <c r="H2206" t="s">
        <v>8953</v>
      </c>
      <c r="I2206" s="130">
        <v>3</v>
      </c>
      <c r="J2206" t="s">
        <v>3830</v>
      </c>
      <c r="K2206" t="s">
        <v>95</v>
      </c>
      <c r="L2206" t="s">
        <v>117</v>
      </c>
      <c r="M2206" t="s">
        <v>97</v>
      </c>
      <c r="N2206" t="s">
        <v>118</v>
      </c>
      <c r="O2206" t="s">
        <v>116</v>
      </c>
    </row>
    <row r="2207" spans="1:15" x14ac:dyDescent="0.3">
      <c r="A2207" s="130">
        <v>11601</v>
      </c>
      <c r="B2207" s="130">
        <v>30</v>
      </c>
      <c r="C2207" s="130" t="s">
        <v>3831</v>
      </c>
      <c r="D2207">
        <v>17712</v>
      </c>
      <c r="E2207" s="131">
        <v>1730520</v>
      </c>
      <c r="F2207" t="s">
        <v>87</v>
      </c>
      <c r="G2207">
        <v>9135</v>
      </c>
      <c r="H2207" t="s">
        <v>8951</v>
      </c>
      <c r="I2207" s="130">
        <v>18</v>
      </c>
      <c r="J2207" t="s">
        <v>3831</v>
      </c>
      <c r="K2207" t="s">
        <v>95</v>
      </c>
      <c r="L2207" t="s">
        <v>123</v>
      </c>
      <c r="M2207" t="s">
        <v>103</v>
      </c>
      <c r="N2207" t="s">
        <v>114</v>
      </c>
      <c r="O2207" t="s">
        <v>116</v>
      </c>
    </row>
    <row r="2208" spans="1:15" x14ac:dyDescent="0.3">
      <c r="A2208" s="130">
        <v>11608</v>
      </c>
      <c r="B2208" s="130">
        <v>30</v>
      </c>
      <c r="C2208" s="130" t="s">
        <v>3832</v>
      </c>
      <c r="D2208">
        <v>17719</v>
      </c>
      <c r="E2208" s="130">
        <v>8056030</v>
      </c>
      <c r="F2208" t="s">
        <v>87</v>
      </c>
      <c r="G2208">
        <v>9135</v>
      </c>
      <c r="H2208" t="s">
        <v>8952</v>
      </c>
      <c r="I2208" s="131">
        <v>26</v>
      </c>
      <c r="J2208" t="s">
        <v>3832</v>
      </c>
      <c r="K2208" t="s">
        <v>95</v>
      </c>
      <c r="L2208" t="s">
        <v>151</v>
      </c>
      <c r="M2208" t="s">
        <v>103</v>
      </c>
      <c r="N2208" t="s">
        <v>169</v>
      </c>
      <c r="O2208" t="s">
        <v>1345</v>
      </c>
    </row>
    <row r="2209" spans="1:15" x14ac:dyDescent="0.3">
      <c r="A2209" s="130">
        <v>11615</v>
      </c>
      <c r="B2209" s="130">
        <v>30</v>
      </c>
      <c r="C2209" s="130" t="s">
        <v>3833</v>
      </c>
      <c r="D2209">
        <v>17724</v>
      </c>
      <c r="E2209" s="130">
        <v>8260577</v>
      </c>
      <c r="F2209" t="s">
        <v>87</v>
      </c>
      <c r="G2209">
        <v>9135</v>
      </c>
      <c r="H2209" t="s">
        <v>8953</v>
      </c>
      <c r="I2209" s="131">
        <v>18</v>
      </c>
      <c r="J2209" t="s">
        <v>3833</v>
      </c>
      <c r="K2209" t="s">
        <v>95</v>
      </c>
      <c r="L2209" t="s">
        <v>123</v>
      </c>
      <c r="M2209" t="s">
        <v>103</v>
      </c>
      <c r="N2209" t="s">
        <v>98</v>
      </c>
      <c r="O2209" t="s">
        <v>1345</v>
      </c>
    </row>
    <row r="2210" spans="1:15" x14ac:dyDescent="0.3">
      <c r="A2210" s="130">
        <v>11618</v>
      </c>
      <c r="B2210" s="130">
        <v>30</v>
      </c>
      <c r="C2210" s="130" t="s">
        <v>3834</v>
      </c>
      <c r="D2210">
        <v>17726</v>
      </c>
      <c r="E2210" s="131">
        <v>14863079</v>
      </c>
      <c r="F2210" t="s">
        <v>87</v>
      </c>
      <c r="G2210">
        <v>9135</v>
      </c>
      <c r="H2210" t="s">
        <v>8951</v>
      </c>
      <c r="I2210" s="130">
        <v>18</v>
      </c>
      <c r="J2210" t="s">
        <v>3834</v>
      </c>
      <c r="K2210" t="s">
        <v>95</v>
      </c>
      <c r="L2210" t="s">
        <v>123</v>
      </c>
      <c r="M2210" t="s">
        <v>103</v>
      </c>
      <c r="N2210" t="s">
        <v>98</v>
      </c>
      <c r="O2210" t="s">
        <v>1345</v>
      </c>
    </row>
    <row r="2211" spans="1:15" x14ac:dyDescent="0.3">
      <c r="A2211" s="130">
        <v>11620</v>
      </c>
      <c r="B2211" s="130">
        <v>30</v>
      </c>
      <c r="C2211" s="130" t="s">
        <v>3835</v>
      </c>
      <c r="D2211">
        <v>17727</v>
      </c>
      <c r="E2211" s="131">
        <v>14863079</v>
      </c>
      <c r="F2211" t="s">
        <v>87</v>
      </c>
      <c r="G2211">
        <v>9135</v>
      </c>
      <c r="H2211" t="s">
        <v>8952</v>
      </c>
      <c r="I2211" s="130">
        <v>18</v>
      </c>
      <c r="J2211" t="s">
        <v>3835</v>
      </c>
      <c r="K2211" t="s">
        <v>95</v>
      </c>
      <c r="L2211" t="s">
        <v>123</v>
      </c>
      <c r="M2211" t="s">
        <v>103</v>
      </c>
      <c r="N2211" t="s">
        <v>98</v>
      </c>
      <c r="O2211" t="s">
        <v>1345</v>
      </c>
    </row>
    <row r="2212" spans="1:15" x14ac:dyDescent="0.3">
      <c r="A2212" s="130">
        <v>11625</v>
      </c>
      <c r="B2212" s="130">
        <v>30</v>
      </c>
      <c r="C2212" s="130" t="s">
        <v>3836</v>
      </c>
      <c r="D2212">
        <v>17730</v>
      </c>
      <c r="E2212" s="131">
        <v>13791376</v>
      </c>
      <c r="F2212" t="s">
        <v>87</v>
      </c>
      <c r="G2212">
        <v>9135</v>
      </c>
      <c r="H2212" t="s">
        <v>8953</v>
      </c>
      <c r="I2212" s="130">
        <v>43</v>
      </c>
      <c r="J2212" t="s">
        <v>3836</v>
      </c>
      <c r="K2212" t="s">
        <v>108</v>
      </c>
      <c r="L2212" t="s">
        <v>159</v>
      </c>
      <c r="M2212" t="s">
        <v>103</v>
      </c>
      <c r="N2212" t="s">
        <v>114</v>
      </c>
      <c r="O2212" t="s">
        <v>1345</v>
      </c>
    </row>
    <row r="2213" spans="1:15" x14ac:dyDescent="0.3">
      <c r="A2213" s="130">
        <v>11643</v>
      </c>
      <c r="B2213" s="130">
        <v>28</v>
      </c>
      <c r="C2213" s="130" t="s">
        <v>3837</v>
      </c>
      <c r="D2213">
        <v>17764</v>
      </c>
      <c r="E2213" s="130">
        <v>36417724</v>
      </c>
      <c r="F2213" t="s">
        <v>87</v>
      </c>
      <c r="G2213">
        <v>9135</v>
      </c>
      <c r="H2213" t="s">
        <v>8951</v>
      </c>
      <c r="I2213" s="130">
        <v>37</v>
      </c>
      <c r="J2213" t="s">
        <v>3837</v>
      </c>
      <c r="K2213" t="s">
        <v>95</v>
      </c>
      <c r="L2213" t="s">
        <v>138</v>
      </c>
      <c r="M2213" t="s">
        <v>130</v>
      </c>
      <c r="N2213" t="s">
        <v>150</v>
      </c>
      <c r="O2213" t="s">
        <v>116</v>
      </c>
    </row>
    <row r="2214" spans="1:15" x14ac:dyDescent="0.3">
      <c r="A2214" s="130">
        <v>11644</v>
      </c>
      <c r="B2214" s="130">
        <v>30</v>
      </c>
      <c r="C2214" s="130" t="s">
        <v>3838</v>
      </c>
      <c r="D2214">
        <v>17765</v>
      </c>
      <c r="E2214" s="130">
        <v>14996274</v>
      </c>
      <c r="F2214" t="s">
        <v>87</v>
      </c>
      <c r="G2214">
        <v>9135</v>
      </c>
      <c r="H2214" t="s">
        <v>8952</v>
      </c>
      <c r="I2214" s="130">
        <v>10</v>
      </c>
      <c r="J2214" t="s">
        <v>3838</v>
      </c>
      <c r="K2214" t="s">
        <v>95</v>
      </c>
      <c r="L2214" t="s">
        <v>127</v>
      </c>
      <c r="M2214" t="s">
        <v>103</v>
      </c>
      <c r="N2214" t="s">
        <v>98</v>
      </c>
      <c r="O2214" t="s">
        <v>1345</v>
      </c>
    </row>
    <row r="2215" spans="1:15" x14ac:dyDescent="0.3">
      <c r="A2215" s="130">
        <v>11654</v>
      </c>
      <c r="B2215" s="130">
        <v>30</v>
      </c>
      <c r="C2215" s="130" t="s">
        <v>3839</v>
      </c>
      <c r="D2215">
        <v>17779</v>
      </c>
      <c r="E2215" s="130">
        <v>17193590</v>
      </c>
      <c r="F2215" t="s">
        <v>87</v>
      </c>
      <c r="G2215">
        <v>337</v>
      </c>
      <c r="H2215" t="s">
        <v>8953</v>
      </c>
      <c r="I2215" s="130">
        <v>37</v>
      </c>
      <c r="J2215" t="s">
        <v>3839</v>
      </c>
      <c r="K2215" t="s">
        <v>95</v>
      </c>
      <c r="L2215" t="s">
        <v>144</v>
      </c>
      <c r="M2215" t="s">
        <v>103</v>
      </c>
      <c r="N2215" t="s">
        <v>98</v>
      </c>
      <c r="O2215" t="s">
        <v>1345</v>
      </c>
    </row>
    <row r="2216" spans="1:15" x14ac:dyDescent="0.3">
      <c r="A2216" s="130">
        <v>11661</v>
      </c>
      <c r="B2216" s="130">
        <v>10</v>
      </c>
      <c r="C2216" s="130" t="s">
        <v>3840</v>
      </c>
      <c r="D2216">
        <v>17787</v>
      </c>
      <c r="E2216" s="130">
        <v>237518</v>
      </c>
      <c r="F2216" t="s">
        <v>87</v>
      </c>
      <c r="G2216">
        <v>358</v>
      </c>
      <c r="H2216" t="s">
        <v>8951</v>
      </c>
      <c r="I2216" s="131">
        <v>10</v>
      </c>
      <c r="J2216" t="s">
        <v>3840</v>
      </c>
      <c r="K2216" t="s">
        <v>95</v>
      </c>
      <c r="L2216" t="s">
        <v>105</v>
      </c>
      <c r="M2216" t="s">
        <v>133</v>
      </c>
      <c r="N2216" t="s">
        <v>98</v>
      </c>
      <c r="O2216" t="s">
        <v>1345</v>
      </c>
    </row>
    <row r="2217" spans="1:15" x14ac:dyDescent="0.3">
      <c r="A2217" s="130">
        <v>11672</v>
      </c>
      <c r="B2217" s="130">
        <v>28</v>
      </c>
      <c r="C2217" s="130" t="s">
        <v>3841</v>
      </c>
      <c r="D2217">
        <v>17802</v>
      </c>
      <c r="E2217" s="131">
        <v>36417724</v>
      </c>
      <c r="F2217" t="s">
        <v>87</v>
      </c>
      <c r="G2217">
        <v>9135</v>
      </c>
      <c r="H2217" t="s">
        <v>8952</v>
      </c>
      <c r="I2217" s="130">
        <v>37</v>
      </c>
      <c r="J2217" t="s">
        <v>3841</v>
      </c>
      <c r="K2217" t="s">
        <v>95</v>
      </c>
      <c r="L2217" t="s">
        <v>138</v>
      </c>
      <c r="M2217" t="s">
        <v>130</v>
      </c>
      <c r="N2217" t="s">
        <v>150</v>
      </c>
      <c r="O2217" t="s">
        <v>1345</v>
      </c>
    </row>
    <row r="2218" spans="1:15" x14ac:dyDescent="0.3">
      <c r="A2218" s="130">
        <v>11676</v>
      </c>
      <c r="B2218" s="130">
        <v>30</v>
      </c>
      <c r="C2218" s="130" t="s">
        <v>3842</v>
      </c>
      <c r="D2218">
        <v>17811</v>
      </c>
      <c r="E2218" s="130">
        <v>3992929</v>
      </c>
      <c r="F2218" t="s">
        <v>87</v>
      </c>
      <c r="G2218">
        <v>9135</v>
      </c>
      <c r="H2218" t="s">
        <v>8953</v>
      </c>
      <c r="I2218" s="130">
        <v>9</v>
      </c>
      <c r="J2218" t="s">
        <v>3842</v>
      </c>
      <c r="K2218" t="s">
        <v>95</v>
      </c>
      <c r="L2218" t="s">
        <v>125</v>
      </c>
      <c r="M2218" t="s">
        <v>103</v>
      </c>
      <c r="N2218" t="s">
        <v>98</v>
      </c>
      <c r="O2218" t="s">
        <v>1345</v>
      </c>
    </row>
    <row r="2219" spans="1:15" x14ac:dyDescent="0.3">
      <c r="A2219" s="130">
        <v>11688</v>
      </c>
      <c r="B2219" s="130">
        <v>30</v>
      </c>
      <c r="C2219" s="130" t="s">
        <v>3843</v>
      </c>
      <c r="D2219">
        <v>17843</v>
      </c>
      <c r="E2219" s="130">
        <v>21062047</v>
      </c>
      <c r="F2219" t="s">
        <v>87</v>
      </c>
      <c r="G2219">
        <v>9135</v>
      </c>
      <c r="H2219" t="s">
        <v>8951</v>
      </c>
      <c r="I2219" s="130">
        <v>3</v>
      </c>
      <c r="J2219" t="s">
        <v>3843</v>
      </c>
      <c r="K2219" t="s">
        <v>95</v>
      </c>
      <c r="L2219" t="s">
        <v>1293</v>
      </c>
      <c r="M2219" t="s">
        <v>103</v>
      </c>
      <c r="N2219" t="s">
        <v>98</v>
      </c>
      <c r="O2219" t="s">
        <v>116</v>
      </c>
    </row>
    <row r="2220" spans="1:15" x14ac:dyDescent="0.3">
      <c r="A2220" s="130">
        <v>11695</v>
      </c>
      <c r="B2220" s="130">
        <v>60</v>
      </c>
      <c r="C2220" s="130" t="s">
        <v>3844</v>
      </c>
      <c r="D2220">
        <v>17849</v>
      </c>
      <c r="E2220" s="131">
        <v>33592510</v>
      </c>
      <c r="F2220" t="s">
        <v>87</v>
      </c>
      <c r="G2220">
        <v>77</v>
      </c>
      <c r="H2220" t="s">
        <v>8952</v>
      </c>
      <c r="I2220" s="130">
        <v>3</v>
      </c>
      <c r="J2220" t="s">
        <v>3844</v>
      </c>
      <c r="K2220" t="s">
        <v>95</v>
      </c>
      <c r="L2220" t="s">
        <v>117</v>
      </c>
      <c r="M2220" t="s">
        <v>97</v>
      </c>
      <c r="N2220" t="s">
        <v>118</v>
      </c>
      <c r="O2220" t="s">
        <v>116</v>
      </c>
    </row>
    <row r="2221" spans="1:15" x14ac:dyDescent="0.3">
      <c r="A2221" s="130">
        <v>11703</v>
      </c>
      <c r="B2221" s="130">
        <v>0</v>
      </c>
      <c r="C2221" s="130" t="s">
        <v>3845</v>
      </c>
      <c r="D2221">
        <v>17856</v>
      </c>
      <c r="E2221" s="131">
        <v>5351320</v>
      </c>
      <c r="F2221" t="s">
        <v>87</v>
      </c>
      <c r="G2221">
        <v>9135</v>
      </c>
      <c r="H2221" t="s">
        <v>8953</v>
      </c>
      <c r="I2221" s="130">
        <v>26</v>
      </c>
      <c r="J2221" t="s">
        <v>3845</v>
      </c>
      <c r="K2221" t="s">
        <v>108</v>
      </c>
      <c r="L2221" t="s">
        <v>151</v>
      </c>
      <c r="M2221" t="s">
        <v>100</v>
      </c>
      <c r="N2221" t="s">
        <v>98</v>
      </c>
      <c r="O2221" t="s">
        <v>1345</v>
      </c>
    </row>
    <row r="2222" spans="1:15" x14ac:dyDescent="0.3">
      <c r="A2222" s="130">
        <v>11708</v>
      </c>
      <c r="B2222" s="130">
        <v>30</v>
      </c>
      <c r="C2222" s="130" t="s">
        <v>3846</v>
      </c>
      <c r="D2222">
        <v>17865</v>
      </c>
      <c r="E2222" s="130">
        <v>24219445</v>
      </c>
      <c r="F2222" t="s">
        <v>87</v>
      </c>
      <c r="G2222">
        <v>9135</v>
      </c>
      <c r="H2222" t="s">
        <v>8951</v>
      </c>
      <c r="I2222" s="130">
        <v>19</v>
      </c>
      <c r="J2222" t="s">
        <v>3846</v>
      </c>
      <c r="K2222" t="s">
        <v>108</v>
      </c>
      <c r="L2222" t="s">
        <v>146</v>
      </c>
      <c r="M2222" t="s">
        <v>103</v>
      </c>
      <c r="N2222" t="s">
        <v>101</v>
      </c>
      <c r="O2222" t="s">
        <v>1345</v>
      </c>
    </row>
    <row r="2223" spans="1:15" x14ac:dyDescent="0.3">
      <c r="A2223" s="130">
        <v>11714</v>
      </c>
      <c r="B2223" s="130">
        <v>18</v>
      </c>
      <c r="C2223" s="130" t="s">
        <v>3847</v>
      </c>
      <c r="D2223">
        <v>17877</v>
      </c>
      <c r="E2223" s="130">
        <v>29296671</v>
      </c>
      <c r="F2223" t="s">
        <v>87</v>
      </c>
      <c r="G2223">
        <v>9135</v>
      </c>
      <c r="H2223" t="s">
        <v>8952</v>
      </c>
      <c r="I2223" s="130">
        <v>10</v>
      </c>
      <c r="J2223" t="s">
        <v>3847</v>
      </c>
      <c r="K2223" t="s">
        <v>108</v>
      </c>
      <c r="L2223" t="s">
        <v>127</v>
      </c>
      <c r="M2223" t="s">
        <v>112</v>
      </c>
      <c r="N2223" t="s">
        <v>98</v>
      </c>
      <c r="O2223" t="s">
        <v>1345</v>
      </c>
    </row>
    <row r="2224" spans="1:15" x14ac:dyDescent="0.3">
      <c r="A2224" s="130">
        <v>11723</v>
      </c>
      <c r="B2224" s="130">
        <v>18</v>
      </c>
      <c r="C2224" s="130" t="s">
        <v>3848</v>
      </c>
      <c r="D2224">
        <v>17887</v>
      </c>
      <c r="E2224" s="131">
        <v>3617464</v>
      </c>
      <c r="F2224" t="s">
        <v>87</v>
      </c>
      <c r="G2224">
        <v>9135</v>
      </c>
      <c r="H2224" t="s">
        <v>8953</v>
      </c>
      <c r="I2224" s="130">
        <v>26</v>
      </c>
      <c r="J2224" t="s">
        <v>3848</v>
      </c>
      <c r="K2224" t="s">
        <v>108</v>
      </c>
      <c r="L2224" t="s">
        <v>151</v>
      </c>
      <c r="M2224" t="s">
        <v>112</v>
      </c>
      <c r="N2224" t="s">
        <v>101</v>
      </c>
      <c r="O2224" t="s">
        <v>116</v>
      </c>
    </row>
    <row r="2225" spans="1:15" x14ac:dyDescent="0.3">
      <c r="A2225" s="130">
        <v>11724</v>
      </c>
      <c r="B2225" s="130">
        <v>30</v>
      </c>
      <c r="C2225" s="130" t="s">
        <v>3849</v>
      </c>
      <c r="D2225">
        <v>17888</v>
      </c>
      <c r="E2225" s="131">
        <v>23921007</v>
      </c>
      <c r="F2225" t="s">
        <v>87</v>
      </c>
      <c r="G2225">
        <v>9135</v>
      </c>
      <c r="H2225" t="s">
        <v>8951</v>
      </c>
      <c r="I2225" s="131">
        <v>3</v>
      </c>
      <c r="J2225" t="s">
        <v>3849</v>
      </c>
      <c r="K2225" t="s">
        <v>95</v>
      </c>
      <c r="L2225" t="s">
        <v>1293</v>
      </c>
      <c r="M2225" t="s">
        <v>103</v>
      </c>
      <c r="N2225" t="s">
        <v>98</v>
      </c>
      <c r="O2225" t="s">
        <v>1345</v>
      </c>
    </row>
    <row r="2226" spans="1:15" x14ac:dyDescent="0.3">
      <c r="A2226" s="130">
        <v>11734</v>
      </c>
      <c r="B2226" s="130">
        <v>30</v>
      </c>
      <c r="C2226" s="130" t="s">
        <v>3850</v>
      </c>
      <c r="D2226">
        <v>17901</v>
      </c>
      <c r="E2226" s="131">
        <v>3775543</v>
      </c>
      <c r="F2226" t="s">
        <v>87</v>
      </c>
      <c r="G2226">
        <v>9135</v>
      </c>
      <c r="H2226" t="s">
        <v>8952</v>
      </c>
      <c r="I2226" s="131">
        <v>9</v>
      </c>
      <c r="J2226" t="s">
        <v>3850</v>
      </c>
      <c r="K2226" t="s">
        <v>95</v>
      </c>
      <c r="L2226" t="s">
        <v>163</v>
      </c>
      <c r="M2226" t="s">
        <v>103</v>
      </c>
      <c r="N2226" t="s">
        <v>162</v>
      </c>
      <c r="O2226" t="s">
        <v>1345</v>
      </c>
    </row>
    <row r="2227" spans="1:15" x14ac:dyDescent="0.3">
      <c r="A2227" s="130">
        <v>11738</v>
      </c>
      <c r="B2227" s="130">
        <v>30</v>
      </c>
      <c r="C2227" s="130" t="s">
        <v>3851</v>
      </c>
      <c r="D2227">
        <v>17912</v>
      </c>
      <c r="E2227" s="131">
        <v>23921007</v>
      </c>
      <c r="F2227" t="s">
        <v>87</v>
      </c>
      <c r="G2227">
        <v>9135</v>
      </c>
      <c r="H2227" t="s">
        <v>8953</v>
      </c>
      <c r="I2227" s="131">
        <v>3</v>
      </c>
      <c r="J2227" t="s">
        <v>3851</v>
      </c>
      <c r="K2227" t="s">
        <v>95</v>
      </c>
      <c r="L2227" t="s">
        <v>1293</v>
      </c>
      <c r="M2227" t="s">
        <v>103</v>
      </c>
      <c r="N2227" t="s">
        <v>98</v>
      </c>
      <c r="O2227" t="s">
        <v>1345</v>
      </c>
    </row>
    <row r="2228" spans="1:15" x14ac:dyDescent="0.3">
      <c r="A2228" s="130">
        <v>11745</v>
      </c>
      <c r="B2228" s="130">
        <v>10</v>
      </c>
      <c r="C2228" s="130" t="s">
        <v>3852</v>
      </c>
      <c r="D2228">
        <v>17921</v>
      </c>
      <c r="E2228" s="130">
        <v>13791376</v>
      </c>
      <c r="F2228" t="s">
        <v>87</v>
      </c>
      <c r="G2228">
        <v>9135</v>
      </c>
      <c r="H2228" t="s">
        <v>8951</v>
      </c>
      <c r="I2228" s="130">
        <v>24</v>
      </c>
      <c r="J2228" t="s">
        <v>3852</v>
      </c>
      <c r="K2228" t="s">
        <v>108</v>
      </c>
      <c r="L2228" t="s">
        <v>1293</v>
      </c>
      <c r="M2228" t="s">
        <v>133</v>
      </c>
      <c r="N2228" t="s">
        <v>98</v>
      </c>
      <c r="O2228" t="s">
        <v>1345</v>
      </c>
    </row>
    <row r="2229" spans="1:15" x14ac:dyDescent="0.3">
      <c r="A2229" s="130">
        <v>11747</v>
      </c>
      <c r="B2229" s="130">
        <v>35</v>
      </c>
      <c r="C2229" s="130" t="s">
        <v>3853</v>
      </c>
      <c r="D2229">
        <v>17928</v>
      </c>
      <c r="E2229" s="130">
        <v>28492653</v>
      </c>
      <c r="F2229" t="s">
        <v>87</v>
      </c>
      <c r="G2229">
        <v>9135</v>
      </c>
      <c r="H2229" t="s">
        <v>8952</v>
      </c>
      <c r="I2229" s="130">
        <v>43</v>
      </c>
      <c r="J2229" t="s">
        <v>3853</v>
      </c>
      <c r="K2229" t="s">
        <v>108</v>
      </c>
      <c r="L2229" t="s">
        <v>173</v>
      </c>
      <c r="M2229" t="s">
        <v>161</v>
      </c>
      <c r="N2229" t="s">
        <v>98</v>
      </c>
      <c r="O2229" t="s">
        <v>1345</v>
      </c>
    </row>
    <row r="2230" spans="1:15" x14ac:dyDescent="0.3">
      <c r="A2230" s="130">
        <v>11753</v>
      </c>
      <c r="B2230" s="130">
        <v>30</v>
      </c>
      <c r="C2230" s="130" t="s">
        <v>3854</v>
      </c>
      <c r="D2230">
        <v>17940</v>
      </c>
      <c r="E2230" s="130">
        <v>10558895</v>
      </c>
      <c r="F2230" t="s">
        <v>87</v>
      </c>
      <c r="G2230">
        <v>9135</v>
      </c>
      <c r="H2230" t="s">
        <v>8953</v>
      </c>
      <c r="I2230" s="130">
        <v>37</v>
      </c>
      <c r="J2230" t="s">
        <v>3854</v>
      </c>
      <c r="K2230" t="s">
        <v>95</v>
      </c>
      <c r="L2230" t="s">
        <v>138</v>
      </c>
      <c r="M2230" t="s">
        <v>103</v>
      </c>
      <c r="N2230" t="s">
        <v>114</v>
      </c>
      <c r="O2230" t="s">
        <v>1345</v>
      </c>
    </row>
    <row r="2231" spans="1:15" x14ac:dyDescent="0.3">
      <c r="A2231" s="130">
        <v>11755</v>
      </c>
      <c r="B2231" s="130">
        <v>10</v>
      </c>
      <c r="C2231" s="130" t="s">
        <v>3855</v>
      </c>
      <c r="D2231">
        <v>17947</v>
      </c>
      <c r="E2231" s="131">
        <v>33841727</v>
      </c>
      <c r="F2231" t="s">
        <v>87</v>
      </c>
      <c r="G2231">
        <v>9135</v>
      </c>
      <c r="H2231" t="s">
        <v>8951</v>
      </c>
      <c r="I2231" s="131">
        <v>24</v>
      </c>
      <c r="J2231" t="s">
        <v>3855</v>
      </c>
      <c r="K2231" t="s">
        <v>108</v>
      </c>
      <c r="L2231" t="s">
        <v>191</v>
      </c>
      <c r="M2231" t="s">
        <v>133</v>
      </c>
      <c r="N2231" t="s">
        <v>98</v>
      </c>
      <c r="O2231" t="s">
        <v>1345</v>
      </c>
    </row>
    <row r="2232" spans="1:15" x14ac:dyDescent="0.3">
      <c r="A2232" s="130">
        <v>11757</v>
      </c>
      <c r="B2232" s="130">
        <v>30</v>
      </c>
      <c r="C2232" s="130" t="s">
        <v>3856</v>
      </c>
      <c r="D2232">
        <v>17951</v>
      </c>
      <c r="E2232" s="130">
        <v>59918508</v>
      </c>
      <c r="F2232" t="s">
        <v>87</v>
      </c>
      <c r="G2232">
        <v>9135</v>
      </c>
      <c r="H2232" t="s">
        <v>8952</v>
      </c>
      <c r="I2232" s="131">
        <v>18</v>
      </c>
      <c r="J2232" t="s">
        <v>3856</v>
      </c>
      <c r="K2232" t="s">
        <v>108</v>
      </c>
      <c r="L2232" t="s">
        <v>123</v>
      </c>
      <c r="M2232" t="s">
        <v>103</v>
      </c>
      <c r="N2232" t="s">
        <v>98</v>
      </c>
      <c r="O2232" t="s">
        <v>1345</v>
      </c>
    </row>
    <row r="2233" spans="1:15" x14ac:dyDescent="0.3">
      <c r="A2233" s="130">
        <v>11765</v>
      </c>
      <c r="B2233" s="130">
        <v>10</v>
      </c>
      <c r="C2233" s="130" t="s">
        <v>3857</v>
      </c>
      <c r="D2233">
        <v>17964</v>
      </c>
      <c r="E2233" s="131">
        <v>18613254</v>
      </c>
      <c r="F2233" t="s">
        <v>87</v>
      </c>
      <c r="G2233">
        <v>9135</v>
      </c>
      <c r="H2233" t="s">
        <v>8953</v>
      </c>
      <c r="I2233" s="130">
        <v>24</v>
      </c>
      <c r="J2233" t="s">
        <v>3857</v>
      </c>
      <c r="K2233" t="s">
        <v>108</v>
      </c>
      <c r="L2233" t="s">
        <v>191</v>
      </c>
      <c r="M2233" t="s">
        <v>133</v>
      </c>
      <c r="N2233" t="s">
        <v>101</v>
      </c>
      <c r="O2233" t="s">
        <v>116</v>
      </c>
    </row>
    <row r="2234" spans="1:15" x14ac:dyDescent="0.3">
      <c r="A2234" s="130">
        <v>11767</v>
      </c>
      <c r="B2234" s="130">
        <v>90</v>
      </c>
      <c r="C2234" s="130" t="s">
        <v>3858</v>
      </c>
      <c r="D2234">
        <v>17965</v>
      </c>
      <c r="E2234" s="131">
        <v>35234509</v>
      </c>
      <c r="F2234" t="s">
        <v>87</v>
      </c>
      <c r="G2234">
        <v>358</v>
      </c>
      <c r="H2234" t="s">
        <v>8951</v>
      </c>
      <c r="I2234" s="131">
        <v>18</v>
      </c>
      <c r="J2234" t="s">
        <v>3858</v>
      </c>
      <c r="K2234" t="s">
        <v>95</v>
      </c>
      <c r="L2234" t="s">
        <v>102</v>
      </c>
      <c r="M2234" t="s">
        <v>170</v>
      </c>
      <c r="N2234" t="s">
        <v>98</v>
      </c>
      <c r="O2234" t="s">
        <v>116</v>
      </c>
    </row>
    <row r="2235" spans="1:15" x14ac:dyDescent="0.3">
      <c r="A2235" s="130">
        <v>11770</v>
      </c>
      <c r="B2235" s="130">
        <v>30</v>
      </c>
      <c r="C2235" s="130" t="s">
        <v>3859</v>
      </c>
      <c r="D2235">
        <v>17969</v>
      </c>
      <c r="E2235" s="130">
        <v>12537972</v>
      </c>
      <c r="F2235" t="s">
        <v>87</v>
      </c>
      <c r="G2235">
        <v>9135</v>
      </c>
      <c r="H2235" t="s">
        <v>8952</v>
      </c>
      <c r="I2235" s="130">
        <v>26</v>
      </c>
      <c r="J2235" t="s">
        <v>3859</v>
      </c>
      <c r="K2235" t="s">
        <v>108</v>
      </c>
      <c r="L2235" t="s">
        <v>123</v>
      </c>
      <c r="M2235" t="s">
        <v>103</v>
      </c>
      <c r="N2235" t="s">
        <v>98</v>
      </c>
      <c r="O2235" t="s">
        <v>116</v>
      </c>
    </row>
    <row r="2236" spans="1:15" x14ac:dyDescent="0.3">
      <c r="A2236" s="130">
        <v>11775</v>
      </c>
      <c r="B2236" s="130">
        <v>30</v>
      </c>
      <c r="C2236" s="130" t="s">
        <v>3860</v>
      </c>
      <c r="D2236">
        <v>17974</v>
      </c>
      <c r="E2236" s="130">
        <v>43939204</v>
      </c>
      <c r="F2236" t="s">
        <v>87</v>
      </c>
      <c r="G2236">
        <v>9135</v>
      </c>
      <c r="H2236" t="s">
        <v>8953</v>
      </c>
      <c r="I2236" s="130">
        <v>26</v>
      </c>
      <c r="J2236" t="s">
        <v>3860</v>
      </c>
      <c r="K2236" t="s">
        <v>95</v>
      </c>
      <c r="L2236" t="s">
        <v>151</v>
      </c>
      <c r="M2236" t="s">
        <v>103</v>
      </c>
      <c r="N2236" t="s">
        <v>98</v>
      </c>
      <c r="O2236" t="s">
        <v>116</v>
      </c>
    </row>
    <row r="2237" spans="1:15" x14ac:dyDescent="0.3">
      <c r="A2237" s="130">
        <v>11782</v>
      </c>
      <c r="B2237" s="130">
        <v>30</v>
      </c>
      <c r="C2237" s="130" t="s">
        <v>3861</v>
      </c>
      <c r="D2237">
        <v>17986</v>
      </c>
      <c r="E2237" s="130">
        <v>20346524</v>
      </c>
      <c r="F2237" t="s">
        <v>87</v>
      </c>
      <c r="G2237">
        <v>77</v>
      </c>
      <c r="H2237" t="s">
        <v>8951</v>
      </c>
      <c r="I2237" s="131">
        <v>3</v>
      </c>
      <c r="J2237" t="s">
        <v>3861</v>
      </c>
      <c r="K2237" t="s">
        <v>95</v>
      </c>
      <c r="L2237" t="s">
        <v>117</v>
      </c>
      <c r="M2237" t="s">
        <v>103</v>
      </c>
      <c r="N2237" t="s">
        <v>118</v>
      </c>
      <c r="O2237" t="s">
        <v>116</v>
      </c>
    </row>
    <row r="2238" spans="1:15" x14ac:dyDescent="0.3">
      <c r="A2238" s="130">
        <v>11784</v>
      </c>
      <c r="B2238" s="130">
        <v>60</v>
      </c>
      <c r="C2238" s="130" t="s">
        <v>3862</v>
      </c>
      <c r="D2238">
        <v>17987</v>
      </c>
      <c r="E2238" s="131">
        <v>23347255</v>
      </c>
      <c r="F2238" t="s">
        <v>87</v>
      </c>
      <c r="G2238">
        <v>9135</v>
      </c>
      <c r="H2238" t="s">
        <v>8952</v>
      </c>
      <c r="I2238" s="131">
        <v>3</v>
      </c>
      <c r="J2238" t="s">
        <v>3862</v>
      </c>
      <c r="K2238" t="s">
        <v>95</v>
      </c>
      <c r="L2238" t="s">
        <v>1293</v>
      </c>
      <c r="M2238" t="s">
        <v>97</v>
      </c>
      <c r="N2238" t="s">
        <v>98</v>
      </c>
      <c r="O2238" t="s">
        <v>1345</v>
      </c>
    </row>
    <row r="2239" spans="1:15" x14ac:dyDescent="0.3">
      <c r="A2239" s="130">
        <v>11797</v>
      </c>
      <c r="B2239" s="130">
        <v>20</v>
      </c>
      <c r="C2239" s="130" t="s">
        <v>3863</v>
      </c>
      <c r="D2239">
        <v>18006</v>
      </c>
      <c r="E2239" s="130">
        <v>10228340</v>
      </c>
      <c r="F2239" t="s">
        <v>87</v>
      </c>
      <c r="G2239">
        <v>358</v>
      </c>
      <c r="H2239" t="s">
        <v>8953</v>
      </c>
      <c r="I2239" s="131">
        <v>18</v>
      </c>
      <c r="J2239" t="s">
        <v>3863</v>
      </c>
      <c r="K2239" t="s">
        <v>95</v>
      </c>
      <c r="L2239" t="s">
        <v>144</v>
      </c>
      <c r="M2239" t="s">
        <v>148</v>
      </c>
      <c r="N2239" t="s">
        <v>118</v>
      </c>
      <c r="O2239" t="s">
        <v>116</v>
      </c>
    </row>
    <row r="2240" spans="1:15" x14ac:dyDescent="0.3">
      <c r="A2240" s="130">
        <v>11800</v>
      </c>
      <c r="B2240" s="130">
        <v>30</v>
      </c>
      <c r="C2240" s="130" t="s">
        <v>3864</v>
      </c>
      <c r="D2240">
        <v>18009</v>
      </c>
      <c r="E2240" s="131">
        <v>13791376</v>
      </c>
      <c r="F2240" t="s">
        <v>87</v>
      </c>
      <c r="G2240">
        <v>9135</v>
      </c>
      <c r="H2240" t="s">
        <v>8951</v>
      </c>
      <c r="I2240" s="131">
        <v>24</v>
      </c>
      <c r="J2240" t="s">
        <v>3864</v>
      </c>
      <c r="K2240" t="s">
        <v>108</v>
      </c>
      <c r="L2240" t="s">
        <v>191</v>
      </c>
      <c r="M2240" t="s">
        <v>103</v>
      </c>
      <c r="N2240" t="s">
        <v>98</v>
      </c>
      <c r="O2240" t="s">
        <v>1345</v>
      </c>
    </row>
    <row r="2241" spans="1:15" x14ac:dyDescent="0.3">
      <c r="A2241" s="130">
        <v>11807</v>
      </c>
      <c r="B2241" s="130">
        <v>30</v>
      </c>
      <c r="C2241" s="130" t="s">
        <v>3865</v>
      </c>
      <c r="D2241">
        <v>18019</v>
      </c>
      <c r="E2241" s="130">
        <v>3364572</v>
      </c>
      <c r="F2241" t="s">
        <v>87</v>
      </c>
      <c r="G2241">
        <v>9135</v>
      </c>
      <c r="H2241" t="s">
        <v>8952</v>
      </c>
      <c r="I2241" s="130">
        <v>18</v>
      </c>
      <c r="J2241" t="s">
        <v>3865</v>
      </c>
      <c r="K2241" t="s">
        <v>108</v>
      </c>
      <c r="L2241" t="s">
        <v>153</v>
      </c>
      <c r="M2241" t="s">
        <v>103</v>
      </c>
      <c r="N2241" t="s">
        <v>98</v>
      </c>
      <c r="O2241" t="s">
        <v>1256</v>
      </c>
    </row>
    <row r="2242" spans="1:15" x14ac:dyDescent="0.3">
      <c r="A2242" s="130">
        <v>11811</v>
      </c>
      <c r="B2242" s="130">
        <v>30</v>
      </c>
      <c r="C2242" s="130" t="s">
        <v>3866</v>
      </c>
      <c r="D2242">
        <v>18022</v>
      </c>
      <c r="E2242" s="130">
        <v>40834342</v>
      </c>
      <c r="F2242" t="s">
        <v>87</v>
      </c>
      <c r="G2242">
        <v>9135</v>
      </c>
      <c r="H2242" t="s">
        <v>8953</v>
      </c>
      <c r="I2242" s="131">
        <v>18</v>
      </c>
      <c r="J2242" t="s">
        <v>3866</v>
      </c>
      <c r="K2242" t="s">
        <v>95</v>
      </c>
      <c r="L2242" t="s">
        <v>123</v>
      </c>
      <c r="M2242" t="s">
        <v>103</v>
      </c>
      <c r="N2242" t="s">
        <v>98</v>
      </c>
      <c r="O2242" t="s">
        <v>1345</v>
      </c>
    </row>
    <row r="2243" spans="1:15" x14ac:dyDescent="0.3">
      <c r="A2243" s="130">
        <v>11814</v>
      </c>
      <c r="B2243" s="130">
        <v>30</v>
      </c>
      <c r="C2243" s="130" t="s">
        <v>3867</v>
      </c>
      <c r="D2243">
        <v>18026</v>
      </c>
      <c r="E2243" s="131">
        <v>17193590</v>
      </c>
      <c r="F2243" t="s">
        <v>87</v>
      </c>
      <c r="G2243">
        <v>358</v>
      </c>
      <c r="H2243" t="s">
        <v>8951</v>
      </c>
      <c r="I2243" s="130">
        <v>18</v>
      </c>
      <c r="J2243" t="s">
        <v>3867</v>
      </c>
      <c r="K2243" t="s">
        <v>95</v>
      </c>
      <c r="L2243" t="s">
        <v>144</v>
      </c>
      <c r="M2243" t="s">
        <v>103</v>
      </c>
      <c r="N2243" t="s">
        <v>98</v>
      </c>
      <c r="O2243" t="s">
        <v>1345</v>
      </c>
    </row>
    <row r="2244" spans="1:15" x14ac:dyDescent="0.3">
      <c r="A2244" s="130">
        <v>11829</v>
      </c>
      <c r="B2244" s="130">
        <v>30</v>
      </c>
      <c r="C2244" s="130" t="s">
        <v>3868</v>
      </c>
      <c r="D2244">
        <v>17954</v>
      </c>
      <c r="E2244" s="130">
        <v>28763819</v>
      </c>
      <c r="F2244" t="s">
        <v>87</v>
      </c>
      <c r="G2244">
        <v>77</v>
      </c>
      <c r="H2244" t="s">
        <v>8952</v>
      </c>
      <c r="I2244" s="130">
        <v>43</v>
      </c>
      <c r="J2244" t="s">
        <v>3868</v>
      </c>
      <c r="K2244" t="s">
        <v>108</v>
      </c>
      <c r="L2244" t="s">
        <v>235</v>
      </c>
      <c r="M2244" t="s">
        <v>103</v>
      </c>
      <c r="N2244" t="s">
        <v>118</v>
      </c>
      <c r="O2244" t="s">
        <v>116</v>
      </c>
    </row>
    <row r="2245" spans="1:15" x14ac:dyDescent="0.3">
      <c r="A2245" s="130">
        <v>11831</v>
      </c>
      <c r="B2245" s="130">
        <v>60</v>
      </c>
      <c r="C2245" s="130" t="s">
        <v>3869</v>
      </c>
      <c r="D2245">
        <v>18046</v>
      </c>
      <c r="E2245" s="130">
        <v>17185786</v>
      </c>
      <c r="F2245" t="s">
        <v>87</v>
      </c>
      <c r="G2245">
        <v>358</v>
      </c>
      <c r="H2245" t="s">
        <v>8953</v>
      </c>
      <c r="I2245" s="130">
        <v>10</v>
      </c>
      <c r="J2245" t="s">
        <v>3869</v>
      </c>
      <c r="K2245" t="s">
        <v>95</v>
      </c>
      <c r="L2245" t="s">
        <v>105</v>
      </c>
      <c r="M2245" t="s">
        <v>97</v>
      </c>
      <c r="N2245" t="s">
        <v>98</v>
      </c>
      <c r="O2245" t="s">
        <v>1345</v>
      </c>
    </row>
    <row r="2246" spans="1:15" x14ac:dyDescent="0.3">
      <c r="A2246" s="130">
        <v>11834</v>
      </c>
      <c r="B2246" s="130">
        <v>10</v>
      </c>
      <c r="C2246" s="130" t="s">
        <v>3870</v>
      </c>
      <c r="D2246">
        <v>18049</v>
      </c>
      <c r="E2246" s="130">
        <v>29194668</v>
      </c>
      <c r="F2246" t="s">
        <v>87</v>
      </c>
      <c r="G2246">
        <v>9135</v>
      </c>
      <c r="H2246" t="s">
        <v>8951</v>
      </c>
      <c r="I2246" s="130">
        <v>24</v>
      </c>
      <c r="J2246" t="s">
        <v>3870</v>
      </c>
      <c r="K2246" t="s">
        <v>108</v>
      </c>
      <c r="L2246" t="s">
        <v>191</v>
      </c>
      <c r="M2246" t="s">
        <v>133</v>
      </c>
      <c r="N2246" t="s">
        <v>124</v>
      </c>
      <c r="O2246" t="s">
        <v>116</v>
      </c>
    </row>
    <row r="2247" spans="1:15" x14ac:dyDescent="0.3">
      <c r="A2247" s="130">
        <v>11839</v>
      </c>
      <c r="B2247" s="130">
        <v>18</v>
      </c>
      <c r="C2247" s="130" t="s">
        <v>3871</v>
      </c>
      <c r="D2247">
        <v>18057</v>
      </c>
      <c r="E2247" s="130">
        <v>8807683</v>
      </c>
      <c r="F2247" t="s">
        <v>87</v>
      </c>
      <c r="G2247">
        <v>9135</v>
      </c>
      <c r="H2247" t="s">
        <v>8952</v>
      </c>
      <c r="I2247" s="131">
        <v>26</v>
      </c>
      <c r="J2247" t="s">
        <v>3871</v>
      </c>
      <c r="K2247" t="s">
        <v>95</v>
      </c>
      <c r="L2247" t="s">
        <v>151</v>
      </c>
      <c r="M2247" t="s">
        <v>112</v>
      </c>
      <c r="N2247" t="s">
        <v>118</v>
      </c>
      <c r="O2247" t="s">
        <v>1345</v>
      </c>
    </row>
    <row r="2248" spans="1:15" x14ac:dyDescent="0.3">
      <c r="A2248" s="130">
        <v>11866</v>
      </c>
      <c r="B2248" s="130">
        <v>30</v>
      </c>
      <c r="C2248" s="130" t="s">
        <v>3872</v>
      </c>
      <c r="D2248">
        <v>17806</v>
      </c>
      <c r="E2248" s="130">
        <v>7959171</v>
      </c>
      <c r="F2248" t="s">
        <v>87</v>
      </c>
      <c r="G2248">
        <v>9135</v>
      </c>
      <c r="H2248" t="s">
        <v>8953</v>
      </c>
      <c r="I2248" s="131">
        <v>24</v>
      </c>
      <c r="J2248" t="s">
        <v>3872</v>
      </c>
      <c r="K2248" t="s">
        <v>95</v>
      </c>
      <c r="L2248" t="s">
        <v>191</v>
      </c>
      <c r="M2248" t="s">
        <v>103</v>
      </c>
      <c r="N2248" t="s">
        <v>98</v>
      </c>
      <c r="O2248" t="s">
        <v>1345</v>
      </c>
    </row>
    <row r="2249" spans="1:15" x14ac:dyDescent="0.3">
      <c r="A2249" s="130">
        <v>11890</v>
      </c>
      <c r="B2249" s="130">
        <v>30</v>
      </c>
      <c r="C2249" s="130" t="s">
        <v>3873</v>
      </c>
      <c r="D2249">
        <v>18112</v>
      </c>
      <c r="E2249" s="131">
        <v>33000167</v>
      </c>
      <c r="F2249" t="s">
        <v>87</v>
      </c>
      <c r="G2249">
        <v>358</v>
      </c>
      <c r="H2249" t="s">
        <v>8951</v>
      </c>
      <c r="I2249" s="131">
        <v>24</v>
      </c>
      <c r="J2249" t="s">
        <v>3873</v>
      </c>
      <c r="K2249" t="s">
        <v>95</v>
      </c>
      <c r="L2249" t="s">
        <v>102</v>
      </c>
      <c r="M2249" t="s">
        <v>103</v>
      </c>
      <c r="N2249" t="s">
        <v>98</v>
      </c>
      <c r="O2249" t="s">
        <v>1345</v>
      </c>
    </row>
    <row r="2250" spans="1:15" x14ac:dyDescent="0.3">
      <c r="A2250" s="130">
        <v>11902</v>
      </c>
      <c r="B2250" s="130">
        <v>30</v>
      </c>
      <c r="C2250" s="130" t="s">
        <v>3874</v>
      </c>
      <c r="D2250">
        <v>18127</v>
      </c>
      <c r="E2250" s="130">
        <v>3514701</v>
      </c>
      <c r="F2250" t="s">
        <v>87</v>
      </c>
      <c r="G2250">
        <v>9135</v>
      </c>
      <c r="H2250" t="s">
        <v>8952</v>
      </c>
      <c r="I2250" s="131">
        <v>19</v>
      </c>
      <c r="J2250" t="s">
        <v>3874</v>
      </c>
      <c r="K2250" t="s">
        <v>108</v>
      </c>
      <c r="L2250" t="s">
        <v>146</v>
      </c>
      <c r="M2250" t="s">
        <v>103</v>
      </c>
      <c r="N2250" t="s">
        <v>124</v>
      </c>
      <c r="O2250" t="s">
        <v>1345</v>
      </c>
    </row>
    <row r="2251" spans="1:15" x14ac:dyDescent="0.3">
      <c r="A2251" s="130">
        <v>11910</v>
      </c>
      <c r="B2251" s="130">
        <v>-1</v>
      </c>
      <c r="C2251" s="130" t="s">
        <v>3875</v>
      </c>
      <c r="D2251">
        <v>18140</v>
      </c>
      <c r="E2251" s="130">
        <v>33886848</v>
      </c>
      <c r="F2251" t="s">
        <v>87</v>
      </c>
      <c r="G2251">
        <v>9135</v>
      </c>
      <c r="H2251" t="s">
        <v>8953</v>
      </c>
      <c r="I2251" s="130">
        <v>37</v>
      </c>
      <c r="J2251" t="s">
        <v>3875</v>
      </c>
      <c r="K2251" t="s">
        <v>95</v>
      </c>
      <c r="L2251" t="s">
        <v>138</v>
      </c>
      <c r="M2251" t="s">
        <v>174</v>
      </c>
      <c r="N2251" t="s">
        <v>150</v>
      </c>
      <c r="O2251" t="s">
        <v>1345</v>
      </c>
    </row>
    <row r="2252" spans="1:15" x14ac:dyDescent="0.3">
      <c r="A2252" s="130">
        <v>11918</v>
      </c>
      <c r="B2252" s="130">
        <v>30</v>
      </c>
      <c r="C2252" s="130" t="s">
        <v>3876</v>
      </c>
      <c r="D2252">
        <v>18155</v>
      </c>
      <c r="E2252" s="131">
        <v>47974920</v>
      </c>
      <c r="F2252" t="s">
        <v>87</v>
      </c>
      <c r="G2252">
        <v>9135</v>
      </c>
      <c r="H2252" t="s">
        <v>8951</v>
      </c>
      <c r="I2252" s="131">
        <v>10</v>
      </c>
      <c r="J2252" t="s">
        <v>3876</v>
      </c>
      <c r="K2252" t="s">
        <v>95</v>
      </c>
      <c r="L2252" t="s">
        <v>127</v>
      </c>
      <c r="M2252" t="s">
        <v>103</v>
      </c>
      <c r="N2252" t="s">
        <v>118</v>
      </c>
      <c r="O2252" t="s">
        <v>116</v>
      </c>
    </row>
    <row r="2253" spans="1:15" x14ac:dyDescent="0.3">
      <c r="A2253" s="130">
        <v>11921</v>
      </c>
      <c r="B2253" s="130">
        <v>28</v>
      </c>
      <c r="C2253" s="130" t="s">
        <v>3877</v>
      </c>
      <c r="D2253">
        <v>18159</v>
      </c>
      <c r="E2253" s="130">
        <v>24059434</v>
      </c>
      <c r="F2253" t="s">
        <v>87</v>
      </c>
      <c r="G2253">
        <v>9135</v>
      </c>
      <c r="H2253" t="s">
        <v>8952</v>
      </c>
      <c r="I2253" s="131">
        <v>3</v>
      </c>
      <c r="J2253" t="s">
        <v>3877</v>
      </c>
      <c r="K2253" t="s">
        <v>108</v>
      </c>
      <c r="L2253" t="s">
        <v>111</v>
      </c>
      <c r="M2253" t="s">
        <v>130</v>
      </c>
      <c r="N2253" t="s">
        <v>98</v>
      </c>
      <c r="O2253" t="s">
        <v>1345</v>
      </c>
    </row>
    <row r="2254" spans="1:15" x14ac:dyDescent="0.3">
      <c r="A2254" s="130">
        <v>11924</v>
      </c>
      <c r="B2254" s="130">
        <v>30</v>
      </c>
      <c r="C2254" s="130" t="s">
        <v>3878</v>
      </c>
      <c r="D2254">
        <v>18163</v>
      </c>
      <c r="E2254" s="130">
        <v>83646547</v>
      </c>
      <c r="F2254" t="s">
        <v>87</v>
      </c>
      <c r="G2254">
        <v>358</v>
      </c>
      <c r="H2254" t="s">
        <v>8953</v>
      </c>
      <c r="I2254" s="130">
        <v>10</v>
      </c>
      <c r="J2254" t="s">
        <v>3878</v>
      </c>
      <c r="K2254" t="s">
        <v>95</v>
      </c>
      <c r="L2254" t="s">
        <v>105</v>
      </c>
      <c r="M2254" t="s">
        <v>103</v>
      </c>
      <c r="N2254" t="s">
        <v>98</v>
      </c>
      <c r="O2254" t="s">
        <v>1345</v>
      </c>
    </row>
    <row r="2255" spans="1:15" x14ac:dyDescent="0.3">
      <c r="A2255" s="130">
        <v>11928</v>
      </c>
      <c r="B2255" s="130">
        <v>30</v>
      </c>
      <c r="C2255" s="130" t="s">
        <v>3879</v>
      </c>
      <c r="D2255">
        <v>18171</v>
      </c>
      <c r="E2255" s="131">
        <v>71011860</v>
      </c>
      <c r="F2255" t="s">
        <v>87</v>
      </c>
      <c r="G2255">
        <v>9135</v>
      </c>
      <c r="H2255" t="s">
        <v>8951</v>
      </c>
      <c r="I2255" s="130">
        <v>3</v>
      </c>
      <c r="J2255" t="s">
        <v>3879</v>
      </c>
      <c r="K2255" t="s">
        <v>108</v>
      </c>
      <c r="L2255" t="s">
        <v>111</v>
      </c>
      <c r="M2255" t="s">
        <v>103</v>
      </c>
      <c r="N2255" t="s">
        <v>98</v>
      </c>
      <c r="O2255" t="s">
        <v>116</v>
      </c>
    </row>
    <row r="2256" spans="1:15" x14ac:dyDescent="0.3">
      <c r="A2256" s="130">
        <v>11934</v>
      </c>
      <c r="B2256" s="130">
        <v>18</v>
      </c>
      <c r="C2256" s="130" t="s">
        <v>3880</v>
      </c>
      <c r="D2256">
        <v>18179</v>
      </c>
      <c r="E2256" s="131">
        <v>57991606</v>
      </c>
      <c r="F2256" t="s">
        <v>87</v>
      </c>
      <c r="G2256">
        <v>9135</v>
      </c>
      <c r="H2256" t="s">
        <v>8952</v>
      </c>
      <c r="I2256" s="130">
        <v>37</v>
      </c>
      <c r="J2256" t="s">
        <v>3880</v>
      </c>
      <c r="K2256" t="s">
        <v>95</v>
      </c>
      <c r="L2256" t="s">
        <v>138</v>
      </c>
      <c r="M2256" t="s">
        <v>112</v>
      </c>
      <c r="N2256" t="s">
        <v>150</v>
      </c>
      <c r="O2256" t="s">
        <v>1345</v>
      </c>
    </row>
    <row r="2257" spans="1:15" x14ac:dyDescent="0.3">
      <c r="A2257" s="130">
        <v>11940</v>
      </c>
      <c r="B2257" s="130">
        <v>30</v>
      </c>
      <c r="C2257" s="130" t="s">
        <v>3881</v>
      </c>
      <c r="D2257">
        <v>18185</v>
      </c>
      <c r="E2257" s="130">
        <v>73454788820</v>
      </c>
      <c r="F2257" t="s">
        <v>87</v>
      </c>
      <c r="G2257">
        <v>9135</v>
      </c>
      <c r="H2257" t="s">
        <v>8953</v>
      </c>
      <c r="I2257" s="130">
        <v>38</v>
      </c>
      <c r="J2257" t="s">
        <v>3881</v>
      </c>
      <c r="K2257" t="s">
        <v>108</v>
      </c>
      <c r="L2257" t="s">
        <v>126</v>
      </c>
      <c r="M2257" t="s">
        <v>103</v>
      </c>
      <c r="N2257" t="s">
        <v>141</v>
      </c>
      <c r="O2257" t="s">
        <v>116</v>
      </c>
    </row>
    <row r="2258" spans="1:15" x14ac:dyDescent="0.3">
      <c r="A2258" s="130">
        <v>11944</v>
      </c>
      <c r="B2258" s="130">
        <v>30</v>
      </c>
      <c r="C2258" s="130" t="s">
        <v>3882</v>
      </c>
      <c r="D2258">
        <v>18165</v>
      </c>
      <c r="E2258" s="130">
        <v>77167203</v>
      </c>
      <c r="F2258" t="s">
        <v>87</v>
      </c>
      <c r="G2258">
        <v>358</v>
      </c>
      <c r="H2258" t="s">
        <v>8951</v>
      </c>
      <c r="I2258" s="130">
        <v>43</v>
      </c>
      <c r="J2258" t="s">
        <v>3882</v>
      </c>
      <c r="K2258" t="s">
        <v>108</v>
      </c>
      <c r="L2258" t="s">
        <v>1241</v>
      </c>
      <c r="M2258" t="s">
        <v>103</v>
      </c>
      <c r="N2258" t="s">
        <v>98</v>
      </c>
      <c r="O2258" t="s">
        <v>1256</v>
      </c>
    </row>
    <row r="2259" spans="1:15" x14ac:dyDescent="0.3">
      <c r="A2259" s="130">
        <v>11949</v>
      </c>
      <c r="B2259" s="130">
        <v>45</v>
      </c>
      <c r="C2259" s="130" t="s">
        <v>3883</v>
      </c>
      <c r="D2259">
        <v>18200</v>
      </c>
      <c r="E2259" s="130">
        <v>8689024</v>
      </c>
      <c r="F2259" t="s">
        <v>87</v>
      </c>
      <c r="G2259">
        <v>77</v>
      </c>
      <c r="H2259" t="s">
        <v>8952</v>
      </c>
      <c r="I2259" s="130">
        <v>3</v>
      </c>
      <c r="J2259" t="s">
        <v>3883</v>
      </c>
      <c r="K2259" t="s">
        <v>95</v>
      </c>
      <c r="L2259" t="s">
        <v>117</v>
      </c>
      <c r="M2259" t="s">
        <v>106</v>
      </c>
      <c r="N2259" t="s">
        <v>118</v>
      </c>
      <c r="O2259" t="s">
        <v>116</v>
      </c>
    </row>
    <row r="2260" spans="1:15" x14ac:dyDescent="0.3">
      <c r="A2260" s="130">
        <v>11952</v>
      </c>
      <c r="B2260" s="130">
        <v>30</v>
      </c>
      <c r="C2260" s="130" t="s">
        <v>3884</v>
      </c>
      <c r="D2260">
        <v>18183</v>
      </c>
      <c r="E2260" s="130">
        <v>32142695</v>
      </c>
      <c r="F2260" t="s">
        <v>87</v>
      </c>
      <c r="G2260">
        <v>358</v>
      </c>
      <c r="H2260" t="s">
        <v>8953</v>
      </c>
      <c r="I2260" s="130">
        <v>43</v>
      </c>
      <c r="J2260" t="s">
        <v>3884</v>
      </c>
      <c r="K2260" t="s">
        <v>108</v>
      </c>
      <c r="L2260" t="s">
        <v>1241</v>
      </c>
      <c r="M2260" t="s">
        <v>103</v>
      </c>
      <c r="N2260" t="s">
        <v>98</v>
      </c>
      <c r="O2260" t="s">
        <v>1345</v>
      </c>
    </row>
    <row r="2261" spans="1:15" x14ac:dyDescent="0.3">
      <c r="A2261" s="130">
        <v>11969</v>
      </c>
      <c r="B2261" s="130">
        <v>30</v>
      </c>
      <c r="C2261" s="130" t="s">
        <v>3885</v>
      </c>
      <c r="D2261">
        <v>18221</v>
      </c>
      <c r="E2261" s="130">
        <v>17164435</v>
      </c>
      <c r="F2261" t="s">
        <v>87</v>
      </c>
      <c r="G2261">
        <v>9135</v>
      </c>
      <c r="H2261" t="s">
        <v>8951</v>
      </c>
      <c r="I2261" s="131">
        <v>24</v>
      </c>
      <c r="J2261" t="s">
        <v>3885</v>
      </c>
      <c r="K2261" t="s">
        <v>95</v>
      </c>
      <c r="L2261" t="s">
        <v>1248</v>
      </c>
      <c r="M2261" t="s">
        <v>103</v>
      </c>
      <c r="N2261" t="s">
        <v>98</v>
      </c>
      <c r="O2261" t="s">
        <v>1256</v>
      </c>
    </row>
    <row r="2262" spans="1:15" x14ac:dyDescent="0.3">
      <c r="A2262" s="130">
        <v>11976</v>
      </c>
      <c r="B2262" s="130">
        <v>18</v>
      </c>
      <c r="C2262" s="130" t="s">
        <v>3886</v>
      </c>
      <c r="D2262">
        <v>18235</v>
      </c>
      <c r="E2262" s="130">
        <v>35196395</v>
      </c>
      <c r="F2262" t="s">
        <v>87</v>
      </c>
      <c r="G2262">
        <v>9135</v>
      </c>
      <c r="H2262" t="s">
        <v>8952</v>
      </c>
      <c r="I2262" s="130">
        <v>26</v>
      </c>
      <c r="J2262" t="s">
        <v>3886</v>
      </c>
      <c r="K2262" t="s">
        <v>108</v>
      </c>
      <c r="L2262" t="s">
        <v>151</v>
      </c>
      <c r="M2262" t="s">
        <v>112</v>
      </c>
      <c r="N2262" t="s">
        <v>114</v>
      </c>
      <c r="O2262" t="s">
        <v>1345</v>
      </c>
    </row>
    <row r="2263" spans="1:15" x14ac:dyDescent="0.3">
      <c r="A2263" s="130">
        <v>11978</v>
      </c>
      <c r="B2263" s="130">
        <v>30</v>
      </c>
      <c r="C2263" s="130" t="s">
        <v>3887</v>
      </c>
      <c r="D2263">
        <v>18236</v>
      </c>
      <c r="E2263" s="131">
        <v>33554697</v>
      </c>
      <c r="F2263" t="s">
        <v>87</v>
      </c>
      <c r="G2263">
        <v>9135</v>
      </c>
      <c r="H2263" t="s">
        <v>8953</v>
      </c>
      <c r="I2263" s="130">
        <v>37</v>
      </c>
      <c r="J2263" t="s">
        <v>3887</v>
      </c>
      <c r="K2263" t="s">
        <v>95</v>
      </c>
      <c r="L2263" t="s">
        <v>138</v>
      </c>
      <c r="M2263" t="s">
        <v>103</v>
      </c>
      <c r="N2263" t="s">
        <v>124</v>
      </c>
      <c r="O2263" t="s">
        <v>1345</v>
      </c>
    </row>
    <row r="2264" spans="1:15" x14ac:dyDescent="0.3">
      <c r="A2264" s="130">
        <v>11985</v>
      </c>
      <c r="B2264" s="130">
        <v>30</v>
      </c>
      <c r="C2264" s="130" t="s">
        <v>3888</v>
      </c>
      <c r="D2264">
        <v>18253</v>
      </c>
      <c r="E2264" s="130">
        <v>20098146</v>
      </c>
      <c r="F2264" t="s">
        <v>87</v>
      </c>
      <c r="G2264">
        <v>9135</v>
      </c>
      <c r="H2264" t="s">
        <v>8951</v>
      </c>
      <c r="I2264" s="131">
        <v>18</v>
      </c>
      <c r="J2264" t="s">
        <v>3888</v>
      </c>
      <c r="K2264" t="s">
        <v>108</v>
      </c>
      <c r="L2264" t="s">
        <v>111</v>
      </c>
      <c r="M2264" t="s">
        <v>103</v>
      </c>
      <c r="N2264" t="s">
        <v>98</v>
      </c>
      <c r="O2264" t="s">
        <v>116</v>
      </c>
    </row>
    <row r="2265" spans="1:15" x14ac:dyDescent="0.3">
      <c r="A2265" s="130">
        <v>11987</v>
      </c>
      <c r="B2265" s="130">
        <v>30</v>
      </c>
      <c r="C2265" s="130" t="s">
        <v>3889</v>
      </c>
      <c r="D2265">
        <v>18257</v>
      </c>
      <c r="E2265" s="130">
        <v>4062730</v>
      </c>
      <c r="F2265" t="s">
        <v>87</v>
      </c>
      <c r="G2265">
        <v>9135</v>
      </c>
      <c r="H2265" t="s">
        <v>8952</v>
      </c>
      <c r="I2265" s="131">
        <v>38</v>
      </c>
      <c r="J2265" t="s">
        <v>3889</v>
      </c>
      <c r="K2265" t="s">
        <v>108</v>
      </c>
      <c r="L2265" t="s">
        <v>126</v>
      </c>
      <c r="M2265" t="s">
        <v>103</v>
      </c>
      <c r="N2265" t="s">
        <v>98</v>
      </c>
      <c r="O2265" t="s">
        <v>1345</v>
      </c>
    </row>
    <row r="2266" spans="1:15" x14ac:dyDescent="0.3">
      <c r="A2266" s="130">
        <v>11988</v>
      </c>
      <c r="B2266" s="130">
        <v>18</v>
      </c>
      <c r="C2266" s="130" t="s">
        <v>3890</v>
      </c>
      <c r="D2266">
        <v>18248</v>
      </c>
      <c r="E2266" s="130">
        <v>13187155</v>
      </c>
      <c r="F2266" t="s">
        <v>87</v>
      </c>
      <c r="G2266">
        <v>358</v>
      </c>
      <c r="H2266" t="s">
        <v>8953</v>
      </c>
      <c r="I2266" s="131">
        <v>10</v>
      </c>
      <c r="J2266" t="s">
        <v>3890</v>
      </c>
      <c r="K2266" t="s">
        <v>95</v>
      </c>
      <c r="L2266" t="s">
        <v>105</v>
      </c>
      <c r="M2266" t="s">
        <v>112</v>
      </c>
      <c r="N2266" t="s">
        <v>141</v>
      </c>
      <c r="O2266" t="s">
        <v>116</v>
      </c>
    </row>
    <row r="2267" spans="1:15" x14ac:dyDescent="0.3">
      <c r="A2267" s="130">
        <v>11990</v>
      </c>
      <c r="B2267" s="130">
        <v>30</v>
      </c>
      <c r="C2267" s="130" t="s">
        <v>3891</v>
      </c>
      <c r="D2267">
        <v>18261</v>
      </c>
      <c r="E2267" s="131">
        <v>21062047</v>
      </c>
      <c r="F2267" t="s">
        <v>87</v>
      </c>
      <c r="G2267">
        <v>9135</v>
      </c>
      <c r="H2267" t="s">
        <v>8951</v>
      </c>
      <c r="I2267" s="130">
        <v>3</v>
      </c>
      <c r="J2267" t="s">
        <v>3891</v>
      </c>
      <c r="K2267" t="s">
        <v>95</v>
      </c>
      <c r="L2267" t="s">
        <v>111</v>
      </c>
      <c r="M2267" t="s">
        <v>103</v>
      </c>
      <c r="N2267" t="s">
        <v>98</v>
      </c>
      <c r="O2267" t="s">
        <v>116</v>
      </c>
    </row>
    <row r="2268" spans="1:15" x14ac:dyDescent="0.3">
      <c r="A2268" s="130">
        <v>11993</v>
      </c>
      <c r="B2268" s="130">
        <v>90</v>
      </c>
      <c r="C2268" s="130" t="s">
        <v>3892</v>
      </c>
      <c r="D2268">
        <v>18265</v>
      </c>
      <c r="E2268" s="131">
        <v>655209</v>
      </c>
      <c r="F2268" t="s">
        <v>87</v>
      </c>
      <c r="G2268">
        <v>9135</v>
      </c>
      <c r="H2268" t="s">
        <v>8952</v>
      </c>
      <c r="I2268" s="130">
        <v>9</v>
      </c>
      <c r="J2268" t="s">
        <v>3892</v>
      </c>
      <c r="K2268" t="s">
        <v>95</v>
      </c>
      <c r="L2268" t="s">
        <v>163</v>
      </c>
      <c r="M2268" t="s">
        <v>170</v>
      </c>
      <c r="N2268" t="s">
        <v>118</v>
      </c>
      <c r="O2268" t="s">
        <v>116</v>
      </c>
    </row>
    <row r="2269" spans="1:15" x14ac:dyDescent="0.3">
      <c r="A2269" s="130">
        <v>11994</v>
      </c>
      <c r="B2269" s="130">
        <v>90</v>
      </c>
      <c r="C2269" s="130" t="s">
        <v>3893</v>
      </c>
      <c r="D2269">
        <v>18266</v>
      </c>
      <c r="E2269" s="131">
        <v>655209</v>
      </c>
      <c r="F2269" t="s">
        <v>87</v>
      </c>
      <c r="G2269">
        <v>9135</v>
      </c>
      <c r="H2269" t="s">
        <v>8953</v>
      </c>
      <c r="I2269" s="131">
        <v>9</v>
      </c>
      <c r="J2269" t="s">
        <v>3893</v>
      </c>
      <c r="K2269" t="s">
        <v>95</v>
      </c>
      <c r="L2269" t="s">
        <v>163</v>
      </c>
      <c r="M2269" t="s">
        <v>170</v>
      </c>
      <c r="N2269" t="s">
        <v>118</v>
      </c>
      <c r="O2269" t="s">
        <v>116</v>
      </c>
    </row>
    <row r="2270" spans="1:15" x14ac:dyDescent="0.3">
      <c r="A2270" s="130">
        <v>12002</v>
      </c>
      <c r="B2270" s="130">
        <v>30</v>
      </c>
      <c r="C2270" s="130" t="s">
        <v>3894</v>
      </c>
      <c r="D2270">
        <v>18275</v>
      </c>
      <c r="E2270" s="130">
        <v>19739564</v>
      </c>
      <c r="F2270" t="s">
        <v>87</v>
      </c>
      <c r="G2270">
        <v>358</v>
      </c>
      <c r="H2270" t="s">
        <v>8951</v>
      </c>
      <c r="I2270" s="131">
        <v>9</v>
      </c>
      <c r="J2270" t="s">
        <v>3894</v>
      </c>
      <c r="K2270" t="s">
        <v>95</v>
      </c>
      <c r="L2270" t="s">
        <v>105</v>
      </c>
      <c r="M2270" t="s">
        <v>103</v>
      </c>
      <c r="N2270" t="s">
        <v>98</v>
      </c>
      <c r="O2270" t="s">
        <v>1345</v>
      </c>
    </row>
    <row r="2271" spans="1:15" x14ac:dyDescent="0.3">
      <c r="A2271" s="130">
        <v>12011</v>
      </c>
      <c r="B2271" s="130">
        <v>18</v>
      </c>
      <c r="C2271" s="130" t="s">
        <v>3895</v>
      </c>
      <c r="D2271">
        <v>18288</v>
      </c>
      <c r="E2271" s="130">
        <v>37577850</v>
      </c>
      <c r="F2271" t="s">
        <v>87</v>
      </c>
      <c r="G2271">
        <v>358</v>
      </c>
      <c r="H2271" t="s">
        <v>8952</v>
      </c>
      <c r="I2271" s="130">
        <v>10</v>
      </c>
      <c r="J2271" t="s">
        <v>3895</v>
      </c>
      <c r="K2271" t="s">
        <v>108</v>
      </c>
      <c r="L2271" t="s">
        <v>105</v>
      </c>
      <c r="M2271" t="s">
        <v>112</v>
      </c>
      <c r="N2271" t="s">
        <v>101</v>
      </c>
      <c r="O2271" t="s">
        <v>116</v>
      </c>
    </row>
    <row r="2272" spans="1:15" x14ac:dyDescent="0.3">
      <c r="A2272" s="130">
        <v>12020</v>
      </c>
      <c r="B2272" s="130">
        <v>30</v>
      </c>
      <c r="C2272" s="130" t="s">
        <v>3896</v>
      </c>
      <c r="D2272">
        <v>18299</v>
      </c>
      <c r="E2272" s="130">
        <v>3998869</v>
      </c>
      <c r="F2272" t="s">
        <v>87</v>
      </c>
      <c r="G2272">
        <v>9135</v>
      </c>
      <c r="H2272" t="s">
        <v>8953</v>
      </c>
      <c r="I2272" s="130">
        <v>24</v>
      </c>
      <c r="J2272" t="s">
        <v>3896</v>
      </c>
      <c r="K2272" t="s">
        <v>95</v>
      </c>
      <c r="L2272" t="s">
        <v>191</v>
      </c>
      <c r="M2272" t="s">
        <v>103</v>
      </c>
      <c r="N2272" t="s">
        <v>98</v>
      </c>
      <c r="O2272" t="s">
        <v>116</v>
      </c>
    </row>
    <row r="2273" spans="1:15" x14ac:dyDescent="0.3">
      <c r="A2273" s="130">
        <v>12021</v>
      </c>
      <c r="B2273" s="130">
        <v>28</v>
      </c>
      <c r="C2273" s="130" t="s">
        <v>3897</v>
      </c>
      <c r="D2273">
        <v>18300</v>
      </c>
      <c r="E2273" s="131">
        <v>11579276</v>
      </c>
      <c r="F2273" t="s">
        <v>87</v>
      </c>
      <c r="G2273">
        <v>358</v>
      </c>
      <c r="H2273" t="s">
        <v>8951</v>
      </c>
      <c r="I2273" s="130">
        <v>10</v>
      </c>
      <c r="J2273" t="s">
        <v>3897</v>
      </c>
      <c r="K2273" t="s">
        <v>108</v>
      </c>
      <c r="L2273" t="s">
        <v>105</v>
      </c>
      <c r="M2273" t="s">
        <v>130</v>
      </c>
      <c r="N2273" t="s">
        <v>98</v>
      </c>
      <c r="O2273" t="s">
        <v>116</v>
      </c>
    </row>
    <row r="2274" spans="1:15" x14ac:dyDescent="0.3">
      <c r="A2274" s="130">
        <v>12024</v>
      </c>
      <c r="B2274" s="130">
        <v>30</v>
      </c>
      <c r="C2274" s="130" t="s">
        <v>3898</v>
      </c>
      <c r="D2274">
        <v>18307</v>
      </c>
      <c r="E2274" s="130">
        <v>17185786</v>
      </c>
      <c r="F2274" t="s">
        <v>87</v>
      </c>
      <c r="G2274">
        <v>358</v>
      </c>
      <c r="H2274" t="s">
        <v>8952</v>
      </c>
      <c r="I2274" s="131">
        <v>10</v>
      </c>
      <c r="J2274" t="s">
        <v>3898</v>
      </c>
      <c r="K2274" t="s">
        <v>95</v>
      </c>
      <c r="L2274" t="s">
        <v>105</v>
      </c>
      <c r="M2274" t="s">
        <v>103</v>
      </c>
      <c r="N2274" t="s">
        <v>98</v>
      </c>
      <c r="O2274" t="s">
        <v>1345</v>
      </c>
    </row>
    <row r="2275" spans="1:15" x14ac:dyDescent="0.3">
      <c r="A2275" s="130">
        <v>12039</v>
      </c>
      <c r="B2275" s="130">
        <v>30</v>
      </c>
      <c r="C2275" s="130" t="s">
        <v>3899</v>
      </c>
      <c r="D2275">
        <v>18327</v>
      </c>
      <c r="E2275" s="130">
        <v>8928273</v>
      </c>
      <c r="F2275" t="s">
        <v>87</v>
      </c>
      <c r="G2275">
        <v>9135</v>
      </c>
      <c r="H2275" t="s">
        <v>8953</v>
      </c>
      <c r="I2275" s="130">
        <v>19</v>
      </c>
      <c r="J2275" t="s">
        <v>3899</v>
      </c>
      <c r="K2275" t="s">
        <v>95</v>
      </c>
      <c r="L2275" t="s">
        <v>1241</v>
      </c>
      <c r="M2275" t="s">
        <v>103</v>
      </c>
      <c r="N2275" t="s">
        <v>98</v>
      </c>
      <c r="O2275" t="s">
        <v>1256</v>
      </c>
    </row>
    <row r="2276" spans="1:15" x14ac:dyDescent="0.3">
      <c r="A2276" s="130">
        <v>12040</v>
      </c>
      <c r="B2276" s="130">
        <v>30</v>
      </c>
      <c r="C2276" s="130" t="s">
        <v>3900</v>
      </c>
      <c r="D2276">
        <v>18328</v>
      </c>
      <c r="E2276" s="131">
        <v>8928273</v>
      </c>
      <c r="F2276" t="s">
        <v>87</v>
      </c>
      <c r="G2276">
        <v>9135</v>
      </c>
      <c r="H2276" t="s">
        <v>8951</v>
      </c>
      <c r="I2276" s="131">
        <v>43</v>
      </c>
      <c r="J2276" t="s">
        <v>3900</v>
      </c>
      <c r="K2276" t="s">
        <v>95</v>
      </c>
      <c r="L2276" t="s">
        <v>159</v>
      </c>
      <c r="M2276" t="s">
        <v>103</v>
      </c>
      <c r="N2276" t="s">
        <v>98</v>
      </c>
      <c r="O2276" t="s">
        <v>1345</v>
      </c>
    </row>
    <row r="2277" spans="1:15" x14ac:dyDescent="0.3">
      <c r="A2277" s="130">
        <v>12041</v>
      </c>
      <c r="B2277" s="130">
        <v>30</v>
      </c>
      <c r="C2277" s="130" t="s">
        <v>3901</v>
      </c>
      <c r="D2277">
        <v>18329</v>
      </c>
      <c r="E2277" s="130">
        <v>35234509</v>
      </c>
      <c r="F2277" t="s">
        <v>87</v>
      </c>
      <c r="G2277">
        <v>358</v>
      </c>
      <c r="H2277" t="s">
        <v>8952</v>
      </c>
      <c r="I2277" s="131">
        <v>19</v>
      </c>
      <c r="J2277" t="s">
        <v>3901</v>
      </c>
      <c r="K2277" t="s">
        <v>95</v>
      </c>
      <c r="L2277" t="s">
        <v>102</v>
      </c>
      <c r="M2277" t="s">
        <v>103</v>
      </c>
      <c r="N2277" t="s">
        <v>98</v>
      </c>
      <c r="O2277" t="s">
        <v>1345</v>
      </c>
    </row>
    <row r="2278" spans="1:15" x14ac:dyDescent="0.3">
      <c r="A2278" s="130">
        <v>12048</v>
      </c>
      <c r="B2278" s="130">
        <v>10</v>
      </c>
      <c r="C2278" s="130" t="s">
        <v>3902</v>
      </c>
      <c r="D2278">
        <v>18340</v>
      </c>
      <c r="E2278" s="130">
        <v>10630328</v>
      </c>
      <c r="F2278" t="s">
        <v>87</v>
      </c>
      <c r="G2278">
        <v>358</v>
      </c>
      <c r="H2278" t="s">
        <v>8953</v>
      </c>
      <c r="I2278" s="131">
        <v>3</v>
      </c>
      <c r="J2278" t="s">
        <v>3902</v>
      </c>
      <c r="K2278" t="s">
        <v>95</v>
      </c>
      <c r="L2278" t="s">
        <v>109</v>
      </c>
      <c r="M2278" t="s">
        <v>133</v>
      </c>
      <c r="N2278" t="s">
        <v>98</v>
      </c>
      <c r="O2278" t="s">
        <v>116</v>
      </c>
    </row>
    <row r="2279" spans="1:15" x14ac:dyDescent="0.3">
      <c r="A2279" s="130">
        <v>12060</v>
      </c>
      <c r="B2279" s="130">
        <v>30</v>
      </c>
      <c r="C2279" s="130" t="s">
        <v>3903</v>
      </c>
      <c r="D2279">
        <v>18351</v>
      </c>
      <c r="E2279" s="130">
        <v>33000167</v>
      </c>
      <c r="F2279" t="s">
        <v>87</v>
      </c>
      <c r="G2279">
        <v>358</v>
      </c>
      <c r="H2279" t="s">
        <v>8951</v>
      </c>
      <c r="I2279" s="131">
        <v>24</v>
      </c>
      <c r="J2279" t="s">
        <v>3903</v>
      </c>
      <c r="K2279" t="s">
        <v>95</v>
      </c>
      <c r="L2279" t="s">
        <v>102</v>
      </c>
      <c r="M2279" t="s">
        <v>103</v>
      </c>
      <c r="N2279" t="s">
        <v>114</v>
      </c>
      <c r="O2279" t="s">
        <v>1345</v>
      </c>
    </row>
    <row r="2280" spans="1:15" x14ac:dyDescent="0.3">
      <c r="A2280" s="130">
        <v>12062</v>
      </c>
      <c r="B2280" s="130">
        <v>90</v>
      </c>
      <c r="C2280" s="130" t="s">
        <v>3904</v>
      </c>
      <c r="D2280">
        <v>18359</v>
      </c>
      <c r="E2280" s="131">
        <v>27426196</v>
      </c>
      <c r="F2280" t="s">
        <v>87</v>
      </c>
      <c r="G2280">
        <v>9135</v>
      </c>
      <c r="H2280" t="s">
        <v>8952</v>
      </c>
      <c r="I2280" s="131">
        <v>3</v>
      </c>
      <c r="J2280" t="s">
        <v>3904</v>
      </c>
      <c r="K2280" t="s">
        <v>95</v>
      </c>
      <c r="L2280" t="s">
        <v>111</v>
      </c>
      <c r="M2280" t="s">
        <v>170</v>
      </c>
      <c r="N2280" t="s">
        <v>98</v>
      </c>
      <c r="O2280" t="s">
        <v>1345</v>
      </c>
    </row>
    <row r="2281" spans="1:15" x14ac:dyDescent="0.3">
      <c r="A2281" s="130">
        <v>12064</v>
      </c>
      <c r="B2281" s="131">
        <v>18</v>
      </c>
      <c r="C2281" s="130" t="s">
        <v>3905</v>
      </c>
      <c r="D2281">
        <v>18361</v>
      </c>
      <c r="E2281" s="130">
        <v>33841727</v>
      </c>
      <c r="F2281" t="s">
        <v>87</v>
      </c>
      <c r="G2281">
        <v>358</v>
      </c>
      <c r="H2281" t="s">
        <v>8953</v>
      </c>
      <c r="I2281" s="131">
        <v>10</v>
      </c>
      <c r="J2281" t="s">
        <v>3905</v>
      </c>
      <c r="K2281" t="s">
        <v>95</v>
      </c>
      <c r="L2281" t="s">
        <v>105</v>
      </c>
      <c r="M2281" t="s">
        <v>112</v>
      </c>
      <c r="N2281" t="s">
        <v>98</v>
      </c>
      <c r="O2281" t="s">
        <v>1345</v>
      </c>
    </row>
    <row r="2282" spans="1:15" x14ac:dyDescent="0.3">
      <c r="A2282" s="130">
        <v>12067</v>
      </c>
      <c r="B2282" s="130">
        <v>10</v>
      </c>
      <c r="C2282" s="130" t="s">
        <v>3906</v>
      </c>
      <c r="D2282">
        <v>18366</v>
      </c>
      <c r="E2282" s="130">
        <v>22416</v>
      </c>
      <c r="F2282" t="s">
        <v>87</v>
      </c>
      <c r="G2282">
        <v>9135</v>
      </c>
      <c r="H2282" t="s">
        <v>8951</v>
      </c>
      <c r="I2282" s="130">
        <v>24</v>
      </c>
      <c r="J2282" t="s">
        <v>3906</v>
      </c>
      <c r="K2282" t="s">
        <v>108</v>
      </c>
      <c r="L2282" t="s">
        <v>191</v>
      </c>
      <c r="M2282" t="s">
        <v>133</v>
      </c>
      <c r="N2282" t="s">
        <v>132</v>
      </c>
      <c r="O2282" t="s">
        <v>116</v>
      </c>
    </row>
    <row r="2283" spans="1:15" x14ac:dyDescent="0.3">
      <c r="A2283" s="130">
        <v>12074</v>
      </c>
      <c r="B2283" s="130">
        <v>0</v>
      </c>
      <c r="C2283" s="130" t="s">
        <v>3907</v>
      </c>
      <c r="D2283">
        <v>18387</v>
      </c>
      <c r="E2283" s="130">
        <v>31835974</v>
      </c>
      <c r="F2283" t="s">
        <v>87</v>
      </c>
      <c r="G2283">
        <v>9135</v>
      </c>
      <c r="H2283" t="s">
        <v>8952</v>
      </c>
      <c r="I2283" s="130">
        <v>12</v>
      </c>
      <c r="J2283" t="s">
        <v>3907</v>
      </c>
      <c r="K2283" t="s">
        <v>108</v>
      </c>
      <c r="L2283" t="s">
        <v>151</v>
      </c>
      <c r="M2283" t="s">
        <v>100</v>
      </c>
      <c r="N2283" t="s">
        <v>98</v>
      </c>
      <c r="O2283" t="s">
        <v>1256</v>
      </c>
    </row>
    <row r="2284" spans="1:15" x14ac:dyDescent="0.3">
      <c r="A2284" s="130">
        <v>12079</v>
      </c>
      <c r="B2284" s="130">
        <v>18</v>
      </c>
      <c r="C2284" s="130" t="s">
        <v>3908</v>
      </c>
      <c r="D2284">
        <v>18396</v>
      </c>
      <c r="E2284" s="130">
        <v>8021949</v>
      </c>
      <c r="F2284" t="s">
        <v>87</v>
      </c>
      <c r="G2284">
        <v>9135</v>
      </c>
      <c r="H2284" t="s">
        <v>8953</v>
      </c>
      <c r="I2284" s="130">
        <v>26</v>
      </c>
      <c r="J2284" t="s">
        <v>3908</v>
      </c>
      <c r="K2284" t="s">
        <v>108</v>
      </c>
      <c r="L2284" t="s">
        <v>151</v>
      </c>
      <c r="M2284" t="s">
        <v>112</v>
      </c>
      <c r="N2284" t="s">
        <v>118</v>
      </c>
      <c r="O2284" t="s">
        <v>116</v>
      </c>
    </row>
    <row r="2285" spans="1:15" x14ac:dyDescent="0.3">
      <c r="A2285" s="130">
        <v>12090</v>
      </c>
      <c r="B2285" s="130">
        <v>30</v>
      </c>
      <c r="C2285" s="130" t="s">
        <v>3909</v>
      </c>
      <c r="D2285">
        <v>18416</v>
      </c>
      <c r="E2285" s="130">
        <v>23347255</v>
      </c>
      <c r="F2285" t="s">
        <v>87</v>
      </c>
      <c r="G2285">
        <v>9135</v>
      </c>
      <c r="H2285" t="s">
        <v>8951</v>
      </c>
      <c r="I2285" s="130">
        <v>3</v>
      </c>
      <c r="J2285" t="s">
        <v>3909</v>
      </c>
      <c r="K2285" t="s">
        <v>108</v>
      </c>
      <c r="L2285" t="s">
        <v>111</v>
      </c>
      <c r="M2285" t="s">
        <v>103</v>
      </c>
      <c r="N2285" t="s">
        <v>98</v>
      </c>
      <c r="O2285" t="s">
        <v>1345</v>
      </c>
    </row>
    <row r="2286" spans="1:15" x14ac:dyDescent="0.3">
      <c r="A2286" s="130">
        <v>12092</v>
      </c>
      <c r="B2286" s="130">
        <v>20</v>
      </c>
      <c r="C2286" s="130" t="s">
        <v>3910</v>
      </c>
      <c r="D2286">
        <v>18419</v>
      </c>
      <c r="E2286" s="131">
        <v>10736565</v>
      </c>
      <c r="F2286" t="s">
        <v>87</v>
      </c>
      <c r="G2286">
        <v>9135</v>
      </c>
      <c r="H2286" t="s">
        <v>8952</v>
      </c>
      <c r="I2286" s="130">
        <v>3</v>
      </c>
      <c r="J2286" t="s">
        <v>3910</v>
      </c>
      <c r="K2286" t="s">
        <v>95</v>
      </c>
      <c r="L2286" t="s">
        <v>111</v>
      </c>
      <c r="M2286" t="s">
        <v>148</v>
      </c>
      <c r="N2286" t="s">
        <v>98</v>
      </c>
      <c r="O2286" t="s">
        <v>1345</v>
      </c>
    </row>
    <row r="2287" spans="1:15" x14ac:dyDescent="0.3">
      <c r="A2287" s="130">
        <v>12094</v>
      </c>
      <c r="B2287" s="130">
        <v>30</v>
      </c>
      <c r="C2287" s="130" t="s">
        <v>3911</v>
      </c>
      <c r="D2287">
        <v>18420</v>
      </c>
      <c r="E2287" s="131">
        <v>16594889</v>
      </c>
      <c r="F2287" t="s">
        <v>87</v>
      </c>
      <c r="G2287">
        <v>9135</v>
      </c>
      <c r="H2287" t="s">
        <v>8953</v>
      </c>
      <c r="I2287" s="131">
        <v>9</v>
      </c>
      <c r="J2287" t="s">
        <v>3911</v>
      </c>
      <c r="K2287" t="s">
        <v>95</v>
      </c>
      <c r="L2287" t="s">
        <v>163</v>
      </c>
      <c r="M2287" t="s">
        <v>103</v>
      </c>
      <c r="N2287" t="s">
        <v>98</v>
      </c>
      <c r="O2287" t="s">
        <v>1345</v>
      </c>
    </row>
    <row r="2288" spans="1:15" x14ac:dyDescent="0.3">
      <c r="A2288" s="130">
        <v>12095</v>
      </c>
      <c r="B2288" s="130">
        <v>18</v>
      </c>
      <c r="C2288" s="130" t="s">
        <v>3912</v>
      </c>
      <c r="D2288">
        <v>18423</v>
      </c>
      <c r="E2288" s="130">
        <v>33042262</v>
      </c>
      <c r="F2288" t="s">
        <v>87</v>
      </c>
      <c r="G2288">
        <v>9135</v>
      </c>
      <c r="H2288" t="s">
        <v>8951</v>
      </c>
      <c r="I2288" s="130">
        <v>37</v>
      </c>
      <c r="J2288" t="s">
        <v>3912</v>
      </c>
      <c r="K2288" t="s">
        <v>108</v>
      </c>
      <c r="L2288" t="s">
        <v>138</v>
      </c>
      <c r="M2288" t="s">
        <v>112</v>
      </c>
      <c r="N2288" t="s">
        <v>150</v>
      </c>
      <c r="O2288" t="s">
        <v>1345</v>
      </c>
    </row>
    <row r="2289" spans="1:15" x14ac:dyDescent="0.3">
      <c r="A2289" s="130">
        <v>12102</v>
      </c>
      <c r="B2289" s="130">
        <v>30</v>
      </c>
      <c r="C2289" s="130" t="s">
        <v>3913</v>
      </c>
      <c r="D2289">
        <v>18431</v>
      </c>
      <c r="E2289" s="130">
        <v>4470925</v>
      </c>
      <c r="F2289" t="s">
        <v>87</v>
      </c>
      <c r="G2289">
        <v>358</v>
      </c>
      <c r="H2289" t="s">
        <v>8952</v>
      </c>
      <c r="I2289" s="130">
        <v>10</v>
      </c>
      <c r="J2289" t="s">
        <v>3913</v>
      </c>
      <c r="K2289" t="s">
        <v>108</v>
      </c>
      <c r="L2289" t="s">
        <v>105</v>
      </c>
      <c r="M2289" t="s">
        <v>103</v>
      </c>
      <c r="N2289" t="s">
        <v>98</v>
      </c>
      <c r="O2289" t="s">
        <v>1345</v>
      </c>
    </row>
    <row r="2290" spans="1:15" x14ac:dyDescent="0.3">
      <c r="A2290" s="130">
        <v>12106</v>
      </c>
      <c r="B2290" s="130">
        <v>30</v>
      </c>
      <c r="C2290" s="130" t="s">
        <v>3914</v>
      </c>
      <c r="D2290">
        <v>18440</v>
      </c>
      <c r="E2290" s="131">
        <v>72745979</v>
      </c>
      <c r="F2290" t="s">
        <v>87</v>
      </c>
      <c r="G2290">
        <v>9135</v>
      </c>
      <c r="H2290" t="s">
        <v>8953</v>
      </c>
      <c r="I2290" s="130">
        <v>18</v>
      </c>
      <c r="J2290" t="s">
        <v>3914</v>
      </c>
      <c r="K2290" t="s">
        <v>95</v>
      </c>
      <c r="L2290" t="s">
        <v>123</v>
      </c>
      <c r="M2290" t="s">
        <v>103</v>
      </c>
      <c r="N2290" t="s">
        <v>98</v>
      </c>
      <c r="O2290" t="s">
        <v>116</v>
      </c>
    </row>
    <row r="2291" spans="1:15" x14ac:dyDescent="0.3">
      <c r="A2291" s="130">
        <v>12109</v>
      </c>
      <c r="B2291" s="130">
        <v>18</v>
      </c>
      <c r="C2291" s="130" t="s">
        <v>3915</v>
      </c>
      <c r="D2291">
        <v>18449</v>
      </c>
      <c r="E2291" s="131">
        <v>15063096</v>
      </c>
      <c r="F2291" t="s">
        <v>87</v>
      </c>
      <c r="G2291">
        <v>358</v>
      </c>
      <c r="H2291" t="s">
        <v>8951</v>
      </c>
      <c r="I2291" s="131">
        <v>10</v>
      </c>
      <c r="J2291" t="s">
        <v>3915</v>
      </c>
      <c r="K2291" t="s">
        <v>95</v>
      </c>
      <c r="L2291" t="s">
        <v>105</v>
      </c>
      <c r="M2291" t="s">
        <v>112</v>
      </c>
      <c r="N2291" t="s">
        <v>98</v>
      </c>
      <c r="O2291" t="s">
        <v>1345</v>
      </c>
    </row>
    <row r="2292" spans="1:15" x14ac:dyDescent="0.3">
      <c r="A2292" s="130">
        <v>12111</v>
      </c>
      <c r="B2292" s="130">
        <v>10</v>
      </c>
      <c r="C2292" s="130" t="s">
        <v>3916</v>
      </c>
      <c r="D2292">
        <v>18452</v>
      </c>
      <c r="E2292" s="131">
        <v>25349440</v>
      </c>
      <c r="F2292" t="s">
        <v>87</v>
      </c>
      <c r="G2292">
        <v>358</v>
      </c>
      <c r="H2292" t="s">
        <v>8952</v>
      </c>
      <c r="I2292" s="131">
        <v>3</v>
      </c>
      <c r="J2292" t="s">
        <v>3916</v>
      </c>
      <c r="K2292" t="s">
        <v>95</v>
      </c>
      <c r="L2292" t="s">
        <v>109</v>
      </c>
      <c r="M2292" t="s">
        <v>133</v>
      </c>
      <c r="N2292" t="s">
        <v>98</v>
      </c>
      <c r="O2292" t="s">
        <v>1345</v>
      </c>
    </row>
    <row r="2293" spans="1:15" x14ac:dyDescent="0.3">
      <c r="A2293" s="130">
        <v>12112</v>
      </c>
      <c r="B2293" s="130">
        <v>30</v>
      </c>
      <c r="C2293" s="130" t="s">
        <v>3917</v>
      </c>
      <c r="D2293">
        <v>18454</v>
      </c>
      <c r="E2293" s="130">
        <v>18593815</v>
      </c>
      <c r="F2293" t="s">
        <v>87</v>
      </c>
      <c r="G2293">
        <v>9135</v>
      </c>
      <c r="H2293" t="s">
        <v>8953</v>
      </c>
      <c r="I2293" s="130">
        <v>43</v>
      </c>
      <c r="J2293" t="s">
        <v>3917</v>
      </c>
      <c r="K2293" t="s">
        <v>95</v>
      </c>
      <c r="L2293" t="s">
        <v>173</v>
      </c>
      <c r="M2293" t="s">
        <v>103</v>
      </c>
      <c r="N2293" t="s">
        <v>114</v>
      </c>
      <c r="O2293" t="s">
        <v>1345</v>
      </c>
    </row>
    <row r="2294" spans="1:15" x14ac:dyDescent="0.3">
      <c r="A2294" s="130">
        <v>12113</v>
      </c>
      <c r="B2294" s="130">
        <v>18</v>
      </c>
      <c r="C2294" s="130" t="s">
        <v>3918</v>
      </c>
      <c r="D2294">
        <v>18455</v>
      </c>
      <c r="E2294" s="130">
        <v>15063096</v>
      </c>
      <c r="F2294" t="s">
        <v>87</v>
      </c>
      <c r="G2294">
        <v>358</v>
      </c>
      <c r="H2294" t="s">
        <v>8951</v>
      </c>
      <c r="I2294" s="131">
        <v>10</v>
      </c>
      <c r="J2294" t="s">
        <v>3918</v>
      </c>
      <c r="K2294" t="s">
        <v>95</v>
      </c>
      <c r="L2294" t="s">
        <v>105</v>
      </c>
      <c r="M2294" t="s">
        <v>112</v>
      </c>
      <c r="N2294" t="s">
        <v>98</v>
      </c>
      <c r="O2294" t="s">
        <v>1345</v>
      </c>
    </row>
    <row r="2295" spans="1:15" x14ac:dyDescent="0.3">
      <c r="A2295" s="130">
        <v>12116</v>
      </c>
      <c r="B2295" s="130">
        <v>30</v>
      </c>
      <c r="C2295" s="130" t="s">
        <v>3919</v>
      </c>
      <c r="D2295">
        <v>18458</v>
      </c>
      <c r="E2295" s="131">
        <v>31130799</v>
      </c>
      <c r="F2295" t="s">
        <v>87</v>
      </c>
      <c r="G2295">
        <v>358</v>
      </c>
      <c r="H2295" t="s">
        <v>8952</v>
      </c>
      <c r="I2295" s="130">
        <v>19</v>
      </c>
      <c r="J2295" t="s">
        <v>3919</v>
      </c>
      <c r="K2295" t="s">
        <v>108</v>
      </c>
      <c r="L2295" t="s">
        <v>146</v>
      </c>
      <c r="M2295" t="s">
        <v>103</v>
      </c>
      <c r="N2295" t="s">
        <v>98</v>
      </c>
      <c r="O2295" t="s">
        <v>116</v>
      </c>
    </row>
    <row r="2296" spans="1:15" x14ac:dyDescent="0.3">
      <c r="A2296" s="130">
        <v>12152</v>
      </c>
      <c r="B2296" s="130">
        <v>10</v>
      </c>
      <c r="C2296" s="130" t="s">
        <v>3920</v>
      </c>
      <c r="D2296">
        <v>18518</v>
      </c>
      <c r="E2296" s="130">
        <v>237518</v>
      </c>
      <c r="F2296" t="s">
        <v>87</v>
      </c>
      <c r="G2296">
        <v>358</v>
      </c>
      <c r="H2296" t="s">
        <v>8953</v>
      </c>
      <c r="I2296" s="131">
        <v>10</v>
      </c>
      <c r="J2296" t="s">
        <v>3920</v>
      </c>
      <c r="K2296" t="s">
        <v>95</v>
      </c>
      <c r="L2296" t="s">
        <v>105</v>
      </c>
      <c r="M2296" t="s">
        <v>133</v>
      </c>
      <c r="N2296" t="s">
        <v>98</v>
      </c>
      <c r="O2296" t="s">
        <v>1345</v>
      </c>
    </row>
    <row r="2297" spans="1:15" x14ac:dyDescent="0.3">
      <c r="A2297" s="130">
        <v>12162</v>
      </c>
      <c r="C2297" s="130" t="s">
        <v>3921</v>
      </c>
      <c r="D2297">
        <v>17113</v>
      </c>
      <c r="E2297" s="130">
        <v>3796574</v>
      </c>
      <c r="F2297" t="s">
        <v>113</v>
      </c>
      <c r="G2297">
        <v>358</v>
      </c>
      <c r="H2297" t="s">
        <v>8951</v>
      </c>
      <c r="I2297" s="130">
        <v>3</v>
      </c>
      <c r="J2297" t="s">
        <v>3921</v>
      </c>
      <c r="K2297" t="s">
        <v>108</v>
      </c>
      <c r="L2297" t="s">
        <v>109</v>
      </c>
      <c r="N2297" t="s">
        <v>98</v>
      </c>
      <c r="O2297" t="s">
        <v>1256</v>
      </c>
    </row>
    <row r="2298" spans="1:15" x14ac:dyDescent="0.3">
      <c r="A2298" s="130">
        <v>12183</v>
      </c>
      <c r="B2298" s="130" t="s">
        <v>156</v>
      </c>
      <c r="C2298" s="130" t="s">
        <v>3922</v>
      </c>
      <c r="D2298">
        <v>18564</v>
      </c>
      <c r="E2298" s="130">
        <v>10764189</v>
      </c>
      <c r="F2298" t="s">
        <v>87</v>
      </c>
      <c r="G2298">
        <v>9135</v>
      </c>
      <c r="H2298" t="s">
        <v>8952</v>
      </c>
      <c r="I2298" s="130">
        <v>3</v>
      </c>
      <c r="J2298" t="s">
        <v>3922</v>
      </c>
      <c r="K2298" t="s">
        <v>108</v>
      </c>
      <c r="L2298" t="s">
        <v>111</v>
      </c>
      <c r="M2298" t="s">
        <v>156</v>
      </c>
      <c r="N2298" t="s">
        <v>98</v>
      </c>
      <c r="O2298" t="s">
        <v>1345</v>
      </c>
    </row>
    <row r="2299" spans="1:15" x14ac:dyDescent="0.3">
      <c r="A2299" s="130">
        <v>12184</v>
      </c>
      <c r="B2299" s="130">
        <v>-1</v>
      </c>
      <c r="C2299" s="130" t="s">
        <v>3923</v>
      </c>
      <c r="D2299">
        <v>18565</v>
      </c>
      <c r="E2299" s="131">
        <v>96832967691</v>
      </c>
      <c r="F2299" t="s">
        <v>87</v>
      </c>
      <c r="G2299">
        <v>9135</v>
      </c>
      <c r="H2299" t="s">
        <v>8953</v>
      </c>
      <c r="I2299" s="130">
        <v>3</v>
      </c>
      <c r="J2299" t="s">
        <v>3923</v>
      </c>
      <c r="K2299" t="s">
        <v>108</v>
      </c>
      <c r="L2299" t="s">
        <v>111</v>
      </c>
      <c r="M2299" t="s">
        <v>174</v>
      </c>
      <c r="N2299" t="s">
        <v>110</v>
      </c>
      <c r="O2299" t="s">
        <v>116</v>
      </c>
    </row>
    <row r="2300" spans="1:15" x14ac:dyDescent="0.3">
      <c r="A2300" s="130">
        <v>12195</v>
      </c>
      <c r="B2300" s="130">
        <v>10</v>
      </c>
      <c r="C2300" s="130" t="s">
        <v>3924</v>
      </c>
      <c r="D2300">
        <v>18582</v>
      </c>
      <c r="E2300" s="130">
        <v>46350863</v>
      </c>
      <c r="F2300" t="s">
        <v>87</v>
      </c>
      <c r="G2300">
        <v>358</v>
      </c>
      <c r="H2300" t="s">
        <v>8951</v>
      </c>
      <c r="I2300" s="131">
        <v>3</v>
      </c>
      <c r="J2300" t="s">
        <v>3924</v>
      </c>
      <c r="K2300" t="s">
        <v>95</v>
      </c>
      <c r="L2300" t="s">
        <v>105</v>
      </c>
      <c r="M2300" t="s">
        <v>133</v>
      </c>
      <c r="N2300" t="s">
        <v>98</v>
      </c>
      <c r="O2300" t="s">
        <v>1345</v>
      </c>
    </row>
    <row r="2301" spans="1:15" x14ac:dyDescent="0.3">
      <c r="A2301" s="130">
        <v>12197</v>
      </c>
      <c r="B2301" s="130">
        <v>30</v>
      </c>
      <c r="C2301" s="130" t="s">
        <v>3925</v>
      </c>
      <c r="D2301">
        <v>18584</v>
      </c>
      <c r="E2301" s="130">
        <v>930087</v>
      </c>
      <c r="F2301" t="s">
        <v>87</v>
      </c>
      <c r="G2301">
        <v>9135</v>
      </c>
      <c r="H2301" t="s">
        <v>8952</v>
      </c>
      <c r="I2301" s="131">
        <v>43</v>
      </c>
      <c r="J2301" t="s">
        <v>3925</v>
      </c>
      <c r="K2301" t="s">
        <v>95</v>
      </c>
      <c r="L2301" t="s">
        <v>1368</v>
      </c>
      <c r="M2301" t="s">
        <v>103</v>
      </c>
      <c r="N2301" t="s">
        <v>124</v>
      </c>
      <c r="O2301" t="s">
        <v>116</v>
      </c>
    </row>
    <row r="2302" spans="1:15" x14ac:dyDescent="0.3">
      <c r="A2302" s="130">
        <v>12202</v>
      </c>
      <c r="B2302" s="130">
        <v>30</v>
      </c>
      <c r="C2302" s="130" t="s">
        <v>3926</v>
      </c>
      <c r="D2302">
        <v>18602</v>
      </c>
      <c r="E2302" s="130">
        <v>61584223</v>
      </c>
      <c r="F2302" t="s">
        <v>87</v>
      </c>
      <c r="G2302">
        <v>9135</v>
      </c>
      <c r="H2302" t="s">
        <v>8953</v>
      </c>
      <c r="I2302" s="130">
        <v>3</v>
      </c>
      <c r="J2302" t="s">
        <v>3926</v>
      </c>
      <c r="K2302" t="s">
        <v>95</v>
      </c>
      <c r="L2302" t="s">
        <v>111</v>
      </c>
      <c r="M2302" t="s">
        <v>103</v>
      </c>
      <c r="N2302" t="s">
        <v>98</v>
      </c>
      <c r="O2302" t="s">
        <v>116</v>
      </c>
    </row>
    <row r="2303" spans="1:15" x14ac:dyDescent="0.3">
      <c r="A2303" s="130">
        <v>12217</v>
      </c>
      <c r="B2303" s="130">
        <v>18</v>
      </c>
      <c r="C2303" s="130" t="s">
        <v>3927</v>
      </c>
      <c r="D2303">
        <v>18625</v>
      </c>
      <c r="E2303" s="130">
        <v>72030927</v>
      </c>
      <c r="F2303" t="s">
        <v>87</v>
      </c>
      <c r="G2303">
        <v>9135</v>
      </c>
      <c r="H2303" t="s">
        <v>8951</v>
      </c>
      <c r="I2303" s="130">
        <v>18</v>
      </c>
      <c r="J2303" t="s">
        <v>3927</v>
      </c>
      <c r="K2303" t="s">
        <v>108</v>
      </c>
      <c r="L2303" t="s">
        <v>1293</v>
      </c>
      <c r="M2303" t="s">
        <v>112</v>
      </c>
      <c r="N2303" t="s">
        <v>98</v>
      </c>
      <c r="O2303" t="s">
        <v>1345</v>
      </c>
    </row>
    <row r="2304" spans="1:15" x14ac:dyDescent="0.3">
      <c r="A2304" s="130">
        <v>12233</v>
      </c>
      <c r="B2304" s="130">
        <v>60</v>
      </c>
      <c r="C2304" s="130" t="s">
        <v>3928</v>
      </c>
      <c r="D2304">
        <v>18660</v>
      </c>
      <c r="E2304" s="131">
        <v>9625762</v>
      </c>
      <c r="F2304" t="s">
        <v>87</v>
      </c>
      <c r="G2304">
        <v>9135</v>
      </c>
      <c r="H2304" t="s">
        <v>8952</v>
      </c>
      <c r="I2304" s="130">
        <v>43</v>
      </c>
      <c r="J2304" t="s">
        <v>3928</v>
      </c>
      <c r="K2304" t="s">
        <v>95</v>
      </c>
      <c r="L2304" t="s">
        <v>159</v>
      </c>
      <c r="M2304" t="s">
        <v>97</v>
      </c>
      <c r="N2304" t="s">
        <v>150</v>
      </c>
      <c r="O2304" t="s">
        <v>1345</v>
      </c>
    </row>
    <row r="2305" spans="1:15" x14ac:dyDescent="0.3">
      <c r="A2305" s="130">
        <v>12234</v>
      </c>
      <c r="B2305" s="130">
        <v>6</v>
      </c>
      <c r="C2305" s="130" t="s">
        <v>3929</v>
      </c>
      <c r="D2305">
        <v>18662</v>
      </c>
      <c r="E2305" s="130">
        <v>10405547</v>
      </c>
      <c r="F2305" t="s">
        <v>87</v>
      </c>
      <c r="G2305">
        <v>358</v>
      </c>
      <c r="H2305" t="s">
        <v>8953</v>
      </c>
      <c r="I2305" s="130">
        <v>3</v>
      </c>
      <c r="J2305" t="s">
        <v>3929</v>
      </c>
      <c r="K2305" t="s">
        <v>108</v>
      </c>
      <c r="L2305" t="s">
        <v>109</v>
      </c>
      <c r="M2305" t="s">
        <v>205</v>
      </c>
      <c r="N2305" t="s">
        <v>152</v>
      </c>
      <c r="O2305" t="s">
        <v>116</v>
      </c>
    </row>
    <row r="2306" spans="1:15" x14ac:dyDescent="0.3">
      <c r="A2306" s="130">
        <v>12237</v>
      </c>
      <c r="B2306" s="130">
        <v>30</v>
      </c>
      <c r="C2306" s="130" t="s">
        <v>3930</v>
      </c>
      <c r="D2306">
        <v>18667</v>
      </c>
      <c r="E2306" s="131">
        <v>10736565</v>
      </c>
      <c r="F2306" t="s">
        <v>87</v>
      </c>
      <c r="G2306">
        <v>9135</v>
      </c>
      <c r="H2306" t="s">
        <v>8951</v>
      </c>
      <c r="I2306" s="130">
        <v>9</v>
      </c>
      <c r="J2306" t="s">
        <v>3930</v>
      </c>
      <c r="K2306" t="s">
        <v>95</v>
      </c>
      <c r="L2306" t="s">
        <v>163</v>
      </c>
      <c r="M2306" t="s">
        <v>103</v>
      </c>
      <c r="N2306" t="s">
        <v>114</v>
      </c>
      <c r="O2306" t="s">
        <v>116</v>
      </c>
    </row>
    <row r="2307" spans="1:15" x14ac:dyDescent="0.3">
      <c r="A2307" s="130">
        <v>12238</v>
      </c>
      <c r="B2307" s="130">
        <v>10</v>
      </c>
      <c r="C2307" s="130" t="s">
        <v>3931</v>
      </c>
      <c r="D2307">
        <v>18668</v>
      </c>
      <c r="E2307" s="131">
        <v>46350863</v>
      </c>
      <c r="F2307" t="s">
        <v>87</v>
      </c>
      <c r="G2307">
        <v>358</v>
      </c>
      <c r="H2307" t="s">
        <v>8952</v>
      </c>
      <c r="I2307" s="130">
        <v>10</v>
      </c>
      <c r="J2307" t="s">
        <v>3931</v>
      </c>
      <c r="K2307" t="s">
        <v>95</v>
      </c>
      <c r="L2307" t="s">
        <v>105</v>
      </c>
      <c r="M2307" t="s">
        <v>133</v>
      </c>
      <c r="N2307" t="s">
        <v>98</v>
      </c>
      <c r="O2307" t="s">
        <v>1345</v>
      </c>
    </row>
    <row r="2308" spans="1:15" x14ac:dyDescent="0.3">
      <c r="A2308" s="130">
        <v>12268</v>
      </c>
      <c r="B2308" s="130">
        <v>18</v>
      </c>
      <c r="C2308" s="130" t="s">
        <v>3932</v>
      </c>
      <c r="D2308">
        <v>18698</v>
      </c>
      <c r="E2308" s="131">
        <v>10639965</v>
      </c>
      <c r="F2308" t="s">
        <v>87</v>
      </c>
      <c r="G2308">
        <v>9135</v>
      </c>
      <c r="H2308" t="s">
        <v>8953</v>
      </c>
      <c r="I2308" s="130">
        <v>26</v>
      </c>
      <c r="J2308" t="s">
        <v>3932</v>
      </c>
      <c r="K2308" t="s">
        <v>108</v>
      </c>
      <c r="L2308" t="s">
        <v>151</v>
      </c>
      <c r="M2308" t="s">
        <v>112</v>
      </c>
      <c r="N2308" t="s">
        <v>98</v>
      </c>
      <c r="O2308" t="s">
        <v>1345</v>
      </c>
    </row>
    <row r="2309" spans="1:15" x14ac:dyDescent="0.3">
      <c r="A2309" s="130">
        <v>12269</v>
      </c>
      <c r="B2309" s="130">
        <v>30</v>
      </c>
      <c r="C2309" s="130" t="s">
        <v>3933</v>
      </c>
      <c r="D2309">
        <v>18703</v>
      </c>
      <c r="E2309" s="130">
        <v>73305997</v>
      </c>
      <c r="F2309" t="s">
        <v>87</v>
      </c>
      <c r="G2309">
        <v>358</v>
      </c>
      <c r="H2309" t="s">
        <v>8951</v>
      </c>
      <c r="I2309" s="130">
        <v>43</v>
      </c>
      <c r="J2309" t="s">
        <v>3933</v>
      </c>
      <c r="K2309" t="s">
        <v>95</v>
      </c>
      <c r="L2309" t="s">
        <v>1368</v>
      </c>
      <c r="M2309" t="s">
        <v>103</v>
      </c>
      <c r="N2309" t="s">
        <v>101</v>
      </c>
      <c r="O2309" t="s">
        <v>116</v>
      </c>
    </row>
    <row r="2310" spans="1:15" x14ac:dyDescent="0.3">
      <c r="A2310" s="130">
        <v>12270</v>
      </c>
      <c r="B2310" s="130">
        <v>30</v>
      </c>
      <c r="C2310" s="130" t="s">
        <v>3934</v>
      </c>
      <c r="D2310">
        <v>18702</v>
      </c>
      <c r="E2310" s="131">
        <v>9247075</v>
      </c>
      <c r="F2310" t="s">
        <v>87</v>
      </c>
      <c r="G2310">
        <v>9135</v>
      </c>
      <c r="H2310" t="s">
        <v>8952</v>
      </c>
      <c r="I2310" s="130">
        <v>38</v>
      </c>
      <c r="J2310" t="s">
        <v>3934</v>
      </c>
      <c r="K2310" t="s">
        <v>108</v>
      </c>
      <c r="L2310" t="s">
        <v>105</v>
      </c>
      <c r="M2310" t="s">
        <v>103</v>
      </c>
      <c r="N2310" t="s">
        <v>98</v>
      </c>
      <c r="O2310" t="s">
        <v>1345</v>
      </c>
    </row>
    <row r="2311" spans="1:15" x14ac:dyDescent="0.3">
      <c r="A2311" s="130">
        <v>12274</v>
      </c>
      <c r="B2311" s="130">
        <v>30</v>
      </c>
      <c r="C2311" s="130" t="s">
        <v>3935</v>
      </c>
      <c r="D2311">
        <v>18709</v>
      </c>
      <c r="E2311" s="130">
        <v>61584223</v>
      </c>
      <c r="F2311" t="s">
        <v>87</v>
      </c>
      <c r="G2311">
        <v>9135</v>
      </c>
      <c r="H2311" t="s">
        <v>8953</v>
      </c>
      <c r="I2311" s="130">
        <v>3</v>
      </c>
      <c r="J2311" t="s">
        <v>3935</v>
      </c>
      <c r="K2311" t="s">
        <v>95</v>
      </c>
      <c r="L2311" t="s">
        <v>111</v>
      </c>
      <c r="M2311" t="s">
        <v>103</v>
      </c>
      <c r="N2311" t="s">
        <v>98</v>
      </c>
      <c r="O2311" t="s">
        <v>1345</v>
      </c>
    </row>
    <row r="2312" spans="1:15" x14ac:dyDescent="0.3">
      <c r="A2312" s="130">
        <v>12281</v>
      </c>
      <c r="B2312" s="130">
        <v>30</v>
      </c>
      <c r="C2312" s="130" t="s">
        <v>3936</v>
      </c>
      <c r="D2312">
        <v>18723</v>
      </c>
      <c r="E2312" s="131">
        <v>33841727</v>
      </c>
      <c r="F2312" t="s">
        <v>87</v>
      </c>
      <c r="G2312">
        <v>358</v>
      </c>
      <c r="H2312" t="s">
        <v>8951</v>
      </c>
      <c r="I2312" s="130">
        <v>10</v>
      </c>
      <c r="J2312" t="s">
        <v>3936</v>
      </c>
      <c r="K2312" t="s">
        <v>95</v>
      </c>
      <c r="L2312" t="s">
        <v>105</v>
      </c>
      <c r="M2312" t="s">
        <v>103</v>
      </c>
      <c r="N2312" t="s">
        <v>98</v>
      </c>
      <c r="O2312" t="s">
        <v>1345</v>
      </c>
    </row>
    <row r="2313" spans="1:15" x14ac:dyDescent="0.3">
      <c r="A2313" s="130">
        <v>12282</v>
      </c>
      <c r="B2313" s="130">
        <v>10</v>
      </c>
      <c r="C2313" s="130" t="s">
        <v>3937</v>
      </c>
      <c r="D2313">
        <v>18725</v>
      </c>
      <c r="E2313" s="131">
        <v>9611589</v>
      </c>
      <c r="F2313" t="s">
        <v>87</v>
      </c>
      <c r="G2313">
        <v>9135</v>
      </c>
      <c r="H2313" t="s">
        <v>8952</v>
      </c>
      <c r="I2313" s="130">
        <v>3</v>
      </c>
      <c r="J2313" t="s">
        <v>3937</v>
      </c>
      <c r="K2313" t="s">
        <v>108</v>
      </c>
      <c r="L2313" t="s">
        <v>111</v>
      </c>
      <c r="M2313" t="s">
        <v>133</v>
      </c>
      <c r="N2313" t="s">
        <v>98</v>
      </c>
      <c r="O2313" t="s">
        <v>116</v>
      </c>
    </row>
    <row r="2314" spans="1:15" x14ac:dyDescent="0.3">
      <c r="A2314" s="130">
        <v>12287</v>
      </c>
      <c r="B2314" s="130">
        <v>-1</v>
      </c>
      <c r="C2314" s="130" t="s">
        <v>3938</v>
      </c>
      <c r="D2314">
        <v>18727</v>
      </c>
      <c r="E2314" s="130">
        <v>21651403</v>
      </c>
      <c r="F2314" t="s">
        <v>87</v>
      </c>
      <c r="G2314">
        <v>9135</v>
      </c>
      <c r="H2314" t="s">
        <v>8953</v>
      </c>
      <c r="I2314" s="130">
        <v>10</v>
      </c>
      <c r="J2314" t="s">
        <v>3938</v>
      </c>
      <c r="K2314" t="s">
        <v>95</v>
      </c>
      <c r="L2314" t="s">
        <v>127</v>
      </c>
      <c r="M2314" t="s">
        <v>174</v>
      </c>
      <c r="N2314" t="s">
        <v>98</v>
      </c>
      <c r="O2314" t="s">
        <v>1345</v>
      </c>
    </row>
    <row r="2315" spans="1:15" x14ac:dyDescent="0.3">
      <c r="A2315" s="130">
        <v>12289</v>
      </c>
      <c r="B2315" s="130">
        <v>18</v>
      </c>
      <c r="C2315" s="130" t="s">
        <v>3939</v>
      </c>
      <c r="D2315">
        <v>18729</v>
      </c>
      <c r="E2315" s="130">
        <v>3406655</v>
      </c>
      <c r="F2315" t="s">
        <v>87</v>
      </c>
      <c r="G2315">
        <v>9135</v>
      </c>
      <c r="H2315" t="s">
        <v>8951</v>
      </c>
      <c r="I2315" s="130">
        <v>3</v>
      </c>
      <c r="J2315" t="s">
        <v>3939</v>
      </c>
      <c r="K2315" t="s">
        <v>108</v>
      </c>
      <c r="L2315" t="s">
        <v>111</v>
      </c>
      <c r="M2315" t="s">
        <v>112</v>
      </c>
      <c r="N2315" t="s">
        <v>98</v>
      </c>
      <c r="O2315" t="s">
        <v>116</v>
      </c>
    </row>
    <row r="2316" spans="1:15" x14ac:dyDescent="0.3">
      <c r="A2316" s="130">
        <v>12290</v>
      </c>
      <c r="B2316" s="130">
        <v>18</v>
      </c>
      <c r="C2316" s="130" t="s">
        <v>3940</v>
      </c>
      <c r="D2316">
        <v>18733</v>
      </c>
      <c r="E2316" s="130">
        <v>47307944</v>
      </c>
      <c r="F2316" t="s">
        <v>87</v>
      </c>
      <c r="G2316">
        <v>9135</v>
      </c>
      <c r="H2316" t="s">
        <v>8952</v>
      </c>
      <c r="I2316" s="130">
        <v>3</v>
      </c>
      <c r="J2316" t="s">
        <v>3940</v>
      </c>
      <c r="K2316" t="s">
        <v>108</v>
      </c>
      <c r="L2316" t="s">
        <v>111</v>
      </c>
      <c r="M2316" t="s">
        <v>112</v>
      </c>
      <c r="N2316" t="s">
        <v>98</v>
      </c>
      <c r="O2316" t="s">
        <v>1345</v>
      </c>
    </row>
    <row r="2317" spans="1:15" x14ac:dyDescent="0.3">
      <c r="A2317" s="130">
        <v>12293</v>
      </c>
      <c r="B2317" s="130">
        <v>18</v>
      </c>
      <c r="C2317" s="130" t="s">
        <v>3941</v>
      </c>
      <c r="D2317">
        <v>18736</v>
      </c>
      <c r="E2317" s="130">
        <v>47307944</v>
      </c>
      <c r="F2317" t="s">
        <v>87</v>
      </c>
      <c r="G2317">
        <v>9135</v>
      </c>
      <c r="H2317" t="s">
        <v>8953</v>
      </c>
      <c r="I2317" s="130">
        <v>3</v>
      </c>
      <c r="J2317" t="s">
        <v>3941</v>
      </c>
      <c r="K2317" t="s">
        <v>108</v>
      </c>
      <c r="L2317" t="s">
        <v>111</v>
      </c>
      <c r="M2317" t="s">
        <v>112</v>
      </c>
      <c r="N2317" t="s">
        <v>98</v>
      </c>
      <c r="O2317" t="s">
        <v>116</v>
      </c>
    </row>
    <row r="2318" spans="1:15" x14ac:dyDescent="0.3">
      <c r="A2318" s="130">
        <v>12298</v>
      </c>
      <c r="B2318" s="130">
        <v>30</v>
      </c>
      <c r="C2318" s="130" t="s">
        <v>3942</v>
      </c>
      <c r="D2318">
        <v>18741</v>
      </c>
      <c r="E2318" s="130">
        <v>20458968</v>
      </c>
      <c r="F2318" t="s">
        <v>87</v>
      </c>
      <c r="G2318">
        <v>9135</v>
      </c>
      <c r="H2318" t="s">
        <v>8951</v>
      </c>
      <c r="I2318" s="130">
        <v>3</v>
      </c>
      <c r="J2318" t="s">
        <v>3942</v>
      </c>
      <c r="K2318" t="s">
        <v>95</v>
      </c>
      <c r="L2318" t="s">
        <v>111</v>
      </c>
      <c r="M2318" t="s">
        <v>103</v>
      </c>
      <c r="N2318" t="s">
        <v>98</v>
      </c>
      <c r="O2318" t="s">
        <v>1345</v>
      </c>
    </row>
    <row r="2319" spans="1:15" x14ac:dyDescent="0.3">
      <c r="A2319" s="130">
        <v>12300</v>
      </c>
      <c r="B2319" s="130">
        <v>30</v>
      </c>
      <c r="C2319" s="130" t="s">
        <v>3943</v>
      </c>
      <c r="D2319">
        <v>18746</v>
      </c>
      <c r="E2319" s="131">
        <v>65088700</v>
      </c>
      <c r="F2319" t="s">
        <v>87</v>
      </c>
      <c r="G2319">
        <v>9135</v>
      </c>
      <c r="H2319" t="s">
        <v>8952</v>
      </c>
      <c r="I2319" s="130">
        <v>3</v>
      </c>
      <c r="J2319" t="s">
        <v>3943</v>
      </c>
      <c r="K2319" t="s">
        <v>95</v>
      </c>
      <c r="L2319" t="s">
        <v>111</v>
      </c>
      <c r="M2319" t="s">
        <v>103</v>
      </c>
      <c r="N2319" t="s">
        <v>98</v>
      </c>
      <c r="O2319" t="s">
        <v>1345</v>
      </c>
    </row>
    <row r="2320" spans="1:15" x14ac:dyDescent="0.3">
      <c r="A2320" s="130">
        <v>12306</v>
      </c>
      <c r="B2320" s="130">
        <v>30</v>
      </c>
      <c r="C2320" s="130" t="s">
        <v>3944</v>
      </c>
      <c r="D2320">
        <v>18753</v>
      </c>
      <c r="E2320" s="130">
        <v>1704488</v>
      </c>
      <c r="F2320" t="s">
        <v>87</v>
      </c>
      <c r="G2320">
        <v>358</v>
      </c>
      <c r="H2320" t="s">
        <v>8953</v>
      </c>
      <c r="I2320" s="130">
        <v>10</v>
      </c>
      <c r="J2320" t="s">
        <v>3944</v>
      </c>
      <c r="K2320" t="s">
        <v>95</v>
      </c>
      <c r="L2320" t="s">
        <v>105</v>
      </c>
      <c r="M2320" t="s">
        <v>103</v>
      </c>
      <c r="N2320" t="s">
        <v>98</v>
      </c>
      <c r="O2320" t="s">
        <v>1345</v>
      </c>
    </row>
    <row r="2321" spans="1:15" x14ac:dyDescent="0.3">
      <c r="A2321" s="130">
        <v>12321</v>
      </c>
      <c r="B2321" s="130">
        <v>30</v>
      </c>
      <c r="C2321" s="130" t="s">
        <v>3945</v>
      </c>
      <c r="D2321">
        <v>18773</v>
      </c>
      <c r="E2321" s="130">
        <v>56095862</v>
      </c>
      <c r="F2321" t="s">
        <v>87</v>
      </c>
      <c r="G2321">
        <v>9135</v>
      </c>
      <c r="H2321" t="s">
        <v>8951</v>
      </c>
      <c r="I2321" s="131">
        <v>18</v>
      </c>
      <c r="J2321" t="s">
        <v>3945</v>
      </c>
      <c r="K2321" t="s">
        <v>108</v>
      </c>
      <c r="L2321" t="s">
        <v>123</v>
      </c>
      <c r="M2321" t="s">
        <v>103</v>
      </c>
      <c r="N2321" t="s">
        <v>98</v>
      </c>
      <c r="O2321" t="s">
        <v>1345</v>
      </c>
    </row>
    <row r="2322" spans="1:15" x14ac:dyDescent="0.3">
      <c r="A2322" s="130">
        <v>12337</v>
      </c>
      <c r="B2322" s="130">
        <v>18</v>
      </c>
      <c r="C2322" s="130" t="s">
        <v>3946</v>
      </c>
      <c r="D2322">
        <v>18785</v>
      </c>
      <c r="E2322" s="131">
        <v>8056030</v>
      </c>
      <c r="F2322" t="s">
        <v>87</v>
      </c>
      <c r="G2322">
        <v>9135</v>
      </c>
      <c r="H2322" t="s">
        <v>8952</v>
      </c>
      <c r="I2322" s="130">
        <v>26</v>
      </c>
      <c r="J2322" t="s">
        <v>3946</v>
      </c>
      <c r="K2322" t="s">
        <v>95</v>
      </c>
      <c r="L2322" t="s">
        <v>151</v>
      </c>
      <c r="M2322" t="s">
        <v>112</v>
      </c>
      <c r="N2322" t="s">
        <v>169</v>
      </c>
      <c r="O2322" t="s">
        <v>1345</v>
      </c>
    </row>
    <row r="2323" spans="1:15" x14ac:dyDescent="0.3">
      <c r="A2323" s="130">
        <v>12340</v>
      </c>
      <c r="B2323" s="130">
        <v>18</v>
      </c>
      <c r="C2323" s="130" t="s">
        <v>3947</v>
      </c>
      <c r="D2323">
        <v>18788</v>
      </c>
      <c r="E2323" s="130">
        <v>46251157</v>
      </c>
      <c r="F2323" t="s">
        <v>87</v>
      </c>
      <c r="G2323">
        <v>9135</v>
      </c>
      <c r="H2323" t="s">
        <v>8953</v>
      </c>
      <c r="I2323" s="131">
        <v>10</v>
      </c>
      <c r="J2323" t="s">
        <v>3947</v>
      </c>
      <c r="K2323" t="s">
        <v>95</v>
      </c>
      <c r="L2323" t="s">
        <v>127</v>
      </c>
      <c r="M2323" t="s">
        <v>112</v>
      </c>
      <c r="N2323" t="s">
        <v>98</v>
      </c>
      <c r="O2323" t="s">
        <v>1345</v>
      </c>
    </row>
    <row r="2324" spans="1:15" x14ac:dyDescent="0.3">
      <c r="A2324" s="130">
        <v>12354</v>
      </c>
      <c r="B2324" s="130">
        <v>90</v>
      </c>
      <c r="C2324" s="130" t="s">
        <v>3948</v>
      </c>
      <c r="D2324">
        <v>18813</v>
      </c>
      <c r="E2324" s="130">
        <v>655209</v>
      </c>
      <c r="F2324" t="s">
        <v>87</v>
      </c>
      <c r="G2324">
        <v>9135</v>
      </c>
      <c r="H2324" t="s">
        <v>8951</v>
      </c>
      <c r="I2324" s="131">
        <v>9</v>
      </c>
      <c r="J2324" t="s">
        <v>3948</v>
      </c>
      <c r="K2324" t="s">
        <v>95</v>
      </c>
      <c r="L2324" t="s">
        <v>163</v>
      </c>
      <c r="M2324" t="s">
        <v>170</v>
      </c>
      <c r="N2324" t="s">
        <v>118</v>
      </c>
      <c r="O2324" t="s">
        <v>116</v>
      </c>
    </row>
    <row r="2325" spans="1:15" x14ac:dyDescent="0.3">
      <c r="A2325" s="130">
        <v>12363</v>
      </c>
      <c r="B2325" s="130">
        <v>30</v>
      </c>
      <c r="C2325" s="130" t="s">
        <v>3949</v>
      </c>
      <c r="D2325">
        <v>18822</v>
      </c>
      <c r="E2325" s="131">
        <v>2354917</v>
      </c>
      <c r="F2325" t="s">
        <v>87</v>
      </c>
      <c r="G2325">
        <v>9135</v>
      </c>
      <c r="H2325" t="s">
        <v>8952</v>
      </c>
      <c r="I2325" s="130">
        <v>18</v>
      </c>
      <c r="J2325" t="s">
        <v>3949</v>
      </c>
      <c r="K2325" t="s">
        <v>108</v>
      </c>
      <c r="L2325" t="s">
        <v>123</v>
      </c>
      <c r="M2325" t="s">
        <v>103</v>
      </c>
      <c r="N2325" t="s">
        <v>98</v>
      </c>
      <c r="O2325" t="s">
        <v>116</v>
      </c>
    </row>
    <row r="2326" spans="1:15" x14ac:dyDescent="0.3">
      <c r="A2326" s="130">
        <v>12372</v>
      </c>
      <c r="B2326" s="130">
        <v>18</v>
      </c>
      <c r="C2326" s="130" t="s">
        <v>3950</v>
      </c>
      <c r="D2326">
        <v>18833</v>
      </c>
      <c r="E2326" s="130">
        <v>15063096</v>
      </c>
      <c r="F2326" t="s">
        <v>87</v>
      </c>
      <c r="G2326">
        <v>358</v>
      </c>
      <c r="H2326" t="s">
        <v>8953</v>
      </c>
      <c r="I2326" s="131">
        <v>10</v>
      </c>
      <c r="J2326" t="s">
        <v>3950</v>
      </c>
      <c r="K2326" t="s">
        <v>95</v>
      </c>
      <c r="L2326" t="s">
        <v>105</v>
      </c>
      <c r="M2326" t="s">
        <v>112</v>
      </c>
      <c r="N2326" t="s">
        <v>98</v>
      </c>
      <c r="O2326" t="s">
        <v>1345</v>
      </c>
    </row>
    <row r="2327" spans="1:15" x14ac:dyDescent="0.3">
      <c r="A2327" s="130">
        <v>12382</v>
      </c>
      <c r="B2327" s="130">
        <v>30</v>
      </c>
      <c r="C2327" s="130" t="s">
        <v>3951</v>
      </c>
      <c r="D2327">
        <v>18848</v>
      </c>
      <c r="E2327" s="130">
        <v>10665151</v>
      </c>
      <c r="F2327" t="s">
        <v>87</v>
      </c>
      <c r="G2327">
        <v>9135</v>
      </c>
      <c r="H2327" t="s">
        <v>8951</v>
      </c>
      <c r="I2327" s="130">
        <v>18</v>
      </c>
      <c r="J2327" t="s">
        <v>3951</v>
      </c>
      <c r="K2327" t="s">
        <v>108</v>
      </c>
      <c r="L2327" t="s">
        <v>123</v>
      </c>
      <c r="M2327" t="s">
        <v>103</v>
      </c>
      <c r="N2327" t="s">
        <v>101</v>
      </c>
      <c r="O2327" t="s">
        <v>1345</v>
      </c>
    </row>
    <row r="2328" spans="1:15" x14ac:dyDescent="0.3">
      <c r="A2328" s="130">
        <v>12384</v>
      </c>
      <c r="B2328" s="130">
        <v>18</v>
      </c>
      <c r="C2328" s="130" t="s">
        <v>3952</v>
      </c>
      <c r="D2328">
        <v>18852</v>
      </c>
      <c r="E2328" s="130">
        <v>19381283</v>
      </c>
      <c r="F2328" t="s">
        <v>87</v>
      </c>
      <c r="G2328">
        <v>9135</v>
      </c>
      <c r="H2328" t="s">
        <v>8952</v>
      </c>
      <c r="I2328" s="130">
        <v>10</v>
      </c>
      <c r="J2328" t="s">
        <v>3952</v>
      </c>
      <c r="K2328" t="s">
        <v>108</v>
      </c>
      <c r="L2328" t="s">
        <v>127</v>
      </c>
      <c r="M2328" t="s">
        <v>112</v>
      </c>
      <c r="N2328" t="s">
        <v>118</v>
      </c>
      <c r="O2328" t="s">
        <v>1345</v>
      </c>
    </row>
    <row r="2329" spans="1:15" x14ac:dyDescent="0.3">
      <c r="A2329" s="130">
        <v>12385</v>
      </c>
      <c r="B2329" s="130">
        <v>10</v>
      </c>
      <c r="C2329" s="130" t="s">
        <v>3953</v>
      </c>
      <c r="D2329">
        <v>18854</v>
      </c>
      <c r="E2329" s="131">
        <v>46350863</v>
      </c>
      <c r="F2329" t="s">
        <v>87</v>
      </c>
      <c r="G2329">
        <v>358</v>
      </c>
      <c r="H2329" t="s">
        <v>8953</v>
      </c>
      <c r="I2329" s="130">
        <v>43</v>
      </c>
      <c r="J2329" t="s">
        <v>3953</v>
      </c>
      <c r="K2329" t="s">
        <v>95</v>
      </c>
      <c r="L2329" t="s">
        <v>105</v>
      </c>
      <c r="M2329" t="s">
        <v>133</v>
      </c>
      <c r="N2329" t="s">
        <v>98</v>
      </c>
      <c r="O2329" t="s">
        <v>116</v>
      </c>
    </row>
    <row r="2330" spans="1:15" x14ac:dyDescent="0.3">
      <c r="A2330" s="130">
        <v>12391</v>
      </c>
      <c r="B2330" s="130">
        <v>30</v>
      </c>
      <c r="C2330" s="130" t="s">
        <v>3954</v>
      </c>
      <c r="D2330">
        <v>18859</v>
      </c>
      <c r="E2330" s="130">
        <v>8343492</v>
      </c>
      <c r="F2330" t="s">
        <v>87</v>
      </c>
      <c r="G2330">
        <v>77</v>
      </c>
      <c r="H2330" t="s">
        <v>8951</v>
      </c>
      <c r="I2330" s="130">
        <v>18</v>
      </c>
      <c r="J2330" t="s">
        <v>3954</v>
      </c>
      <c r="K2330" t="s">
        <v>95</v>
      </c>
      <c r="L2330" t="s">
        <v>256</v>
      </c>
      <c r="M2330" t="s">
        <v>103</v>
      </c>
      <c r="N2330" t="s">
        <v>98</v>
      </c>
      <c r="O2330" t="s">
        <v>116</v>
      </c>
    </row>
    <row r="2331" spans="1:15" x14ac:dyDescent="0.3">
      <c r="A2331" s="130">
        <v>12395</v>
      </c>
      <c r="B2331" s="130">
        <v>30</v>
      </c>
      <c r="C2331" s="130" t="s">
        <v>3955</v>
      </c>
      <c r="D2331">
        <v>18867</v>
      </c>
      <c r="E2331" s="131">
        <v>82502196</v>
      </c>
      <c r="F2331" t="s">
        <v>87</v>
      </c>
      <c r="G2331">
        <v>9135</v>
      </c>
      <c r="H2331" t="s">
        <v>8952</v>
      </c>
      <c r="I2331" s="131">
        <v>10</v>
      </c>
      <c r="J2331" t="s">
        <v>3955</v>
      </c>
      <c r="K2331" t="s">
        <v>95</v>
      </c>
      <c r="L2331" t="s">
        <v>127</v>
      </c>
      <c r="M2331" t="s">
        <v>103</v>
      </c>
      <c r="N2331" t="s">
        <v>118</v>
      </c>
      <c r="O2331" t="s">
        <v>116</v>
      </c>
    </row>
    <row r="2332" spans="1:15" x14ac:dyDescent="0.3">
      <c r="A2332" s="130">
        <v>12410</v>
      </c>
      <c r="B2332" s="130">
        <v>28</v>
      </c>
      <c r="C2332" s="130" t="s">
        <v>3956</v>
      </c>
      <c r="D2332">
        <v>18885</v>
      </c>
      <c r="E2332" s="130">
        <v>7207251</v>
      </c>
      <c r="F2332" t="s">
        <v>87</v>
      </c>
      <c r="G2332">
        <v>9135</v>
      </c>
      <c r="H2332" t="s">
        <v>8953</v>
      </c>
      <c r="I2332" s="130">
        <v>3</v>
      </c>
      <c r="J2332" t="s">
        <v>3956</v>
      </c>
      <c r="K2332" t="s">
        <v>95</v>
      </c>
      <c r="L2332" t="s">
        <v>111</v>
      </c>
      <c r="M2332" t="s">
        <v>130</v>
      </c>
      <c r="N2332" t="s">
        <v>98</v>
      </c>
      <c r="O2332" t="s">
        <v>1345</v>
      </c>
    </row>
    <row r="2333" spans="1:15" x14ac:dyDescent="0.3">
      <c r="A2333" s="130">
        <v>12413</v>
      </c>
      <c r="B2333" s="130">
        <v>-1</v>
      </c>
      <c r="C2333" s="130" t="s">
        <v>3957</v>
      </c>
      <c r="D2333">
        <v>18892</v>
      </c>
      <c r="E2333" s="131">
        <v>29658922</v>
      </c>
      <c r="F2333" t="s">
        <v>87</v>
      </c>
      <c r="G2333">
        <v>9135</v>
      </c>
      <c r="H2333" t="s">
        <v>8951</v>
      </c>
      <c r="I2333" s="130">
        <v>10</v>
      </c>
      <c r="J2333" t="s">
        <v>3957</v>
      </c>
      <c r="K2333" t="s">
        <v>108</v>
      </c>
      <c r="L2333" t="s">
        <v>127</v>
      </c>
      <c r="M2333" t="s">
        <v>174</v>
      </c>
      <c r="N2333" t="s">
        <v>118</v>
      </c>
      <c r="O2333" t="s">
        <v>1345</v>
      </c>
    </row>
    <row r="2334" spans="1:15" x14ac:dyDescent="0.3">
      <c r="A2334" s="130">
        <v>12414</v>
      </c>
      <c r="B2334" s="130">
        <v>18</v>
      </c>
      <c r="C2334" s="130" t="s">
        <v>3958</v>
      </c>
      <c r="D2334">
        <v>18893</v>
      </c>
      <c r="E2334" s="130">
        <v>28426989</v>
      </c>
      <c r="F2334" t="s">
        <v>87</v>
      </c>
      <c r="G2334">
        <v>9135</v>
      </c>
      <c r="H2334" t="s">
        <v>8952</v>
      </c>
      <c r="I2334" s="131">
        <v>3</v>
      </c>
      <c r="J2334" t="s">
        <v>3958</v>
      </c>
      <c r="K2334" t="s">
        <v>95</v>
      </c>
      <c r="L2334" t="s">
        <v>111</v>
      </c>
      <c r="M2334" t="s">
        <v>112</v>
      </c>
      <c r="N2334" t="s">
        <v>98</v>
      </c>
      <c r="O2334" t="s">
        <v>116</v>
      </c>
    </row>
    <row r="2335" spans="1:15" x14ac:dyDescent="0.3">
      <c r="A2335" s="130">
        <v>12416</v>
      </c>
      <c r="B2335" s="130">
        <v>30</v>
      </c>
      <c r="C2335" s="130" t="s">
        <v>3959</v>
      </c>
      <c r="D2335">
        <v>18894</v>
      </c>
      <c r="E2335" s="130">
        <v>41109336</v>
      </c>
      <c r="F2335" t="s">
        <v>87</v>
      </c>
      <c r="G2335">
        <v>9135</v>
      </c>
      <c r="H2335" t="s">
        <v>8953</v>
      </c>
      <c r="I2335" s="130">
        <v>19</v>
      </c>
      <c r="J2335" t="s">
        <v>3959</v>
      </c>
      <c r="K2335" t="s">
        <v>108</v>
      </c>
      <c r="L2335" t="s">
        <v>146</v>
      </c>
      <c r="M2335" t="s">
        <v>103</v>
      </c>
      <c r="N2335" t="s">
        <v>98</v>
      </c>
      <c r="O2335" t="s">
        <v>116</v>
      </c>
    </row>
    <row r="2336" spans="1:15" x14ac:dyDescent="0.3">
      <c r="A2336" s="130">
        <v>12424</v>
      </c>
      <c r="B2336" s="130">
        <v>30</v>
      </c>
      <c r="C2336" s="130" t="s">
        <v>3960</v>
      </c>
      <c r="D2336">
        <v>18908</v>
      </c>
      <c r="E2336" s="130">
        <v>33841727</v>
      </c>
      <c r="F2336" t="s">
        <v>87</v>
      </c>
      <c r="G2336">
        <v>358</v>
      </c>
      <c r="H2336" t="s">
        <v>8951</v>
      </c>
      <c r="I2336" s="130">
        <v>10</v>
      </c>
      <c r="J2336" t="s">
        <v>3960</v>
      </c>
      <c r="K2336" t="s">
        <v>95</v>
      </c>
      <c r="L2336" t="s">
        <v>105</v>
      </c>
      <c r="M2336" t="s">
        <v>103</v>
      </c>
      <c r="N2336" t="s">
        <v>98</v>
      </c>
      <c r="O2336" t="s">
        <v>1345</v>
      </c>
    </row>
    <row r="2337" spans="1:15" x14ac:dyDescent="0.3">
      <c r="A2337" s="130">
        <v>12429</v>
      </c>
      <c r="B2337" s="130">
        <v>30</v>
      </c>
      <c r="C2337" s="130" t="s">
        <v>3961</v>
      </c>
      <c r="D2337">
        <v>18918</v>
      </c>
      <c r="E2337" s="131">
        <v>10584369</v>
      </c>
      <c r="F2337" t="s">
        <v>87</v>
      </c>
      <c r="G2337">
        <v>358</v>
      </c>
      <c r="H2337" t="s">
        <v>8952</v>
      </c>
      <c r="I2337" s="130">
        <v>43</v>
      </c>
      <c r="J2337" t="s">
        <v>3961</v>
      </c>
      <c r="K2337" t="s">
        <v>108</v>
      </c>
      <c r="L2337" t="s">
        <v>1241</v>
      </c>
      <c r="M2337" t="s">
        <v>103</v>
      </c>
      <c r="N2337" t="s">
        <v>98</v>
      </c>
      <c r="O2337" t="s">
        <v>1256</v>
      </c>
    </row>
    <row r="2338" spans="1:15" x14ac:dyDescent="0.3">
      <c r="A2338" s="130">
        <v>12431</v>
      </c>
      <c r="B2338" s="130">
        <v>-1</v>
      </c>
      <c r="C2338" s="130" t="s">
        <v>3962</v>
      </c>
      <c r="D2338">
        <v>18864</v>
      </c>
      <c r="E2338" s="131">
        <v>33630746</v>
      </c>
      <c r="F2338" t="s">
        <v>87</v>
      </c>
      <c r="G2338">
        <v>9135</v>
      </c>
      <c r="H2338" t="s">
        <v>8953</v>
      </c>
      <c r="I2338" s="131">
        <v>9</v>
      </c>
      <c r="J2338" t="s">
        <v>3962</v>
      </c>
      <c r="K2338" t="s">
        <v>108</v>
      </c>
      <c r="L2338" t="s">
        <v>163</v>
      </c>
      <c r="M2338" t="s">
        <v>174</v>
      </c>
      <c r="N2338" t="s">
        <v>98</v>
      </c>
      <c r="O2338" t="s">
        <v>116</v>
      </c>
    </row>
    <row r="2339" spans="1:15" x14ac:dyDescent="0.3">
      <c r="A2339" s="130">
        <v>12442</v>
      </c>
      <c r="B2339" s="130">
        <v>18</v>
      </c>
      <c r="C2339" s="130" t="s">
        <v>3963</v>
      </c>
      <c r="D2339">
        <v>18935</v>
      </c>
      <c r="E2339" s="131">
        <v>8056030</v>
      </c>
      <c r="F2339" t="s">
        <v>87</v>
      </c>
      <c r="G2339">
        <v>9135</v>
      </c>
      <c r="H2339" t="s">
        <v>8951</v>
      </c>
      <c r="I2339" s="130">
        <v>26</v>
      </c>
      <c r="J2339" t="s">
        <v>3963</v>
      </c>
      <c r="K2339" t="s">
        <v>95</v>
      </c>
      <c r="L2339" t="s">
        <v>151</v>
      </c>
      <c r="M2339" t="s">
        <v>112</v>
      </c>
      <c r="N2339" t="s">
        <v>169</v>
      </c>
      <c r="O2339" t="s">
        <v>1345</v>
      </c>
    </row>
    <row r="2340" spans="1:15" x14ac:dyDescent="0.3">
      <c r="A2340" s="130">
        <v>12447</v>
      </c>
      <c r="C2340" s="130" t="s">
        <v>3964</v>
      </c>
      <c r="D2340">
        <v>18469</v>
      </c>
      <c r="E2340" s="131">
        <v>30265100</v>
      </c>
      <c r="F2340" t="s">
        <v>113</v>
      </c>
      <c r="G2340">
        <v>77</v>
      </c>
      <c r="H2340" t="s">
        <v>8952</v>
      </c>
      <c r="I2340" s="131">
        <v>3</v>
      </c>
      <c r="J2340" t="s">
        <v>3964</v>
      </c>
      <c r="K2340" t="s">
        <v>95</v>
      </c>
      <c r="L2340" t="s">
        <v>235</v>
      </c>
      <c r="N2340" t="s">
        <v>114</v>
      </c>
      <c r="O2340" t="s">
        <v>1256</v>
      </c>
    </row>
    <row r="2341" spans="1:15" x14ac:dyDescent="0.3">
      <c r="A2341" s="130">
        <v>12448</v>
      </c>
      <c r="B2341" s="130">
        <v>21</v>
      </c>
      <c r="C2341" s="130" t="s">
        <v>3965</v>
      </c>
      <c r="D2341">
        <v>18947</v>
      </c>
      <c r="E2341" s="130">
        <v>2602726</v>
      </c>
      <c r="F2341" t="s">
        <v>87</v>
      </c>
      <c r="G2341">
        <v>9135</v>
      </c>
      <c r="H2341" t="s">
        <v>8953</v>
      </c>
      <c r="I2341" s="130">
        <v>3</v>
      </c>
      <c r="J2341" t="s">
        <v>3965</v>
      </c>
      <c r="K2341" t="s">
        <v>108</v>
      </c>
      <c r="L2341" t="s">
        <v>111</v>
      </c>
      <c r="M2341" t="s">
        <v>137</v>
      </c>
      <c r="N2341" t="s">
        <v>98</v>
      </c>
      <c r="O2341" t="s">
        <v>116</v>
      </c>
    </row>
    <row r="2342" spans="1:15" x14ac:dyDescent="0.3">
      <c r="A2342" s="130">
        <v>12453</v>
      </c>
      <c r="B2342" s="130">
        <v>30</v>
      </c>
      <c r="C2342" s="130" t="s">
        <v>3966</v>
      </c>
      <c r="D2342">
        <v>18954</v>
      </c>
      <c r="E2342" s="130">
        <v>2888032</v>
      </c>
      <c r="F2342" t="s">
        <v>87</v>
      </c>
      <c r="G2342">
        <v>9135</v>
      </c>
      <c r="H2342" t="s">
        <v>8951</v>
      </c>
      <c r="I2342" s="131">
        <v>3</v>
      </c>
      <c r="J2342" t="s">
        <v>3966</v>
      </c>
      <c r="K2342" t="s">
        <v>95</v>
      </c>
      <c r="L2342" t="s">
        <v>111</v>
      </c>
      <c r="M2342" t="s">
        <v>103</v>
      </c>
      <c r="N2342" t="s">
        <v>98</v>
      </c>
      <c r="O2342" t="s">
        <v>1345</v>
      </c>
    </row>
    <row r="2343" spans="1:15" x14ac:dyDescent="0.3">
      <c r="A2343" s="130">
        <v>12454</v>
      </c>
      <c r="B2343" s="130">
        <v>30</v>
      </c>
      <c r="C2343" s="130" t="s">
        <v>3967</v>
      </c>
      <c r="D2343">
        <v>18957</v>
      </c>
      <c r="E2343" s="131">
        <v>23921007</v>
      </c>
      <c r="F2343" t="s">
        <v>87</v>
      </c>
      <c r="G2343">
        <v>9135</v>
      </c>
      <c r="H2343" t="s">
        <v>8952</v>
      </c>
      <c r="I2343" s="131">
        <v>3</v>
      </c>
      <c r="J2343" t="s">
        <v>3967</v>
      </c>
      <c r="K2343" t="s">
        <v>95</v>
      </c>
      <c r="L2343" t="s">
        <v>1293</v>
      </c>
      <c r="M2343" t="s">
        <v>103</v>
      </c>
      <c r="N2343" t="s">
        <v>98</v>
      </c>
      <c r="O2343" t="s">
        <v>116</v>
      </c>
    </row>
    <row r="2344" spans="1:15" x14ac:dyDescent="0.3">
      <c r="A2344" s="130">
        <v>12470</v>
      </c>
      <c r="B2344" s="130">
        <v>30</v>
      </c>
      <c r="C2344" s="130" t="s">
        <v>3968</v>
      </c>
      <c r="D2344">
        <v>18979</v>
      </c>
      <c r="E2344" s="130">
        <v>3672857</v>
      </c>
      <c r="F2344" t="s">
        <v>87</v>
      </c>
      <c r="G2344">
        <v>9135</v>
      </c>
      <c r="H2344" t="s">
        <v>8953</v>
      </c>
      <c r="I2344" s="131">
        <v>10</v>
      </c>
      <c r="J2344" t="s">
        <v>3968</v>
      </c>
      <c r="K2344" t="s">
        <v>108</v>
      </c>
      <c r="L2344" t="s">
        <v>127</v>
      </c>
      <c r="M2344" t="s">
        <v>103</v>
      </c>
      <c r="N2344" t="s">
        <v>118</v>
      </c>
      <c r="O2344" t="s">
        <v>1345</v>
      </c>
    </row>
    <row r="2345" spans="1:15" x14ac:dyDescent="0.3">
      <c r="A2345" s="130">
        <v>12472</v>
      </c>
      <c r="B2345" s="130">
        <v>30</v>
      </c>
      <c r="C2345" s="130" t="s">
        <v>3969</v>
      </c>
      <c r="D2345">
        <v>18974</v>
      </c>
      <c r="E2345" s="131">
        <v>18540906</v>
      </c>
      <c r="F2345" t="s">
        <v>87</v>
      </c>
      <c r="G2345">
        <v>9135</v>
      </c>
      <c r="H2345" t="s">
        <v>8951</v>
      </c>
      <c r="I2345" s="130">
        <v>10</v>
      </c>
      <c r="J2345" t="s">
        <v>3969</v>
      </c>
      <c r="K2345" t="s">
        <v>95</v>
      </c>
      <c r="L2345" t="s">
        <v>127</v>
      </c>
      <c r="M2345" t="s">
        <v>103</v>
      </c>
      <c r="N2345" t="s">
        <v>118</v>
      </c>
      <c r="O2345" t="s">
        <v>116</v>
      </c>
    </row>
    <row r="2346" spans="1:15" x14ac:dyDescent="0.3">
      <c r="A2346" s="130">
        <v>12475</v>
      </c>
      <c r="B2346" s="130">
        <v>60</v>
      </c>
      <c r="C2346" s="130" t="s">
        <v>3970</v>
      </c>
      <c r="D2346">
        <v>18981</v>
      </c>
      <c r="E2346" s="130">
        <v>17500224</v>
      </c>
      <c r="F2346" t="s">
        <v>87</v>
      </c>
      <c r="G2346">
        <v>77</v>
      </c>
      <c r="H2346" t="s">
        <v>8952</v>
      </c>
      <c r="I2346" s="130">
        <v>3</v>
      </c>
      <c r="J2346" t="s">
        <v>3970</v>
      </c>
      <c r="K2346" t="s">
        <v>95</v>
      </c>
      <c r="L2346" t="s">
        <v>256</v>
      </c>
      <c r="M2346" t="s">
        <v>97</v>
      </c>
      <c r="N2346" t="s">
        <v>104</v>
      </c>
      <c r="O2346" t="s">
        <v>116</v>
      </c>
    </row>
    <row r="2347" spans="1:15" x14ac:dyDescent="0.3">
      <c r="A2347" s="130">
        <v>12479</v>
      </c>
      <c r="B2347" s="130">
        <v>30</v>
      </c>
      <c r="C2347" s="130" t="s">
        <v>3971</v>
      </c>
      <c r="D2347">
        <v>18989</v>
      </c>
      <c r="E2347" s="130">
        <v>27426196</v>
      </c>
      <c r="F2347" t="s">
        <v>87</v>
      </c>
      <c r="G2347">
        <v>9135</v>
      </c>
      <c r="H2347" t="s">
        <v>8953</v>
      </c>
      <c r="I2347" s="130">
        <v>3</v>
      </c>
      <c r="J2347" t="s">
        <v>3971</v>
      </c>
      <c r="K2347" t="s">
        <v>95</v>
      </c>
      <c r="L2347" t="s">
        <v>111</v>
      </c>
      <c r="M2347" t="s">
        <v>103</v>
      </c>
      <c r="N2347" t="s">
        <v>98</v>
      </c>
      <c r="O2347" t="s">
        <v>1345</v>
      </c>
    </row>
    <row r="2348" spans="1:15" x14ac:dyDescent="0.3">
      <c r="A2348" s="130">
        <v>12485</v>
      </c>
      <c r="B2348" s="130">
        <v>30</v>
      </c>
      <c r="C2348" s="130" t="s">
        <v>3972</v>
      </c>
      <c r="D2348">
        <v>18868</v>
      </c>
      <c r="E2348" s="131">
        <v>31259648</v>
      </c>
      <c r="F2348" t="s">
        <v>87</v>
      </c>
      <c r="G2348">
        <v>9135</v>
      </c>
      <c r="H2348" t="s">
        <v>8951</v>
      </c>
      <c r="I2348" s="131">
        <v>18</v>
      </c>
      <c r="J2348" t="s">
        <v>3972</v>
      </c>
      <c r="K2348" t="s">
        <v>95</v>
      </c>
      <c r="L2348" t="s">
        <v>123</v>
      </c>
      <c r="M2348" t="s">
        <v>103</v>
      </c>
      <c r="N2348" t="s">
        <v>98</v>
      </c>
      <c r="O2348" t="s">
        <v>116</v>
      </c>
    </row>
    <row r="2349" spans="1:15" x14ac:dyDescent="0.3">
      <c r="A2349" s="130">
        <v>12488</v>
      </c>
      <c r="B2349" s="130">
        <v>10</v>
      </c>
      <c r="C2349" s="130" t="s">
        <v>3973</v>
      </c>
      <c r="D2349">
        <v>19004</v>
      </c>
      <c r="E2349" s="131">
        <v>41570356</v>
      </c>
      <c r="F2349" t="s">
        <v>87</v>
      </c>
      <c r="G2349">
        <v>358</v>
      </c>
      <c r="H2349" t="s">
        <v>8952</v>
      </c>
      <c r="I2349" s="131">
        <v>19</v>
      </c>
      <c r="J2349" t="s">
        <v>3973</v>
      </c>
      <c r="K2349" t="s">
        <v>108</v>
      </c>
      <c r="L2349" t="s">
        <v>111</v>
      </c>
      <c r="M2349" t="s">
        <v>133</v>
      </c>
      <c r="N2349" t="s">
        <v>98</v>
      </c>
      <c r="O2349" t="s">
        <v>1345</v>
      </c>
    </row>
    <row r="2350" spans="1:15" x14ac:dyDescent="0.3">
      <c r="A2350" s="130">
        <v>12494</v>
      </c>
      <c r="B2350" s="130">
        <v>60</v>
      </c>
      <c r="C2350" s="130" t="s">
        <v>3974</v>
      </c>
      <c r="D2350">
        <v>19013</v>
      </c>
      <c r="E2350" s="131">
        <v>17162983</v>
      </c>
      <c r="F2350" t="s">
        <v>87</v>
      </c>
      <c r="G2350">
        <v>358</v>
      </c>
      <c r="H2350" t="s">
        <v>8953</v>
      </c>
      <c r="I2350" s="130">
        <v>10</v>
      </c>
      <c r="J2350" t="s">
        <v>3974</v>
      </c>
      <c r="K2350" t="s">
        <v>95</v>
      </c>
      <c r="L2350" t="s">
        <v>105</v>
      </c>
      <c r="M2350" t="s">
        <v>97</v>
      </c>
      <c r="N2350" t="s">
        <v>98</v>
      </c>
      <c r="O2350" t="s">
        <v>1345</v>
      </c>
    </row>
    <row r="2351" spans="1:15" x14ac:dyDescent="0.3">
      <c r="A2351" s="130">
        <v>12507</v>
      </c>
      <c r="B2351" s="130">
        <v>30</v>
      </c>
      <c r="C2351" s="130" t="s">
        <v>3975</v>
      </c>
      <c r="D2351">
        <v>19034</v>
      </c>
      <c r="E2351" s="130">
        <v>23347255</v>
      </c>
      <c r="F2351" t="s">
        <v>87</v>
      </c>
      <c r="G2351">
        <v>9135</v>
      </c>
      <c r="H2351" t="s">
        <v>8951</v>
      </c>
      <c r="I2351" s="131">
        <v>3</v>
      </c>
      <c r="J2351" t="s">
        <v>3975</v>
      </c>
      <c r="K2351" t="s">
        <v>108</v>
      </c>
      <c r="L2351" t="s">
        <v>111</v>
      </c>
      <c r="M2351" t="s">
        <v>103</v>
      </c>
      <c r="N2351" t="s">
        <v>98</v>
      </c>
      <c r="O2351" t="s">
        <v>1345</v>
      </c>
    </row>
    <row r="2352" spans="1:15" x14ac:dyDescent="0.3">
      <c r="A2352" s="130">
        <v>12518</v>
      </c>
      <c r="B2352" s="130">
        <v>18</v>
      </c>
      <c r="C2352" s="130" t="s">
        <v>3976</v>
      </c>
      <c r="D2352">
        <v>19056</v>
      </c>
      <c r="E2352" s="130">
        <v>38696365</v>
      </c>
      <c r="F2352" t="s">
        <v>87</v>
      </c>
      <c r="G2352">
        <v>358</v>
      </c>
      <c r="H2352" t="s">
        <v>8952</v>
      </c>
      <c r="I2352" s="130">
        <v>3</v>
      </c>
      <c r="J2352" t="s">
        <v>3976</v>
      </c>
      <c r="K2352" t="s">
        <v>95</v>
      </c>
      <c r="L2352" t="s">
        <v>105</v>
      </c>
      <c r="M2352" t="s">
        <v>112</v>
      </c>
      <c r="N2352" t="s">
        <v>98</v>
      </c>
      <c r="O2352" t="s">
        <v>1345</v>
      </c>
    </row>
    <row r="2353" spans="1:15" x14ac:dyDescent="0.3">
      <c r="A2353" s="130">
        <v>12531</v>
      </c>
      <c r="B2353" s="131" t="s">
        <v>227</v>
      </c>
      <c r="C2353" s="130" t="s">
        <v>3977</v>
      </c>
      <c r="D2353">
        <v>19079</v>
      </c>
      <c r="E2353" s="130">
        <v>39251498</v>
      </c>
      <c r="F2353" t="s">
        <v>87</v>
      </c>
      <c r="G2353">
        <v>9135</v>
      </c>
      <c r="H2353" t="s">
        <v>8953</v>
      </c>
      <c r="I2353" s="131">
        <v>3</v>
      </c>
      <c r="J2353" t="s">
        <v>3977</v>
      </c>
      <c r="K2353" t="s">
        <v>108</v>
      </c>
      <c r="L2353" t="s">
        <v>111</v>
      </c>
      <c r="M2353" t="s">
        <v>228</v>
      </c>
      <c r="N2353" t="s">
        <v>98</v>
      </c>
      <c r="O2353" t="s">
        <v>1345</v>
      </c>
    </row>
    <row r="2354" spans="1:15" x14ac:dyDescent="0.3">
      <c r="A2354" s="130">
        <v>12539</v>
      </c>
      <c r="B2354" s="130">
        <v>45</v>
      </c>
      <c r="C2354" s="130" t="s">
        <v>3978</v>
      </c>
      <c r="D2354">
        <v>19090</v>
      </c>
      <c r="E2354" s="130">
        <v>28789998</v>
      </c>
      <c r="F2354" t="s">
        <v>87</v>
      </c>
      <c r="G2354">
        <v>9135</v>
      </c>
      <c r="H2354" t="s">
        <v>8951</v>
      </c>
      <c r="I2354" s="130">
        <v>18</v>
      </c>
      <c r="J2354" t="s">
        <v>3978</v>
      </c>
      <c r="K2354" t="s">
        <v>95</v>
      </c>
      <c r="L2354" t="s">
        <v>120</v>
      </c>
      <c r="M2354" t="s">
        <v>106</v>
      </c>
      <c r="N2354" t="s">
        <v>114</v>
      </c>
      <c r="O2354" t="s">
        <v>116</v>
      </c>
    </row>
    <row r="2355" spans="1:15" x14ac:dyDescent="0.3">
      <c r="A2355" s="130">
        <v>12543</v>
      </c>
      <c r="B2355" s="130">
        <v>90</v>
      </c>
      <c r="C2355" s="130" t="s">
        <v>3979</v>
      </c>
      <c r="D2355">
        <v>19102</v>
      </c>
      <c r="E2355" s="130">
        <v>35234509</v>
      </c>
      <c r="F2355" t="s">
        <v>87</v>
      </c>
      <c r="G2355">
        <v>358</v>
      </c>
      <c r="H2355" t="s">
        <v>8952</v>
      </c>
      <c r="I2355" s="130">
        <v>19</v>
      </c>
      <c r="J2355" t="s">
        <v>3979</v>
      </c>
      <c r="K2355" t="s">
        <v>95</v>
      </c>
      <c r="L2355" t="s">
        <v>102</v>
      </c>
      <c r="M2355" t="s">
        <v>170</v>
      </c>
      <c r="N2355" t="s">
        <v>98</v>
      </c>
      <c r="O2355" t="s">
        <v>116</v>
      </c>
    </row>
    <row r="2356" spans="1:15" x14ac:dyDescent="0.3">
      <c r="A2356" s="130">
        <v>12544</v>
      </c>
      <c r="B2356" s="130">
        <v>30</v>
      </c>
      <c r="C2356" s="130" t="s">
        <v>3980</v>
      </c>
      <c r="D2356">
        <v>19106</v>
      </c>
      <c r="E2356" s="130">
        <v>21062047</v>
      </c>
      <c r="F2356" t="s">
        <v>87</v>
      </c>
      <c r="G2356">
        <v>9135</v>
      </c>
      <c r="H2356" t="s">
        <v>8953</v>
      </c>
      <c r="I2356" s="131">
        <v>3</v>
      </c>
      <c r="J2356" t="s">
        <v>3980</v>
      </c>
      <c r="K2356" t="s">
        <v>95</v>
      </c>
      <c r="L2356" t="s">
        <v>111</v>
      </c>
      <c r="M2356" t="s">
        <v>103</v>
      </c>
      <c r="N2356" t="s">
        <v>98</v>
      </c>
      <c r="O2356" t="s">
        <v>1345</v>
      </c>
    </row>
    <row r="2357" spans="1:15" x14ac:dyDescent="0.3">
      <c r="A2357" s="130">
        <v>12551</v>
      </c>
      <c r="B2357" s="130">
        <v>30</v>
      </c>
      <c r="C2357" s="130" t="s">
        <v>3981</v>
      </c>
      <c r="D2357">
        <v>19117</v>
      </c>
      <c r="E2357" s="130">
        <v>3364572</v>
      </c>
      <c r="F2357" t="s">
        <v>87</v>
      </c>
      <c r="G2357">
        <v>9135</v>
      </c>
      <c r="H2357" t="s">
        <v>8951</v>
      </c>
      <c r="I2357" s="130">
        <v>18</v>
      </c>
      <c r="J2357" t="s">
        <v>3981</v>
      </c>
      <c r="K2357" t="s">
        <v>108</v>
      </c>
      <c r="L2357" t="s">
        <v>1293</v>
      </c>
      <c r="M2357" t="s">
        <v>103</v>
      </c>
      <c r="N2357" t="s">
        <v>98</v>
      </c>
      <c r="O2357" t="s">
        <v>116</v>
      </c>
    </row>
    <row r="2358" spans="1:15" x14ac:dyDescent="0.3">
      <c r="A2358" s="130">
        <v>12557</v>
      </c>
      <c r="B2358" s="130">
        <v>30</v>
      </c>
      <c r="C2358" s="130" t="s">
        <v>3982</v>
      </c>
      <c r="D2358">
        <v>19124</v>
      </c>
      <c r="E2358" s="131">
        <v>47861580</v>
      </c>
      <c r="F2358" t="s">
        <v>87</v>
      </c>
      <c r="G2358">
        <v>358</v>
      </c>
      <c r="H2358" t="s">
        <v>8952</v>
      </c>
      <c r="I2358" s="131">
        <v>43</v>
      </c>
      <c r="J2358" t="s">
        <v>3982</v>
      </c>
      <c r="K2358" t="s">
        <v>95</v>
      </c>
      <c r="L2358" t="s">
        <v>111</v>
      </c>
      <c r="M2358" t="s">
        <v>103</v>
      </c>
      <c r="N2358" t="s">
        <v>98</v>
      </c>
      <c r="O2358" t="s">
        <v>1345</v>
      </c>
    </row>
    <row r="2359" spans="1:15" x14ac:dyDescent="0.3">
      <c r="A2359" s="130">
        <v>12566</v>
      </c>
      <c r="B2359" s="130">
        <v>30</v>
      </c>
      <c r="C2359" s="130" t="s">
        <v>3983</v>
      </c>
      <c r="D2359">
        <v>19134</v>
      </c>
      <c r="E2359" s="130">
        <v>4824051</v>
      </c>
      <c r="F2359" t="s">
        <v>87</v>
      </c>
      <c r="G2359">
        <v>358</v>
      </c>
      <c r="H2359" t="s">
        <v>8953</v>
      </c>
      <c r="I2359" s="131">
        <v>43</v>
      </c>
      <c r="J2359" t="s">
        <v>3983</v>
      </c>
      <c r="K2359" t="s">
        <v>108</v>
      </c>
      <c r="L2359" t="s">
        <v>173</v>
      </c>
      <c r="M2359" t="s">
        <v>103</v>
      </c>
      <c r="N2359" t="s">
        <v>114</v>
      </c>
      <c r="O2359" t="s">
        <v>1345</v>
      </c>
    </row>
    <row r="2360" spans="1:15" x14ac:dyDescent="0.3">
      <c r="A2360" s="130">
        <v>12569</v>
      </c>
      <c r="B2360" s="130">
        <v>30</v>
      </c>
      <c r="C2360" s="130" t="s">
        <v>3984</v>
      </c>
      <c r="D2360">
        <v>19137</v>
      </c>
      <c r="E2360" s="130">
        <v>5642273</v>
      </c>
      <c r="F2360" t="s">
        <v>87</v>
      </c>
      <c r="G2360">
        <v>9135</v>
      </c>
      <c r="H2360" t="s">
        <v>8951</v>
      </c>
      <c r="I2360" s="130">
        <v>10</v>
      </c>
      <c r="J2360" t="s">
        <v>3984</v>
      </c>
      <c r="K2360" t="s">
        <v>95</v>
      </c>
      <c r="L2360" t="s">
        <v>127</v>
      </c>
      <c r="M2360" t="s">
        <v>103</v>
      </c>
      <c r="N2360" t="s">
        <v>118</v>
      </c>
      <c r="O2360" t="s">
        <v>1345</v>
      </c>
    </row>
    <row r="2361" spans="1:15" x14ac:dyDescent="0.3">
      <c r="A2361" s="130">
        <v>12571</v>
      </c>
      <c r="B2361" s="130">
        <v>30</v>
      </c>
      <c r="C2361" s="130" t="s">
        <v>3985</v>
      </c>
      <c r="D2361">
        <v>19138</v>
      </c>
      <c r="E2361" s="130">
        <v>47589413</v>
      </c>
      <c r="F2361" t="s">
        <v>87</v>
      </c>
      <c r="G2361">
        <v>9135</v>
      </c>
      <c r="H2361" t="s">
        <v>8952</v>
      </c>
      <c r="I2361" s="131">
        <v>18</v>
      </c>
      <c r="J2361" t="s">
        <v>3985</v>
      </c>
      <c r="K2361" t="s">
        <v>95</v>
      </c>
      <c r="L2361" t="s">
        <v>123</v>
      </c>
      <c r="M2361" t="s">
        <v>103</v>
      </c>
      <c r="N2361" t="s">
        <v>152</v>
      </c>
      <c r="O2361" t="s">
        <v>1345</v>
      </c>
    </row>
    <row r="2362" spans="1:15" x14ac:dyDescent="0.3">
      <c r="A2362" s="130">
        <v>12575</v>
      </c>
      <c r="B2362" s="130">
        <v>60</v>
      </c>
      <c r="C2362" s="130" t="s">
        <v>3986</v>
      </c>
      <c r="D2362">
        <v>18920</v>
      </c>
      <c r="E2362" s="130">
        <v>12056613</v>
      </c>
      <c r="F2362" t="s">
        <v>87</v>
      </c>
      <c r="G2362">
        <v>77</v>
      </c>
      <c r="H2362" t="s">
        <v>8953</v>
      </c>
      <c r="I2362" s="130">
        <v>3</v>
      </c>
      <c r="J2362" t="s">
        <v>3986</v>
      </c>
      <c r="K2362" t="s">
        <v>95</v>
      </c>
      <c r="L2362" t="s">
        <v>256</v>
      </c>
      <c r="M2362" t="s">
        <v>97</v>
      </c>
      <c r="N2362" t="s">
        <v>118</v>
      </c>
      <c r="O2362" t="s">
        <v>116</v>
      </c>
    </row>
    <row r="2363" spans="1:15" x14ac:dyDescent="0.3">
      <c r="A2363" s="130">
        <v>12581</v>
      </c>
      <c r="B2363" s="130">
        <v>45</v>
      </c>
      <c r="C2363" s="130" t="s">
        <v>3987</v>
      </c>
      <c r="D2363">
        <v>19153</v>
      </c>
      <c r="E2363" s="131">
        <v>28789998</v>
      </c>
      <c r="F2363" t="s">
        <v>87</v>
      </c>
      <c r="G2363">
        <v>9135</v>
      </c>
      <c r="H2363" t="s">
        <v>8951</v>
      </c>
      <c r="I2363" s="131">
        <v>18</v>
      </c>
      <c r="J2363" t="s">
        <v>3987</v>
      </c>
      <c r="K2363" t="s">
        <v>95</v>
      </c>
      <c r="L2363" t="s">
        <v>120</v>
      </c>
      <c r="M2363" t="s">
        <v>106</v>
      </c>
      <c r="N2363" t="s">
        <v>114</v>
      </c>
      <c r="O2363" t="s">
        <v>116</v>
      </c>
    </row>
    <row r="2364" spans="1:15" x14ac:dyDescent="0.3">
      <c r="A2364" s="130">
        <v>12604</v>
      </c>
      <c r="B2364" s="130">
        <v>0</v>
      </c>
      <c r="C2364" s="130" t="s">
        <v>3988</v>
      </c>
      <c r="D2364">
        <v>19194</v>
      </c>
      <c r="E2364" s="131">
        <v>2287660</v>
      </c>
      <c r="F2364" t="s">
        <v>87</v>
      </c>
      <c r="G2364">
        <v>9135</v>
      </c>
      <c r="H2364" t="s">
        <v>8952</v>
      </c>
      <c r="I2364" s="130">
        <v>26</v>
      </c>
      <c r="J2364" t="s">
        <v>3988</v>
      </c>
      <c r="K2364" t="s">
        <v>108</v>
      </c>
      <c r="L2364" t="s">
        <v>151</v>
      </c>
      <c r="M2364" t="s">
        <v>100</v>
      </c>
      <c r="N2364" t="s">
        <v>98</v>
      </c>
      <c r="O2364" t="s">
        <v>1345</v>
      </c>
    </row>
    <row r="2365" spans="1:15" x14ac:dyDescent="0.3">
      <c r="A2365" s="130">
        <v>12607</v>
      </c>
      <c r="B2365" s="130">
        <v>30</v>
      </c>
      <c r="C2365" s="130" t="s">
        <v>3989</v>
      </c>
      <c r="D2365">
        <v>19197</v>
      </c>
      <c r="E2365" s="130">
        <v>40169643</v>
      </c>
      <c r="F2365" t="s">
        <v>87</v>
      </c>
      <c r="G2365">
        <v>9135</v>
      </c>
      <c r="H2365" t="s">
        <v>8953</v>
      </c>
      <c r="I2365" s="131">
        <v>18</v>
      </c>
      <c r="J2365" t="s">
        <v>3989</v>
      </c>
      <c r="K2365" t="s">
        <v>95</v>
      </c>
      <c r="L2365" t="s">
        <v>123</v>
      </c>
      <c r="M2365" t="s">
        <v>103</v>
      </c>
      <c r="N2365" t="s">
        <v>98</v>
      </c>
      <c r="O2365" t="s">
        <v>116</v>
      </c>
    </row>
    <row r="2366" spans="1:15" x14ac:dyDescent="0.3">
      <c r="A2366" s="130">
        <v>12608</v>
      </c>
      <c r="B2366" s="130">
        <v>28</v>
      </c>
      <c r="C2366" s="130" t="s">
        <v>3990</v>
      </c>
      <c r="D2366">
        <v>19195</v>
      </c>
      <c r="E2366" s="130">
        <v>10860319</v>
      </c>
      <c r="F2366" t="s">
        <v>87</v>
      </c>
      <c r="G2366">
        <v>9135</v>
      </c>
      <c r="H2366" t="s">
        <v>8951</v>
      </c>
      <c r="I2366" s="130">
        <v>37</v>
      </c>
      <c r="J2366" t="s">
        <v>3990</v>
      </c>
      <c r="K2366" t="s">
        <v>95</v>
      </c>
      <c r="L2366" t="s">
        <v>138</v>
      </c>
      <c r="M2366" t="s">
        <v>130</v>
      </c>
      <c r="N2366" t="s">
        <v>98</v>
      </c>
      <c r="O2366" t="s">
        <v>1345</v>
      </c>
    </row>
    <row r="2367" spans="1:15" x14ac:dyDescent="0.3">
      <c r="A2367" s="130">
        <v>12609</v>
      </c>
      <c r="B2367" s="130">
        <v>18</v>
      </c>
      <c r="C2367" s="130" t="s">
        <v>3991</v>
      </c>
      <c r="D2367">
        <v>19199</v>
      </c>
      <c r="E2367" s="130">
        <v>10639965</v>
      </c>
      <c r="F2367" t="s">
        <v>87</v>
      </c>
      <c r="G2367">
        <v>9135</v>
      </c>
      <c r="H2367" t="s">
        <v>8952</v>
      </c>
      <c r="I2367" s="130">
        <v>26</v>
      </c>
      <c r="J2367" t="s">
        <v>3991</v>
      </c>
      <c r="K2367" t="s">
        <v>108</v>
      </c>
      <c r="L2367" t="s">
        <v>151</v>
      </c>
      <c r="M2367" t="s">
        <v>112</v>
      </c>
      <c r="N2367" t="s">
        <v>98</v>
      </c>
      <c r="O2367" t="s">
        <v>116</v>
      </c>
    </row>
    <row r="2368" spans="1:15" x14ac:dyDescent="0.3">
      <c r="A2368" s="130">
        <v>12615</v>
      </c>
      <c r="B2368" s="130">
        <v>28</v>
      </c>
      <c r="C2368" s="130" t="s">
        <v>3992</v>
      </c>
      <c r="D2368">
        <v>19205</v>
      </c>
      <c r="E2368" s="131">
        <v>42133195</v>
      </c>
      <c r="F2368" t="s">
        <v>87</v>
      </c>
      <c r="G2368">
        <v>9135</v>
      </c>
      <c r="H2368" t="s">
        <v>8953</v>
      </c>
      <c r="I2368" s="130">
        <v>37</v>
      </c>
      <c r="J2368" t="s">
        <v>3992</v>
      </c>
      <c r="K2368" t="s">
        <v>95</v>
      </c>
      <c r="L2368" t="s">
        <v>138</v>
      </c>
      <c r="M2368" t="s">
        <v>130</v>
      </c>
      <c r="N2368" t="s">
        <v>150</v>
      </c>
      <c r="O2368" t="s">
        <v>1345</v>
      </c>
    </row>
    <row r="2369" spans="1:15" x14ac:dyDescent="0.3">
      <c r="A2369" s="130">
        <v>12622</v>
      </c>
      <c r="B2369" s="130">
        <v>10</v>
      </c>
      <c r="C2369" s="130" t="s">
        <v>3993</v>
      </c>
      <c r="D2369">
        <v>19217</v>
      </c>
      <c r="E2369" s="130">
        <v>237518</v>
      </c>
      <c r="F2369" t="s">
        <v>87</v>
      </c>
      <c r="G2369">
        <v>358</v>
      </c>
      <c r="H2369" t="s">
        <v>8951</v>
      </c>
      <c r="I2369" s="130">
        <v>10</v>
      </c>
      <c r="J2369" t="s">
        <v>3993</v>
      </c>
      <c r="K2369" t="s">
        <v>95</v>
      </c>
      <c r="L2369" t="s">
        <v>105</v>
      </c>
      <c r="M2369" t="s">
        <v>133</v>
      </c>
      <c r="N2369" t="s">
        <v>98</v>
      </c>
      <c r="O2369" t="s">
        <v>1345</v>
      </c>
    </row>
    <row r="2370" spans="1:15" x14ac:dyDescent="0.3">
      <c r="A2370" s="130">
        <v>12634</v>
      </c>
      <c r="B2370" s="130">
        <v>30</v>
      </c>
      <c r="C2370" s="130" t="s">
        <v>3994</v>
      </c>
      <c r="D2370">
        <v>19240</v>
      </c>
      <c r="E2370" s="130">
        <v>33841727</v>
      </c>
      <c r="F2370" t="s">
        <v>87</v>
      </c>
      <c r="G2370">
        <v>9135</v>
      </c>
      <c r="H2370" t="s">
        <v>8952</v>
      </c>
      <c r="I2370" s="130">
        <v>3</v>
      </c>
      <c r="J2370" t="s">
        <v>3994</v>
      </c>
      <c r="K2370" t="s">
        <v>95</v>
      </c>
      <c r="L2370" t="s">
        <v>111</v>
      </c>
      <c r="M2370" t="s">
        <v>103</v>
      </c>
      <c r="N2370" t="s">
        <v>98</v>
      </c>
      <c r="O2370" t="s">
        <v>1345</v>
      </c>
    </row>
    <row r="2371" spans="1:15" x14ac:dyDescent="0.3">
      <c r="A2371" s="130">
        <v>12635</v>
      </c>
      <c r="B2371" s="130">
        <v>30</v>
      </c>
      <c r="C2371" s="130" t="s">
        <v>3995</v>
      </c>
      <c r="D2371">
        <v>19241</v>
      </c>
      <c r="E2371" s="130">
        <v>23347255</v>
      </c>
      <c r="F2371" t="s">
        <v>87</v>
      </c>
      <c r="G2371">
        <v>9135</v>
      </c>
      <c r="H2371" t="s">
        <v>8953</v>
      </c>
      <c r="I2371" s="130">
        <v>3</v>
      </c>
      <c r="J2371" t="s">
        <v>3995</v>
      </c>
      <c r="K2371" t="s">
        <v>108</v>
      </c>
      <c r="L2371" t="s">
        <v>111</v>
      </c>
      <c r="M2371" t="s">
        <v>103</v>
      </c>
      <c r="N2371" t="s">
        <v>98</v>
      </c>
      <c r="O2371" t="s">
        <v>1345</v>
      </c>
    </row>
    <row r="2372" spans="1:15" x14ac:dyDescent="0.3">
      <c r="A2372" s="130">
        <v>12639</v>
      </c>
      <c r="B2372" s="130">
        <v>30</v>
      </c>
      <c r="C2372" s="130" t="s">
        <v>3996</v>
      </c>
      <c r="D2372">
        <v>19244</v>
      </c>
      <c r="E2372" s="130">
        <v>44772937</v>
      </c>
      <c r="F2372" t="s">
        <v>87</v>
      </c>
      <c r="G2372">
        <v>9135</v>
      </c>
      <c r="H2372" t="s">
        <v>8951</v>
      </c>
      <c r="I2372" s="130">
        <v>3</v>
      </c>
      <c r="J2372" t="s">
        <v>3996</v>
      </c>
      <c r="K2372" t="s">
        <v>108</v>
      </c>
      <c r="L2372" t="s">
        <v>111</v>
      </c>
      <c r="M2372" t="s">
        <v>103</v>
      </c>
      <c r="N2372" t="s">
        <v>98</v>
      </c>
      <c r="O2372" t="s">
        <v>116</v>
      </c>
    </row>
    <row r="2373" spans="1:15" x14ac:dyDescent="0.3">
      <c r="A2373" s="130">
        <v>12642</v>
      </c>
      <c r="B2373" s="130">
        <v>30</v>
      </c>
      <c r="C2373" s="130" t="s">
        <v>3997</v>
      </c>
      <c r="D2373">
        <v>19248</v>
      </c>
      <c r="E2373" s="130">
        <v>61099826</v>
      </c>
      <c r="F2373" t="s">
        <v>87</v>
      </c>
      <c r="G2373">
        <v>9135</v>
      </c>
      <c r="H2373" t="s">
        <v>8952</v>
      </c>
      <c r="I2373" s="131">
        <v>10</v>
      </c>
      <c r="J2373" t="s">
        <v>3997</v>
      </c>
      <c r="K2373" t="s">
        <v>95</v>
      </c>
      <c r="L2373" t="s">
        <v>127</v>
      </c>
      <c r="M2373" t="s">
        <v>103</v>
      </c>
      <c r="N2373" t="s">
        <v>118</v>
      </c>
      <c r="O2373" t="s">
        <v>1345</v>
      </c>
    </row>
    <row r="2374" spans="1:15" x14ac:dyDescent="0.3">
      <c r="A2374" s="130">
        <v>12660</v>
      </c>
      <c r="B2374" s="130">
        <v>18</v>
      </c>
      <c r="C2374" s="130" t="s">
        <v>3998</v>
      </c>
      <c r="D2374">
        <v>19276</v>
      </c>
      <c r="E2374" s="130">
        <v>21144723</v>
      </c>
      <c r="F2374" t="s">
        <v>87</v>
      </c>
      <c r="G2374">
        <v>9135</v>
      </c>
      <c r="H2374" t="s">
        <v>8953</v>
      </c>
      <c r="I2374" s="131">
        <v>37</v>
      </c>
      <c r="J2374" t="s">
        <v>3998</v>
      </c>
      <c r="K2374" t="s">
        <v>95</v>
      </c>
      <c r="L2374" t="s">
        <v>138</v>
      </c>
      <c r="M2374" t="s">
        <v>112</v>
      </c>
      <c r="N2374" t="s">
        <v>150</v>
      </c>
      <c r="O2374" t="s">
        <v>1345</v>
      </c>
    </row>
    <row r="2375" spans="1:15" x14ac:dyDescent="0.3">
      <c r="A2375" s="130">
        <v>12664</v>
      </c>
      <c r="B2375" s="130">
        <v>60</v>
      </c>
      <c r="C2375" s="130" t="s">
        <v>3999</v>
      </c>
      <c r="D2375">
        <v>19281</v>
      </c>
      <c r="E2375" s="131">
        <v>24013278</v>
      </c>
      <c r="F2375" t="s">
        <v>87</v>
      </c>
      <c r="G2375">
        <v>76</v>
      </c>
      <c r="H2375" t="s">
        <v>8951</v>
      </c>
      <c r="I2375" s="131">
        <v>26</v>
      </c>
      <c r="J2375" t="s">
        <v>3999</v>
      </c>
      <c r="K2375" t="s">
        <v>95</v>
      </c>
      <c r="L2375" t="s">
        <v>102</v>
      </c>
      <c r="M2375" t="s">
        <v>97</v>
      </c>
      <c r="N2375" t="s">
        <v>101</v>
      </c>
      <c r="O2375" t="s">
        <v>116</v>
      </c>
    </row>
    <row r="2376" spans="1:15" x14ac:dyDescent="0.3">
      <c r="A2376" s="130">
        <v>12670</v>
      </c>
      <c r="B2376" s="130">
        <v>60</v>
      </c>
      <c r="C2376" s="130" t="s">
        <v>4000</v>
      </c>
      <c r="D2376">
        <v>19288</v>
      </c>
      <c r="E2376" s="131">
        <v>92660604</v>
      </c>
      <c r="F2376" t="s">
        <v>87</v>
      </c>
      <c r="G2376">
        <v>77</v>
      </c>
      <c r="H2376" t="s">
        <v>8952</v>
      </c>
      <c r="I2376" s="130">
        <v>24</v>
      </c>
      <c r="J2376" t="s">
        <v>4000</v>
      </c>
      <c r="K2376" t="s">
        <v>95</v>
      </c>
      <c r="L2376" t="s">
        <v>117</v>
      </c>
      <c r="M2376" t="s">
        <v>97</v>
      </c>
      <c r="N2376" t="s">
        <v>114</v>
      </c>
      <c r="O2376" t="s">
        <v>116</v>
      </c>
    </row>
    <row r="2377" spans="1:15" x14ac:dyDescent="0.3">
      <c r="A2377" s="130">
        <v>12675</v>
      </c>
      <c r="B2377" s="130">
        <v>60</v>
      </c>
      <c r="C2377" s="130" t="s">
        <v>4001</v>
      </c>
      <c r="D2377">
        <v>19296</v>
      </c>
      <c r="E2377" s="131">
        <v>24013278</v>
      </c>
      <c r="F2377" t="s">
        <v>87</v>
      </c>
      <c r="G2377">
        <v>76</v>
      </c>
      <c r="H2377" t="s">
        <v>8953</v>
      </c>
      <c r="I2377" s="130">
        <v>3</v>
      </c>
      <c r="J2377" t="s">
        <v>4001</v>
      </c>
      <c r="K2377" t="s">
        <v>95</v>
      </c>
      <c r="L2377" t="s">
        <v>102</v>
      </c>
      <c r="M2377" t="s">
        <v>97</v>
      </c>
      <c r="N2377" t="s">
        <v>114</v>
      </c>
      <c r="O2377" t="s">
        <v>116</v>
      </c>
    </row>
    <row r="2378" spans="1:15" x14ac:dyDescent="0.3">
      <c r="A2378" s="130">
        <v>12684</v>
      </c>
      <c r="B2378" s="130">
        <v>18</v>
      </c>
      <c r="C2378" s="130" t="s">
        <v>4002</v>
      </c>
      <c r="D2378">
        <v>19311</v>
      </c>
      <c r="E2378" s="131">
        <v>28426989</v>
      </c>
      <c r="F2378" t="s">
        <v>87</v>
      </c>
      <c r="G2378">
        <v>9135</v>
      </c>
      <c r="H2378" t="s">
        <v>8951</v>
      </c>
      <c r="I2378" s="131">
        <v>3</v>
      </c>
      <c r="J2378" t="s">
        <v>4002</v>
      </c>
      <c r="K2378" t="s">
        <v>95</v>
      </c>
      <c r="L2378" t="s">
        <v>111</v>
      </c>
      <c r="M2378" t="s">
        <v>112</v>
      </c>
      <c r="N2378" t="s">
        <v>98</v>
      </c>
      <c r="O2378" t="s">
        <v>116</v>
      </c>
    </row>
    <row r="2379" spans="1:15" x14ac:dyDescent="0.3">
      <c r="A2379" s="130">
        <v>12694</v>
      </c>
      <c r="B2379" s="130">
        <v>28</v>
      </c>
      <c r="C2379" s="130" t="s">
        <v>4003</v>
      </c>
      <c r="D2379">
        <v>19328</v>
      </c>
      <c r="E2379" s="131">
        <v>7207251</v>
      </c>
      <c r="F2379" t="s">
        <v>87</v>
      </c>
      <c r="G2379">
        <v>9135</v>
      </c>
      <c r="H2379" t="s">
        <v>8952</v>
      </c>
      <c r="I2379" s="130">
        <v>18</v>
      </c>
      <c r="J2379" t="s">
        <v>4003</v>
      </c>
      <c r="K2379" t="s">
        <v>95</v>
      </c>
      <c r="L2379" t="s">
        <v>111</v>
      </c>
      <c r="M2379" t="s">
        <v>130</v>
      </c>
      <c r="N2379" t="s">
        <v>98</v>
      </c>
      <c r="O2379" t="s">
        <v>1345</v>
      </c>
    </row>
    <row r="2380" spans="1:15" x14ac:dyDescent="0.3">
      <c r="A2380" s="130">
        <v>12695</v>
      </c>
      <c r="B2380" s="130">
        <v>30</v>
      </c>
      <c r="C2380" s="130" t="s">
        <v>4004</v>
      </c>
      <c r="D2380">
        <v>19330</v>
      </c>
      <c r="E2380" s="130">
        <v>63567820</v>
      </c>
      <c r="F2380" t="s">
        <v>87</v>
      </c>
      <c r="G2380">
        <v>9135</v>
      </c>
      <c r="H2380" t="s">
        <v>8953</v>
      </c>
      <c r="I2380" s="130">
        <v>9</v>
      </c>
      <c r="J2380" t="s">
        <v>4004</v>
      </c>
      <c r="K2380" t="s">
        <v>95</v>
      </c>
      <c r="L2380" t="s">
        <v>125</v>
      </c>
      <c r="M2380" t="s">
        <v>103</v>
      </c>
      <c r="N2380" t="s">
        <v>98</v>
      </c>
      <c r="O2380" t="s">
        <v>1345</v>
      </c>
    </row>
    <row r="2381" spans="1:15" x14ac:dyDescent="0.3">
      <c r="A2381" s="130">
        <v>12698</v>
      </c>
      <c r="B2381" s="130">
        <v>60</v>
      </c>
      <c r="C2381" s="130" t="s">
        <v>4005</v>
      </c>
      <c r="D2381">
        <v>19333</v>
      </c>
      <c r="E2381" s="130">
        <v>24013278</v>
      </c>
      <c r="F2381" t="s">
        <v>87</v>
      </c>
      <c r="G2381">
        <v>76</v>
      </c>
      <c r="H2381" t="s">
        <v>8951</v>
      </c>
      <c r="I2381" s="130">
        <v>9</v>
      </c>
      <c r="J2381" t="s">
        <v>4005</v>
      </c>
      <c r="K2381" t="s">
        <v>95</v>
      </c>
      <c r="L2381" t="s">
        <v>102</v>
      </c>
      <c r="M2381" t="s">
        <v>97</v>
      </c>
      <c r="N2381" t="s">
        <v>101</v>
      </c>
      <c r="O2381" t="s">
        <v>1345</v>
      </c>
    </row>
    <row r="2382" spans="1:15" x14ac:dyDescent="0.3">
      <c r="A2382" s="130">
        <v>12699</v>
      </c>
      <c r="B2382" s="130">
        <v>18</v>
      </c>
      <c r="C2382" s="130" t="s">
        <v>4006</v>
      </c>
      <c r="D2382">
        <v>19336</v>
      </c>
      <c r="E2382" s="130">
        <v>3406655</v>
      </c>
      <c r="F2382" t="s">
        <v>87</v>
      </c>
      <c r="G2382">
        <v>9135</v>
      </c>
      <c r="H2382" t="s">
        <v>8952</v>
      </c>
      <c r="I2382" s="130">
        <v>3</v>
      </c>
      <c r="J2382" t="s">
        <v>4006</v>
      </c>
      <c r="K2382" t="s">
        <v>108</v>
      </c>
      <c r="L2382" t="s">
        <v>111</v>
      </c>
      <c r="M2382" t="s">
        <v>112</v>
      </c>
      <c r="N2382" t="s">
        <v>98</v>
      </c>
      <c r="O2382" t="s">
        <v>116</v>
      </c>
    </row>
    <row r="2383" spans="1:15" x14ac:dyDescent="0.3">
      <c r="A2383" s="130">
        <v>12700</v>
      </c>
      <c r="B2383" s="130">
        <v>90</v>
      </c>
      <c r="C2383" s="130" t="s">
        <v>4007</v>
      </c>
      <c r="D2383">
        <v>19337</v>
      </c>
      <c r="E2383" s="130">
        <v>655209</v>
      </c>
      <c r="F2383" t="s">
        <v>87</v>
      </c>
      <c r="G2383">
        <v>9135</v>
      </c>
      <c r="H2383" t="s">
        <v>8953</v>
      </c>
      <c r="I2383" s="131">
        <v>9</v>
      </c>
      <c r="J2383" t="s">
        <v>4007</v>
      </c>
      <c r="K2383" t="s">
        <v>95</v>
      </c>
      <c r="L2383" t="s">
        <v>163</v>
      </c>
      <c r="M2383" t="s">
        <v>170</v>
      </c>
      <c r="N2383" t="s">
        <v>118</v>
      </c>
      <c r="O2383" t="s">
        <v>116</v>
      </c>
    </row>
    <row r="2384" spans="1:15" x14ac:dyDescent="0.3">
      <c r="A2384" s="130">
        <v>12701</v>
      </c>
      <c r="B2384" s="130">
        <v>60</v>
      </c>
      <c r="C2384" s="130" t="s">
        <v>4008</v>
      </c>
      <c r="D2384">
        <v>19338</v>
      </c>
      <c r="E2384" s="131">
        <v>24013278</v>
      </c>
      <c r="F2384" t="s">
        <v>87</v>
      </c>
      <c r="G2384">
        <v>76</v>
      </c>
      <c r="H2384" t="s">
        <v>8951</v>
      </c>
      <c r="I2384" s="130">
        <v>43</v>
      </c>
      <c r="J2384" t="s">
        <v>4008</v>
      </c>
      <c r="K2384" t="s">
        <v>95</v>
      </c>
      <c r="L2384" t="s">
        <v>102</v>
      </c>
      <c r="M2384" t="s">
        <v>97</v>
      </c>
      <c r="N2384" t="s">
        <v>101</v>
      </c>
      <c r="O2384" t="s">
        <v>116</v>
      </c>
    </row>
    <row r="2385" spans="1:15" x14ac:dyDescent="0.3">
      <c r="A2385" s="130">
        <v>12702</v>
      </c>
      <c r="B2385" s="130">
        <v>60</v>
      </c>
      <c r="C2385" s="130" t="s">
        <v>4009</v>
      </c>
      <c r="D2385">
        <v>19342</v>
      </c>
      <c r="E2385" s="131">
        <v>24013278</v>
      </c>
      <c r="F2385" t="s">
        <v>87</v>
      </c>
      <c r="G2385">
        <v>76</v>
      </c>
      <c r="H2385" t="s">
        <v>8952</v>
      </c>
      <c r="I2385" s="131">
        <v>37</v>
      </c>
      <c r="J2385" t="s">
        <v>4009</v>
      </c>
      <c r="K2385" t="s">
        <v>95</v>
      </c>
      <c r="L2385" t="s">
        <v>102</v>
      </c>
      <c r="M2385" t="s">
        <v>97</v>
      </c>
      <c r="N2385" t="s">
        <v>101</v>
      </c>
      <c r="O2385" t="s">
        <v>116</v>
      </c>
    </row>
    <row r="2386" spans="1:15" x14ac:dyDescent="0.3">
      <c r="A2386" s="130">
        <v>12708</v>
      </c>
      <c r="B2386" s="130">
        <v>60</v>
      </c>
      <c r="C2386" s="130" t="s">
        <v>4010</v>
      </c>
      <c r="D2386">
        <v>19091</v>
      </c>
      <c r="E2386" s="131">
        <v>12056613</v>
      </c>
      <c r="F2386" t="s">
        <v>87</v>
      </c>
      <c r="G2386">
        <v>77</v>
      </c>
      <c r="H2386" t="s">
        <v>8953</v>
      </c>
      <c r="I2386" s="130">
        <v>3</v>
      </c>
      <c r="J2386" t="s">
        <v>4010</v>
      </c>
      <c r="K2386" t="s">
        <v>95</v>
      </c>
      <c r="L2386" t="s">
        <v>256</v>
      </c>
      <c r="M2386" t="s">
        <v>97</v>
      </c>
      <c r="N2386" t="s">
        <v>118</v>
      </c>
      <c r="O2386" t="s">
        <v>116</v>
      </c>
    </row>
    <row r="2387" spans="1:15" x14ac:dyDescent="0.3">
      <c r="A2387" s="130">
        <v>12709</v>
      </c>
      <c r="B2387" s="130">
        <v>60</v>
      </c>
      <c r="C2387" s="130" t="s">
        <v>4011</v>
      </c>
      <c r="D2387">
        <v>19348</v>
      </c>
      <c r="E2387" s="130">
        <v>24013278</v>
      </c>
      <c r="F2387" t="s">
        <v>87</v>
      </c>
      <c r="G2387">
        <v>76</v>
      </c>
      <c r="H2387" t="s">
        <v>8951</v>
      </c>
      <c r="I2387" s="131">
        <v>19</v>
      </c>
      <c r="J2387" t="s">
        <v>4011</v>
      </c>
      <c r="K2387" t="s">
        <v>95</v>
      </c>
      <c r="L2387" t="s">
        <v>102</v>
      </c>
      <c r="M2387" t="s">
        <v>97</v>
      </c>
      <c r="N2387" t="s">
        <v>101</v>
      </c>
      <c r="O2387" t="s">
        <v>116</v>
      </c>
    </row>
    <row r="2388" spans="1:15" x14ac:dyDescent="0.3">
      <c r="A2388" s="130">
        <v>12714</v>
      </c>
      <c r="B2388" s="130">
        <v>60</v>
      </c>
      <c r="C2388" s="130" t="s">
        <v>4012</v>
      </c>
      <c r="D2388">
        <v>19354</v>
      </c>
      <c r="E2388" s="131">
        <v>4305071</v>
      </c>
      <c r="F2388" t="s">
        <v>87</v>
      </c>
      <c r="G2388">
        <v>9135</v>
      </c>
      <c r="H2388" t="s">
        <v>8952</v>
      </c>
      <c r="I2388" s="130">
        <v>3</v>
      </c>
      <c r="J2388" t="s">
        <v>4012</v>
      </c>
      <c r="K2388" t="s">
        <v>95</v>
      </c>
      <c r="L2388" t="s">
        <v>111</v>
      </c>
      <c r="M2388" t="s">
        <v>97</v>
      </c>
      <c r="N2388" t="s">
        <v>98</v>
      </c>
      <c r="O2388" t="s">
        <v>1345</v>
      </c>
    </row>
    <row r="2389" spans="1:15" x14ac:dyDescent="0.3">
      <c r="A2389" s="130">
        <v>12742</v>
      </c>
      <c r="B2389" s="130">
        <v>30</v>
      </c>
      <c r="C2389" s="130" t="s">
        <v>4013</v>
      </c>
      <c r="D2389">
        <v>19388</v>
      </c>
      <c r="E2389" s="131">
        <v>33000167</v>
      </c>
      <c r="F2389" t="s">
        <v>87</v>
      </c>
      <c r="G2389">
        <v>76</v>
      </c>
      <c r="H2389" t="s">
        <v>8953</v>
      </c>
      <c r="I2389" s="130">
        <v>24</v>
      </c>
      <c r="J2389" t="s">
        <v>4013</v>
      </c>
      <c r="K2389" t="s">
        <v>95</v>
      </c>
      <c r="L2389" t="s">
        <v>102</v>
      </c>
      <c r="M2389" t="s">
        <v>103</v>
      </c>
      <c r="N2389" t="s">
        <v>114</v>
      </c>
      <c r="O2389" t="s">
        <v>116</v>
      </c>
    </row>
    <row r="2390" spans="1:15" x14ac:dyDescent="0.3">
      <c r="A2390" s="130">
        <v>12771</v>
      </c>
      <c r="B2390" s="130">
        <v>60</v>
      </c>
      <c r="C2390" s="130" t="s">
        <v>4014</v>
      </c>
      <c r="D2390">
        <v>19447</v>
      </c>
      <c r="E2390" s="130">
        <v>24013278</v>
      </c>
      <c r="F2390" t="s">
        <v>87</v>
      </c>
      <c r="G2390">
        <v>76</v>
      </c>
      <c r="H2390" t="s">
        <v>8951</v>
      </c>
      <c r="I2390" s="130">
        <v>24</v>
      </c>
      <c r="J2390" t="s">
        <v>4014</v>
      </c>
      <c r="K2390" t="s">
        <v>95</v>
      </c>
      <c r="L2390" t="s">
        <v>102</v>
      </c>
      <c r="M2390" t="s">
        <v>97</v>
      </c>
      <c r="N2390" t="s">
        <v>101</v>
      </c>
      <c r="O2390" t="s">
        <v>1345</v>
      </c>
    </row>
    <row r="2391" spans="1:15" x14ac:dyDescent="0.3">
      <c r="A2391" s="130">
        <v>12778</v>
      </c>
      <c r="B2391" s="130">
        <v>-1</v>
      </c>
      <c r="C2391" s="130" t="s">
        <v>4015</v>
      </c>
      <c r="D2391">
        <v>19460</v>
      </c>
      <c r="E2391" s="130">
        <v>34936166</v>
      </c>
      <c r="F2391" t="s">
        <v>87</v>
      </c>
      <c r="G2391">
        <v>9135</v>
      </c>
      <c r="H2391" t="s">
        <v>8952</v>
      </c>
      <c r="I2391" s="130">
        <v>24</v>
      </c>
      <c r="J2391" t="s">
        <v>4015</v>
      </c>
      <c r="K2391" t="s">
        <v>108</v>
      </c>
      <c r="L2391" t="s">
        <v>191</v>
      </c>
      <c r="M2391" t="s">
        <v>174</v>
      </c>
      <c r="N2391" t="s">
        <v>152</v>
      </c>
      <c r="O2391" t="s">
        <v>1345</v>
      </c>
    </row>
    <row r="2392" spans="1:15" x14ac:dyDescent="0.3">
      <c r="A2392" s="130">
        <v>12780</v>
      </c>
      <c r="B2392" s="130">
        <v>60</v>
      </c>
      <c r="C2392" s="130" t="s">
        <v>4016</v>
      </c>
      <c r="D2392">
        <v>19463</v>
      </c>
      <c r="E2392" s="131">
        <v>24013278</v>
      </c>
      <c r="F2392" t="s">
        <v>87</v>
      </c>
      <c r="G2392">
        <v>76</v>
      </c>
      <c r="H2392" t="s">
        <v>8953</v>
      </c>
      <c r="I2392" s="130">
        <v>18</v>
      </c>
      <c r="J2392" t="s">
        <v>4016</v>
      </c>
      <c r="K2392" t="s">
        <v>95</v>
      </c>
      <c r="L2392" t="s">
        <v>102</v>
      </c>
      <c r="M2392" t="s">
        <v>97</v>
      </c>
      <c r="N2392" t="s">
        <v>101</v>
      </c>
      <c r="O2392" t="s">
        <v>116</v>
      </c>
    </row>
    <row r="2393" spans="1:15" x14ac:dyDescent="0.3">
      <c r="A2393" s="130">
        <v>12781</v>
      </c>
      <c r="B2393" s="130">
        <v>21</v>
      </c>
      <c r="C2393" s="130" t="s">
        <v>4017</v>
      </c>
      <c r="D2393">
        <v>19464</v>
      </c>
      <c r="E2393" s="130">
        <v>2424391</v>
      </c>
      <c r="F2393" t="s">
        <v>87</v>
      </c>
      <c r="G2393">
        <v>9135</v>
      </c>
      <c r="H2393" t="s">
        <v>8951</v>
      </c>
      <c r="I2393" s="130">
        <v>3</v>
      </c>
      <c r="J2393" t="s">
        <v>4017</v>
      </c>
      <c r="K2393" t="s">
        <v>108</v>
      </c>
      <c r="L2393" t="s">
        <v>111</v>
      </c>
      <c r="M2393" t="s">
        <v>137</v>
      </c>
      <c r="N2393" t="s">
        <v>98</v>
      </c>
      <c r="O2393" t="s">
        <v>1345</v>
      </c>
    </row>
    <row r="2394" spans="1:15" x14ac:dyDescent="0.3">
      <c r="A2394" s="130">
        <v>12783</v>
      </c>
      <c r="B2394" s="130">
        <v>60</v>
      </c>
      <c r="C2394" s="130" t="s">
        <v>4018</v>
      </c>
      <c r="D2394">
        <v>19467</v>
      </c>
      <c r="E2394" s="130">
        <v>24013278</v>
      </c>
      <c r="F2394" t="s">
        <v>87</v>
      </c>
      <c r="G2394">
        <v>76</v>
      </c>
      <c r="H2394" t="s">
        <v>8952</v>
      </c>
      <c r="I2394" s="130">
        <v>10</v>
      </c>
      <c r="J2394" t="s">
        <v>4018</v>
      </c>
      <c r="K2394" t="s">
        <v>95</v>
      </c>
      <c r="L2394" t="s">
        <v>102</v>
      </c>
      <c r="M2394" t="s">
        <v>97</v>
      </c>
      <c r="N2394" t="s">
        <v>101</v>
      </c>
      <c r="O2394" t="s">
        <v>116</v>
      </c>
    </row>
    <row r="2395" spans="1:15" x14ac:dyDescent="0.3">
      <c r="A2395" s="130">
        <v>12784</v>
      </c>
      <c r="B2395" s="130">
        <v>18</v>
      </c>
      <c r="C2395" s="130" t="s">
        <v>4019</v>
      </c>
      <c r="D2395">
        <v>19468</v>
      </c>
      <c r="E2395" s="131">
        <v>14267717</v>
      </c>
      <c r="F2395" t="s">
        <v>87</v>
      </c>
      <c r="G2395">
        <v>9135</v>
      </c>
      <c r="H2395" t="s">
        <v>8953</v>
      </c>
      <c r="I2395" s="131">
        <v>9</v>
      </c>
      <c r="J2395" t="s">
        <v>4019</v>
      </c>
      <c r="K2395" t="s">
        <v>95</v>
      </c>
      <c r="L2395" t="s">
        <v>125</v>
      </c>
      <c r="M2395" t="s">
        <v>112</v>
      </c>
      <c r="N2395" t="s">
        <v>98</v>
      </c>
      <c r="O2395" t="s">
        <v>1345</v>
      </c>
    </row>
    <row r="2396" spans="1:15" x14ac:dyDescent="0.3">
      <c r="A2396" s="130">
        <v>12800</v>
      </c>
      <c r="B2396" s="130">
        <v>4</v>
      </c>
      <c r="C2396" s="130" t="s">
        <v>4020</v>
      </c>
      <c r="D2396">
        <v>19497</v>
      </c>
      <c r="E2396" s="130">
        <v>5042071</v>
      </c>
      <c r="F2396" t="s">
        <v>87</v>
      </c>
      <c r="G2396">
        <v>358</v>
      </c>
      <c r="H2396" t="s">
        <v>8951</v>
      </c>
      <c r="I2396" s="130">
        <v>3</v>
      </c>
      <c r="J2396" t="s">
        <v>4020</v>
      </c>
      <c r="K2396" t="s">
        <v>108</v>
      </c>
      <c r="L2396" t="s">
        <v>109</v>
      </c>
      <c r="M2396" t="s">
        <v>208</v>
      </c>
      <c r="N2396" t="s">
        <v>98</v>
      </c>
      <c r="O2396" t="s">
        <v>1345</v>
      </c>
    </row>
    <row r="2397" spans="1:15" x14ac:dyDescent="0.3">
      <c r="A2397" s="130">
        <v>12812</v>
      </c>
      <c r="B2397" s="130">
        <v>-1</v>
      </c>
      <c r="C2397" s="130" t="s">
        <v>4021</v>
      </c>
      <c r="D2397">
        <v>19520</v>
      </c>
      <c r="E2397" s="130">
        <v>43609309</v>
      </c>
      <c r="F2397" t="s">
        <v>87</v>
      </c>
      <c r="G2397">
        <v>9135</v>
      </c>
      <c r="H2397" t="s">
        <v>8952</v>
      </c>
      <c r="I2397" s="130">
        <v>10</v>
      </c>
      <c r="J2397" t="s">
        <v>4021</v>
      </c>
      <c r="K2397" t="s">
        <v>108</v>
      </c>
      <c r="L2397" t="s">
        <v>127</v>
      </c>
      <c r="M2397" t="s">
        <v>174</v>
      </c>
      <c r="N2397" t="s">
        <v>98</v>
      </c>
      <c r="O2397" t="s">
        <v>116</v>
      </c>
    </row>
    <row r="2398" spans="1:15" x14ac:dyDescent="0.3">
      <c r="A2398" s="130">
        <v>12813</v>
      </c>
      <c r="B2398" s="130" t="s">
        <v>135</v>
      </c>
      <c r="C2398" s="130" t="s">
        <v>4022</v>
      </c>
      <c r="D2398">
        <v>19521</v>
      </c>
      <c r="E2398" s="131">
        <v>83646547</v>
      </c>
      <c r="F2398" t="s">
        <v>87</v>
      </c>
      <c r="G2398">
        <v>358</v>
      </c>
      <c r="H2398" t="s">
        <v>8953</v>
      </c>
      <c r="I2398" s="130">
        <v>10</v>
      </c>
      <c r="J2398" t="s">
        <v>4022</v>
      </c>
      <c r="K2398" t="s">
        <v>95</v>
      </c>
      <c r="L2398" t="s">
        <v>105</v>
      </c>
      <c r="M2398" t="s">
        <v>136</v>
      </c>
      <c r="N2398" t="s">
        <v>98</v>
      </c>
      <c r="O2398" t="s">
        <v>1345</v>
      </c>
    </row>
    <row r="2399" spans="1:15" x14ac:dyDescent="0.3">
      <c r="A2399" s="130">
        <v>12820</v>
      </c>
      <c r="B2399" s="130">
        <v>30</v>
      </c>
      <c r="C2399" s="130" t="s">
        <v>4023</v>
      </c>
      <c r="D2399">
        <v>19534</v>
      </c>
      <c r="E2399" s="130">
        <v>1600200</v>
      </c>
      <c r="F2399" t="s">
        <v>87</v>
      </c>
      <c r="G2399">
        <v>9135</v>
      </c>
      <c r="H2399" t="s">
        <v>8951</v>
      </c>
      <c r="I2399" s="130">
        <v>18</v>
      </c>
      <c r="J2399" t="s">
        <v>4023</v>
      </c>
      <c r="K2399" t="s">
        <v>108</v>
      </c>
      <c r="L2399" t="s">
        <v>1293</v>
      </c>
      <c r="M2399" t="s">
        <v>103</v>
      </c>
      <c r="N2399" t="s">
        <v>98</v>
      </c>
      <c r="O2399" t="s">
        <v>116</v>
      </c>
    </row>
    <row r="2400" spans="1:15" x14ac:dyDescent="0.3">
      <c r="A2400" s="130">
        <v>12826</v>
      </c>
      <c r="B2400" s="130">
        <v>30</v>
      </c>
      <c r="C2400" s="130" t="s">
        <v>4024</v>
      </c>
      <c r="D2400">
        <v>19541</v>
      </c>
      <c r="E2400" s="130">
        <v>51466860</v>
      </c>
      <c r="F2400" t="s">
        <v>87</v>
      </c>
      <c r="G2400">
        <v>337</v>
      </c>
      <c r="H2400" t="s">
        <v>8952</v>
      </c>
      <c r="I2400" s="130">
        <v>37</v>
      </c>
      <c r="J2400" t="s">
        <v>4024</v>
      </c>
      <c r="K2400" t="s">
        <v>95</v>
      </c>
      <c r="L2400" t="s">
        <v>144</v>
      </c>
      <c r="M2400" t="s">
        <v>103</v>
      </c>
      <c r="N2400" t="s">
        <v>114</v>
      </c>
      <c r="O2400" t="s">
        <v>116</v>
      </c>
    </row>
    <row r="2401" spans="1:15" x14ac:dyDescent="0.3">
      <c r="A2401" s="130">
        <v>12837</v>
      </c>
      <c r="B2401" s="130">
        <v>30</v>
      </c>
      <c r="C2401" s="130" t="s">
        <v>4025</v>
      </c>
      <c r="D2401">
        <v>19558</v>
      </c>
      <c r="E2401" s="131">
        <v>45425990</v>
      </c>
      <c r="F2401" t="s">
        <v>87</v>
      </c>
      <c r="G2401">
        <v>9135</v>
      </c>
      <c r="H2401" t="s">
        <v>8953</v>
      </c>
      <c r="I2401" s="130">
        <v>9</v>
      </c>
      <c r="J2401" t="s">
        <v>4025</v>
      </c>
      <c r="K2401" t="s">
        <v>95</v>
      </c>
      <c r="L2401" t="s">
        <v>105</v>
      </c>
      <c r="M2401" t="s">
        <v>103</v>
      </c>
      <c r="N2401" t="s">
        <v>98</v>
      </c>
      <c r="O2401" t="s">
        <v>116</v>
      </c>
    </row>
    <row r="2402" spans="1:15" x14ac:dyDescent="0.3">
      <c r="A2402" s="130">
        <v>12841</v>
      </c>
      <c r="B2402" s="130">
        <v>30</v>
      </c>
      <c r="C2402" s="130" t="s">
        <v>4026</v>
      </c>
      <c r="D2402">
        <v>19566</v>
      </c>
      <c r="E2402" s="130">
        <v>37119883</v>
      </c>
      <c r="F2402" t="s">
        <v>87</v>
      </c>
      <c r="G2402">
        <v>9135</v>
      </c>
      <c r="H2402" t="s">
        <v>8951</v>
      </c>
      <c r="I2402" s="130">
        <v>26</v>
      </c>
      <c r="J2402" t="s">
        <v>4026</v>
      </c>
      <c r="K2402" t="s">
        <v>95</v>
      </c>
      <c r="L2402" t="s">
        <v>151</v>
      </c>
      <c r="M2402" t="s">
        <v>103</v>
      </c>
      <c r="N2402" t="s">
        <v>98</v>
      </c>
      <c r="O2402" t="s">
        <v>116</v>
      </c>
    </row>
    <row r="2403" spans="1:15" x14ac:dyDescent="0.3">
      <c r="A2403" s="130">
        <v>12842</v>
      </c>
      <c r="B2403" s="130">
        <v>18</v>
      </c>
      <c r="C2403" s="130" t="s">
        <v>4027</v>
      </c>
      <c r="D2403">
        <v>19565</v>
      </c>
      <c r="E2403" s="130">
        <v>13260473</v>
      </c>
      <c r="F2403" t="s">
        <v>87</v>
      </c>
      <c r="G2403">
        <v>9135</v>
      </c>
      <c r="H2403" t="s">
        <v>8952</v>
      </c>
      <c r="I2403" s="130">
        <v>3</v>
      </c>
      <c r="J2403" t="s">
        <v>4027</v>
      </c>
      <c r="K2403" t="s">
        <v>108</v>
      </c>
      <c r="L2403" t="s">
        <v>111</v>
      </c>
      <c r="M2403" t="s">
        <v>112</v>
      </c>
      <c r="N2403" t="s">
        <v>98</v>
      </c>
      <c r="O2403" t="s">
        <v>1345</v>
      </c>
    </row>
    <row r="2404" spans="1:15" x14ac:dyDescent="0.3">
      <c r="A2404" s="130">
        <v>12854</v>
      </c>
      <c r="B2404" s="130" t="s">
        <v>227</v>
      </c>
      <c r="C2404" s="130" t="s">
        <v>4028</v>
      </c>
      <c r="D2404">
        <v>19590</v>
      </c>
      <c r="E2404" s="130">
        <v>17359233</v>
      </c>
      <c r="F2404" t="s">
        <v>87</v>
      </c>
      <c r="G2404">
        <v>9135</v>
      </c>
      <c r="H2404" t="s">
        <v>8953</v>
      </c>
      <c r="I2404" s="130">
        <v>3</v>
      </c>
      <c r="J2404" t="s">
        <v>4028</v>
      </c>
      <c r="K2404" t="s">
        <v>108</v>
      </c>
      <c r="L2404" t="s">
        <v>111</v>
      </c>
      <c r="M2404" t="s">
        <v>228</v>
      </c>
      <c r="N2404" t="s">
        <v>101</v>
      </c>
      <c r="O2404" t="s">
        <v>1345</v>
      </c>
    </row>
    <row r="2405" spans="1:15" x14ac:dyDescent="0.3">
      <c r="A2405" s="130">
        <v>12855</v>
      </c>
      <c r="B2405" s="130">
        <v>30</v>
      </c>
      <c r="C2405" s="130" t="s">
        <v>4029</v>
      </c>
      <c r="D2405">
        <v>19592</v>
      </c>
      <c r="E2405" s="130">
        <v>48546859</v>
      </c>
      <c r="F2405" t="s">
        <v>87</v>
      </c>
      <c r="G2405">
        <v>76</v>
      </c>
      <c r="H2405" t="s">
        <v>8951</v>
      </c>
      <c r="I2405" s="130">
        <v>10</v>
      </c>
      <c r="J2405" t="s">
        <v>4029</v>
      </c>
      <c r="K2405" t="s">
        <v>95</v>
      </c>
      <c r="L2405" t="s">
        <v>127</v>
      </c>
      <c r="M2405" t="s">
        <v>103</v>
      </c>
      <c r="N2405" t="s">
        <v>118</v>
      </c>
      <c r="O2405" t="s">
        <v>116</v>
      </c>
    </row>
    <row r="2406" spans="1:15" x14ac:dyDescent="0.3">
      <c r="A2406" s="130">
        <v>12859</v>
      </c>
      <c r="B2406" s="130">
        <v>30</v>
      </c>
      <c r="C2406" s="130" t="s">
        <v>4030</v>
      </c>
      <c r="D2406">
        <v>19598</v>
      </c>
      <c r="E2406" s="130">
        <v>48546859</v>
      </c>
      <c r="F2406" t="s">
        <v>87</v>
      </c>
      <c r="G2406">
        <v>77</v>
      </c>
      <c r="H2406" t="s">
        <v>8952</v>
      </c>
      <c r="I2406" s="130">
        <v>10</v>
      </c>
      <c r="J2406" t="s">
        <v>4030</v>
      </c>
      <c r="K2406" t="s">
        <v>95</v>
      </c>
      <c r="L2406" t="s">
        <v>149</v>
      </c>
      <c r="M2406" t="s">
        <v>103</v>
      </c>
      <c r="N2406" t="s">
        <v>98</v>
      </c>
      <c r="O2406" t="s">
        <v>1345</v>
      </c>
    </row>
    <row r="2407" spans="1:15" x14ac:dyDescent="0.3">
      <c r="A2407" s="130">
        <v>12869</v>
      </c>
      <c r="B2407" s="130">
        <v>21</v>
      </c>
      <c r="C2407" s="130" t="s">
        <v>4031</v>
      </c>
      <c r="D2407">
        <v>19614</v>
      </c>
      <c r="E2407" s="130">
        <v>4815513</v>
      </c>
      <c r="F2407" t="s">
        <v>87</v>
      </c>
      <c r="G2407">
        <v>9135</v>
      </c>
      <c r="H2407" t="s">
        <v>8953</v>
      </c>
      <c r="I2407" s="131">
        <v>3</v>
      </c>
      <c r="J2407" t="s">
        <v>4031</v>
      </c>
      <c r="K2407" t="s">
        <v>108</v>
      </c>
      <c r="L2407" t="s">
        <v>111</v>
      </c>
      <c r="M2407" t="s">
        <v>137</v>
      </c>
      <c r="N2407" t="s">
        <v>98</v>
      </c>
      <c r="O2407" t="s">
        <v>1345</v>
      </c>
    </row>
    <row r="2408" spans="1:15" x14ac:dyDescent="0.3">
      <c r="A2408" s="130">
        <v>12877</v>
      </c>
      <c r="B2408" s="130">
        <v>45</v>
      </c>
      <c r="C2408" s="130" t="s">
        <v>4032</v>
      </c>
      <c r="D2408">
        <v>19624</v>
      </c>
      <c r="E2408" s="130">
        <v>17162983</v>
      </c>
      <c r="F2408" t="s">
        <v>87</v>
      </c>
      <c r="G2408">
        <v>358</v>
      </c>
      <c r="H2408" t="s">
        <v>8951</v>
      </c>
      <c r="I2408" s="131">
        <v>3</v>
      </c>
      <c r="J2408" t="s">
        <v>4032</v>
      </c>
      <c r="K2408" t="s">
        <v>95</v>
      </c>
      <c r="L2408" t="s">
        <v>105</v>
      </c>
      <c r="M2408" t="s">
        <v>106</v>
      </c>
      <c r="N2408" t="s">
        <v>118</v>
      </c>
      <c r="O2408" t="s">
        <v>116</v>
      </c>
    </row>
    <row r="2409" spans="1:15" x14ac:dyDescent="0.3">
      <c r="A2409" s="130">
        <v>12879</v>
      </c>
      <c r="B2409" s="130">
        <v>30</v>
      </c>
      <c r="C2409" s="130" t="s">
        <v>4033</v>
      </c>
      <c r="D2409">
        <v>19628</v>
      </c>
      <c r="E2409" s="131">
        <v>3096738</v>
      </c>
      <c r="F2409" t="s">
        <v>87</v>
      </c>
      <c r="G2409">
        <v>9135</v>
      </c>
      <c r="H2409" t="s">
        <v>8952</v>
      </c>
      <c r="I2409" s="130">
        <v>3</v>
      </c>
      <c r="J2409" t="s">
        <v>4033</v>
      </c>
      <c r="K2409" t="s">
        <v>108</v>
      </c>
      <c r="L2409" t="s">
        <v>111</v>
      </c>
      <c r="M2409" t="s">
        <v>103</v>
      </c>
      <c r="N2409" t="s">
        <v>98</v>
      </c>
      <c r="O2409" t="s">
        <v>116</v>
      </c>
    </row>
    <row r="2410" spans="1:15" x14ac:dyDescent="0.3">
      <c r="A2410" s="130">
        <v>12881</v>
      </c>
      <c r="B2410" s="130" t="s">
        <v>234</v>
      </c>
      <c r="C2410" s="130" t="s">
        <v>4034</v>
      </c>
      <c r="D2410">
        <v>19635</v>
      </c>
      <c r="E2410" s="131">
        <v>6232484</v>
      </c>
      <c r="F2410" t="s">
        <v>87</v>
      </c>
      <c r="G2410">
        <v>358</v>
      </c>
      <c r="H2410" t="s">
        <v>8953</v>
      </c>
      <c r="I2410" s="130">
        <v>3</v>
      </c>
      <c r="J2410" t="s">
        <v>4034</v>
      </c>
      <c r="K2410" t="s">
        <v>95</v>
      </c>
      <c r="L2410" t="s">
        <v>105</v>
      </c>
      <c r="M2410" t="s">
        <v>234</v>
      </c>
      <c r="N2410" t="s">
        <v>98</v>
      </c>
      <c r="O2410" t="s">
        <v>116</v>
      </c>
    </row>
    <row r="2411" spans="1:15" x14ac:dyDescent="0.3">
      <c r="A2411" s="130">
        <v>12888</v>
      </c>
      <c r="B2411" s="130" t="s">
        <v>229</v>
      </c>
      <c r="C2411" s="130" t="s">
        <v>4035</v>
      </c>
      <c r="D2411">
        <v>19647</v>
      </c>
      <c r="E2411" s="131">
        <v>11727356</v>
      </c>
      <c r="F2411" t="s">
        <v>87</v>
      </c>
      <c r="G2411">
        <v>9135</v>
      </c>
      <c r="H2411" t="s">
        <v>8951</v>
      </c>
      <c r="I2411" s="130">
        <v>3</v>
      </c>
      <c r="J2411" t="s">
        <v>4035</v>
      </c>
      <c r="K2411" t="s">
        <v>95</v>
      </c>
      <c r="L2411" t="s">
        <v>111</v>
      </c>
      <c r="M2411" t="s">
        <v>230</v>
      </c>
      <c r="N2411" t="s">
        <v>98</v>
      </c>
      <c r="O2411" t="s">
        <v>116</v>
      </c>
    </row>
    <row r="2412" spans="1:15" x14ac:dyDescent="0.3">
      <c r="A2412" s="130">
        <v>12906</v>
      </c>
      <c r="B2412" s="130">
        <v>18</v>
      </c>
      <c r="C2412" s="130" t="s">
        <v>4036</v>
      </c>
      <c r="D2412">
        <v>19675</v>
      </c>
      <c r="E2412" s="130">
        <v>38696365</v>
      </c>
      <c r="F2412" t="s">
        <v>87</v>
      </c>
      <c r="G2412">
        <v>358</v>
      </c>
      <c r="H2412" t="s">
        <v>8952</v>
      </c>
      <c r="I2412" s="131">
        <v>10</v>
      </c>
      <c r="J2412" t="s">
        <v>4036</v>
      </c>
      <c r="K2412" t="s">
        <v>95</v>
      </c>
      <c r="L2412" t="s">
        <v>105</v>
      </c>
      <c r="M2412" t="s">
        <v>112</v>
      </c>
      <c r="N2412" t="s">
        <v>98</v>
      </c>
      <c r="O2412" t="s">
        <v>1345</v>
      </c>
    </row>
    <row r="2413" spans="1:15" x14ac:dyDescent="0.3">
      <c r="A2413" s="130">
        <v>12942</v>
      </c>
      <c r="B2413" s="130">
        <v>10</v>
      </c>
      <c r="C2413" s="130" t="s">
        <v>4037</v>
      </c>
      <c r="D2413">
        <v>19741</v>
      </c>
      <c r="E2413" s="130">
        <v>23347255</v>
      </c>
      <c r="F2413" t="s">
        <v>87</v>
      </c>
      <c r="G2413">
        <v>9135</v>
      </c>
      <c r="H2413" t="s">
        <v>8953</v>
      </c>
      <c r="I2413" s="131">
        <v>3</v>
      </c>
      <c r="J2413" t="s">
        <v>4037</v>
      </c>
      <c r="K2413" t="s">
        <v>108</v>
      </c>
      <c r="L2413" t="s">
        <v>1293</v>
      </c>
      <c r="M2413" t="s">
        <v>133</v>
      </c>
      <c r="N2413" t="s">
        <v>98</v>
      </c>
      <c r="O2413" t="s">
        <v>1345</v>
      </c>
    </row>
    <row r="2414" spans="1:15" x14ac:dyDescent="0.3">
      <c r="A2414" s="130">
        <v>12945</v>
      </c>
      <c r="B2414" s="130">
        <v>90</v>
      </c>
      <c r="C2414" s="130" t="s">
        <v>4038</v>
      </c>
      <c r="D2414">
        <v>19744</v>
      </c>
      <c r="E2414" s="130">
        <v>35234509</v>
      </c>
      <c r="F2414" t="s">
        <v>87</v>
      </c>
      <c r="G2414">
        <v>76</v>
      </c>
      <c r="H2414" t="s">
        <v>8951</v>
      </c>
      <c r="I2414" s="130">
        <v>18</v>
      </c>
      <c r="J2414" t="s">
        <v>4038</v>
      </c>
      <c r="K2414" t="s">
        <v>95</v>
      </c>
      <c r="L2414" t="s">
        <v>102</v>
      </c>
      <c r="M2414" t="s">
        <v>170</v>
      </c>
      <c r="N2414" t="s">
        <v>114</v>
      </c>
      <c r="O2414" t="s">
        <v>1345</v>
      </c>
    </row>
    <row r="2415" spans="1:15" x14ac:dyDescent="0.3">
      <c r="A2415" s="130">
        <v>12949</v>
      </c>
      <c r="B2415" s="130">
        <v>30</v>
      </c>
      <c r="C2415" s="130" t="s">
        <v>4039</v>
      </c>
      <c r="D2415">
        <v>19745</v>
      </c>
      <c r="E2415" s="130">
        <v>16367031</v>
      </c>
      <c r="F2415" t="s">
        <v>87</v>
      </c>
      <c r="G2415">
        <v>9135</v>
      </c>
      <c r="H2415" t="s">
        <v>8952</v>
      </c>
      <c r="I2415" s="130">
        <v>3</v>
      </c>
      <c r="J2415" t="s">
        <v>4039</v>
      </c>
      <c r="K2415" t="s">
        <v>108</v>
      </c>
      <c r="L2415" t="s">
        <v>111</v>
      </c>
      <c r="M2415" t="s">
        <v>103</v>
      </c>
      <c r="N2415" t="s">
        <v>98</v>
      </c>
      <c r="O2415" t="s">
        <v>1345</v>
      </c>
    </row>
    <row r="2416" spans="1:15" x14ac:dyDescent="0.3">
      <c r="A2416" s="130">
        <v>12959</v>
      </c>
      <c r="B2416" s="130">
        <v>30</v>
      </c>
      <c r="C2416" s="130" t="s">
        <v>4040</v>
      </c>
      <c r="D2416">
        <v>19776</v>
      </c>
      <c r="E2416" s="130">
        <v>40834342</v>
      </c>
      <c r="F2416" t="s">
        <v>87</v>
      </c>
      <c r="G2416">
        <v>9135</v>
      </c>
      <c r="H2416" t="s">
        <v>8953</v>
      </c>
      <c r="I2416" s="130">
        <v>18</v>
      </c>
      <c r="J2416" t="s">
        <v>4040</v>
      </c>
      <c r="K2416" t="s">
        <v>95</v>
      </c>
      <c r="L2416" t="s">
        <v>123</v>
      </c>
      <c r="M2416" t="s">
        <v>103</v>
      </c>
      <c r="N2416" t="s">
        <v>98</v>
      </c>
      <c r="O2416" t="s">
        <v>1345</v>
      </c>
    </row>
    <row r="2417" spans="1:15" x14ac:dyDescent="0.3">
      <c r="A2417" s="130">
        <v>12987</v>
      </c>
      <c r="B2417" s="130">
        <v>60</v>
      </c>
      <c r="C2417" s="130" t="s">
        <v>4041</v>
      </c>
      <c r="D2417">
        <v>19803</v>
      </c>
      <c r="E2417" s="130">
        <v>9625762</v>
      </c>
      <c r="F2417" t="s">
        <v>87</v>
      </c>
      <c r="G2417">
        <v>76</v>
      </c>
      <c r="H2417" t="s">
        <v>8951</v>
      </c>
      <c r="I2417" s="130">
        <v>43</v>
      </c>
      <c r="J2417" t="s">
        <v>4041</v>
      </c>
      <c r="K2417" t="s">
        <v>95</v>
      </c>
      <c r="L2417" t="s">
        <v>111</v>
      </c>
      <c r="M2417" t="s">
        <v>97</v>
      </c>
      <c r="N2417" t="s">
        <v>150</v>
      </c>
      <c r="O2417" t="s">
        <v>116</v>
      </c>
    </row>
    <row r="2418" spans="1:15" x14ac:dyDescent="0.3">
      <c r="A2418" s="130">
        <v>12992</v>
      </c>
      <c r="B2418" s="130">
        <v>60</v>
      </c>
      <c r="C2418" s="130" t="s">
        <v>4042</v>
      </c>
      <c r="D2418">
        <v>19810</v>
      </c>
      <c r="E2418" s="130">
        <v>9625762</v>
      </c>
      <c r="F2418" t="s">
        <v>87</v>
      </c>
      <c r="G2418">
        <v>76</v>
      </c>
      <c r="H2418" t="s">
        <v>8952</v>
      </c>
      <c r="I2418" s="130">
        <v>19</v>
      </c>
      <c r="J2418" t="s">
        <v>4042</v>
      </c>
      <c r="K2418" t="s">
        <v>95</v>
      </c>
      <c r="L2418" t="s">
        <v>1368</v>
      </c>
      <c r="M2418" t="s">
        <v>97</v>
      </c>
      <c r="N2418" t="s">
        <v>150</v>
      </c>
      <c r="O2418" t="s">
        <v>116</v>
      </c>
    </row>
    <row r="2419" spans="1:15" x14ac:dyDescent="0.3">
      <c r="A2419" s="130">
        <v>12999</v>
      </c>
      <c r="B2419" s="130">
        <v>30</v>
      </c>
      <c r="C2419" s="130" t="s">
        <v>4043</v>
      </c>
      <c r="D2419">
        <v>19821</v>
      </c>
      <c r="E2419" s="130">
        <v>79578134</v>
      </c>
      <c r="F2419" t="s">
        <v>87</v>
      </c>
      <c r="G2419">
        <v>9135</v>
      </c>
      <c r="H2419" t="s">
        <v>8953</v>
      </c>
      <c r="I2419" s="130">
        <v>3</v>
      </c>
      <c r="J2419" t="s">
        <v>4043</v>
      </c>
      <c r="K2419" t="s">
        <v>95</v>
      </c>
      <c r="L2419" t="s">
        <v>111</v>
      </c>
      <c r="M2419" t="s">
        <v>103</v>
      </c>
      <c r="N2419" t="s">
        <v>114</v>
      </c>
      <c r="O2419" t="s">
        <v>1345</v>
      </c>
    </row>
    <row r="2420" spans="1:15" x14ac:dyDescent="0.3">
      <c r="A2420" s="130">
        <v>13002</v>
      </c>
      <c r="B2420" s="130">
        <v>30</v>
      </c>
      <c r="C2420" s="130" t="s">
        <v>4044</v>
      </c>
      <c r="D2420">
        <v>19831</v>
      </c>
      <c r="E2420" s="130">
        <v>16956443</v>
      </c>
      <c r="F2420" t="s">
        <v>87</v>
      </c>
      <c r="G2420">
        <v>358</v>
      </c>
      <c r="H2420" t="s">
        <v>8951</v>
      </c>
      <c r="I2420" s="131">
        <v>3</v>
      </c>
      <c r="J2420" t="s">
        <v>4044</v>
      </c>
      <c r="K2420" t="s">
        <v>95</v>
      </c>
      <c r="L2420" t="s">
        <v>109</v>
      </c>
      <c r="M2420" t="s">
        <v>103</v>
      </c>
      <c r="N2420" t="s">
        <v>98</v>
      </c>
      <c r="O2420" t="s">
        <v>116</v>
      </c>
    </row>
    <row r="2421" spans="1:15" x14ac:dyDescent="0.3">
      <c r="A2421" s="130">
        <v>13006</v>
      </c>
      <c r="B2421" s="130">
        <v>30</v>
      </c>
      <c r="C2421" s="130" t="s">
        <v>4045</v>
      </c>
      <c r="D2421">
        <v>19835</v>
      </c>
      <c r="E2421" s="130">
        <v>28994259</v>
      </c>
      <c r="F2421" t="s">
        <v>87</v>
      </c>
      <c r="G2421">
        <v>9135</v>
      </c>
      <c r="H2421" t="s">
        <v>8952</v>
      </c>
      <c r="I2421" s="130">
        <v>18</v>
      </c>
      <c r="J2421" t="s">
        <v>4045</v>
      </c>
      <c r="K2421" t="s">
        <v>108</v>
      </c>
      <c r="L2421" t="s">
        <v>1293</v>
      </c>
      <c r="M2421" t="s">
        <v>103</v>
      </c>
      <c r="N2421" t="s">
        <v>98</v>
      </c>
      <c r="O2421" t="s">
        <v>1345</v>
      </c>
    </row>
    <row r="2422" spans="1:15" x14ac:dyDescent="0.3">
      <c r="A2422" s="130">
        <v>13012</v>
      </c>
      <c r="B2422" s="130" t="s">
        <v>135</v>
      </c>
      <c r="C2422" s="130" t="s">
        <v>4046</v>
      </c>
      <c r="D2422">
        <v>19844</v>
      </c>
      <c r="E2422" s="130">
        <v>83646547</v>
      </c>
      <c r="F2422" t="s">
        <v>87</v>
      </c>
      <c r="G2422">
        <v>358</v>
      </c>
      <c r="H2422" t="s">
        <v>8953</v>
      </c>
      <c r="I2422" s="130">
        <v>10</v>
      </c>
      <c r="J2422" t="s">
        <v>4046</v>
      </c>
      <c r="K2422" t="s">
        <v>95</v>
      </c>
      <c r="L2422" t="s">
        <v>105</v>
      </c>
      <c r="M2422" t="s">
        <v>136</v>
      </c>
      <c r="N2422" t="s">
        <v>98</v>
      </c>
      <c r="O2422" t="s">
        <v>116</v>
      </c>
    </row>
    <row r="2423" spans="1:15" x14ac:dyDescent="0.3">
      <c r="A2423" s="130">
        <v>13018</v>
      </c>
      <c r="B2423" s="130">
        <v>30</v>
      </c>
      <c r="C2423" s="130" t="s">
        <v>4047</v>
      </c>
      <c r="D2423">
        <v>19850</v>
      </c>
      <c r="E2423" s="130">
        <v>3992929</v>
      </c>
      <c r="F2423" t="s">
        <v>87</v>
      </c>
      <c r="G2423">
        <v>9135</v>
      </c>
      <c r="H2423" t="s">
        <v>8951</v>
      </c>
      <c r="I2423" s="130">
        <v>9</v>
      </c>
      <c r="J2423" t="s">
        <v>4047</v>
      </c>
      <c r="K2423" t="s">
        <v>95</v>
      </c>
      <c r="L2423" t="s">
        <v>125</v>
      </c>
      <c r="M2423" t="s">
        <v>103</v>
      </c>
      <c r="N2423" t="s">
        <v>98</v>
      </c>
      <c r="O2423" t="s">
        <v>1345</v>
      </c>
    </row>
    <row r="2424" spans="1:15" x14ac:dyDescent="0.3">
      <c r="A2424" s="130">
        <v>13019</v>
      </c>
      <c r="B2424" s="130">
        <v>-1</v>
      </c>
      <c r="C2424" s="130" t="s">
        <v>4048</v>
      </c>
      <c r="D2424">
        <v>19852</v>
      </c>
      <c r="E2424" s="130">
        <v>18250293</v>
      </c>
      <c r="F2424" t="s">
        <v>87</v>
      </c>
      <c r="G2424">
        <v>9135</v>
      </c>
      <c r="H2424" t="s">
        <v>8952</v>
      </c>
      <c r="I2424" s="131">
        <v>37</v>
      </c>
      <c r="J2424" t="s">
        <v>4048</v>
      </c>
      <c r="K2424" t="s">
        <v>95</v>
      </c>
      <c r="L2424" t="s">
        <v>138</v>
      </c>
      <c r="M2424" t="s">
        <v>174</v>
      </c>
      <c r="N2424" t="s">
        <v>150</v>
      </c>
      <c r="O2424" t="s">
        <v>1345</v>
      </c>
    </row>
    <row r="2425" spans="1:15" x14ac:dyDescent="0.3">
      <c r="A2425" s="130">
        <v>13022</v>
      </c>
      <c r="B2425" s="130">
        <v>30</v>
      </c>
      <c r="C2425" s="130" t="s">
        <v>4049</v>
      </c>
      <c r="D2425">
        <v>19859</v>
      </c>
      <c r="E2425" s="130">
        <v>9646672</v>
      </c>
      <c r="F2425" t="s">
        <v>87</v>
      </c>
      <c r="G2425">
        <v>9135</v>
      </c>
      <c r="H2425" t="s">
        <v>8953</v>
      </c>
      <c r="I2425" s="131">
        <v>3</v>
      </c>
      <c r="J2425" t="s">
        <v>4049</v>
      </c>
      <c r="K2425" t="s">
        <v>95</v>
      </c>
      <c r="L2425" t="s">
        <v>111</v>
      </c>
      <c r="M2425" t="s">
        <v>103</v>
      </c>
      <c r="N2425" t="s">
        <v>98</v>
      </c>
      <c r="O2425" t="s">
        <v>116</v>
      </c>
    </row>
    <row r="2426" spans="1:15" x14ac:dyDescent="0.3">
      <c r="A2426" s="130">
        <v>13026</v>
      </c>
      <c r="B2426" s="130">
        <v>90</v>
      </c>
      <c r="C2426" s="130" t="s">
        <v>4050</v>
      </c>
      <c r="D2426">
        <v>19861</v>
      </c>
      <c r="E2426" s="131">
        <v>47180625</v>
      </c>
      <c r="F2426" t="s">
        <v>87</v>
      </c>
      <c r="G2426">
        <v>9135</v>
      </c>
      <c r="H2426" t="s">
        <v>8951</v>
      </c>
      <c r="I2426" s="131">
        <v>24</v>
      </c>
      <c r="J2426" t="s">
        <v>4050</v>
      </c>
      <c r="K2426" t="s">
        <v>108</v>
      </c>
      <c r="L2426" t="s">
        <v>191</v>
      </c>
      <c r="M2426" t="s">
        <v>170</v>
      </c>
      <c r="N2426" t="s">
        <v>98</v>
      </c>
      <c r="O2426" t="s">
        <v>116</v>
      </c>
    </row>
    <row r="2427" spans="1:15" x14ac:dyDescent="0.3">
      <c r="A2427" s="130">
        <v>13034</v>
      </c>
      <c r="B2427" s="130">
        <v>18</v>
      </c>
      <c r="C2427" s="130" t="s">
        <v>4051</v>
      </c>
      <c r="D2427">
        <v>19874</v>
      </c>
      <c r="E2427" s="130">
        <v>48423433</v>
      </c>
      <c r="F2427" t="s">
        <v>87</v>
      </c>
      <c r="G2427">
        <v>358</v>
      </c>
      <c r="H2427" t="s">
        <v>8952</v>
      </c>
      <c r="I2427" s="130">
        <v>10</v>
      </c>
      <c r="J2427" t="s">
        <v>4051</v>
      </c>
      <c r="K2427" t="s">
        <v>95</v>
      </c>
      <c r="L2427" t="s">
        <v>105</v>
      </c>
      <c r="M2427" t="s">
        <v>112</v>
      </c>
      <c r="N2427" t="s">
        <v>98</v>
      </c>
      <c r="O2427" t="s">
        <v>1345</v>
      </c>
    </row>
    <row r="2428" spans="1:15" x14ac:dyDescent="0.3">
      <c r="A2428" s="130">
        <v>13044</v>
      </c>
      <c r="B2428" s="130">
        <v>18</v>
      </c>
      <c r="C2428" s="130" t="s">
        <v>4052</v>
      </c>
      <c r="D2428">
        <v>19892</v>
      </c>
      <c r="E2428" s="130">
        <v>10558895</v>
      </c>
      <c r="F2428" t="s">
        <v>87</v>
      </c>
      <c r="G2428">
        <v>9135</v>
      </c>
      <c r="H2428" t="s">
        <v>8953</v>
      </c>
      <c r="I2428" s="130">
        <v>37</v>
      </c>
      <c r="J2428" t="s">
        <v>4052</v>
      </c>
      <c r="K2428" t="s">
        <v>95</v>
      </c>
      <c r="L2428" t="s">
        <v>138</v>
      </c>
      <c r="M2428" t="s">
        <v>112</v>
      </c>
      <c r="N2428" t="s">
        <v>150</v>
      </c>
      <c r="O2428" t="s">
        <v>1345</v>
      </c>
    </row>
    <row r="2429" spans="1:15" x14ac:dyDescent="0.3">
      <c r="A2429" s="130">
        <v>13092</v>
      </c>
      <c r="B2429" s="130">
        <v>-1</v>
      </c>
      <c r="C2429" s="130" t="s">
        <v>4053</v>
      </c>
      <c r="D2429">
        <v>19967</v>
      </c>
      <c r="E2429" s="130">
        <v>44287642</v>
      </c>
      <c r="F2429" t="s">
        <v>87</v>
      </c>
      <c r="G2429">
        <v>9135</v>
      </c>
      <c r="H2429" t="s">
        <v>8951</v>
      </c>
      <c r="I2429" s="130">
        <v>24</v>
      </c>
      <c r="J2429" t="s">
        <v>4053</v>
      </c>
      <c r="K2429" t="s">
        <v>108</v>
      </c>
      <c r="L2429" t="s">
        <v>191</v>
      </c>
      <c r="M2429" t="s">
        <v>174</v>
      </c>
      <c r="N2429" t="s">
        <v>152</v>
      </c>
      <c r="O2429" t="s">
        <v>1345</v>
      </c>
    </row>
    <row r="2430" spans="1:15" x14ac:dyDescent="0.3">
      <c r="A2430" s="130">
        <v>13096</v>
      </c>
      <c r="B2430" s="130">
        <v>0</v>
      </c>
      <c r="C2430" s="130" t="s">
        <v>4054</v>
      </c>
      <c r="D2430">
        <v>19970</v>
      </c>
      <c r="E2430" s="130">
        <v>7660272</v>
      </c>
      <c r="F2430" t="s">
        <v>87</v>
      </c>
      <c r="G2430">
        <v>76</v>
      </c>
      <c r="H2430" t="s">
        <v>8952</v>
      </c>
      <c r="I2430" s="131">
        <v>43</v>
      </c>
      <c r="J2430" t="s">
        <v>4054</v>
      </c>
      <c r="K2430" t="s">
        <v>108</v>
      </c>
      <c r="L2430" t="s">
        <v>159</v>
      </c>
      <c r="M2430" t="s">
        <v>100</v>
      </c>
      <c r="N2430" t="s">
        <v>98</v>
      </c>
      <c r="O2430" t="s">
        <v>1345</v>
      </c>
    </row>
    <row r="2431" spans="1:15" x14ac:dyDescent="0.3">
      <c r="A2431" s="130">
        <v>13098</v>
      </c>
      <c r="B2431" s="130">
        <v>15</v>
      </c>
      <c r="C2431" s="130" t="s">
        <v>4055</v>
      </c>
      <c r="D2431">
        <v>19978</v>
      </c>
      <c r="E2431" s="131">
        <v>46004538</v>
      </c>
      <c r="F2431" t="s">
        <v>87</v>
      </c>
      <c r="G2431">
        <v>76</v>
      </c>
      <c r="H2431" t="s">
        <v>8953</v>
      </c>
      <c r="I2431" s="130">
        <v>24</v>
      </c>
      <c r="J2431" t="s">
        <v>4055</v>
      </c>
      <c r="K2431" t="s">
        <v>95</v>
      </c>
      <c r="L2431" t="s">
        <v>191</v>
      </c>
      <c r="M2431" t="s">
        <v>145</v>
      </c>
      <c r="N2431" t="s">
        <v>98</v>
      </c>
      <c r="O2431" t="s">
        <v>116</v>
      </c>
    </row>
    <row r="2432" spans="1:15" x14ac:dyDescent="0.3">
      <c r="A2432" s="130">
        <v>13101</v>
      </c>
      <c r="B2432" s="130">
        <v>30</v>
      </c>
      <c r="C2432" s="130" t="s">
        <v>4056</v>
      </c>
      <c r="D2432">
        <v>19976</v>
      </c>
      <c r="E2432" s="130">
        <v>21296114</v>
      </c>
      <c r="F2432" t="s">
        <v>87</v>
      </c>
      <c r="G2432">
        <v>9135</v>
      </c>
      <c r="H2432" t="s">
        <v>8951</v>
      </c>
      <c r="I2432" s="130">
        <v>3</v>
      </c>
      <c r="J2432" t="s">
        <v>4056</v>
      </c>
      <c r="K2432" t="s">
        <v>108</v>
      </c>
      <c r="L2432" t="s">
        <v>111</v>
      </c>
      <c r="M2432" t="s">
        <v>103</v>
      </c>
      <c r="N2432" t="s">
        <v>132</v>
      </c>
      <c r="O2432" t="s">
        <v>116</v>
      </c>
    </row>
    <row r="2433" spans="1:15" x14ac:dyDescent="0.3">
      <c r="A2433" s="130">
        <v>13105</v>
      </c>
      <c r="B2433" s="130">
        <v>30</v>
      </c>
      <c r="C2433" s="130" t="s">
        <v>4057</v>
      </c>
      <c r="D2433">
        <v>19985</v>
      </c>
      <c r="E2433" s="131">
        <v>22320881</v>
      </c>
      <c r="F2433" t="s">
        <v>87</v>
      </c>
      <c r="G2433">
        <v>9135</v>
      </c>
      <c r="H2433" t="s">
        <v>8952</v>
      </c>
      <c r="I2433" s="131">
        <v>10</v>
      </c>
      <c r="J2433" t="s">
        <v>4057</v>
      </c>
      <c r="K2433" t="s">
        <v>95</v>
      </c>
      <c r="L2433" t="s">
        <v>127</v>
      </c>
      <c r="M2433" t="s">
        <v>103</v>
      </c>
      <c r="N2433" t="s">
        <v>118</v>
      </c>
      <c r="O2433" t="s">
        <v>116</v>
      </c>
    </row>
    <row r="2434" spans="1:15" x14ac:dyDescent="0.3">
      <c r="A2434" s="130">
        <v>13116</v>
      </c>
      <c r="B2434" s="130">
        <v>18</v>
      </c>
      <c r="C2434" s="130" t="s">
        <v>4058</v>
      </c>
      <c r="D2434">
        <v>20000</v>
      </c>
      <c r="E2434" s="131">
        <v>2003402</v>
      </c>
      <c r="F2434" t="s">
        <v>87</v>
      </c>
      <c r="G2434">
        <v>76</v>
      </c>
      <c r="H2434" t="s">
        <v>8953</v>
      </c>
      <c r="I2434" s="130">
        <v>9</v>
      </c>
      <c r="J2434" t="s">
        <v>4058</v>
      </c>
      <c r="K2434" t="s">
        <v>108</v>
      </c>
      <c r="L2434" t="s">
        <v>181</v>
      </c>
      <c r="M2434" t="s">
        <v>112</v>
      </c>
      <c r="N2434" t="s">
        <v>98</v>
      </c>
      <c r="O2434" t="s">
        <v>1256</v>
      </c>
    </row>
    <row r="2435" spans="1:15" x14ac:dyDescent="0.3">
      <c r="A2435" s="130">
        <v>13125</v>
      </c>
      <c r="B2435" s="130">
        <v>18</v>
      </c>
      <c r="C2435" s="130" t="s">
        <v>4059</v>
      </c>
      <c r="D2435">
        <v>20012</v>
      </c>
      <c r="E2435" s="130">
        <v>1938069</v>
      </c>
      <c r="F2435" t="s">
        <v>87</v>
      </c>
      <c r="G2435">
        <v>9135</v>
      </c>
      <c r="H2435" t="s">
        <v>8951</v>
      </c>
      <c r="I2435" s="130">
        <v>9</v>
      </c>
      <c r="J2435" t="s">
        <v>4059</v>
      </c>
      <c r="K2435" t="s">
        <v>95</v>
      </c>
      <c r="L2435" t="s">
        <v>125</v>
      </c>
      <c r="M2435" t="s">
        <v>112</v>
      </c>
      <c r="N2435" t="s">
        <v>101</v>
      </c>
      <c r="O2435" t="s">
        <v>1345</v>
      </c>
    </row>
    <row r="2436" spans="1:15" x14ac:dyDescent="0.3">
      <c r="A2436" s="130">
        <v>13131</v>
      </c>
      <c r="B2436" s="130" t="s">
        <v>135</v>
      </c>
      <c r="C2436" s="130" t="s">
        <v>4060</v>
      </c>
      <c r="D2436">
        <v>20021</v>
      </c>
      <c r="E2436" s="131">
        <v>83646547</v>
      </c>
      <c r="F2436" t="s">
        <v>87</v>
      </c>
      <c r="G2436">
        <v>358</v>
      </c>
      <c r="H2436" t="s">
        <v>8952</v>
      </c>
      <c r="I2436" s="130">
        <v>10</v>
      </c>
      <c r="J2436" t="s">
        <v>4060</v>
      </c>
      <c r="K2436" t="s">
        <v>95</v>
      </c>
      <c r="L2436" t="s">
        <v>105</v>
      </c>
      <c r="M2436" t="s">
        <v>136</v>
      </c>
      <c r="N2436" t="s">
        <v>98</v>
      </c>
      <c r="O2436" t="s">
        <v>1345</v>
      </c>
    </row>
    <row r="2437" spans="1:15" x14ac:dyDescent="0.3">
      <c r="A2437" s="130">
        <v>13133</v>
      </c>
      <c r="B2437" s="130">
        <v>0</v>
      </c>
      <c r="C2437" s="130" t="s">
        <v>4061</v>
      </c>
      <c r="D2437">
        <v>20023</v>
      </c>
      <c r="E2437" s="130">
        <v>14506958</v>
      </c>
      <c r="F2437" t="s">
        <v>87</v>
      </c>
      <c r="G2437">
        <v>9135</v>
      </c>
      <c r="H2437" t="s">
        <v>8953</v>
      </c>
      <c r="I2437" s="130">
        <v>26</v>
      </c>
      <c r="J2437" t="s">
        <v>4061</v>
      </c>
      <c r="K2437" t="s">
        <v>108</v>
      </c>
      <c r="L2437" t="s">
        <v>151</v>
      </c>
      <c r="M2437" t="s">
        <v>100</v>
      </c>
      <c r="N2437" t="s">
        <v>98</v>
      </c>
      <c r="O2437" t="s">
        <v>1345</v>
      </c>
    </row>
    <row r="2438" spans="1:15" x14ac:dyDescent="0.3">
      <c r="A2438" s="130">
        <v>13148</v>
      </c>
      <c r="B2438" s="130">
        <v>30</v>
      </c>
      <c r="C2438" s="130" t="s">
        <v>4062</v>
      </c>
      <c r="D2438">
        <v>20044</v>
      </c>
      <c r="E2438" s="130">
        <v>3672857</v>
      </c>
      <c r="F2438" t="s">
        <v>87</v>
      </c>
      <c r="G2438">
        <v>9135</v>
      </c>
      <c r="H2438" t="s">
        <v>8951</v>
      </c>
      <c r="I2438" s="130">
        <v>10</v>
      </c>
      <c r="J2438" t="s">
        <v>4062</v>
      </c>
      <c r="K2438" t="s">
        <v>108</v>
      </c>
      <c r="L2438" t="s">
        <v>127</v>
      </c>
      <c r="M2438" t="s">
        <v>103</v>
      </c>
      <c r="N2438" t="s">
        <v>118</v>
      </c>
      <c r="O2438" t="s">
        <v>1345</v>
      </c>
    </row>
    <row r="2439" spans="1:15" x14ac:dyDescent="0.3">
      <c r="A2439" s="130">
        <v>13160</v>
      </c>
      <c r="B2439" s="130">
        <v>30</v>
      </c>
      <c r="C2439" s="130" t="s">
        <v>4063</v>
      </c>
      <c r="D2439">
        <v>20062</v>
      </c>
      <c r="E2439" s="130">
        <v>17193590</v>
      </c>
      <c r="F2439" t="s">
        <v>87</v>
      </c>
      <c r="G2439">
        <v>337</v>
      </c>
      <c r="H2439" t="s">
        <v>8952</v>
      </c>
      <c r="I2439" s="131">
        <v>3</v>
      </c>
      <c r="J2439" t="s">
        <v>4063</v>
      </c>
      <c r="K2439" t="s">
        <v>95</v>
      </c>
      <c r="L2439" t="s">
        <v>144</v>
      </c>
      <c r="M2439" t="s">
        <v>103</v>
      </c>
      <c r="N2439" t="s">
        <v>98</v>
      </c>
      <c r="O2439" t="s">
        <v>1345</v>
      </c>
    </row>
    <row r="2440" spans="1:15" x14ac:dyDescent="0.3">
      <c r="A2440" s="130">
        <v>13175</v>
      </c>
      <c r="B2440" s="130">
        <v>25</v>
      </c>
      <c r="C2440" s="130" t="s">
        <v>4064</v>
      </c>
      <c r="D2440">
        <v>20084</v>
      </c>
      <c r="E2440" s="131">
        <v>30455661</v>
      </c>
      <c r="F2440" t="s">
        <v>87</v>
      </c>
      <c r="G2440">
        <v>76</v>
      </c>
      <c r="H2440" t="s">
        <v>8953</v>
      </c>
      <c r="I2440" s="131">
        <v>43</v>
      </c>
      <c r="J2440" t="s">
        <v>4064</v>
      </c>
      <c r="K2440" t="s">
        <v>108</v>
      </c>
      <c r="L2440" t="s">
        <v>173</v>
      </c>
      <c r="M2440" t="s">
        <v>164</v>
      </c>
      <c r="N2440" t="s">
        <v>98</v>
      </c>
      <c r="O2440" t="s">
        <v>1345</v>
      </c>
    </row>
    <row r="2441" spans="1:15" x14ac:dyDescent="0.3">
      <c r="A2441" s="130">
        <v>13176</v>
      </c>
      <c r="B2441" s="130">
        <v>28</v>
      </c>
      <c r="C2441" s="130" t="s">
        <v>4065</v>
      </c>
      <c r="D2441">
        <v>20085</v>
      </c>
      <c r="E2441" s="130">
        <v>10558895</v>
      </c>
      <c r="F2441" t="s">
        <v>87</v>
      </c>
      <c r="G2441">
        <v>9135</v>
      </c>
      <c r="H2441" t="s">
        <v>8951</v>
      </c>
      <c r="I2441" s="130">
        <v>37</v>
      </c>
      <c r="J2441" t="s">
        <v>4065</v>
      </c>
      <c r="K2441" t="s">
        <v>95</v>
      </c>
      <c r="L2441" t="s">
        <v>138</v>
      </c>
      <c r="M2441" t="s">
        <v>130</v>
      </c>
      <c r="N2441" t="s">
        <v>114</v>
      </c>
      <c r="O2441" t="s">
        <v>1345</v>
      </c>
    </row>
    <row r="2442" spans="1:15" x14ac:dyDescent="0.3">
      <c r="A2442" s="130">
        <v>13196</v>
      </c>
      <c r="B2442" s="130">
        <v>30</v>
      </c>
      <c r="C2442" s="130" t="s">
        <v>4066</v>
      </c>
      <c r="D2442">
        <v>20111</v>
      </c>
      <c r="E2442" s="130">
        <v>46333713</v>
      </c>
      <c r="F2442" t="s">
        <v>87</v>
      </c>
      <c r="G2442">
        <v>9135</v>
      </c>
      <c r="H2442" t="s">
        <v>8952</v>
      </c>
      <c r="I2442" s="130">
        <v>24</v>
      </c>
      <c r="J2442" t="s">
        <v>4066</v>
      </c>
      <c r="K2442" t="s">
        <v>108</v>
      </c>
      <c r="L2442" t="s">
        <v>191</v>
      </c>
      <c r="M2442" t="s">
        <v>103</v>
      </c>
      <c r="N2442" t="s">
        <v>152</v>
      </c>
      <c r="O2442" t="s">
        <v>1345</v>
      </c>
    </row>
    <row r="2443" spans="1:15" x14ac:dyDescent="0.3">
      <c r="A2443" s="130">
        <v>13198</v>
      </c>
      <c r="B2443" s="130">
        <v>-1</v>
      </c>
      <c r="C2443" s="130" t="s">
        <v>4067</v>
      </c>
      <c r="D2443">
        <v>20113</v>
      </c>
      <c r="E2443" s="130">
        <v>39314929</v>
      </c>
      <c r="F2443" t="s">
        <v>87</v>
      </c>
      <c r="G2443">
        <v>9135</v>
      </c>
      <c r="H2443" t="s">
        <v>8953</v>
      </c>
      <c r="I2443" s="130">
        <v>10</v>
      </c>
      <c r="J2443" t="s">
        <v>4067</v>
      </c>
      <c r="K2443" t="s">
        <v>108</v>
      </c>
      <c r="L2443" t="s">
        <v>127</v>
      </c>
      <c r="M2443" t="s">
        <v>174</v>
      </c>
      <c r="N2443" t="s">
        <v>118</v>
      </c>
      <c r="O2443" t="s">
        <v>1345</v>
      </c>
    </row>
    <row r="2444" spans="1:15" x14ac:dyDescent="0.3">
      <c r="A2444" s="130">
        <v>13209</v>
      </c>
      <c r="B2444" s="130">
        <v>0</v>
      </c>
      <c r="C2444" s="130" t="s">
        <v>4068</v>
      </c>
      <c r="D2444">
        <v>20133</v>
      </c>
      <c r="E2444" s="130">
        <v>7660272</v>
      </c>
      <c r="F2444" t="s">
        <v>87</v>
      </c>
      <c r="G2444">
        <v>76</v>
      </c>
      <c r="H2444" t="s">
        <v>8951</v>
      </c>
      <c r="I2444" s="130">
        <v>43</v>
      </c>
      <c r="J2444" t="s">
        <v>4068</v>
      </c>
      <c r="K2444" t="s">
        <v>108</v>
      </c>
      <c r="L2444" t="s">
        <v>105</v>
      </c>
      <c r="M2444" t="s">
        <v>100</v>
      </c>
      <c r="N2444" t="s">
        <v>98</v>
      </c>
      <c r="O2444" t="s">
        <v>1345</v>
      </c>
    </row>
    <row r="2445" spans="1:15" x14ac:dyDescent="0.3">
      <c r="A2445" s="130">
        <v>13239</v>
      </c>
      <c r="B2445" s="130">
        <v>18</v>
      </c>
      <c r="C2445" s="130" t="s">
        <v>4069</v>
      </c>
      <c r="D2445">
        <v>20193</v>
      </c>
      <c r="E2445" s="130">
        <v>48346162</v>
      </c>
      <c r="F2445" t="s">
        <v>87</v>
      </c>
      <c r="G2445">
        <v>9135</v>
      </c>
      <c r="H2445" t="s">
        <v>8952</v>
      </c>
      <c r="I2445" s="130">
        <v>3</v>
      </c>
      <c r="J2445" t="s">
        <v>4069</v>
      </c>
      <c r="K2445" t="s">
        <v>108</v>
      </c>
      <c r="L2445" t="s">
        <v>111</v>
      </c>
      <c r="M2445" t="s">
        <v>112</v>
      </c>
      <c r="N2445" t="s">
        <v>98</v>
      </c>
      <c r="O2445" t="s">
        <v>1345</v>
      </c>
    </row>
    <row r="2446" spans="1:15" x14ac:dyDescent="0.3">
      <c r="A2446" s="130">
        <v>13258</v>
      </c>
      <c r="B2446" s="130">
        <v>10</v>
      </c>
      <c r="C2446" s="130" t="s">
        <v>4070</v>
      </c>
      <c r="D2446">
        <v>20215</v>
      </c>
      <c r="E2446" s="130">
        <v>2580316</v>
      </c>
      <c r="F2446" t="s">
        <v>87</v>
      </c>
      <c r="G2446">
        <v>9135</v>
      </c>
      <c r="H2446" t="s">
        <v>8953</v>
      </c>
      <c r="I2446" s="131">
        <v>24</v>
      </c>
      <c r="J2446" t="s">
        <v>4070</v>
      </c>
      <c r="K2446" t="s">
        <v>108</v>
      </c>
      <c r="L2446" t="s">
        <v>191</v>
      </c>
      <c r="M2446" t="s">
        <v>133</v>
      </c>
      <c r="N2446" t="s">
        <v>98</v>
      </c>
      <c r="O2446" t="s">
        <v>1345</v>
      </c>
    </row>
    <row r="2447" spans="1:15" x14ac:dyDescent="0.3">
      <c r="A2447" s="130">
        <v>13270</v>
      </c>
      <c r="B2447" s="130">
        <v>30</v>
      </c>
      <c r="C2447" s="130" t="s">
        <v>4071</v>
      </c>
      <c r="D2447">
        <v>20230</v>
      </c>
      <c r="E2447" s="131">
        <v>17193590</v>
      </c>
      <c r="F2447" t="s">
        <v>87</v>
      </c>
      <c r="G2447">
        <v>76</v>
      </c>
      <c r="H2447" t="s">
        <v>8951</v>
      </c>
      <c r="I2447" s="130">
        <v>3</v>
      </c>
      <c r="J2447" t="s">
        <v>4071</v>
      </c>
      <c r="K2447" t="s">
        <v>95</v>
      </c>
      <c r="L2447" t="s">
        <v>144</v>
      </c>
      <c r="M2447" t="s">
        <v>103</v>
      </c>
      <c r="N2447" t="s">
        <v>98</v>
      </c>
      <c r="O2447" t="s">
        <v>1345</v>
      </c>
    </row>
    <row r="2448" spans="1:15" x14ac:dyDescent="0.3">
      <c r="A2448" s="130">
        <v>13285</v>
      </c>
      <c r="B2448" s="130">
        <v>90</v>
      </c>
      <c r="C2448" s="130" t="s">
        <v>4072</v>
      </c>
      <c r="D2448">
        <v>20244</v>
      </c>
      <c r="E2448" s="130">
        <v>35234509</v>
      </c>
      <c r="F2448" t="s">
        <v>87</v>
      </c>
      <c r="G2448">
        <v>76</v>
      </c>
      <c r="H2448" t="s">
        <v>8952</v>
      </c>
      <c r="I2448" s="130">
        <v>24</v>
      </c>
      <c r="J2448" t="s">
        <v>4072</v>
      </c>
      <c r="K2448" t="s">
        <v>95</v>
      </c>
      <c r="L2448" t="s">
        <v>102</v>
      </c>
      <c r="M2448" t="s">
        <v>170</v>
      </c>
      <c r="N2448" t="s">
        <v>98</v>
      </c>
      <c r="O2448" t="s">
        <v>116</v>
      </c>
    </row>
    <row r="2449" spans="1:15" x14ac:dyDescent="0.3">
      <c r="A2449" s="130">
        <v>13294</v>
      </c>
      <c r="B2449" s="130">
        <v>30</v>
      </c>
      <c r="C2449" s="130" t="s">
        <v>4073</v>
      </c>
      <c r="D2449">
        <v>20256</v>
      </c>
      <c r="E2449" s="130">
        <v>9276932</v>
      </c>
      <c r="F2449" t="s">
        <v>87</v>
      </c>
      <c r="G2449">
        <v>76</v>
      </c>
      <c r="H2449" t="s">
        <v>8953</v>
      </c>
      <c r="I2449" s="130">
        <v>19</v>
      </c>
      <c r="J2449" t="s">
        <v>4073</v>
      </c>
      <c r="K2449" t="s">
        <v>108</v>
      </c>
      <c r="L2449" t="s">
        <v>146</v>
      </c>
      <c r="M2449" t="s">
        <v>103</v>
      </c>
      <c r="N2449" t="s">
        <v>101</v>
      </c>
      <c r="O2449" t="s">
        <v>1345</v>
      </c>
    </row>
    <row r="2450" spans="1:15" x14ac:dyDescent="0.3">
      <c r="A2450" s="130">
        <v>13296</v>
      </c>
      <c r="B2450" s="130">
        <v>10</v>
      </c>
      <c r="C2450" s="130" t="s">
        <v>4074</v>
      </c>
      <c r="D2450">
        <v>20255</v>
      </c>
      <c r="E2450" s="130">
        <v>12538950</v>
      </c>
      <c r="F2450" t="s">
        <v>87</v>
      </c>
      <c r="G2450">
        <v>9135</v>
      </c>
      <c r="H2450" t="s">
        <v>8951</v>
      </c>
      <c r="I2450" s="130">
        <v>3</v>
      </c>
      <c r="J2450" t="s">
        <v>4074</v>
      </c>
      <c r="K2450" t="s">
        <v>108</v>
      </c>
      <c r="L2450" t="s">
        <v>1293</v>
      </c>
      <c r="M2450" t="s">
        <v>133</v>
      </c>
      <c r="N2450" t="s">
        <v>124</v>
      </c>
      <c r="O2450" t="s">
        <v>116</v>
      </c>
    </row>
    <row r="2451" spans="1:15" x14ac:dyDescent="0.3">
      <c r="A2451" s="130">
        <v>13300</v>
      </c>
      <c r="B2451" s="130">
        <v>30</v>
      </c>
      <c r="C2451" s="130" t="s">
        <v>4075</v>
      </c>
      <c r="D2451">
        <v>20269</v>
      </c>
      <c r="E2451" s="131">
        <v>48546859</v>
      </c>
      <c r="F2451" t="s">
        <v>87</v>
      </c>
      <c r="G2451">
        <v>77</v>
      </c>
      <c r="H2451" t="s">
        <v>8952</v>
      </c>
      <c r="I2451" s="131">
        <v>10</v>
      </c>
      <c r="J2451" t="s">
        <v>4075</v>
      </c>
      <c r="K2451" t="s">
        <v>95</v>
      </c>
      <c r="L2451" t="s">
        <v>235</v>
      </c>
      <c r="M2451" t="s">
        <v>103</v>
      </c>
      <c r="N2451" t="s">
        <v>98</v>
      </c>
      <c r="O2451" t="s">
        <v>116</v>
      </c>
    </row>
    <row r="2452" spans="1:15" x14ac:dyDescent="0.3">
      <c r="A2452" s="130">
        <v>13309</v>
      </c>
      <c r="B2452" s="130">
        <v>15</v>
      </c>
      <c r="C2452" s="130" t="s">
        <v>4076</v>
      </c>
      <c r="D2452">
        <v>20286</v>
      </c>
      <c r="E2452" s="130">
        <v>795113</v>
      </c>
      <c r="F2452" t="s">
        <v>87</v>
      </c>
      <c r="G2452">
        <v>76</v>
      </c>
      <c r="H2452" t="s">
        <v>8953</v>
      </c>
      <c r="I2452" s="130">
        <v>19</v>
      </c>
      <c r="J2452" t="s">
        <v>4076</v>
      </c>
      <c r="K2452" t="s">
        <v>108</v>
      </c>
      <c r="L2452" t="s">
        <v>146</v>
      </c>
      <c r="M2452" t="s">
        <v>145</v>
      </c>
      <c r="N2452" t="s">
        <v>98</v>
      </c>
      <c r="O2452" t="s">
        <v>116</v>
      </c>
    </row>
    <row r="2453" spans="1:15" x14ac:dyDescent="0.3">
      <c r="A2453" s="130">
        <v>13322</v>
      </c>
      <c r="B2453" s="130">
        <v>90</v>
      </c>
      <c r="C2453" s="130" t="s">
        <v>4077</v>
      </c>
      <c r="D2453">
        <v>20300</v>
      </c>
      <c r="E2453" s="131">
        <v>35234509</v>
      </c>
      <c r="F2453" t="s">
        <v>87</v>
      </c>
      <c r="G2453">
        <v>76</v>
      </c>
      <c r="H2453" t="s">
        <v>8951</v>
      </c>
      <c r="I2453" s="130">
        <v>24</v>
      </c>
      <c r="J2453" t="s">
        <v>4077</v>
      </c>
      <c r="K2453" t="s">
        <v>95</v>
      </c>
      <c r="L2453" t="s">
        <v>102</v>
      </c>
      <c r="M2453" t="s">
        <v>170</v>
      </c>
      <c r="N2453" t="s">
        <v>98</v>
      </c>
      <c r="O2453" t="s">
        <v>1345</v>
      </c>
    </row>
    <row r="2454" spans="1:15" x14ac:dyDescent="0.3">
      <c r="A2454" s="130">
        <v>13329</v>
      </c>
      <c r="B2454" s="130">
        <v>60</v>
      </c>
      <c r="C2454" s="130" t="s">
        <v>4078</v>
      </c>
      <c r="D2454">
        <v>20305</v>
      </c>
      <c r="E2454" s="131">
        <v>9625762</v>
      </c>
      <c r="F2454" t="s">
        <v>87</v>
      </c>
      <c r="G2454">
        <v>76</v>
      </c>
      <c r="H2454" t="s">
        <v>8952</v>
      </c>
      <c r="I2454" s="131">
        <v>43</v>
      </c>
      <c r="J2454" t="s">
        <v>4078</v>
      </c>
      <c r="K2454" t="s">
        <v>95</v>
      </c>
      <c r="L2454" t="s">
        <v>173</v>
      </c>
      <c r="M2454" t="s">
        <v>97</v>
      </c>
      <c r="N2454" t="s">
        <v>150</v>
      </c>
      <c r="O2454" t="s">
        <v>1345</v>
      </c>
    </row>
    <row r="2455" spans="1:15" x14ac:dyDescent="0.3">
      <c r="A2455" s="130">
        <v>13330</v>
      </c>
      <c r="B2455" s="130">
        <v>28</v>
      </c>
      <c r="C2455" s="130" t="s">
        <v>4079</v>
      </c>
      <c r="D2455">
        <v>20306</v>
      </c>
      <c r="E2455" s="130">
        <v>44425978</v>
      </c>
      <c r="F2455" t="s">
        <v>87</v>
      </c>
      <c r="G2455">
        <v>9135</v>
      </c>
      <c r="H2455" t="s">
        <v>8953</v>
      </c>
      <c r="I2455" s="130">
        <v>37</v>
      </c>
      <c r="J2455" t="s">
        <v>4079</v>
      </c>
      <c r="K2455" t="s">
        <v>95</v>
      </c>
      <c r="L2455" t="s">
        <v>138</v>
      </c>
      <c r="M2455" t="s">
        <v>130</v>
      </c>
      <c r="N2455" t="s">
        <v>150</v>
      </c>
      <c r="O2455" t="s">
        <v>1345</v>
      </c>
    </row>
    <row r="2456" spans="1:15" x14ac:dyDescent="0.3">
      <c r="A2456" s="130">
        <v>13331</v>
      </c>
      <c r="B2456" s="130">
        <v>30</v>
      </c>
      <c r="C2456" s="130" t="s">
        <v>4080</v>
      </c>
      <c r="D2456">
        <v>20307</v>
      </c>
      <c r="E2456" s="131">
        <v>41160680</v>
      </c>
      <c r="F2456" t="s">
        <v>87</v>
      </c>
      <c r="G2456">
        <v>76</v>
      </c>
      <c r="H2456" t="s">
        <v>8951</v>
      </c>
      <c r="I2456" s="130">
        <v>19</v>
      </c>
      <c r="J2456" t="s">
        <v>4080</v>
      </c>
      <c r="K2456" t="s">
        <v>108</v>
      </c>
      <c r="L2456" t="s">
        <v>146</v>
      </c>
      <c r="M2456" t="s">
        <v>103</v>
      </c>
      <c r="N2456" t="s">
        <v>98</v>
      </c>
      <c r="O2456" t="s">
        <v>1345</v>
      </c>
    </row>
    <row r="2457" spans="1:15" x14ac:dyDescent="0.3">
      <c r="A2457" s="130">
        <v>13335</v>
      </c>
      <c r="B2457" s="131">
        <v>18</v>
      </c>
      <c r="C2457" s="130" t="s">
        <v>4081</v>
      </c>
      <c r="D2457">
        <v>20312</v>
      </c>
      <c r="E2457" s="130">
        <v>32419202</v>
      </c>
      <c r="F2457" t="s">
        <v>87</v>
      </c>
      <c r="G2457">
        <v>9135</v>
      </c>
      <c r="H2457" t="s">
        <v>8952</v>
      </c>
      <c r="I2457" s="131">
        <v>26</v>
      </c>
      <c r="J2457" t="s">
        <v>4081</v>
      </c>
      <c r="K2457" t="s">
        <v>108</v>
      </c>
      <c r="L2457" t="s">
        <v>151</v>
      </c>
      <c r="M2457" t="s">
        <v>112</v>
      </c>
      <c r="N2457" t="s">
        <v>98</v>
      </c>
      <c r="O2457" t="s">
        <v>1345</v>
      </c>
    </row>
    <row r="2458" spans="1:15" x14ac:dyDescent="0.3">
      <c r="A2458" s="130">
        <v>13343</v>
      </c>
      <c r="B2458" s="130">
        <v>60</v>
      </c>
      <c r="C2458" s="130" t="s">
        <v>4082</v>
      </c>
      <c r="D2458">
        <v>20315</v>
      </c>
      <c r="E2458" s="131">
        <v>9625762</v>
      </c>
      <c r="F2458" t="s">
        <v>87</v>
      </c>
      <c r="G2458">
        <v>76</v>
      </c>
      <c r="H2458" t="s">
        <v>8953</v>
      </c>
      <c r="I2458" s="130">
        <v>19</v>
      </c>
      <c r="J2458" t="s">
        <v>4082</v>
      </c>
      <c r="K2458" t="s">
        <v>95</v>
      </c>
      <c r="L2458" t="s">
        <v>1368</v>
      </c>
      <c r="M2458" t="s">
        <v>97</v>
      </c>
      <c r="N2458" t="s">
        <v>150</v>
      </c>
      <c r="O2458" t="s">
        <v>116</v>
      </c>
    </row>
    <row r="2459" spans="1:15" x14ac:dyDescent="0.3">
      <c r="A2459" s="130">
        <v>13363</v>
      </c>
      <c r="B2459" s="130">
        <v>60</v>
      </c>
      <c r="C2459" s="130" t="s">
        <v>4083</v>
      </c>
      <c r="D2459">
        <v>20350</v>
      </c>
      <c r="E2459" s="131">
        <v>78391612</v>
      </c>
      <c r="F2459" t="s">
        <v>87</v>
      </c>
      <c r="G2459">
        <v>9135</v>
      </c>
      <c r="H2459" t="s">
        <v>8951</v>
      </c>
      <c r="I2459" s="131">
        <v>3</v>
      </c>
      <c r="J2459" t="s">
        <v>4083</v>
      </c>
      <c r="K2459" t="s">
        <v>108</v>
      </c>
      <c r="L2459" t="s">
        <v>111</v>
      </c>
      <c r="M2459" t="s">
        <v>97</v>
      </c>
      <c r="N2459" t="s">
        <v>98</v>
      </c>
      <c r="O2459" t="s">
        <v>116</v>
      </c>
    </row>
    <row r="2460" spans="1:15" x14ac:dyDescent="0.3">
      <c r="A2460" s="130">
        <v>13366</v>
      </c>
      <c r="B2460" s="130">
        <v>30</v>
      </c>
      <c r="C2460" s="130" t="s">
        <v>4084</v>
      </c>
      <c r="D2460">
        <v>20353</v>
      </c>
      <c r="E2460" s="131">
        <v>5476099</v>
      </c>
      <c r="F2460" t="s">
        <v>87</v>
      </c>
      <c r="G2460">
        <v>9135</v>
      </c>
      <c r="H2460" t="s">
        <v>8952</v>
      </c>
      <c r="I2460" s="131">
        <v>3</v>
      </c>
      <c r="J2460" t="s">
        <v>4084</v>
      </c>
      <c r="K2460" t="s">
        <v>95</v>
      </c>
      <c r="L2460" t="s">
        <v>111</v>
      </c>
      <c r="M2460" t="s">
        <v>103</v>
      </c>
      <c r="N2460" t="s">
        <v>98</v>
      </c>
      <c r="O2460" t="s">
        <v>1345</v>
      </c>
    </row>
    <row r="2461" spans="1:15" x14ac:dyDescent="0.3">
      <c r="A2461" s="130">
        <v>13367</v>
      </c>
      <c r="B2461" s="130">
        <v>30</v>
      </c>
      <c r="C2461" s="130" t="s">
        <v>4085</v>
      </c>
      <c r="D2461">
        <v>20355</v>
      </c>
      <c r="E2461" s="131">
        <v>10630328</v>
      </c>
      <c r="F2461" t="s">
        <v>87</v>
      </c>
      <c r="G2461">
        <v>76</v>
      </c>
      <c r="H2461" t="s">
        <v>8953</v>
      </c>
      <c r="I2461" s="130">
        <v>3</v>
      </c>
      <c r="J2461" t="s">
        <v>4085</v>
      </c>
      <c r="K2461" t="s">
        <v>95</v>
      </c>
      <c r="L2461" t="s">
        <v>102</v>
      </c>
      <c r="M2461" t="s">
        <v>103</v>
      </c>
      <c r="N2461" t="s">
        <v>132</v>
      </c>
      <c r="O2461" t="s">
        <v>1345</v>
      </c>
    </row>
    <row r="2462" spans="1:15" x14ac:dyDescent="0.3">
      <c r="A2462" s="130">
        <v>13386</v>
      </c>
      <c r="B2462" s="130">
        <v>10</v>
      </c>
      <c r="C2462" s="130" t="s">
        <v>4086</v>
      </c>
      <c r="D2462">
        <v>20378</v>
      </c>
      <c r="E2462" s="130">
        <v>20346524</v>
      </c>
      <c r="F2462" t="s">
        <v>87</v>
      </c>
      <c r="G2462">
        <v>77</v>
      </c>
      <c r="H2462" t="s">
        <v>8951</v>
      </c>
      <c r="I2462" s="131">
        <v>3</v>
      </c>
      <c r="J2462" t="s">
        <v>4086</v>
      </c>
      <c r="K2462" t="s">
        <v>95</v>
      </c>
      <c r="L2462" t="s">
        <v>117</v>
      </c>
      <c r="M2462" t="s">
        <v>133</v>
      </c>
      <c r="N2462" t="s">
        <v>118</v>
      </c>
      <c r="O2462" t="s">
        <v>116</v>
      </c>
    </row>
    <row r="2463" spans="1:15" x14ac:dyDescent="0.3">
      <c r="A2463" s="130">
        <v>13396</v>
      </c>
      <c r="B2463" s="130">
        <v>15</v>
      </c>
      <c r="C2463" s="130" t="s">
        <v>4087</v>
      </c>
      <c r="D2463">
        <v>20392</v>
      </c>
      <c r="E2463" s="130">
        <v>12092175</v>
      </c>
      <c r="F2463" t="s">
        <v>87</v>
      </c>
      <c r="G2463">
        <v>76</v>
      </c>
      <c r="H2463" t="s">
        <v>8952</v>
      </c>
      <c r="I2463" s="130">
        <v>19</v>
      </c>
      <c r="J2463" t="s">
        <v>4087</v>
      </c>
      <c r="K2463" t="s">
        <v>108</v>
      </c>
      <c r="L2463" t="s">
        <v>146</v>
      </c>
      <c r="M2463" t="s">
        <v>145</v>
      </c>
      <c r="N2463" t="s">
        <v>98</v>
      </c>
      <c r="O2463" t="s">
        <v>1345</v>
      </c>
    </row>
    <row r="2464" spans="1:15" x14ac:dyDescent="0.3">
      <c r="A2464" s="130">
        <v>13400</v>
      </c>
      <c r="B2464" s="130">
        <v>15</v>
      </c>
      <c r="C2464" s="130" t="s">
        <v>4088</v>
      </c>
      <c r="D2464">
        <v>20397</v>
      </c>
      <c r="E2464" s="131">
        <v>27702723</v>
      </c>
      <c r="F2464" t="s">
        <v>87</v>
      </c>
      <c r="G2464">
        <v>76</v>
      </c>
      <c r="H2464" t="s">
        <v>8953</v>
      </c>
      <c r="I2464" s="130">
        <v>19</v>
      </c>
      <c r="J2464" t="s">
        <v>4088</v>
      </c>
      <c r="K2464" t="s">
        <v>108</v>
      </c>
      <c r="L2464" t="s">
        <v>146</v>
      </c>
      <c r="M2464" t="s">
        <v>145</v>
      </c>
      <c r="N2464" t="s">
        <v>98</v>
      </c>
      <c r="O2464" t="s">
        <v>116</v>
      </c>
    </row>
    <row r="2465" spans="1:15" x14ac:dyDescent="0.3">
      <c r="A2465" s="130">
        <v>13402</v>
      </c>
      <c r="B2465" s="130">
        <v>10</v>
      </c>
      <c r="C2465" s="130" t="s">
        <v>4089</v>
      </c>
      <c r="D2465">
        <v>20401</v>
      </c>
      <c r="E2465" s="130">
        <v>97500698</v>
      </c>
      <c r="F2465" t="s">
        <v>87</v>
      </c>
      <c r="G2465">
        <v>9135</v>
      </c>
      <c r="H2465" t="s">
        <v>8951</v>
      </c>
      <c r="I2465" s="130">
        <v>24</v>
      </c>
      <c r="J2465" t="s">
        <v>4089</v>
      </c>
      <c r="K2465" t="s">
        <v>108</v>
      </c>
      <c r="L2465" t="s">
        <v>240</v>
      </c>
      <c r="M2465" t="s">
        <v>133</v>
      </c>
      <c r="N2465" t="s">
        <v>98</v>
      </c>
      <c r="O2465" t="s">
        <v>1345</v>
      </c>
    </row>
    <row r="2466" spans="1:15" x14ac:dyDescent="0.3">
      <c r="A2466" s="130">
        <v>13409</v>
      </c>
      <c r="B2466" s="130">
        <v>18</v>
      </c>
      <c r="C2466" s="130" t="s">
        <v>4090</v>
      </c>
      <c r="D2466">
        <v>20410</v>
      </c>
      <c r="E2466" s="131">
        <v>118060</v>
      </c>
      <c r="F2466" t="s">
        <v>87</v>
      </c>
      <c r="G2466">
        <v>9135</v>
      </c>
      <c r="H2466" t="s">
        <v>8952</v>
      </c>
      <c r="I2466" s="130">
        <v>26</v>
      </c>
      <c r="J2466" t="s">
        <v>4090</v>
      </c>
      <c r="K2466" t="s">
        <v>108</v>
      </c>
      <c r="L2466" t="s">
        <v>151</v>
      </c>
      <c r="M2466" t="s">
        <v>112</v>
      </c>
      <c r="N2466" t="s">
        <v>98</v>
      </c>
      <c r="O2466" t="s">
        <v>116</v>
      </c>
    </row>
    <row r="2467" spans="1:15" x14ac:dyDescent="0.3">
      <c r="A2467" s="130">
        <v>13411</v>
      </c>
      <c r="B2467" s="130">
        <v>30</v>
      </c>
      <c r="C2467" s="130" t="s">
        <v>4091</v>
      </c>
      <c r="D2467">
        <v>20411</v>
      </c>
      <c r="E2467" s="130">
        <v>2905110</v>
      </c>
      <c r="F2467" t="s">
        <v>87</v>
      </c>
      <c r="G2467">
        <v>9135</v>
      </c>
      <c r="H2467" t="s">
        <v>8953</v>
      </c>
      <c r="I2467" s="130">
        <v>24</v>
      </c>
      <c r="J2467" t="s">
        <v>4091</v>
      </c>
      <c r="K2467" t="s">
        <v>108</v>
      </c>
      <c r="L2467" t="s">
        <v>191</v>
      </c>
      <c r="M2467" t="s">
        <v>103</v>
      </c>
      <c r="N2467" t="s">
        <v>216</v>
      </c>
      <c r="O2467" t="s">
        <v>116</v>
      </c>
    </row>
    <row r="2468" spans="1:15" x14ac:dyDescent="0.3">
      <c r="A2468" s="130">
        <v>13420</v>
      </c>
      <c r="B2468" s="130">
        <v>60</v>
      </c>
      <c r="C2468" s="130" t="s">
        <v>4092</v>
      </c>
      <c r="D2468">
        <v>20430</v>
      </c>
      <c r="E2468" s="130">
        <v>17227422</v>
      </c>
      <c r="F2468" t="s">
        <v>87</v>
      </c>
      <c r="G2468">
        <v>77</v>
      </c>
      <c r="H2468" t="s">
        <v>8951</v>
      </c>
      <c r="I2468" s="130">
        <v>3</v>
      </c>
      <c r="J2468" t="s">
        <v>4092</v>
      </c>
      <c r="K2468" t="s">
        <v>95</v>
      </c>
      <c r="L2468" t="s">
        <v>1255</v>
      </c>
      <c r="M2468" t="s">
        <v>97</v>
      </c>
      <c r="N2468" t="s">
        <v>98</v>
      </c>
      <c r="O2468" t="s">
        <v>1345</v>
      </c>
    </row>
    <row r="2469" spans="1:15" x14ac:dyDescent="0.3">
      <c r="A2469" s="130">
        <v>13424</v>
      </c>
      <c r="B2469" s="130">
        <v>30</v>
      </c>
      <c r="C2469" s="130" t="s">
        <v>4093</v>
      </c>
      <c r="D2469">
        <v>20436</v>
      </c>
      <c r="E2469" s="130">
        <v>8811226</v>
      </c>
      <c r="F2469" t="s">
        <v>87</v>
      </c>
      <c r="G2469">
        <v>76</v>
      </c>
      <c r="H2469" t="s">
        <v>8952</v>
      </c>
      <c r="I2469" s="131">
        <v>43</v>
      </c>
      <c r="J2469" t="s">
        <v>4093</v>
      </c>
      <c r="K2469" t="s">
        <v>108</v>
      </c>
      <c r="L2469" t="s">
        <v>1368</v>
      </c>
      <c r="M2469" t="s">
        <v>103</v>
      </c>
      <c r="N2469" t="s">
        <v>98</v>
      </c>
      <c r="O2469" t="s">
        <v>116</v>
      </c>
    </row>
    <row r="2470" spans="1:15" x14ac:dyDescent="0.3">
      <c r="A2470" s="130">
        <v>13433</v>
      </c>
      <c r="B2470" s="130">
        <v>0</v>
      </c>
      <c r="C2470" s="130" t="s">
        <v>4094</v>
      </c>
      <c r="D2470">
        <v>20445</v>
      </c>
      <c r="E2470" s="130">
        <v>6153782</v>
      </c>
      <c r="F2470" t="s">
        <v>87</v>
      </c>
      <c r="G2470">
        <v>9135</v>
      </c>
      <c r="H2470" t="s">
        <v>8953</v>
      </c>
      <c r="I2470" s="130">
        <v>9</v>
      </c>
      <c r="J2470" t="s">
        <v>4094</v>
      </c>
      <c r="K2470" t="s">
        <v>108</v>
      </c>
      <c r="L2470" t="s">
        <v>181</v>
      </c>
      <c r="M2470" t="s">
        <v>100</v>
      </c>
      <c r="N2470" t="s">
        <v>114</v>
      </c>
      <c r="O2470" t="s">
        <v>1256</v>
      </c>
    </row>
    <row r="2471" spans="1:15" x14ac:dyDescent="0.3">
      <c r="A2471" s="130">
        <v>13434</v>
      </c>
      <c r="B2471" s="130">
        <v>10</v>
      </c>
      <c r="C2471" s="130" t="s">
        <v>4095</v>
      </c>
      <c r="D2471">
        <v>20446</v>
      </c>
      <c r="E2471" s="130">
        <v>6153782</v>
      </c>
      <c r="F2471" t="s">
        <v>87</v>
      </c>
      <c r="G2471">
        <v>9135</v>
      </c>
      <c r="H2471" t="s">
        <v>8951</v>
      </c>
      <c r="I2471" s="131">
        <v>9</v>
      </c>
      <c r="J2471" t="s">
        <v>4095</v>
      </c>
      <c r="K2471" t="s">
        <v>108</v>
      </c>
      <c r="L2471" t="s">
        <v>181</v>
      </c>
      <c r="M2471" t="s">
        <v>133</v>
      </c>
      <c r="N2471" t="s">
        <v>114</v>
      </c>
      <c r="O2471" t="s">
        <v>116</v>
      </c>
    </row>
    <row r="2472" spans="1:15" x14ac:dyDescent="0.3">
      <c r="A2472" s="130">
        <v>13442</v>
      </c>
      <c r="B2472" s="130">
        <v>30</v>
      </c>
      <c r="C2472" s="130" t="s">
        <v>4096</v>
      </c>
      <c r="D2472">
        <v>20466</v>
      </c>
      <c r="E2472" s="130">
        <v>4045850</v>
      </c>
      <c r="F2472" t="s">
        <v>87</v>
      </c>
      <c r="G2472">
        <v>76</v>
      </c>
      <c r="H2472" t="s">
        <v>8952</v>
      </c>
      <c r="I2472" s="131">
        <v>19</v>
      </c>
      <c r="J2472" t="s">
        <v>4096</v>
      </c>
      <c r="K2472" t="s">
        <v>108</v>
      </c>
      <c r="L2472" t="s">
        <v>146</v>
      </c>
      <c r="M2472" t="s">
        <v>103</v>
      </c>
      <c r="N2472" t="s">
        <v>98</v>
      </c>
      <c r="O2472" t="s">
        <v>1345</v>
      </c>
    </row>
    <row r="2473" spans="1:15" x14ac:dyDescent="0.3">
      <c r="A2473" s="130">
        <v>13459</v>
      </c>
      <c r="B2473" s="130">
        <v>30</v>
      </c>
      <c r="C2473" s="130" t="s">
        <v>4097</v>
      </c>
      <c r="D2473">
        <v>20485</v>
      </c>
      <c r="E2473" s="130">
        <v>29117705</v>
      </c>
      <c r="F2473" t="s">
        <v>87</v>
      </c>
      <c r="G2473">
        <v>337</v>
      </c>
      <c r="H2473" t="s">
        <v>8953</v>
      </c>
      <c r="I2473" s="131">
        <v>24</v>
      </c>
      <c r="J2473" t="s">
        <v>4097</v>
      </c>
      <c r="K2473" t="s">
        <v>95</v>
      </c>
      <c r="L2473" t="s">
        <v>144</v>
      </c>
      <c r="M2473" t="s">
        <v>103</v>
      </c>
      <c r="N2473" t="s">
        <v>98</v>
      </c>
      <c r="O2473" t="s">
        <v>1345</v>
      </c>
    </row>
    <row r="2474" spans="1:15" x14ac:dyDescent="0.3">
      <c r="A2474" s="130">
        <v>13467</v>
      </c>
      <c r="B2474" s="130">
        <v>30</v>
      </c>
      <c r="C2474" s="130" t="s">
        <v>4098</v>
      </c>
      <c r="D2474">
        <v>20494</v>
      </c>
      <c r="E2474" s="131">
        <v>29117705</v>
      </c>
      <c r="F2474" t="s">
        <v>87</v>
      </c>
      <c r="G2474">
        <v>337</v>
      </c>
      <c r="H2474" t="s">
        <v>8951</v>
      </c>
      <c r="I2474" s="130">
        <v>37</v>
      </c>
      <c r="J2474" t="s">
        <v>4098</v>
      </c>
      <c r="K2474" t="s">
        <v>95</v>
      </c>
      <c r="L2474" t="s">
        <v>144</v>
      </c>
      <c r="M2474" t="s">
        <v>103</v>
      </c>
      <c r="N2474" t="s">
        <v>98</v>
      </c>
      <c r="O2474" t="s">
        <v>1345</v>
      </c>
    </row>
    <row r="2475" spans="1:15" x14ac:dyDescent="0.3">
      <c r="A2475" s="130">
        <v>13478</v>
      </c>
      <c r="B2475" s="130">
        <v>10</v>
      </c>
      <c r="C2475" s="130" t="s">
        <v>4099</v>
      </c>
      <c r="D2475">
        <v>20512</v>
      </c>
      <c r="E2475" s="131">
        <v>2565617</v>
      </c>
      <c r="F2475" t="s">
        <v>87</v>
      </c>
      <c r="G2475">
        <v>9135</v>
      </c>
      <c r="H2475" t="s">
        <v>8952</v>
      </c>
      <c r="I2475" s="131">
        <v>18</v>
      </c>
      <c r="J2475" t="s">
        <v>4099</v>
      </c>
      <c r="K2475" t="s">
        <v>108</v>
      </c>
      <c r="L2475" t="s">
        <v>1293</v>
      </c>
      <c r="M2475" t="s">
        <v>133</v>
      </c>
      <c r="N2475" t="s">
        <v>98</v>
      </c>
      <c r="O2475" t="s">
        <v>1345</v>
      </c>
    </row>
    <row r="2476" spans="1:15" x14ac:dyDescent="0.3">
      <c r="A2476" s="130">
        <v>13497</v>
      </c>
      <c r="B2476" s="130">
        <v>21</v>
      </c>
      <c r="C2476" s="130" t="s">
        <v>4100</v>
      </c>
      <c r="D2476">
        <v>20542</v>
      </c>
      <c r="E2476" s="130">
        <v>28752115</v>
      </c>
      <c r="F2476" t="s">
        <v>87</v>
      </c>
      <c r="G2476">
        <v>9135</v>
      </c>
      <c r="H2476" t="s">
        <v>8953</v>
      </c>
      <c r="I2476" s="131">
        <v>3</v>
      </c>
      <c r="J2476" t="s">
        <v>4100</v>
      </c>
      <c r="K2476" t="s">
        <v>95</v>
      </c>
      <c r="L2476" t="s">
        <v>111</v>
      </c>
      <c r="M2476" t="s">
        <v>137</v>
      </c>
      <c r="N2476" t="s">
        <v>98</v>
      </c>
      <c r="O2476" t="s">
        <v>116</v>
      </c>
    </row>
    <row r="2477" spans="1:15" x14ac:dyDescent="0.3">
      <c r="A2477" s="130">
        <v>13512</v>
      </c>
      <c r="B2477" s="130">
        <v>90</v>
      </c>
      <c r="C2477" s="130" t="s">
        <v>4101</v>
      </c>
      <c r="D2477">
        <v>20562</v>
      </c>
      <c r="E2477" s="130">
        <v>655209</v>
      </c>
      <c r="F2477" t="s">
        <v>87</v>
      </c>
      <c r="G2477">
        <v>9135</v>
      </c>
      <c r="H2477" t="s">
        <v>8951</v>
      </c>
      <c r="I2477" s="130">
        <v>9</v>
      </c>
      <c r="J2477" t="s">
        <v>4101</v>
      </c>
      <c r="K2477" t="s">
        <v>95</v>
      </c>
      <c r="L2477" t="s">
        <v>181</v>
      </c>
      <c r="M2477" t="s">
        <v>170</v>
      </c>
      <c r="N2477" t="s">
        <v>114</v>
      </c>
      <c r="O2477" t="s">
        <v>116</v>
      </c>
    </row>
    <row r="2478" spans="1:15" x14ac:dyDescent="0.3">
      <c r="A2478" s="130">
        <v>13515</v>
      </c>
      <c r="B2478" s="130">
        <v>0</v>
      </c>
      <c r="C2478" s="130" t="s">
        <v>4102</v>
      </c>
      <c r="D2478">
        <v>20565</v>
      </c>
      <c r="E2478" s="130">
        <v>26226957</v>
      </c>
      <c r="F2478" t="s">
        <v>87</v>
      </c>
      <c r="G2478">
        <v>9135</v>
      </c>
      <c r="H2478" t="s">
        <v>8952</v>
      </c>
      <c r="I2478" s="131">
        <v>24</v>
      </c>
      <c r="J2478" t="s">
        <v>4102</v>
      </c>
      <c r="K2478" t="s">
        <v>108</v>
      </c>
      <c r="L2478" t="s">
        <v>153</v>
      </c>
      <c r="M2478" t="s">
        <v>100</v>
      </c>
      <c r="N2478" t="s">
        <v>152</v>
      </c>
      <c r="O2478" t="s">
        <v>1256</v>
      </c>
    </row>
    <row r="2479" spans="1:15" x14ac:dyDescent="0.3">
      <c r="A2479" s="130">
        <v>13526</v>
      </c>
      <c r="B2479" s="130">
        <v>30</v>
      </c>
      <c r="C2479" s="130" t="s">
        <v>4103</v>
      </c>
      <c r="D2479">
        <v>20588</v>
      </c>
      <c r="E2479" s="130">
        <v>1704488</v>
      </c>
      <c r="F2479" t="s">
        <v>87</v>
      </c>
      <c r="G2479">
        <v>9135</v>
      </c>
      <c r="H2479" t="s">
        <v>8953</v>
      </c>
      <c r="I2479" s="130">
        <v>10</v>
      </c>
      <c r="J2479" t="s">
        <v>4103</v>
      </c>
      <c r="K2479" t="s">
        <v>95</v>
      </c>
      <c r="L2479" t="s">
        <v>127</v>
      </c>
      <c r="M2479" t="s">
        <v>103</v>
      </c>
      <c r="N2479" t="s">
        <v>118</v>
      </c>
      <c r="O2479" t="s">
        <v>1345</v>
      </c>
    </row>
    <row r="2480" spans="1:15" x14ac:dyDescent="0.3">
      <c r="A2480" s="130">
        <v>13529</v>
      </c>
      <c r="B2480" s="130">
        <v>30</v>
      </c>
      <c r="C2480" s="130" t="s">
        <v>4104</v>
      </c>
      <c r="D2480">
        <v>20591</v>
      </c>
      <c r="E2480" s="131">
        <v>1704488</v>
      </c>
      <c r="F2480" t="s">
        <v>87</v>
      </c>
      <c r="G2480">
        <v>9135</v>
      </c>
      <c r="H2480" t="s">
        <v>8951</v>
      </c>
      <c r="I2480" s="131">
        <v>10</v>
      </c>
      <c r="J2480" t="s">
        <v>4104</v>
      </c>
      <c r="K2480" t="s">
        <v>95</v>
      </c>
      <c r="L2480" t="s">
        <v>127</v>
      </c>
      <c r="M2480" t="s">
        <v>103</v>
      </c>
      <c r="N2480" t="s">
        <v>118</v>
      </c>
      <c r="O2480" t="s">
        <v>116</v>
      </c>
    </row>
    <row r="2481" spans="1:15" x14ac:dyDescent="0.3">
      <c r="A2481" s="130">
        <v>13533</v>
      </c>
      <c r="B2481" s="130">
        <v>0</v>
      </c>
      <c r="C2481" s="130" t="s">
        <v>4105</v>
      </c>
      <c r="D2481">
        <v>20598</v>
      </c>
      <c r="E2481" s="130">
        <v>38316316</v>
      </c>
      <c r="F2481" t="s">
        <v>87</v>
      </c>
      <c r="G2481">
        <v>76</v>
      </c>
      <c r="H2481" t="s">
        <v>8952</v>
      </c>
      <c r="I2481" s="130">
        <v>43</v>
      </c>
      <c r="J2481" t="s">
        <v>4105</v>
      </c>
      <c r="K2481" t="s">
        <v>95</v>
      </c>
      <c r="L2481" t="s">
        <v>1241</v>
      </c>
      <c r="M2481" t="s">
        <v>100</v>
      </c>
      <c r="N2481" t="s">
        <v>98</v>
      </c>
      <c r="O2481" t="s">
        <v>1256</v>
      </c>
    </row>
    <row r="2482" spans="1:15" x14ac:dyDescent="0.3">
      <c r="A2482" s="130">
        <v>13543</v>
      </c>
      <c r="B2482" s="130">
        <v>90</v>
      </c>
      <c r="C2482" s="130" t="s">
        <v>4106</v>
      </c>
      <c r="D2482">
        <v>20620</v>
      </c>
      <c r="E2482" s="130">
        <v>35234509</v>
      </c>
      <c r="F2482" t="s">
        <v>87</v>
      </c>
      <c r="G2482">
        <v>76</v>
      </c>
      <c r="H2482" t="s">
        <v>8953</v>
      </c>
      <c r="I2482" s="130">
        <v>24</v>
      </c>
      <c r="J2482" t="s">
        <v>4106</v>
      </c>
      <c r="K2482" t="s">
        <v>95</v>
      </c>
      <c r="L2482" t="s">
        <v>102</v>
      </c>
      <c r="M2482" t="s">
        <v>170</v>
      </c>
      <c r="N2482" t="s">
        <v>98</v>
      </c>
      <c r="O2482" t="s">
        <v>116</v>
      </c>
    </row>
    <row r="2483" spans="1:15" x14ac:dyDescent="0.3">
      <c r="A2483" s="130">
        <v>13544</v>
      </c>
      <c r="B2483" s="130">
        <v>-1</v>
      </c>
      <c r="C2483" s="130" t="s">
        <v>4107</v>
      </c>
      <c r="D2483">
        <v>20621</v>
      </c>
      <c r="E2483" s="131">
        <v>40202969</v>
      </c>
      <c r="F2483" t="s">
        <v>87</v>
      </c>
      <c r="G2483">
        <v>9135</v>
      </c>
      <c r="H2483" t="s">
        <v>8951</v>
      </c>
      <c r="I2483" s="130">
        <v>9</v>
      </c>
      <c r="J2483" t="s">
        <v>4107</v>
      </c>
      <c r="K2483" t="s">
        <v>108</v>
      </c>
      <c r="L2483" t="s">
        <v>163</v>
      </c>
      <c r="M2483" t="s">
        <v>174</v>
      </c>
      <c r="N2483" t="s">
        <v>98</v>
      </c>
      <c r="O2483" t="s">
        <v>116</v>
      </c>
    </row>
    <row r="2484" spans="1:15" x14ac:dyDescent="0.3">
      <c r="A2484" s="130">
        <v>13545</v>
      </c>
      <c r="B2484" s="130">
        <v>30</v>
      </c>
      <c r="C2484" s="130" t="s">
        <v>4108</v>
      </c>
      <c r="D2484">
        <v>20622</v>
      </c>
      <c r="E2484" s="131">
        <v>8343492</v>
      </c>
      <c r="F2484" t="s">
        <v>87</v>
      </c>
      <c r="G2484">
        <v>9135</v>
      </c>
      <c r="H2484" t="s">
        <v>8952</v>
      </c>
      <c r="I2484" s="131">
        <v>37</v>
      </c>
      <c r="J2484" t="s">
        <v>4108</v>
      </c>
      <c r="K2484" t="s">
        <v>95</v>
      </c>
      <c r="L2484" t="s">
        <v>138</v>
      </c>
      <c r="M2484" t="s">
        <v>103</v>
      </c>
      <c r="N2484" t="s">
        <v>150</v>
      </c>
      <c r="O2484" t="s">
        <v>1345</v>
      </c>
    </row>
    <row r="2485" spans="1:15" x14ac:dyDescent="0.3">
      <c r="A2485" s="130">
        <v>13549</v>
      </c>
      <c r="B2485" s="130">
        <v>15</v>
      </c>
      <c r="C2485" s="130" t="s">
        <v>4109</v>
      </c>
      <c r="D2485">
        <v>20630</v>
      </c>
      <c r="E2485" s="130">
        <v>5545366</v>
      </c>
      <c r="F2485" t="s">
        <v>87</v>
      </c>
      <c r="G2485">
        <v>76</v>
      </c>
      <c r="H2485" t="s">
        <v>8953</v>
      </c>
      <c r="I2485" s="130">
        <v>19</v>
      </c>
      <c r="J2485" t="s">
        <v>4109</v>
      </c>
      <c r="K2485" t="s">
        <v>108</v>
      </c>
      <c r="L2485" t="s">
        <v>1369</v>
      </c>
      <c r="M2485" t="s">
        <v>145</v>
      </c>
      <c r="N2485" t="s">
        <v>98</v>
      </c>
      <c r="O2485" t="s">
        <v>1345</v>
      </c>
    </row>
    <row r="2486" spans="1:15" x14ac:dyDescent="0.3">
      <c r="A2486" s="130">
        <v>13558</v>
      </c>
      <c r="B2486" s="130">
        <v>10</v>
      </c>
      <c r="C2486" s="130" t="s">
        <v>4110</v>
      </c>
      <c r="D2486">
        <v>20642</v>
      </c>
      <c r="E2486" s="130">
        <v>5341231</v>
      </c>
      <c r="F2486" t="s">
        <v>87</v>
      </c>
      <c r="G2486">
        <v>76</v>
      </c>
      <c r="H2486" t="s">
        <v>8951</v>
      </c>
      <c r="I2486" s="130">
        <v>24</v>
      </c>
      <c r="J2486" t="s">
        <v>4110</v>
      </c>
      <c r="K2486" t="s">
        <v>108</v>
      </c>
      <c r="L2486" t="s">
        <v>191</v>
      </c>
      <c r="M2486" t="s">
        <v>133</v>
      </c>
      <c r="N2486" t="s">
        <v>98</v>
      </c>
      <c r="O2486" t="s">
        <v>1345</v>
      </c>
    </row>
    <row r="2487" spans="1:15" x14ac:dyDescent="0.3">
      <c r="A2487" s="130">
        <v>13561</v>
      </c>
      <c r="B2487" s="130">
        <v>30</v>
      </c>
      <c r="C2487" s="130" t="s">
        <v>4111</v>
      </c>
      <c r="D2487">
        <v>20648</v>
      </c>
      <c r="E2487" s="130">
        <v>9557452</v>
      </c>
      <c r="F2487" t="s">
        <v>113</v>
      </c>
      <c r="G2487">
        <v>76</v>
      </c>
      <c r="H2487" t="s">
        <v>8952</v>
      </c>
      <c r="I2487" s="130">
        <v>43</v>
      </c>
      <c r="J2487" t="s">
        <v>4111</v>
      </c>
      <c r="K2487" t="s">
        <v>95</v>
      </c>
      <c r="L2487" t="s">
        <v>1241</v>
      </c>
      <c r="M2487" t="s">
        <v>103</v>
      </c>
      <c r="N2487" t="s">
        <v>98</v>
      </c>
      <c r="O2487" t="s">
        <v>1256</v>
      </c>
    </row>
    <row r="2488" spans="1:15" x14ac:dyDescent="0.3">
      <c r="A2488" s="130">
        <v>13563</v>
      </c>
      <c r="B2488" s="130">
        <v>30</v>
      </c>
      <c r="C2488" s="130" t="s">
        <v>4112</v>
      </c>
      <c r="D2488">
        <v>20654</v>
      </c>
      <c r="E2488" s="130">
        <v>71011860</v>
      </c>
      <c r="F2488" t="s">
        <v>87</v>
      </c>
      <c r="G2488">
        <v>9135</v>
      </c>
      <c r="H2488" t="s">
        <v>8953</v>
      </c>
      <c r="I2488" s="130">
        <v>3</v>
      </c>
      <c r="J2488" t="s">
        <v>4112</v>
      </c>
      <c r="K2488" t="s">
        <v>108</v>
      </c>
      <c r="L2488" t="s">
        <v>111</v>
      </c>
      <c r="M2488" t="s">
        <v>103</v>
      </c>
      <c r="N2488" t="s">
        <v>98</v>
      </c>
      <c r="O2488" t="s">
        <v>1345</v>
      </c>
    </row>
    <row r="2489" spans="1:15" x14ac:dyDescent="0.3">
      <c r="A2489" s="130">
        <v>13577</v>
      </c>
      <c r="B2489" s="130">
        <v>30</v>
      </c>
      <c r="C2489" s="130" t="s">
        <v>4113</v>
      </c>
      <c r="D2489">
        <v>20678</v>
      </c>
      <c r="E2489" s="131">
        <v>7005330</v>
      </c>
      <c r="F2489" t="s">
        <v>87</v>
      </c>
      <c r="G2489">
        <v>77</v>
      </c>
      <c r="H2489" t="s">
        <v>8951</v>
      </c>
      <c r="I2489" s="130">
        <v>18</v>
      </c>
      <c r="J2489" t="s">
        <v>4113</v>
      </c>
      <c r="K2489" t="s">
        <v>95</v>
      </c>
      <c r="L2489" t="s">
        <v>235</v>
      </c>
      <c r="M2489" t="s">
        <v>103</v>
      </c>
      <c r="N2489" t="s">
        <v>114</v>
      </c>
      <c r="O2489" t="s">
        <v>116</v>
      </c>
    </row>
    <row r="2490" spans="1:15" x14ac:dyDescent="0.3">
      <c r="A2490" s="130">
        <v>13578</v>
      </c>
      <c r="B2490" s="130">
        <v>28</v>
      </c>
      <c r="C2490" s="130" t="s">
        <v>4114</v>
      </c>
      <c r="D2490">
        <v>20677</v>
      </c>
      <c r="E2490" s="131">
        <v>35002300</v>
      </c>
      <c r="F2490" t="s">
        <v>87</v>
      </c>
      <c r="G2490">
        <v>9135</v>
      </c>
      <c r="H2490" t="s">
        <v>8952</v>
      </c>
      <c r="I2490" s="131">
        <v>37</v>
      </c>
      <c r="J2490" t="s">
        <v>4114</v>
      </c>
      <c r="K2490" t="s">
        <v>95</v>
      </c>
      <c r="L2490" t="s">
        <v>138</v>
      </c>
      <c r="M2490" t="s">
        <v>130</v>
      </c>
      <c r="N2490" t="s">
        <v>150</v>
      </c>
      <c r="O2490" t="s">
        <v>1345</v>
      </c>
    </row>
    <row r="2491" spans="1:15" x14ac:dyDescent="0.3">
      <c r="A2491" s="130">
        <v>13593</v>
      </c>
      <c r="B2491" s="130">
        <v>30</v>
      </c>
      <c r="C2491" s="130" t="s">
        <v>4115</v>
      </c>
      <c r="D2491">
        <v>20698</v>
      </c>
      <c r="E2491" s="130">
        <v>33592510</v>
      </c>
      <c r="F2491" t="s">
        <v>87</v>
      </c>
      <c r="G2491">
        <v>77</v>
      </c>
      <c r="H2491" t="s">
        <v>8953</v>
      </c>
      <c r="I2491" s="130">
        <v>48</v>
      </c>
      <c r="J2491" t="s">
        <v>4115</v>
      </c>
      <c r="K2491" t="s">
        <v>95</v>
      </c>
      <c r="L2491" t="s">
        <v>235</v>
      </c>
      <c r="M2491" t="s">
        <v>180</v>
      </c>
      <c r="N2491" t="s">
        <v>118</v>
      </c>
      <c r="O2491" t="s">
        <v>116</v>
      </c>
    </row>
    <row r="2492" spans="1:15" x14ac:dyDescent="0.3">
      <c r="A2492" s="130">
        <v>13594</v>
      </c>
      <c r="B2492" s="130">
        <v>15</v>
      </c>
      <c r="C2492" s="130" t="s">
        <v>4116</v>
      </c>
      <c r="D2492">
        <v>20704</v>
      </c>
      <c r="E2492" s="130">
        <v>29423069</v>
      </c>
      <c r="F2492" t="s">
        <v>87</v>
      </c>
      <c r="G2492">
        <v>76</v>
      </c>
      <c r="H2492" t="s">
        <v>8951</v>
      </c>
      <c r="I2492" s="130">
        <v>19</v>
      </c>
      <c r="J2492" t="s">
        <v>4116</v>
      </c>
      <c r="K2492" t="s">
        <v>108</v>
      </c>
      <c r="L2492" t="s">
        <v>146</v>
      </c>
      <c r="M2492" t="s">
        <v>145</v>
      </c>
      <c r="N2492" t="s">
        <v>98</v>
      </c>
      <c r="O2492" t="s">
        <v>1345</v>
      </c>
    </row>
    <row r="2493" spans="1:15" x14ac:dyDescent="0.3">
      <c r="A2493" s="130">
        <v>13605</v>
      </c>
      <c r="B2493" s="130">
        <v>30</v>
      </c>
      <c r="C2493" s="130" t="s">
        <v>4117</v>
      </c>
      <c r="D2493">
        <v>20718</v>
      </c>
      <c r="E2493" s="131">
        <v>10714060</v>
      </c>
      <c r="F2493" t="s">
        <v>87</v>
      </c>
      <c r="G2493">
        <v>9135</v>
      </c>
      <c r="H2493" t="s">
        <v>8952</v>
      </c>
      <c r="I2493" s="130">
        <v>10</v>
      </c>
      <c r="J2493" t="s">
        <v>4117</v>
      </c>
      <c r="K2493" t="s">
        <v>108</v>
      </c>
      <c r="L2493" t="s">
        <v>127</v>
      </c>
      <c r="M2493" t="s">
        <v>103</v>
      </c>
      <c r="N2493" t="s">
        <v>124</v>
      </c>
      <c r="O2493" t="s">
        <v>1345</v>
      </c>
    </row>
    <row r="2494" spans="1:15" x14ac:dyDescent="0.3">
      <c r="A2494" s="130">
        <v>13608</v>
      </c>
      <c r="B2494" s="130">
        <v>30</v>
      </c>
      <c r="C2494" s="130" t="s">
        <v>4118</v>
      </c>
      <c r="D2494">
        <v>20721</v>
      </c>
      <c r="E2494" s="131">
        <v>33841727</v>
      </c>
      <c r="F2494" t="s">
        <v>87</v>
      </c>
      <c r="G2494">
        <v>9135</v>
      </c>
      <c r="H2494" t="s">
        <v>8953</v>
      </c>
      <c r="I2494" s="130">
        <v>3</v>
      </c>
      <c r="J2494" t="s">
        <v>4118</v>
      </c>
      <c r="K2494" t="s">
        <v>95</v>
      </c>
      <c r="L2494" t="s">
        <v>111</v>
      </c>
      <c r="M2494" t="s">
        <v>103</v>
      </c>
      <c r="N2494" t="s">
        <v>98</v>
      </c>
      <c r="O2494" t="s">
        <v>1345</v>
      </c>
    </row>
    <row r="2495" spans="1:15" x14ac:dyDescent="0.3">
      <c r="A2495" s="130">
        <v>13609</v>
      </c>
      <c r="B2495" s="130">
        <v>30</v>
      </c>
      <c r="C2495" s="130" t="s">
        <v>4119</v>
      </c>
      <c r="D2495">
        <v>20723</v>
      </c>
      <c r="E2495" s="130">
        <v>33841727</v>
      </c>
      <c r="F2495" t="s">
        <v>87</v>
      </c>
      <c r="G2495">
        <v>9135</v>
      </c>
      <c r="H2495" t="s">
        <v>8951</v>
      </c>
      <c r="I2495" s="130">
        <v>3</v>
      </c>
      <c r="J2495" t="s">
        <v>4119</v>
      </c>
      <c r="K2495" t="s">
        <v>95</v>
      </c>
      <c r="L2495" t="s">
        <v>111</v>
      </c>
      <c r="M2495" t="s">
        <v>103</v>
      </c>
      <c r="N2495" t="s">
        <v>98</v>
      </c>
      <c r="O2495" t="s">
        <v>1345</v>
      </c>
    </row>
    <row r="2496" spans="1:15" x14ac:dyDescent="0.3">
      <c r="A2496" s="130">
        <v>13610</v>
      </c>
      <c r="B2496" s="130">
        <v>18</v>
      </c>
      <c r="C2496" s="130" t="s">
        <v>4120</v>
      </c>
      <c r="D2496">
        <v>20724</v>
      </c>
      <c r="E2496" s="130">
        <v>47888128</v>
      </c>
      <c r="F2496" t="s">
        <v>87</v>
      </c>
      <c r="G2496">
        <v>9135</v>
      </c>
      <c r="H2496" t="s">
        <v>8952</v>
      </c>
      <c r="I2496" s="131">
        <v>37</v>
      </c>
      <c r="J2496" t="s">
        <v>4120</v>
      </c>
      <c r="K2496" t="s">
        <v>95</v>
      </c>
      <c r="L2496" t="s">
        <v>138</v>
      </c>
      <c r="M2496" t="s">
        <v>112</v>
      </c>
      <c r="N2496" t="s">
        <v>150</v>
      </c>
      <c r="O2496" t="s">
        <v>1345</v>
      </c>
    </row>
    <row r="2497" spans="1:15" x14ac:dyDescent="0.3">
      <c r="A2497" s="130">
        <v>13612</v>
      </c>
      <c r="B2497" s="130">
        <v>30</v>
      </c>
      <c r="C2497" s="130" t="s">
        <v>4121</v>
      </c>
      <c r="D2497">
        <v>20725</v>
      </c>
      <c r="E2497" s="130">
        <v>21471093</v>
      </c>
      <c r="F2497" t="s">
        <v>87</v>
      </c>
      <c r="G2497">
        <v>9135</v>
      </c>
      <c r="H2497" t="s">
        <v>8953</v>
      </c>
      <c r="I2497" s="131">
        <v>24</v>
      </c>
      <c r="J2497" t="s">
        <v>4121</v>
      </c>
      <c r="K2497" t="s">
        <v>108</v>
      </c>
      <c r="L2497" t="s">
        <v>191</v>
      </c>
      <c r="M2497" t="s">
        <v>103</v>
      </c>
      <c r="N2497" t="s">
        <v>107</v>
      </c>
      <c r="O2497" t="s">
        <v>116</v>
      </c>
    </row>
    <row r="2498" spans="1:15" x14ac:dyDescent="0.3">
      <c r="A2498" s="130">
        <v>13621</v>
      </c>
      <c r="B2498" s="130">
        <v>15</v>
      </c>
      <c r="C2498" s="130" t="s">
        <v>4122</v>
      </c>
      <c r="D2498">
        <v>20728</v>
      </c>
      <c r="E2498" s="130">
        <v>18914388</v>
      </c>
      <c r="F2498" t="s">
        <v>87</v>
      </c>
      <c r="G2498">
        <v>358</v>
      </c>
      <c r="H2498" t="s">
        <v>8951</v>
      </c>
      <c r="I2498" s="130">
        <v>19</v>
      </c>
      <c r="J2498" t="s">
        <v>4122</v>
      </c>
      <c r="K2498" t="s">
        <v>108</v>
      </c>
      <c r="L2498" t="s">
        <v>146</v>
      </c>
      <c r="M2498" t="s">
        <v>145</v>
      </c>
      <c r="N2498" t="s">
        <v>98</v>
      </c>
      <c r="O2498" t="s">
        <v>1345</v>
      </c>
    </row>
    <row r="2499" spans="1:15" x14ac:dyDescent="0.3">
      <c r="A2499" s="130">
        <v>13634</v>
      </c>
      <c r="B2499" s="130">
        <v>30</v>
      </c>
      <c r="C2499" s="130" t="s">
        <v>4123</v>
      </c>
      <c r="D2499">
        <v>20745</v>
      </c>
      <c r="E2499" s="131">
        <v>17193590</v>
      </c>
      <c r="F2499" t="s">
        <v>87</v>
      </c>
      <c r="G2499">
        <v>9135</v>
      </c>
      <c r="H2499" t="s">
        <v>8952</v>
      </c>
      <c r="I2499" s="130">
        <v>24</v>
      </c>
      <c r="J2499" t="s">
        <v>4123</v>
      </c>
      <c r="K2499" t="s">
        <v>95</v>
      </c>
      <c r="L2499" t="s">
        <v>1293</v>
      </c>
      <c r="M2499" t="s">
        <v>103</v>
      </c>
      <c r="N2499" t="s">
        <v>98</v>
      </c>
      <c r="O2499" t="s">
        <v>1345</v>
      </c>
    </row>
    <row r="2500" spans="1:15" x14ac:dyDescent="0.3">
      <c r="A2500" s="130">
        <v>13640</v>
      </c>
      <c r="B2500" s="130">
        <v>30</v>
      </c>
      <c r="C2500" s="130" t="s">
        <v>4124</v>
      </c>
      <c r="D2500">
        <v>20752</v>
      </c>
      <c r="E2500" s="130">
        <v>5515245</v>
      </c>
      <c r="F2500" t="s">
        <v>87</v>
      </c>
      <c r="G2500">
        <v>9135</v>
      </c>
      <c r="H2500" t="s">
        <v>8953</v>
      </c>
      <c r="I2500" s="131">
        <v>9</v>
      </c>
      <c r="J2500" t="s">
        <v>4124</v>
      </c>
      <c r="K2500" t="s">
        <v>95</v>
      </c>
      <c r="L2500" t="s">
        <v>125</v>
      </c>
      <c r="M2500" t="s">
        <v>103</v>
      </c>
      <c r="N2500" t="s">
        <v>118</v>
      </c>
      <c r="O2500" t="s">
        <v>1256</v>
      </c>
    </row>
    <row r="2501" spans="1:15" x14ac:dyDescent="0.3">
      <c r="A2501" s="130">
        <v>13646</v>
      </c>
      <c r="B2501" s="130">
        <v>30</v>
      </c>
      <c r="C2501" s="130" t="s">
        <v>4125</v>
      </c>
      <c r="D2501">
        <v>20760</v>
      </c>
      <c r="E2501" s="131">
        <v>17193590</v>
      </c>
      <c r="F2501" t="s">
        <v>87</v>
      </c>
      <c r="G2501">
        <v>9135</v>
      </c>
      <c r="H2501" t="s">
        <v>8951</v>
      </c>
      <c r="I2501" s="131">
        <v>3</v>
      </c>
      <c r="J2501" t="s">
        <v>4125</v>
      </c>
      <c r="K2501" t="s">
        <v>95</v>
      </c>
      <c r="L2501" t="s">
        <v>1293</v>
      </c>
      <c r="M2501" t="s">
        <v>103</v>
      </c>
      <c r="N2501" t="s">
        <v>98</v>
      </c>
      <c r="O2501" t="s">
        <v>1345</v>
      </c>
    </row>
    <row r="2502" spans="1:15" x14ac:dyDescent="0.3">
      <c r="A2502" s="130">
        <v>13651</v>
      </c>
      <c r="B2502" s="130" t="s">
        <v>195</v>
      </c>
      <c r="C2502" s="130" t="s">
        <v>4126</v>
      </c>
      <c r="D2502">
        <v>20773</v>
      </c>
      <c r="E2502" s="130">
        <v>45219728</v>
      </c>
      <c r="F2502" t="s">
        <v>87</v>
      </c>
      <c r="G2502">
        <v>9135</v>
      </c>
      <c r="H2502" t="s">
        <v>8952</v>
      </c>
      <c r="I2502" s="131">
        <v>3</v>
      </c>
      <c r="J2502" t="s">
        <v>4126</v>
      </c>
      <c r="K2502" t="s">
        <v>108</v>
      </c>
      <c r="L2502" t="s">
        <v>111</v>
      </c>
      <c r="M2502" t="s">
        <v>196</v>
      </c>
      <c r="N2502" t="s">
        <v>152</v>
      </c>
      <c r="O2502" t="s">
        <v>116</v>
      </c>
    </row>
    <row r="2503" spans="1:15" x14ac:dyDescent="0.3">
      <c r="A2503" s="130">
        <v>13668</v>
      </c>
      <c r="B2503" s="130">
        <v>45</v>
      </c>
      <c r="C2503" s="130" t="s">
        <v>4127</v>
      </c>
      <c r="D2503">
        <v>20795</v>
      </c>
      <c r="E2503" s="131">
        <v>8689024</v>
      </c>
      <c r="F2503" t="s">
        <v>87</v>
      </c>
      <c r="G2503">
        <v>77</v>
      </c>
      <c r="H2503" t="s">
        <v>8953</v>
      </c>
      <c r="I2503" s="131">
        <v>3</v>
      </c>
      <c r="J2503" t="s">
        <v>4127</v>
      </c>
      <c r="K2503" t="s">
        <v>95</v>
      </c>
      <c r="L2503" t="s">
        <v>117</v>
      </c>
      <c r="M2503" t="s">
        <v>106</v>
      </c>
      <c r="N2503" t="s">
        <v>118</v>
      </c>
      <c r="O2503" t="s">
        <v>116</v>
      </c>
    </row>
    <row r="2504" spans="1:15" x14ac:dyDescent="0.3">
      <c r="A2504" s="130">
        <v>13691</v>
      </c>
      <c r="B2504" s="130">
        <v>30</v>
      </c>
      <c r="C2504" s="130" t="s">
        <v>4128</v>
      </c>
      <c r="D2504">
        <v>20821</v>
      </c>
      <c r="E2504" s="131">
        <v>51466860</v>
      </c>
      <c r="F2504" t="s">
        <v>87</v>
      </c>
      <c r="G2504">
        <v>337</v>
      </c>
      <c r="H2504" t="s">
        <v>8951</v>
      </c>
      <c r="I2504" s="130">
        <v>37</v>
      </c>
      <c r="J2504" t="s">
        <v>4128</v>
      </c>
      <c r="K2504" t="s">
        <v>95</v>
      </c>
      <c r="L2504" t="s">
        <v>144</v>
      </c>
      <c r="M2504" t="s">
        <v>103</v>
      </c>
      <c r="N2504" t="s">
        <v>114</v>
      </c>
      <c r="O2504" t="s">
        <v>1345</v>
      </c>
    </row>
    <row r="2505" spans="1:15" x14ac:dyDescent="0.3">
      <c r="A2505" s="130">
        <v>13694</v>
      </c>
      <c r="B2505" s="130">
        <v>30</v>
      </c>
      <c r="C2505" s="130" t="s">
        <v>4129</v>
      </c>
      <c r="D2505">
        <v>20826</v>
      </c>
      <c r="E2505" s="130">
        <v>51466860</v>
      </c>
      <c r="F2505" t="s">
        <v>87</v>
      </c>
      <c r="G2505">
        <v>337</v>
      </c>
      <c r="H2505" t="s">
        <v>8952</v>
      </c>
      <c r="I2505" s="131">
        <v>37</v>
      </c>
      <c r="J2505" t="s">
        <v>4129</v>
      </c>
      <c r="K2505" t="s">
        <v>95</v>
      </c>
      <c r="L2505" t="s">
        <v>144</v>
      </c>
      <c r="M2505" t="s">
        <v>103</v>
      </c>
      <c r="N2505" t="s">
        <v>141</v>
      </c>
      <c r="O2505" t="s">
        <v>1345</v>
      </c>
    </row>
    <row r="2506" spans="1:15" x14ac:dyDescent="0.3">
      <c r="A2506" s="130">
        <v>13698</v>
      </c>
      <c r="B2506" s="130">
        <v>30</v>
      </c>
      <c r="C2506" s="130" t="s">
        <v>4130</v>
      </c>
      <c r="D2506">
        <v>20832</v>
      </c>
      <c r="E2506" s="130">
        <v>51466860</v>
      </c>
      <c r="F2506" t="s">
        <v>87</v>
      </c>
      <c r="G2506">
        <v>337</v>
      </c>
      <c r="H2506" t="s">
        <v>8953</v>
      </c>
      <c r="I2506" s="130">
        <v>37</v>
      </c>
      <c r="J2506" t="s">
        <v>4130</v>
      </c>
      <c r="K2506" t="s">
        <v>95</v>
      </c>
      <c r="L2506" t="s">
        <v>144</v>
      </c>
      <c r="M2506" t="s">
        <v>103</v>
      </c>
      <c r="N2506" t="s">
        <v>141</v>
      </c>
      <c r="O2506" t="s">
        <v>1345</v>
      </c>
    </row>
    <row r="2507" spans="1:15" x14ac:dyDescent="0.3">
      <c r="A2507" s="130">
        <v>13699</v>
      </c>
      <c r="B2507" s="130">
        <v>30</v>
      </c>
      <c r="C2507" s="130" t="s">
        <v>4131</v>
      </c>
      <c r="D2507">
        <v>20833</v>
      </c>
      <c r="E2507" s="130">
        <v>51466860</v>
      </c>
      <c r="F2507" t="s">
        <v>87</v>
      </c>
      <c r="G2507">
        <v>337</v>
      </c>
      <c r="H2507" t="s">
        <v>8951</v>
      </c>
      <c r="I2507" s="131">
        <v>37</v>
      </c>
      <c r="J2507" t="s">
        <v>4131</v>
      </c>
      <c r="K2507" t="s">
        <v>95</v>
      </c>
      <c r="L2507" t="s">
        <v>144</v>
      </c>
      <c r="M2507" t="s">
        <v>103</v>
      </c>
      <c r="N2507" t="s">
        <v>114</v>
      </c>
      <c r="O2507" t="s">
        <v>1345</v>
      </c>
    </row>
    <row r="2508" spans="1:15" x14ac:dyDescent="0.3">
      <c r="A2508" s="130">
        <v>13702</v>
      </c>
      <c r="B2508" s="130">
        <v>-1</v>
      </c>
      <c r="C2508" s="130" t="s">
        <v>4132</v>
      </c>
      <c r="D2508">
        <v>20838</v>
      </c>
      <c r="E2508" s="131">
        <v>46886118</v>
      </c>
      <c r="F2508" t="s">
        <v>87</v>
      </c>
      <c r="G2508">
        <v>76</v>
      </c>
      <c r="H2508" t="s">
        <v>8952</v>
      </c>
      <c r="I2508" s="130">
        <v>37</v>
      </c>
      <c r="J2508" t="s">
        <v>4132</v>
      </c>
      <c r="K2508" t="s">
        <v>108</v>
      </c>
      <c r="L2508" t="s">
        <v>138</v>
      </c>
      <c r="M2508" t="s">
        <v>174</v>
      </c>
      <c r="N2508" t="s">
        <v>114</v>
      </c>
      <c r="O2508" t="s">
        <v>1345</v>
      </c>
    </row>
    <row r="2509" spans="1:15" x14ac:dyDescent="0.3">
      <c r="A2509" s="130">
        <v>13704</v>
      </c>
      <c r="B2509" s="130">
        <v>10</v>
      </c>
      <c r="C2509" s="130" t="s">
        <v>4133</v>
      </c>
      <c r="D2509">
        <v>20842</v>
      </c>
      <c r="E2509" s="131">
        <v>12255007</v>
      </c>
      <c r="F2509" t="s">
        <v>113</v>
      </c>
      <c r="G2509">
        <v>76</v>
      </c>
      <c r="H2509" t="s">
        <v>8953</v>
      </c>
      <c r="I2509" s="130">
        <v>18</v>
      </c>
      <c r="J2509" t="s">
        <v>4133</v>
      </c>
      <c r="K2509" t="s">
        <v>108</v>
      </c>
      <c r="L2509" t="s">
        <v>153</v>
      </c>
      <c r="M2509" t="s">
        <v>133</v>
      </c>
      <c r="N2509" t="s">
        <v>98</v>
      </c>
      <c r="O2509" t="s">
        <v>1256</v>
      </c>
    </row>
    <row r="2510" spans="1:15" x14ac:dyDescent="0.3">
      <c r="A2510" s="130">
        <v>13706</v>
      </c>
      <c r="B2510" s="130">
        <v>30</v>
      </c>
      <c r="C2510" s="130" t="s">
        <v>4134</v>
      </c>
      <c r="D2510">
        <v>20847</v>
      </c>
      <c r="E2510" s="130">
        <v>33841727</v>
      </c>
      <c r="F2510" t="s">
        <v>87</v>
      </c>
      <c r="G2510">
        <v>76</v>
      </c>
      <c r="H2510" t="s">
        <v>8951</v>
      </c>
      <c r="I2510" s="130">
        <v>3</v>
      </c>
      <c r="J2510" t="s">
        <v>4134</v>
      </c>
      <c r="K2510" t="s">
        <v>95</v>
      </c>
      <c r="L2510" t="s">
        <v>111</v>
      </c>
      <c r="M2510" t="s">
        <v>103</v>
      </c>
      <c r="N2510" t="s">
        <v>98</v>
      </c>
      <c r="O2510" t="s">
        <v>1345</v>
      </c>
    </row>
    <row r="2511" spans="1:15" x14ac:dyDescent="0.3">
      <c r="A2511" s="130">
        <v>13710</v>
      </c>
      <c r="B2511" s="130">
        <v>18</v>
      </c>
      <c r="C2511" s="130" t="s">
        <v>4135</v>
      </c>
      <c r="D2511">
        <v>20848</v>
      </c>
      <c r="E2511" s="131">
        <v>23376715</v>
      </c>
      <c r="F2511" t="s">
        <v>87</v>
      </c>
      <c r="G2511">
        <v>358</v>
      </c>
      <c r="H2511" t="s">
        <v>8952</v>
      </c>
      <c r="I2511" s="131">
        <v>3</v>
      </c>
      <c r="J2511" t="s">
        <v>4135</v>
      </c>
      <c r="K2511" t="s">
        <v>108</v>
      </c>
      <c r="L2511" t="s">
        <v>153</v>
      </c>
      <c r="M2511" t="s">
        <v>112</v>
      </c>
      <c r="N2511" t="s">
        <v>114</v>
      </c>
      <c r="O2511" t="s">
        <v>1345</v>
      </c>
    </row>
    <row r="2512" spans="1:15" x14ac:dyDescent="0.3">
      <c r="A2512" s="130">
        <v>13720</v>
      </c>
      <c r="B2512" s="130">
        <v>28</v>
      </c>
      <c r="C2512" s="130" t="s">
        <v>4136</v>
      </c>
      <c r="D2512">
        <v>20845</v>
      </c>
      <c r="E2512" s="131">
        <v>10145141</v>
      </c>
      <c r="F2512" t="s">
        <v>113</v>
      </c>
      <c r="G2512">
        <v>77</v>
      </c>
      <c r="H2512" t="s">
        <v>8953</v>
      </c>
      <c r="I2512" s="130">
        <v>3</v>
      </c>
      <c r="J2512" t="s">
        <v>4136</v>
      </c>
      <c r="K2512" t="s">
        <v>95</v>
      </c>
      <c r="L2512" t="s">
        <v>117</v>
      </c>
      <c r="M2512" t="s">
        <v>130</v>
      </c>
      <c r="N2512" t="s">
        <v>150</v>
      </c>
      <c r="O2512" t="s">
        <v>1256</v>
      </c>
    </row>
    <row r="2513" spans="1:15" x14ac:dyDescent="0.3">
      <c r="A2513" s="130">
        <v>13722</v>
      </c>
      <c r="B2513" s="130">
        <v>28</v>
      </c>
      <c r="C2513" s="130" t="s">
        <v>4137</v>
      </c>
      <c r="D2513">
        <v>20807</v>
      </c>
      <c r="E2513" s="131">
        <v>43202951</v>
      </c>
      <c r="F2513" t="s">
        <v>87</v>
      </c>
      <c r="G2513">
        <v>76</v>
      </c>
      <c r="H2513" t="s">
        <v>8951</v>
      </c>
      <c r="I2513" s="131">
        <v>43</v>
      </c>
      <c r="J2513" t="s">
        <v>4137</v>
      </c>
      <c r="K2513" t="s">
        <v>108</v>
      </c>
      <c r="L2513" t="s">
        <v>173</v>
      </c>
      <c r="M2513" t="s">
        <v>130</v>
      </c>
      <c r="N2513" t="s">
        <v>98</v>
      </c>
      <c r="O2513" t="s">
        <v>1345</v>
      </c>
    </row>
    <row r="2514" spans="1:15" x14ac:dyDescent="0.3">
      <c r="A2514" s="130">
        <v>13728</v>
      </c>
      <c r="B2514" s="130">
        <v>30</v>
      </c>
      <c r="C2514" s="130" t="s">
        <v>4138</v>
      </c>
      <c r="D2514">
        <v>20881</v>
      </c>
      <c r="E2514" s="130">
        <v>37325799</v>
      </c>
      <c r="F2514" t="s">
        <v>87</v>
      </c>
      <c r="G2514">
        <v>76</v>
      </c>
      <c r="H2514" t="s">
        <v>8952</v>
      </c>
      <c r="I2514" s="130">
        <v>18</v>
      </c>
      <c r="J2514" t="s">
        <v>4138</v>
      </c>
      <c r="K2514" t="s">
        <v>95</v>
      </c>
      <c r="L2514" t="s">
        <v>123</v>
      </c>
      <c r="M2514" t="s">
        <v>103</v>
      </c>
      <c r="N2514" t="s">
        <v>98</v>
      </c>
      <c r="O2514" t="s">
        <v>116</v>
      </c>
    </row>
    <row r="2515" spans="1:15" x14ac:dyDescent="0.3">
      <c r="A2515" s="130">
        <v>13731</v>
      </c>
      <c r="B2515" s="130">
        <v>-1</v>
      </c>
      <c r="C2515" s="130" t="s">
        <v>4139</v>
      </c>
      <c r="D2515">
        <v>20882</v>
      </c>
      <c r="E2515" s="130">
        <v>5701136</v>
      </c>
      <c r="F2515" t="s">
        <v>87</v>
      </c>
      <c r="G2515">
        <v>76</v>
      </c>
      <c r="H2515" t="s">
        <v>8953</v>
      </c>
      <c r="I2515" s="130">
        <v>18</v>
      </c>
      <c r="J2515" t="s">
        <v>4139</v>
      </c>
      <c r="K2515" t="s">
        <v>108</v>
      </c>
      <c r="L2515" t="s">
        <v>123</v>
      </c>
      <c r="M2515" t="s">
        <v>174</v>
      </c>
      <c r="N2515" t="s">
        <v>98</v>
      </c>
      <c r="O2515" t="s">
        <v>1345</v>
      </c>
    </row>
    <row r="2516" spans="1:15" x14ac:dyDescent="0.3">
      <c r="A2516" s="130">
        <v>13741</v>
      </c>
      <c r="B2516" s="130">
        <v>30</v>
      </c>
      <c r="C2516" s="130" t="s">
        <v>4140</v>
      </c>
      <c r="D2516">
        <v>20901</v>
      </c>
      <c r="E2516" s="131">
        <v>10939323</v>
      </c>
      <c r="F2516" t="s">
        <v>87</v>
      </c>
      <c r="G2516">
        <v>76</v>
      </c>
      <c r="H2516" t="s">
        <v>8951</v>
      </c>
      <c r="I2516" s="130">
        <v>19</v>
      </c>
      <c r="J2516" t="s">
        <v>4140</v>
      </c>
      <c r="K2516" t="s">
        <v>108</v>
      </c>
      <c r="L2516" t="s">
        <v>146</v>
      </c>
      <c r="M2516" t="s">
        <v>103</v>
      </c>
      <c r="N2516" t="s">
        <v>98</v>
      </c>
      <c r="O2516" t="s">
        <v>1345</v>
      </c>
    </row>
    <row r="2517" spans="1:15" x14ac:dyDescent="0.3">
      <c r="A2517" s="130">
        <v>13746</v>
      </c>
      <c r="B2517" s="130">
        <v>90</v>
      </c>
      <c r="C2517" s="130" t="s">
        <v>4141</v>
      </c>
      <c r="D2517">
        <v>20910</v>
      </c>
      <c r="E2517" s="130">
        <v>655209</v>
      </c>
      <c r="F2517" t="s">
        <v>87</v>
      </c>
      <c r="G2517">
        <v>76</v>
      </c>
      <c r="H2517" t="s">
        <v>8952</v>
      </c>
      <c r="I2517" s="130">
        <v>9</v>
      </c>
      <c r="J2517" t="s">
        <v>4141</v>
      </c>
      <c r="K2517" t="s">
        <v>95</v>
      </c>
      <c r="L2517" t="s">
        <v>181</v>
      </c>
      <c r="M2517" t="s">
        <v>170</v>
      </c>
      <c r="N2517" t="s">
        <v>114</v>
      </c>
      <c r="O2517" t="s">
        <v>116</v>
      </c>
    </row>
    <row r="2518" spans="1:15" x14ac:dyDescent="0.3">
      <c r="A2518" s="130">
        <v>13760</v>
      </c>
      <c r="B2518" s="130">
        <v>28</v>
      </c>
      <c r="C2518" s="130" t="s">
        <v>4142</v>
      </c>
      <c r="D2518">
        <v>20932</v>
      </c>
      <c r="E2518" s="130">
        <v>1428254</v>
      </c>
      <c r="F2518" t="s">
        <v>87</v>
      </c>
      <c r="G2518">
        <v>76</v>
      </c>
      <c r="H2518" t="s">
        <v>8953</v>
      </c>
      <c r="I2518" s="130">
        <v>3</v>
      </c>
      <c r="J2518" t="s">
        <v>4142</v>
      </c>
      <c r="K2518" t="s">
        <v>108</v>
      </c>
      <c r="L2518" t="s">
        <v>1293</v>
      </c>
      <c r="M2518" t="s">
        <v>130</v>
      </c>
      <c r="N2518" t="s">
        <v>98</v>
      </c>
      <c r="O2518" t="s">
        <v>1345</v>
      </c>
    </row>
    <row r="2519" spans="1:15" x14ac:dyDescent="0.3">
      <c r="A2519" s="130">
        <v>13785</v>
      </c>
      <c r="B2519" s="130">
        <v>18</v>
      </c>
      <c r="C2519" s="130" t="s">
        <v>4143</v>
      </c>
      <c r="D2519">
        <v>20954</v>
      </c>
      <c r="E2519" s="130">
        <v>29296671</v>
      </c>
      <c r="F2519" t="s">
        <v>87</v>
      </c>
      <c r="G2519">
        <v>76</v>
      </c>
      <c r="H2519" t="s">
        <v>8951</v>
      </c>
      <c r="I2519" s="131">
        <v>10</v>
      </c>
      <c r="J2519" t="s">
        <v>4143</v>
      </c>
      <c r="K2519" t="s">
        <v>108</v>
      </c>
      <c r="L2519" t="s">
        <v>127</v>
      </c>
      <c r="M2519" t="s">
        <v>112</v>
      </c>
      <c r="N2519" t="s">
        <v>118</v>
      </c>
      <c r="O2519" t="s">
        <v>116</v>
      </c>
    </row>
    <row r="2520" spans="1:15" x14ac:dyDescent="0.3">
      <c r="A2520" s="130">
        <v>13787</v>
      </c>
      <c r="B2520" s="130">
        <v>30</v>
      </c>
      <c r="C2520" s="130" t="s">
        <v>4144</v>
      </c>
      <c r="D2520">
        <v>20958</v>
      </c>
      <c r="E2520" s="130">
        <v>27604273</v>
      </c>
      <c r="F2520" t="s">
        <v>87</v>
      </c>
      <c r="G2520">
        <v>76</v>
      </c>
      <c r="H2520" t="s">
        <v>8952</v>
      </c>
      <c r="I2520" s="131">
        <v>43</v>
      </c>
      <c r="J2520" t="s">
        <v>4144</v>
      </c>
      <c r="K2520" t="s">
        <v>108</v>
      </c>
      <c r="L2520" t="s">
        <v>173</v>
      </c>
      <c r="M2520" t="s">
        <v>103</v>
      </c>
      <c r="N2520" t="s">
        <v>98</v>
      </c>
      <c r="O2520" t="s">
        <v>1345</v>
      </c>
    </row>
    <row r="2521" spans="1:15" x14ac:dyDescent="0.3">
      <c r="A2521" s="130">
        <v>13789</v>
      </c>
      <c r="B2521" s="130">
        <v>30</v>
      </c>
      <c r="C2521" s="130" t="s">
        <v>4145</v>
      </c>
      <c r="D2521">
        <v>20961</v>
      </c>
      <c r="E2521" s="131">
        <v>31130799</v>
      </c>
      <c r="F2521" t="s">
        <v>87</v>
      </c>
      <c r="G2521">
        <v>76</v>
      </c>
      <c r="H2521" t="s">
        <v>8953</v>
      </c>
      <c r="I2521" s="131">
        <v>19</v>
      </c>
      <c r="J2521" t="s">
        <v>4145</v>
      </c>
      <c r="K2521" t="s">
        <v>108</v>
      </c>
      <c r="L2521" t="s">
        <v>146</v>
      </c>
      <c r="M2521" t="s">
        <v>103</v>
      </c>
      <c r="N2521" t="s">
        <v>98</v>
      </c>
      <c r="O2521" t="s">
        <v>116</v>
      </c>
    </row>
    <row r="2522" spans="1:15" x14ac:dyDescent="0.3">
      <c r="A2522" s="130">
        <v>13804</v>
      </c>
      <c r="B2522" s="130">
        <v>18</v>
      </c>
      <c r="C2522" s="130" t="s">
        <v>4146</v>
      </c>
      <c r="D2522">
        <v>20978</v>
      </c>
      <c r="E2522" s="130">
        <v>36232716</v>
      </c>
      <c r="F2522" t="s">
        <v>87</v>
      </c>
      <c r="G2522">
        <v>76</v>
      </c>
      <c r="H2522" t="s">
        <v>8951</v>
      </c>
      <c r="I2522" s="130">
        <v>37</v>
      </c>
      <c r="J2522" t="s">
        <v>4146</v>
      </c>
      <c r="K2522" t="s">
        <v>108</v>
      </c>
      <c r="L2522" t="s">
        <v>138</v>
      </c>
      <c r="M2522" t="s">
        <v>112</v>
      </c>
      <c r="N2522" t="s">
        <v>114</v>
      </c>
      <c r="O2522" t="s">
        <v>1345</v>
      </c>
    </row>
    <row r="2523" spans="1:15" x14ac:dyDescent="0.3">
      <c r="A2523" s="130">
        <v>13806</v>
      </c>
      <c r="B2523" s="130">
        <v>30</v>
      </c>
      <c r="C2523" s="130" t="s">
        <v>4147</v>
      </c>
      <c r="D2523">
        <v>20979</v>
      </c>
      <c r="E2523" s="130">
        <v>46155662</v>
      </c>
      <c r="F2523" t="s">
        <v>87</v>
      </c>
      <c r="G2523">
        <v>76</v>
      </c>
      <c r="H2523" t="s">
        <v>8952</v>
      </c>
      <c r="I2523" s="130">
        <v>26</v>
      </c>
      <c r="J2523" t="s">
        <v>4147</v>
      </c>
      <c r="K2523" t="s">
        <v>95</v>
      </c>
      <c r="L2523" t="s">
        <v>123</v>
      </c>
      <c r="M2523" t="s">
        <v>103</v>
      </c>
      <c r="N2523" t="s">
        <v>98</v>
      </c>
      <c r="O2523" t="s">
        <v>1345</v>
      </c>
    </row>
    <row r="2524" spans="1:15" x14ac:dyDescent="0.3">
      <c r="A2524" s="130">
        <v>13808</v>
      </c>
      <c r="B2524" s="130">
        <v>30</v>
      </c>
      <c r="C2524" s="130" t="s">
        <v>4148</v>
      </c>
      <c r="D2524">
        <v>20981</v>
      </c>
      <c r="E2524" s="130">
        <v>3992929</v>
      </c>
      <c r="F2524" t="s">
        <v>87</v>
      </c>
      <c r="G2524">
        <v>76</v>
      </c>
      <c r="H2524" t="s">
        <v>8953</v>
      </c>
      <c r="I2524" s="130">
        <v>9</v>
      </c>
      <c r="J2524" t="s">
        <v>4148</v>
      </c>
      <c r="K2524" t="s">
        <v>95</v>
      </c>
      <c r="L2524" t="s">
        <v>125</v>
      </c>
      <c r="M2524" t="s">
        <v>103</v>
      </c>
      <c r="N2524" t="s">
        <v>98</v>
      </c>
      <c r="O2524" t="s">
        <v>1345</v>
      </c>
    </row>
    <row r="2525" spans="1:15" x14ac:dyDescent="0.3">
      <c r="A2525" s="130">
        <v>13822</v>
      </c>
      <c r="B2525" s="130">
        <v>30</v>
      </c>
      <c r="C2525" s="130" t="s">
        <v>4149</v>
      </c>
      <c r="D2525">
        <v>21001</v>
      </c>
      <c r="E2525" s="130">
        <v>10248815</v>
      </c>
      <c r="F2525" t="s">
        <v>87</v>
      </c>
      <c r="G2525">
        <v>76</v>
      </c>
      <c r="H2525" t="s">
        <v>8951</v>
      </c>
      <c r="I2525" s="130">
        <v>10</v>
      </c>
      <c r="J2525" t="s">
        <v>4149</v>
      </c>
      <c r="K2525" t="s">
        <v>108</v>
      </c>
      <c r="L2525" t="s">
        <v>127</v>
      </c>
      <c r="M2525" t="s">
        <v>103</v>
      </c>
      <c r="N2525" t="s">
        <v>118</v>
      </c>
      <c r="O2525" t="s">
        <v>1345</v>
      </c>
    </row>
    <row r="2526" spans="1:15" x14ac:dyDescent="0.3">
      <c r="A2526" s="130">
        <v>13824</v>
      </c>
      <c r="B2526" s="130">
        <v>30</v>
      </c>
      <c r="C2526" s="130" t="s">
        <v>4150</v>
      </c>
      <c r="D2526">
        <v>21002</v>
      </c>
      <c r="E2526" s="131">
        <v>33193996</v>
      </c>
      <c r="F2526" t="s">
        <v>87</v>
      </c>
      <c r="G2526">
        <v>76</v>
      </c>
      <c r="H2526" t="s">
        <v>8952</v>
      </c>
      <c r="I2526" s="131">
        <v>3</v>
      </c>
      <c r="J2526" t="s">
        <v>4150</v>
      </c>
      <c r="K2526" t="s">
        <v>95</v>
      </c>
      <c r="L2526" t="s">
        <v>109</v>
      </c>
      <c r="M2526" t="s">
        <v>103</v>
      </c>
      <c r="N2526" t="s">
        <v>98</v>
      </c>
      <c r="O2526" t="s">
        <v>1345</v>
      </c>
    </row>
    <row r="2527" spans="1:15" x14ac:dyDescent="0.3">
      <c r="A2527" s="130">
        <v>13826</v>
      </c>
      <c r="B2527" s="130">
        <v>-1</v>
      </c>
      <c r="C2527" s="130" t="s">
        <v>4151</v>
      </c>
      <c r="D2527">
        <v>21004</v>
      </c>
      <c r="E2527" s="131">
        <v>87599848720</v>
      </c>
      <c r="F2527" t="s">
        <v>87</v>
      </c>
      <c r="G2527">
        <v>76</v>
      </c>
      <c r="H2527" t="s">
        <v>8953</v>
      </c>
      <c r="I2527" s="130">
        <v>18</v>
      </c>
      <c r="J2527" t="s">
        <v>4151</v>
      </c>
      <c r="K2527" t="s">
        <v>108</v>
      </c>
      <c r="L2527" t="s">
        <v>123</v>
      </c>
      <c r="M2527" t="s">
        <v>174</v>
      </c>
      <c r="N2527" t="s">
        <v>110</v>
      </c>
      <c r="O2527" t="s">
        <v>116</v>
      </c>
    </row>
    <row r="2528" spans="1:15" x14ac:dyDescent="0.3">
      <c r="A2528" s="130">
        <v>13827</v>
      </c>
      <c r="B2528" s="130">
        <v>30</v>
      </c>
      <c r="C2528" s="130" t="s">
        <v>4152</v>
      </c>
      <c r="D2528">
        <v>21006</v>
      </c>
      <c r="E2528" s="130">
        <v>21471093</v>
      </c>
      <c r="F2528" t="s">
        <v>87</v>
      </c>
      <c r="G2528">
        <v>76</v>
      </c>
      <c r="H2528" t="s">
        <v>8951</v>
      </c>
      <c r="I2528" s="131">
        <v>24</v>
      </c>
      <c r="J2528" t="s">
        <v>4152</v>
      </c>
      <c r="K2528" t="s">
        <v>95</v>
      </c>
      <c r="L2528" t="s">
        <v>191</v>
      </c>
      <c r="M2528" t="s">
        <v>103</v>
      </c>
      <c r="N2528" t="s">
        <v>98</v>
      </c>
      <c r="O2528" t="s">
        <v>1345</v>
      </c>
    </row>
    <row r="2529" spans="1:15" x14ac:dyDescent="0.3">
      <c r="A2529" s="130">
        <v>13845</v>
      </c>
      <c r="B2529" s="130">
        <v>18</v>
      </c>
      <c r="C2529" s="130" t="s">
        <v>4153</v>
      </c>
      <c r="D2529">
        <v>21035</v>
      </c>
      <c r="E2529" s="131">
        <v>46204554</v>
      </c>
      <c r="F2529" t="s">
        <v>87</v>
      </c>
      <c r="G2529">
        <v>76</v>
      </c>
      <c r="H2529" t="s">
        <v>8952</v>
      </c>
      <c r="I2529" s="130">
        <v>26</v>
      </c>
      <c r="J2529" t="s">
        <v>4153</v>
      </c>
      <c r="K2529" t="s">
        <v>108</v>
      </c>
      <c r="L2529" t="s">
        <v>151</v>
      </c>
      <c r="M2529" t="s">
        <v>112</v>
      </c>
      <c r="N2529" t="s">
        <v>169</v>
      </c>
      <c r="O2529" t="s">
        <v>1345</v>
      </c>
    </row>
    <row r="2530" spans="1:15" x14ac:dyDescent="0.3">
      <c r="A2530" s="130">
        <v>13854</v>
      </c>
      <c r="B2530" s="130">
        <v>90</v>
      </c>
      <c r="C2530" s="130" t="s">
        <v>4154</v>
      </c>
      <c r="D2530">
        <v>21049</v>
      </c>
      <c r="E2530" s="130">
        <v>655209</v>
      </c>
      <c r="F2530" t="s">
        <v>87</v>
      </c>
      <c r="G2530">
        <v>76</v>
      </c>
      <c r="H2530" t="s">
        <v>8953</v>
      </c>
      <c r="I2530" s="130">
        <v>9</v>
      </c>
      <c r="J2530" t="s">
        <v>4154</v>
      </c>
      <c r="K2530" t="s">
        <v>95</v>
      </c>
      <c r="L2530" t="s">
        <v>181</v>
      </c>
      <c r="M2530" t="s">
        <v>170</v>
      </c>
      <c r="N2530" t="s">
        <v>114</v>
      </c>
      <c r="O2530" t="s">
        <v>116</v>
      </c>
    </row>
    <row r="2531" spans="1:15" x14ac:dyDescent="0.3">
      <c r="A2531" s="130">
        <v>13862</v>
      </c>
      <c r="B2531" s="130">
        <v>30</v>
      </c>
      <c r="C2531" s="130" t="s">
        <v>4155</v>
      </c>
      <c r="D2531">
        <v>21073</v>
      </c>
      <c r="E2531" s="130">
        <v>27786322</v>
      </c>
      <c r="F2531" t="s">
        <v>87</v>
      </c>
      <c r="G2531">
        <v>76</v>
      </c>
      <c r="H2531" t="s">
        <v>8951</v>
      </c>
      <c r="I2531" s="130">
        <v>19</v>
      </c>
      <c r="J2531" t="s">
        <v>4155</v>
      </c>
      <c r="K2531" t="s">
        <v>108</v>
      </c>
      <c r="L2531" t="s">
        <v>146</v>
      </c>
      <c r="M2531" t="s">
        <v>103</v>
      </c>
      <c r="N2531" t="s">
        <v>124</v>
      </c>
      <c r="O2531" t="s">
        <v>1345</v>
      </c>
    </row>
    <row r="2532" spans="1:15" x14ac:dyDescent="0.3">
      <c r="A2532" s="130">
        <v>13863</v>
      </c>
      <c r="B2532" s="130">
        <v>18</v>
      </c>
      <c r="C2532" s="130" t="s">
        <v>4156</v>
      </c>
      <c r="D2532">
        <v>21074</v>
      </c>
      <c r="E2532" s="130">
        <v>40517194</v>
      </c>
      <c r="F2532" t="s">
        <v>87</v>
      </c>
      <c r="G2532">
        <v>76</v>
      </c>
      <c r="H2532" t="s">
        <v>8952</v>
      </c>
      <c r="I2532" s="131">
        <v>26</v>
      </c>
      <c r="J2532" t="s">
        <v>4156</v>
      </c>
      <c r="K2532" t="s">
        <v>108</v>
      </c>
      <c r="L2532" t="s">
        <v>151</v>
      </c>
      <c r="M2532" t="s">
        <v>112</v>
      </c>
      <c r="N2532" t="s">
        <v>98</v>
      </c>
      <c r="O2532" t="s">
        <v>116</v>
      </c>
    </row>
    <row r="2533" spans="1:15" x14ac:dyDescent="0.3">
      <c r="A2533" s="130">
        <v>13866</v>
      </c>
      <c r="B2533" s="130">
        <v>30</v>
      </c>
      <c r="C2533" s="130" t="s">
        <v>4157</v>
      </c>
      <c r="D2533">
        <v>21078</v>
      </c>
      <c r="E2533" s="130">
        <v>24901263</v>
      </c>
      <c r="F2533" t="s">
        <v>87</v>
      </c>
      <c r="G2533">
        <v>76</v>
      </c>
      <c r="H2533" t="s">
        <v>8953</v>
      </c>
      <c r="I2533" s="130">
        <v>10</v>
      </c>
      <c r="J2533" t="s">
        <v>4157</v>
      </c>
      <c r="K2533" t="s">
        <v>108</v>
      </c>
      <c r="L2533" t="s">
        <v>127</v>
      </c>
      <c r="M2533" t="s">
        <v>103</v>
      </c>
      <c r="N2533" t="s">
        <v>118</v>
      </c>
      <c r="O2533" t="s">
        <v>116</v>
      </c>
    </row>
    <row r="2534" spans="1:15" x14ac:dyDescent="0.3">
      <c r="A2534" s="130">
        <v>13868</v>
      </c>
      <c r="B2534" s="130">
        <v>10</v>
      </c>
      <c r="C2534" s="130" t="s">
        <v>4158</v>
      </c>
      <c r="D2534">
        <v>21082</v>
      </c>
      <c r="E2534" s="130">
        <v>20929423</v>
      </c>
      <c r="F2534" t="s">
        <v>87</v>
      </c>
      <c r="G2534">
        <v>76</v>
      </c>
      <c r="H2534" t="s">
        <v>8951</v>
      </c>
      <c r="I2534" s="130">
        <v>37</v>
      </c>
      <c r="J2534" t="s">
        <v>4158</v>
      </c>
      <c r="K2534" t="s">
        <v>108</v>
      </c>
      <c r="L2534" t="s">
        <v>138</v>
      </c>
      <c r="M2534" t="s">
        <v>133</v>
      </c>
      <c r="N2534" t="s">
        <v>114</v>
      </c>
      <c r="O2534" t="s">
        <v>116</v>
      </c>
    </row>
    <row r="2535" spans="1:15" x14ac:dyDescent="0.3">
      <c r="A2535" s="130">
        <v>13881</v>
      </c>
      <c r="B2535" s="130">
        <v>10</v>
      </c>
      <c r="C2535" s="130" t="s">
        <v>4159</v>
      </c>
      <c r="D2535">
        <v>21102</v>
      </c>
      <c r="E2535" s="130">
        <v>17162579</v>
      </c>
      <c r="F2535" t="s">
        <v>87</v>
      </c>
      <c r="G2535">
        <v>76</v>
      </c>
      <c r="H2535" t="s">
        <v>8952</v>
      </c>
      <c r="I2535" s="130">
        <v>18</v>
      </c>
      <c r="J2535" t="s">
        <v>4159</v>
      </c>
      <c r="K2535" t="s">
        <v>108</v>
      </c>
      <c r="L2535" t="s">
        <v>153</v>
      </c>
      <c r="M2535" t="s">
        <v>133</v>
      </c>
      <c r="N2535" t="s">
        <v>101</v>
      </c>
      <c r="O2535" t="s">
        <v>1256</v>
      </c>
    </row>
    <row r="2536" spans="1:15" x14ac:dyDescent="0.3">
      <c r="A2536" s="130">
        <v>13885</v>
      </c>
      <c r="B2536" s="130">
        <v>-1</v>
      </c>
      <c r="C2536" s="130" t="s">
        <v>4160</v>
      </c>
      <c r="D2536">
        <v>21099</v>
      </c>
      <c r="E2536" s="131">
        <v>7913656</v>
      </c>
      <c r="F2536" t="s">
        <v>87</v>
      </c>
      <c r="G2536">
        <v>76</v>
      </c>
      <c r="H2536" t="s">
        <v>8953</v>
      </c>
      <c r="I2536" s="131">
        <v>3</v>
      </c>
      <c r="J2536" t="s">
        <v>4160</v>
      </c>
      <c r="K2536" t="s">
        <v>108</v>
      </c>
      <c r="L2536" t="s">
        <v>111</v>
      </c>
      <c r="M2536" t="s">
        <v>174</v>
      </c>
      <c r="N2536" t="s">
        <v>114</v>
      </c>
      <c r="O2536" t="s">
        <v>116</v>
      </c>
    </row>
    <row r="2537" spans="1:15" x14ac:dyDescent="0.3">
      <c r="A2537" s="130">
        <v>13889</v>
      </c>
      <c r="B2537" s="130">
        <v>30</v>
      </c>
      <c r="C2537" s="130" t="s">
        <v>4161</v>
      </c>
      <c r="D2537">
        <v>21108</v>
      </c>
      <c r="E2537" s="131">
        <v>24168115</v>
      </c>
      <c r="F2537" t="s">
        <v>87</v>
      </c>
      <c r="G2537">
        <v>76</v>
      </c>
      <c r="H2537" t="s">
        <v>8951</v>
      </c>
      <c r="I2537" s="131">
        <v>43</v>
      </c>
      <c r="J2537" t="s">
        <v>4161</v>
      </c>
      <c r="K2537" t="s">
        <v>95</v>
      </c>
      <c r="L2537" t="s">
        <v>1368</v>
      </c>
      <c r="M2537" t="s">
        <v>103</v>
      </c>
      <c r="N2537" t="s">
        <v>114</v>
      </c>
      <c r="O2537" t="s">
        <v>116</v>
      </c>
    </row>
    <row r="2538" spans="1:15" x14ac:dyDescent="0.3">
      <c r="A2538" s="130">
        <v>13891</v>
      </c>
      <c r="B2538" s="130">
        <v>10</v>
      </c>
      <c r="C2538" s="130" t="s">
        <v>4162</v>
      </c>
      <c r="D2538">
        <v>19583</v>
      </c>
      <c r="E2538" s="130">
        <v>36356625</v>
      </c>
      <c r="F2538" t="s">
        <v>113</v>
      </c>
      <c r="G2538">
        <v>76</v>
      </c>
      <c r="H2538" t="s">
        <v>8952</v>
      </c>
      <c r="I2538" s="131">
        <v>18</v>
      </c>
      <c r="J2538" t="s">
        <v>4162</v>
      </c>
      <c r="K2538" t="s">
        <v>108</v>
      </c>
      <c r="L2538" t="s">
        <v>153</v>
      </c>
      <c r="M2538" t="s">
        <v>133</v>
      </c>
      <c r="N2538" t="s">
        <v>98</v>
      </c>
      <c r="O2538" t="s">
        <v>1256</v>
      </c>
    </row>
    <row r="2539" spans="1:15" x14ac:dyDescent="0.3">
      <c r="A2539" s="130">
        <v>13893</v>
      </c>
      <c r="B2539" s="130">
        <v>0</v>
      </c>
      <c r="C2539" s="130" t="s">
        <v>4163</v>
      </c>
      <c r="D2539">
        <v>21113</v>
      </c>
      <c r="E2539" s="131">
        <v>73305997</v>
      </c>
      <c r="F2539" t="s">
        <v>87</v>
      </c>
      <c r="G2539">
        <v>76</v>
      </c>
      <c r="H2539" t="s">
        <v>8953</v>
      </c>
      <c r="I2539" s="130">
        <v>9</v>
      </c>
      <c r="J2539" t="s">
        <v>4163</v>
      </c>
      <c r="K2539" t="s">
        <v>95</v>
      </c>
      <c r="L2539" t="s">
        <v>181</v>
      </c>
      <c r="M2539" t="s">
        <v>100</v>
      </c>
      <c r="N2539" t="s">
        <v>114</v>
      </c>
      <c r="O2539" t="s">
        <v>1256</v>
      </c>
    </row>
    <row r="2540" spans="1:15" x14ac:dyDescent="0.3">
      <c r="A2540" s="130">
        <v>13898</v>
      </c>
      <c r="B2540" s="130">
        <v>90</v>
      </c>
      <c r="C2540" s="130" t="s">
        <v>4164</v>
      </c>
      <c r="D2540">
        <v>21119</v>
      </c>
      <c r="E2540" s="130">
        <v>35234509</v>
      </c>
      <c r="F2540" t="s">
        <v>87</v>
      </c>
      <c r="G2540">
        <v>76</v>
      </c>
      <c r="H2540" t="s">
        <v>8951</v>
      </c>
      <c r="I2540" s="131">
        <v>24</v>
      </c>
      <c r="J2540" t="s">
        <v>4164</v>
      </c>
      <c r="K2540" t="s">
        <v>95</v>
      </c>
      <c r="L2540" t="s">
        <v>102</v>
      </c>
      <c r="M2540" t="s">
        <v>170</v>
      </c>
      <c r="N2540" t="s">
        <v>98</v>
      </c>
      <c r="O2540" t="s">
        <v>116</v>
      </c>
    </row>
    <row r="2541" spans="1:15" x14ac:dyDescent="0.3">
      <c r="A2541" s="130">
        <v>13900</v>
      </c>
      <c r="B2541" s="130">
        <v>30</v>
      </c>
      <c r="C2541" s="130" t="s">
        <v>4165</v>
      </c>
      <c r="D2541">
        <v>21123</v>
      </c>
      <c r="E2541" s="130">
        <v>35234509</v>
      </c>
      <c r="F2541" t="s">
        <v>87</v>
      </c>
      <c r="G2541">
        <v>76</v>
      </c>
      <c r="H2541" t="s">
        <v>8952</v>
      </c>
      <c r="I2541" s="131">
        <v>24</v>
      </c>
      <c r="J2541" t="s">
        <v>4165</v>
      </c>
      <c r="K2541" t="s">
        <v>95</v>
      </c>
      <c r="L2541" t="s">
        <v>102</v>
      </c>
      <c r="M2541" t="s">
        <v>103</v>
      </c>
      <c r="N2541" t="s">
        <v>98</v>
      </c>
      <c r="O2541" t="s">
        <v>1345</v>
      </c>
    </row>
    <row r="2542" spans="1:15" x14ac:dyDescent="0.3">
      <c r="A2542" s="130">
        <v>13902</v>
      </c>
      <c r="B2542" s="130">
        <v>21</v>
      </c>
      <c r="C2542" s="130" t="s">
        <v>4166</v>
      </c>
      <c r="D2542">
        <v>21127</v>
      </c>
      <c r="E2542" s="130">
        <v>17217670</v>
      </c>
      <c r="F2542" t="s">
        <v>87</v>
      </c>
      <c r="G2542">
        <v>76</v>
      </c>
      <c r="H2542" t="s">
        <v>8953</v>
      </c>
      <c r="I2542" s="130">
        <v>3</v>
      </c>
      <c r="J2542" t="s">
        <v>4166</v>
      </c>
      <c r="K2542" t="s">
        <v>108</v>
      </c>
      <c r="L2542" t="s">
        <v>111</v>
      </c>
      <c r="M2542" t="s">
        <v>137</v>
      </c>
      <c r="N2542" t="s">
        <v>162</v>
      </c>
      <c r="O2542" t="s">
        <v>116</v>
      </c>
    </row>
    <row r="2543" spans="1:15" x14ac:dyDescent="0.3">
      <c r="A2543" s="130">
        <v>13904</v>
      </c>
      <c r="B2543" s="130">
        <v>18</v>
      </c>
      <c r="C2543" s="130" t="s">
        <v>4167</v>
      </c>
      <c r="D2543">
        <v>21128</v>
      </c>
      <c r="E2543" s="130">
        <v>20956284</v>
      </c>
      <c r="F2543" t="s">
        <v>87</v>
      </c>
      <c r="G2543">
        <v>76</v>
      </c>
      <c r="H2543" t="s">
        <v>8951</v>
      </c>
      <c r="I2543" s="131">
        <v>26</v>
      </c>
      <c r="J2543" t="s">
        <v>4167</v>
      </c>
      <c r="K2543" t="s">
        <v>108</v>
      </c>
      <c r="L2543" t="s">
        <v>151</v>
      </c>
      <c r="M2543" t="s">
        <v>112</v>
      </c>
      <c r="N2543" t="s">
        <v>98</v>
      </c>
      <c r="O2543" t="s">
        <v>1345</v>
      </c>
    </row>
    <row r="2544" spans="1:15" x14ac:dyDescent="0.3">
      <c r="A2544" s="130">
        <v>13905</v>
      </c>
      <c r="B2544" s="130">
        <v>15</v>
      </c>
      <c r="C2544" s="130" t="s">
        <v>4168</v>
      </c>
      <c r="D2544">
        <v>21130</v>
      </c>
      <c r="E2544" s="131">
        <v>38367161</v>
      </c>
      <c r="F2544" t="s">
        <v>87</v>
      </c>
      <c r="G2544">
        <v>76</v>
      </c>
      <c r="H2544" t="s">
        <v>8952</v>
      </c>
      <c r="I2544" s="130">
        <v>19</v>
      </c>
      <c r="J2544" t="s">
        <v>4168</v>
      </c>
      <c r="K2544" t="s">
        <v>108</v>
      </c>
      <c r="L2544" t="s">
        <v>146</v>
      </c>
      <c r="M2544" t="s">
        <v>145</v>
      </c>
      <c r="N2544" t="s">
        <v>98</v>
      </c>
      <c r="O2544" t="s">
        <v>1345</v>
      </c>
    </row>
    <row r="2545" spans="1:15" x14ac:dyDescent="0.3">
      <c r="A2545" s="130">
        <v>13912</v>
      </c>
      <c r="B2545" s="130">
        <v>30</v>
      </c>
      <c r="C2545" s="130" t="s">
        <v>4169</v>
      </c>
      <c r="D2545">
        <v>21142</v>
      </c>
      <c r="E2545" s="131">
        <v>28752115</v>
      </c>
      <c r="F2545" t="s">
        <v>87</v>
      </c>
      <c r="G2545">
        <v>76</v>
      </c>
      <c r="H2545" t="s">
        <v>8953</v>
      </c>
      <c r="I2545" s="130">
        <v>3</v>
      </c>
      <c r="J2545" t="s">
        <v>4169</v>
      </c>
      <c r="K2545" t="s">
        <v>95</v>
      </c>
      <c r="L2545" t="s">
        <v>111</v>
      </c>
      <c r="M2545" t="s">
        <v>103</v>
      </c>
      <c r="N2545" t="s">
        <v>98</v>
      </c>
      <c r="O2545" t="s">
        <v>116</v>
      </c>
    </row>
    <row r="2546" spans="1:15" x14ac:dyDescent="0.3">
      <c r="A2546" s="130">
        <v>13923</v>
      </c>
      <c r="B2546" s="130">
        <v>30</v>
      </c>
      <c r="C2546" s="130" t="s">
        <v>4170</v>
      </c>
      <c r="D2546">
        <v>21159</v>
      </c>
      <c r="E2546" s="130">
        <v>36178464</v>
      </c>
      <c r="F2546" t="s">
        <v>87</v>
      </c>
      <c r="G2546">
        <v>76</v>
      </c>
      <c r="H2546" t="s">
        <v>8951</v>
      </c>
      <c r="I2546" s="131">
        <v>37</v>
      </c>
      <c r="J2546" t="s">
        <v>4170</v>
      </c>
      <c r="K2546" t="s">
        <v>95</v>
      </c>
      <c r="L2546" t="s">
        <v>138</v>
      </c>
      <c r="M2546" t="s">
        <v>103</v>
      </c>
      <c r="N2546" t="s">
        <v>150</v>
      </c>
      <c r="O2546" t="s">
        <v>1345</v>
      </c>
    </row>
    <row r="2547" spans="1:15" x14ac:dyDescent="0.3">
      <c r="A2547" s="130">
        <v>13927</v>
      </c>
      <c r="B2547" s="130">
        <v>30</v>
      </c>
      <c r="C2547" s="130" t="s">
        <v>4171</v>
      </c>
      <c r="D2547">
        <v>21164</v>
      </c>
      <c r="E2547" s="130">
        <v>18720938</v>
      </c>
      <c r="F2547" t="s">
        <v>87</v>
      </c>
      <c r="G2547">
        <v>77</v>
      </c>
      <c r="H2547" t="s">
        <v>8952</v>
      </c>
      <c r="I2547" s="131">
        <v>3</v>
      </c>
      <c r="J2547" t="s">
        <v>4171</v>
      </c>
      <c r="K2547" t="s">
        <v>95</v>
      </c>
      <c r="L2547" t="s">
        <v>235</v>
      </c>
      <c r="M2547" t="s">
        <v>103</v>
      </c>
      <c r="N2547" t="s">
        <v>131</v>
      </c>
      <c r="O2547" t="s">
        <v>1345</v>
      </c>
    </row>
    <row r="2548" spans="1:15" x14ac:dyDescent="0.3">
      <c r="A2548" s="130">
        <v>13931</v>
      </c>
      <c r="B2548" s="130">
        <v>30</v>
      </c>
      <c r="C2548" s="130" t="s">
        <v>4172</v>
      </c>
      <c r="D2548">
        <v>21166</v>
      </c>
      <c r="E2548" s="130">
        <v>83693366</v>
      </c>
      <c r="F2548" t="s">
        <v>87</v>
      </c>
      <c r="G2548">
        <v>76</v>
      </c>
      <c r="H2548" t="s">
        <v>8953</v>
      </c>
      <c r="I2548" s="131">
        <v>9</v>
      </c>
      <c r="J2548" t="s">
        <v>4172</v>
      </c>
      <c r="K2548" t="s">
        <v>95</v>
      </c>
      <c r="L2548" t="s">
        <v>181</v>
      </c>
      <c r="M2548" t="s">
        <v>103</v>
      </c>
      <c r="N2548" t="s">
        <v>114</v>
      </c>
      <c r="O2548" t="s">
        <v>1345</v>
      </c>
    </row>
    <row r="2549" spans="1:15" x14ac:dyDescent="0.3">
      <c r="A2549" s="130">
        <v>13933</v>
      </c>
      <c r="B2549" s="130">
        <v>15</v>
      </c>
      <c r="C2549" s="130" t="s">
        <v>4173</v>
      </c>
      <c r="D2549">
        <v>21170</v>
      </c>
      <c r="E2549" s="131">
        <v>36538339</v>
      </c>
      <c r="F2549" t="s">
        <v>87</v>
      </c>
      <c r="G2549">
        <v>76</v>
      </c>
      <c r="H2549" t="s">
        <v>8951</v>
      </c>
      <c r="I2549" s="130">
        <v>19</v>
      </c>
      <c r="J2549" t="s">
        <v>4173</v>
      </c>
      <c r="K2549" t="s">
        <v>108</v>
      </c>
      <c r="L2549" t="s">
        <v>146</v>
      </c>
      <c r="M2549" t="s">
        <v>145</v>
      </c>
      <c r="N2549" t="s">
        <v>98</v>
      </c>
      <c r="O2549" t="s">
        <v>116</v>
      </c>
    </row>
    <row r="2550" spans="1:15" x14ac:dyDescent="0.3">
      <c r="A2550" s="130">
        <v>13947</v>
      </c>
      <c r="B2550" s="130">
        <v>10</v>
      </c>
      <c r="C2550" s="130" t="s">
        <v>4174</v>
      </c>
      <c r="D2550">
        <v>21188</v>
      </c>
      <c r="E2550" s="131">
        <v>5515245</v>
      </c>
      <c r="F2550" t="s">
        <v>87</v>
      </c>
      <c r="G2550">
        <v>76</v>
      </c>
      <c r="H2550" t="s">
        <v>8952</v>
      </c>
      <c r="I2550" s="130">
        <v>24</v>
      </c>
      <c r="J2550" t="s">
        <v>4174</v>
      </c>
      <c r="K2550" t="s">
        <v>108</v>
      </c>
      <c r="L2550" t="s">
        <v>1293</v>
      </c>
      <c r="M2550" t="s">
        <v>133</v>
      </c>
      <c r="N2550" t="s">
        <v>98</v>
      </c>
      <c r="O2550" t="s">
        <v>1345</v>
      </c>
    </row>
    <row r="2551" spans="1:15" x14ac:dyDescent="0.3">
      <c r="A2551" s="130">
        <v>13950</v>
      </c>
      <c r="B2551" s="130">
        <v>90</v>
      </c>
      <c r="C2551" s="130" t="s">
        <v>4175</v>
      </c>
      <c r="D2551">
        <v>21191</v>
      </c>
      <c r="E2551" s="130">
        <v>35234509</v>
      </c>
      <c r="F2551" t="s">
        <v>87</v>
      </c>
      <c r="G2551">
        <v>76</v>
      </c>
      <c r="H2551" t="s">
        <v>8953</v>
      </c>
      <c r="I2551" s="131">
        <v>24</v>
      </c>
      <c r="J2551" t="s">
        <v>4175</v>
      </c>
      <c r="K2551" t="s">
        <v>95</v>
      </c>
      <c r="L2551" t="s">
        <v>102</v>
      </c>
      <c r="M2551" t="s">
        <v>170</v>
      </c>
      <c r="N2551" t="s">
        <v>98</v>
      </c>
      <c r="O2551" t="s">
        <v>1345</v>
      </c>
    </row>
    <row r="2552" spans="1:15" x14ac:dyDescent="0.3">
      <c r="A2552" s="130">
        <v>13953</v>
      </c>
      <c r="B2552" s="130">
        <v>18</v>
      </c>
      <c r="C2552" s="130" t="s">
        <v>4176</v>
      </c>
      <c r="D2552">
        <v>21194</v>
      </c>
      <c r="E2552" s="130">
        <v>8056030</v>
      </c>
      <c r="F2552" t="s">
        <v>87</v>
      </c>
      <c r="G2552">
        <v>76</v>
      </c>
      <c r="H2552" t="s">
        <v>8951</v>
      </c>
      <c r="I2552" s="130">
        <v>26</v>
      </c>
      <c r="J2552" t="s">
        <v>4176</v>
      </c>
      <c r="K2552" t="s">
        <v>95</v>
      </c>
      <c r="L2552" t="s">
        <v>151</v>
      </c>
      <c r="M2552" t="s">
        <v>112</v>
      </c>
      <c r="N2552" t="s">
        <v>169</v>
      </c>
      <c r="O2552" t="s">
        <v>116</v>
      </c>
    </row>
    <row r="2553" spans="1:15" x14ac:dyDescent="0.3">
      <c r="A2553" s="130">
        <v>13961</v>
      </c>
      <c r="B2553" s="130">
        <v>10</v>
      </c>
      <c r="C2553" s="130" t="s">
        <v>4177</v>
      </c>
      <c r="D2553">
        <v>21207</v>
      </c>
      <c r="E2553" s="130">
        <v>45425990</v>
      </c>
      <c r="F2553" t="s">
        <v>87</v>
      </c>
      <c r="G2553">
        <v>358</v>
      </c>
      <c r="H2553" t="s">
        <v>8952</v>
      </c>
      <c r="I2553" s="131">
        <v>9</v>
      </c>
      <c r="J2553" t="s">
        <v>4177</v>
      </c>
      <c r="K2553" t="s">
        <v>95</v>
      </c>
      <c r="L2553" t="s">
        <v>105</v>
      </c>
      <c r="M2553" t="s">
        <v>133</v>
      </c>
      <c r="N2553" t="s">
        <v>98</v>
      </c>
      <c r="O2553" t="s">
        <v>1345</v>
      </c>
    </row>
    <row r="2554" spans="1:15" x14ac:dyDescent="0.3">
      <c r="A2554" s="130">
        <v>13966</v>
      </c>
      <c r="B2554" s="130">
        <v>10</v>
      </c>
      <c r="C2554" s="130" t="s">
        <v>4178</v>
      </c>
      <c r="D2554">
        <v>21217</v>
      </c>
      <c r="E2554" s="130">
        <v>58853169</v>
      </c>
      <c r="F2554" t="s">
        <v>87</v>
      </c>
      <c r="G2554">
        <v>9135</v>
      </c>
      <c r="H2554" t="s">
        <v>8953</v>
      </c>
      <c r="I2554" s="130">
        <v>24</v>
      </c>
      <c r="J2554" t="s">
        <v>4178</v>
      </c>
      <c r="K2554" t="s">
        <v>108</v>
      </c>
      <c r="L2554" t="s">
        <v>240</v>
      </c>
      <c r="M2554" t="s">
        <v>133</v>
      </c>
      <c r="N2554" t="s">
        <v>98</v>
      </c>
      <c r="O2554" t="s">
        <v>116</v>
      </c>
    </row>
    <row r="2555" spans="1:15" x14ac:dyDescent="0.3">
      <c r="A2555" s="130">
        <v>13972</v>
      </c>
      <c r="B2555" s="130">
        <v>30</v>
      </c>
      <c r="C2555" s="130" t="s">
        <v>4179</v>
      </c>
      <c r="D2555">
        <v>21227</v>
      </c>
      <c r="E2555" s="130">
        <v>5670198</v>
      </c>
      <c r="F2555" t="s">
        <v>87</v>
      </c>
      <c r="G2555">
        <v>76</v>
      </c>
      <c r="H2555" t="s">
        <v>8951</v>
      </c>
      <c r="I2555" s="130">
        <v>19</v>
      </c>
      <c r="J2555" t="s">
        <v>4179</v>
      </c>
      <c r="K2555" t="s">
        <v>108</v>
      </c>
      <c r="L2555" t="s">
        <v>146</v>
      </c>
      <c r="M2555" t="s">
        <v>103</v>
      </c>
      <c r="N2555" t="s">
        <v>98</v>
      </c>
      <c r="O2555" t="s">
        <v>1345</v>
      </c>
    </row>
    <row r="2556" spans="1:15" x14ac:dyDescent="0.3">
      <c r="A2556" s="130">
        <v>13974</v>
      </c>
      <c r="B2556" s="130">
        <v>90</v>
      </c>
      <c r="C2556" s="130" t="s">
        <v>4180</v>
      </c>
      <c r="D2556">
        <v>21229</v>
      </c>
      <c r="E2556" s="130">
        <v>655209</v>
      </c>
      <c r="F2556" t="s">
        <v>87</v>
      </c>
      <c r="G2556">
        <v>76</v>
      </c>
      <c r="H2556" t="s">
        <v>8952</v>
      </c>
      <c r="I2556" s="130">
        <v>9</v>
      </c>
      <c r="J2556" t="s">
        <v>4180</v>
      </c>
      <c r="K2556" t="s">
        <v>95</v>
      </c>
      <c r="L2556" t="s">
        <v>181</v>
      </c>
      <c r="M2556" t="s">
        <v>170</v>
      </c>
      <c r="N2556" t="s">
        <v>114</v>
      </c>
      <c r="O2556" t="s">
        <v>116</v>
      </c>
    </row>
    <row r="2557" spans="1:15" x14ac:dyDescent="0.3">
      <c r="A2557" s="130">
        <v>13989</v>
      </c>
      <c r="B2557" s="130">
        <v>28</v>
      </c>
      <c r="C2557" s="130" t="s">
        <v>4181</v>
      </c>
      <c r="D2557">
        <v>21248</v>
      </c>
      <c r="E2557" s="131">
        <v>19266802</v>
      </c>
      <c r="F2557" t="s">
        <v>87</v>
      </c>
      <c r="G2557">
        <v>76</v>
      </c>
      <c r="H2557" t="s">
        <v>8953</v>
      </c>
      <c r="I2557" s="130">
        <v>3</v>
      </c>
      <c r="J2557" t="s">
        <v>4181</v>
      </c>
      <c r="K2557" t="s">
        <v>108</v>
      </c>
      <c r="L2557" t="s">
        <v>1293</v>
      </c>
      <c r="M2557" t="s">
        <v>130</v>
      </c>
      <c r="N2557" t="s">
        <v>98</v>
      </c>
      <c r="O2557" t="s">
        <v>116</v>
      </c>
    </row>
    <row r="2558" spans="1:15" x14ac:dyDescent="0.3">
      <c r="A2558" s="130">
        <v>13999</v>
      </c>
      <c r="B2558" s="130">
        <v>15</v>
      </c>
      <c r="C2558" s="130" t="s">
        <v>4182</v>
      </c>
      <c r="D2558">
        <v>21261</v>
      </c>
      <c r="E2558" s="130">
        <v>39702557</v>
      </c>
      <c r="F2558" t="s">
        <v>87</v>
      </c>
      <c r="G2558">
        <v>76</v>
      </c>
      <c r="H2558" t="s">
        <v>8951</v>
      </c>
      <c r="I2558" s="131">
        <v>19</v>
      </c>
      <c r="J2558" t="s">
        <v>4182</v>
      </c>
      <c r="K2558" t="s">
        <v>108</v>
      </c>
      <c r="L2558" t="s">
        <v>146</v>
      </c>
      <c r="M2558" t="s">
        <v>145</v>
      </c>
      <c r="N2558" t="s">
        <v>98</v>
      </c>
      <c r="O2558" t="s">
        <v>116</v>
      </c>
    </row>
    <row r="2559" spans="1:15" x14ac:dyDescent="0.3">
      <c r="A2559" s="130">
        <v>14006</v>
      </c>
      <c r="B2559" s="130">
        <v>30</v>
      </c>
      <c r="C2559" s="130" t="s">
        <v>4183</v>
      </c>
      <c r="D2559">
        <v>21272</v>
      </c>
      <c r="E2559" s="130">
        <v>31282126</v>
      </c>
      <c r="F2559" t="s">
        <v>87</v>
      </c>
      <c r="G2559">
        <v>76</v>
      </c>
      <c r="H2559" t="s">
        <v>8952</v>
      </c>
      <c r="I2559" s="131">
        <v>3</v>
      </c>
      <c r="J2559" t="s">
        <v>4183</v>
      </c>
      <c r="K2559" t="s">
        <v>95</v>
      </c>
      <c r="L2559" t="s">
        <v>111</v>
      </c>
      <c r="M2559" t="s">
        <v>103</v>
      </c>
      <c r="N2559" t="s">
        <v>98</v>
      </c>
      <c r="O2559" t="s">
        <v>1345</v>
      </c>
    </row>
    <row r="2560" spans="1:15" x14ac:dyDescent="0.3">
      <c r="A2560" s="130">
        <v>14008</v>
      </c>
      <c r="B2560" s="130">
        <v>30</v>
      </c>
      <c r="C2560" s="130" t="s">
        <v>4184</v>
      </c>
      <c r="D2560">
        <v>21274</v>
      </c>
      <c r="E2560" s="130">
        <v>45425990</v>
      </c>
      <c r="F2560" t="s">
        <v>87</v>
      </c>
      <c r="G2560">
        <v>76</v>
      </c>
      <c r="H2560" t="s">
        <v>8953</v>
      </c>
      <c r="I2560" s="131">
        <v>9</v>
      </c>
      <c r="J2560" t="s">
        <v>4184</v>
      </c>
      <c r="K2560" t="s">
        <v>95</v>
      </c>
      <c r="L2560" t="s">
        <v>163</v>
      </c>
      <c r="M2560" t="s">
        <v>103</v>
      </c>
      <c r="N2560" t="s">
        <v>98</v>
      </c>
      <c r="O2560" t="s">
        <v>1345</v>
      </c>
    </row>
    <row r="2561" spans="1:15" x14ac:dyDescent="0.3">
      <c r="A2561" s="130">
        <v>14009</v>
      </c>
      <c r="B2561" s="130">
        <v>30</v>
      </c>
      <c r="C2561" s="130" t="s">
        <v>4185</v>
      </c>
      <c r="D2561">
        <v>21275</v>
      </c>
      <c r="E2561" s="131">
        <v>3005076</v>
      </c>
      <c r="F2561" t="s">
        <v>87</v>
      </c>
      <c r="G2561">
        <v>9135</v>
      </c>
      <c r="H2561" t="s">
        <v>8951</v>
      </c>
      <c r="I2561" s="130">
        <v>24</v>
      </c>
      <c r="J2561" t="s">
        <v>4185</v>
      </c>
      <c r="K2561" t="s">
        <v>108</v>
      </c>
      <c r="L2561" t="s">
        <v>191</v>
      </c>
      <c r="M2561" t="s">
        <v>103</v>
      </c>
      <c r="N2561" t="s">
        <v>132</v>
      </c>
      <c r="O2561" t="s">
        <v>1345</v>
      </c>
    </row>
    <row r="2562" spans="1:15" x14ac:dyDescent="0.3">
      <c r="A2562" s="130">
        <v>14021</v>
      </c>
      <c r="B2562" s="130">
        <v>30</v>
      </c>
      <c r="C2562" s="130" t="s">
        <v>4186</v>
      </c>
      <c r="D2562">
        <v>21278</v>
      </c>
      <c r="E2562" s="130">
        <v>35709450</v>
      </c>
      <c r="F2562" t="s">
        <v>87</v>
      </c>
      <c r="G2562">
        <v>76</v>
      </c>
      <c r="H2562" t="s">
        <v>8952</v>
      </c>
      <c r="I2562" s="130">
        <v>19</v>
      </c>
      <c r="J2562" t="s">
        <v>4186</v>
      </c>
      <c r="K2562" t="s">
        <v>108</v>
      </c>
      <c r="L2562" t="s">
        <v>146</v>
      </c>
      <c r="M2562" t="s">
        <v>103</v>
      </c>
      <c r="N2562" t="s">
        <v>98</v>
      </c>
      <c r="O2562" t="s">
        <v>116</v>
      </c>
    </row>
    <row r="2563" spans="1:15" x14ac:dyDescent="0.3">
      <c r="A2563" s="130">
        <v>14032</v>
      </c>
      <c r="B2563" s="130">
        <v>90</v>
      </c>
      <c r="C2563" s="130" t="s">
        <v>4187</v>
      </c>
      <c r="D2563">
        <v>21305</v>
      </c>
      <c r="E2563" s="130">
        <v>35234509</v>
      </c>
      <c r="F2563" t="s">
        <v>87</v>
      </c>
      <c r="G2563">
        <v>76</v>
      </c>
      <c r="H2563" t="s">
        <v>8953</v>
      </c>
      <c r="I2563" s="130">
        <v>24</v>
      </c>
      <c r="J2563" t="s">
        <v>4187</v>
      </c>
      <c r="K2563" t="s">
        <v>95</v>
      </c>
      <c r="L2563" t="s">
        <v>102</v>
      </c>
      <c r="M2563" t="s">
        <v>170</v>
      </c>
      <c r="N2563" t="s">
        <v>98</v>
      </c>
      <c r="O2563" t="s">
        <v>116</v>
      </c>
    </row>
    <row r="2564" spans="1:15" x14ac:dyDescent="0.3">
      <c r="A2564" s="130">
        <v>14067</v>
      </c>
      <c r="B2564" s="130">
        <v>10</v>
      </c>
      <c r="C2564" s="130" t="s">
        <v>4188</v>
      </c>
      <c r="D2564">
        <v>21353</v>
      </c>
      <c r="E2564" s="130">
        <v>48768050</v>
      </c>
      <c r="F2564" t="s">
        <v>87</v>
      </c>
      <c r="G2564">
        <v>76</v>
      </c>
      <c r="H2564" t="s">
        <v>8951</v>
      </c>
      <c r="I2564" s="130">
        <v>24</v>
      </c>
      <c r="J2564" t="s">
        <v>4188</v>
      </c>
      <c r="K2564" t="s">
        <v>108</v>
      </c>
      <c r="L2564" t="s">
        <v>240</v>
      </c>
      <c r="M2564" t="s">
        <v>133</v>
      </c>
      <c r="N2564" t="s">
        <v>98</v>
      </c>
      <c r="O2564" t="s">
        <v>1345</v>
      </c>
    </row>
    <row r="2565" spans="1:15" x14ac:dyDescent="0.3">
      <c r="A2565" s="130">
        <v>14072</v>
      </c>
      <c r="B2565" s="130">
        <v>-1</v>
      </c>
      <c r="C2565" s="130" t="s">
        <v>4189</v>
      </c>
      <c r="D2565">
        <v>21363</v>
      </c>
      <c r="E2565" s="130">
        <v>8488802</v>
      </c>
      <c r="F2565" t="s">
        <v>87</v>
      </c>
      <c r="G2565">
        <v>76</v>
      </c>
      <c r="H2565" t="s">
        <v>8952</v>
      </c>
      <c r="I2565" s="131">
        <v>19</v>
      </c>
      <c r="J2565" t="s">
        <v>4189</v>
      </c>
      <c r="K2565" t="s">
        <v>108</v>
      </c>
      <c r="L2565" t="s">
        <v>1249</v>
      </c>
      <c r="M2565" t="s">
        <v>174</v>
      </c>
      <c r="N2565" t="s">
        <v>98</v>
      </c>
      <c r="O2565" t="s">
        <v>1345</v>
      </c>
    </row>
    <row r="2566" spans="1:15" x14ac:dyDescent="0.3">
      <c r="A2566" s="130">
        <v>14076</v>
      </c>
      <c r="B2566" s="130">
        <v>30</v>
      </c>
      <c r="C2566" s="130" t="s">
        <v>4190</v>
      </c>
      <c r="D2566">
        <v>21370</v>
      </c>
      <c r="E2566" s="130">
        <v>18593815</v>
      </c>
      <c r="F2566" t="s">
        <v>87</v>
      </c>
      <c r="G2566">
        <v>76</v>
      </c>
      <c r="H2566" t="s">
        <v>8953</v>
      </c>
      <c r="I2566" s="131">
        <v>19</v>
      </c>
      <c r="J2566" t="s">
        <v>4190</v>
      </c>
      <c r="K2566" t="s">
        <v>95</v>
      </c>
      <c r="L2566" t="s">
        <v>146</v>
      </c>
      <c r="M2566" t="s">
        <v>103</v>
      </c>
      <c r="N2566" t="s">
        <v>98</v>
      </c>
      <c r="O2566" t="s">
        <v>116</v>
      </c>
    </row>
    <row r="2567" spans="1:15" x14ac:dyDescent="0.3">
      <c r="A2567" s="130">
        <v>14091</v>
      </c>
      <c r="B2567" s="130">
        <v>30</v>
      </c>
      <c r="C2567" s="130" t="s">
        <v>4191</v>
      </c>
      <c r="D2567">
        <v>21389</v>
      </c>
      <c r="E2567" s="130">
        <v>11381605</v>
      </c>
      <c r="F2567" t="s">
        <v>87</v>
      </c>
      <c r="G2567">
        <v>76</v>
      </c>
      <c r="H2567" t="s">
        <v>8951</v>
      </c>
      <c r="I2567" s="130">
        <v>9</v>
      </c>
      <c r="J2567" t="s">
        <v>4191</v>
      </c>
      <c r="K2567" t="s">
        <v>108</v>
      </c>
      <c r="L2567" t="s">
        <v>111</v>
      </c>
      <c r="M2567" t="s">
        <v>103</v>
      </c>
      <c r="N2567" t="s">
        <v>98</v>
      </c>
      <c r="O2567" t="s">
        <v>1345</v>
      </c>
    </row>
    <row r="2568" spans="1:15" x14ac:dyDescent="0.3">
      <c r="A2568" s="130">
        <v>14095</v>
      </c>
      <c r="B2568" s="130">
        <v>28</v>
      </c>
      <c r="C2568" s="130" t="s">
        <v>4192</v>
      </c>
      <c r="D2568">
        <v>21396</v>
      </c>
      <c r="E2568" s="130">
        <v>37265726</v>
      </c>
      <c r="F2568" t="s">
        <v>87</v>
      </c>
      <c r="G2568">
        <v>76</v>
      </c>
      <c r="H2568" t="s">
        <v>8952</v>
      </c>
      <c r="I2568" s="130">
        <v>37</v>
      </c>
      <c r="J2568" t="s">
        <v>4192</v>
      </c>
      <c r="K2568" t="s">
        <v>95</v>
      </c>
      <c r="L2568" t="s">
        <v>138</v>
      </c>
      <c r="M2568" t="s">
        <v>130</v>
      </c>
      <c r="N2568" t="s">
        <v>150</v>
      </c>
      <c r="O2568" t="s">
        <v>1345</v>
      </c>
    </row>
    <row r="2569" spans="1:15" x14ac:dyDescent="0.3">
      <c r="A2569" s="130">
        <v>14109</v>
      </c>
      <c r="B2569" s="130">
        <v>30</v>
      </c>
      <c r="C2569" s="130" t="s">
        <v>4193</v>
      </c>
      <c r="D2569">
        <v>21416</v>
      </c>
      <c r="E2569" s="130">
        <v>15063096</v>
      </c>
      <c r="F2569" t="s">
        <v>87</v>
      </c>
      <c r="G2569">
        <v>76</v>
      </c>
      <c r="H2569" t="s">
        <v>8953</v>
      </c>
      <c r="I2569" s="130">
        <v>3</v>
      </c>
      <c r="J2569" t="s">
        <v>4193</v>
      </c>
      <c r="K2569" t="s">
        <v>95</v>
      </c>
      <c r="L2569" t="s">
        <v>111</v>
      </c>
      <c r="M2569" t="s">
        <v>103</v>
      </c>
      <c r="N2569" t="s">
        <v>98</v>
      </c>
      <c r="O2569" t="s">
        <v>1345</v>
      </c>
    </row>
    <row r="2570" spans="1:15" x14ac:dyDescent="0.3">
      <c r="A2570" s="130">
        <v>14112</v>
      </c>
      <c r="B2570" s="130">
        <v>-1</v>
      </c>
      <c r="C2570" s="130" t="s">
        <v>4194</v>
      </c>
      <c r="D2570">
        <v>21419</v>
      </c>
      <c r="E2570" s="130">
        <v>29658922</v>
      </c>
      <c r="F2570" t="s">
        <v>87</v>
      </c>
      <c r="G2570">
        <v>76</v>
      </c>
      <c r="H2570" t="s">
        <v>8951</v>
      </c>
      <c r="I2570" s="131">
        <v>10</v>
      </c>
      <c r="J2570" t="s">
        <v>4194</v>
      </c>
      <c r="K2570" t="s">
        <v>108</v>
      </c>
      <c r="L2570" t="s">
        <v>127</v>
      </c>
      <c r="M2570" t="s">
        <v>174</v>
      </c>
      <c r="N2570" t="s">
        <v>118</v>
      </c>
      <c r="O2570" t="s">
        <v>116</v>
      </c>
    </row>
    <row r="2571" spans="1:15" x14ac:dyDescent="0.3">
      <c r="A2571" s="130">
        <v>14125</v>
      </c>
      <c r="B2571" s="130">
        <v>15</v>
      </c>
      <c r="C2571" s="130" t="s">
        <v>4195</v>
      </c>
      <c r="D2571">
        <v>21439</v>
      </c>
      <c r="E2571" s="130">
        <v>28029688</v>
      </c>
      <c r="F2571" t="s">
        <v>87</v>
      </c>
      <c r="G2571">
        <v>76</v>
      </c>
      <c r="H2571" t="s">
        <v>8952</v>
      </c>
      <c r="I2571" s="130">
        <v>24</v>
      </c>
      <c r="J2571" t="s">
        <v>4195</v>
      </c>
      <c r="K2571" t="s">
        <v>108</v>
      </c>
      <c r="L2571" t="s">
        <v>191</v>
      </c>
      <c r="M2571" t="s">
        <v>145</v>
      </c>
      <c r="N2571" t="s">
        <v>98</v>
      </c>
      <c r="O2571" t="s">
        <v>1345</v>
      </c>
    </row>
    <row r="2572" spans="1:15" x14ac:dyDescent="0.3">
      <c r="A2572" s="130">
        <v>14140</v>
      </c>
      <c r="B2572" s="130">
        <v>28</v>
      </c>
      <c r="C2572" s="130" t="s">
        <v>4196</v>
      </c>
      <c r="D2572">
        <v>21459</v>
      </c>
      <c r="E2572" s="131">
        <v>21681150</v>
      </c>
      <c r="F2572" t="s">
        <v>87</v>
      </c>
      <c r="G2572">
        <v>76</v>
      </c>
      <c r="H2572" t="s">
        <v>8953</v>
      </c>
      <c r="I2572" s="130">
        <v>43</v>
      </c>
      <c r="J2572" t="s">
        <v>4196</v>
      </c>
      <c r="K2572" t="s">
        <v>95</v>
      </c>
      <c r="L2572" t="s">
        <v>105</v>
      </c>
      <c r="M2572" t="s">
        <v>130</v>
      </c>
      <c r="N2572" t="s">
        <v>98</v>
      </c>
      <c r="O2572" t="s">
        <v>116</v>
      </c>
    </row>
    <row r="2573" spans="1:15" x14ac:dyDescent="0.3">
      <c r="A2573" s="130">
        <v>14144</v>
      </c>
      <c r="B2573" s="130">
        <v>30</v>
      </c>
      <c r="C2573" s="130" t="s">
        <v>4197</v>
      </c>
      <c r="D2573">
        <v>21466</v>
      </c>
      <c r="E2573" s="130">
        <v>2617158</v>
      </c>
      <c r="F2573" t="s">
        <v>87</v>
      </c>
      <c r="G2573">
        <v>76</v>
      </c>
      <c r="H2573" t="s">
        <v>8951</v>
      </c>
      <c r="I2573" s="130">
        <v>10</v>
      </c>
      <c r="J2573" t="s">
        <v>4197</v>
      </c>
      <c r="K2573" t="s">
        <v>95</v>
      </c>
      <c r="L2573" t="s">
        <v>127</v>
      </c>
      <c r="M2573" t="s">
        <v>103</v>
      </c>
      <c r="N2573" t="s">
        <v>118</v>
      </c>
      <c r="O2573" t="s">
        <v>116</v>
      </c>
    </row>
    <row r="2574" spans="1:15" x14ac:dyDescent="0.3">
      <c r="A2574" s="130">
        <v>14149</v>
      </c>
      <c r="B2574" s="130">
        <v>0</v>
      </c>
      <c r="C2574" s="130" t="s">
        <v>4198</v>
      </c>
      <c r="D2574">
        <v>21475</v>
      </c>
      <c r="E2574" s="130">
        <v>34325515</v>
      </c>
      <c r="F2574" t="s">
        <v>87</v>
      </c>
      <c r="G2574">
        <v>76</v>
      </c>
      <c r="H2574" t="s">
        <v>8952</v>
      </c>
      <c r="I2574" s="130">
        <v>3</v>
      </c>
      <c r="J2574" t="s">
        <v>4198</v>
      </c>
      <c r="K2574" t="s">
        <v>108</v>
      </c>
      <c r="L2574" t="s">
        <v>1293</v>
      </c>
      <c r="M2574" t="s">
        <v>100</v>
      </c>
      <c r="N2574" t="s">
        <v>98</v>
      </c>
      <c r="O2574" t="s">
        <v>116</v>
      </c>
    </row>
    <row r="2575" spans="1:15" x14ac:dyDescent="0.3">
      <c r="A2575" s="130">
        <v>14156</v>
      </c>
      <c r="B2575" s="130">
        <v>30</v>
      </c>
      <c r="C2575" s="130" t="s">
        <v>4199</v>
      </c>
      <c r="D2575">
        <v>21488</v>
      </c>
      <c r="E2575" s="130">
        <v>20058654</v>
      </c>
      <c r="F2575" t="s">
        <v>87</v>
      </c>
      <c r="G2575">
        <v>76</v>
      </c>
      <c r="H2575" t="s">
        <v>8953</v>
      </c>
      <c r="I2575" s="130">
        <v>18</v>
      </c>
      <c r="J2575" t="s">
        <v>4199</v>
      </c>
      <c r="K2575" t="s">
        <v>108</v>
      </c>
      <c r="L2575" t="s">
        <v>1293</v>
      </c>
      <c r="M2575" t="s">
        <v>103</v>
      </c>
      <c r="N2575" t="s">
        <v>114</v>
      </c>
      <c r="O2575" t="s">
        <v>1345</v>
      </c>
    </row>
    <row r="2576" spans="1:15" x14ac:dyDescent="0.3">
      <c r="A2576" s="130">
        <v>14157</v>
      </c>
      <c r="B2576" s="130">
        <v>30</v>
      </c>
      <c r="C2576" s="130" t="s">
        <v>4200</v>
      </c>
      <c r="D2576">
        <v>21491</v>
      </c>
      <c r="E2576" s="130">
        <v>33028845</v>
      </c>
      <c r="F2576" t="s">
        <v>87</v>
      </c>
      <c r="G2576">
        <v>76</v>
      </c>
      <c r="H2576" t="s">
        <v>8951</v>
      </c>
      <c r="I2576" s="130">
        <v>9</v>
      </c>
      <c r="J2576" t="s">
        <v>4200</v>
      </c>
      <c r="K2576" t="s">
        <v>95</v>
      </c>
      <c r="L2576" t="s">
        <v>163</v>
      </c>
      <c r="M2576" t="s">
        <v>103</v>
      </c>
      <c r="N2576" t="s">
        <v>98</v>
      </c>
      <c r="O2576" t="s">
        <v>1345</v>
      </c>
    </row>
    <row r="2577" spans="1:15" x14ac:dyDescent="0.3">
      <c r="A2577" s="130">
        <v>14162</v>
      </c>
      <c r="B2577" s="130">
        <v>10</v>
      </c>
      <c r="C2577" s="130" t="s">
        <v>4201</v>
      </c>
      <c r="D2577">
        <v>21499</v>
      </c>
      <c r="E2577" s="131">
        <v>33630746</v>
      </c>
      <c r="F2577" t="s">
        <v>87</v>
      </c>
      <c r="G2577">
        <v>76</v>
      </c>
      <c r="H2577" t="s">
        <v>8952</v>
      </c>
      <c r="I2577" s="130">
        <v>9</v>
      </c>
      <c r="J2577" t="s">
        <v>4201</v>
      </c>
      <c r="K2577" t="s">
        <v>108</v>
      </c>
      <c r="L2577" t="s">
        <v>111</v>
      </c>
      <c r="M2577" t="s">
        <v>133</v>
      </c>
      <c r="N2577" t="s">
        <v>114</v>
      </c>
      <c r="O2577" t="s">
        <v>116</v>
      </c>
    </row>
    <row r="2578" spans="1:15" x14ac:dyDescent="0.3">
      <c r="A2578" s="130">
        <v>14168</v>
      </c>
      <c r="B2578" s="130">
        <v>30</v>
      </c>
      <c r="C2578" s="130" t="s">
        <v>4202</v>
      </c>
      <c r="D2578">
        <v>21506</v>
      </c>
      <c r="E2578" s="130">
        <v>1514128</v>
      </c>
      <c r="F2578" t="s">
        <v>87</v>
      </c>
      <c r="G2578">
        <v>76</v>
      </c>
      <c r="H2578" t="s">
        <v>8953</v>
      </c>
      <c r="I2578" s="131">
        <v>19</v>
      </c>
      <c r="J2578" t="s">
        <v>4202</v>
      </c>
      <c r="K2578" t="s">
        <v>108</v>
      </c>
      <c r="L2578" t="s">
        <v>1249</v>
      </c>
      <c r="M2578" t="s">
        <v>103</v>
      </c>
      <c r="N2578" t="s">
        <v>101</v>
      </c>
      <c r="O2578" t="s">
        <v>1345</v>
      </c>
    </row>
    <row r="2579" spans="1:15" x14ac:dyDescent="0.3">
      <c r="A2579" s="130">
        <v>14173</v>
      </c>
      <c r="B2579" s="130">
        <v>30</v>
      </c>
      <c r="C2579" s="130" t="s">
        <v>4203</v>
      </c>
      <c r="D2579">
        <v>21511</v>
      </c>
      <c r="E2579" s="130">
        <v>183256</v>
      </c>
      <c r="F2579" t="s">
        <v>87</v>
      </c>
      <c r="G2579">
        <v>76</v>
      </c>
      <c r="H2579" t="s">
        <v>8951</v>
      </c>
      <c r="I2579" s="131">
        <v>19</v>
      </c>
      <c r="J2579" t="s">
        <v>4203</v>
      </c>
      <c r="K2579" t="s">
        <v>108</v>
      </c>
      <c r="L2579" t="s">
        <v>146</v>
      </c>
      <c r="M2579" t="s">
        <v>103</v>
      </c>
      <c r="N2579" t="s">
        <v>114</v>
      </c>
      <c r="O2579" t="s">
        <v>1345</v>
      </c>
    </row>
    <row r="2580" spans="1:15" x14ac:dyDescent="0.3">
      <c r="A2580" s="130">
        <v>14174</v>
      </c>
      <c r="B2580" s="131">
        <v>5</v>
      </c>
      <c r="C2580" s="130" t="s">
        <v>4204</v>
      </c>
      <c r="D2580">
        <v>21510</v>
      </c>
      <c r="E2580" s="130">
        <v>45425990</v>
      </c>
      <c r="F2580" t="s">
        <v>87</v>
      </c>
      <c r="G2580">
        <v>76</v>
      </c>
      <c r="H2580" t="s">
        <v>8952</v>
      </c>
      <c r="I2580" s="130">
        <v>40</v>
      </c>
      <c r="J2580" t="s">
        <v>4204</v>
      </c>
      <c r="K2580" t="s">
        <v>95</v>
      </c>
      <c r="L2580" t="s">
        <v>163</v>
      </c>
      <c r="M2580" t="s">
        <v>129</v>
      </c>
      <c r="N2580" t="s">
        <v>98</v>
      </c>
      <c r="O2580" t="s">
        <v>116</v>
      </c>
    </row>
    <row r="2581" spans="1:15" x14ac:dyDescent="0.3">
      <c r="A2581" s="130">
        <v>14175</v>
      </c>
      <c r="B2581" s="130">
        <v>5</v>
      </c>
      <c r="C2581" s="130" t="s">
        <v>4205</v>
      </c>
      <c r="D2581">
        <v>21512</v>
      </c>
      <c r="E2581" s="130">
        <v>45425990</v>
      </c>
      <c r="F2581" t="s">
        <v>87</v>
      </c>
      <c r="G2581">
        <v>76</v>
      </c>
      <c r="H2581" t="s">
        <v>8953</v>
      </c>
      <c r="I2581" s="131">
        <v>40</v>
      </c>
      <c r="J2581" t="s">
        <v>4205</v>
      </c>
      <c r="K2581" t="s">
        <v>95</v>
      </c>
      <c r="L2581" t="s">
        <v>163</v>
      </c>
      <c r="M2581" t="s">
        <v>129</v>
      </c>
      <c r="N2581" t="s">
        <v>98</v>
      </c>
      <c r="O2581" t="s">
        <v>116</v>
      </c>
    </row>
    <row r="2582" spans="1:15" x14ac:dyDescent="0.3">
      <c r="A2582" s="130">
        <v>14180</v>
      </c>
      <c r="B2582" s="130">
        <v>60</v>
      </c>
      <c r="C2582" s="130" t="s">
        <v>4206</v>
      </c>
      <c r="D2582">
        <v>19777</v>
      </c>
      <c r="E2582" s="130">
        <v>16628281</v>
      </c>
      <c r="F2582" t="s">
        <v>87</v>
      </c>
      <c r="G2582">
        <v>77</v>
      </c>
      <c r="H2582" t="s">
        <v>8951</v>
      </c>
      <c r="I2582" s="130">
        <v>3</v>
      </c>
      <c r="J2582" t="s">
        <v>4206</v>
      </c>
      <c r="K2582" t="s">
        <v>95</v>
      </c>
      <c r="L2582" t="s">
        <v>256</v>
      </c>
      <c r="M2582" t="s">
        <v>97</v>
      </c>
      <c r="N2582" t="s">
        <v>118</v>
      </c>
      <c r="O2582" t="s">
        <v>116</v>
      </c>
    </row>
    <row r="2583" spans="1:15" x14ac:dyDescent="0.3">
      <c r="A2583" s="130">
        <v>14185</v>
      </c>
      <c r="B2583" s="130">
        <v>30</v>
      </c>
      <c r="C2583" s="130" t="s">
        <v>4207</v>
      </c>
      <c r="D2583">
        <v>21526</v>
      </c>
      <c r="E2583" s="130">
        <v>24795416</v>
      </c>
      <c r="F2583" t="s">
        <v>87</v>
      </c>
      <c r="G2583">
        <v>76</v>
      </c>
      <c r="H2583" t="s">
        <v>8952</v>
      </c>
      <c r="I2583" s="130">
        <v>3</v>
      </c>
      <c r="J2583" t="s">
        <v>4207</v>
      </c>
      <c r="K2583" t="s">
        <v>95</v>
      </c>
      <c r="L2583" t="s">
        <v>240</v>
      </c>
      <c r="M2583" t="s">
        <v>103</v>
      </c>
      <c r="N2583" t="s">
        <v>98</v>
      </c>
      <c r="O2583" t="s">
        <v>116</v>
      </c>
    </row>
    <row r="2584" spans="1:15" x14ac:dyDescent="0.3">
      <c r="A2584" s="130">
        <v>14187</v>
      </c>
      <c r="C2584" s="130" t="s">
        <v>4208</v>
      </c>
      <c r="D2584">
        <v>21528</v>
      </c>
      <c r="E2584" s="130">
        <v>29264299</v>
      </c>
      <c r="F2584" t="s">
        <v>113</v>
      </c>
      <c r="G2584">
        <v>76</v>
      </c>
      <c r="H2584" t="s">
        <v>8953</v>
      </c>
      <c r="I2584" s="130">
        <v>37</v>
      </c>
      <c r="J2584" t="s">
        <v>4208</v>
      </c>
      <c r="K2584" t="s">
        <v>108</v>
      </c>
      <c r="L2584" t="s">
        <v>138</v>
      </c>
      <c r="N2584" t="s">
        <v>141</v>
      </c>
      <c r="O2584" t="s">
        <v>1256</v>
      </c>
    </row>
    <row r="2585" spans="1:15" x14ac:dyDescent="0.3">
      <c r="A2585" s="130">
        <v>14198</v>
      </c>
      <c r="B2585" s="130">
        <v>21</v>
      </c>
      <c r="C2585" s="130" t="s">
        <v>4209</v>
      </c>
      <c r="D2585">
        <v>21548</v>
      </c>
      <c r="E2585" s="130">
        <v>1021713</v>
      </c>
      <c r="F2585" t="s">
        <v>87</v>
      </c>
      <c r="G2585">
        <v>76</v>
      </c>
      <c r="H2585" t="s">
        <v>8951</v>
      </c>
      <c r="I2585" s="131">
        <v>3</v>
      </c>
      <c r="J2585" t="s">
        <v>4209</v>
      </c>
      <c r="K2585" t="s">
        <v>95</v>
      </c>
      <c r="L2585" t="s">
        <v>111</v>
      </c>
      <c r="M2585" t="s">
        <v>137</v>
      </c>
      <c r="N2585" t="s">
        <v>98</v>
      </c>
      <c r="O2585" t="s">
        <v>1345</v>
      </c>
    </row>
    <row r="2586" spans="1:15" x14ac:dyDescent="0.3">
      <c r="A2586" s="130">
        <v>14199</v>
      </c>
      <c r="B2586" s="130" t="s">
        <v>135</v>
      </c>
      <c r="C2586" s="130" t="s">
        <v>4210</v>
      </c>
      <c r="D2586">
        <v>21549</v>
      </c>
      <c r="E2586" s="130">
        <v>83646547</v>
      </c>
      <c r="F2586" t="s">
        <v>87</v>
      </c>
      <c r="G2586">
        <v>358</v>
      </c>
      <c r="H2586" t="s">
        <v>8952</v>
      </c>
      <c r="I2586" s="130">
        <v>10</v>
      </c>
      <c r="J2586" t="s">
        <v>4210</v>
      </c>
      <c r="K2586" t="s">
        <v>95</v>
      </c>
      <c r="L2586" t="s">
        <v>105</v>
      </c>
      <c r="M2586" t="s">
        <v>136</v>
      </c>
      <c r="N2586" t="s">
        <v>98</v>
      </c>
      <c r="O2586" t="s">
        <v>116</v>
      </c>
    </row>
    <row r="2587" spans="1:15" x14ac:dyDescent="0.3">
      <c r="A2587" s="130">
        <v>14206</v>
      </c>
      <c r="B2587" s="130">
        <v>15</v>
      </c>
      <c r="C2587" s="130" t="s">
        <v>4211</v>
      </c>
      <c r="D2587">
        <v>21559</v>
      </c>
      <c r="E2587" s="131">
        <v>17025986</v>
      </c>
      <c r="F2587" t="s">
        <v>87</v>
      </c>
      <c r="G2587">
        <v>76</v>
      </c>
      <c r="H2587" t="s">
        <v>8953</v>
      </c>
      <c r="I2587" s="131">
        <v>19</v>
      </c>
      <c r="J2587" t="s">
        <v>4211</v>
      </c>
      <c r="K2587" t="s">
        <v>108</v>
      </c>
      <c r="L2587" t="s">
        <v>146</v>
      </c>
      <c r="M2587" t="s">
        <v>145</v>
      </c>
      <c r="N2587" t="s">
        <v>98</v>
      </c>
      <c r="O2587" t="s">
        <v>1345</v>
      </c>
    </row>
    <row r="2588" spans="1:15" x14ac:dyDescent="0.3">
      <c r="A2588" s="130">
        <v>14212</v>
      </c>
      <c r="B2588" s="130">
        <v>30</v>
      </c>
      <c r="C2588" s="130" t="s">
        <v>4212</v>
      </c>
      <c r="D2588">
        <v>21567</v>
      </c>
      <c r="E2588" s="130">
        <v>33841727</v>
      </c>
      <c r="F2588" t="s">
        <v>87</v>
      </c>
      <c r="G2588">
        <v>76</v>
      </c>
      <c r="H2588" t="s">
        <v>8951</v>
      </c>
      <c r="I2588" s="131">
        <v>3</v>
      </c>
      <c r="J2588" t="s">
        <v>4212</v>
      </c>
      <c r="K2588" t="s">
        <v>95</v>
      </c>
      <c r="L2588" t="s">
        <v>111</v>
      </c>
      <c r="M2588" t="s">
        <v>103</v>
      </c>
      <c r="N2588" t="s">
        <v>98</v>
      </c>
      <c r="O2588" t="s">
        <v>1345</v>
      </c>
    </row>
    <row r="2589" spans="1:15" x14ac:dyDescent="0.3">
      <c r="A2589" s="130">
        <v>14213</v>
      </c>
      <c r="B2589" s="130">
        <v>30</v>
      </c>
      <c r="C2589" s="130" t="s">
        <v>4213</v>
      </c>
      <c r="D2589">
        <v>21568</v>
      </c>
      <c r="E2589" s="130">
        <v>21471093</v>
      </c>
      <c r="F2589" t="s">
        <v>87</v>
      </c>
      <c r="G2589">
        <v>76</v>
      </c>
      <c r="H2589" t="s">
        <v>8952</v>
      </c>
      <c r="I2589" s="130">
        <v>24</v>
      </c>
      <c r="J2589" t="s">
        <v>4213</v>
      </c>
      <c r="K2589" t="s">
        <v>95</v>
      </c>
      <c r="L2589" t="s">
        <v>191</v>
      </c>
      <c r="M2589" t="s">
        <v>103</v>
      </c>
      <c r="N2589" t="s">
        <v>114</v>
      </c>
      <c r="O2589" t="s">
        <v>116</v>
      </c>
    </row>
    <row r="2590" spans="1:15" x14ac:dyDescent="0.3">
      <c r="A2590" s="130">
        <v>14220</v>
      </c>
      <c r="B2590" s="130">
        <v>30</v>
      </c>
      <c r="C2590" s="130" t="s">
        <v>4214</v>
      </c>
      <c r="D2590">
        <v>21576</v>
      </c>
      <c r="E2590" s="131">
        <v>20701875</v>
      </c>
      <c r="F2590" t="s">
        <v>87</v>
      </c>
      <c r="G2590">
        <v>76</v>
      </c>
      <c r="H2590" t="s">
        <v>8953</v>
      </c>
      <c r="I2590" s="131">
        <v>19</v>
      </c>
      <c r="J2590" t="s">
        <v>4214</v>
      </c>
      <c r="K2590" t="s">
        <v>108</v>
      </c>
      <c r="L2590" t="s">
        <v>146</v>
      </c>
      <c r="M2590" t="s">
        <v>103</v>
      </c>
      <c r="N2590" t="s">
        <v>98</v>
      </c>
      <c r="O2590" t="s">
        <v>116</v>
      </c>
    </row>
    <row r="2591" spans="1:15" x14ac:dyDescent="0.3">
      <c r="A2591" s="130">
        <v>14231</v>
      </c>
      <c r="B2591" s="130">
        <v>30</v>
      </c>
      <c r="C2591" s="130" t="s">
        <v>4215</v>
      </c>
      <c r="D2591">
        <v>21582</v>
      </c>
      <c r="E2591" s="130">
        <v>8807683</v>
      </c>
      <c r="F2591" t="s">
        <v>87</v>
      </c>
      <c r="G2591">
        <v>76</v>
      </c>
      <c r="H2591" t="s">
        <v>8951</v>
      </c>
      <c r="I2591" s="130">
        <v>26</v>
      </c>
      <c r="J2591" t="s">
        <v>4215</v>
      </c>
      <c r="K2591" t="s">
        <v>95</v>
      </c>
      <c r="L2591" t="s">
        <v>151</v>
      </c>
      <c r="M2591" t="s">
        <v>103</v>
      </c>
      <c r="N2591" t="s">
        <v>118</v>
      </c>
      <c r="O2591" t="s">
        <v>116</v>
      </c>
    </row>
    <row r="2592" spans="1:15" x14ac:dyDescent="0.3">
      <c r="A2592" s="130">
        <v>14233</v>
      </c>
      <c r="B2592" s="130">
        <v>18</v>
      </c>
      <c r="C2592" s="130" t="s">
        <v>4216</v>
      </c>
      <c r="D2592">
        <v>21590</v>
      </c>
      <c r="E2592" s="131">
        <v>5571228</v>
      </c>
      <c r="F2592" t="s">
        <v>87</v>
      </c>
      <c r="G2592">
        <v>76</v>
      </c>
      <c r="H2592" t="s">
        <v>8952</v>
      </c>
      <c r="I2592" s="130">
        <v>9</v>
      </c>
      <c r="J2592" t="s">
        <v>4216</v>
      </c>
      <c r="K2592" t="s">
        <v>108</v>
      </c>
      <c r="L2592" t="s">
        <v>111</v>
      </c>
      <c r="M2592" t="s">
        <v>112</v>
      </c>
      <c r="N2592" t="s">
        <v>114</v>
      </c>
      <c r="O2592" t="s">
        <v>116</v>
      </c>
    </row>
    <row r="2593" spans="1:15" x14ac:dyDescent="0.3">
      <c r="A2593" s="130">
        <v>14245</v>
      </c>
      <c r="B2593" s="130">
        <v>30</v>
      </c>
      <c r="C2593" s="130" t="s">
        <v>4217</v>
      </c>
      <c r="D2593">
        <v>21238</v>
      </c>
      <c r="E2593" s="130">
        <v>17227422</v>
      </c>
      <c r="F2593" t="s">
        <v>87</v>
      </c>
      <c r="G2593">
        <v>77</v>
      </c>
      <c r="H2593" t="s">
        <v>8953</v>
      </c>
      <c r="I2593" s="130">
        <v>3</v>
      </c>
      <c r="J2593" t="s">
        <v>4217</v>
      </c>
      <c r="K2593" t="s">
        <v>95</v>
      </c>
      <c r="L2593" t="s">
        <v>256</v>
      </c>
      <c r="M2593" t="s">
        <v>103</v>
      </c>
      <c r="N2593" t="s">
        <v>118</v>
      </c>
      <c r="O2593" t="s">
        <v>1345</v>
      </c>
    </row>
    <row r="2594" spans="1:15" x14ac:dyDescent="0.3">
      <c r="A2594" s="130">
        <v>14247</v>
      </c>
      <c r="B2594" s="130">
        <v>40</v>
      </c>
      <c r="C2594" s="130" t="s">
        <v>4218</v>
      </c>
      <c r="D2594">
        <v>21606</v>
      </c>
      <c r="E2594" s="131">
        <v>39580673</v>
      </c>
      <c r="F2594" t="s">
        <v>87</v>
      </c>
      <c r="G2594">
        <v>77</v>
      </c>
      <c r="H2594" t="s">
        <v>8951</v>
      </c>
      <c r="I2594" s="130">
        <v>19</v>
      </c>
      <c r="J2594" t="s">
        <v>4218</v>
      </c>
      <c r="K2594" t="s">
        <v>95</v>
      </c>
      <c r="L2594" t="s">
        <v>235</v>
      </c>
      <c r="M2594" t="s">
        <v>239</v>
      </c>
      <c r="N2594" t="s">
        <v>132</v>
      </c>
      <c r="O2594" t="s">
        <v>116</v>
      </c>
    </row>
    <row r="2595" spans="1:15" x14ac:dyDescent="0.3">
      <c r="A2595" s="130">
        <v>14264</v>
      </c>
      <c r="B2595" s="130">
        <v>30</v>
      </c>
      <c r="C2595" s="130" t="s">
        <v>4219</v>
      </c>
      <c r="D2595">
        <v>21631</v>
      </c>
      <c r="E2595" s="130">
        <v>2692797</v>
      </c>
      <c r="F2595" t="s">
        <v>87</v>
      </c>
      <c r="G2595">
        <v>76</v>
      </c>
      <c r="H2595" t="s">
        <v>8952</v>
      </c>
      <c r="I2595" s="130">
        <v>18</v>
      </c>
      <c r="J2595" t="s">
        <v>4219</v>
      </c>
      <c r="K2595" t="s">
        <v>108</v>
      </c>
      <c r="L2595" t="s">
        <v>123</v>
      </c>
      <c r="M2595" t="s">
        <v>103</v>
      </c>
      <c r="N2595" t="s">
        <v>98</v>
      </c>
      <c r="O2595" t="s">
        <v>116</v>
      </c>
    </row>
    <row r="2596" spans="1:15" x14ac:dyDescent="0.3">
      <c r="A2596" s="130">
        <v>14265</v>
      </c>
      <c r="B2596" s="130">
        <v>20</v>
      </c>
      <c r="C2596" s="130" t="s">
        <v>4220</v>
      </c>
      <c r="D2596">
        <v>21632</v>
      </c>
      <c r="E2596" s="130">
        <v>4787989</v>
      </c>
      <c r="F2596" t="s">
        <v>87</v>
      </c>
      <c r="G2596">
        <v>76</v>
      </c>
      <c r="H2596" t="s">
        <v>8953</v>
      </c>
      <c r="I2596" s="130">
        <v>24</v>
      </c>
      <c r="J2596" t="s">
        <v>4220</v>
      </c>
      <c r="K2596" t="s">
        <v>108</v>
      </c>
      <c r="L2596" t="s">
        <v>191</v>
      </c>
      <c r="M2596" t="s">
        <v>148</v>
      </c>
      <c r="N2596" t="s">
        <v>98</v>
      </c>
      <c r="O2596" t="s">
        <v>1345</v>
      </c>
    </row>
    <row r="2597" spans="1:15" x14ac:dyDescent="0.3">
      <c r="A2597" s="130">
        <v>14269</v>
      </c>
      <c r="B2597" s="130">
        <v>18</v>
      </c>
      <c r="C2597" s="130" t="s">
        <v>4221</v>
      </c>
      <c r="D2597">
        <v>21638</v>
      </c>
      <c r="E2597" s="131">
        <v>19235340</v>
      </c>
      <c r="F2597" t="s">
        <v>87</v>
      </c>
      <c r="G2597">
        <v>358</v>
      </c>
      <c r="H2597" t="s">
        <v>8951</v>
      </c>
      <c r="I2597" s="130">
        <v>9</v>
      </c>
      <c r="J2597" t="s">
        <v>4221</v>
      </c>
      <c r="K2597" t="s">
        <v>95</v>
      </c>
      <c r="L2597" t="s">
        <v>105</v>
      </c>
      <c r="M2597" t="s">
        <v>112</v>
      </c>
      <c r="N2597" t="s">
        <v>98</v>
      </c>
      <c r="O2597" t="s">
        <v>1345</v>
      </c>
    </row>
    <row r="2598" spans="1:15" x14ac:dyDescent="0.3">
      <c r="A2598" s="130">
        <v>14292</v>
      </c>
      <c r="B2598" s="130">
        <v>90</v>
      </c>
      <c r="C2598" s="130" t="s">
        <v>4222</v>
      </c>
      <c r="D2598">
        <v>21634</v>
      </c>
      <c r="E2598" s="130">
        <v>60435351</v>
      </c>
      <c r="F2598" t="s">
        <v>87</v>
      </c>
      <c r="G2598">
        <v>76</v>
      </c>
      <c r="H2598" t="s">
        <v>8952</v>
      </c>
      <c r="I2598" s="130">
        <v>43</v>
      </c>
      <c r="J2598" t="s">
        <v>4222</v>
      </c>
      <c r="K2598" t="s">
        <v>95</v>
      </c>
      <c r="L2598" t="s">
        <v>1368</v>
      </c>
      <c r="M2598" t="s">
        <v>170</v>
      </c>
      <c r="N2598" t="s">
        <v>98</v>
      </c>
      <c r="O2598" t="s">
        <v>116</v>
      </c>
    </row>
    <row r="2599" spans="1:15" x14ac:dyDescent="0.3">
      <c r="A2599" s="130">
        <v>14297</v>
      </c>
      <c r="B2599" s="130">
        <v>30</v>
      </c>
      <c r="C2599" s="130" t="s">
        <v>4223</v>
      </c>
      <c r="D2599">
        <v>21671</v>
      </c>
      <c r="E2599" s="131">
        <v>45347392</v>
      </c>
      <c r="F2599" t="s">
        <v>87</v>
      </c>
      <c r="G2599">
        <v>76</v>
      </c>
      <c r="H2599" t="s">
        <v>8953</v>
      </c>
      <c r="I2599" s="131">
        <v>3</v>
      </c>
      <c r="J2599" t="s">
        <v>4223</v>
      </c>
      <c r="K2599" t="s">
        <v>108</v>
      </c>
      <c r="L2599" t="s">
        <v>111</v>
      </c>
      <c r="M2599" t="s">
        <v>103</v>
      </c>
      <c r="N2599" t="s">
        <v>98</v>
      </c>
      <c r="O2599" t="s">
        <v>116</v>
      </c>
    </row>
    <row r="2600" spans="1:15" x14ac:dyDescent="0.3">
      <c r="A2600" s="130">
        <v>14304</v>
      </c>
      <c r="B2600" s="130">
        <v>30</v>
      </c>
      <c r="C2600" s="130" t="s">
        <v>4224</v>
      </c>
      <c r="D2600">
        <v>21678</v>
      </c>
      <c r="E2600" s="130">
        <v>88309620</v>
      </c>
      <c r="F2600" t="s">
        <v>87</v>
      </c>
      <c r="G2600">
        <v>76</v>
      </c>
      <c r="H2600" t="s">
        <v>8951</v>
      </c>
      <c r="I2600" s="130">
        <v>24</v>
      </c>
      <c r="J2600" t="s">
        <v>4224</v>
      </c>
      <c r="K2600" t="s">
        <v>108</v>
      </c>
      <c r="L2600" t="s">
        <v>241</v>
      </c>
      <c r="M2600" t="s">
        <v>103</v>
      </c>
      <c r="N2600" t="s">
        <v>114</v>
      </c>
      <c r="O2600" t="s">
        <v>116</v>
      </c>
    </row>
    <row r="2601" spans="1:15" x14ac:dyDescent="0.3">
      <c r="A2601" s="130">
        <v>14308</v>
      </c>
      <c r="B2601" s="130">
        <v>18</v>
      </c>
      <c r="C2601" s="130" t="s">
        <v>4225</v>
      </c>
      <c r="D2601">
        <v>21682</v>
      </c>
      <c r="E2601" s="130">
        <v>21296114</v>
      </c>
      <c r="F2601" t="s">
        <v>87</v>
      </c>
      <c r="G2601">
        <v>76</v>
      </c>
      <c r="H2601" t="s">
        <v>8952</v>
      </c>
      <c r="I2601" s="131">
        <v>3</v>
      </c>
      <c r="J2601" t="s">
        <v>4225</v>
      </c>
      <c r="K2601" t="s">
        <v>95</v>
      </c>
      <c r="L2601" t="s">
        <v>111</v>
      </c>
      <c r="M2601" t="s">
        <v>112</v>
      </c>
      <c r="N2601" t="s">
        <v>132</v>
      </c>
      <c r="O2601" t="s">
        <v>1345</v>
      </c>
    </row>
    <row r="2602" spans="1:15" x14ac:dyDescent="0.3">
      <c r="A2602" s="130">
        <v>14316</v>
      </c>
      <c r="B2602" s="130">
        <v>30</v>
      </c>
      <c r="C2602" s="130" t="s">
        <v>4226</v>
      </c>
      <c r="D2602">
        <v>21698</v>
      </c>
      <c r="E2602" s="130">
        <v>18593815</v>
      </c>
      <c r="F2602" t="s">
        <v>87</v>
      </c>
      <c r="G2602">
        <v>76</v>
      </c>
      <c r="H2602" t="s">
        <v>8953</v>
      </c>
      <c r="I2602" s="130">
        <v>43</v>
      </c>
      <c r="J2602" t="s">
        <v>4226</v>
      </c>
      <c r="K2602" t="s">
        <v>108</v>
      </c>
      <c r="L2602" t="s">
        <v>173</v>
      </c>
      <c r="M2602" t="s">
        <v>103</v>
      </c>
      <c r="N2602" t="s">
        <v>98</v>
      </c>
      <c r="O2602" t="s">
        <v>1345</v>
      </c>
    </row>
    <row r="2603" spans="1:15" x14ac:dyDescent="0.3">
      <c r="A2603" s="130">
        <v>14323</v>
      </c>
      <c r="B2603" s="130">
        <v>30</v>
      </c>
      <c r="C2603" s="130" t="s">
        <v>4227</v>
      </c>
      <c r="D2603">
        <v>21709</v>
      </c>
      <c r="E2603" s="130">
        <v>20895965</v>
      </c>
      <c r="F2603" t="s">
        <v>87</v>
      </c>
      <c r="G2603">
        <v>76</v>
      </c>
      <c r="H2603" t="s">
        <v>8951</v>
      </c>
      <c r="I2603" s="131">
        <v>3</v>
      </c>
      <c r="J2603" t="s">
        <v>4227</v>
      </c>
      <c r="K2603" t="s">
        <v>95</v>
      </c>
      <c r="L2603" t="s">
        <v>111</v>
      </c>
      <c r="M2603" t="s">
        <v>103</v>
      </c>
      <c r="N2603" t="s">
        <v>98</v>
      </c>
      <c r="O2603" t="s">
        <v>1345</v>
      </c>
    </row>
    <row r="2604" spans="1:15" x14ac:dyDescent="0.3">
      <c r="A2604" s="130">
        <v>14337</v>
      </c>
      <c r="B2604" s="130">
        <v>30</v>
      </c>
      <c r="C2604" s="130" t="s">
        <v>4228</v>
      </c>
      <c r="D2604">
        <v>21728</v>
      </c>
      <c r="E2604" s="130">
        <v>27786322</v>
      </c>
      <c r="F2604" t="s">
        <v>87</v>
      </c>
      <c r="G2604">
        <v>76</v>
      </c>
      <c r="H2604" t="s">
        <v>8952</v>
      </c>
      <c r="I2604" s="130">
        <v>19</v>
      </c>
      <c r="J2604" t="s">
        <v>4228</v>
      </c>
      <c r="K2604" t="s">
        <v>108</v>
      </c>
      <c r="L2604" t="s">
        <v>146</v>
      </c>
      <c r="M2604" t="s">
        <v>103</v>
      </c>
      <c r="N2604" t="s">
        <v>124</v>
      </c>
      <c r="O2604" t="s">
        <v>1345</v>
      </c>
    </row>
    <row r="2605" spans="1:15" x14ac:dyDescent="0.3">
      <c r="A2605" s="130">
        <v>14339</v>
      </c>
      <c r="B2605" s="130">
        <v>18</v>
      </c>
      <c r="C2605" s="130" t="s">
        <v>4229</v>
      </c>
      <c r="D2605">
        <v>21733</v>
      </c>
      <c r="E2605" s="130">
        <v>23559245</v>
      </c>
      <c r="F2605" t="s">
        <v>87</v>
      </c>
      <c r="G2605">
        <v>76</v>
      </c>
      <c r="H2605" t="s">
        <v>8953</v>
      </c>
      <c r="I2605" s="131">
        <v>37</v>
      </c>
      <c r="J2605" t="s">
        <v>4229</v>
      </c>
      <c r="K2605" t="s">
        <v>108</v>
      </c>
      <c r="L2605" t="s">
        <v>138</v>
      </c>
      <c r="M2605" t="s">
        <v>112</v>
      </c>
      <c r="N2605" t="s">
        <v>152</v>
      </c>
      <c r="O2605" t="s">
        <v>1345</v>
      </c>
    </row>
    <row r="2606" spans="1:15" x14ac:dyDescent="0.3">
      <c r="A2606" s="130">
        <v>14341</v>
      </c>
      <c r="B2606" s="130">
        <v>-1</v>
      </c>
      <c r="C2606" s="130" t="s">
        <v>4230</v>
      </c>
      <c r="D2606">
        <v>21734</v>
      </c>
      <c r="E2606" s="130">
        <v>11727356</v>
      </c>
      <c r="F2606" t="s">
        <v>87</v>
      </c>
      <c r="G2606">
        <v>76</v>
      </c>
      <c r="H2606" t="s">
        <v>8951</v>
      </c>
      <c r="I2606" s="131">
        <v>3</v>
      </c>
      <c r="J2606" t="s">
        <v>4230</v>
      </c>
      <c r="K2606" t="s">
        <v>108</v>
      </c>
      <c r="L2606" t="s">
        <v>111</v>
      </c>
      <c r="M2606" t="s">
        <v>174</v>
      </c>
      <c r="N2606" t="s">
        <v>98</v>
      </c>
      <c r="O2606" t="s">
        <v>1345</v>
      </c>
    </row>
    <row r="2607" spans="1:15" x14ac:dyDescent="0.3">
      <c r="A2607" s="130">
        <v>14351</v>
      </c>
      <c r="B2607" s="130">
        <v>18</v>
      </c>
      <c r="C2607" s="130" t="s">
        <v>4231</v>
      </c>
      <c r="D2607">
        <v>21745</v>
      </c>
      <c r="E2607" s="131">
        <v>29841654</v>
      </c>
      <c r="F2607" t="s">
        <v>87</v>
      </c>
      <c r="G2607">
        <v>76</v>
      </c>
      <c r="H2607" t="s">
        <v>8952</v>
      </c>
      <c r="I2607" s="131">
        <v>10</v>
      </c>
      <c r="J2607" t="s">
        <v>4231</v>
      </c>
      <c r="K2607" t="s">
        <v>108</v>
      </c>
      <c r="L2607" t="s">
        <v>127</v>
      </c>
      <c r="M2607" t="s">
        <v>112</v>
      </c>
      <c r="N2607" t="s">
        <v>118</v>
      </c>
      <c r="O2607" t="s">
        <v>1345</v>
      </c>
    </row>
    <row r="2608" spans="1:15" x14ac:dyDescent="0.3">
      <c r="A2608" s="130">
        <v>14355</v>
      </c>
      <c r="B2608" s="130">
        <v>30</v>
      </c>
      <c r="C2608" s="130" t="s">
        <v>4232</v>
      </c>
      <c r="D2608">
        <v>21751</v>
      </c>
      <c r="E2608" s="130">
        <v>17185786</v>
      </c>
      <c r="F2608" t="s">
        <v>87</v>
      </c>
      <c r="G2608">
        <v>358</v>
      </c>
      <c r="H2608" t="s">
        <v>8953</v>
      </c>
      <c r="I2608" s="130">
        <v>10</v>
      </c>
      <c r="J2608" t="s">
        <v>4232</v>
      </c>
      <c r="K2608" t="s">
        <v>95</v>
      </c>
      <c r="L2608" t="s">
        <v>105</v>
      </c>
      <c r="M2608" t="s">
        <v>103</v>
      </c>
      <c r="N2608" t="s">
        <v>98</v>
      </c>
      <c r="O2608" t="s">
        <v>116</v>
      </c>
    </row>
    <row r="2609" spans="1:15" x14ac:dyDescent="0.3">
      <c r="A2609" s="130">
        <v>14356</v>
      </c>
      <c r="B2609" s="131">
        <v>30</v>
      </c>
      <c r="C2609" s="130" t="s">
        <v>4233</v>
      </c>
      <c r="D2609">
        <v>21426</v>
      </c>
      <c r="E2609" s="130">
        <v>26437914</v>
      </c>
      <c r="F2609" t="s">
        <v>113</v>
      </c>
      <c r="G2609">
        <v>76</v>
      </c>
      <c r="H2609" t="s">
        <v>8951</v>
      </c>
      <c r="I2609" s="130">
        <v>18</v>
      </c>
      <c r="J2609" t="s">
        <v>4233</v>
      </c>
      <c r="K2609" t="s">
        <v>95</v>
      </c>
      <c r="L2609" t="s">
        <v>153</v>
      </c>
      <c r="M2609" t="s">
        <v>103</v>
      </c>
      <c r="N2609" t="s">
        <v>216</v>
      </c>
      <c r="O2609" t="s">
        <v>1256</v>
      </c>
    </row>
    <row r="2610" spans="1:15" x14ac:dyDescent="0.3">
      <c r="A2610" s="130">
        <v>14358</v>
      </c>
      <c r="B2610" s="130" t="s">
        <v>227</v>
      </c>
      <c r="C2610" s="130" t="s">
        <v>4234</v>
      </c>
      <c r="D2610">
        <v>21756</v>
      </c>
      <c r="E2610" s="130">
        <v>18127274</v>
      </c>
      <c r="F2610" t="s">
        <v>87</v>
      </c>
      <c r="G2610">
        <v>76</v>
      </c>
      <c r="H2610" t="s">
        <v>8952</v>
      </c>
      <c r="I2610" s="130">
        <v>3</v>
      </c>
      <c r="J2610" t="s">
        <v>4234</v>
      </c>
      <c r="K2610" t="s">
        <v>108</v>
      </c>
      <c r="L2610" t="s">
        <v>102</v>
      </c>
      <c r="M2610" t="s">
        <v>228</v>
      </c>
      <c r="N2610" t="s">
        <v>152</v>
      </c>
      <c r="O2610" t="s">
        <v>1345</v>
      </c>
    </row>
    <row r="2611" spans="1:15" x14ac:dyDescent="0.3">
      <c r="A2611" s="130">
        <v>14376</v>
      </c>
      <c r="B2611" s="130">
        <v>30</v>
      </c>
      <c r="C2611" s="130" t="s">
        <v>4235</v>
      </c>
      <c r="D2611">
        <v>21783</v>
      </c>
      <c r="E2611" s="131">
        <v>17227422</v>
      </c>
      <c r="F2611" t="s">
        <v>87</v>
      </c>
      <c r="G2611">
        <v>77</v>
      </c>
      <c r="H2611" t="s">
        <v>8953</v>
      </c>
      <c r="I2611" s="131">
        <v>3</v>
      </c>
      <c r="J2611" t="s">
        <v>4235</v>
      </c>
      <c r="K2611" t="s">
        <v>95</v>
      </c>
      <c r="L2611" t="s">
        <v>235</v>
      </c>
      <c r="M2611" t="s">
        <v>103</v>
      </c>
      <c r="N2611" t="s">
        <v>118</v>
      </c>
      <c r="O2611" t="s">
        <v>116</v>
      </c>
    </row>
    <row r="2612" spans="1:15" x14ac:dyDescent="0.3">
      <c r="A2612" s="130">
        <v>14379</v>
      </c>
      <c r="B2612" s="131">
        <v>30</v>
      </c>
      <c r="C2612" s="130" t="s">
        <v>4236</v>
      </c>
      <c r="D2612">
        <v>21787</v>
      </c>
      <c r="E2612" s="130">
        <v>48546859</v>
      </c>
      <c r="F2612" t="s">
        <v>87</v>
      </c>
      <c r="G2612">
        <v>76</v>
      </c>
      <c r="H2612" t="s">
        <v>8951</v>
      </c>
      <c r="I2612" s="130">
        <v>10</v>
      </c>
      <c r="J2612" t="s">
        <v>4236</v>
      </c>
      <c r="K2612" t="s">
        <v>95</v>
      </c>
      <c r="L2612" t="s">
        <v>127</v>
      </c>
      <c r="M2612" t="s">
        <v>103</v>
      </c>
      <c r="N2612" t="s">
        <v>118</v>
      </c>
      <c r="O2612" t="s">
        <v>1345</v>
      </c>
    </row>
    <row r="2613" spans="1:15" x14ac:dyDescent="0.3">
      <c r="A2613" s="130">
        <v>14382</v>
      </c>
      <c r="B2613" s="130">
        <v>30</v>
      </c>
      <c r="C2613" s="130" t="s">
        <v>4237</v>
      </c>
      <c r="D2613">
        <v>21799</v>
      </c>
      <c r="E2613" s="130">
        <v>2265872</v>
      </c>
      <c r="F2613" t="s">
        <v>87</v>
      </c>
      <c r="G2613">
        <v>76</v>
      </c>
      <c r="H2613" t="s">
        <v>8952</v>
      </c>
      <c r="I2613" s="130">
        <v>3</v>
      </c>
      <c r="J2613" t="s">
        <v>4237</v>
      </c>
      <c r="K2613" t="s">
        <v>95</v>
      </c>
      <c r="L2613" t="s">
        <v>111</v>
      </c>
      <c r="M2613" t="s">
        <v>103</v>
      </c>
      <c r="N2613" t="s">
        <v>98</v>
      </c>
      <c r="O2613" t="s">
        <v>116</v>
      </c>
    </row>
    <row r="2614" spans="1:15" x14ac:dyDescent="0.3">
      <c r="A2614" s="130">
        <v>14388</v>
      </c>
      <c r="B2614" s="130">
        <v>18</v>
      </c>
      <c r="C2614" s="130" t="s">
        <v>4238</v>
      </c>
      <c r="D2614">
        <v>21804</v>
      </c>
      <c r="E2614" s="130">
        <v>8962213</v>
      </c>
      <c r="F2614" t="s">
        <v>87</v>
      </c>
      <c r="G2614">
        <v>76</v>
      </c>
      <c r="H2614" t="s">
        <v>8953</v>
      </c>
      <c r="I2614" s="130">
        <v>10</v>
      </c>
      <c r="J2614" t="s">
        <v>4238</v>
      </c>
      <c r="K2614" t="s">
        <v>108</v>
      </c>
      <c r="L2614" t="s">
        <v>127</v>
      </c>
      <c r="M2614" t="s">
        <v>112</v>
      </c>
      <c r="N2614" t="s">
        <v>118</v>
      </c>
      <c r="O2614" t="s">
        <v>116</v>
      </c>
    </row>
    <row r="2615" spans="1:15" x14ac:dyDescent="0.3">
      <c r="A2615" s="130">
        <v>14398</v>
      </c>
      <c r="B2615" s="130">
        <v>90</v>
      </c>
      <c r="C2615" s="130" t="s">
        <v>4239</v>
      </c>
      <c r="D2615">
        <v>21819</v>
      </c>
      <c r="E2615" s="130">
        <v>655209</v>
      </c>
      <c r="F2615" t="s">
        <v>87</v>
      </c>
      <c r="G2615">
        <v>76</v>
      </c>
      <c r="H2615" t="s">
        <v>8951</v>
      </c>
      <c r="I2615" s="130">
        <v>9</v>
      </c>
      <c r="J2615" t="s">
        <v>4239</v>
      </c>
      <c r="K2615" t="s">
        <v>95</v>
      </c>
      <c r="L2615" t="s">
        <v>181</v>
      </c>
      <c r="M2615" t="s">
        <v>170</v>
      </c>
      <c r="N2615" t="s">
        <v>114</v>
      </c>
      <c r="O2615" t="s">
        <v>116</v>
      </c>
    </row>
    <row r="2616" spans="1:15" x14ac:dyDescent="0.3">
      <c r="A2616" s="130">
        <v>14400</v>
      </c>
      <c r="B2616" s="130">
        <v>0</v>
      </c>
      <c r="C2616" s="130" t="s">
        <v>4240</v>
      </c>
      <c r="D2616">
        <v>21822</v>
      </c>
      <c r="E2616" s="130">
        <v>29128731</v>
      </c>
      <c r="F2616" t="s">
        <v>87</v>
      </c>
      <c r="G2616">
        <v>76</v>
      </c>
      <c r="H2616" t="s">
        <v>8952</v>
      </c>
      <c r="I2616" s="130">
        <v>19</v>
      </c>
      <c r="J2616" t="s">
        <v>4240</v>
      </c>
      <c r="K2616" t="s">
        <v>108</v>
      </c>
      <c r="L2616" t="s">
        <v>146</v>
      </c>
      <c r="M2616" t="s">
        <v>100</v>
      </c>
      <c r="N2616" t="s">
        <v>152</v>
      </c>
      <c r="O2616" t="s">
        <v>1345</v>
      </c>
    </row>
    <row r="2617" spans="1:15" x14ac:dyDescent="0.3">
      <c r="A2617" s="130">
        <v>14413</v>
      </c>
      <c r="B2617" s="130">
        <v>30</v>
      </c>
      <c r="C2617" s="130" t="s">
        <v>4241</v>
      </c>
      <c r="D2617">
        <v>21839</v>
      </c>
      <c r="E2617" s="130">
        <v>15151317</v>
      </c>
      <c r="F2617" t="s">
        <v>87</v>
      </c>
      <c r="G2617">
        <v>76</v>
      </c>
      <c r="H2617" t="s">
        <v>8953</v>
      </c>
      <c r="I2617" s="131">
        <v>19</v>
      </c>
      <c r="J2617" t="s">
        <v>4241</v>
      </c>
      <c r="K2617" t="s">
        <v>108</v>
      </c>
      <c r="L2617" t="s">
        <v>146</v>
      </c>
      <c r="M2617" t="s">
        <v>103</v>
      </c>
      <c r="N2617" t="s">
        <v>98</v>
      </c>
      <c r="O2617" t="s">
        <v>116</v>
      </c>
    </row>
    <row r="2618" spans="1:15" x14ac:dyDescent="0.3">
      <c r="A2618" s="130">
        <v>14416</v>
      </c>
      <c r="B2618" s="130">
        <v>30</v>
      </c>
      <c r="C2618" s="130" t="s">
        <v>4242</v>
      </c>
      <c r="D2618">
        <v>21843</v>
      </c>
      <c r="E2618" s="130">
        <v>20701875</v>
      </c>
      <c r="F2618" t="s">
        <v>87</v>
      </c>
      <c r="G2618">
        <v>76</v>
      </c>
      <c r="H2618" t="s">
        <v>8951</v>
      </c>
      <c r="I2618" s="130">
        <v>19</v>
      </c>
      <c r="J2618" t="s">
        <v>4242</v>
      </c>
      <c r="K2618" t="s">
        <v>108</v>
      </c>
      <c r="L2618" t="s">
        <v>146</v>
      </c>
      <c r="M2618" t="s">
        <v>103</v>
      </c>
      <c r="N2618" t="s">
        <v>98</v>
      </c>
      <c r="O2618" t="s">
        <v>1345</v>
      </c>
    </row>
    <row r="2619" spans="1:15" x14ac:dyDescent="0.3">
      <c r="A2619" s="130">
        <v>14422</v>
      </c>
      <c r="B2619" s="130">
        <v>30</v>
      </c>
      <c r="C2619" s="130" t="s">
        <v>4243</v>
      </c>
      <c r="D2619">
        <v>21856</v>
      </c>
      <c r="E2619" s="130">
        <v>5848387</v>
      </c>
      <c r="F2619" t="s">
        <v>87</v>
      </c>
      <c r="G2619">
        <v>77</v>
      </c>
      <c r="H2619" t="s">
        <v>8952</v>
      </c>
      <c r="I2619" s="130">
        <v>10</v>
      </c>
      <c r="J2619" t="s">
        <v>4243</v>
      </c>
      <c r="K2619" t="s">
        <v>95</v>
      </c>
      <c r="L2619" t="s">
        <v>117</v>
      </c>
      <c r="M2619" t="s">
        <v>103</v>
      </c>
      <c r="N2619" t="s">
        <v>104</v>
      </c>
      <c r="O2619" t="s">
        <v>116</v>
      </c>
    </row>
    <row r="2620" spans="1:15" x14ac:dyDescent="0.3">
      <c r="A2620" s="130">
        <v>14430</v>
      </c>
      <c r="B2620" s="130">
        <v>18</v>
      </c>
      <c r="C2620" s="130" t="s">
        <v>4244</v>
      </c>
      <c r="D2620">
        <v>21865</v>
      </c>
      <c r="E2620" s="130">
        <v>9625762</v>
      </c>
      <c r="F2620" t="s">
        <v>87</v>
      </c>
      <c r="G2620">
        <v>76</v>
      </c>
      <c r="H2620" t="s">
        <v>8953</v>
      </c>
      <c r="I2620" s="130">
        <v>43</v>
      </c>
      <c r="J2620" t="s">
        <v>4244</v>
      </c>
      <c r="K2620" t="s">
        <v>95</v>
      </c>
      <c r="L2620" t="s">
        <v>111</v>
      </c>
      <c r="M2620" t="s">
        <v>112</v>
      </c>
      <c r="N2620" t="s">
        <v>150</v>
      </c>
      <c r="O2620" t="s">
        <v>116</v>
      </c>
    </row>
    <row r="2621" spans="1:15" x14ac:dyDescent="0.3">
      <c r="A2621" s="130">
        <v>14437</v>
      </c>
      <c r="B2621" s="130">
        <v>18</v>
      </c>
      <c r="C2621" s="130" t="s">
        <v>4245</v>
      </c>
      <c r="D2621">
        <v>21879</v>
      </c>
      <c r="E2621" s="130">
        <v>48662175</v>
      </c>
      <c r="F2621" t="s">
        <v>87</v>
      </c>
      <c r="G2621">
        <v>76</v>
      </c>
      <c r="H2621" t="s">
        <v>8951</v>
      </c>
      <c r="I2621" s="131">
        <v>37</v>
      </c>
      <c r="J2621" t="s">
        <v>4245</v>
      </c>
      <c r="K2621" t="s">
        <v>108</v>
      </c>
      <c r="L2621" t="s">
        <v>138</v>
      </c>
      <c r="M2621" t="s">
        <v>112</v>
      </c>
      <c r="N2621" t="s">
        <v>141</v>
      </c>
      <c r="O2621" t="s">
        <v>1345</v>
      </c>
    </row>
    <row r="2622" spans="1:15" x14ac:dyDescent="0.3">
      <c r="A2622" s="130">
        <v>14439</v>
      </c>
      <c r="B2622" s="130">
        <v>18</v>
      </c>
      <c r="C2622" s="130" t="s">
        <v>4246</v>
      </c>
      <c r="D2622">
        <v>21888</v>
      </c>
      <c r="E2622" s="130">
        <v>9622942</v>
      </c>
      <c r="F2622" t="s">
        <v>87</v>
      </c>
      <c r="G2622">
        <v>76</v>
      </c>
      <c r="H2622" t="s">
        <v>8952</v>
      </c>
      <c r="I2622" s="130">
        <v>37</v>
      </c>
      <c r="J2622" t="s">
        <v>4246</v>
      </c>
      <c r="K2622" t="s">
        <v>108</v>
      </c>
      <c r="L2622" t="s">
        <v>138</v>
      </c>
      <c r="M2622" t="s">
        <v>112</v>
      </c>
      <c r="N2622" t="s">
        <v>114</v>
      </c>
      <c r="O2622" t="s">
        <v>116</v>
      </c>
    </row>
    <row r="2623" spans="1:15" x14ac:dyDescent="0.3">
      <c r="A2623" s="130">
        <v>14452</v>
      </c>
      <c r="B2623" s="130">
        <v>18</v>
      </c>
      <c r="C2623" s="130" t="s">
        <v>4247</v>
      </c>
      <c r="D2623">
        <v>21908</v>
      </c>
      <c r="E2623" s="130">
        <v>8056030</v>
      </c>
      <c r="F2623" t="s">
        <v>87</v>
      </c>
      <c r="G2623">
        <v>76</v>
      </c>
      <c r="H2623" t="s">
        <v>8953</v>
      </c>
      <c r="I2623" s="130">
        <v>26</v>
      </c>
      <c r="J2623" t="s">
        <v>4247</v>
      </c>
      <c r="K2623" t="s">
        <v>95</v>
      </c>
      <c r="L2623" t="s">
        <v>151</v>
      </c>
      <c r="M2623" t="s">
        <v>112</v>
      </c>
      <c r="N2623" t="s">
        <v>169</v>
      </c>
      <c r="O2623" t="s">
        <v>116</v>
      </c>
    </row>
    <row r="2624" spans="1:15" x14ac:dyDescent="0.3">
      <c r="A2624" s="130">
        <v>14469</v>
      </c>
      <c r="B2624" s="130">
        <v>15</v>
      </c>
      <c r="C2624" s="130" t="s">
        <v>4248</v>
      </c>
      <c r="D2624">
        <v>21931</v>
      </c>
      <c r="E2624" s="130">
        <v>27702723</v>
      </c>
      <c r="F2624" t="s">
        <v>87</v>
      </c>
      <c r="G2624">
        <v>76</v>
      </c>
      <c r="H2624" t="s">
        <v>8951</v>
      </c>
      <c r="I2624" s="130">
        <v>19</v>
      </c>
      <c r="J2624" t="s">
        <v>4248</v>
      </c>
      <c r="K2624" t="s">
        <v>108</v>
      </c>
      <c r="L2624" t="s">
        <v>146</v>
      </c>
      <c r="M2624" t="s">
        <v>145</v>
      </c>
      <c r="N2624" t="s">
        <v>150</v>
      </c>
      <c r="O2624" t="s">
        <v>1345</v>
      </c>
    </row>
    <row r="2625" spans="1:15" x14ac:dyDescent="0.3">
      <c r="A2625" s="130">
        <v>14479</v>
      </c>
      <c r="B2625" s="130">
        <v>28</v>
      </c>
      <c r="C2625" s="130" t="s">
        <v>4249</v>
      </c>
      <c r="D2625">
        <v>21939</v>
      </c>
      <c r="E2625" s="130">
        <v>47404890</v>
      </c>
      <c r="F2625" t="s">
        <v>87</v>
      </c>
      <c r="G2625">
        <v>76</v>
      </c>
      <c r="H2625" t="s">
        <v>8952</v>
      </c>
      <c r="I2625" s="130">
        <v>37</v>
      </c>
      <c r="J2625" t="s">
        <v>4249</v>
      </c>
      <c r="K2625" t="s">
        <v>95</v>
      </c>
      <c r="L2625" t="s">
        <v>138</v>
      </c>
      <c r="M2625" t="s">
        <v>130</v>
      </c>
      <c r="N2625" t="s">
        <v>150</v>
      </c>
      <c r="O2625" t="s">
        <v>1345</v>
      </c>
    </row>
    <row r="2626" spans="1:15" x14ac:dyDescent="0.3">
      <c r="A2626" s="130">
        <v>14482</v>
      </c>
      <c r="B2626" s="130">
        <v>28</v>
      </c>
      <c r="C2626" s="130" t="s">
        <v>4250</v>
      </c>
      <c r="D2626">
        <v>21876</v>
      </c>
      <c r="E2626" s="130">
        <v>76033653</v>
      </c>
      <c r="F2626" t="s">
        <v>87</v>
      </c>
      <c r="G2626">
        <v>76</v>
      </c>
      <c r="H2626" t="s">
        <v>8953</v>
      </c>
      <c r="I2626" s="130">
        <v>43</v>
      </c>
      <c r="J2626" t="s">
        <v>4250</v>
      </c>
      <c r="K2626" t="s">
        <v>108</v>
      </c>
      <c r="L2626" t="s">
        <v>173</v>
      </c>
      <c r="M2626" t="s">
        <v>130</v>
      </c>
      <c r="N2626" t="s">
        <v>98</v>
      </c>
      <c r="O2626" t="s">
        <v>1345</v>
      </c>
    </row>
    <row r="2627" spans="1:15" x14ac:dyDescent="0.3">
      <c r="A2627" s="130">
        <v>14485</v>
      </c>
      <c r="B2627" s="130">
        <v>30</v>
      </c>
      <c r="C2627" s="130" t="s">
        <v>4251</v>
      </c>
      <c r="D2627">
        <v>21946</v>
      </c>
      <c r="E2627" s="130">
        <v>27786322</v>
      </c>
      <c r="F2627" t="s">
        <v>87</v>
      </c>
      <c r="G2627">
        <v>76</v>
      </c>
      <c r="H2627" t="s">
        <v>8951</v>
      </c>
      <c r="I2627" s="131">
        <v>19</v>
      </c>
      <c r="J2627" t="s">
        <v>4251</v>
      </c>
      <c r="K2627" t="s">
        <v>108</v>
      </c>
      <c r="L2627" t="s">
        <v>146</v>
      </c>
      <c r="M2627" t="s">
        <v>103</v>
      </c>
      <c r="N2627" t="s">
        <v>124</v>
      </c>
      <c r="O2627" t="s">
        <v>1345</v>
      </c>
    </row>
    <row r="2628" spans="1:15" x14ac:dyDescent="0.3">
      <c r="A2628" s="130">
        <v>14493</v>
      </c>
      <c r="B2628" s="130">
        <v>30</v>
      </c>
      <c r="C2628" s="130" t="s">
        <v>4252</v>
      </c>
      <c r="D2628">
        <v>21964</v>
      </c>
      <c r="E2628" s="130">
        <v>40262904</v>
      </c>
      <c r="F2628" t="s">
        <v>87</v>
      </c>
      <c r="G2628">
        <v>76</v>
      </c>
      <c r="H2628" t="s">
        <v>8952</v>
      </c>
      <c r="I2628" s="130">
        <v>18</v>
      </c>
      <c r="J2628" t="s">
        <v>4252</v>
      </c>
      <c r="K2628" t="s">
        <v>108</v>
      </c>
      <c r="L2628" t="s">
        <v>123</v>
      </c>
      <c r="M2628" t="s">
        <v>103</v>
      </c>
      <c r="N2628" t="s">
        <v>98</v>
      </c>
      <c r="O2628" t="s">
        <v>1345</v>
      </c>
    </row>
    <row r="2629" spans="1:15" x14ac:dyDescent="0.3">
      <c r="A2629" s="130">
        <v>14494</v>
      </c>
      <c r="B2629" s="130">
        <v>30</v>
      </c>
      <c r="C2629" s="130" t="s">
        <v>4253</v>
      </c>
      <c r="D2629">
        <v>21965</v>
      </c>
      <c r="E2629" s="130">
        <v>43248081</v>
      </c>
      <c r="F2629" t="s">
        <v>87</v>
      </c>
      <c r="G2629">
        <v>76</v>
      </c>
      <c r="H2629" t="s">
        <v>8953</v>
      </c>
      <c r="I2629" s="130">
        <v>18</v>
      </c>
      <c r="J2629" t="s">
        <v>4253</v>
      </c>
      <c r="K2629" t="s">
        <v>108</v>
      </c>
      <c r="L2629" t="s">
        <v>123</v>
      </c>
      <c r="M2629" t="s">
        <v>103</v>
      </c>
      <c r="N2629" t="s">
        <v>98</v>
      </c>
      <c r="O2629" t="s">
        <v>116</v>
      </c>
    </row>
    <row r="2630" spans="1:15" x14ac:dyDescent="0.3">
      <c r="A2630" s="130">
        <v>14499</v>
      </c>
      <c r="B2630" s="130">
        <v>18</v>
      </c>
      <c r="C2630" s="130" t="s">
        <v>4254</v>
      </c>
      <c r="D2630">
        <v>21971</v>
      </c>
      <c r="E2630" s="130">
        <v>23178641</v>
      </c>
      <c r="F2630" t="s">
        <v>87</v>
      </c>
      <c r="G2630">
        <v>76</v>
      </c>
      <c r="H2630" t="s">
        <v>8951</v>
      </c>
      <c r="I2630" s="130">
        <v>37</v>
      </c>
      <c r="J2630" t="s">
        <v>4254</v>
      </c>
      <c r="K2630" t="s">
        <v>108</v>
      </c>
      <c r="L2630" t="s">
        <v>138</v>
      </c>
      <c r="M2630" t="s">
        <v>112</v>
      </c>
      <c r="N2630" t="s">
        <v>101</v>
      </c>
      <c r="O2630" t="s">
        <v>116</v>
      </c>
    </row>
    <row r="2631" spans="1:15" x14ac:dyDescent="0.3">
      <c r="A2631" s="130">
        <v>14506</v>
      </c>
      <c r="B2631" s="130">
        <v>10</v>
      </c>
      <c r="C2631" s="130" t="s">
        <v>4255</v>
      </c>
      <c r="D2631">
        <v>21982</v>
      </c>
      <c r="E2631" s="130">
        <v>645535</v>
      </c>
      <c r="F2631" t="s">
        <v>87</v>
      </c>
      <c r="G2631">
        <v>76</v>
      </c>
      <c r="H2631" t="s">
        <v>8952</v>
      </c>
      <c r="I2631" s="130">
        <v>3</v>
      </c>
      <c r="J2631" t="s">
        <v>4255</v>
      </c>
      <c r="K2631" t="s">
        <v>108</v>
      </c>
      <c r="L2631" t="s">
        <v>111</v>
      </c>
      <c r="M2631" t="s">
        <v>133</v>
      </c>
      <c r="N2631" t="s">
        <v>98</v>
      </c>
      <c r="O2631" t="s">
        <v>116</v>
      </c>
    </row>
    <row r="2632" spans="1:15" x14ac:dyDescent="0.3">
      <c r="A2632" s="130">
        <v>14507</v>
      </c>
      <c r="B2632" s="130">
        <v>35</v>
      </c>
      <c r="C2632" s="130" t="s">
        <v>4256</v>
      </c>
      <c r="D2632">
        <v>21984</v>
      </c>
      <c r="E2632" s="130">
        <v>34692778</v>
      </c>
      <c r="F2632" t="s">
        <v>87</v>
      </c>
      <c r="G2632">
        <v>77</v>
      </c>
      <c r="H2632" t="s">
        <v>8953</v>
      </c>
      <c r="I2632" s="130">
        <v>18</v>
      </c>
      <c r="J2632" t="s">
        <v>4256</v>
      </c>
      <c r="K2632" t="s">
        <v>95</v>
      </c>
      <c r="L2632" t="s">
        <v>256</v>
      </c>
      <c r="M2632" t="s">
        <v>161</v>
      </c>
      <c r="N2632" t="s">
        <v>98</v>
      </c>
      <c r="O2632" t="s">
        <v>116</v>
      </c>
    </row>
    <row r="2633" spans="1:15" x14ac:dyDescent="0.3">
      <c r="A2633" s="130">
        <v>14509</v>
      </c>
      <c r="B2633" s="130">
        <v>30</v>
      </c>
      <c r="C2633" s="130" t="s">
        <v>4257</v>
      </c>
      <c r="D2633">
        <v>21991</v>
      </c>
      <c r="E2633" s="130">
        <v>17161936</v>
      </c>
      <c r="F2633" t="s">
        <v>87</v>
      </c>
      <c r="G2633">
        <v>76</v>
      </c>
      <c r="H2633" t="s">
        <v>8951</v>
      </c>
      <c r="I2633" s="130">
        <v>26</v>
      </c>
      <c r="J2633" t="s">
        <v>4257</v>
      </c>
      <c r="K2633" t="s">
        <v>108</v>
      </c>
      <c r="L2633" t="s">
        <v>151</v>
      </c>
      <c r="M2633" t="s">
        <v>103</v>
      </c>
      <c r="N2633" t="s">
        <v>114</v>
      </c>
      <c r="O2633" t="s">
        <v>1345</v>
      </c>
    </row>
    <row r="2634" spans="1:15" x14ac:dyDescent="0.3">
      <c r="A2634" s="130">
        <v>14513</v>
      </c>
      <c r="B2634" s="130">
        <v>30</v>
      </c>
      <c r="C2634" s="130" t="s">
        <v>4258</v>
      </c>
      <c r="D2634">
        <v>21997</v>
      </c>
      <c r="E2634" s="130">
        <v>46407766</v>
      </c>
      <c r="F2634" t="s">
        <v>87</v>
      </c>
      <c r="G2634">
        <v>76</v>
      </c>
      <c r="H2634" t="s">
        <v>8952</v>
      </c>
      <c r="I2634" s="130">
        <v>19</v>
      </c>
      <c r="J2634" t="s">
        <v>4258</v>
      </c>
      <c r="K2634" t="s">
        <v>108</v>
      </c>
      <c r="L2634" t="s">
        <v>146</v>
      </c>
      <c r="M2634" t="s">
        <v>103</v>
      </c>
      <c r="N2634" t="s">
        <v>150</v>
      </c>
      <c r="O2634" t="s">
        <v>116</v>
      </c>
    </row>
    <row r="2635" spans="1:15" x14ac:dyDescent="0.3">
      <c r="A2635" s="130">
        <v>14515</v>
      </c>
      <c r="B2635" s="130">
        <v>30</v>
      </c>
      <c r="C2635" s="130" t="s">
        <v>4259</v>
      </c>
      <c r="D2635">
        <v>22002</v>
      </c>
      <c r="E2635" s="131">
        <v>961821647</v>
      </c>
      <c r="F2635" t="s">
        <v>87</v>
      </c>
      <c r="G2635">
        <v>76</v>
      </c>
      <c r="H2635" t="s">
        <v>8953</v>
      </c>
      <c r="I2635" s="131">
        <v>3</v>
      </c>
      <c r="J2635" t="s">
        <v>4259</v>
      </c>
      <c r="K2635" t="s">
        <v>108</v>
      </c>
      <c r="L2635" t="s">
        <v>111</v>
      </c>
      <c r="M2635" t="s">
        <v>103</v>
      </c>
      <c r="N2635" t="s">
        <v>110</v>
      </c>
      <c r="O2635" t="s">
        <v>1345</v>
      </c>
    </row>
    <row r="2636" spans="1:15" x14ac:dyDescent="0.3">
      <c r="A2636" s="130">
        <v>14517</v>
      </c>
      <c r="B2636" s="130" t="s">
        <v>1370</v>
      </c>
      <c r="C2636" s="130" t="s">
        <v>4260</v>
      </c>
      <c r="D2636">
        <v>22009</v>
      </c>
      <c r="E2636" s="130">
        <v>13668556</v>
      </c>
      <c r="F2636" t="s">
        <v>87</v>
      </c>
      <c r="G2636">
        <v>76</v>
      </c>
      <c r="H2636" t="s">
        <v>8951</v>
      </c>
      <c r="I2636" s="130">
        <v>3</v>
      </c>
      <c r="J2636" t="s">
        <v>4260</v>
      </c>
      <c r="K2636" t="s">
        <v>108</v>
      </c>
      <c r="L2636" t="s">
        <v>1293</v>
      </c>
      <c r="M2636" t="s">
        <v>1371</v>
      </c>
      <c r="N2636" t="s">
        <v>98</v>
      </c>
      <c r="O2636" t="s">
        <v>1345</v>
      </c>
    </row>
    <row r="2637" spans="1:15" x14ac:dyDescent="0.3">
      <c r="A2637" s="130">
        <v>14520</v>
      </c>
      <c r="B2637" s="130">
        <v>30</v>
      </c>
      <c r="C2637" s="130" t="s">
        <v>4261</v>
      </c>
      <c r="D2637">
        <v>22014</v>
      </c>
      <c r="E2637" s="130">
        <v>28775179</v>
      </c>
      <c r="F2637" t="s">
        <v>87</v>
      </c>
      <c r="G2637">
        <v>76</v>
      </c>
      <c r="H2637" t="s">
        <v>8952</v>
      </c>
      <c r="I2637" s="130">
        <v>18</v>
      </c>
      <c r="J2637" t="s">
        <v>4261</v>
      </c>
      <c r="K2637" t="s">
        <v>108</v>
      </c>
      <c r="L2637" t="s">
        <v>123</v>
      </c>
      <c r="M2637" t="s">
        <v>103</v>
      </c>
      <c r="N2637" t="s">
        <v>101</v>
      </c>
      <c r="O2637" t="s">
        <v>116</v>
      </c>
    </row>
    <row r="2638" spans="1:15" x14ac:dyDescent="0.3">
      <c r="A2638" s="130">
        <v>14522</v>
      </c>
      <c r="B2638" s="130">
        <v>28</v>
      </c>
      <c r="C2638" s="130" t="s">
        <v>4262</v>
      </c>
      <c r="D2638">
        <v>22017</v>
      </c>
      <c r="E2638" s="131">
        <v>3534661</v>
      </c>
      <c r="F2638" t="s">
        <v>87</v>
      </c>
      <c r="G2638">
        <v>76</v>
      </c>
      <c r="H2638" t="s">
        <v>8953</v>
      </c>
      <c r="I2638" s="130">
        <v>43</v>
      </c>
      <c r="J2638" t="s">
        <v>4262</v>
      </c>
      <c r="K2638" t="s">
        <v>108</v>
      </c>
      <c r="L2638" t="s">
        <v>173</v>
      </c>
      <c r="M2638" t="s">
        <v>130</v>
      </c>
      <c r="N2638" t="s">
        <v>114</v>
      </c>
      <c r="O2638" t="s">
        <v>1345</v>
      </c>
    </row>
    <row r="2639" spans="1:15" x14ac:dyDescent="0.3">
      <c r="A2639" s="130">
        <v>14523</v>
      </c>
      <c r="B2639" s="130">
        <v>30</v>
      </c>
      <c r="C2639" s="130" t="s">
        <v>4263</v>
      </c>
      <c r="D2639">
        <v>22020</v>
      </c>
      <c r="E2639" s="130">
        <v>21097159</v>
      </c>
      <c r="F2639" t="s">
        <v>87</v>
      </c>
      <c r="G2639">
        <v>76</v>
      </c>
      <c r="H2639" t="s">
        <v>8951</v>
      </c>
      <c r="I2639" s="131">
        <v>18</v>
      </c>
      <c r="J2639" t="s">
        <v>4263</v>
      </c>
      <c r="K2639" t="s">
        <v>108</v>
      </c>
      <c r="L2639" t="s">
        <v>123</v>
      </c>
      <c r="M2639" t="s">
        <v>103</v>
      </c>
      <c r="N2639" t="s">
        <v>98</v>
      </c>
      <c r="O2639" t="s">
        <v>1345</v>
      </c>
    </row>
    <row r="2640" spans="1:15" x14ac:dyDescent="0.3">
      <c r="A2640" s="130">
        <v>14526</v>
      </c>
      <c r="B2640" s="130">
        <v>35</v>
      </c>
      <c r="C2640" s="130" t="s">
        <v>4264</v>
      </c>
      <c r="D2640">
        <v>21985</v>
      </c>
      <c r="E2640" s="131">
        <v>34692778</v>
      </c>
      <c r="F2640" t="s">
        <v>87</v>
      </c>
      <c r="G2640">
        <v>77</v>
      </c>
      <c r="H2640" t="s">
        <v>8952</v>
      </c>
      <c r="I2640" s="130">
        <v>18</v>
      </c>
      <c r="J2640" t="s">
        <v>4264</v>
      </c>
      <c r="K2640" t="s">
        <v>95</v>
      </c>
      <c r="L2640" t="s">
        <v>256</v>
      </c>
      <c r="M2640" t="s">
        <v>161</v>
      </c>
      <c r="N2640" t="s">
        <v>98</v>
      </c>
      <c r="O2640" t="s">
        <v>116</v>
      </c>
    </row>
    <row r="2641" spans="1:15" x14ac:dyDescent="0.3">
      <c r="A2641" s="130">
        <v>14529</v>
      </c>
      <c r="B2641" s="130">
        <v>30</v>
      </c>
      <c r="C2641" s="130" t="s">
        <v>4265</v>
      </c>
      <c r="D2641">
        <v>22026</v>
      </c>
      <c r="E2641" s="131">
        <v>10515785</v>
      </c>
      <c r="F2641" t="s">
        <v>87</v>
      </c>
      <c r="G2641">
        <v>76</v>
      </c>
      <c r="H2641" t="s">
        <v>8953</v>
      </c>
      <c r="I2641" s="130">
        <v>9</v>
      </c>
      <c r="J2641" t="s">
        <v>4265</v>
      </c>
      <c r="K2641" t="s">
        <v>108</v>
      </c>
      <c r="L2641" t="s">
        <v>1298</v>
      </c>
      <c r="M2641" t="s">
        <v>103</v>
      </c>
      <c r="N2641" t="s">
        <v>141</v>
      </c>
      <c r="O2641" t="s">
        <v>116</v>
      </c>
    </row>
    <row r="2642" spans="1:15" x14ac:dyDescent="0.3">
      <c r="A2642" s="130">
        <v>14531</v>
      </c>
      <c r="B2642" s="130">
        <v>30</v>
      </c>
      <c r="C2642" s="130" t="s">
        <v>4266</v>
      </c>
      <c r="D2642">
        <v>22030</v>
      </c>
      <c r="E2642" s="130">
        <v>48691073</v>
      </c>
      <c r="F2642" t="s">
        <v>87</v>
      </c>
      <c r="G2642">
        <v>76</v>
      </c>
      <c r="H2642" t="s">
        <v>8951</v>
      </c>
      <c r="I2642" s="130">
        <v>19</v>
      </c>
      <c r="J2642" t="s">
        <v>4266</v>
      </c>
      <c r="K2642" t="s">
        <v>108</v>
      </c>
      <c r="L2642" t="s">
        <v>146</v>
      </c>
      <c r="M2642" t="s">
        <v>103</v>
      </c>
      <c r="N2642" t="s">
        <v>98</v>
      </c>
      <c r="O2642" t="s">
        <v>116</v>
      </c>
    </row>
    <row r="2643" spans="1:15" x14ac:dyDescent="0.3">
      <c r="A2643" s="130">
        <v>14532</v>
      </c>
      <c r="B2643" s="130">
        <v>30</v>
      </c>
      <c r="C2643" s="130" t="s">
        <v>4267</v>
      </c>
      <c r="D2643">
        <v>22031</v>
      </c>
      <c r="E2643" s="130">
        <v>15151317</v>
      </c>
      <c r="F2643" t="s">
        <v>87</v>
      </c>
      <c r="G2643">
        <v>76</v>
      </c>
      <c r="H2643" t="s">
        <v>8952</v>
      </c>
      <c r="I2643" s="130">
        <v>19</v>
      </c>
      <c r="J2643" t="s">
        <v>4267</v>
      </c>
      <c r="K2643" t="s">
        <v>108</v>
      </c>
      <c r="L2643" t="s">
        <v>146</v>
      </c>
      <c r="M2643" t="s">
        <v>103</v>
      </c>
      <c r="N2643" t="s">
        <v>98</v>
      </c>
      <c r="O2643" t="s">
        <v>1345</v>
      </c>
    </row>
    <row r="2644" spans="1:15" x14ac:dyDescent="0.3">
      <c r="A2644" s="130">
        <v>14533</v>
      </c>
      <c r="B2644" s="130">
        <v>60</v>
      </c>
      <c r="C2644" s="130" t="s">
        <v>4268</v>
      </c>
      <c r="D2644">
        <v>22032</v>
      </c>
      <c r="E2644" s="131">
        <v>9625762</v>
      </c>
      <c r="F2644" t="s">
        <v>87</v>
      </c>
      <c r="G2644">
        <v>76</v>
      </c>
      <c r="H2644" t="s">
        <v>8953</v>
      </c>
      <c r="I2644" s="130">
        <v>19</v>
      </c>
      <c r="J2644" t="s">
        <v>4268</v>
      </c>
      <c r="K2644" t="s">
        <v>95</v>
      </c>
      <c r="L2644" t="s">
        <v>111</v>
      </c>
      <c r="M2644" t="s">
        <v>97</v>
      </c>
      <c r="N2644" t="s">
        <v>150</v>
      </c>
      <c r="O2644" t="s">
        <v>116</v>
      </c>
    </row>
    <row r="2645" spans="1:15" x14ac:dyDescent="0.3">
      <c r="A2645" s="130">
        <v>14534</v>
      </c>
      <c r="B2645" s="130">
        <v>60</v>
      </c>
      <c r="C2645" s="130" t="s">
        <v>4269</v>
      </c>
      <c r="D2645">
        <v>22033</v>
      </c>
      <c r="E2645" s="130">
        <v>3684669</v>
      </c>
      <c r="F2645" t="s">
        <v>87</v>
      </c>
      <c r="G2645">
        <v>76</v>
      </c>
      <c r="H2645" t="s">
        <v>8951</v>
      </c>
      <c r="I2645" s="130">
        <v>38</v>
      </c>
      <c r="J2645" t="s">
        <v>4269</v>
      </c>
      <c r="K2645" t="s">
        <v>95</v>
      </c>
      <c r="L2645" t="s">
        <v>126</v>
      </c>
      <c r="M2645" t="s">
        <v>97</v>
      </c>
      <c r="N2645" t="s">
        <v>98</v>
      </c>
      <c r="O2645" t="s">
        <v>116</v>
      </c>
    </row>
    <row r="2646" spans="1:15" x14ac:dyDescent="0.3">
      <c r="A2646" s="130">
        <v>14545</v>
      </c>
      <c r="B2646" s="130">
        <v>30</v>
      </c>
      <c r="C2646" s="130" t="s">
        <v>4270</v>
      </c>
      <c r="D2646">
        <v>22045</v>
      </c>
      <c r="E2646" s="130">
        <v>12049631</v>
      </c>
      <c r="F2646" t="s">
        <v>87</v>
      </c>
      <c r="G2646">
        <v>76</v>
      </c>
      <c r="H2646" t="s">
        <v>8952</v>
      </c>
      <c r="I2646" s="130">
        <v>19</v>
      </c>
      <c r="J2646" t="s">
        <v>4270</v>
      </c>
      <c r="K2646" t="s">
        <v>108</v>
      </c>
      <c r="L2646" t="s">
        <v>146</v>
      </c>
      <c r="M2646" t="s">
        <v>103</v>
      </c>
      <c r="N2646" t="s">
        <v>98</v>
      </c>
      <c r="O2646" t="s">
        <v>116</v>
      </c>
    </row>
    <row r="2647" spans="1:15" x14ac:dyDescent="0.3">
      <c r="A2647" s="130">
        <v>14554</v>
      </c>
      <c r="B2647" s="130">
        <v>10</v>
      </c>
      <c r="C2647" s="130" t="s">
        <v>4271</v>
      </c>
      <c r="D2647">
        <v>22054</v>
      </c>
      <c r="E2647" s="130">
        <v>31096307</v>
      </c>
      <c r="F2647" t="s">
        <v>87</v>
      </c>
      <c r="G2647">
        <v>358</v>
      </c>
      <c r="H2647" t="s">
        <v>8953</v>
      </c>
      <c r="I2647" s="130">
        <v>10</v>
      </c>
      <c r="J2647" t="s">
        <v>4271</v>
      </c>
      <c r="K2647" t="s">
        <v>108</v>
      </c>
      <c r="L2647" t="s">
        <v>105</v>
      </c>
      <c r="M2647" t="s">
        <v>133</v>
      </c>
      <c r="N2647" t="s">
        <v>98</v>
      </c>
      <c r="O2647" t="s">
        <v>1345</v>
      </c>
    </row>
    <row r="2648" spans="1:15" x14ac:dyDescent="0.3">
      <c r="A2648" s="130">
        <v>14555</v>
      </c>
      <c r="B2648" s="130">
        <v>30</v>
      </c>
      <c r="C2648" s="130" t="s">
        <v>4272</v>
      </c>
      <c r="D2648">
        <v>22055</v>
      </c>
      <c r="E2648" s="130">
        <v>19235340</v>
      </c>
      <c r="F2648" t="s">
        <v>87</v>
      </c>
      <c r="G2648">
        <v>76</v>
      </c>
      <c r="H2648" t="s">
        <v>8951</v>
      </c>
      <c r="I2648" s="131">
        <v>3</v>
      </c>
      <c r="J2648" t="s">
        <v>4272</v>
      </c>
      <c r="K2648" t="s">
        <v>108</v>
      </c>
      <c r="L2648" t="s">
        <v>111</v>
      </c>
      <c r="M2648" t="s">
        <v>103</v>
      </c>
      <c r="N2648" t="s">
        <v>98</v>
      </c>
      <c r="O2648" t="s">
        <v>116</v>
      </c>
    </row>
    <row r="2649" spans="1:15" x14ac:dyDescent="0.3">
      <c r="A2649" s="130">
        <v>14558</v>
      </c>
      <c r="B2649" s="130">
        <v>90</v>
      </c>
      <c r="C2649" s="130" t="s">
        <v>4273</v>
      </c>
      <c r="D2649">
        <v>22060</v>
      </c>
      <c r="E2649" s="131">
        <v>655209</v>
      </c>
      <c r="F2649" t="s">
        <v>87</v>
      </c>
      <c r="G2649">
        <v>76</v>
      </c>
      <c r="H2649" t="s">
        <v>8952</v>
      </c>
      <c r="I2649" s="131">
        <v>9</v>
      </c>
      <c r="J2649" t="s">
        <v>4273</v>
      </c>
      <c r="K2649" t="s">
        <v>95</v>
      </c>
      <c r="L2649" t="s">
        <v>181</v>
      </c>
      <c r="M2649" t="s">
        <v>170</v>
      </c>
      <c r="N2649" t="s">
        <v>114</v>
      </c>
      <c r="O2649" t="s">
        <v>116</v>
      </c>
    </row>
    <row r="2650" spans="1:15" x14ac:dyDescent="0.3">
      <c r="A2650" s="130">
        <v>14570</v>
      </c>
      <c r="B2650" s="130">
        <v>90</v>
      </c>
      <c r="C2650" s="130" t="s">
        <v>4274</v>
      </c>
      <c r="D2650">
        <v>22076</v>
      </c>
      <c r="E2650" s="130">
        <v>35234509</v>
      </c>
      <c r="F2650" t="s">
        <v>87</v>
      </c>
      <c r="G2650">
        <v>76</v>
      </c>
      <c r="H2650" t="s">
        <v>8953</v>
      </c>
      <c r="I2650" s="130">
        <v>24</v>
      </c>
      <c r="J2650" t="s">
        <v>4274</v>
      </c>
      <c r="K2650" t="s">
        <v>95</v>
      </c>
      <c r="L2650" t="s">
        <v>102</v>
      </c>
      <c r="M2650" t="s">
        <v>170</v>
      </c>
      <c r="N2650" t="s">
        <v>98</v>
      </c>
      <c r="O2650" t="s">
        <v>1345</v>
      </c>
    </row>
    <row r="2651" spans="1:15" x14ac:dyDescent="0.3">
      <c r="A2651" s="130">
        <v>14586</v>
      </c>
      <c r="B2651" s="130">
        <v>-1</v>
      </c>
      <c r="C2651" s="130" t="s">
        <v>4275</v>
      </c>
      <c r="D2651">
        <v>22103</v>
      </c>
      <c r="E2651" s="130">
        <v>12569184</v>
      </c>
      <c r="F2651" t="s">
        <v>87</v>
      </c>
      <c r="G2651">
        <v>9135</v>
      </c>
      <c r="H2651" t="s">
        <v>8951</v>
      </c>
      <c r="I2651" s="131">
        <v>24</v>
      </c>
      <c r="J2651" t="s">
        <v>4275</v>
      </c>
      <c r="K2651" t="s">
        <v>108</v>
      </c>
      <c r="L2651" t="s">
        <v>191</v>
      </c>
      <c r="M2651" t="s">
        <v>174</v>
      </c>
      <c r="N2651" t="s">
        <v>216</v>
      </c>
      <c r="O2651" t="s">
        <v>1345</v>
      </c>
    </row>
    <row r="2652" spans="1:15" x14ac:dyDescent="0.3">
      <c r="A2652" s="130">
        <v>14589</v>
      </c>
      <c r="B2652" s="130">
        <v>30</v>
      </c>
      <c r="C2652" s="130" t="s">
        <v>4276</v>
      </c>
      <c r="D2652">
        <v>21882</v>
      </c>
      <c r="E2652" s="130">
        <v>7522191</v>
      </c>
      <c r="F2652" t="s">
        <v>87</v>
      </c>
      <c r="G2652">
        <v>76</v>
      </c>
      <c r="H2652" t="s">
        <v>8952</v>
      </c>
      <c r="I2652" s="130">
        <v>18</v>
      </c>
      <c r="J2652" t="s">
        <v>4276</v>
      </c>
      <c r="K2652" t="s">
        <v>95</v>
      </c>
      <c r="L2652" t="s">
        <v>123</v>
      </c>
      <c r="M2652" t="s">
        <v>103</v>
      </c>
      <c r="N2652" t="s">
        <v>98</v>
      </c>
      <c r="O2652" t="s">
        <v>116</v>
      </c>
    </row>
    <row r="2653" spans="1:15" x14ac:dyDescent="0.3">
      <c r="A2653" s="130">
        <v>14591</v>
      </c>
      <c r="B2653" s="130">
        <v>30</v>
      </c>
      <c r="C2653" s="130" t="s">
        <v>4277</v>
      </c>
      <c r="D2653">
        <v>21896</v>
      </c>
      <c r="E2653" s="130">
        <v>7522191</v>
      </c>
      <c r="F2653" t="s">
        <v>87</v>
      </c>
      <c r="G2653">
        <v>76</v>
      </c>
      <c r="H2653" t="s">
        <v>8953</v>
      </c>
      <c r="I2653" s="130">
        <v>18</v>
      </c>
      <c r="J2653" t="s">
        <v>4277</v>
      </c>
      <c r="K2653" t="s">
        <v>95</v>
      </c>
      <c r="L2653" t="s">
        <v>123</v>
      </c>
      <c r="M2653" t="s">
        <v>103</v>
      </c>
      <c r="N2653" t="s">
        <v>98</v>
      </c>
      <c r="O2653" t="s">
        <v>116</v>
      </c>
    </row>
    <row r="2654" spans="1:15" x14ac:dyDescent="0.3">
      <c r="A2654" s="130">
        <v>14604</v>
      </c>
      <c r="B2654" s="130">
        <v>18</v>
      </c>
      <c r="C2654" s="130" t="s">
        <v>4278</v>
      </c>
      <c r="D2654">
        <v>22129</v>
      </c>
      <c r="E2654" s="130">
        <v>5134355</v>
      </c>
      <c r="F2654" t="s">
        <v>87</v>
      </c>
      <c r="G2654">
        <v>76</v>
      </c>
      <c r="H2654" t="s">
        <v>8951</v>
      </c>
      <c r="I2654" s="131">
        <v>26</v>
      </c>
      <c r="J2654" t="s">
        <v>4278</v>
      </c>
      <c r="K2654" t="s">
        <v>108</v>
      </c>
      <c r="L2654" t="s">
        <v>151</v>
      </c>
      <c r="M2654" t="s">
        <v>112</v>
      </c>
      <c r="N2654" t="s">
        <v>114</v>
      </c>
      <c r="O2654" t="s">
        <v>116</v>
      </c>
    </row>
    <row r="2655" spans="1:15" x14ac:dyDescent="0.3">
      <c r="A2655" s="130">
        <v>14621</v>
      </c>
      <c r="B2655" s="130">
        <v>30</v>
      </c>
      <c r="C2655" s="130" t="s">
        <v>4279</v>
      </c>
      <c r="D2655">
        <v>22153</v>
      </c>
      <c r="E2655" s="131">
        <v>88309620</v>
      </c>
      <c r="F2655" t="s">
        <v>87</v>
      </c>
      <c r="G2655">
        <v>76</v>
      </c>
      <c r="H2655" t="s">
        <v>8952</v>
      </c>
      <c r="I2655" s="130">
        <v>24</v>
      </c>
      <c r="J2655" t="s">
        <v>4279</v>
      </c>
      <c r="K2655" t="s">
        <v>108</v>
      </c>
      <c r="L2655" t="s">
        <v>241</v>
      </c>
      <c r="M2655" t="s">
        <v>103</v>
      </c>
      <c r="N2655" t="s">
        <v>122</v>
      </c>
      <c r="O2655" t="s">
        <v>116</v>
      </c>
    </row>
    <row r="2656" spans="1:15" x14ac:dyDescent="0.3">
      <c r="A2656" s="130">
        <v>14628</v>
      </c>
      <c r="B2656" s="130">
        <v>45</v>
      </c>
      <c r="C2656" s="130" t="s">
        <v>4280</v>
      </c>
      <c r="D2656">
        <v>22165</v>
      </c>
      <c r="E2656" s="130">
        <v>28789998</v>
      </c>
      <c r="F2656" t="s">
        <v>87</v>
      </c>
      <c r="G2656">
        <v>76</v>
      </c>
      <c r="H2656" t="s">
        <v>8953</v>
      </c>
      <c r="I2656" s="131">
        <v>18</v>
      </c>
      <c r="J2656" t="s">
        <v>4280</v>
      </c>
      <c r="K2656" t="s">
        <v>95</v>
      </c>
      <c r="L2656" t="s">
        <v>120</v>
      </c>
      <c r="M2656" t="s">
        <v>106</v>
      </c>
      <c r="N2656" t="s">
        <v>114</v>
      </c>
      <c r="O2656" t="s">
        <v>116</v>
      </c>
    </row>
    <row r="2657" spans="1:15" x14ac:dyDescent="0.3">
      <c r="A2657" s="130">
        <v>14632</v>
      </c>
      <c r="B2657" s="130">
        <v>30</v>
      </c>
      <c r="C2657" s="130" t="s">
        <v>4281</v>
      </c>
      <c r="D2657">
        <v>22177</v>
      </c>
      <c r="E2657" s="130">
        <v>32582476</v>
      </c>
      <c r="F2657" t="s">
        <v>87</v>
      </c>
      <c r="G2657">
        <v>76</v>
      </c>
      <c r="H2657" t="s">
        <v>8951</v>
      </c>
      <c r="I2657" s="130">
        <v>18</v>
      </c>
      <c r="J2657" t="s">
        <v>4281</v>
      </c>
      <c r="K2657" t="s">
        <v>95</v>
      </c>
      <c r="L2657" t="s">
        <v>123</v>
      </c>
      <c r="M2657" t="s">
        <v>103</v>
      </c>
      <c r="N2657" t="s">
        <v>98</v>
      </c>
      <c r="O2657" t="s">
        <v>116</v>
      </c>
    </row>
    <row r="2658" spans="1:15" x14ac:dyDescent="0.3">
      <c r="A2658" s="130">
        <v>14647</v>
      </c>
      <c r="B2658" s="130">
        <v>18</v>
      </c>
      <c r="C2658" s="130" t="s">
        <v>4282</v>
      </c>
      <c r="D2658">
        <v>22198</v>
      </c>
      <c r="E2658" s="130">
        <v>9646672</v>
      </c>
      <c r="F2658" t="s">
        <v>87</v>
      </c>
      <c r="G2658">
        <v>76</v>
      </c>
      <c r="H2658" t="s">
        <v>8952</v>
      </c>
      <c r="I2658" s="131">
        <v>18</v>
      </c>
      <c r="J2658" t="s">
        <v>4282</v>
      </c>
      <c r="K2658" t="s">
        <v>95</v>
      </c>
      <c r="L2658" t="s">
        <v>111</v>
      </c>
      <c r="M2658" t="s">
        <v>112</v>
      </c>
      <c r="N2658" t="s">
        <v>98</v>
      </c>
      <c r="O2658" t="s">
        <v>116</v>
      </c>
    </row>
    <row r="2659" spans="1:15" x14ac:dyDescent="0.3">
      <c r="A2659" s="130">
        <v>14655</v>
      </c>
      <c r="B2659" s="130">
        <v>30</v>
      </c>
      <c r="C2659" s="130" t="s">
        <v>4283</v>
      </c>
      <c r="D2659">
        <v>22211</v>
      </c>
      <c r="E2659" s="131">
        <v>7959171</v>
      </c>
      <c r="F2659" t="s">
        <v>87</v>
      </c>
      <c r="G2659">
        <v>77</v>
      </c>
      <c r="H2659" t="s">
        <v>8953</v>
      </c>
      <c r="I2659" s="130">
        <v>18</v>
      </c>
      <c r="J2659" t="s">
        <v>4283</v>
      </c>
      <c r="K2659" t="s">
        <v>95</v>
      </c>
      <c r="L2659" t="s">
        <v>256</v>
      </c>
      <c r="M2659" t="s">
        <v>103</v>
      </c>
      <c r="N2659" t="s">
        <v>169</v>
      </c>
      <c r="O2659" t="s">
        <v>1345</v>
      </c>
    </row>
    <row r="2660" spans="1:15" x14ac:dyDescent="0.3">
      <c r="A2660" s="130">
        <v>14662</v>
      </c>
      <c r="C2660" s="130" t="s">
        <v>4284</v>
      </c>
      <c r="D2660">
        <v>22218</v>
      </c>
      <c r="E2660" s="131">
        <v>31096307</v>
      </c>
      <c r="F2660" t="s">
        <v>87</v>
      </c>
      <c r="G2660">
        <v>358</v>
      </c>
      <c r="H2660" t="s">
        <v>8951</v>
      </c>
      <c r="I2660" s="130">
        <v>10</v>
      </c>
      <c r="J2660" t="s">
        <v>4284</v>
      </c>
      <c r="K2660" t="s">
        <v>108</v>
      </c>
      <c r="L2660" t="s">
        <v>105</v>
      </c>
      <c r="N2660" t="s">
        <v>98</v>
      </c>
      <c r="O2660" t="s">
        <v>1345</v>
      </c>
    </row>
    <row r="2661" spans="1:15" x14ac:dyDescent="0.3">
      <c r="A2661" s="130">
        <v>14663</v>
      </c>
      <c r="C2661" s="130" t="s">
        <v>4285</v>
      </c>
      <c r="D2661">
        <v>22219</v>
      </c>
      <c r="E2661" s="130">
        <v>31096307</v>
      </c>
      <c r="F2661" t="s">
        <v>87</v>
      </c>
      <c r="G2661">
        <v>358</v>
      </c>
      <c r="H2661" t="s">
        <v>8952</v>
      </c>
      <c r="I2661" s="130">
        <v>10</v>
      </c>
      <c r="J2661" t="s">
        <v>4285</v>
      </c>
      <c r="K2661" t="s">
        <v>108</v>
      </c>
      <c r="L2661" t="s">
        <v>105</v>
      </c>
      <c r="N2661" t="s">
        <v>98</v>
      </c>
      <c r="O2661" t="s">
        <v>1345</v>
      </c>
    </row>
    <row r="2662" spans="1:15" x14ac:dyDescent="0.3">
      <c r="A2662" s="130">
        <v>14664</v>
      </c>
      <c r="B2662" s="130" t="s">
        <v>135</v>
      </c>
      <c r="C2662" s="130" t="s">
        <v>4286</v>
      </c>
      <c r="D2662">
        <v>22220</v>
      </c>
      <c r="E2662" s="130">
        <v>83646547</v>
      </c>
      <c r="F2662" t="s">
        <v>87</v>
      </c>
      <c r="G2662">
        <v>358</v>
      </c>
      <c r="H2662" t="s">
        <v>8953</v>
      </c>
      <c r="I2662" s="131">
        <v>10</v>
      </c>
      <c r="J2662" t="s">
        <v>4286</v>
      </c>
      <c r="K2662" t="s">
        <v>95</v>
      </c>
      <c r="L2662" t="s">
        <v>105</v>
      </c>
      <c r="M2662" t="s">
        <v>136</v>
      </c>
      <c r="N2662" t="s">
        <v>98</v>
      </c>
      <c r="O2662" t="s">
        <v>116</v>
      </c>
    </row>
    <row r="2663" spans="1:15" x14ac:dyDescent="0.3">
      <c r="A2663" s="130">
        <v>14669</v>
      </c>
      <c r="B2663" s="130">
        <v>30</v>
      </c>
      <c r="C2663" s="130" t="s">
        <v>4287</v>
      </c>
      <c r="D2663">
        <v>22230</v>
      </c>
      <c r="E2663" s="131">
        <v>31625963</v>
      </c>
      <c r="F2663" t="s">
        <v>87</v>
      </c>
      <c r="G2663">
        <v>76</v>
      </c>
      <c r="H2663" t="s">
        <v>8951</v>
      </c>
      <c r="I2663" s="131">
        <v>18</v>
      </c>
      <c r="J2663" t="s">
        <v>4287</v>
      </c>
      <c r="K2663" t="s">
        <v>108</v>
      </c>
      <c r="L2663" t="s">
        <v>123</v>
      </c>
      <c r="M2663" t="s">
        <v>103</v>
      </c>
      <c r="N2663" t="s">
        <v>98</v>
      </c>
      <c r="O2663" t="s">
        <v>116</v>
      </c>
    </row>
    <row r="2664" spans="1:15" x14ac:dyDescent="0.3">
      <c r="A2664" s="130">
        <v>14680</v>
      </c>
      <c r="B2664" s="130">
        <v>30</v>
      </c>
      <c r="C2664" s="130" t="s">
        <v>4288</v>
      </c>
      <c r="D2664">
        <v>22248</v>
      </c>
      <c r="E2664" s="130">
        <v>15151317</v>
      </c>
      <c r="F2664" t="s">
        <v>87</v>
      </c>
      <c r="G2664">
        <v>76</v>
      </c>
      <c r="H2664" t="s">
        <v>8952</v>
      </c>
      <c r="I2664" s="131">
        <v>19</v>
      </c>
      <c r="J2664" t="s">
        <v>4288</v>
      </c>
      <c r="K2664" t="s">
        <v>108</v>
      </c>
      <c r="L2664" t="s">
        <v>146</v>
      </c>
      <c r="M2664" t="s">
        <v>103</v>
      </c>
      <c r="N2664" t="s">
        <v>98</v>
      </c>
      <c r="O2664" t="s">
        <v>116</v>
      </c>
    </row>
    <row r="2665" spans="1:15" x14ac:dyDescent="0.3">
      <c r="A2665" s="130">
        <v>14683</v>
      </c>
      <c r="B2665" s="130">
        <v>30</v>
      </c>
      <c r="C2665" s="130" t="s">
        <v>4289</v>
      </c>
      <c r="D2665">
        <v>22251</v>
      </c>
      <c r="E2665" s="131">
        <v>96556642</v>
      </c>
      <c r="F2665" t="s">
        <v>87</v>
      </c>
      <c r="G2665">
        <v>76</v>
      </c>
      <c r="H2665" t="s">
        <v>8953</v>
      </c>
      <c r="I2665" s="130">
        <v>19</v>
      </c>
      <c r="J2665" t="s">
        <v>4289</v>
      </c>
      <c r="K2665" t="s">
        <v>108</v>
      </c>
      <c r="L2665" t="s">
        <v>146</v>
      </c>
      <c r="M2665" t="s">
        <v>103</v>
      </c>
      <c r="N2665" t="s">
        <v>98</v>
      </c>
      <c r="O2665" t="s">
        <v>116</v>
      </c>
    </row>
    <row r="2666" spans="1:15" x14ac:dyDescent="0.3">
      <c r="A2666" s="130">
        <v>14689</v>
      </c>
      <c r="B2666" s="130">
        <v>28</v>
      </c>
      <c r="C2666" s="130" t="s">
        <v>4290</v>
      </c>
      <c r="D2666">
        <v>22258</v>
      </c>
      <c r="E2666" s="130">
        <v>44425978</v>
      </c>
      <c r="F2666" t="s">
        <v>87</v>
      </c>
      <c r="G2666">
        <v>76</v>
      </c>
      <c r="H2666" t="s">
        <v>8951</v>
      </c>
      <c r="I2666" s="130">
        <v>37</v>
      </c>
      <c r="J2666" t="s">
        <v>4290</v>
      </c>
      <c r="K2666" t="s">
        <v>95</v>
      </c>
      <c r="L2666" t="s">
        <v>138</v>
      </c>
      <c r="M2666" t="s">
        <v>130</v>
      </c>
      <c r="N2666" t="s">
        <v>150</v>
      </c>
      <c r="O2666" t="s">
        <v>1345</v>
      </c>
    </row>
    <row r="2667" spans="1:15" x14ac:dyDescent="0.3">
      <c r="A2667" s="130">
        <v>14711</v>
      </c>
      <c r="B2667" s="130">
        <v>-1</v>
      </c>
      <c r="C2667" s="130" t="s">
        <v>4291</v>
      </c>
      <c r="D2667">
        <v>22305</v>
      </c>
      <c r="E2667" s="130">
        <v>45698342</v>
      </c>
      <c r="F2667" t="s">
        <v>87</v>
      </c>
      <c r="G2667">
        <v>76</v>
      </c>
      <c r="H2667" t="s">
        <v>8952</v>
      </c>
      <c r="I2667" s="130">
        <v>18</v>
      </c>
      <c r="J2667" t="s">
        <v>4291</v>
      </c>
      <c r="K2667" t="s">
        <v>108</v>
      </c>
      <c r="L2667" t="s">
        <v>123</v>
      </c>
      <c r="M2667" t="s">
        <v>174</v>
      </c>
      <c r="N2667" t="s">
        <v>98</v>
      </c>
      <c r="O2667" t="s">
        <v>116</v>
      </c>
    </row>
    <row r="2668" spans="1:15" x14ac:dyDescent="0.3">
      <c r="A2668" s="130">
        <v>14718</v>
      </c>
      <c r="B2668" s="130">
        <v>60</v>
      </c>
      <c r="C2668" s="130" t="s">
        <v>4292</v>
      </c>
      <c r="D2668">
        <v>22320</v>
      </c>
      <c r="E2668" s="131">
        <v>3176142</v>
      </c>
      <c r="F2668" t="s">
        <v>87</v>
      </c>
      <c r="G2668">
        <v>76</v>
      </c>
      <c r="H2668" t="s">
        <v>8953</v>
      </c>
      <c r="I2668" s="130">
        <v>10</v>
      </c>
      <c r="J2668" t="s">
        <v>4292</v>
      </c>
      <c r="K2668" t="s">
        <v>95</v>
      </c>
      <c r="L2668" t="s">
        <v>127</v>
      </c>
      <c r="M2668" t="s">
        <v>97</v>
      </c>
      <c r="N2668" t="s">
        <v>118</v>
      </c>
      <c r="O2668" t="s">
        <v>1345</v>
      </c>
    </row>
    <row r="2669" spans="1:15" x14ac:dyDescent="0.3">
      <c r="A2669" s="130">
        <v>14749</v>
      </c>
      <c r="B2669" s="130" t="s">
        <v>156</v>
      </c>
      <c r="C2669" s="130" t="s">
        <v>4293</v>
      </c>
      <c r="D2669">
        <v>22361</v>
      </c>
      <c r="E2669" s="130">
        <v>10764189</v>
      </c>
      <c r="F2669" t="s">
        <v>87</v>
      </c>
      <c r="G2669">
        <v>76</v>
      </c>
      <c r="H2669" t="s">
        <v>8951</v>
      </c>
      <c r="I2669" s="131">
        <v>3</v>
      </c>
      <c r="J2669" t="s">
        <v>4293</v>
      </c>
      <c r="K2669" t="s">
        <v>108</v>
      </c>
      <c r="L2669" t="s">
        <v>111</v>
      </c>
      <c r="M2669" t="s">
        <v>156</v>
      </c>
      <c r="N2669" t="s">
        <v>152</v>
      </c>
      <c r="O2669" t="s">
        <v>116</v>
      </c>
    </row>
    <row r="2670" spans="1:15" x14ac:dyDescent="0.3">
      <c r="A2670" s="130">
        <v>14766</v>
      </c>
      <c r="B2670" s="130">
        <v>30</v>
      </c>
      <c r="C2670" s="130" t="s">
        <v>4294</v>
      </c>
      <c r="D2670">
        <v>22386</v>
      </c>
      <c r="E2670" s="131">
        <v>12616864</v>
      </c>
      <c r="F2670" t="s">
        <v>87</v>
      </c>
      <c r="G2670">
        <v>76</v>
      </c>
      <c r="H2670" t="s">
        <v>8952</v>
      </c>
      <c r="I2670" s="131">
        <v>43</v>
      </c>
      <c r="J2670" t="s">
        <v>4294</v>
      </c>
      <c r="K2670" t="s">
        <v>108</v>
      </c>
      <c r="L2670" t="s">
        <v>1368</v>
      </c>
      <c r="M2670" t="s">
        <v>103</v>
      </c>
      <c r="N2670" t="s">
        <v>114</v>
      </c>
      <c r="O2670" t="s">
        <v>116</v>
      </c>
    </row>
    <row r="2671" spans="1:15" x14ac:dyDescent="0.3">
      <c r="A2671" s="130">
        <v>14775</v>
      </c>
      <c r="B2671" s="130">
        <v>30</v>
      </c>
      <c r="C2671" s="130" t="s">
        <v>4295</v>
      </c>
      <c r="D2671">
        <v>22403</v>
      </c>
      <c r="E2671" s="130">
        <v>43421138</v>
      </c>
      <c r="F2671" t="s">
        <v>87</v>
      </c>
      <c r="G2671">
        <v>76</v>
      </c>
      <c r="H2671" t="s">
        <v>8953</v>
      </c>
      <c r="I2671" s="131">
        <v>43</v>
      </c>
      <c r="J2671" t="s">
        <v>4295</v>
      </c>
      <c r="K2671" t="s">
        <v>95</v>
      </c>
      <c r="L2671" t="s">
        <v>111</v>
      </c>
      <c r="M2671" t="s">
        <v>103</v>
      </c>
      <c r="N2671" t="s">
        <v>98</v>
      </c>
      <c r="O2671" t="s">
        <v>116</v>
      </c>
    </row>
    <row r="2672" spans="1:15" x14ac:dyDescent="0.3">
      <c r="A2672" s="130">
        <v>14779</v>
      </c>
      <c r="B2672" s="130">
        <v>30</v>
      </c>
      <c r="C2672" s="130" t="s">
        <v>4296</v>
      </c>
      <c r="D2672">
        <v>22406</v>
      </c>
      <c r="E2672" s="130">
        <v>4667720</v>
      </c>
      <c r="F2672" t="s">
        <v>87</v>
      </c>
      <c r="G2672">
        <v>76</v>
      </c>
      <c r="H2672" t="s">
        <v>8951</v>
      </c>
      <c r="I2672" s="131">
        <v>3</v>
      </c>
      <c r="J2672" t="s">
        <v>4296</v>
      </c>
      <c r="K2672" t="s">
        <v>108</v>
      </c>
      <c r="L2672" t="s">
        <v>111</v>
      </c>
      <c r="M2672" t="s">
        <v>103</v>
      </c>
      <c r="N2672" t="s">
        <v>98</v>
      </c>
      <c r="O2672" t="s">
        <v>1345</v>
      </c>
    </row>
    <row r="2673" spans="1:15" x14ac:dyDescent="0.3">
      <c r="A2673" s="130">
        <v>14782</v>
      </c>
      <c r="B2673" s="130">
        <v>21</v>
      </c>
      <c r="C2673" s="130" t="s">
        <v>4297</v>
      </c>
      <c r="D2673">
        <v>22409</v>
      </c>
      <c r="E2673" s="130">
        <v>43615371</v>
      </c>
      <c r="F2673" t="s">
        <v>87</v>
      </c>
      <c r="G2673">
        <v>76</v>
      </c>
      <c r="H2673" t="s">
        <v>8952</v>
      </c>
      <c r="I2673" s="130">
        <v>19</v>
      </c>
      <c r="J2673" t="s">
        <v>4297</v>
      </c>
      <c r="K2673" t="s">
        <v>108</v>
      </c>
      <c r="L2673" t="s">
        <v>146</v>
      </c>
      <c r="M2673" t="s">
        <v>137</v>
      </c>
      <c r="N2673" t="s">
        <v>150</v>
      </c>
      <c r="O2673" t="s">
        <v>1345</v>
      </c>
    </row>
    <row r="2674" spans="1:15" x14ac:dyDescent="0.3">
      <c r="A2674" s="130">
        <v>14783</v>
      </c>
      <c r="B2674" s="130">
        <v>21</v>
      </c>
      <c r="C2674" s="130" t="s">
        <v>4298</v>
      </c>
      <c r="D2674">
        <v>22410</v>
      </c>
      <c r="E2674" s="130">
        <v>10606441</v>
      </c>
      <c r="F2674" t="s">
        <v>87</v>
      </c>
      <c r="G2674">
        <v>76</v>
      </c>
      <c r="H2674" t="s">
        <v>8953</v>
      </c>
      <c r="I2674" s="130">
        <v>19</v>
      </c>
      <c r="J2674" t="s">
        <v>4298</v>
      </c>
      <c r="K2674" t="s">
        <v>108</v>
      </c>
      <c r="L2674" t="s">
        <v>146</v>
      </c>
      <c r="M2674" t="s">
        <v>137</v>
      </c>
      <c r="N2674" t="s">
        <v>150</v>
      </c>
      <c r="O2674" t="s">
        <v>1345</v>
      </c>
    </row>
    <row r="2675" spans="1:15" x14ac:dyDescent="0.3">
      <c r="A2675" s="130">
        <v>14791</v>
      </c>
      <c r="B2675" s="130">
        <v>10</v>
      </c>
      <c r="C2675" s="130" t="s">
        <v>4299</v>
      </c>
      <c r="D2675">
        <v>22418</v>
      </c>
      <c r="E2675" s="131">
        <v>2184341</v>
      </c>
      <c r="F2675" t="s">
        <v>87</v>
      </c>
      <c r="G2675">
        <v>76</v>
      </c>
      <c r="H2675" t="s">
        <v>8951</v>
      </c>
      <c r="I2675" s="131">
        <v>18</v>
      </c>
      <c r="J2675" t="s">
        <v>4299</v>
      </c>
      <c r="K2675" t="s">
        <v>108</v>
      </c>
      <c r="L2675" t="s">
        <v>1293</v>
      </c>
      <c r="M2675" t="s">
        <v>133</v>
      </c>
      <c r="N2675" t="s">
        <v>101</v>
      </c>
      <c r="O2675" t="s">
        <v>1345</v>
      </c>
    </row>
    <row r="2676" spans="1:15" x14ac:dyDescent="0.3">
      <c r="A2676" s="130">
        <v>14803</v>
      </c>
      <c r="B2676" s="130">
        <v>30</v>
      </c>
      <c r="C2676" s="130" t="s">
        <v>4300</v>
      </c>
      <c r="D2676">
        <v>22437</v>
      </c>
      <c r="E2676" s="131">
        <v>12616864</v>
      </c>
      <c r="F2676" t="s">
        <v>87</v>
      </c>
      <c r="G2676">
        <v>76</v>
      </c>
      <c r="H2676" t="s">
        <v>8952</v>
      </c>
      <c r="I2676" s="131">
        <v>43</v>
      </c>
      <c r="J2676" t="s">
        <v>4300</v>
      </c>
      <c r="K2676" t="s">
        <v>108</v>
      </c>
      <c r="L2676" t="s">
        <v>159</v>
      </c>
      <c r="M2676" t="s">
        <v>103</v>
      </c>
      <c r="N2676" t="s">
        <v>114</v>
      </c>
      <c r="O2676" t="s">
        <v>1345</v>
      </c>
    </row>
    <row r="2677" spans="1:15" x14ac:dyDescent="0.3">
      <c r="A2677" s="130">
        <v>14817</v>
      </c>
      <c r="B2677" s="130">
        <v>18</v>
      </c>
      <c r="C2677" s="130" t="s">
        <v>4301</v>
      </c>
      <c r="D2677">
        <v>22476</v>
      </c>
      <c r="E2677" s="131">
        <v>10279488</v>
      </c>
      <c r="F2677" t="s">
        <v>87</v>
      </c>
      <c r="G2677">
        <v>76</v>
      </c>
      <c r="H2677" t="s">
        <v>8953</v>
      </c>
      <c r="I2677" s="130">
        <v>37</v>
      </c>
      <c r="J2677" t="s">
        <v>4301</v>
      </c>
      <c r="K2677" t="s">
        <v>95</v>
      </c>
      <c r="L2677" t="s">
        <v>183</v>
      </c>
      <c r="M2677" t="s">
        <v>112</v>
      </c>
      <c r="N2677" t="s">
        <v>114</v>
      </c>
      <c r="O2677" t="s">
        <v>1345</v>
      </c>
    </row>
    <row r="2678" spans="1:15" x14ac:dyDescent="0.3">
      <c r="A2678" s="130">
        <v>14818</v>
      </c>
      <c r="B2678" s="130">
        <v>30</v>
      </c>
      <c r="C2678" s="130" t="s">
        <v>4302</v>
      </c>
      <c r="D2678">
        <v>22477</v>
      </c>
      <c r="E2678" s="130">
        <v>66403270</v>
      </c>
      <c r="F2678" t="s">
        <v>87</v>
      </c>
      <c r="G2678">
        <v>76</v>
      </c>
      <c r="H2678" t="s">
        <v>8951</v>
      </c>
      <c r="I2678" s="130">
        <v>3</v>
      </c>
      <c r="J2678" t="s">
        <v>4302</v>
      </c>
      <c r="K2678" t="s">
        <v>95</v>
      </c>
      <c r="L2678" t="s">
        <v>111</v>
      </c>
      <c r="M2678" t="s">
        <v>103</v>
      </c>
      <c r="N2678" t="s">
        <v>98</v>
      </c>
      <c r="O2678" t="s">
        <v>116</v>
      </c>
    </row>
    <row r="2679" spans="1:15" x14ac:dyDescent="0.3">
      <c r="A2679" s="130">
        <v>14820</v>
      </c>
      <c r="B2679" s="130">
        <v>18</v>
      </c>
      <c r="C2679" s="130" t="s">
        <v>4303</v>
      </c>
      <c r="D2679">
        <v>22479</v>
      </c>
      <c r="E2679" s="130">
        <v>7172383</v>
      </c>
      <c r="F2679" t="s">
        <v>87</v>
      </c>
      <c r="G2679">
        <v>76</v>
      </c>
      <c r="H2679" t="s">
        <v>8952</v>
      </c>
      <c r="I2679" s="131">
        <v>10</v>
      </c>
      <c r="J2679" t="s">
        <v>4303</v>
      </c>
      <c r="K2679" t="s">
        <v>108</v>
      </c>
      <c r="L2679" t="s">
        <v>127</v>
      </c>
      <c r="M2679" t="s">
        <v>112</v>
      </c>
      <c r="N2679" t="s">
        <v>118</v>
      </c>
      <c r="O2679" t="s">
        <v>1345</v>
      </c>
    </row>
    <row r="2680" spans="1:15" x14ac:dyDescent="0.3">
      <c r="A2680" s="130">
        <v>14822</v>
      </c>
      <c r="B2680" s="130">
        <v>30</v>
      </c>
      <c r="C2680" s="130" t="s">
        <v>4304</v>
      </c>
      <c r="D2680">
        <v>20667</v>
      </c>
      <c r="E2680" s="130">
        <v>2387241</v>
      </c>
      <c r="F2680" t="s">
        <v>87</v>
      </c>
      <c r="G2680">
        <v>77</v>
      </c>
      <c r="H2680" t="s">
        <v>8953</v>
      </c>
      <c r="I2680" s="130">
        <v>41</v>
      </c>
      <c r="J2680" t="s">
        <v>4304</v>
      </c>
      <c r="K2680" t="s">
        <v>95</v>
      </c>
      <c r="L2680" t="s">
        <v>235</v>
      </c>
      <c r="M2680" t="s">
        <v>180</v>
      </c>
      <c r="N2680" t="s">
        <v>98</v>
      </c>
      <c r="O2680" t="s">
        <v>116</v>
      </c>
    </row>
    <row r="2681" spans="1:15" x14ac:dyDescent="0.3">
      <c r="A2681" s="130">
        <v>14823</v>
      </c>
      <c r="B2681" s="130">
        <v>0</v>
      </c>
      <c r="C2681" s="130" t="s">
        <v>4305</v>
      </c>
      <c r="D2681">
        <v>22485</v>
      </c>
      <c r="E2681" s="130">
        <v>34375501</v>
      </c>
      <c r="F2681" t="s">
        <v>87</v>
      </c>
      <c r="G2681">
        <v>76</v>
      </c>
      <c r="H2681" t="s">
        <v>8951</v>
      </c>
      <c r="I2681" s="131">
        <v>26</v>
      </c>
      <c r="J2681" t="s">
        <v>4305</v>
      </c>
      <c r="K2681" t="s">
        <v>108</v>
      </c>
      <c r="L2681" t="s">
        <v>151</v>
      </c>
      <c r="M2681" t="s">
        <v>100</v>
      </c>
      <c r="N2681" t="s">
        <v>98</v>
      </c>
      <c r="O2681" t="s">
        <v>1345</v>
      </c>
    </row>
    <row r="2682" spans="1:15" x14ac:dyDescent="0.3">
      <c r="A2682" s="130">
        <v>14831</v>
      </c>
      <c r="B2682" s="130">
        <v>30</v>
      </c>
      <c r="C2682" s="130" t="s">
        <v>4306</v>
      </c>
      <c r="D2682">
        <v>22490</v>
      </c>
      <c r="E2682" s="131">
        <v>7522191</v>
      </c>
      <c r="F2682" t="s">
        <v>87</v>
      </c>
      <c r="G2682">
        <v>76</v>
      </c>
      <c r="H2682" t="s">
        <v>8952</v>
      </c>
      <c r="I2682" s="131">
        <v>9</v>
      </c>
      <c r="J2682" t="s">
        <v>4306</v>
      </c>
      <c r="K2682" t="s">
        <v>95</v>
      </c>
      <c r="L2682" t="s">
        <v>181</v>
      </c>
      <c r="M2682" t="s">
        <v>103</v>
      </c>
      <c r="N2682" t="s">
        <v>114</v>
      </c>
      <c r="O2682" t="s">
        <v>1345</v>
      </c>
    </row>
    <row r="2683" spans="1:15" x14ac:dyDescent="0.3">
      <c r="A2683" s="130">
        <v>14852</v>
      </c>
      <c r="B2683" s="130">
        <v>30</v>
      </c>
      <c r="C2683" s="130" t="s">
        <v>4307</v>
      </c>
      <c r="D2683">
        <v>22516</v>
      </c>
      <c r="E2683" s="131">
        <v>183256</v>
      </c>
      <c r="F2683" t="s">
        <v>87</v>
      </c>
      <c r="G2683">
        <v>76</v>
      </c>
      <c r="H2683" t="s">
        <v>8953</v>
      </c>
      <c r="I2683" s="130">
        <v>9</v>
      </c>
      <c r="J2683" t="s">
        <v>4307</v>
      </c>
      <c r="K2683" t="s">
        <v>95</v>
      </c>
      <c r="L2683" t="s">
        <v>163</v>
      </c>
      <c r="M2683" t="s">
        <v>103</v>
      </c>
      <c r="N2683" t="s">
        <v>114</v>
      </c>
      <c r="O2683" t="s">
        <v>116</v>
      </c>
    </row>
    <row r="2684" spans="1:15" x14ac:dyDescent="0.3">
      <c r="A2684" s="130">
        <v>14853</v>
      </c>
      <c r="B2684" s="130">
        <v>-1</v>
      </c>
      <c r="C2684" s="130" t="s">
        <v>4308</v>
      </c>
      <c r="D2684">
        <v>22517</v>
      </c>
      <c r="E2684" s="130">
        <v>46574475</v>
      </c>
      <c r="F2684" t="s">
        <v>87</v>
      </c>
      <c r="G2684">
        <v>76</v>
      </c>
      <c r="H2684" t="s">
        <v>8951</v>
      </c>
      <c r="I2684" s="130">
        <v>3</v>
      </c>
      <c r="J2684" t="s">
        <v>4308</v>
      </c>
      <c r="K2684" t="s">
        <v>108</v>
      </c>
      <c r="L2684" t="s">
        <v>111</v>
      </c>
      <c r="M2684" t="s">
        <v>174</v>
      </c>
      <c r="N2684" t="s">
        <v>122</v>
      </c>
      <c r="O2684" t="s">
        <v>1345</v>
      </c>
    </row>
    <row r="2685" spans="1:15" x14ac:dyDescent="0.3">
      <c r="A2685" s="130">
        <v>14855</v>
      </c>
      <c r="B2685" s="130">
        <v>30</v>
      </c>
      <c r="C2685" s="130" t="s">
        <v>4309</v>
      </c>
      <c r="D2685">
        <v>22519</v>
      </c>
      <c r="E2685" s="130">
        <v>28336539</v>
      </c>
      <c r="F2685" t="s">
        <v>87</v>
      </c>
      <c r="G2685">
        <v>76</v>
      </c>
      <c r="H2685" t="s">
        <v>8952</v>
      </c>
      <c r="I2685" s="130">
        <v>10</v>
      </c>
      <c r="J2685" t="s">
        <v>4309</v>
      </c>
      <c r="K2685" t="s">
        <v>95</v>
      </c>
      <c r="L2685" t="s">
        <v>127</v>
      </c>
      <c r="M2685" t="s">
        <v>103</v>
      </c>
      <c r="N2685" t="s">
        <v>118</v>
      </c>
      <c r="O2685" t="s">
        <v>116</v>
      </c>
    </row>
    <row r="2686" spans="1:15" x14ac:dyDescent="0.3">
      <c r="A2686" s="130">
        <v>14863</v>
      </c>
      <c r="B2686" s="130">
        <v>30</v>
      </c>
      <c r="C2686" s="130" t="s">
        <v>4310</v>
      </c>
      <c r="D2686">
        <v>22528</v>
      </c>
      <c r="E2686" s="130">
        <v>10714060</v>
      </c>
      <c r="F2686" t="s">
        <v>87</v>
      </c>
      <c r="G2686">
        <v>76</v>
      </c>
      <c r="H2686" t="s">
        <v>8953</v>
      </c>
      <c r="I2686" s="130">
        <v>10</v>
      </c>
      <c r="J2686" t="s">
        <v>4310</v>
      </c>
      <c r="K2686" t="s">
        <v>108</v>
      </c>
      <c r="L2686" t="s">
        <v>127</v>
      </c>
      <c r="M2686" t="s">
        <v>103</v>
      </c>
      <c r="N2686" t="s">
        <v>118</v>
      </c>
      <c r="O2686" t="s">
        <v>1345</v>
      </c>
    </row>
    <row r="2687" spans="1:15" x14ac:dyDescent="0.3">
      <c r="A2687" s="130">
        <v>14872</v>
      </c>
      <c r="B2687" s="130">
        <v>15</v>
      </c>
      <c r="C2687" s="130" t="s">
        <v>4311</v>
      </c>
      <c r="D2687">
        <v>22542</v>
      </c>
      <c r="E2687" s="130">
        <v>18914388</v>
      </c>
      <c r="F2687" t="s">
        <v>87</v>
      </c>
      <c r="G2687">
        <v>76</v>
      </c>
      <c r="H2687" t="s">
        <v>8951</v>
      </c>
      <c r="I2687" s="130">
        <v>19</v>
      </c>
      <c r="J2687" t="s">
        <v>4311</v>
      </c>
      <c r="K2687" t="s">
        <v>108</v>
      </c>
      <c r="L2687" t="s">
        <v>146</v>
      </c>
      <c r="M2687" t="s">
        <v>145</v>
      </c>
      <c r="N2687" t="s">
        <v>98</v>
      </c>
      <c r="O2687" t="s">
        <v>116</v>
      </c>
    </row>
    <row r="2688" spans="1:15" x14ac:dyDescent="0.3">
      <c r="A2688" s="130">
        <v>14874</v>
      </c>
      <c r="B2688" s="130">
        <v>15</v>
      </c>
      <c r="C2688" s="130" t="s">
        <v>4312</v>
      </c>
      <c r="D2688">
        <v>22451</v>
      </c>
      <c r="E2688" s="131">
        <v>18419340</v>
      </c>
      <c r="F2688" t="s">
        <v>87</v>
      </c>
      <c r="G2688">
        <v>76</v>
      </c>
      <c r="H2688" t="s">
        <v>8952</v>
      </c>
      <c r="I2688" s="131">
        <v>19</v>
      </c>
      <c r="J2688" t="s">
        <v>4312</v>
      </c>
      <c r="K2688" t="s">
        <v>108</v>
      </c>
      <c r="L2688" t="s">
        <v>146</v>
      </c>
      <c r="M2688" t="s">
        <v>145</v>
      </c>
      <c r="N2688" t="s">
        <v>98</v>
      </c>
      <c r="O2688" t="s">
        <v>1345</v>
      </c>
    </row>
    <row r="2689" spans="1:15" x14ac:dyDescent="0.3">
      <c r="A2689" s="130">
        <v>14880</v>
      </c>
      <c r="B2689" s="130">
        <v>30</v>
      </c>
      <c r="C2689" s="130" t="s">
        <v>4313</v>
      </c>
      <c r="D2689">
        <v>22548</v>
      </c>
      <c r="E2689" s="130">
        <v>8726496</v>
      </c>
      <c r="F2689" t="s">
        <v>87</v>
      </c>
      <c r="G2689">
        <v>76</v>
      </c>
      <c r="H2689" t="s">
        <v>8953</v>
      </c>
      <c r="I2689" s="131">
        <v>43</v>
      </c>
      <c r="J2689" t="s">
        <v>4313</v>
      </c>
      <c r="K2689" t="s">
        <v>95</v>
      </c>
      <c r="L2689" t="s">
        <v>109</v>
      </c>
      <c r="M2689" t="s">
        <v>103</v>
      </c>
      <c r="N2689" t="s">
        <v>98</v>
      </c>
      <c r="O2689" t="s">
        <v>116</v>
      </c>
    </row>
    <row r="2690" spans="1:15" x14ac:dyDescent="0.3">
      <c r="A2690" s="130">
        <v>14882</v>
      </c>
      <c r="B2690" s="130">
        <v>30</v>
      </c>
      <c r="C2690" s="130" t="s">
        <v>4314</v>
      </c>
      <c r="D2690">
        <v>22552</v>
      </c>
      <c r="E2690" s="131">
        <v>10316763</v>
      </c>
      <c r="F2690" t="s">
        <v>87</v>
      </c>
      <c r="G2690">
        <v>76</v>
      </c>
      <c r="H2690" t="s">
        <v>8951</v>
      </c>
      <c r="I2690" s="130">
        <v>3</v>
      </c>
      <c r="J2690" t="s">
        <v>4314</v>
      </c>
      <c r="K2690" t="s">
        <v>108</v>
      </c>
      <c r="L2690" t="s">
        <v>111</v>
      </c>
      <c r="M2690" t="s">
        <v>103</v>
      </c>
      <c r="N2690" t="s">
        <v>98</v>
      </c>
      <c r="O2690" t="s">
        <v>116</v>
      </c>
    </row>
    <row r="2691" spans="1:15" x14ac:dyDescent="0.3">
      <c r="A2691" s="130">
        <v>14885</v>
      </c>
      <c r="B2691" s="130">
        <v>-1</v>
      </c>
      <c r="C2691" s="130" t="s">
        <v>4315</v>
      </c>
      <c r="D2691">
        <v>22566</v>
      </c>
      <c r="E2691" s="130">
        <v>29658922</v>
      </c>
      <c r="F2691" t="s">
        <v>87</v>
      </c>
      <c r="G2691">
        <v>76</v>
      </c>
      <c r="H2691" t="s">
        <v>8952</v>
      </c>
      <c r="I2691" s="130">
        <v>10</v>
      </c>
      <c r="J2691" t="s">
        <v>4315</v>
      </c>
      <c r="K2691" t="s">
        <v>108</v>
      </c>
      <c r="L2691" t="s">
        <v>127</v>
      </c>
      <c r="M2691" t="s">
        <v>174</v>
      </c>
      <c r="N2691" t="s">
        <v>118</v>
      </c>
      <c r="O2691" t="s">
        <v>116</v>
      </c>
    </row>
    <row r="2692" spans="1:15" x14ac:dyDescent="0.3">
      <c r="A2692" s="130">
        <v>14887</v>
      </c>
      <c r="B2692" s="130">
        <v>10</v>
      </c>
      <c r="C2692" s="130" t="s">
        <v>4316</v>
      </c>
      <c r="D2692">
        <v>22563</v>
      </c>
      <c r="E2692" s="130">
        <v>36195677</v>
      </c>
      <c r="F2692" t="s">
        <v>113</v>
      </c>
      <c r="G2692">
        <v>76</v>
      </c>
      <c r="H2692" t="s">
        <v>8953</v>
      </c>
      <c r="I2692" s="131">
        <v>24</v>
      </c>
      <c r="J2692" t="s">
        <v>4316</v>
      </c>
      <c r="K2692" t="s">
        <v>108</v>
      </c>
      <c r="L2692" t="s">
        <v>153</v>
      </c>
      <c r="M2692" t="s">
        <v>133</v>
      </c>
      <c r="N2692" t="s">
        <v>98</v>
      </c>
      <c r="O2692" t="s">
        <v>1256</v>
      </c>
    </row>
    <row r="2693" spans="1:15" x14ac:dyDescent="0.3">
      <c r="A2693" s="130">
        <v>14890</v>
      </c>
      <c r="C2693" s="130" t="s">
        <v>4317</v>
      </c>
      <c r="D2693">
        <v>22574</v>
      </c>
      <c r="E2693" s="130">
        <v>19693398</v>
      </c>
      <c r="F2693" t="s">
        <v>113</v>
      </c>
      <c r="G2693">
        <v>76</v>
      </c>
      <c r="H2693" t="s">
        <v>8951</v>
      </c>
      <c r="I2693" s="130">
        <v>24</v>
      </c>
      <c r="J2693" t="s">
        <v>4317</v>
      </c>
      <c r="K2693" t="s">
        <v>108</v>
      </c>
      <c r="L2693" t="s">
        <v>153</v>
      </c>
      <c r="N2693" t="s">
        <v>98</v>
      </c>
      <c r="O2693" t="s">
        <v>1256</v>
      </c>
    </row>
    <row r="2694" spans="1:15" x14ac:dyDescent="0.3">
      <c r="A2694" s="130">
        <v>14891</v>
      </c>
      <c r="B2694" s="130">
        <v>28</v>
      </c>
      <c r="C2694" s="130" t="s">
        <v>4318</v>
      </c>
      <c r="D2694">
        <v>22576</v>
      </c>
      <c r="E2694" s="130">
        <v>21471093</v>
      </c>
      <c r="F2694" t="s">
        <v>87</v>
      </c>
      <c r="G2694">
        <v>76</v>
      </c>
      <c r="H2694" t="s">
        <v>8952</v>
      </c>
      <c r="I2694" s="131">
        <v>43</v>
      </c>
      <c r="J2694" t="s">
        <v>4318</v>
      </c>
      <c r="K2694" t="s">
        <v>108</v>
      </c>
      <c r="L2694" t="s">
        <v>1241</v>
      </c>
      <c r="M2694" t="s">
        <v>130</v>
      </c>
      <c r="N2694" t="s">
        <v>114</v>
      </c>
      <c r="O2694" t="s">
        <v>1256</v>
      </c>
    </row>
    <row r="2695" spans="1:15" x14ac:dyDescent="0.3">
      <c r="A2695" s="130">
        <v>14896</v>
      </c>
      <c r="B2695" s="130">
        <v>30</v>
      </c>
      <c r="C2695" s="130" t="s">
        <v>4319</v>
      </c>
      <c r="D2695">
        <v>22584</v>
      </c>
      <c r="E2695" s="130">
        <v>17185786</v>
      </c>
      <c r="F2695" t="s">
        <v>87</v>
      </c>
      <c r="G2695">
        <v>358</v>
      </c>
      <c r="H2695" t="s">
        <v>8953</v>
      </c>
      <c r="I2695" s="131">
        <v>10</v>
      </c>
      <c r="J2695" t="s">
        <v>4319</v>
      </c>
      <c r="K2695" t="s">
        <v>95</v>
      </c>
      <c r="L2695" t="s">
        <v>105</v>
      </c>
      <c r="M2695" t="s">
        <v>103</v>
      </c>
      <c r="N2695" t="s">
        <v>98</v>
      </c>
      <c r="O2695" t="s">
        <v>116</v>
      </c>
    </row>
    <row r="2696" spans="1:15" x14ac:dyDescent="0.3">
      <c r="A2696" s="130">
        <v>14902</v>
      </c>
      <c r="B2696" s="130">
        <v>30</v>
      </c>
      <c r="C2696" s="130" t="s">
        <v>4320</v>
      </c>
      <c r="D2696">
        <v>22595</v>
      </c>
      <c r="E2696" s="130">
        <v>21681150</v>
      </c>
      <c r="F2696" t="s">
        <v>87</v>
      </c>
      <c r="G2696">
        <v>76</v>
      </c>
      <c r="H2696" t="s">
        <v>8951</v>
      </c>
      <c r="I2696" s="131">
        <v>43</v>
      </c>
      <c r="J2696" t="s">
        <v>4320</v>
      </c>
      <c r="K2696" t="s">
        <v>108</v>
      </c>
      <c r="L2696" t="s">
        <v>111</v>
      </c>
      <c r="M2696" t="s">
        <v>103</v>
      </c>
      <c r="N2696" t="s">
        <v>98</v>
      </c>
      <c r="O2696" t="s">
        <v>116</v>
      </c>
    </row>
    <row r="2697" spans="1:15" x14ac:dyDescent="0.3">
      <c r="A2697" s="130">
        <v>14910</v>
      </c>
      <c r="B2697" s="130">
        <v>30</v>
      </c>
      <c r="C2697" s="130" t="s">
        <v>4321</v>
      </c>
      <c r="D2697">
        <v>22607</v>
      </c>
      <c r="E2697" s="131">
        <v>9646672</v>
      </c>
      <c r="F2697" t="s">
        <v>87</v>
      </c>
      <c r="G2697">
        <v>76</v>
      </c>
      <c r="H2697" t="s">
        <v>8952</v>
      </c>
      <c r="I2697" s="131">
        <v>24</v>
      </c>
      <c r="J2697" t="s">
        <v>4321</v>
      </c>
      <c r="K2697" t="s">
        <v>95</v>
      </c>
      <c r="L2697" t="s">
        <v>111</v>
      </c>
      <c r="M2697" t="s">
        <v>103</v>
      </c>
      <c r="N2697" t="s">
        <v>98</v>
      </c>
      <c r="O2697" t="s">
        <v>116</v>
      </c>
    </row>
    <row r="2698" spans="1:15" x14ac:dyDescent="0.3">
      <c r="A2698" s="130">
        <v>14911</v>
      </c>
      <c r="C2698" s="130" t="s">
        <v>4322</v>
      </c>
      <c r="D2698">
        <v>22608</v>
      </c>
      <c r="E2698" s="131">
        <v>47260580</v>
      </c>
      <c r="F2698" t="s">
        <v>113</v>
      </c>
      <c r="G2698">
        <v>76</v>
      </c>
      <c r="H2698" t="s">
        <v>8953</v>
      </c>
      <c r="I2698" s="131">
        <v>19</v>
      </c>
      <c r="J2698" t="s">
        <v>4322</v>
      </c>
      <c r="K2698" t="s">
        <v>108</v>
      </c>
      <c r="L2698" t="s">
        <v>1249</v>
      </c>
      <c r="N2698" t="s">
        <v>98</v>
      </c>
      <c r="O2698" t="s">
        <v>1256</v>
      </c>
    </row>
    <row r="2699" spans="1:15" x14ac:dyDescent="0.3">
      <c r="A2699" s="130">
        <v>14921</v>
      </c>
      <c r="B2699" s="130">
        <v>30</v>
      </c>
      <c r="C2699" s="130" t="s">
        <v>4323</v>
      </c>
      <c r="D2699">
        <v>22628</v>
      </c>
      <c r="E2699" s="130">
        <v>27426196</v>
      </c>
      <c r="F2699" t="s">
        <v>87</v>
      </c>
      <c r="G2699">
        <v>76</v>
      </c>
      <c r="H2699" t="s">
        <v>8951</v>
      </c>
      <c r="I2699" s="130">
        <v>26</v>
      </c>
      <c r="J2699" t="s">
        <v>4323</v>
      </c>
      <c r="K2699" t="s">
        <v>95</v>
      </c>
      <c r="L2699" t="s">
        <v>151</v>
      </c>
      <c r="M2699" t="s">
        <v>103</v>
      </c>
      <c r="N2699" t="s">
        <v>98</v>
      </c>
      <c r="O2699" t="s">
        <v>1345</v>
      </c>
    </row>
    <row r="2700" spans="1:15" x14ac:dyDescent="0.3">
      <c r="A2700" s="130">
        <v>14927</v>
      </c>
      <c r="B2700" s="130">
        <v>30</v>
      </c>
      <c r="C2700" s="130" t="s">
        <v>4324</v>
      </c>
      <c r="D2700">
        <v>22635</v>
      </c>
      <c r="E2700" s="131">
        <v>7522191</v>
      </c>
      <c r="F2700" t="s">
        <v>87</v>
      </c>
      <c r="G2700">
        <v>76</v>
      </c>
      <c r="H2700" t="s">
        <v>8952</v>
      </c>
      <c r="I2700" s="130">
        <v>24</v>
      </c>
      <c r="J2700" t="s">
        <v>4324</v>
      </c>
      <c r="K2700" t="s">
        <v>95</v>
      </c>
      <c r="L2700" t="s">
        <v>111</v>
      </c>
      <c r="M2700" t="s">
        <v>103</v>
      </c>
      <c r="N2700" t="s">
        <v>98</v>
      </c>
      <c r="O2700" t="s">
        <v>1345</v>
      </c>
    </row>
    <row r="2701" spans="1:15" x14ac:dyDescent="0.3">
      <c r="A2701" s="130">
        <v>14930</v>
      </c>
      <c r="B2701" s="130">
        <v>0</v>
      </c>
      <c r="C2701" s="130" t="s">
        <v>4325</v>
      </c>
      <c r="D2701">
        <v>22638</v>
      </c>
      <c r="E2701" s="130">
        <v>6730693</v>
      </c>
      <c r="F2701" t="s">
        <v>87</v>
      </c>
      <c r="G2701">
        <v>76</v>
      </c>
      <c r="H2701" t="s">
        <v>8953</v>
      </c>
      <c r="I2701" s="130">
        <v>3</v>
      </c>
      <c r="J2701" t="s">
        <v>4325</v>
      </c>
      <c r="K2701" t="s">
        <v>95</v>
      </c>
      <c r="L2701" t="s">
        <v>120</v>
      </c>
      <c r="M2701" t="s">
        <v>100</v>
      </c>
      <c r="N2701" t="s">
        <v>118</v>
      </c>
      <c r="O2701" t="s">
        <v>1256</v>
      </c>
    </row>
    <row r="2702" spans="1:15" x14ac:dyDescent="0.3">
      <c r="A2702" s="130">
        <v>14931</v>
      </c>
      <c r="B2702" s="130">
        <v>30</v>
      </c>
      <c r="C2702" s="130" t="s">
        <v>4326</v>
      </c>
      <c r="D2702">
        <v>22642</v>
      </c>
      <c r="E2702" s="130">
        <v>19235340</v>
      </c>
      <c r="F2702" t="s">
        <v>87</v>
      </c>
      <c r="G2702">
        <v>76</v>
      </c>
      <c r="H2702" t="s">
        <v>8951</v>
      </c>
      <c r="I2702" s="130">
        <v>3</v>
      </c>
      <c r="J2702" t="s">
        <v>4326</v>
      </c>
      <c r="K2702" t="s">
        <v>108</v>
      </c>
      <c r="L2702" t="s">
        <v>111</v>
      </c>
      <c r="M2702" t="s">
        <v>103</v>
      </c>
      <c r="N2702" t="s">
        <v>98</v>
      </c>
      <c r="O2702" t="s">
        <v>116</v>
      </c>
    </row>
    <row r="2703" spans="1:15" x14ac:dyDescent="0.3">
      <c r="A2703" s="130">
        <v>14938</v>
      </c>
      <c r="B2703" s="130">
        <v>18</v>
      </c>
      <c r="C2703" s="130" t="s">
        <v>4327</v>
      </c>
      <c r="D2703">
        <v>22652</v>
      </c>
      <c r="E2703" s="130">
        <v>19381283</v>
      </c>
      <c r="F2703" t="s">
        <v>87</v>
      </c>
      <c r="G2703">
        <v>76</v>
      </c>
      <c r="H2703" t="s">
        <v>8952</v>
      </c>
      <c r="I2703" s="131">
        <v>9</v>
      </c>
      <c r="J2703" t="s">
        <v>4327</v>
      </c>
      <c r="K2703" t="s">
        <v>95</v>
      </c>
      <c r="L2703" t="s">
        <v>163</v>
      </c>
      <c r="M2703" t="s">
        <v>112</v>
      </c>
      <c r="N2703" t="s">
        <v>98</v>
      </c>
      <c r="O2703" t="s">
        <v>116</v>
      </c>
    </row>
    <row r="2704" spans="1:15" x14ac:dyDescent="0.3">
      <c r="A2704" s="130">
        <v>14955</v>
      </c>
      <c r="B2704" s="130">
        <v>28</v>
      </c>
      <c r="C2704" s="130" t="s">
        <v>4328</v>
      </c>
      <c r="D2704">
        <v>22699</v>
      </c>
      <c r="E2704" s="130">
        <v>9480159</v>
      </c>
      <c r="F2704" t="s">
        <v>87</v>
      </c>
      <c r="G2704">
        <v>76</v>
      </c>
      <c r="H2704" t="s">
        <v>8953</v>
      </c>
      <c r="I2704" s="130">
        <v>24</v>
      </c>
      <c r="J2704" t="s">
        <v>4328</v>
      </c>
      <c r="K2704" t="s">
        <v>108</v>
      </c>
      <c r="L2704" t="s">
        <v>191</v>
      </c>
      <c r="M2704" t="s">
        <v>130</v>
      </c>
      <c r="N2704" t="s">
        <v>98</v>
      </c>
      <c r="O2704" t="s">
        <v>1345</v>
      </c>
    </row>
    <row r="2705" spans="1:15" x14ac:dyDescent="0.3">
      <c r="A2705" s="130">
        <v>14959</v>
      </c>
      <c r="B2705" s="130">
        <v>-1</v>
      </c>
      <c r="C2705" s="130" t="s">
        <v>4329</v>
      </c>
      <c r="D2705">
        <v>22703</v>
      </c>
      <c r="E2705" s="130">
        <v>58034315</v>
      </c>
      <c r="F2705" t="s">
        <v>87</v>
      </c>
      <c r="G2705">
        <v>76</v>
      </c>
      <c r="H2705" t="s">
        <v>8951</v>
      </c>
      <c r="I2705" s="130">
        <v>18</v>
      </c>
      <c r="J2705" t="s">
        <v>4329</v>
      </c>
      <c r="K2705" t="s">
        <v>108</v>
      </c>
      <c r="L2705" t="s">
        <v>123</v>
      </c>
      <c r="M2705" t="s">
        <v>174</v>
      </c>
      <c r="N2705" t="s">
        <v>98</v>
      </c>
      <c r="O2705" t="s">
        <v>1345</v>
      </c>
    </row>
    <row r="2706" spans="1:15" x14ac:dyDescent="0.3">
      <c r="A2706" s="130">
        <v>14960</v>
      </c>
      <c r="B2706" s="130">
        <v>-1</v>
      </c>
      <c r="C2706" s="130" t="s">
        <v>4330</v>
      </c>
      <c r="D2706">
        <v>22704</v>
      </c>
      <c r="E2706" s="130">
        <v>24255500</v>
      </c>
      <c r="F2706" t="s">
        <v>87</v>
      </c>
      <c r="G2706">
        <v>358</v>
      </c>
      <c r="H2706" t="s">
        <v>8952</v>
      </c>
      <c r="I2706" s="130">
        <v>3</v>
      </c>
      <c r="J2706" t="s">
        <v>4330</v>
      </c>
      <c r="K2706" t="s">
        <v>108</v>
      </c>
      <c r="L2706" t="s">
        <v>111</v>
      </c>
      <c r="M2706" t="s">
        <v>174</v>
      </c>
      <c r="N2706" t="s">
        <v>98</v>
      </c>
      <c r="O2706" t="s">
        <v>1345</v>
      </c>
    </row>
    <row r="2707" spans="1:15" x14ac:dyDescent="0.3">
      <c r="A2707" s="130">
        <v>14966</v>
      </c>
      <c r="B2707" s="130">
        <v>28</v>
      </c>
      <c r="C2707" s="130" t="s">
        <v>4331</v>
      </c>
      <c r="D2707">
        <v>22697</v>
      </c>
      <c r="E2707" s="130">
        <v>4787989</v>
      </c>
      <c r="F2707" t="s">
        <v>87</v>
      </c>
      <c r="G2707">
        <v>9135</v>
      </c>
      <c r="H2707" t="s">
        <v>8953</v>
      </c>
      <c r="I2707" s="130">
        <v>24</v>
      </c>
      <c r="J2707" t="s">
        <v>4331</v>
      </c>
      <c r="K2707" t="s">
        <v>108</v>
      </c>
      <c r="L2707" t="s">
        <v>191</v>
      </c>
      <c r="M2707" t="s">
        <v>130</v>
      </c>
      <c r="N2707" t="s">
        <v>98</v>
      </c>
      <c r="O2707" t="s">
        <v>1345</v>
      </c>
    </row>
    <row r="2708" spans="1:15" x14ac:dyDescent="0.3">
      <c r="A2708" s="130">
        <v>14968</v>
      </c>
      <c r="B2708" s="130">
        <v>10</v>
      </c>
      <c r="C2708" s="130" t="s">
        <v>4332</v>
      </c>
      <c r="D2708">
        <v>22095</v>
      </c>
      <c r="E2708" s="130">
        <v>1101750</v>
      </c>
      <c r="F2708" t="s">
        <v>113</v>
      </c>
      <c r="G2708">
        <v>76</v>
      </c>
      <c r="H2708" t="s">
        <v>8951</v>
      </c>
      <c r="I2708" s="131">
        <v>18</v>
      </c>
      <c r="J2708" t="s">
        <v>4332</v>
      </c>
      <c r="K2708" t="s">
        <v>108</v>
      </c>
      <c r="L2708" t="s">
        <v>153</v>
      </c>
      <c r="M2708" t="s">
        <v>133</v>
      </c>
      <c r="N2708" t="s">
        <v>98</v>
      </c>
      <c r="O2708" t="s">
        <v>1256</v>
      </c>
    </row>
    <row r="2709" spans="1:15" x14ac:dyDescent="0.3">
      <c r="A2709" s="130">
        <v>14970</v>
      </c>
      <c r="B2709" s="130">
        <v>60</v>
      </c>
      <c r="C2709" s="130" t="s">
        <v>4333</v>
      </c>
      <c r="D2709">
        <v>22720</v>
      </c>
      <c r="E2709" s="130">
        <v>33592510</v>
      </c>
      <c r="F2709" t="s">
        <v>87</v>
      </c>
      <c r="G2709">
        <v>77</v>
      </c>
      <c r="H2709" t="s">
        <v>8952</v>
      </c>
      <c r="I2709" s="131">
        <v>3</v>
      </c>
      <c r="J2709" t="s">
        <v>4333</v>
      </c>
      <c r="K2709" t="s">
        <v>95</v>
      </c>
      <c r="L2709" t="s">
        <v>117</v>
      </c>
      <c r="M2709" t="s">
        <v>97</v>
      </c>
      <c r="N2709" t="s">
        <v>124</v>
      </c>
      <c r="O2709" t="s">
        <v>1345</v>
      </c>
    </row>
    <row r="2710" spans="1:15" x14ac:dyDescent="0.3">
      <c r="A2710" s="130">
        <v>14982</v>
      </c>
      <c r="B2710" s="130">
        <v>6</v>
      </c>
      <c r="C2710" s="130" t="s">
        <v>4334</v>
      </c>
      <c r="D2710">
        <v>22732</v>
      </c>
      <c r="E2710" s="130">
        <v>26003244</v>
      </c>
      <c r="F2710" t="s">
        <v>87</v>
      </c>
      <c r="G2710">
        <v>358</v>
      </c>
      <c r="H2710" t="s">
        <v>8953</v>
      </c>
      <c r="I2710" s="131">
        <v>3</v>
      </c>
      <c r="J2710" t="s">
        <v>4334</v>
      </c>
      <c r="K2710" t="s">
        <v>95</v>
      </c>
      <c r="L2710" t="s">
        <v>109</v>
      </c>
      <c r="M2710" t="s">
        <v>205</v>
      </c>
      <c r="N2710" t="s">
        <v>98</v>
      </c>
      <c r="O2710" t="s">
        <v>1345</v>
      </c>
    </row>
    <row r="2711" spans="1:15" x14ac:dyDescent="0.3">
      <c r="A2711" s="130">
        <v>14993</v>
      </c>
      <c r="B2711" s="130">
        <v>7</v>
      </c>
      <c r="C2711" s="130" t="s">
        <v>4335</v>
      </c>
      <c r="D2711">
        <v>22754</v>
      </c>
      <c r="E2711" s="130">
        <v>39838786</v>
      </c>
      <c r="F2711" t="s">
        <v>87</v>
      </c>
      <c r="G2711">
        <v>76</v>
      </c>
      <c r="H2711" t="s">
        <v>8951</v>
      </c>
      <c r="I2711" s="130">
        <v>19</v>
      </c>
      <c r="J2711" t="s">
        <v>4335</v>
      </c>
      <c r="K2711" t="s">
        <v>108</v>
      </c>
      <c r="L2711" t="s">
        <v>252</v>
      </c>
      <c r="M2711" t="s">
        <v>197</v>
      </c>
      <c r="N2711" t="s">
        <v>124</v>
      </c>
      <c r="O2711" t="s">
        <v>1345</v>
      </c>
    </row>
    <row r="2712" spans="1:15" x14ac:dyDescent="0.3">
      <c r="A2712" s="130">
        <v>14999</v>
      </c>
      <c r="B2712" s="130">
        <v>18</v>
      </c>
      <c r="C2712" s="130" t="s">
        <v>4336</v>
      </c>
      <c r="D2712">
        <v>22758</v>
      </c>
      <c r="E2712" s="130">
        <v>15002381</v>
      </c>
      <c r="F2712" t="s">
        <v>87</v>
      </c>
      <c r="G2712">
        <v>76</v>
      </c>
      <c r="H2712" t="s">
        <v>8952</v>
      </c>
      <c r="I2712" s="131">
        <v>37</v>
      </c>
      <c r="J2712" t="s">
        <v>4336</v>
      </c>
      <c r="K2712" t="s">
        <v>95</v>
      </c>
      <c r="L2712" t="s">
        <v>138</v>
      </c>
      <c r="M2712" t="s">
        <v>112</v>
      </c>
      <c r="N2712" t="s">
        <v>150</v>
      </c>
      <c r="O2712" t="s">
        <v>116</v>
      </c>
    </row>
    <row r="2713" spans="1:15" x14ac:dyDescent="0.3">
      <c r="A2713" s="130">
        <v>15006</v>
      </c>
      <c r="B2713" s="130">
        <v>25</v>
      </c>
      <c r="C2713" s="130" t="s">
        <v>4337</v>
      </c>
      <c r="D2713">
        <v>22773</v>
      </c>
      <c r="E2713" s="131">
        <v>6232484</v>
      </c>
      <c r="F2713" t="s">
        <v>87</v>
      </c>
      <c r="G2713">
        <v>76</v>
      </c>
      <c r="H2713" t="s">
        <v>8953</v>
      </c>
      <c r="I2713" s="131">
        <v>10</v>
      </c>
      <c r="J2713" t="s">
        <v>4337</v>
      </c>
      <c r="K2713" t="s">
        <v>95</v>
      </c>
      <c r="L2713" t="s">
        <v>105</v>
      </c>
      <c r="M2713" t="s">
        <v>164</v>
      </c>
      <c r="N2713" t="s">
        <v>98</v>
      </c>
      <c r="O2713" t="s">
        <v>116</v>
      </c>
    </row>
    <row r="2714" spans="1:15" x14ac:dyDescent="0.3">
      <c r="A2714" s="130">
        <v>15014</v>
      </c>
      <c r="B2714" s="130">
        <v>21</v>
      </c>
      <c r="C2714" s="130" t="s">
        <v>4338</v>
      </c>
      <c r="D2714">
        <v>22791</v>
      </c>
      <c r="E2714" s="131">
        <v>1342638</v>
      </c>
      <c r="F2714" t="s">
        <v>87</v>
      </c>
      <c r="G2714">
        <v>76</v>
      </c>
      <c r="H2714" t="s">
        <v>8951</v>
      </c>
      <c r="I2714" s="131">
        <v>3</v>
      </c>
      <c r="J2714" t="s">
        <v>4338</v>
      </c>
      <c r="K2714" t="s">
        <v>95</v>
      </c>
      <c r="L2714" t="s">
        <v>111</v>
      </c>
      <c r="M2714" t="s">
        <v>137</v>
      </c>
      <c r="N2714" t="s">
        <v>122</v>
      </c>
      <c r="O2714" t="s">
        <v>1345</v>
      </c>
    </row>
    <row r="2715" spans="1:15" x14ac:dyDescent="0.3">
      <c r="A2715" s="130">
        <v>15043</v>
      </c>
      <c r="B2715" s="130">
        <v>30</v>
      </c>
      <c r="C2715" s="130" t="s">
        <v>4339</v>
      </c>
      <c r="D2715">
        <v>22833</v>
      </c>
      <c r="E2715" s="130">
        <v>51466860</v>
      </c>
      <c r="F2715" t="s">
        <v>87</v>
      </c>
      <c r="G2715">
        <v>76</v>
      </c>
      <c r="H2715" t="s">
        <v>8952</v>
      </c>
      <c r="I2715" s="131">
        <v>37</v>
      </c>
      <c r="J2715" t="s">
        <v>4339</v>
      </c>
      <c r="K2715" t="s">
        <v>95</v>
      </c>
      <c r="L2715" t="s">
        <v>144</v>
      </c>
      <c r="M2715" t="s">
        <v>103</v>
      </c>
      <c r="N2715" t="s">
        <v>114</v>
      </c>
      <c r="O2715" t="s">
        <v>116</v>
      </c>
    </row>
    <row r="2716" spans="1:15" x14ac:dyDescent="0.3">
      <c r="A2716" s="130">
        <v>15054</v>
      </c>
      <c r="B2716" s="130">
        <v>18</v>
      </c>
      <c r="C2716" s="130" t="s">
        <v>4340</v>
      </c>
      <c r="D2716">
        <v>22860</v>
      </c>
      <c r="E2716" s="131">
        <v>17513244</v>
      </c>
      <c r="F2716" t="s">
        <v>87</v>
      </c>
      <c r="G2716">
        <v>76</v>
      </c>
      <c r="H2716" t="s">
        <v>8953</v>
      </c>
      <c r="I2716" s="130">
        <v>26</v>
      </c>
      <c r="J2716" t="s">
        <v>4340</v>
      </c>
      <c r="K2716" t="s">
        <v>108</v>
      </c>
      <c r="L2716" t="s">
        <v>151</v>
      </c>
      <c r="M2716" t="s">
        <v>112</v>
      </c>
      <c r="N2716" t="s">
        <v>98</v>
      </c>
      <c r="O2716" t="s">
        <v>1345</v>
      </c>
    </row>
    <row r="2717" spans="1:15" x14ac:dyDescent="0.3">
      <c r="A2717" s="130">
        <v>15061</v>
      </c>
      <c r="B2717" s="130">
        <v>21</v>
      </c>
      <c r="C2717" s="130" t="s">
        <v>4341</v>
      </c>
      <c r="D2717">
        <v>22868</v>
      </c>
      <c r="E2717" s="130">
        <v>19942283</v>
      </c>
      <c r="F2717" t="s">
        <v>87</v>
      </c>
      <c r="G2717">
        <v>76</v>
      </c>
      <c r="H2717" t="s">
        <v>8951</v>
      </c>
      <c r="I2717" s="131">
        <v>3</v>
      </c>
      <c r="J2717" t="s">
        <v>4341</v>
      </c>
      <c r="K2717" t="s">
        <v>95</v>
      </c>
      <c r="L2717" t="s">
        <v>111</v>
      </c>
      <c r="M2717" t="s">
        <v>137</v>
      </c>
      <c r="N2717" t="s">
        <v>98</v>
      </c>
      <c r="O2717" t="s">
        <v>1345</v>
      </c>
    </row>
    <row r="2718" spans="1:15" x14ac:dyDescent="0.3">
      <c r="A2718" s="130">
        <v>15082</v>
      </c>
      <c r="B2718" s="130">
        <v>30</v>
      </c>
      <c r="C2718" s="130" t="s">
        <v>4342</v>
      </c>
      <c r="D2718">
        <v>22886</v>
      </c>
      <c r="E2718" s="131">
        <v>7522191</v>
      </c>
      <c r="F2718" t="s">
        <v>87</v>
      </c>
      <c r="G2718">
        <v>76</v>
      </c>
      <c r="H2718" t="s">
        <v>8952</v>
      </c>
      <c r="I2718" s="131">
        <v>24</v>
      </c>
      <c r="J2718" t="s">
        <v>4342</v>
      </c>
      <c r="K2718" t="s">
        <v>95</v>
      </c>
      <c r="L2718" t="s">
        <v>111</v>
      </c>
      <c r="M2718" t="s">
        <v>103</v>
      </c>
      <c r="N2718" t="s">
        <v>98</v>
      </c>
      <c r="O2718" t="s">
        <v>1345</v>
      </c>
    </row>
    <row r="2719" spans="1:15" x14ac:dyDescent="0.3">
      <c r="A2719" s="130">
        <v>15087</v>
      </c>
      <c r="B2719" s="130">
        <v>30</v>
      </c>
      <c r="C2719" s="130" t="s">
        <v>4343</v>
      </c>
      <c r="D2719">
        <v>22891</v>
      </c>
      <c r="E2719" s="130">
        <v>15151317</v>
      </c>
      <c r="F2719" t="s">
        <v>87</v>
      </c>
      <c r="G2719">
        <v>76</v>
      </c>
      <c r="H2719" t="s">
        <v>8953</v>
      </c>
      <c r="I2719" s="130">
        <v>19</v>
      </c>
      <c r="J2719" t="s">
        <v>4343</v>
      </c>
      <c r="K2719" t="s">
        <v>108</v>
      </c>
      <c r="L2719" t="s">
        <v>146</v>
      </c>
      <c r="M2719" t="s">
        <v>103</v>
      </c>
      <c r="N2719" t="s">
        <v>98</v>
      </c>
      <c r="O2719" t="s">
        <v>116</v>
      </c>
    </row>
    <row r="2720" spans="1:15" x14ac:dyDescent="0.3">
      <c r="A2720" s="130">
        <v>15094</v>
      </c>
      <c r="B2720" s="130">
        <v>18</v>
      </c>
      <c r="C2720" s="130" t="s">
        <v>4344</v>
      </c>
      <c r="D2720">
        <v>22902</v>
      </c>
      <c r="E2720" s="130">
        <v>17185786</v>
      </c>
      <c r="F2720" t="s">
        <v>87</v>
      </c>
      <c r="G2720">
        <v>358</v>
      </c>
      <c r="H2720" t="s">
        <v>8951</v>
      </c>
      <c r="I2720" s="131">
        <v>10</v>
      </c>
      <c r="J2720" t="s">
        <v>4344</v>
      </c>
      <c r="K2720" t="s">
        <v>95</v>
      </c>
      <c r="L2720" t="s">
        <v>105</v>
      </c>
      <c r="M2720" t="s">
        <v>112</v>
      </c>
      <c r="N2720" t="s">
        <v>98</v>
      </c>
      <c r="O2720" t="s">
        <v>116</v>
      </c>
    </row>
    <row r="2721" spans="1:15" x14ac:dyDescent="0.3">
      <c r="A2721" s="130">
        <v>15098</v>
      </c>
      <c r="B2721" s="130" t="s">
        <v>135</v>
      </c>
      <c r="C2721" s="130" t="s">
        <v>4345</v>
      </c>
      <c r="D2721">
        <v>22907</v>
      </c>
      <c r="E2721" s="130">
        <v>83646547</v>
      </c>
      <c r="F2721" t="s">
        <v>87</v>
      </c>
      <c r="G2721">
        <v>358</v>
      </c>
      <c r="H2721" t="s">
        <v>8952</v>
      </c>
      <c r="I2721" s="130">
        <v>10</v>
      </c>
      <c r="J2721" t="s">
        <v>4345</v>
      </c>
      <c r="K2721" t="s">
        <v>95</v>
      </c>
      <c r="L2721" t="s">
        <v>111</v>
      </c>
      <c r="M2721" t="s">
        <v>136</v>
      </c>
      <c r="N2721" t="s">
        <v>98</v>
      </c>
      <c r="O2721" t="s">
        <v>116</v>
      </c>
    </row>
    <row r="2722" spans="1:15" x14ac:dyDescent="0.3">
      <c r="A2722" s="130">
        <v>15103</v>
      </c>
      <c r="B2722" s="130">
        <v>30</v>
      </c>
      <c r="C2722" s="130" t="s">
        <v>4346</v>
      </c>
      <c r="D2722">
        <v>22915</v>
      </c>
      <c r="E2722" s="130">
        <v>33000167</v>
      </c>
      <c r="F2722" t="s">
        <v>87</v>
      </c>
      <c r="G2722">
        <v>77</v>
      </c>
      <c r="H2722" t="s">
        <v>8953</v>
      </c>
      <c r="I2722" s="130">
        <v>18</v>
      </c>
      <c r="J2722" t="s">
        <v>4346</v>
      </c>
      <c r="K2722" t="s">
        <v>95</v>
      </c>
      <c r="L2722" t="s">
        <v>256</v>
      </c>
      <c r="M2722" t="s">
        <v>103</v>
      </c>
      <c r="N2722" t="s">
        <v>169</v>
      </c>
      <c r="O2722" t="s">
        <v>1345</v>
      </c>
    </row>
    <row r="2723" spans="1:15" x14ac:dyDescent="0.3">
      <c r="A2723" s="130">
        <v>15111</v>
      </c>
      <c r="B2723" s="130">
        <v>30</v>
      </c>
      <c r="C2723" s="130" t="s">
        <v>4347</v>
      </c>
      <c r="D2723">
        <v>22934</v>
      </c>
      <c r="E2723" s="131">
        <v>51466860</v>
      </c>
      <c r="F2723" t="s">
        <v>87</v>
      </c>
      <c r="G2723">
        <v>76</v>
      </c>
      <c r="H2723" t="s">
        <v>8951</v>
      </c>
      <c r="I2723" s="130">
        <v>37</v>
      </c>
      <c r="J2723" t="s">
        <v>4347</v>
      </c>
      <c r="K2723" t="s">
        <v>95</v>
      </c>
      <c r="L2723" t="s">
        <v>144</v>
      </c>
      <c r="M2723" t="s">
        <v>103</v>
      </c>
      <c r="N2723" t="s">
        <v>141</v>
      </c>
      <c r="O2723" t="s">
        <v>116</v>
      </c>
    </row>
    <row r="2724" spans="1:15" x14ac:dyDescent="0.3">
      <c r="A2724" s="130">
        <v>15114</v>
      </c>
      <c r="B2724" s="130">
        <v>10</v>
      </c>
      <c r="C2724" s="130" t="s">
        <v>4348</v>
      </c>
      <c r="D2724">
        <v>22936</v>
      </c>
      <c r="E2724" s="131">
        <v>44848167</v>
      </c>
      <c r="F2724" t="s">
        <v>87</v>
      </c>
      <c r="G2724">
        <v>358</v>
      </c>
      <c r="H2724" t="s">
        <v>8952</v>
      </c>
      <c r="I2724" s="131">
        <v>3</v>
      </c>
      <c r="J2724" t="s">
        <v>4348</v>
      </c>
      <c r="K2724" t="s">
        <v>108</v>
      </c>
      <c r="L2724" t="s">
        <v>109</v>
      </c>
      <c r="M2724" t="s">
        <v>133</v>
      </c>
      <c r="N2724" t="s">
        <v>98</v>
      </c>
      <c r="O2724" t="s">
        <v>116</v>
      </c>
    </row>
    <row r="2725" spans="1:15" x14ac:dyDescent="0.3">
      <c r="A2725" s="130">
        <v>15117</v>
      </c>
      <c r="B2725" s="130">
        <v>30</v>
      </c>
      <c r="C2725" s="130" t="s">
        <v>4349</v>
      </c>
      <c r="D2725">
        <v>22942</v>
      </c>
      <c r="E2725" s="130">
        <v>25142132</v>
      </c>
      <c r="F2725" t="s">
        <v>87</v>
      </c>
      <c r="G2725">
        <v>76</v>
      </c>
      <c r="H2725" t="s">
        <v>8953</v>
      </c>
      <c r="I2725" s="130">
        <v>19</v>
      </c>
      <c r="J2725" t="s">
        <v>4349</v>
      </c>
      <c r="K2725" t="s">
        <v>108</v>
      </c>
      <c r="L2725" t="s">
        <v>146</v>
      </c>
      <c r="M2725" t="s">
        <v>103</v>
      </c>
      <c r="N2725" t="s">
        <v>150</v>
      </c>
      <c r="O2725" t="s">
        <v>1345</v>
      </c>
    </row>
    <row r="2726" spans="1:15" x14ac:dyDescent="0.3">
      <c r="A2726" s="130">
        <v>15122</v>
      </c>
      <c r="B2726" s="130">
        <v>28</v>
      </c>
      <c r="C2726" s="130" t="s">
        <v>4350</v>
      </c>
      <c r="D2726">
        <v>22953</v>
      </c>
      <c r="E2726" s="130">
        <v>42320422</v>
      </c>
      <c r="F2726" t="s">
        <v>87</v>
      </c>
      <c r="G2726">
        <v>76</v>
      </c>
      <c r="H2726" t="s">
        <v>8951</v>
      </c>
      <c r="I2726" s="131">
        <v>37</v>
      </c>
      <c r="J2726" t="s">
        <v>4350</v>
      </c>
      <c r="K2726" t="s">
        <v>95</v>
      </c>
      <c r="L2726" t="s">
        <v>138</v>
      </c>
      <c r="M2726" t="s">
        <v>130</v>
      </c>
      <c r="N2726" t="s">
        <v>150</v>
      </c>
      <c r="O2726" t="s">
        <v>1345</v>
      </c>
    </row>
    <row r="2727" spans="1:15" x14ac:dyDescent="0.3">
      <c r="A2727" s="130">
        <v>15125</v>
      </c>
      <c r="B2727" s="130">
        <v>28</v>
      </c>
      <c r="C2727" s="130" t="s">
        <v>4351</v>
      </c>
      <c r="D2727">
        <v>22957</v>
      </c>
      <c r="E2727" s="131">
        <v>24013278</v>
      </c>
      <c r="F2727" t="s">
        <v>87</v>
      </c>
      <c r="G2727">
        <v>76</v>
      </c>
      <c r="H2727" t="s">
        <v>8952</v>
      </c>
      <c r="I2727" s="131">
        <v>43</v>
      </c>
      <c r="J2727" t="s">
        <v>4351</v>
      </c>
      <c r="K2727" t="s">
        <v>95</v>
      </c>
      <c r="L2727" t="s">
        <v>1241</v>
      </c>
      <c r="M2727" t="s">
        <v>130</v>
      </c>
      <c r="N2727" t="s">
        <v>98</v>
      </c>
      <c r="O2727" t="s">
        <v>1256</v>
      </c>
    </row>
    <row r="2728" spans="1:15" x14ac:dyDescent="0.3">
      <c r="A2728" s="130">
        <v>15126</v>
      </c>
      <c r="B2728" s="130">
        <v>28</v>
      </c>
      <c r="C2728" s="130" t="s">
        <v>4352</v>
      </c>
      <c r="D2728">
        <v>22958</v>
      </c>
      <c r="E2728" s="131">
        <v>9625762</v>
      </c>
      <c r="F2728" t="s">
        <v>87</v>
      </c>
      <c r="G2728">
        <v>76</v>
      </c>
      <c r="H2728" t="s">
        <v>8953</v>
      </c>
      <c r="I2728" s="130">
        <v>43</v>
      </c>
      <c r="J2728" t="s">
        <v>4352</v>
      </c>
      <c r="K2728" t="s">
        <v>95</v>
      </c>
      <c r="L2728" t="s">
        <v>173</v>
      </c>
      <c r="M2728" t="s">
        <v>130</v>
      </c>
      <c r="N2728" t="s">
        <v>150</v>
      </c>
      <c r="O2728" t="s">
        <v>1345</v>
      </c>
    </row>
    <row r="2729" spans="1:15" x14ac:dyDescent="0.3">
      <c r="A2729" s="130">
        <v>15129</v>
      </c>
      <c r="B2729" s="130">
        <v>30</v>
      </c>
      <c r="C2729" s="130" t="s">
        <v>4353</v>
      </c>
      <c r="D2729">
        <v>22523</v>
      </c>
      <c r="E2729" s="131">
        <v>17227422</v>
      </c>
      <c r="F2729" t="s">
        <v>87</v>
      </c>
      <c r="G2729">
        <v>77</v>
      </c>
      <c r="H2729" t="s">
        <v>8951</v>
      </c>
      <c r="I2729" s="131">
        <v>3</v>
      </c>
      <c r="J2729" t="s">
        <v>4353</v>
      </c>
      <c r="K2729" t="s">
        <v>95</v>
      </c>
      <c r="L2729" t="s">
        <v>256</v>
      </c>
      <c r="M2729" t="s">
        <v>103</v>
      </c>
      <c r="N2729" t="s">
        <v>104</v>
      </c>
      <c r="O2729" t="s">
        <v>116</v>
      </c>
    </row>
    <row r="2730" spans="1:15" x14ac:dyDescent="0.3">
      <c r="A2730" s="130">
        <v>15151</v>
      </c>
      <c r="B2730" s="130">
        <v>30</v>
      </c>
      <c r="C2730" s="130" t="s">
        <v>4354</v>
      </c>
      <c r="D2730">
        <v>22999</v>
      </c>
      <c r="E2730" s="130">
        <v>7376851</v>
      </c>
      <c r="F2730" t="s">
        <v>87</v>
      </c>
      <c r="G2730">
        <v>76</v>
      </c>
      <c r="H2730" t="s">
        <v>8952</v>
      </c>
      <c r="I2730" s="130">
        <v>37</v>
      </c>
      <c r="J2730" t="s">
        <v>4354</v>
      </c>
      <c r="K2730" t="s">
        <v>108</v>
      </c>
      <c r="L2730" t="s">
        <v>138</v>
      </c>
      <c r="M2730" t="s">
        <v>103</v>
      </c>
      <c r="N2730" t="s">
        <v>114</v>
      </c>
      <c r="O2730" t="s">
        <v>1345</v>
      </c>
    </row>
    <row r="2731" spans="1:15" x14ac:dyDescent="0.3">
      <c r="A2731" s="130">
        <v>15157</v>
      </c>
      <c r="B2731" s="130">
        <v>30</v>
      </c>
      <c r="C2731" s="130" t="s">
        <v>4355</v>
      </c>
      <c r="D2731">
        <v>23007</v>
      </c>
      <c r="E2731" s="130">
        <v>39740084</v>
      </c>
      <c r="F2731" t="s">
        <v>87</v>
      </c>
      <c r="G2731">
        <v>76</v>
      </c>
      <c r="H2731" t="s">
        <v>8953</v>
      </c>
      <c r="I2731" s="131">
        <v>9</v>
      </c>
      <c r="J2731" t="s">
        <v>4355</v>
      </c>
      <c r="K2731" t="s">
        <v>108</v>
      </c>
      <c r="L2731" t="s">
        <v>181</v>
      </c>
      <c r="M2731" t="s">
        <v>103</v>
      </c>
      <c r="N2731" t="s">
        <v>98</v>
      </c>
      <c r="O2731" t="s">
        <v>116</v>
      </c>
    </row>
    <row r="2732" spans="1:15" x14ac:dyDescent="0.3">
      <c r="A2732" s="130">
        <v>15169</v>
      </c>
      <c r="B2732" s="130">
        <v>30</v>
      </c>
      <c r="C2732" s="130" t="s">
        <v>4356</v>
      </c>
      <c r="D2732">
        <v>23022</v>
      </c>
      <c r="E2732" s="130">
        <v>19708406</v>
      </c>
      <c r="F2732" t="s">
        <v>87</v>
      </c>
      <c r="G2732">
        <v>77</v>
      </c>
      <c r="H2732" t="s">
        <v>8951</v>
      </c>
      <c r="I2732" s="130">
        <v>3</v>
      </c>
      <c r="J2732" t="s">
        <v>4356</v>
      </c>
      <c r="K2732" t="s">
        <v>95</v>
      </c>
      <c r="L2732" t="s">
        <v>235</v>
      </c>
      <c r="M2732" t="s">
        <v>103</v>
      </c>
      <c r="N2732" t="s">
        <v>118</v>
      </c>
      <c r="O2732" t="s">
        <v>1256</v>
      </c>
    </row>
    <row r="2733" spans="1:15" x14ac:dyDescent="0.3">
      <c r="A2733" s="130">
        <v>15174</v>
      </c>
      <c r="B2733" s="130">
        <v>30</v>
      </c>
      <c r="C2733" s="130" t="s">
        <v>4357</v>
      </c>
      <c r="D2733">
        <v>23029</v>
      </c>
      <c r="E2733" s="131">
        <v>8343492</v>
      </c>
      <c r="F2733" t="s">
        <v>87</v>
      </c>
      <c r="G2733">
        <v>76</v>
      </c>
      <c r="H2733" t="s">
        <v>8952</v>
      </c>
      <c r="I2733" s="130">
        <v>37</v>
      </c>
      <c r="J2733" t="s">
        <v>4357</v>
      </c>
      <c r="K2733" t="s">
        <v>95</v>
      </c>
      <c r="L2733" t="s">
        <v>138</v>
      </c>
      <c r="M2733" t="s">
        <v>103</v>
      </c>
      <c r="N2733" t="s">
        <v>150</v>
      </c>
      <c r="O2733" t="s">
        <v>1345</v>
      </c>
    </row>
    <row r="2734" spans="1:15" x14ac:dyDescent="0.3">
      <c r="A2734" s="130">
        <v>15194</v>
      </c>
      <c r="B2734" s="130">
        <v>21</v>
      </c>
      <c r="C2734" s="130" t="s">
        <v>4358</v>
      </c>
      <c r="D2734">
        <v>23060</v>
      </c>
      <c r="E2734" s="130">
        <v>740230</v>
      </c>
      <c r="F2734" t="s">
        <v>87</v>
      </c>
      <c r="G2734">
        <v>358</v>
      </c>
      <c r="H2734" t="s">
        <v>8953</v>
      </c>
      <c r="I2734" s="131">
        <v>24</v>
      </c>
      <c r="J2734" t="s">
        <v>4358</v>
      </c>
      <c r="K2734" t="s">
        <v>108</v>
      </c>
      <c r="L2734" t="s">
        <v>109</v>
      </c>
      <c r="M2734" t="s">
        <v>137</v>
      </c>
      <c r="N2734" t="s">
        <v>98</v>
      </c>
      <c r="O2734" t="s">
        <v>116</v>
      </c>
    </row>
    <row r="2735" spans="1:15" x14ac:dyDescent="0.3">
      <c r="A2735" s="130">
        <v>15200</v>
      </c>
      <c r="B2735" s="130">
        <v>15</v>
      </c>
      <c r="C2735" s="130" t="s">
        <v>4359</v>
      </c>
      <c r="D2735">
        <v>23070</v>
      </c>
      <c r="E2735" s="130">
        <v>19795706</v>
      </c>
      <c r="F2735" t="s">
        <v>87</v>
      </c>
      <c r="G2735">
        <v>76</v>
      </c>
      <c r="H2735" t="s">
        <v>8951</v>
      </c>
      <c r="I2735" s="130">
        <v>19</v>
      </c>
      <c r="J2735" t="s">
        <v>4359</v>
      </c>
      <c r="K2735" t="s">
        <v>108</v>
      </c>
      <c r="L2735" t="s">
        <v>146</v>
      </c>
      <c r="M2735" t="s">
        <v>145</v>
      </c>
      <c r="N2735" t="s">
        <v>101</v>
      </c>
      <c r="O2735" t="s">
        <v>116</v>
      </c>
    </row>
    <row r="2736" spans="1:15" x14ac:dyDescent="0.3">
      <c r="A2736" s="130">
        <v>15220</v>
      </c>
      <c r="B2736" s="130">
        <v>30</v>
      </c>
      <c r="C2736" s="130" t="s">
        <v>4360</v>
      </c>
      <c r="D2736">
        <v>23092</v>
      </c>
      <c r="E2736" s="130">
        <v>90354796</v>
      </c>
      <c r="F2736" t="s">
        <v>87</v>
      </c>
      <c r="G2736">
        <v>76</v>
      </c>
      <c r="H2736" t="s">
        <v>8952</v>
      </c>
      <c r="I2736" s="130">
        <v>18</v>
      </c>
      <c r="J2736" t="s">
        <v>4360</v>
      </c>
      <c r="K2736" t="s">
        <v>108</v>
      </c>
      <c r="L2736" t="s">
        <v>123</v>
      </c>
      <c r="M2736" t="s">
        <v>103</v>
      </c>
      <c r="N2736" t="s">
        <v>98</v>
      </c>
      <c r="O2736" t="s">
        <v>1345</v>
      </c>
    </row>
    <row r="2737" spans="1:15" x14ac:dyDescent="0.3">
      <c r="A2737" s="130">
        <v>15223</v>
      </c>
      <c r="B2737" s="130">
        <v>28</v>
      </c>
      <c r="C2737" s="130" t="s">
        <v>4361</v>
      </c>
      <c r="D2737">
        <v>23094</v>
      </c>
      <c r="E2737" s="131">
        <v>7522191</v>
      </c>
      <c r="F2737" t="s">
        <v>87</v>
      </c>
      <c r="G2737">
        <v>76</v>
      </c>
      <c r="H2737" t="s">
        <v>8953</v>
      </c>
      <c r="I2737" s="130">
        <v>43</v>
      </c>
      <c r="J2737" t="s">
        <v>4361</v>
      </c>
      <c r="K2737" t="s">
        <v>95</v>
      </c>
      <c r="L2737" t="s">
        <v>173</v>
      </c>
      <c r="M2737" t="s">
        <v>130</v>
      </c>
      <c r="N2737" t="s">
        <v>98</v>
      </c>
      <c r="O2737" t="s">
        <v>1345</v>
      </c>
    </row>
    <row r="2738" spans="1:15" x14ac:dyDescent="0.3">
      <c r="A2738" s="130">
        <v>15225</v>
      </c>
      <c r="B2738" s="130">
        <v>60</v>
      </c>
      <c r="C2738" s="130" t="s">
        <v>4362</v>
      </c>
      <c r="D2738">
        <v>23098</v>
      </c>
      <c r="E2738" s="131">
        <v>9625762</v>
      </c>
      <c r="F2738" t="s">
        <v>87</v>
      </c>
      <c r="G2738">
        <v>76</v>
      </c>
      <c r="H2738" t="s">
        <v>8951</v>
      </c>
      <c r="I2738" s="130">
        <v>19</v>
      </c>
      <c r="J2738" t="s">
        <v>4362</v>
      </c>
      <c r="K2738" t="s">
        <v>95</v>
      </c>
      <c r="L2738" t="s">
        <v>1368</v>
      </c>
      <c r="M2738" t="s">
        <v>97</v>
      </c>
      <c r="N2738" t="s">
        <v>150</v>
      </c>
      <c r="O2738" t="s">
        <v>116</v>
      </c>
    </row>
    <row r="2739" spans="1:15" x14ac:dyDescent="0.3">
      <c r="A2739" s="130">
        <v>15226</v>
      </c>
      <c r="B2739" s="130">
        <v>28</v>
      </c>
      <c r="C2739" s="130" t="s">
        <v>4363</v>
      </c>
      <c r="D2739">
        <v>23104</v>
      </c>
      <c r="E2739" s="130">
        <v>1294551</v>
      </c>
      <c r="F2739" t="s">
        <v>87</v>
      </c>
      <c r="G2739">
        <v>76</v>
      </c>
      <c r="H2739" t="s">
        <v>8952</v>
      </c>
      <c r="I2739" s="131">
        <v>43</v>
      </c>
      <c r="J2739" t="s">
        <v>4363</v>
      </c>
      <c r="K2739" t="s">
        <v>108</v>
      </c>
      <c r="L2739" t="s">
        <v>173</v>
      </c>
      <c r="M2739" t="s">
        <v>130</v>
      </c>
      <c r="N2739" t="s">
        <v>98</v>
      </c>
      <c r="O2739" t="s">
        <v>1345</v>
      </c>
    </row>
    <row r="2740" spans="1:15" x14ac:dyDescent="0.3">
      <c r="A2740" s="130">
        <v>15233</v>
      </c>
      <c r="B2740" s="130">
        <v>0</v>
      </c>
      <c r="C2740" s="130" t="s">
        <v>4364</v>
      </c>
      <c r="D2740">
        <v>23113</v>
      </c>
      <c r="E2740" s="130">
        <v>7319674</v>
      </c>
      <c r="F2740" t="s">
        <v>87</v>
      </c>
      <c r="G2740">
        <v>76</v>
      </c>
      <c r="H2740" t="s">
        <v>8953</v>
      </c>
      <c r="I2740" s="130">
        <v>26</v>
      </c>
      <c r="J2740" t="s">
        <v>4364</v>
      </c>
      <c r="K2740" t="s">
        <v>108</v>
      </c>
      <c r="L2740" t="s">
        <v>151</v>
      </c>
      <c r="M2740" t="s">
        <v>100</v>
      </c>
      <c r="N2740" t="s">
        <v>152</v>
      </c>
      <c r="O2740" t="s">
        <v>1345</v>
      </c>
    </row>
    <row r="2741" spans="1:15" x14ac:dyDescent="0.3">
      <c r="A2741" s="130">
        <v>15239</v>
      </c>
      <c r="B2741" s="130">
        <v>30</v>
      </c>
      <c r="C2741" s="130" t="s">
        <v>4365</v>
      </c>
      <c r="D2741">
        <v>23123</v>
      </c>
      <c r="E2741" s="130">
        <v>48549363</v>
      </c>
      <c r="F2741" t="s">
        <v>87</v>
      </c>
      <c r="G2741">
        <v>76</v>
      </c>
      <c r="H2741" t="s">
        <v>8951</v>
      </c>
      <c r="I2741" s="130">
        <v>19</v>
      </c>
      <c r="J2741" t="s">
        <v>4365</v>
      </c>
      <c r="K2741" t="s">
        <v>108</v>
      </c>
      <c r="L2741" t="s">
        <v>146</v>
      </c>
      <c r="M2741" t="s">
        <v>103</v>
      </c>
      <c r="N2741" t="s">
        <v>150</v>
      </c>
      <c r="O2741" t="s">
        <v>116</v>
      </c>
    </row>
    <row r="2742" spans="1:15" x14ac:dyDescent="0.3">
      <c r="A2742" s="130">
        <v>15251</v>
      </c>
      <c r="B2742" s="130">
        <v>30</v>
      </c>
      <c r="C2742" s="130" t="s">
        <v>4366</v>
      </c>
      <c r="D2742">
        <v>23145</v>
      </c>
      <c r="E2742" s="130">
        <v>7522191</v>
      </c>
      <c r="F2742" t="s">
        <v>87</v>
      </c>
      <c r="G2742">
        <v>76</v>
      </c>
      <c r="H2742" t="s">
        <v>8952</v>
      </c>
      <c r="I2742" s="130">
        <v>10</v>
      </c>
      <c r="J2742" t="s">
        <v>4366</v>
      </c>
      <c r="K2742" t="s">
        <v>95</v>
      </c>
      <c r="L2742" t="s">
        <v>127</v>
      </c>
      <c r="M2742" t="s">
        <v>103</v>
      </c>
      <c r="N2742" t="s">
        <v>118</v>
      </c>
      <c r="O2742" t="s">
        <v>116</v>
      </c>
    </row>
    <row r="2743" spans="1:15" x14ac:dyDescent="0.3">
      <c r="A2743" s="130">
        <v>15254</v>
      </c>
      <c r="B2743" s="130">
        <v>15</v>
      </c>
      <c r="C2743" s="130" t="s">
        <v>4367</v>
      </c>
      <c r="D2743">
        <v>23151</v>
      </c>
      <c r="E2743" s="130">
        <v>12272426</v>
      </c>
      <c r="F2743" t="s">
        <v>87</v>
      </c>
      <c r="G2743">
        <v>76</v>
      </c>
      <c r="H2743" t="s">
        <v>8953</v>
      </c>
      <c r="I2743" s="130">
        <v>19</v>
      </c>
      <c r="J2743" t="s">
        <v>4367</v>
      </c>
      <c r="K2743" t="s">
        <v>108</v>
      </c>
      <c r="L2743" t="s">
        <v>146</v>
      </c>
      <c r="M2743" t="s">
        <v>145</v>
      </c>
      <c r="N2743" t="s">
        <v>98</v>
      </c>
      <c r="O2743" t="s">
        <v>1345</v>
      </c>
    </row>
    <row r="2744" spans="1:15" x14ac:dyDescent="0.3">
      <c r="A2744" s="130">
        <v>15257</v>
      </c>
      <c r="B2744" s="130">
        <v>30</v>
      </c>
      <c r="C2744" s="130" t="s">
        <v>4368</v>
      </c>
      <c r="D2744">
        <v>23154</v>
      </c>
      <c r="E2744" s="130">
        <v>2602726</v>
      </c>
      <c r="F2744" t="s">
        <v>87</v>
      </c>
      <c r="G2744">
        <v>76</v>
      </c>
      <c r="H2744" t="s">
        <v>8951</v>
      </c>
      <c r="I2744" s="131">
        <v>3</v>
      </c>
      <c r="J2744" t="s">
        <v>4368</v>
      </c>
      <c r="K2744" t="s">
        <v>108</v>
      </c>
      <c r="L2744" t="s">
        <v>111</v>
      </c>
      <c r="M2744" t="s">
        <v>103</v>
      </c>
      <c r="N2744" t="s">
        <v>98</v>
      </c>
      <c r="O2744" t="s">
        <v>116</v>
      </c>
    </row>
    <row r="2745" spans="1:15" x14ac:dyDescent="0.3">
      <c r="A2745" s="130">
        <v>15259</v>
      </c>
      <c r="B2745" s="130">
        <v>18</v>
      </c>
      <c r="C2745" s="130" t="s">
        <v>4369</v>
      </c>
      <c r="D2745">
        <v>23157</v>
      </c>
      <c r="E2745" s="130">
        <v>29296671</v>
      </c>
      <c r="F2745" t="s">
        <v>87</v>
      </c>
      <c r="G2745">
        <v>76</v>
      </c>
      <c r="H2745" t="s">
        <v>8952</v>
      </c>
      <c r="I2745" s="130">
        <v>10</v>
      </c>
      <c r="J2745" t="s">
        <v>4369</v>
      </c>
      <c r="K2745" t="s">
        <v>108</v>
      </c>
      <c r="L2745" t="s">
        <v>127</v>
      </c>
      <c r="M2745" t="s">
        <v>112</v>
      </c>
      <c r="N2745" t="s">
        <v>118</v>
      </c>
      <c r="O2745" t="s">
        <v>116</v>
      </c>
    </row>
    <row r="2746" spans="1:15" x14ac:dyDescent="0.3">
      <c r="A2746" s="130">
        <v>15267</v>
      </c>
      <c r="B2746" s="130">
        <v>0</v>
      </c>
      <c r="C2746" s="130" t="s">
        <v>4370</v>
      </c>
      <c r="D2746">
        <v>23173</v>
      </c>
      <c r="E2746" s="131">
        <v>35898251</v>
      </c>
      <c r="F2746" t="s">
        <v>113</v>
      </c>
      <c r="G2746">
        <v>76</v>
      </c>
      <c r="H2746" t="s">
        <v>8953</v>
      </c>
      <c r="I2746" s="130">
        <v>9</v>
      </c>
      <c r="J2746" t="s">
        <v>4370</v>
      </c>
      <c r="K2746" t="s">
        <v>108</v>
      </c>
      <c r="L2746" t="s">
        <v>181</v>
      </c>
      <c r="M2746" t="s">
        <v>100</v>
      </c>
      <c r="N2746" t="s">
        <v>101</v>
      </c>
      <c r="O2746" t="s">
        <v>1256</v>
      </c>
    </row>
    <row r="2747" spans="1:15" x14ac:dyDescent="0.3">
      <c r="A2747" s="130">
        <v>15282</v>
      </c>
      <c r="B2747" s="130">
        <v>18</v>
      </c>
      <c r="C2747" s="130" t="s">
        <v>4371</v>
      </c>
      <c r="D2747">
        <v>23180</v>
      </c>
      <c r="E2747" s="131">
        <v>23559245</v>
      </c>
      <c r="F2747" t="s">
        <v>87</v>
      </c>
      <c r="G2747">
        <v>76</v>
      </c>
      <c r="H2747" t="s">
        <v>8951</v>
      </c>
      <c r="I2747" s="130">
        <v>37</v>
      </c>
      <c r="J2747" t="s">
        <v>4371</v>
      </c>
      <c r="K2747" t="s">
        <v>108</v>
      </c>
      <c r="L2747" t="s">
        <v>138</v>
      </c>
      <c r="M2747" t="s">
        <v>112</v>
      </c>
      <c r="N2747" t="s">
        <v>152</v>
      </c>
      <c r="O2747" t="s">
        <v>1345</v>
      </c>
    </row>
    <row r="2748" spans="1:15" x14ac:dyDescent="0.3">
      <c r="A2748" s="130">
        <v>15294</v>
      </c>
      <c r="B2748" s="130">
        <v>30</v>
      </c>
      <c r="C2748" s="130" t="s">
        <v>4372</v>
      </c>
      <c r="D2748">
        <v>23200</v>
      </c>
      <c r="E2748" s="131">
        <v>73859449</v>
      </c>
      <c r="F2748" t="s">
        <v>87</v>
      </c>
      <c r="G2748">
        <v>76</v>
      </c>
      <c r="H2748" t="s">
        <v>8952</v>
      </c>
      <c r="I2748" s="131">
        <v>43</v>
      </c>
      <c r="J2748" t="s">
        <v>4372</v>
      </c>
      <c r="K2748" t="s">
        <v>108</v>
      </c>
      <c r="L2748" t="s">
        <v>1368</v>
      </c>
      <c r="M2748" t="s">
        <v>103</v>
      </c>
      <c r="N2748" t="s">
        <v>98</v>
      </c>
      <c r="O2748" t="s">
        <v>116</v>
      </c>
    </row>
    <row r="2749" spans="1:15" x14ac:dyDescent="0.3">
      <c r="A2749" s="130">
        <v>15295</v>
      </c>
      <c r="B2749" s="130">
        <v>30</v>
      </c>
      <c r="C2749" s="130" t="s">
        <v>4373</v>
      </c>
      <c r="D2749">
        <v>23202</v>
      </c>
      <c r="E2749" s="130">
        <v>59225698</v>
      </c>
      <c r="F2749" t="s">
        <v>87</v>
      </c>
      <c r="G2749">
        <v>76</v>
      </c>
      <c r="H2749" t="s">
        <v>8953</v>
      </c>
      <c r="I2749" s="130">
        <v>3</v>
      </c>
      <c r="J2749" t="s">
        <v>4373</v>
      </c>
      <c r="K2749" t="s">
        <v>95</v>
      </c>
      <c r="L2749" t="s">
        <v>111</v>
      </c>
      <c r="M2749" t="s">
        <v>103</v>
      </c>
      <c r="N2749" t="s">
        <v>98</v>
      </c>
      <c r="O2749" t="s">
        <v>1345</v>
      </c>
    </row>
    <row r="2750" spans="1:15" x14ac:dyDescent="0.3">
      <c r="A2750" s="130">
        <v>15296</v>
      </c>
      <c r="B2750" s="130">
        <v>30</v>
      </c>
      <c r="C2750" s="130" t="s">
        <v>4374</v>
      </c>
      <c r="D2750">
        <v>23194</v>
      </c>
      <c r="E2750" s="130">
        <v>71052559</v>
      </c>
      <c r="F2750" t="s">
        <v>87</v>
      </c>
      <c r="G2750">
        <v>76</v>
      </c>
      <c r="H2750" t="s">
        <v>8951</v>
      </c>
      <c r="I2750" s="131">
        <v>3</v>
      </c>
      <c r="J2750" t="s">
        <v>4374</v>
      </c>
      <c r="K2750" t="s">
        <v>108</v>
      </c>
      <c r="L2750" t="s">
        <v>111</v>
      </c>
      <c r="M2750" t="s">
        <v>103</v>
      </c>
      <c r="N2750" t="s">
        <v>107</v>
      </c>
      <c r="O2750" t="s">
        <v>1345</v>
      </c>
    </row>
    <row r="2751" spans="1:15" x14ac:dyDescent="0.3">
      <c r="A2751" s="130">
        <v>15297</v>
      </c>
      <c r="B2751" s="130">
        <v>10</v>
      </c>
      <c r="C2751" s="130" t="s">
        <v>4375</v>
      </c>
      <c r="D2751">
        <v>23196</v>
      </c>
      <c r="E2751" s="131">
        <v>41900693</v>
      </c>
      <c r="F2751" t="s">
        <v>87</v>
      </c>
      <c r="G2751">
        <v>76</v>
      </c>
      <c r="H2751" t="s">
        <v>8952</v>
      </c>
      <c r="I2751" s="130">
        <v>24</v>
      </c>
      <c r="J2751" t="s">
        <v>4375</v>
      </c>
      <c r="K2751" t="s">
        <v>108</v>
      </c>
      <c r="L2751" t="s">
        <v>191</v>
      </c>
      <c r="M2751" t="s">
        <v>133</v>
      </c>
      <c r="N2751" t="s">
        <v>150</v>
      </c>
      <c r="O2751" t="s">
        <v>116</v>
      </c>
    </row>
    <row r="2752" spans="1:15" x14ac:dyDescent="0.3">
      <c r="A2752" s="130">
        <v>15299</v>
      </c>
      <c r="B2752" s="130">
        <v>28</v>
      </c>
      <c r="C2752" s="130" t="s">
        <v>4376</v>
      </c>
      <c r="D2752">
        <v>23207</v>
      </c>
      <c r="E2752" s="131">
        <v>3757541</v>
      </c>
      <c r="F2752" t="s">
        <v>87</v>
      </c>
      <c r="G2752">
        <v>76</v>
      </c>
      <c r="H2752" t="s">
        <v>8953</v>
      </c>
      <c r="I2752" s="130">
        <v>43</v>
      </c>
      <c r="J2752" t="s">
        <v>4376</v>
      </c>
      <c r="K2752" t="s">
        <v>108</v>
      </c>
      <c r="L2752" t="s">
        <v>173</v>
      </c>
      <c r="M2752" t="s">
        <v>130</v>
      </c>
      <c r="N2752" t="s">
        <v>98</v>
      </c>
      <c r="O2752" t="s">
        <v>1345</v>
      </c>
    </row>
    <row r="2753" spans="1:15" x14ac:dyDescent="0.3">
      <c r="A2753" s="130">
        <v>15300</v>
      </c>
      <c r="B2753" s="130">
        <v>30</v>
      </c>
      <c r="C2753" s="130" t="s">
        <v>4377</v>
      </c>
      <c r="D2753">
        <v>23208</v>
      </c>
      <c r="E2753" s="131">
        <v>17159856</v>
      </c>
      <c r="F2753" t="s">
        <v>87</v>
      </c>
      <c r="G2753">
        <v>358</v>
      </c>
      <c r="H2753" t="s">
        <v>8951</v>
      </c>
      <c r="I2753" s="131">
        <v>3</v>
      </c>
      <c r="J2753" t="s">
        <v>4377</v>
      </c>
      <c r="K2753" t="s">
        <v>95</v>
      </c>
      <c r="L2753" t="s">
        <v>109</v>
      </c>
      <c r="M2753" t="s">
        <v>103</v>
      </c>
      <c r="N2753" t="s">
        <v>98</v>
      </c>
      <c r="O2753" t="s">
        <v>116</v>
      </c>
    </row>
    <row r="2754" spans="1:15" x14ac:dyDescent="0.3">
      <c r="A2754" s="130">
        <v>15307</v>
      </c>
      <c r="B2754" s="130">
        <v>30</v>
      </c>
      <c r="C2754" s="130" t="s">
        <v>4378</v>
      </c>
      <c r="D2754">
        <v>23226</v>
      </c>
      <c r="E2754" s="130">
        <v>37119883</v>
      </c>
      <c r="F2754" t="s">
        <v>87</v>
      </c>
      <c r="G2754">
        <v>76</v>
      </c>
      <c r="H2754" t="s">
        <v>8952</v>
      </c>
      <c r="I2754" s="130">
        <v>26</v>
      </c>
      <c r="J2754" t="s">
        <v>4378</v>
      </c>
      <c r="K2754" t="s">
        <v>95</v>
      </c>
      <c r="L2754" t="s">
        <v>151</v>
      </c>
      <c r="M2754" t="s">
        <v>103</v>
      </c>
      <c r="N2754" t="s">
        <v>98</v>
      </c>
      <c r="O2754" t="s">
        <v>116</v>
      </c>
    </row>
    <row r="2755" spans="1:15" x14ac:dyDescent="0.3">
      <c r="A2755" s="130">
        <v>15311</v>
      </c>
      <c r="B2755" s="130">
        <v>28</v>
      </c>
      <c r="C2755" s="130" t="s">
        <v>4379</v>
      </c>
      <c r="D2755">
        <v>23240</v>
      </c>
      <c r="E2755" s="130">
        <v>8220952</v>
      </c>
      <c r="F2755" t="s">
        <v>87</v>
      </c>
      <c r="G2755">
        <v>76</v>
      </c>
      <c r="H2755" t="s">
        <v>8953</v>
      </c>
      <c r="I2755" s="130">
        <v>43</v>
      </c>
      <c r="J2755" t="s">
        <v>4379</v>
      </c>
      <c r="K2755" t="s">
        <v>108</v>
      </c>
      <c r="L2755" t="s">
        <v>111</v>
      </c>
      <c r="M2755" t="s">
        <v>130</v>
      </c>
      <c r="N2755" t="s">
        <v>107</v>
      </c>
      <c r="O2755" t="s">
        <v>1345</v>
      </c>
    </row>
    <row r="2756" spans="1:15" x14ac:dyDescent="0.3">
      <c r="A2756" s="130">
        <v>15313</v>
      </c>
      <c r="B2756" s="130">
        <v>21</v>
      </c>
      <c r="C2756" s="130" t="s">
        <v>4380</v>
      </c>
      <c r="D2756">
        <v>23236</v>
      </c>
      <c r="E2756" s="130">
        <v>5603711</v>
      </c>
      <c r="F2756" t="s">
        <v>87</v>
      </c>
      <c r="G2756">
        <v>76</v>
      </c>
      <c r="H2756" t="s">
        <v>8951</v>
      </c>
      <c r="I2756" s="130">
        <v>37</v>
      </c>
      <c r="J2756" t="s">
        <v>4380</v>
      </c>
      <c r="K2756" t="s">
        <v>108</v>
      </c>
      <c r="L2756" t="s">
        <v>144</v>
      </c>
      <c r="M2756" t="s">
        <v>137</v>
      </c>
      <c r="N2756" t="s">
        <v>141</v>
      </c>
      <c r="O2756" t="s">
        <v>1345</v>
      </c>
    </row>
    <row r="2757" spans="1:15" x14ac:dyDescent="0.3">
      <c r="A2757" s="130">
        <v>15317</v>
      </c>
      <c r="B2757" s="130">
        <v>30</v>
      </c>
      <c r="C2757" s="130" t="s">
        <v>4381</v>
      </c>
      <c r="D2757">
        <v>23253</v>
      </c>
      <c r="E2757" s="130">
        <v>11080422</v>
      </c>
      <c r="F2757" t="s">
        <v>87</v>
      </c>
      <c r="G2757">
        <v>76</v>
      </c>
      <c r="H2757" t="s">
        <v>8952</v>
      </c>
      <c r="I2757" s="130">
        <v>3</v>
      </c>
      <c r="J2757" t="s">
        <v>4381</v>
      </c>
      <c r="K2757" t="s">
        <v>108</v>
      </c>
      <c r="L2757" t="s">
        <v>111</v>
      </c>
      <c r="M2757" t="s">
        <v>103</v>
      </c>
      <c r="N2757" t="s">
        <v>98</v>
      </c>
      <c r="O2757" t="s">
        <v>116</v>
      </c>
    </row>
    <row r="2758" spans="1:15" x14ac:dyDescent="0.3">
      <c r="A2758" s="130">
        <v>15332</v>
      </c>
      <c r="B2758" s="130">
        <v>30</v>
      </c>
      <c r="C2758" s="130" t="s">
        <v>4382</v>
      </c>
      <c r="D2758">
        <v>23272</v>
      </c>
      <c r="E2758" s="130">
        <v>27426196</v>
      </c>
      <c r="F2758" t="s">
        <v>87</v>
      </c>
      <c r="G2758">
        <v>76</v>
      </c>
      <c r="H2758" t="s">
        <v>8953</v>
      </c>
      <c r="I2758" s="130">
        <v>9</v>
      </c>
      <c r="J2758" t="s">
        <v>4382</v>
      </c>
      <c r="K2758" t="s">
        <v>95</v>
      </c>
      <c r="L2758" t="s">
        <v>163</v>
      </c>
      <c r="M2758" t="s">
        <v>103</v>
      </c>
      <c r="N2758" t="s">
        <v>98</v>
      </c>
      <c r="O2758" t="s">
        <v>1345</v>
      </c>
    </row>
    <row r="2759" spans="1:15" x14ac:dyDescent="0.3">
      <c r="A2759" s="130">
        <v>15352</v>
      </c>
      <c r="B2759" s="130">
        <v>30</v>
      </c>
      <c r="C2759" s="130" t="s">
        <v>4383</v>
      </c>
      <c r="D2759">
        <v>23322</v>
      </c>
      <c r="E2759" s="130">
        <v>61584223</v>
      </c>
      <c r="F2759" t="s">
        <v>87</v>
      </c>
      <c r="G2759">
        <v>358</v>
      </c>
      <c r="H2759" t="s">
        <v>8951</v>
      </c>
      <c r="I2759" s="131">
        <v>3</v>
      </c>
      <c r="J2759" t="s">
        <v>4383</v>
      </c>
      <c r="K2759" t="s">
        <v>95</v>
      </c>
      <c r="L2759" t="s">
        <v>109</v>
      </c>
      <c r="M2759" t="s">
        <v>103</v>
      </c>
      <c r="N2759" t="s">
        <v>98</v>
      </c>
      <c r="O2759" t="s">
        <v>1345</v>
      </c>
    </row>
    <row r="2760" spans="1:15" x14ac:dyDescent="0.3">
      <c r="A2760" s="130">
        <v>15355</v>
      </c>
      <c r="B2760" s="130">
        <v>28</v>
      </c>
      <c r="C2760" s="130" t="s">
        <v>4384</v>
      </c>
      <c r="D2760">
        <v>23327</v>
      </c>
      <c r="E2760" s="130">
        <v>42320422</v>
      </c>
      <c r="F2760" t="s">
        <v>87</v>
      </c>
      <c r="G2760">
        <v>76</v>
      </c>
      <c r="H2760" t="s">
        <v>8952</v>
      </c>
      <c r="I2760" s="130">
        <v>37</v>
      </c>
      <c r="J2760" t="s">
        <v>4384</v>
      </c>
      <c r="K2760" t="s">
        <v>95</v>
      </c>
      <c r="L2760" t="s">
        <v>138</v>
      </c>
      <c r="M2760" t="s">
        <v>130</v>
      </c>
      <c r="N2760" t="s">
        <v>150</v>
      </c>
      <c r="O2760" t="s">
        <v>1345</v>
      </c>
    </row>
    <row r="2761" spans="1:15" x14ac:dyDescent="0.3">
      <c r="A2761" s="130">
        <v>15357</v>
      </c>
      <c r="B2761" s="130">
        <v>18</v>
      </c>
      <c r="C2761" s="130" t="s">
        <v>4385</v>
      </c>
      <c r="D2761">
        <v>23333</v>
      </c>
      <c r="E2761" s="131">
        <v>9063179</v>
      </c>
      <c r="F2761" t="s">
        <v>87</v>
      </c>
      <c r="G2761">
        <v>76</v>
      </c>
      <c r="H2761" t="s">
        <v>8953</v>
      </c>
      <c r="I2761" s="130">
        <v>10</v>
      </c>
      <c r="J2761" t="s">
        <v>4385</v>
      </c>
      <c r="K2761" t="s">
        <v>108</v>
      </c>
      <c r="L2761" t="s">
        <v>127</v>
      </c>
      <c r="M2761" t="s">
        <v>112</v>
      </c>
      <c r="N2761" t="s">
        <v>101</v>
      </c>
      <c r="O2761" t="s">
        <v>1345</v>
      </c>
    </row>
    <row r="2762" spans="1:15" x14ac:dyDescent="0.3">
      <c r="A2762" s="130">
        <v>15359</v>
      </c>
      <c r="B2762" s="130">
        <v>30</v>
      </c>
      <c r="C2762" s="130" t="s">
        <v>4386</v>
      </c>
      <c r="D2762">
        <v>23338</v>
      </c>
      <c r="E2762" s="131">
        <v>3998869</v>
      </c>
      <c r="F2762" t="s">
        <v>87</v>
      </c>
      <c r="G2762">
        <v>76</v>
      </c>
      <c r="H2762" t="s">
        <v>8951</v>
      </c>
      <c r="I2762" s="130">
        <v>24</v>
      </c>
      <c r="J2762" t="s">
        <v>4386</v>
      </c>
      <c r="K2762" t="s">
        <v>95</v>
      </c>
      <c r="L2762" t="s">
        <v>191</v>
      </c>
      <c r="M2762" t="s">
        <v>103</v>
      </c>
      <c r="N2762" t="s">
        <v>98</v>
      </c>
      <c r="O2762" t="s">
        <v>1345</v>
      </c>
    </row>
    <row r="2763" spans="1:15" x14ac:dyDescent="0.3">
      <c r="A2763" s="130">
        <v>15371</v>
      </c>
      <c r="B2763" s="130">
        <v>30</v>
      </c>
      <c r="C2763" s="130" t="s">
        <v>4387</v>
      </c>
      <c r="D2763">
        <v>23348</v>
      </c>
      <c r="E2763" s="130">
        <v>10736565</v>
      </c>
      <c r="F2763" t="s">
        <v>87</v>
      </c>
      <c r="G2763">
        <v>76</v>
      </c>
      <c r="H2763" t="s">
        <v>8952</v>
      </c>
      <c r="I2763" s="130">
        <v>9</v>
      </c>
      <c r="J2763" t="s">
        <v>4387</v>
      </c>
      <c r="K2763" t="s">
        <v>95</v>
      </c>
      <c r="L2763" t="s">
        <v>181</v>
      </c>
      <c r="M2763" t="s">
        <v>103</v>
      </c>
      <c r="N2763" t="s">
        <v>98</v>
      </c>
      <c r="O2763" t="s">
        <v>116</v>
      </c>
    </row>
    <row r="2764" spans="1:15" x14ac:dyDescent="0.3">
      <c r="A2764" s="130">
        <v>15374</v>
      </c>
      <c r="B2764" s="130">
        <v>30</v>
      </c>
      <c r="C2764" s="130" t="s">
        <v>4388</v>
      </c>
      <c r="D2764">
        <v>23352</v>
      </c>
      <c r="E2764" s="131">
        <v>21471093</v>
      </c>
      <c r="F2764" t="s">
        <v>87</v>
      </c>
      <c r="G2764">
        <v>76</v>
      </c>
      <c r="H2764" t="s">
        <v>8953</v>
      </c>
      <c r="I2764" s="130">
        <v>24</v>
      </c>
      <c r="J2764" t="s">
        <v>4388</v>
      </c>
      <c r="K2764" t="s">
        <v>95</v>
      </c>
      <c r="L2764" t="s">
        <v>191</v>
      </c>
      <c r="M2764" t="s">
        <v>103</v>
      </c>
      <c r="N2764" t="s">
        <v>98</v>
      </c>
      <c r="O2764" t="s">
        <v>116</v>
      </c>
    </row>
    <row r="2765" spans="1:15" x14ac:dyDescent="0.3">
      <c r="A2765" s="130">
        <v>15395</v>
      </c>
      <c r="B2765" s="130">
        <v>21</v>
      </c>
      <c r="C2765" s="130" t="s">
        <v>4389</v>
      </c>
      <c r="D2765">
        <v>23376</v>
      </c>
      <c r="E2765" s="130">
        <v>32909546</v>
      </c>
      <c r="F2765" t="s">
        <v>87</v>
      </c>
      <c r="G2765">
        <v>76</v>
      </c>
      <c r="H2765" t="s">
        <v>8951</v>
      </c>
      <c r="I2765" s="130">
        <v>3</v>
      </c>
      <c r="J2765" t="s">
        <v>4389</v>
      </c>
      <c r="K2765" t="s">
        <v>108</v>
      </c>
      <c r="L2765" t="s">
        <v>111</v>
      </c>
      <c r="M2765" t="s">
        <v>137</v>
      </c>
      <c r="N2765" t="s">
        <v>98</v>
      </c>
      <c r="O2765" t="s">
        <v>116</v>
      </c>
    </row>
    <row r="2766" spans="1:15" x14ac:dyDescent="0.3">
      <c r="A2766" s="130">
        <v>15396</v>
      </c>
      <c r="B2766" s="130">
        <v>20</v>
      </c>
      <c r="C2766" s="130" t="s">
        <v>4390</v>
      </c>
      <c r="D2766">
        <v>23379</v>
      </c>
      <c r="E2766" s="130">
        <v>1963124</v>
      </c>
      <c r="F2766" t="s">
        <v>87</v>
      </c>
      <c r="G2766">
        <v>76</v>
      </c>
      <c r="H2766" t="s">
        <v>8952</v>
      </c>
      <c r="I2766" s="130">
        <v>3</v>
      </c>
      <c r="J2766" t="s">
        <v>4390</v>
      </c>
      <c r="K2766" t="s">
        <v>95</v>
      </c>
      <c r="L2766" t="s">
        <v>240</v>
      </c>
      <c r="M2766" t="s">
        <v>148</v>
      </c>
      <c r="N2766" t="s">
        <v>98</v>
      </c>
      <c r="O2766" t="s">
        <v>1345</v>
      </c>
    </row>
    <row r="2767" spans="1:15" x14ac:dyDescent="0.3">
      <c r="A2767" s="130">
        <v>15404</v>
      </c>
      <c r="B2767" s="130">
        <v>30</v>
      </c>
      <c r="C2767" s="130" t="s">
        <v>4391</v>
      </c>
      <c r="D2767">
        <v>23388</v>
      </c>
      <c r="E2767" s="131">
        <v>16661910</v>
      </c>
      <c r="F2767" t="s">
        <v>87</v>
      </c>
      <c r="G2767">
        <v>76</v>
      </c>
      <c r="H2767" t="s">
        <v>8953</v>
      </c>
      <c r="I2767" s="130">
        <v>37</v>
      </c>
      <c r="J2767" t="s">
        <v>4391</v>
      </c>
      <c r="K2767" t="s">
        <v>108</v>
      </c>
      <c r="L2767" t="s">
        <v>144</v>
      </c>
      <c r="M2767" t="s">
        <v>103</v>
      </c>
      <c r="N2767" t="s">
        <v>98</v>
      </c>
      <c r="O2767" t="s">
        <v>1345</v>
      </c>
    </row>
    <row r="2768" spans="1:15" x14ac:dyDescent="0.3">
      <c r="A2768" s="130">
        <v>15407</v>
      </c>
      <c r="B2768" s="130">
        <v>18</v>
      </c>
      <c r="C2768" s="130" t="s">
        <v>4392</v>
      </c>
      <c r="D2768">
        <v>23221</v>
      </c>
      <c r="E2768" s="131">
        <v>1178071</v>
      </c>
      <c r="F2768" t="s">
        <v>113</v>
      </c>
      <c r="G2768">
        <v>76</v>
      </c>
      <c r="H2768" t="s">
        <v>8951</v>
      </c>
      <c r="I2768" s="131">
        <v>9</v>
      </c>
      <c r="J2768" t="s">
        <v>4392</v>
      </c>
      <c r="K2768" t="s">
        <v>108</v>
      </c>
      <c r="L2768" t="s">
        <v>1298</v>
      </c>
      <c r="M2768" t="s">
        <v>112</v>
      </c>
      <c r="N2768" t="s">
        <v>98</v>
      </c>
      <c r="O2768" t="s">
        <v>1256</v>
      </c>
    </row>
    <row r="2769" spans="1:15" x14ac:dyDescent="0.3">
      <c r="A2769" s="130">
        <v>15414</v>
      </c>
      <c r="B2769" s="130">
        <v>-1</v>
      </c>
      <c r="C2769" s="130" t="s">
        <v>4393</v>
      </c>
      <c r="D2769">
        <v>23399</v>
      </c>
      <c r="E2769" s="130">
        <v>44490706</v>
      </c>
      <c r="F2769" t="s">
        <v>87</v>
      </c>
      <c r="G2769">
        <v>76</v>
      </c>
      <c r="H2769" t="s">
        <v>8952</v>
      </c>
      <c r="I2769" s="130">
        <v>3</v>
      </c>
      <c r="J2769" t="s">
        <v>4393</v>
      </c>
      <c r="K2769" t="s">
        <v>108</v>
      </c>
      <c r="L2769" t="s">
        <v>111</v>
      </c>
      <c r="M2769" t="s">
        <v>174</v>
      </c>
      <c r="N2769" t="s">
        <v>98</v>
      </c>
      <c r="O2769" t="s">
        <v>1345</v>
      </c>
    </row>
    <row r="2770" spans="1:15" x14ac:dyDescent="0.3">
      <c r="A2770" s="130">
        <v>15424</v>
      </c>
      <c r="B2770" s="130">
        <v>30</v>
      </c>
      <c r="C2770" s="130" t="s">
        <v>4394</v>
      </c>
      <c r="D2770">
        <v>23410</v>
      </c>
      <c r="E2770" s="130">
        <v>62541636</v>
      </c>
      <c r="F2770" t="s">
        <v>87</v>
      </c>
      <c r="G2770">
        <v>76</v>
      </c>
      <c r="H2770" t="s">
        <v>8953</v>
      </c>
      <c r="I2770" s="130">
        <v>3</v>
      </c>
      <c r="J2770" t="s">
        <v>4394</v>
      </c>
      <c r="K2770" t="s">
        <v>108</v>
      </c>
      <c r="L2770" t="s">
        <v>111</v>
      </c>
      <c r="M2770" t="s">
        <v>103</v>
      </c>
      <c r="N2770" t="s">
        <v>98</v>
      </c>
      <c r="O2770" t="s">
        <v>116</v>
      </c>
    </row>
    <row r="2771" spans="1:15" x14ac:dyDescent="0.3">
      <c r="A2771" s="130">
        <v>15443</v>
      </c>
      <c r="B2771" s="131">
        <v>18</v>
      </c>
      <c r="C2771" s="130" t="s">
        <v>4395</v>
      </c>
      <c r="D2771">
        <v>23432</v>
      </c>
      <c r="E2771" s="130">
        <v>1543427</v>
      </c>
      <c r="F2771" t="s">
        <v>87</v>
      </c>
      <c r="G2771">
        <v>76</v>
      </c>
      <c r="H2771" t="s">
        <v>8951</v>
      </c>
      <c r="I2771" s="130">
        <v>10</v>
      </c>
      <c r="J2771" t="s">
        <v>4395</v>
      </c>
      <c r="K2771" t="s">
        <v>108</v>
      </c>
      <c r="L2771" t="s">
        <v>127</v>
      </c>
      <c r="M2771" t="s">
        <v>112</v>
      </c>
      <c r="N2771" t="s">
        <v>118</v>
      </c>
      <c r="O2771" t="s">
        <v>116</v>
      </c>
    </row>
    <row r="2772" spans="1:15" x14ac:dyDescent="0.3">
      <c r="A2772" s="130">
        <v>15451</v>
      </c>
      <c r="B2772" s="130">
        <v>21</v>
      </c>
      <c r="C2772" s="130" t="s">
        <v>4396</v>
      </c>
      <c r="D2772">
        <v>23261</v>
      </c>
      <c r="E2772" s="130">
        <v>9073683</v>
      </c>
      <c r="F2772" t="s">
        <v>87</v>
      </c>
      <c r="G2772">
        <v>358</v>
      </c>
      <c r="H2772" t="s">
        <v>8952</v>
      </c>
      <c r="I2772" s="130">
        <v>3</v>
      </c>
      <c r="J2772" t="s">
        <v>4396</v>
      </c>
      <c r="K2772" t="s">
        <v>108</v>
      </c>
      <c r="L2772" t="s">
        <v>111</v>
      </c>
      <c r="M2772" t="s">
        <v>137</v>
      </c>
      <c r="N2772" t="s">
        <v>162</v>
      </c>
      <c r="O2772" t="s">
        <v>1345</v>
      </c>
    </row>
    <row r="2773" spans="1:15" x14ac:dyDescent="0.3">
      <c r="A2773" s="130">
        <v>15456</v>
      </c>
      <c r="B2773" s="130">
        <v>21</v>
      </c>
      <c r="C2773" s="130" t="s">
        <v>4397</v>
      </c>
      <c r="D2773">
        <v>23448</v>
      </c>
      <c r="E2773" s="131">
        <v>3353341</v>
      </c>
      <c r="F2773" t="s">
        <v>87</v>
      </c>
      <c r="G2773">
        <v>76</v>
      </c>
      <c r="H2773" t="s">
        <v>8953</v>
      </c>
      <c r="I2773" s="131">
        <v>10</v>
      </c>
      <c r="J2773" t="s">
        <v>4397</v>
      </c>
      <c r="K2773" t="s">
        <v>95</v>
      </c>
      <c r="L2773" t="s">
        <v>127</v>
      </c>
      <c r="M2773" t="s">
        <v>137</v>
      </c>
      <c r="N2773" t="s">
        <v>118</v>
      </c>
      <c r="O2773" t="s">
        <v>1345</v>
      </c>
    </row>
    <row r="2774" spans="1:15" x14ac:dyDescent="0.3">
      <c r="A2774" s="130">
        <v>15458</v>
      </c>
      <c r="B2774" s="130" t="s">
        <v>156</v>
      </c>
      <c r="C2774" s="130" t="s">
        <v>4398</v>
      </c>
      <c r="D2774">
        <v>23458</v>
      </c>
      <c r="E2774" s="130">
        <v>26619878</v>
      </c>
      <c r="F2774" t="s">
        <v>87</v>
      </c>
      <c r="G2774">
        <v>76</v>
      </c>
      <c r="H2774" t="s">
        <v>8951</v>
      </c>
      <c r="I2774" s="130">
        <v>24</v>
      </c>
      <c r="J2774" t="s">
        <v>4398</v>
      </c>
      <c r="K2774" t="s">
        <v>108</v>
      </c>
      <c r="L2774" t="s">
        <v>1293</v>
      </c>
      <c r="M2774" t="s">
        <v>156</v>
      </c>
      <c r="N2774" t="s">
        <v>98</v>
      </c>
      <c r="O2774" t="s">
        <v>116</v>
      </c>
    </row>
    <row r="2775" spans="1:15" x14ac:dyDescent="0.3">
      <c r="A2775" s="130">
        <v>15465</v>
      </c>
      <c r="B2775" s="130">
        <v>20</v>
      </c>
      <c r="C2775" s="130" t="s">
        <v>4399</v>
      </c>
      <c r="D2775">
        <v>23464</v>
      </c>
      <c r="E2775" s="130">
        <v>60853934</v>
      </c>
      <c r="F2775" t="s">
        <v>87</v>
      </c>
      <c r="G2775">
        <v>76</v>
      </c>
      <c r="H2775" t="s">
        <v>8952</v>
      </c>
      <c r="I2775" s="130">
        <v>24</v>
      </c>
      <c r="J2775" t="s">
        <v>4399</v>
      </c>
      <c r="K2775" t="s">
        <v>108</v>
      </c>
      <c r="L2775" t="s">
        <v>240</v>
      </c>
      <c r="M2775" t="s">
        <v>148</v>
      </c>
      <c r="N2775" t="s">
        <v>98</v>
      </c>
      <c r="O2775" t="s">
        <v>116</v>
      </c>
    </row>
    <row r="2776" spans="1:15" x14ac:dyDescent="0.3">
      <c r="A2776" s="130">
        <v>15470</v>
      </c>
      <c r="B2776" s="130">
        <v>20</v>
      </c>
      <c r="C2776" s="130" t="s">
        <v>4400</v>
      </c>
      <c r="D2776">
        <v>23467</v>
      </c>
      <c r="E2776" s="130">
        <v>24795416</v>
      </c>
      <c r="F2776" t="s">
        <v>87</v>
      </c>
      <c r="G2776">
        <v>76</v>
      </c>
      <c r="H2776" t="s">
        <v>8953</v>
      </c>
      <c r="I2776" s="131">
        <v>24</v>
      </c>
      <c r="J2776" t="s">
        <v>4400</v>
      </c>
      <c r="K2776" t="s">
        <v>108</v>
      </c>
      <c r="L2776" t="s">
        <v>240</v>
      </c>
      <c r="M2776" t="s">
        <v>148</v>
      </c>
      <c r="N2776" t="s">
        <v>98</v>
      </c>
      <c r="O2776" t="s">
        <v>116</v>
      </c>
    </row>
    <row r="2777" spans="1:15" x14ac:dyDescent="0.3">
      <c r="A2777" s="130">
        <v>15473</v>
      </c>
      <c r="B2777" s="130">
        <v>10</v>
      </c>
      <c r="C2777" s="130" t="s">
        <v>4401</v>
      </c>
      <c r="D2777">
        <v>23472</v>
      </c>
      <c r="E2777" s="130">
        <v>26389015</v>
      </c>
      <c r="F2777" t="s">
        <v>87</v>
      </c>
      <c r="G2777">
        <v>76</v>
      </c>
      <c r="H2777" t="s">
        <v>8951</v>
      </c>
      <c r="I2777" s="130">
        <v>3</v>
      </c>
      <c r="J2777" t="s">
        <v>4401</v>
      </c>
      <c r="K2777" t="s">
        <v>108</v>
      </c>
      <c r="L2777" t="s">
        <v>153</v>
      </c>
      <c r="M2777" t="s">
        <v>133</v>
      </c>
      <c r="N2777" t="s">
        <v>98</v>
      </c>
      <c r="O2777" t="s">
        <v>1345</v>
      </c>
    </row>
    <row r="2778" spans="1:15" x14ac:dyDescent="0.3">
      <c r="A2778" s="130">
        <v>15480</v>
      </c>
      <c r="B2778" s="130">
        <v>45</v>
      </c>
      <c r="C2778" s="130" t="s">
        <v>4402</v>
      </c>
      <c r="D2778">
        <v>23481</v>
      </c>
      <c r="E2778" s="130">
        <v>24013278</v>
      </c>
      <c r="F2778" t="s">
        <v>87</v>
      </c>
      <c r="G2778">
        <v>76</v>
      </c>
      <c r="H2778" t="s">
        <v>8952</v>
      </c>
      <c r="I2778" s="130">
        <v>14</v>
      </c>
      <c r="J2778" t="s">
        <v>4402</v>
      </c>
      <c r="K2778" t="s">
        <v>108</v>
      </c>
      <c r="L2778" t="s">
        <v>183</v>
      </c>
      <c r="M2778" t="s">
        <v>106</v>
      </c>
      <c r="N2778" t="s">
        <v>114</v>
      </c>
      <c r="O2778" t="s">
        <v>1256</v>
      </c>
    </row>
    <row r="2779" spans="1:15" x14ac:dyDescent="0.3">
      <c r="A2779" s="130">
        <v>15482</v>
      </c>
      <c r="B2779" s="130">
        <v>20</v>
      </c>
      <c r="C2779" s="130" t="s">
        <v>4403</v>
      </c>
      <c r="D2779">
        <v>23482</v>
      </c>
      <c r="E2779" s="130">
        <v>5350401</v>
      </c>
      <c r="F2779" t="s">
        <v>87</v>
      </c>
      <c r="G2779">
        <v>76</v>
      </c>
      <c r="H2779" t="s">
        <v>8953</v>
      </c>
      <c r="I2779" s="131">
        <v>24</v>
      </c>
      <c r="J2779" t="s">
        <v>4403</v>
      </c>
      <c r="K2779" t="s">
        <v>108</v>
      </c>
      <c r="L2779" t="s">
        <v>191</v>
      </c>
      <c r="M2779" t="s">
        <v>148</v>
      </c>
      <c r="N2779" t="s">
        <v>98</v>
      </c>
      <c r="O2779" t="s">
        <v>1345</v>
      </c>
    </row>
    <row r="2780" spans="1:15" x14ac:dyDescent="0.3">
      <c r="A2780" s="130">
        <v>15492</v>
      </c>
      <c r="B2780" s="130">
        <v>30</v>
      </c>
      <c r="C2780" s="130" t="s">
        <v>4404</v>
      </c>
      <c r="D2780">
        <v>23501</v>
      </c>
      <c r="E2780" s="131">
        <v>2617158</v>
      </c>
      <c r="F2780" t="s">
        <v>87</v>
      </c>
      <c r="G2780">
        <v>76</v>
      </c>
      <c r="H2780" t="s">
        <v>8951</v>
      </c>
      <c r="I2780" s="131">
        <v>9</v>
      </c>
      <c r="J2780" t="s">
        <v>4404</v>
      </c>
      <c r="K2780" t="s">
        <v>108</v>
      </c>
      <c r="L2780" t="s">
        <v>111</v>
      </c>
      <c r="M2780" t="s">
        <v>103</v>
      </c>
      <c r="N2780" t="s">
        <v>98</v>
      </c>
      <c r="O2780" t="s">
        <v>1345</v>
      </c>
    </row>
    <row r="2781" spans="1:15" x14ac:dyDescent="0.3">
      <c r="A2781" s="130">
        <v>15503</v>
      </c>
      <c r="B2781" s="130">
        <v>30</v>
      </c>
      <c r="C2781" s="130" t="s">
        <v>4405</v>
      </c>
      <c r="D2781">
        <v>23512</v>
      </c>
      <c r="E2781" s="130">
        <v>4311533</v>
      </c>
      <c r="F2781" t="s">
        <v>87</v>
      </c>
      <c r="G2781">
        <v>76</v>
      </c>
      <c r="H2781" t="s">
        <v>8952</v>
      </c>
      <c r="I2781" s="130">
        <v>9</v>
      </c>
      <c r="J2781" t="s">
        <v>4405</v>
      </c>
      <c r="K2781" t="s">
        <v>108</v>
      </c>
      <c r="L2781" t="s">
        <v>181</v>
      </c>
      <c r="M2781" t="s">
        <v>103</v>
      </c>
      <c r="N2781" t="s">
        <v>98</v>
      </c>
      <c r="O2781" t="s">
        <v>116</v>
      </c>
    </row>
    <row r="2782" spans="1:15" x14ac:dyDescent="0.3">
      <c r="A2782" s="130">
        <v>15543</v>
      </c>
      <c r="B2782" s="130">
        <v>21</v>
      </c>
      <c r="C2782" s="130" t="s">
        <v>4406</v>
      </c>
      <c r="D2782">
        <v>23532</v>
      </c>
      <c r="E2782" s="131">
        <v>81732042</v>
      </c>
      <c r="F2782" t="s">
        <v>87</v>
      </c>
      <c r="G2782">
        <v>76</v>
      </c>
      <c r="H2782" t="s">
        <v>8953</v>
      </c>
      <c r="I2782" s="130">
        <v>10</v>
      </c>
      <c r="J2782" t="s">
        <v>4406</v>
      </c>
      <c r="K2782" t="s">
        <v>95</v>
      </c>
      <c r="L2782" t="s">
        <v>127</v>
      </c>
      <c r="M2782" t="s">
        <v>137</v>
      </c>
      <c r="N2782" t="s">
        <v>124</v>
      </c>
      <c r="O2782" t="s">
        <v>116</v>
      </c>
    </row>
    <row r="2783" spans="1:15" x14ac:dyDescent="0.3">
      <c r="A2783" s="130">
        <v>15544</v>
      </c>
      <c r="B2783" s="130">
        <v>15</v>
      </c>
      <c r="C2783" s="130" t="s">
        <v>4407</v>
      </c>
      <c r="D2783">
        <v>23545</v>
      </c>
      <c r="E2783" s="130">
        <v>12834799</v>
      </c>
      <c r="F2783" t="s">
        <v>87</v>
      </c>
      <c r="G2783">
        <v>76</v>
      </c>
      <c r="H2783" t="s">
        <v>8951</v>
      </c>
      <c r="I2783" s="130">
        <v>19</v>
      </c>
      <c r="J2783" t="s">
        <v>4407</v>
      </c>
      <c r="K2783" t="s">
        <v>108</v>
      </c>
      <c r="L2783" t="s">
        <v>146</v>
      </c>
      <c r="M2783" t="s">
        <v>145</v>
      </c>
      <c r="N2783" t="s">
        <v>98</v>
      </c>
      <c r="O2783" t="s">
        <v>116</v>
      </c>
    </row>
    <row r="2784" spans="1:15" x14ac:dyDescent="0.3">
      <c r="A2784" s="130">
        <v>15547</v>
      </c>
      <c r="B2784" s="130">
        <v>18</v>
      </c>
      <c r="C2784" s="130" t="s">
        <v>4408</v>
      </c>
      <c r="D2784">
        <v>23547</v>
      </c>
      <c r="E2784" s="131">
        <v>31835974</v>
      </c>
      <c r="F2784" t="s">
        <v>87</v>
      </c>
      <c r="G2784">
        <v>76</v>
      </c>
      <c r="H2784" t="s">
        <v>8952</v>
      </c>
      <c r="I2784" s="131">
        <v>26</v>
      </c>
      <c r="J2784" t="s">
        <v>4408</v>
      </c>
      <c r="K2784" t="s">
        <v>108</v>
      </c>
      <c r="L2784" t="s">
        <v>151</v>
      </c>
      <c r="M2784" t="s">
        <v>112</v>
      </c>
      <c r="N2784" t="s">
        <v>98</v>
      </c>
      <c r="O2784" t="s">
        <v>1345</v>
      </c>
    </row>
    <row r="2785" spans="1:15" x14ac:dyDescent="0.3">
      <c r="A2785" s="130">
        <v>15552</v>
      </c>
      <c r="B2785" s="130">
        <v>18</v>
      </c>
      <c r="C2785" s="130" t="s">
        <v>4409</v>
      </c>
      <c r="D2785">
        <v>23554</v>
      </c>
      <c r="E2785" s="130">
        <v>54883194</v>
      </c>
      <c r="F2785" t="s">
        <v>87</v>
      </c>
      <c r="G2785">
        <v>76</v>
      </c>
      <c r="H2785" t="s">
        <v>8953</v>
      </c>
      <c r="I2785" s="130">
        <v>10</v>
      </c>
      <c r="J2785" t="s">
        <v>4409</v>
      </c>
      <c r="K2785" t="s">
        <v>108</v>
      </c>
      <c r="L2785" t="s">
        <v>127</v>
      </c>
      <c r="M2785" t="s">
        <v>112</v>
      </c>
      <c r="N2785" t="s">
        <v>98</v>
      </c>
      <c r="O2785" t="s">
        <v>1345</v>
      </c>
    </row>
    <row r="2786" spans="1:15" x14ac:dyDescent="0.3">
      <c r="A2786" s="130">
        <v>15554</v>
      </c>
      <c r="B2786" s="130">
        <v>28</v>
      </c>
      <c r="C2786" s="130" t="s">
        <v>4410</v>
      </c>
      <c r="D2786">
        <v>23556</v>
      </c>
      <c r="E2786" s="130">
        <v>24013278</v>
      </c>
      <c r="F2786" t="s">
        <v>87</v>
      </c>
      <c r="G2786">
        <v>76</v>
      </c>
      <c r="H2786" t="s">
        <v>8951</v>
      </c>
      <c r="I2786" s="130">
        <v>43</v>
      </c>
      <c r="J2786" t="s">
        <v>4410</v>
      </c>
      <c r="K2786" t="s">
        <v>108</v>
      </c>
      <c r="L2786" t="s">
        <v>1241</v>
      </c>
      <c r="M2786" t="s">
        <v>130</v>
      </c>
      <c r="N2786" t="s">
        <v>98</v>
      </c>
      <c r="O2786" t="s">
        <v>1256</v>
      </c>
    </row>
    <row r="2787" spans="1:15" x14ac:dyDescent="0.3">
      <c r="A2787" s="130">
        <v>15568</v>
      </c>
      <c r="B2787" s="130">
        <v>30</v>
      </c>
      <c r="C2787" s="130" t="s">
        <v>4411</v>
      </c>
      <c r="D2787">
        <v>23569</v>
      </c>
      <c r="E2787" s="130">
        <v>61037537</v>
      </c>
      <c r="F2787" t="s">
        <v>87</v>
      </c>
      <c r="G2787">
        <v>76</v>
      </c>
      <c r="H2787" t="s">
        <v>8952</v>
      </c>
      <c r="I2787" s="131">
        <v>3</v>
      </c>
      <c r="J2787" t="s">
        <v>4411</v>
      </c>
      <c r="K2787" t="s">
        <v>108</v>
      </c>
      <c r="L2787" t="s">
        <v>111</v>
      </c>
      <c r="M2787" t="s">
        <v>103</v>
      </c>
      <c r="N2787" t="s">
        <v>98</v>
      </c>
      <c r="O2787" t="s">
        <v>116</v>
      </c>
    </row>
    <row r="2788" spans="1:15" x14ac:dyDescent="0.3">
      <c r="A2788" s="130">
        <v>15572</v>
      </c>
      <c r="B2788" s="130">
        <v>10</v>
      </c>
      <c r="C2788" s="130" t="s">
        <v>4412</v>
      </c>
      <c r="D2788">
        <v>23575</v>
      </c>
      <c r="E2788" s="130">
        <v>3514701</v>
      </c>
      <c r="F2788" t="s">
        <v>87</v>
      </c>
      <c r="G2788">
        <v>358</v>
      </c>
      <c r="H2788" t="s">
        <v>8953</v>
      </c>
      <c r="I2788" s="131">
        <v>10</v>
      </c>
      <c r="J2788" t="s">
        <v>4412</v>
      </c>
      <c r="K2788" t="s">
        <v>95</v>
      </c>
      <c r="L2788" t="s">
        <v>109</v>
      </c>
      <c r="M2788" t="s">
        <v>133</v>
      </c>
      <c r="N2788" t="s">
        <v>98</v>
      </c>
      <c r="O2788" t="s">
        <v>1345</v>
      </c>
    </row>
    <row r="2789" spans="1:15" x14ac:dyDescent="0.3">
      <c r="A2789" s="130">
        <v>15573</v>
      </c>
      <c r="B2789" s="130">
        <v>10</v>
      </c>
      <c r="C2789" s="130" t="s">
        <v>4413</v>
      </c>
      <c r="D2789">
        <v>23576</v>
      </c>
      <c r="E2789" s="130">
        <v>26108898</v>
      </c>
      <c r="F2789" t="s">
        <v>87</v>
      </c>
      <c r="G2789">
        <v>76</v>
      </c>
      <c r="H2789" t="s">
        <v>8951</v>
      </c>
      <c r="I2789" s="130">
        <v>24</v>
      </c>
      <c r="J2789" t="s">
        <v>4413</v>
      </c>
      <c r="K2789" t="s">
        <v>108</v>
      </c>
      <c r="L2789" t="s">
        <v>120</v>
      </c>
      <c r="M2789" t="s">
        <v>133</v>
      </c>
      <c r="N2789" t="s">
        <v>98</v>
      </c>
      <c r="O2789" t="s">
        <v>1256</v>
      </c>
    </row>
    <row r="2790" spans="1:15" x14ac:dyDescent="0.3">
      <c r="A2790" s="130">
        <v>15578</v>
      </c>
      <c r="B2790" s="130">
        <v>60</v>
      </c>
      <c r="C2790" s="130" t="s">
        <v>4414</v>
      </c>
      <c r="D2790">
        <v>23582</v>
      </c>
      <c r="E2790" s="131">
        <v>17185786</v>
      </c>
      <c r="F2790" t="s">
        <v>87</v>
      </c>
      <c r="G2790">
        <v>358</v>
      </c>
      <c r="H2790" t="s">
        <v>8952</v>
      </c>
      <c r="I2790" s="130">
        <v>3</v>
      </c>
      <c r="J2790" t="s">
        <v>4414</v>
      </c>
      <c r="K2790" t="s">
        <v>95</v>
      </c>
      <c r="L2790" t="s">
        <v>109</v>
      </c>
      <c r="M2790" t="s">
        <v>97</v>
      </c>
      <c r="N2790" t="s">
        <v>98</v>
      </c>
      <c r="O2790" t="s">
        <v>116</v>
      </c>
    </row>
    <row r="2791" spans="1:15" x14ac:dyDescent="0.3">
      <c r="A2791" s="130">
        <v>15580</v>
      </c>
      <c r="B2791" s="130">
        <v>30</v>
      </c>
      <c r="C2791" s="130" t="s">
        <v>4415</v>
      </c>
      <c r="D2791">
        <v>23583</v>
      </c>
      <c r="E2791" s="130">
        <v>16614075</v>
      </c>
      <c r="F2791" t="s">
        <v>87</v>
      </c>
      <c r="G2791">
        <v>76</v>
      </c>
      <c r="H2791" t="s">
        <v>8953</v>
      </c>
      <c r="I2791" s="130">
        <v>18</v>
      </c>
      <c r="J2791" t="s">
        <v>4415</v>
      </c>
      <c r="K2791" t="s">
        <v>95</v>
      </c>
      <c r="L2791" t="s">
        <v>123</v>
      </c>
      <c r="M2791" t="s">
        <v>103</v>
      </c>
      <c r="N2791" t="s">
        <v>98</v>
      </c>
      <c r="O2791" t="s">
        <v>116</v>
      </c>
    </row>
    <row r="2792" spans="1:15" x14ac:dyDescent="0.3">
      <c r="A2792" s="130">
        <v>15582</v>
      </c>
      <c r="B2792" s="130">
        <v>-1</v>
      </c>
      <c r="C2792" s="130" t="s">
        <v>4416</v>
      </c>
      <c r="D2792">
        <v>23586</v>
      </c>
      <c r="E2792" s="130">
        <v>37482126</v>
      </c>
      <c r="F2792" t="s">
        <v>87</v>
      </c>
      <c r="G2792">
        <v>76</v>
      </c>
      <c r="H2792" t="s">
        <v>8951</v>
      </c>
      <c r="I2792" s="130">
        <v>9</v>
      </c>
      <c r="J2792" t="s">
        <v>4416</v>
      </c>
      <c r="K2792" t="s">
        <v>108</v>
      </c>
      <c r="L2792" t="s">
        <v>181</v>
      </c>
      <c r="M2792" t="s">
        <v>174</v>
      </c>
      <c r="N2792" t="s">
        <v>152</v>
      </c>
      <c r="O2792" t="s">
        <v>116</v>
      </c>
    </row>
    <row r="2793" spans="1:15" x14ac:dyDescent="0.3">
      <c r="A2793" s="130">
        <v>15590</v>
      </c>
      <c r="B2793" s="130">
        <v>30</v>
      </c>
      <c r="C2793" s="130" t="s">
        <v>4417</v>
      </c>
      <c r="D2793">
        <v>23599</v>
      </c>
      <c r="E2793" s="130">
        <v>37904136</v>
      </c>
      <c r="F2793" t="s">
        <v>87</v>
      </c>
      <c r="G2793">
        <v>76</v>
      </c>
      <c r="H2793" t="s">
        <v>8952</v>
      </c>
      <c r="I2793" s="130">
        <v>38</v>
      </c>
      <c r="J2793" t="s">
        <v>4417</v>
      </c>
      <c r="K2793" t="s">
        <v>108</v>
      </c>
      <c r="L2793" t="s">
        <v>126</v>
      </c>
      <c r="M2793" t="s">
        <v>103</v>
      </c>
      <c r="N2793" t="s">
        <v>98</v>
      </c>
      <c r="O2793" t="s">
        <v>1345</v>
      </c>
    </row>
    <row r="2794" spans="1:15" x14ac:dyDescent="0.3">
      <c r="A2794" s="130">
        <v>15591</v>
      </c>
      <c r="B2794" s="130">
        <v>30</v>
      </c>
      <c r="C2794" s="130" t="s">
        <v>4418</v>
      </c>
      <c r="D2794">
        <v>23585</v>
      </c>
      <c r="E2794" s="130">
        <v>29087273</v>
      </c>
      <c r="F2794" t="s">
        <v>87</v>
      </c>
      <c r="G2794">
        <v>76</v>
      </c>
      <c r="H2794" t="s">
        <v>8953</v>
      </c>
      <c r="I2794" s="131">
        <v>18</v>
      </c>
      <c r="J2794" t="s">
        <v>4418</v>
      </c>
      <c r="K2794" t="s">
        <v>108</v>
      </c>
      <c r="L2794" t="s">
        <v>123</v>
      </c>
      <c r="M2794" t="s">
        <v>103</v>
      </c>
      <c r="N2794" t="s">
        <v>98</v>
      </c>
      <c r="O2794" t="s">
        <v>116</v>
      </c>
    </row>
    <row r="2795" spans="1:15" x14ac:dyDescent="0.3">
      <c r="A2795" s="130">
        <v>15608</v>
      </c>
      <c r="B2795" s="130">
        <v>60</v>
      </c>
      <c r="C2795" s="130" t="s">
        <v>4419</v>
      </c>
      <c r="D2795">
        <v>23625</v>
      </c>
      <c r="E2795" s="131">
        <v>20645520</v>
      </c>
      <c r="F2795" t="s">
        <v>87</v>
      </c>
      <c r="G2795">
        <v>76</v>
      </c>
      <c r="H2795" t="s">
        <v>8951</v>
      </c>
      <c r="I2795" s="130">
        <v>3</v>
      </c>
      <c r="J2795" t="s">
        <v>4419</v>
      </c>
      <c r="K2795" t="s">
        <v>95</v>
      </c>
      <c r="L2795" t="s">
        <v>111</v>
      </c>
      <c r="M2795" t="s">
        <v>97</v>
      </c>
      <c r="N2795" t="s">
        <v>98</v>
      </c>
      <c r="O2795" t="s">
        <v>116</v>
      </c>
    </row>
    <row r="2796" spans="1:15" x14ac:dyDescent="0.3">
      <c r="A2796" s="130">
        <v>15613</v>
      </c>
      <c r="B2796" s="130">
        <v>30</v>
      </c>
      <c r="C2796" s="130" t="s">
        <v>4420</v>
      </c>
      <c r="D2796">
        <v>23637</v>
      </c>
      <c r="E2796" s="130">
        <v>48863214</v>
      </c>
      <c r="F2796" t="s">
        <v>87</v>
      </c>
      <c r="G2796">
        <v>76</v>
      </c>
      <c r="H2796" t="s">
        <v>8952</v>
      </c>
      <c r="I2796" s="131">
        <v>9</v>
      </c>
      <c r="J2796" t="s">
        <v>4420</v>
      </c>
      <c r="K2796" t="s">
        <v>95</v>
      </c>
      <c r="L2796" t="s">
        <v>105</v>
      </c>
      <c r="M2796" t="s">
        <v>103</v>
      </c>
      <c r="N2796" t="s">
        <v>124</v>
      </c>
      <c r="O2796" t="s">
        <v>116</v>
      </c>
    </row>
    <row r="2797" spans="1:15" x14ac:dyDescent="0.3">
      <c r="A2797" s="130">
        <v>15625</v>
      </c>
      <c r="B2797" s="130">
        <v>45</v>
      </c>
      <c r="C2797" s="130" t="s">
        <v>4421</v>
      </c>
      <c r="D2797">
        <v>23654</v>
      </c>
      <c r="E2797" s="130">
        <v>60863404</v>
      </c>
      <c r="F2797" t="s">
        <v>87</v>
      </c>
      <c r="G2797">
        <v>76</v>
      </c>
      <c r="H2797" t="s">
        <v>8953</v>
      </c>
      <c r="I2797" s="130">
        <v>3</v>
      </c>
      <c r="J2797" t="s">
        <v>4421</v>
      </c>
      <c r="K2797" t="s">
        <v>95</v>
      </c>
      <c r="L2797" t="s">
        <v>111</v>
      </c>
      <c r="M2797" t="s">
        <v>106</v>
      </c>
      <c r="N2797" t="s">
        <v>98</v>
      </c>
      <c r="O2797" t="s">
        <v>116</v>
      </c>
    </row>
    <row r="2798" spans="1:15" x14ac:dyDescent="0.3">
      <c r="A2798" s="130">
        <v>15627</v>
      </c>
      <c r="B2798" s="130">
        <v>30</v>
      </c>
      <c r="C2798" s="130" t="s">
        <v>4422</v>
      </c>
      <c r="D2798">
        <v>23656</v>
      </c>
      <c r="E2798" s="130">
        <v>16956443</v>
      </c>
      <c r="F2798" t="s">
        <v>87</v>
      </c>
      <c r="G2798">
        <v>76</v>
      </c>
      <c r="H2798" t="s">
        <v>8951</v>
      </c>
      <c r="I2798" s="131">
        <v>3</v>
      </c>
      <c r="J2798" t="s">
        <v>4422</v>
      </c>
      <c r="K2798" t="s">
        <v>95</v>
      </c>
      <c r="L2798" t="s">
        <v>111</v>
      </c>
      <c r="M2798" t="s">
        <v>103</v>
      </c>
      <c r="N2798" t="s">
        <v>98</v>
      </c>
      <c r="O2798" t="s">
        <v>116</v>
      </c>
    </row>
    <row r="2799" spans="1:15" x14ac:dyDescent="0.3">
      <c r="A2799" s="130">
        <v>15628</v>
      </c>
      <c r="B2799" s="130">
        <v>30</v>
      </c>
      <c r="C2799" s="130" t="s">
        <v>4423</v>
      </c>
      <c r="D2799">
        <v>23356</v>
      </c>
      <c r="E2799" s="130">
        <v>28763819</v>
      </c>
      <c r="F2799" t="s">
        <v>87</v>
      </c>
      <c r="G2799">
        <v>77</v>
      </c>
      <c r="H2799" t="s">
        <v>8952</v>
      </c>
      <c r="I2799" s="131">
        <v>3</v>
      </c>
      <c r="J2799" t="s">
        <v>4423</v>
      </c>
      <c r="K2799" t="s">
        <v>108</v>
      </c>
      <c r="L2799" t="s">
        <v>235</v>
      </c>
      <c r="M2799" t="s">
        <v>103</v>
      </c>
      <c r="N2799" t="s">
        <v>118</v>
      </c>
      <c r="O2799" t="s">
        <v>116</v>
      </c>
    </row>
    <row r="2800" spans="1:15" x14ac:dyDescent="0.3">
      <c r="A2800" s="130">
        <v>15629</v>
      </c>
      <c r="B2800" s="130">
        <v>0</v>
      </c>
      <c r="C2800" s="130" t="s">
        <v>4424</v>
      </c>
      <c r="D2800">
        <v>23658</v>
      </c>
      <c r="E2800" s="130">
        <v>48265082</v>
      </c>
      <c r="F2800" t="s">
        <v>87</v>
      </c>
      <c r="G2800">
        <v>76</v>
      </c>
      <c r="H2800" t="s">
        <v>8953</v>
      </c>
      <c r="I2800" s="130">
        <v>43</v>
      </c>
      <c r="J2800" t="s">
        <v>4424</v>
      </c>
      <c r="K2800" t="s">
        <v>108</v>
      </c>
      <c r="L2800" t="s">
        <v>111</v>
      </c>
      <c r="M2800" t="s">
        <v>100</v>
      </c>
      <c r="N2800" t="s">
        <v>101</v>
      </c>
      <c r="O2800" t="s">
        <v>116</v>
      </c>
    </row>
    <row r="2801" spans="1:15" x14ac:dyDescent="0.3">
      <c r="A2801" s="130">
        <v>15631</v>
      </c>
      <c r="B2801" s="130">
        <v>30</v>
      </c>
      <c r="C2801" s="130" t="s">
        <v>4425</v>
      </c>
      <c r="D2801">
        <v>23661</v>
      </c>
      <c r="E2801" s="130">
        <v>9277745</v>
      </c>
      <c r="F2801" t="s">
        <v>87</v>
      </c>
      <c r="G2801">
        <v>76</v>
      </c>
      <c r="H2801" t="s">
        <v>8951</v>
      </c>
      <c r="I2801" s="130">
        <v>10</v>
      </c>
      <c r="J2801" t="s">
        <v>4425</v>
      </c>
      <c r="K2801" t="s">
        <v>95</v>
      </c>
      <c r="L2801" t="s">
        <v>127</v>
      </c>
      <c r="M2801" t="s">
        <v>103</v>
      </c>
      <c r="N2801" t="s">
        <v>118</v>
      </c>
      <c r="O2801" t="s">
        <v>116</v>
      </c>
    </row>
    <row r="2802" spans="1:15" x14ac:dyDescent="0.3">
      <c r="A2802" s="130">
        <v>15656</v>
      </c>
      <c r="B2802" s="130">
        <v>30</v>
      </c>
      <c r="C2802" s="130" t="s">
        <v>4426</v>
      </c>
      <c r="D2802">
        <v>23687</v>
      </c>
      <c r="E2802" s="130">
        <v>13791376</v>
      </c>
      <c r="F2802" t="s">
        <v>87</v>
      </c>
      <c r="G2802">
        <v>76</v>
      </c>
      <c r="H2802" t="s">
        <v>8952</v>
      </c>
      <c r="I2802" s="130">
        <v>24</v>
      </c>
      <c r="J2802" t="s">
        <v>4426</v>
      </c>
      <c r="K2802" t="s">
        <v>108</v>
      </c>
      <c r="L2802" t="s">
        <v>191</v>
      </c>
      <c r="M2802" t="s">
        <v>103</v>
      </c>
      <c r="N2802" t="s">
        <v>98</v>
      </c>
      <c r="O2802" t="s">
        <v>1345</v>
      </c>
    </row>
    <row r="2803" spans="1:15" x14ac:dyDescent="0.3">
      <c r="A2803" s="130">
        <v>15657</v>
      </c>
      <c r="B2803" s="130">
        <v>30</v>
      </c>
      <c r="C2803" s="130" t="s">
        <v>4427</v>
      </c>
      <c r="D2803">
        <v>23688</v>
      </c>
      <c r="E2803" s="131">
        <v>9277745</v>
      </c>
      <c r="F2803" t="s">
        <v>87</v>
      </c>
      <c r="G2803">
        <v>76</v>
      </c>
      <c r="H2803" t="s">
        <v>8953</v>
      </c>
      <c r="I2803" s="130">
        <v>10</v>
      </c>
      <c r="J2803" t="s">
        <v>4427</v>
      </c>
      <c r="K2803" t="s">
        <v>95</v>
      </c>
      <c r="L2803" t="s">
        <v>127</v>
      </c>
      <c r="M2803" t="s">
        <v>103</v>
      </c>
      <c r="N2803" t="s">
        <v>118</v>
      </c>
      <c r="O2803" t="s">
        <v>116</v>
      </c>
    </row>
    <row r="2804" spans="1:15" x14ac:dyDescent="0.3">
      <c r="A2804" s="130">
        <v>15658</v>
      </c>
      <c r="B2804" s="130">
        <v>30</v>
      </c>
      <c r="C2804" s="130" t="s">
        <v>4428</v>
      </c>
      <c r="D2804">
        <v>23691</v>
      </c>
      <c r="E2804" s="130">
        <v>72907595</v>
      </c>
      <c r="F2804" t="s">
        <v>87</v>
      </c>
      <c r="G2804">
        <v>76</v>
      </c>
      <c r="H2804" t="s">
        <v>8951</v>
      </c>
      <c r="I2804" s="131">
        <v>24</v>
      </c>
      <c r="J2804" t="s">
        <v>4428</v>
      </c>
      <c r="K2804" t="s">
        <v>108</v>
      </c>
      <c r="L2804" t="s">
        <v>120</v>
      </c>
      <c r="M2804" t="s">
        <v>103</v>
      </c>
      <c r="N2804" t="s">
        <v>114</v>
      </c>
      <c r="O2804" t="s">
        <v>1345</v>
      </c>
    </row>
    <row r="2805" spans="1:15" x14ac:dyDescent="0.3">
      <c r="A2805" s="130">
        <v>15675</v>
      </c>
      <c r="B2805" s="130">
        <v>30</v>
      </c>
      <c r="C2805" s="130" t="s">
        <v>4429</v>
      </c>
      <c r="D2805">
        <v>23714</v>
      </c>
      <c r="E2805" s="131">
        <v>3672857</v>
      </c>
      <c r="F2805" t="s">
        <v>87</v>
      </c>
      <c r="G2805">
        <v>76</v>
      </c>
      <c r="H2805" t="s">
        <v>8952</v>
      </c>
      <c r="I2805" s="131">
        <v>10</v>
      </c>
      <c r="J2805" t="s">
        <v>4429</v>
      </c>
      <c r="K2805" t="s">
        <v>95</v>
      </c>
      <c r="L2805" t="s">
        <v>127</v>
      </c>
      <c r="M2805" t="s">
        <v>103</v>
      </c>
      <c r="N2805" t="s">
        <v>118</v>
      </c>
      <c r="O2805" t="s">
        <v>1345</v>
      </c>
    </row>
    <row r="2806" spans="1:15" x14ac:dyDescent="0.3">
      <c r="A2806" s="130">
        <v>15678</v>
      </c>
      <c r="B2806" s="130">
        <v>18</v>
      </c>
      <c r="C2806" s="130" t="s">
        <v>4430</v>
      </c>
      <c r="D2806">
        <v>23724</v>
      </c>
      <c r="E2806" s="130">
        <v>5802590</v>
      </c>
      <c r="F2806" t="s">
        <v>87</v>
      </c>
      <c r="G2806">
        <v>76</v>
      </c>
      <c r="H2806" t="s">
        <v>8953</v>
      </c>
      <c r="I2806" s="130">
        <v>9</v>
      </c>
      <c r="J2806" t="s">
        <v>4430</v>
      </c>
      <c r="K2806" t="s">
        <v>95</v>
      </c>
      <c r="L2806" t="s">
        <v>1298</v>
      </c>
      <c r="M2806" t="s">
        <v>112</v>
      </c>
      <c r="N2806" t="s">
        <v>98</v>
      </c>
      <c r="O2806" t="s">
        <v>1256</v>
      </c>
    </row>
    <row r="2807" spans="1:15" x14ac:dyDescent="0.3">
      <c r="A2807" s="130">
        <v>15683</v>
      </c>
      <c r="B2807" s="130">
        <v>-1</v>
      </c>
      <c r="C2807" s="130" t="s">
        <v>4431</v>
      </c>
      <c r="D2807">
        <v>23732</v>
      </c>
      <c r="E2807" s="131">
        <v>22078140</v>
      </c>
      <c r="F2807" t="s">
        <v>87</v>
      </c>
      <c r="G2807">
        <v>76</v>
      </c>
      <c r="H2807" t="s">
        <v>8951</v>
      </c>
      <c r="I2807" s="130">
        <v>3</v>
      </c>
      <c r="J2807" t="s">
        <v>4431</v>
      </c>
      <c r="K2807" t="s">
        <v>108</v>
      </c>
      <c r="L2807" t="s">
        <v>1293</v>
      </c>
      <c r="M2807" t="s">
        <v>174</v>
      </c>
      <c r="N2807" t="s">
        <v>152</v>
      </c>
      <c r="O2807" t="s">
        <v>116</v>
      </c>
    </row>
    <row r="2808" spans="1:15" x14ac:dyDescent="0.3">
      <c r="A2808" s="130">
        <v>15685</v>
      </c>
      <c r="B2808" s="130">
        <v>21</v>
      </c>
      <c r="C2808" s="130" t="s">
        <v>4432</v>
      </c>
      <c r="D2808">
        <v>23736</v>
      </c>
      <c r="E2808" s="130">
        <v>35517640</v>
      </c>
      <c r="F2808" t="s">
        <v>87</v>
      </c>
      <c r="G2808">
        <v>76</v>
      </c>
      <c r="H2808" t="s">
        <v>8952</v>
      </c>
      <c r="I2808" s="131">
        <v>3</v>
      </c>
      <c r="J2808" t="s">
        <v>4432</v>
      </c>
      <c r="K2808" t="s">
        <v>108</v>
      </c>
      <c r="L2808" t="s">
        <v>111</v>
      </c>
      <c r="M2808" t="s">
        <v>137</v>
      </c>
      <c r="N2808" t="s">
        <v>98</v>
      </c>
      <c r="O2808" t="s">
        <v>1345</v>
      </c>
    </row>
    <row r="2809" spans="1:15" x14ac:dyDescent="0.3">
      <c r="A2809" s="130">
        <v>15686</v>
      </c>
      <c r="B2809" s="130">
        <v>18</v>
      </c>
      <c r="C2809" s="130" t="s">
        <v>4433</v>
      </c>
      <c r="D2809">
        <v>23738</v>
      </c>
      <c r="E2809" s="130">
        <v>16836669</v>
      </c>
      <c r="F2809" t="s">
        <v>87</v>
      </c>
      <c r="G2809">
        <v>76</v>
      </c>
      <c r="H2809" t="s">
        <v>8953</v>
      </c>
      <c r="I2809" s="130">
        <v>10</v>
      </c>
      <c r="J2809" t="s">
        <v>4433</v>
      </c>
      <c r="K2809" t="s">
        <v>108</v>
      </c>
      <c r="L2809" t="s">
        <v>127</v>
      </c>
      <c r="M2809" t="s">
        <v>112</v>
      </c>
      <c r="N2809" t="s">
        <v>152</v>
      </c>
      <c r="O2809" t="s">
        <v>1345</v>
      </c>
    </row>
    <row r="2810" spans="1:15" x14ac:dyDescent="0.3">
      <c r="A2810" s="130">
        <v>15698</v>
      </c>
      <c r="B2810" s="130">
        <v>10</v>
      </c>
      <c r="C2810" s="130" t="s">
        <v>4434</v>
      </c>
      <c r="D2810">
        <v>23755</v>
      </c>
      <c r="E2810" s="130">
        <v>34551839</v>
      </c>
      <c r="F2810" t="s">
        <v>87</v>
      </c>
      <c r="G2810">
        <v>358</v>
      </c>
      <c r="H2810" t="s">
        <v>8951</v>
      </c>
      <c r="I2810" s="130">
        <v>18</v>
      </c>
      <c r="J2810" t="s">
        <v>4434</v>
      </c>
      <c r="K2810" t="s">
        <v>108</v>
      </c>
      <c r="L2810" t="s">
        <v>193</v>
      </c>
      <c r="M2810" t="s">
        <v>133</v>
      </c>
      <c r="N2810" t="s">
        <v>98</v>
      </c>
      <c r="O2810" t="s">
        <v>1345</v>
      </c>
    </row>
    <row r="2811" spans="1:15" x14ac:dyDescent="0.3">
      <c r="A2811" s="130">
        <v>15705</v>
      </c>
      <c r="B2811" s="130">
        <v>30</v>
      </c>
      <c r="C2811" s="130" t="s">
        <v>4435</v>
      </c>
      <c r="D2811">
        <v>23768</v>
      </c>
      <c r="E2811" s="130">
        <v>17162983</v>
      </c>
      <c r="F2811" t="s">
        <v>87</v>
      </c>
      <c r="G2811">
        <v>76</v>
      </c>
      <c r="H2811" t="s">
        <v>8952</v>
      </c>
      <c r="I2811" s="131">
        <v>3</v>
      </c>
      <c r="J2811" t="s">
        <v>4435</v>
      </c>
      <c r="K2811" t="s">
        <v>95</v>
      </c>
      <c r="L2811" t="s">
        <v>105</v>
      </c>
      <c r="M2811" t="s">
        <v>103</v>
      </c>
      <c r="N2811" t="s">
        <v>98</v>
      </c>
      <c r="O2811" t="s">
        <v>1345</v>
      </c>
    </row>
    <row r="2812" spans="1:15" x14ac:dyDescent="0.3">
      <c r="A2812" s="130">
        <v>15707</v>
      </c>
      <c r="B2812" s="130">
        <v>18</v>
      </c>
      <c r="C2812" s="130" t="s">
        <v>4436</v>
      </c>
      <c r="D2812">
        <v>23771</v>
      </c>
      <c r="E2812" s="130">
        <v>4663056</v>
      </c>
      <c r="F2812" t="s">
        <v>87</v>
      </c>
      <c r="G2812">
        <v>76</v>
      </c>
      <c r="H2812" t="s">
        <v>8953</v>
      </c>
      <c r="I2812" s="130">
        <v>26</v>
      </c>
      <c r="J2812" t="s">
        <v>4436</v>
      </c>
      <c r="K2812" t="s">
        <v>108</v>
      </c>
      <c r="L2812" t="s">
        <v>151</v>
      </c>
      <c r="M2812" t="s">
        <v>112</v>
      </c>
      <c r="N2812" t="s">
        <v>114</v>
      </c>
      <c r="O2812" t="s">
        <v>116</v>
      </c>
    </row>
    <row r="2813" spans="1:15" x14ac:dyDescent="0.3">
      <c r="A2813" s="130">
        <v>15712</v>
      </c>
      <c r="B2813" s="130">
        <v>30</v>
      </c>
      <c r="C2813" s="130" t="s">
        <v>4437</v>
      </c>
      <c r="D2813">
        <v>23776</v>
      </c>
      <c r="E2813" s="130">
        <v>27786322</v>
      </c>
      <c r="F2813" t="s">
        <v>87</v>
      </c>
      <c r="G2813">
        <v>76</v>
      </c>
      <c r="H2813" t="s">
        <v>8951</v>
      </c>
      <c r="I2813" s="131">
        <v>19</v>
      </c>
      <c r="J2813" t="s">
        <v>4437</v>
      </c>
      <c r="K2813" t="s">
        <v>108</v>
      </c>
      <c r="L2813" t="s">
        <v>146</v>
      </c>
      <c r="M2813" t="s">
        <v>103</v>
      </c>
      <c r="N2813" t="s">
        <v>124</v>
      </c>
      <c r="O2813" t="s">
        <v>1345</v>
      </c>
    </row>
    <row r="2814" spans="1:15" x14ac:dyDescent="0.3">
      <c r="A2814" s="130">
        <v>15716</v>
      </c>
      <c r="B2814" s="130">
        <v>30</v>
      </c>
      <c r="C2814" s="130" t="s">
        <v>4438</v>
      </c>
      <c r="D2814">
        <v>23781</v>
      </c>
      <c r="E2814" s="130">
        <v>17154899</v>
      </c>
      <c r="F2814" t="s">
        <v>87</v>
      </c>
      <c r="G2814">
        <v>76</v>
      </c>
      <c r="H2814" t="s">
        <v>8952</v>
      </c>
      <c r="I2814" s="130">
        <v>3</v>
      </c>
      <c r="J2814" t="s">
        <v>4438</v>
      </c>
      <c r="K2814" t="s">
        <v>95</v>
      </c>
      <c r="L2814" t="s">
        <v>105</v>
      </c>
      <c r="M2814" t="s">
        <v>103</v>
      </c>
      <c r="N2814" t="s">
        <v>98</v>
      </c>
      <c r="O2814" t="s">
        <v>1345</v>
      </c>
    </row>
    <row r="2815" spans="1:15" x14ac:dyDescent="0.3">
      <c r="A2815" s="130">
        <v>15727</v>
      </c>
      <c r="B2815" s="130">
        <v>60</v>
      </c>
      <c r="C2815" s="130" t="s">
        <v>4439</v>
      </c>
      <c r="D2815">
        <v>23794</v>
      </c>
      <c r="E2815" s="130">
        <v>3176142</v>
      </c>
      <c r="F2815" t="s">
        <v>87</v>
      </c>
      <c r="G2815">
        <v>76</v>
      </c>
      <c r="H2815" t="s">
        <v>8953</v>
      </c>
      <c r="I2815" s="131">
        <v>9</v>
      </c>
      <c r="J2815" t="s">
        <v>4439</v>
      </c>
      <c r="K2815" t="s">
        <v>108</v>
      </c>
      <c r="L2815" t="s">
        <v>181</v>
      </c>
      <c r="M2815" t="s">
        <v>97</v>
      </c>
      <c r="N2815" t="s">
        <v>114</v>
      </c>
      <c r="O2815" t="s">
        <v>1345</v>
      </c>
    </row>
    <row r="2816" spans="1:15" x14ac:dyDescent="0.3">
      <c r="A2816" s="130">
        <v>15757</v>
      </c>
      <c r="C2816" s="130" t="s">
        <v>4440</v>
      </c>
      <c r="D2816">
        <v>23847</v>
      </c>
      <c r="E2816" s="131">
        <v>21480265</v>
      </c>
      <c r="F2816" t="s">
        <v>113</v>
      </c>
      <c r="G2816">
        <v>76</v>
      </c>
      <c r="H2816" t="s">
        <v>8951</v>
      </c>
      <c r="I2816" s="131">
        <v>1</v>
      </c>
      <c r="J2816" t="s">
        <v>4440</v>
      </c>
      <c r="K2816" t="s">
        <v>95</v>
      </c>
      <c r="L2816" t="s">
        <v>181</v>
      </c>
      <c r="N2816" t="s">
        <v>98</v>
      </c>
      <c r="O2816" t="s">
        <v>1256</v>
      </c>
    </row>
    <row r="2817" spans="1:15" x14ac:dyDescent="0.3">
      <c r="A2817" s="130">
        <v>15775</v>
      </c>
      <c r="B2817" s="130">
        <v>60</v>
      </c>
      <c r="C2817" s="130" t="s">
        <v>4441</v>
      </c>
      <c r="D2817">
        <v>23854</v>
      </c>
      <c r="E2817" s="130">
        <v>33592510</v>
      </c>
      <c r="F2817" t="s">
        <v>87</v>
      </c>
      <c r="G2817">
        <v>77</v>
      </c>
      <c r="H2817" t="s">
        <v>8952</v>
      </c>
      <c r="I2817" s="131">
        <v>2</v>
      </c>
      <c r="J2817" t="s">
        <v>4441</v>
      </c>
      <c r="K2817" t="s">
        <v>95</v>
      </c>
      <c r="L2817" t="s">
        <v>117</v>
      </c>
      <c r="M2817" t="s">
        <v>97</v>
      </c>
      <c r="N2817" t="s">
        <v>118</v>
      </c>
      <c r="O2817" t="s">
        <v>1345</v>
      </c>
    </row>
    <row r="2818" spans="1:15" x14ac:dyDescent="0.3">
      <c r="A2818" s="130">
        <v>15778</v>
      </c>
      <c r="B2818" s="130">
        <v>30</v>
      </c>
      <c r="C2818" s="130" t="s">
        <v>4442</v>
      </c>
      <c r="D2818">
        <v>23857</v>
      </c>
      <c r="E2818" s="131">
        <v>3367118</v>
      </c>
      <c r="F2818" t="s">
        <v>87</v>
      </c>
      <c r="G2818">
        <v>76</v>
      </c>
      <c r="H2818" t="s">
        <v>8953</v>
      </c>
      <c r="I2818" s="131">
        <v>3</v>
      </c>
      <c r="J2818" t="s">
        <v>4442</v>
      </c>
      <c r="K2818" t="s">
        <v>95</v>
      </c>
      <c r="L2818" t="s">
        <v>111</v>
      </c>
      <c r="M2818" t="s">
        <v>103</v>
      </c>
      <c r="N2818" t="s">
        <v>98</v>
      </c>
      <c r="O2818" t="s">
        <v>116</v>
      </c>
    </row>
    <row r="2819" spans="1:15" x14ac:dyDescent="0.3">
      <c r="A2819" s="130">
        <v>15780</v>
      </c>
      <c r="B2819" s="130">
        <v>30</v>
      </c>
      <c r="C2819" s="130" t="s">
        <v>4443</v>
      </c>
      <c r="D2819">
        <v>23859</v>
      </c>
      <c r="E2819" s="131">
        <v>3367118</v>
      </c>
      <c r="F2819" t="s">
        <v>87</v>
      </c>
      <c r="G2819">
        <v>76</v>
      </c>
      <c r="H2819" t="s">
        <v>8951</v>
      </c>
      <c r="I2819" s="131">
        <v>3</v>
      </c>
      <c r="J2819" t="s">
        <v>4443</v>
      </c>
      <c r="K2819" t="s">
        <v>108</v>
      </c>
      <c r="L2819" t="s">
        <v>111</v>
      </c>
      <c r="M2819" t="s">
        <v>103</v>
      </c>
      <c r="N2819" t="s">
        <v>98</v>
      </c>
      <c r="O2819" t="s">
        <v>116</v>
      </c>
    </row>
    <row r="2820" spans="1:15" x14ac:dyDescent="0.3">
      <c r="A2820" s="130">
        <v>15793</v>
      </c>
      <c r="B2820" s="130">
        <v>15</v>
      </c>
      <c r="C2820" s="130" t="s">
        <v>4444</v>
      </c>
      <c r="D2820">
        <v>23874</v>
      </c>
      <c r="E2820" s="131">
        <v>1958386</v>
      </c>
      <c r="F2820" t="s">
        <v>87</v>
      </c>
      <c r="G2820">
        <v>76</v>
      </c>
      <c r="H2820" t="s">
        <v>8952</v>
      </c>
      <c r="I2820" s="130">
        <v>19</v>
      </c>
      <c r="J2820" t="s">
        <v>4444</v>
      </c>
      <c r="K2820" t="s">
        <v>108</v>
      </c>
      <c r="L2820" t="s">
        <v>1369</v>
      </c>
      <c r="M2820" t="s">
        <v>145</v>
      </c>
      <c r="N2820" t="s">
        <v>124</v>
      </c>
      <c r="O2820" t="s">
        <v>1345</v>
      </c>
    </row>
    <row r="2821" spans="1:15" x14ac:dyDescent="0.3">
      <c r="A2821" s="130">
        <v>15805</v>
      </c>
      <c r="B2821" s="130">
        <v>10</v>
      </c>
      <c r="C2821" s="130" t="s">
        <v>4445</v>
      </c>
      <c r="D2821">
        <v>23885</v>
      </c>
      <c r="E2821" s="131">
        <v>1276156</v>
      </c>
      <c r="F2821" t="s">
        <v>87</v>
      </c>
      <c r="G2821">
        <v>358</v>
      </c>
      <c r="H2821" t="s">
        <v>8953</v>
      </c>
      <c r="I2821" s="131">
        <v>18</v>
      </c>
      <c r="J2821" t="s">
        <v>4445</v>
      </c>
      <c r="K2821" t="s">
        <v>108</v>
      </c>
      <c r="L2821" t="s">
        <v>193</v>
      </c>
      <c r="M2821" t="s">
        <v>133</v>
      </c>
      <c r="N2821" t="s">
        <v>98</v>
      </c>
      <c r="O2821" t="s">
        <v>1345</v>
      </c>
    </row>
    <row r="2822" spans="1:15" x14ac:dyDescent="0.3">
      <c r="A2822" s="130">
        <v>15815</v>
      </c>
      <c r="B2822" s="130">
        <v>30</v>
      </c>
      <c r="C2822" s="130" t="s">
        <v>4446</v>
      </c>
      <c r="D2822">
        <v>23899</v>
      </c>
      <c r="E2822" s="130">
        <v>33193996</v>
      </c>
      <c r="F2822" t="s">
        <v>87</v>
      </c>
      <c r="G2822">
        <v>76</v>
      </c>
      <c r="H2822" t="s">
        <v>8951</v>
      </c>
      <c r="I2822" s="130">
        <v>10</v>
      </c>
      <c r="J2822" t="s">
        <v>4446</v>
      </c>
      <c r="K2822" t="s">
        <v>95</v>
      </c>
      <c r="L2822" t="s">
        <v>127</v>
      </c>
      <c r="M2822" t="s">
        <v>103</v>
      </c>
      <c r="N2822" t="s">
        <v>118</v>
      </c>
      <c r="O2822" t="s">
        <v>116</v>
      </c>
    </row>
    <row r="2823" spans="1:15" x14ac:dyDescent="0.3">
      <c r="A2823" s="130">
        <v>15816</v>
      </c>
      <c r="B2823" s="130">
        <v>30</v>
      </c>
      <c r="C2823" s="130" t="s">
        <v>4447</v>
      </c>
      <c r="D2823">
        <v>23901</v>
      </c>
      <c r="E2823" s="131">
        <v>38696365</v>
      </c>
      <c r="F2823" t="s">
        <v>87</v>
      </c>
      <c r="G2823">
        <v>358</v>
      </c>
      <c r="H2823" t="s">
        <v>8952</v>
      </c>
      <c r="I2823" s="130">
        <v>9</v>
      </c>
      <c r="J2823" t="s">
        <v>4447</v>
      </c>
      <c r="K2823" t="s">
        <v>95</v>
      </c>
      <c r="L2823" t="s">
        <v>105</v>
      </c>
      <c r="M2823" t="s">
        <v>103</v>
      </c>
      <c r="N2823" t="s">
        <v>98</v>
      </c>
      <c r="O2823" t="s">
        <v>1345</v>
      </c>
    </row>
    <row r="2824" spans="1:15" x14ac:dyDescent="0.3">
      <c r="A2824" s="130">
        <v>15818</v>
      </c>
      <c r="B2824" s="130">
        <v>10</v>
      </c>
      <c r="C2824" s="130" t="s">
        <v>4448</v>
      </c>
      <c r="D2824">
        <v>23906</v>
      </c>
      <c r="E2824" s="130">
        <v>96497284</v>
      </c>
      <c r="F2824" t="s">
        <v>87</v>
      </c>
      <c r="G2824">
        <v>76</v>
      </c>
      <c r="H2824" t="s">
        <v>8953</v>
      </c>
      <c r="I2824" s="130">
        <v>24</v>
      </c>
      <c r="J2824" t="s">
        <v>4448</v>
      </c>
      <c r="K2824" t="s">
        <v>108</v>
      </c>
      <c r="L2824" t="s">
        <v>191</v>
      </c>
      <c r="M2824" t="s">
        <v>133</v>
      </c>
      <c r="N2824" t="s">
        <v>98</v>
      </c>
      <c r="O2824" t="s">
        <v>116</v>
      </c>
    </row>
    <row r="2825" spans="1:15" x14ac:dyDescent="0.3">
      <c r="A2825" s="130">
        <v>15822</v>
      </c>
      <c r="B2825" s="130">
        <v>15</v>
      </c>
      <c r="C2825" s="130" t="s">
        <v>4449</v>
      </c>
      <c r="D2825">
        <v>23908</v>
      </c>
      <c r="E2825" s="131">
        <v>11654165</v>
      </c>
      <c r="F2825" t="s">
        <v>87</v>
      </c>
      <c r="G2825">
        <v>76</v>
      </c>
      <c r="H2825" t="s">
        <v>8951</v>
      </c>
      <c r="I2825" s="130">
        <v>19</v>
      </c>
      <c r="J2825" t="s">
        <v>4449</v>
      </c>
      <c r="K2825" t="s">
        <v>108</v>
      </c>
      <c r="L2825" t="s">
        <v>146</v>
      </c>
      <c r="M2825" t="s">
        <v>145</v>
      </c>
      <c r="N2825" t="s">
        <v>98</v>
      </c>
      <c r="O2825" t="s">
        <v>1345</v>
      </c>
    </row>
    <row r="2826" spans="1:15" x14ac:dyDescent="0.3">
      <c r="A2826" s="130">
        <v>15825</v>
      </c>
      <c r="B2826" s="130">
        <v>18</v>
      </c>
      <c r="C2826" s="130" t="s">
        <v>4450</v>
      </c>
      <c r="D2826">
        <v>23915</v>
      </c>
      <c r="E2826" s="131">
        <v>32621172</v>
      </c>
      <c r="F2826" t="s">
        <v>87</v>
      </c>
      <c r="G2826">
        <v>76</v>
      </c>
      <c r="H2826" t="s">
        <v>8952</v>
      </c>
      <c r="I2826" s="130">
        <v>18</v>
      </c>
      <c r="J2826" t="s">
        <v>4450</v>
      </c>
      <c r="K2826" t="s">
        <v>108</v>
      </c>
      <c r="L2826" t="s">
        <v>123</v>
      </c>
      <c r="M2826" t="s">
        <v>112</v>
      </c>
      <c r="N2826" t="s">
        <v>98</v>
      </c>
      <c r="O2826" t="s">
        <v>1345</v>
      </c>
    </row>
    <row r="2827" spans="1:15" x14ac:dyDescent="0.3">
      <c r="A2827" s="130">
        <v>15826</v>
      </c>
      <c r="B2827" s="130">
        <v>30</v>
      </c>
      <c r="C2827" s="130" t="s">
        <v>4451</v>
      </c>
      <c r="D2827">
        <v>23916</v>
      </c>
      <c r="E2827" s="131">
        <v>2617158</v>
      </c>
      <c r="F2827" t="s">
        <v>87</v>
      </c>
      <c r="G2827">
        <v>76</v>
      </c>
      <c r="H2827" t="s">
        <v>8953</v>
      </c>
      <c r="I2827" s="130">
        <v>10</v>
      </c>
      <c r="J2827" t="s">
        <v>4451</v>
      </c>
      <c r="K2827" t="s">
        <v>108</v>
      </c>
      <c r="L2827" t="s">
        <v>127</v>
      </c>
      <c r="M2827" t="s">
        <v>103</v>
      </c>
      <c r="N2827" t="s">
        <v>118</v>
      </c>
      <c r="O2827" t="s">
        <v>116</v>
      </c>
    </row>
    <row r="2828" spans="1:15" x14ac:dyDescent="0.3">
      <c r="A2828" s="130">
        <v>15829</v>
      </c>
      <c r="B2828" s="130">
        <v>30</v>
      </c>
      <c r="C2828" s="130" t="s">
        <v>4452</v>
      </c>
      <c r="D2828">
        <v>23927</v>
      </c>
      <c r="E2828" s="130">
        <v>7134777</v>
      </c>
      <c r="F2828" t="s">
        <v>87</v>
      </c>
      <c r="G2828">
        <v>76</v>
      </c>
      <c r="H2828" t="s">
        <v>8951</v>
      </c>
      <c r="I2828" s="131">
        <v>10</v>
      </c>
      <c r="J2828" t="s">
        <v>4452</v>
      </c>
      <c r="K2828" t="s">
        <v>108</v>
      </c>
      <c r="L2828" t="s">
        <v>127</v>
      </c>
      <c r="M2828" t="s">
        <v>103</v>
      </c>
      <c r="N2828" t="s">
        <v>118</v>
      </c>
      <c r="O2828" t="s">
        <v>1345</v>
      </c>
    </row>
    <row r="2829" spans="1:15" x14ac:dyDescent="0.3">
      <c r="A2829" s="130">
        <v>15831</v>
      </c>
      <c r="B2829" s="130">
        <v>30</v>
      </c>
      <c r="C2829" s="130" t="s">
        <v>4453</v>
      </c>
      <c r="D2829">
        <v>23930</v>
      </c>
      <c r="E2829" s="130">
        <v>10324104</v>
      </c>
      <c r="F2829" t="s">
        <v>87</v>
      </c>
      <c r="G2829">
        <v>76</v>
      </c>
      <c r="H2829" t="s">
        <v>8952</v>
      </c>
      <c r="I2829" s="130">
        <v>26</v>
      </c>
      <c r="J2829" t="s">
        <v>4453</v>
      </c>
      <c r="K2829" t="s">
        <v>108</v>
      </c>
      <c r="L2829" t="s">
        <v>151</v>
      </c>
      <c r="M2829" t="s">
        <v>103</v>
      </c>
      <c r="N2829" t="s">
        <v>98</v>
      </c>
      <c r="O2829" t="s">
        <v>116</v>
      </c>
    </row>
    <row r="2830" spans="1:15" x14ac:dyDescent="0.3">
      <c r="A2830" s="130">
        <v>15833</v>
      </c>
      <c r="B2830" s="131">
        <v>18</v>
      </c>
      <c r="C2830" s="130" t="s">
        <v>4454</v>
      </c>
      <c r="D2830">
        <v>23904</v>
      </c>
      <c r="E2830" s="130">
        <v>23601342</v>
      </c>
      <c r="F2830" t="s">
        <v>87</v>
      </c>
      <c r="G2830">
        <v>358</v>
      </c>
      <c r="H2830" t="s">
        <v>8953</v>
      </c>
      <c r="I2830" s="130">
        <v>26</v>
      </c>
      <c r="J2830" t="s">
        <v>4454</v>
      </c>
      <c r="K2830" t="s">
        <v>108</v>
      </c>
      <c r="L2830" t="s">
        <v>193</v>
      </c>
      <c r="M2830" t="s">
        <v>112</v>
      </c>
      <c r="N2830" t="s">
        <v>98</v>
      </c>
      <c r="O2830" t="s">
        <v>1345</v>
      </c>
    </row>
    <row r="2831" spans="1:15" x14ac:dyDescent="0.3">
      <c r="A2831" s="130">
        <v>15836</v>
      </c>
      <c r="B2831" s="130">
        <v>30</v>
      </c>
      <c r="C2831" s="130" t="s">
        <v>4455</v>
      </c>
      <c r="D2831">
        <v>23934</v>
      </c>
      <c r="E2831" s="131">
        <v>7522191</v>
      </c>
      <c r="F2831" t="s">
        <v>87</v>
      </c>
      <c r="G2831">
        <v>76</v>
      </c>
      <c r="H2831" t="s">
        <v>8951</v>
      </c>
      <c r="I2831" s="131">
        <v>10</v>
      </c>
      <c r="J2831" t="s">
        <v>4455</v>
      </c>
      <c r="K2831" t="s">
        <v>95</v>
      </c>
      <c r="L2831" t="s">
        <v>127</v>
      </c>
      <c r="M2831" t="s">
        <v>103</v>
      </c>
      <c r="N2831" t="s">
        <v>118</v>
      </c>
      <c r="O2831" t="s">
        <v>1345</v>
      </c>
    </row>
    <row r="2832" spans="1:15" x14ac:dyDescent="0.3">
      <c r="A2832" s="130">
        <v>15848</v>
      </c>
      <c r="B2832" s="130">
        <v>30</v>
      </c>
      <c r="C2832" s="130" t="s">
        <v>4456</v>
      </c>
      <c r="D2832">
        <v>23951</v>
      </c>
      <c r="E2832" s="130">
        <v>11080422</v>
      </c>
      <c r="F2832" t="s">
        <v>87</v>
      </c>
      <c r="G2832">
        <v>76</v>
      </c>
      <c r="H2832" t="s">
        <v>8952</v>
      </c>
      <c r="I2832" s="130">
        <v>3</v>
      </c>
      <c r="J2832" t="s">
        <v>4456</v>
      </c>
      <c r="K2832" t="s">
        <v>108</v>
      </c>
      <c r="L2832" t="s">
        <v>111</v>
      </c>
      <c r="M2832" t="s">
        <v>103</v>
      </c>
      <c r="N2832" t="s">
        <v>98</v>
      </c>
      <c r="O2832" t="s">
        <v>1345</v>
      </c>
    </row>
    <row r="2833" spans="1:15" x14ac:dyDescent="0.3">
      <c r="A2833" s="130">
        <v>15849</v>
      </c>
      <c r="B2833" s="130">
        <v>30</v>
      </c>
      <c r="C2833" s="130" t="s">
        <v>4457</v>
      </c>
      <c r="D2833">
        <v>23952</v>
      </c>
      <c r="E2833" s="130">
        <v>10570626</v>
      </c>
      <c r="F2833" t="s">
        <v>87</v>
      </c>
      <c r="G2833">
        <v>76</v>
      </c>
      <c r="H2833" t="s">
        <v>8953</v>
      </c>
      <c r="I2833" s="130">
        <v>3</v>
      </c>
      <c r="J2833" t="s">
        <v>4457</v>
      </c>
      <c r="K2833" t="s">
        <v>108</v>
      </c>
      <c r="L2833" t="s">
        <v>111</v>
      </c>
      <c r="M2833" t="s">
        <v>103</v>
      </c>
      <c r="N2833" t="s">
        <v>98</v>
      </c>
      <c r="O2833" t="s">
        <v>116</v>
      </c>
    </row>
    <row r="2834" spans="1:15" x14ac:dyDescent="0.3">
      <c r="A2834" s="130">
        <v>15855</v>
      </c>
      <c r="B2834" s="130">
        <v>30</v>
      </c>
      <c r="C2834" s="130" t="s">
        <v>4458</v>
      </c>
      <c r="D2834">
        <v>23961</v>
      </c>
      <c r="E2834" s="130">
        <v>5515245</v>
      </c>
      <c r="F2834" t="s">
        <v>87</v>
      </c>
      <c r="G2834">
        <v>358</v>
      </c>
      <c r="H2834" t="s">
        <v>8951</v>
      </c>
      <c r="I2834" s="130">
        <v>3</v>
      </c>
      <c r="J2834" t="s">
        <v>4458</v>
      </c>
      <c r="K2834" t="s">
        <v>108</v>
      </c>
      <c r="L2834" t="s">
        <v>109</v>
      </c>
      <c r="M2834" t="s">
        <v>103</v>
      </c>
      <c r="N2834" t="s">
        <v>98</v>
      </c>
      <c r="O2834" t="s">
        <v>1345</v>
      </c>
    </row>
    <row r="2835" spans="1:15" x14ac:dyDescent="0.3">
      <c r="A2835" s="130">
        <v>15860</v>
      </c>
      <c r="B2835" s="130">
        <v>18</v>
      </c>
      <c r="C2835" s="130" t="s">
        <v>4459</v>
      </c>
      <c r="D2835">
        <v>23969</v>
      </c>
      <c r="E2835" s="131">
        <v>34763465</v>
      </c>
      <c r="F2835" t="s">
        <v>87</v>
      </c>
      <c r="G2835">
        <v>76</v>
      </c>
      <c r="H2835" t="s">
        <v>8952</v>
      </c>
      <c r="I2835" s="131">
        <v>3</v>
      </c>
      <c r="J2835" t="s">
        <v>4459</v>
      </c>
      <c r="K2835" t="s">
        <v>108</v>
      </c>
      <c r="L2835" t="s">
        <v>1293</v>
      </c>
      <c r="M2835" t="s">
        <v>112</v>
      </c>
      <c r="N2835" t="s">
        <v>98</v>
      </c>
      <c r="O2835" t="s">
        <v>116</v>
      </c>
    </row>
    <row r="2836" spans="1:15" x14ac:dyDescent="0.3">
      <c r="A2836" s="130">
        <v>15863</v>
      </c>
      <c r="B2836" s="130">
        <v>0</v>
      </c>
      <c r="C2836" s="130" t="s">
        <v>4460</v>
      </c>
      <c r="D2836">
        <v>23974</v>
      </c>
      <c r="E2836" s="130">
        <v>75911438</v>
      </c>
      <c r="F2836" t="s">
        <v>87</v>
      </c>
      <c r="G2836">
        <v>76</v>
      </c>
      <c r="H2836" t="s">
        <v>8953</v>
      </c>
      <c r="I2836" s="130">
        <v>3</v>
      </c>
      <c r="J2836" t="s">
        <v>4460</v>
      </c>
      <c r="K2836" t="s">
        <v>95</v>
      </c>
      <c r="L2836" t="s">
        <v>102</v>
      </c>
      <c r="M2836" t="s">
        <v>100</v>
      </c>
      <c r="N2836" t="s">
        <v>98</v>
      </c>
      <c r="O2836" t="s">
        <v>1345</v>
      </c>
    </row>
    <row r="2837" spans="1:15" x14ac:dyDescent="0.3">
      <c r="A2837" s="130">
        <v>15872</v>
      </c>
      <c r="B2837" s="130">
        <v>30</v>
      </c>
      <c r="C2837" s="130" t="s">
        <v>4461</v>
      </c>
      <c r="D2837">
        <v>23990</v>
      </c>
      <c r="E2837" s="131">
        <v>33443038</v>
      </c>
      <c r="F2837" t="s">
        <v>87</v>
      </c>
      <c r="G2837">
        <v>76</v>
      </c>
      <c r="H2837" t="s">
        <v>8951</v>
      </c>
      <c r="I2837" s="131">
        <v>3</v>
      </c>
      <c r="J2837" t="s">
        <v>4461</v>
      </c>
      <c r="K2837" t="s">
        <v>95</v>
      </c>
      <c r="L2837" t="s">
        <v>111</v>
      </c>
      <c r="M2837" t="s">
        <v>103</v>
      </c>
      <c r="N2837" t="s">
        <v>98</v>
      </c>
      <c r="O2837" t="s">
        <v>116</v>
      </c>
    </row>
    <row r="2838" spans="1:15" x14ac:dyDescent="0.3">
      <c r="A2838" s="130">
        <v>15874</v>
      </c>
      <c r="B2838" s="130">
        <v>30</v>
      </c>
      <c r="C2838" s="130" t="s">
        <v>4462</v>
      </c>
      <c r="D2838">
        <v>23993</v>
      </c>
      <c r="E2838" s="131">
        <v>7522191</v>
      </c>
      <c r="F2838" t="s">
        <v>87</v>
      </c>
      <c r="G2838">
        <v>76</v>
      </c>
      <c r="H2838" t="s">
        <v>8952</v>
      </c>
      <c r="I2838" s="130">
        <v>10</v>
      </c>
      <c r="J2838" t="s">
        <v>4462</v>
      </c>
      <c r="K2838" t="s">
        <v>95</v>
      </c>
      <c r="L2838" t="s">
        <v>127</v>
      </c>
      <c r="M2838" t="s">
        <v>103</v>
      </c>
      <c r="N2838" t="s">
        <v>118</v>
      </c>
      <c r="O2838" t="s">
        <v>116</v>
      </c>
    </row>
    <row r="2839" spans="1:15" x14ac:dyDescent="0.3">
      <c r="A2839" s="130">
        <v>15876</v>
      </c>
      <c r="B2839" s="130">
        <v>10</v>
      </c>
      <c r="C2839" s="130" t="s">
        <v>4463</v>
      </c>
      <c r="D2839">
        <v>23997</v>
      </c>
      <c r="E2839" s="131">
        <v>3514701</v>
      </c>
      <c r="F2839" t="s">
        <v>87</v>
      </c>
      <c r="G2839">
        <v>358</v>
      </c>
      <c r="H2839" t="s">
        <v>8953</v>
      </c>
      <c r="I2839" s="130">
        <v>10</v>
      </c>
      <c r="J2839" t="s">
        <v>4463</v>
      </c>
      <c r="K2839" t="s">
        <v>95</v>
      </c>
      <c r="L2839" t="s">
        <v>109</v>
      </c>
      <c r="M2839" t="s">
        <v>133</v>
      </c>
      <c r="N2839" t="s">
        <v>124</v>
      </c>
      <c r="O2839" t="s">
        <v>1345</v>
      </c>
    </row>
    <row r="2840" spans="1:15" x14ac:dyDescent="0.3">
      <c r="A2840" s="130">
        <v>15880</v>
      </c>
      <c r="B2840" s="130">
        <v>60</v>
      </c>
      <c r="C2840" s="130" t="s">
        <v>4464</v>
      </c>
      <c r="D2840">
        <v>23991</v>
      </c>
      <c r="E2840" s="130">
        <v>3998869</v>
      </c>
      <c r="F2840" t="s">
        <v>87</v>
      </c>
      <c r="G2840">
        <v>76</v>
      </c>
      <c r="H2840" t="s">
        <v>8951</v>
      </c>
      <c r="I2840" s="131">
        <v>24</v>
      </c>
      <c r="J2840" t="s">
        <v>4464</v>
      </c>
      <c r="K2840" t="s">
        <v>95</v>
      </c>
      <c r="L2840" t="s">
        <v>191</v>
      </c>
      <c r="M2840" t="s">
        <v>97</v>
      </c>
      <c r="N2840" t="s">
        <v>98</v>
      </c>
      <c r="O2840" t="s">
        <v>1345</v>
      </c>
    </row>
    <row r="2841" spans="1:15" x14ac:dyDescent="0.3">
      <c r="A2841" s="130">
        <v>15908</v>
      </c>
      <c r="B2841" s="130">
        <v>18</v>
      </c>
      <c r="C2841" s="130" t="s">
        <v>4465</v>
      </c>
      <c r="D2841">
        <v>24043</v>
      </c>
      <c r="E2841" s="130">
        <v>14707364</v>
      </c>
      <c r="F2841" t="s">
        <v>87</v>
      </c>
      <c r="G2841">
        <v>76</v>
      </c>
      <c r="H2841" t="s">
        <v>8952</v>
      </c>
      <c r="I2841" s="131">
        <v>10</v>
      </c>
      <c r="J2841" t="s">
        <v>4465</v>
      </c>
      <c r="K2841" t="s">
        <v>95</v>
      </c>
      <c r="L2841" t="s">
        <v>127</v>
      </c>
      <c r="M2841" t="s">
        <v>112</v>
      </c>
      <c r="N2841" t="s">
        <v>118</v>
      </c>
      <c r="O2841" t="s">
        <v>1345</v>
      </c>
    </row>
    <row r="2842" spans="1:15" x14ac:dyDescent="0.3">
      <c r="A2842" s="130">
        <v>15926</v>
      </c>
      <c r="B2842" s="130">
        <v>10</v>
      </c>
      <c r="C2842" s="130" t="s">
        <v>4466</v>
      </c>
      <c r="D2842">
        <v>24066</v>
      </c>
      <c r="E2842" s="130">
        <v>21154877</v>
      </c>
      <c r="F2842" t="s">
        <v>87</v>
      </c>
      <c r="G2842">
        <v>77</v>
      </c>
      <c r="H2842" t="s">
        <v>8953</v>
      </c>
      <c r="I2842" s="130">
        <v>28</v>
      </c>
      <c r="J2842" t="s">
        <v>4466</v>
      </c>
      <c r="K2842" t="s">
        <v>95</v>
      </c>
      <c r="L2842" t="s">
        <v>117</v>
      </c>
      <c r="M2842" t="s">
        <v>1270</v>
      </c>
      <c r="N2842" t="s">
        <v>131</v>
      </c>
      <c r="O2842" t="s">
        <v>1256</v>
      </c>
    </row>
    <row r="2843" spans="1:15" x14ac:dyDescent="0.3">
      <c r="A2843" s="130">
        <v>15934</v>
      </c>
      <c r="B2843" s="130">
        <v>10</v>
      </c>
      <c r="C2843" s="130" t="s">
        <v>4467</v>
      </c>
      <c r="D2843">
        <v>24077</v>
      </c>
      <c r="E2843" s="130">
        <v>3514701</v>
      </c>
      <c r="F2843" t="s">
        <v>87</v>
      </c>
      <c r="G2843">
        <v>358</v>
      </c>
      <c r="H2843" t="s">
        <v>8951</v>
      </c>
      <c r="I2843" s="131">
        <v>10</v>
      </c>
      <c r="J2843" t="s">
        <v>4467</v>
      </c>
      <c r="K2843" t="s">
        <v>95</v>
      </c>
      <c r="L2843" t="s">
        <v>109</v>
      </c>
      <c r="M2843" t="s">
        <v>133</v>
      </c>
      <c r="N2843" t="s">
        <v>98</v>
      </c>
      <c r="O2843" t="s">
        <v>1345</v>
      </c>
    </row>
    <row r="2844" spans="1:15" x14ac:dyDescent="0.3">
      <c r="A2844" s="130">
        <v>15936</v>
      </c>
      <c r="B2844" s="130">
        <v>30</v>
      </c>
      <c r="C2844" s="130" t="s">
        <v>4468</v>
      </c>
      <c r="D2844">
        <v>24080</v>
      </c>
      <c r="E2844" s="130">
        <v>32582832</v>
      </c>
      <c r="F2844" t="s">
        <v>87</v>
      </c>
      <c r="G2844">
        <v>76</v>
      </c>
      <c r="H2844" t="s">
        <v>8952</v>
      </c>
      <c r="I2844" s="130">
        <v>18</v>
      </c>
      <c r="J2844" t="s">
        <v>4468</v>
      </c>
      <c r="K2844" t="s">
        <v>95</v>
      </c>
      <c r="L2844" t="s">
        <v>123</v>
      </c>
      <c r="M2844" t="s">
        <v>103</v>
      </c>
      <c r="N2844" t="s">
        <v>98</v>
      </c>
      <c r="O2844" t="s">
        <v>1345</v>
      </c>
    </row>
    <row r="2845" spans="1:15" x14ac:dyDescent="0.3">
      <c r="A2845" s="130">
        <v>15946</v>
      </c>
      <c r="B2845" s="130">
        <v>30</v>
      </c>
      <c r="C2845" s="130" t="s">
        <v>4469</v>
      </c>
      <c r="D2845">
        <v>24097</v>
      </c>
      <c r="E2845" s="130">
        <v>3130160</v>
      </c>
      <c r="F2845" t="s">
        <v>87</v>
      </c>
      <c r="G2845">
        <v>76</v>
      </c>
      <c r="H2845" t="s">
        <v>8953</v>
      </c>
      <c r="I2845" s="130">
        <v>24</v>
      </c>
      <c r="J2845" t="s">
        <v>4469</v>
      </c>
      <c r="K2845" t="s">
        <v>108</v>
      </c>
      <c r="L2845" t="s">
        <v>1293</v>
      </c>
      <c r="M2845" t="s">
        <v>103</v>
      </c>
      <c r="N2845" t="s">
        <v>98</v>
      </c>
      <c r="O2845" t="s">
        <v>116</v>
      </c>
    </row>
    <row r="2846" spans="1:15" x14ac:dyDescent="0.3">
      <c r="A2846" s="130">
        <v>15950</v>
      </c>
      <c r="B2846" s="130">
        <v>30</v>
      </c>
      <c r="C2846" s="130" t="s">
        <v>4470</v>
      </c>
      <c r="D2846">
        <v>24100</v>
      </c>
      <c r="E2846" s="130">
        <v>51466860</v>
      </c>
      <c r="F2846" t="s">
        <v>87</v>
      </c>
      <c r="G2846">
        <v>76</v>
      </c>
      <c r="H2846" t="s">
        <v>8951</v>
      </c>
      <c r="I2846" s="131">
        <v>37</v>
      </c>
      <c r="J2846" t="s">
        <v>4470</v>
      </c>
      <c r="K2846" t="s">
        <v>95</v>
      </c>
      <c r="L2846" t="s">
        <v>144</v>
      </c>
      <c r="M2846" t="s">
        <v>103</v>
      </c>
      <c r="N2846" t="s">
        <v>141</v>
      </c>
      <c r="O2846" t="s">
        <v>116</v>
      </c>
    </row>
    <row r="2847" spans="1:15" x14ac:dyDescent="0.3">
      <c r="A2847" s="130">
        <v>15964</v>
      </c>
      <c r="B2847" s="130">
        <v>30</v>
      </c>
      <c r="C2847" s="130" t="s">
        <v>4471</v>
      </c>
      <c r="D2847">
        <v>24115</v>
      </c>
      <c r="E2847" s="130">
        <v>8928273</v>
      </c>
      <c r="F2847" t="s">
        <v>87</v>
      </c>
      <c r="G2847">
        <v>76</v>
      </c>
      <c r="H2847" t="s">
        <v>8952</v>
      </c>
      <c r="I2847" s="130">
        <v>19</v>
      </c>
      <c r="J2847" t="s">
        <v>4471</v>
      </c>
      <c r="K2847" t="s">
        <v>95</v>
      </c>
      <c r="L2847" t="s">
        <v>1249</v>
      </c>
      <c r="M2847" t="s">
        <v>103</v>
      </c>
      <c r="N2847" t="s">
        <v>124</v>
      </c>
      <c r="O2847" t="s">
        <v>1345</v>
      </c>
    </row>
    <row r="2848" spans="1:15" x14ac:dyDescent="0.3">
      <c r="A2848" s="130">
        <v>15967</v>
      </c>
      <c r="B2848" s="130">
        <v>15</v>
      </c>
      <c r="C2848" s="130" t="s">
        <v>4472</v>
      </c>
      <c r="D2848">
        <v>24123</v>
      </c>
      <c r="E2848" s="131">
        <v>11512944</v>
      </c>
      <c r="F2848" t="s">
        <v>87</v>
      </c>
      <c r="G2848">
        <v>76</v>
      </c>
      <c r="H2848" t="s">
        <v>8953</v>
      </c>
      <c r="I2848" s="131">
        <v>19</v>
      </c>
      <c r="J2848" t="s">
        <v>4472</v>
      </c>
      <c r="K2848" t="s">
        <v>108</v>
      </c>
      <c r="L2848" t="s">
        <v>146</v>
      </c>
      <c r="M2848" t="s">
        <v>145</v>
      </c>
      <c r="N2848" t="s">
        <v>98</v>
      </c>
      <c r="O2848" t="s">
        <v>1345</v>
      </c>
    </row>
    <row r="2849" spans="1:15" x14ac:dyDescent="0.3">
      <c r="A2849" s="130">
        <v>15979</v>
      </c>
      <c r="B2849" s="130">
        <v>30</v>
      </c>
      <c r="C2849" s="130" t="s">
        <v>4473</v>
      </c>
      <c r="D2849">
        <v>24143</v>
      </c>
      <c r="E2849" s="130">
        <v>38696365</v>
      </c>
      <c r="F2849" t="s">
        <v>87</v>
      </c>
      <c r="G2849">
        <v>358</v>
      </c>
      <c r="H2849" t="s">
        <v>8951</v>
      </c>
      <c r="I2849" s="131">
        <v>3</v>
      </c>
      <c r="J2849" t="s">
        <v>4473</v>
      </c>
      <c r="K2849" t="s">
        <v>95</v>
      </c>
      <c r="L2849" t="s">
        <v>105</v>
      </c>
      <c r="M2849" t="s">
        <v>103</v>
      </c>
      <c r="N2849" t="s">
        <v>98</v>
      </c>
      <c r="O2849" t="s">
        <v>1345</v>
      </c>
    </row>
    <row r="2850" spans="1:15" x14ac:dyDescent="0.3">
      <c r="A2850" s="130">
        <v>15996</v>
      </c>
      <c r="B2850" s="130">
        <v>30</v>
      </c>
      <c r="C2850" s="130" t="s">
        <v>4474</v>
      </c>
      <c r="D2850">
        <v>24170</v>
      </c>
      <c r="E2850" s="131">
        <v>19330033</v>
      </c>
      <c r="F2850" t="s">
        <v>87</v>
      </c>
      <c r="G2850">
        <v>76</v>
      </c>
      <c r="H2850" t="s">
        <v>8952</v>
      </c>
      <c r="I2850" s="130">
        <v>18</v>
      </c>
      <c r="J2850" t="s">
        <v>4474</v>
      </c>
      <c r="K2850" t="s">
        <v>95</v>
      </c>
      <c r="L2850" t="s">
        <v>123</v>
      </c>
      <c r="M2850" t="s">
        <v>103</v>
      </c>
      <c r="N2850" t="s">
        <v>98</v>
      </c>
      <c r="O2850" t="s">
        <v>116</v>
      </c>
    </row>
    <row r="2851" spans="1:15" x14ac:dyDescent="0.3">
      <c r="A2851" s="130">
        <v>16015</v>
      </c>
      <c r="B2851" s="130">
        <v>30</v>
      </c>
      <c r="C2851" s="130" t="s">
        <v>4475</v>
      </c>
      <c r="D2851">
        <v>24198</v>
      </c>
      <c r="E2851" s="131">
        <v>68119866</v>
      </c>
      <c r="F2851" t="s">
        <v>87</v>
      </c>
      <c r="G2851">
        <v>76</v>
      </c>
      <c r="H2851" t="s">
        <v>8953</v>
      </c>
      <c r="I2851" s="131">
        <v>24</v>
      </c>
      <c r="J2851" t="s">
        <v>4475</v>
      </c>
      <c r="K2851" t="s">
        <v>95</v>
      </c>
      <c r="L2851" t="s">
        <v>191</v>
      </c>
      <c r="M2851" t="s">
        <v>103</v>
      </c>
      <c r="N2851" t="s">
        <v>98</v>
      </c>
      <c r="O2851" t="s">
        <v>1345</v>
      </c>
    </row>
    <row r="2852" spans="1:15" x14ac:dyDescent="0.3">
      <c r="A2852" s="130">
        <v>16018</v>
      </c>
      <c r="B2852" s="130">
        <v>45</v>
      </c>
      <c r="C2852" s="130" t="s">
        <v>4476</v>
      </c>
      <c r="D2852">
        <v>24200</v>
      </c>
      <c r="E2852" s="130">
        <v>17162983</v>
      </c>
      <c r="F2852" t="s">
        <v>87</v>
      </c>
      <c r="G2852">
        <v>76</v>
      </c>
      <c r="H2852" t="s">
        <v>8951</v>
      </c>
      <c r="I2852" s="130">
        <v>3</v>
      </c>
      <c r="J2852" t="s">
        <v>4476</v>
      </c>
      <c r="K2852" t="s">
        <v>95</v>
      </c>
      <c r="L2852" t="s">
        <v>105</v>
      </c>
      <c r="M2852" t="s">
        <v>106</v>
      </c>
      <c r="N2852" t="s">
        <v>98</v>
      </c>
      <c r="O2852" t="s">
        <v>1345</v>
      </c>
    </row>
    <row r="2853" spans="1:15" x14ac:dyDescent="0.3">
      <c r="A2853" s="130">
        <v>16027</v>
      </c>
      <c r="B2853" s="130">
        <v>35</v>
      </c>
      <c r="C2853" s="130" t="s">
        <v>4477</v>
      </c>
      <c r="D2853">
        <v>24210</v>
      </c>
      <c r="E2853" s="130">
        <v>18783709</v>
      </c>
      <c r="F2853" t="s">
        <v>87</v>
      </c>
      <c r="G2853">
        <v>77</v>
      </c>
      <c r="H2853" t="s">
        <v>8952</v>
      </c>
      <c r="I2853" s="131">
        <v>26</v>
      </c>
      <c r="J2853" t="s">
        <v>4477</v>
      </c>
      <c r="K2853" t="s">
        <v>95</v>
      </c>
      <c r="L2853" t="s">
        <v>256</v>
      </c>
      <c r="M2853" t="s">
        <v>161</v>
      </c>
      <c r="N2853" t="s">
        <v>98</v>
      </c>
      <c r="O2853" t="s">
        <v>116</v>
      </c>
    </row>
    <row r="2854" spans="1:15" x14ac:dyDescent="0.3">
      <c r="A2854" s="130">
        <v>16028</v>
      </c>
      <c r="B2854" s="130">
        <v>30</v>
      </c>
      <c r="C2854" s="130" t="s">
        <v>4478</v>
      </c>
      <c r="D2854">
        <v>24215</v>
      </c>
      <c r="E2854" s="130">
        <v>17185786</v>
      </c>
      <c r="F2854" t="s">
        <v>87</v>
      </c>
      <c r="G2854">
        <v>358</v>
      </c>
      <c r="H2854" t="s">
        <v>8953</v>
      </c>
      <c r="I2854" s="131">
        <v>3</v>
      </c>
      <c r="J2854" t="s">
        <v>4478</v>
      </c>
      <c r="K2854" t="s">
        <v>95</v>
      </c>
      <c r="L2854" t="s">
        <v>105</v>
      </c>
      <c r="M2854" t="s">
        <v>103</v>
      </c>
      <c r="N2854" t="s">
        <v>98</v>
      </c>
      <c r="O2854" t="s">
        <v>1345</v>
      </c>
    </row>
    <row r="2855" spans="1:15" x14ac:dyDescent="0.3">
      <c r="A2855" s="130">
        <v>16030</v>
      </c>
      <c r="B2855" s="130">
        <v>30</v>
      </c>
      <c r="C2855" s="130" t="s">
        <v>4479</v>
      </c>
      <c r="D2855">
        <v>24216</v>
      </c>
      <c r="E2855" s="130">
        <v>33443038</v>
      </c>
      <c r="F2855" t="s">
        <v>87</v>
      </c>
      <c r="G2855">
        <v>76</v>
      </c>
      <c r="H2855" t="s">
        <v>8951</v>
      </c>
      <c r="I2855" s="131">
        <v>3</v>
      </c>
      <c r="J2855" t="s">
        <v>4479</v>
      </c>
      <c r="K2855" t="s">
        <v>95</v>
      </c>
      <c r="L2855" t="s">
        <v>111</v>
      </c>
      <c r="M2855" t="s">
        <v>103</v>
      </c>
      <c r="N2855" t="s">
        <v>98</v>
      </c>
      <c r="O2855" t="s">
        <v>1345</v>
      </c>
    </row>
    <row r="2856" spans="1:15" x14ac:dyDescent="0.3">
      <c r="A2856" s="130">
        <v>16034</v>
      </c>
      <c r="B2856" s="130">
        <v>-1</v>
      </c>
      <c r="C2856" s="130" t="s">
        <v>4480</v>
      </c>
      <c r="D2856">
        <v>24225</v>
      </c>
      <c r="E2856" s="130">
        <v>56368889</v>
      </c>
      <c r="F2856" t="s">
        <v>87</v>
      </c>
      <c r="G2856">
        <v>76</v>
      </c>
      <c r="H2856" t="s">
        <v>8952</v>
      </c>
      <c r="I2856" s="130">
        <v>24</v>
      </c>
      <c r="J2856" t="s">
        <v>4480</v>
      </c>
      <c r="K2856" t="s">
        <v>108</v>
      </c>
      <c r="L2856" t="s">
        <v>240</v>
      </c>
      <c r="M2856" t="s">
        <v>174</v>
      </c>
      <c r="N2856" t="s">
        <v>152</v>
      </c>
      <c r="O2856" t="s">
        <v>116</v>
      </c>
    </row>
    <row r="2857" spans="1:15" x14ac:dyDescent="0.3">
      <c r="A2857" s="130">
        <v>16049</v>
      </c>
      <c r="B2857" s="130">
        <v>30</v>
      </c>
      <c r="C2857" s="130" t="s">
        <v>4481</v>
      </c>
      <c r="D2857">
        <v>24244</v>
      </c>
      <c r="E2857" s="130">
        <v>17161464</v>
      </c>
      <c r="F2857" t="s">
        <v>87</v>
      </c>
      <c r="G2857">
        <v>358</v>
      </c>
      <c r="H2857" t="s">
        <v>8953</v>
      </c>
      <c r="I2857" s="130">
        <v>3</v>
      </c>
      <c r="J2857" t="s">
        <v>4481</v>
      </c>
      <c r="K2857" t="s">
        <v>95</v>
      </c>
      <c r="L2857" t="s">
        <v>105</v>
      </c>
      <c r="M2857" t="s">
        <v>103</v>
      </c>
      <c r="N2857" t="s">
        <v>98</v>
      </c>
      <c r="O2857" t="s">
        <v>1345</v>
      </c>
    </row>
    <row r="2858" spans="1:15" x14ac:dyDescent="0.3">
      <c r="A2858" s="130">
        <v>16051</v>
      </c>
      <c r="B2858" s="130">
        <v>30</v>
      </c>
      <c r="C2858" s="130" t="s">
        <v>4482</v>
      </c>
      <c r="D2858">
        <v>24245</v>
      </c>
      <c r="E2858" s="131">
        <v>33841727</v>
      </c>
      <c r="F2858" t="s">
        <v>87</v>
      </c>
      <c r="G2858">
        <v>76</v>
      </c>
      <c r="H2858" t="s">
        <v>8951</v>
      </c>
      <c r="I2858" s="131">
        <v>3</v>
      </c>
      <c r="J2858" t="s">
        <v>4482</v>
      </c>
      <c r="K2858" t="s">
        <v>108</v>
      </c>
      <c r="L2858" t="s">
        <v>111</v>
      </c>
      <c r="M2858" t="s">
        <v>103</v>
      </c>
      <c r="N2858" t="s">
        <v>98</v>
      </c>
      <c r="O2858" t="s">
        <v>116</v>
      </c>
    </row>
    <row r="2859" spans="1:15" x14ac:dyDescent="0.3">
      <c r="A2859" s="130">
        <v>16056</v>
      </c>
      <c r="B2859" s="130">
        <v>28</v>
      </c>
      <c r="C2859" s="130" t="s">
        <v>4483</v>
      </c>
      <c r="D2859">
        <v>24230</v>
      </c>
      <c r="E2859" s="130">
        <v>4690015</v>
      </c>
      <c r="F2859" t="s">
        <v>87</v>
      </c>
      <c r="G2859">
        <v>76</v>
      </c>
      <c r="H2859" t="s">
        <v>8952</v>
      </c>
      <c r="I2859" s="131">
        <v>43</v>
      </c>
      <c r="J2859" t="s">
        <v>4483</v>
      </c>
      <c r="K2859" t="s">
        <v>95</v>
      </c>
      <c r="L2859" t="s">
        <v>1241</v>
      </c>
      <c r="M2859" t="s">
        <v>130</v>
      </c>
      <c r="N2859" t="s">
        <v>98</v>
      </c>
      <c r="O2859" t="s">
        <v>1256</v>
      </c>
    </row>
    <row r="2860" spans="1:15" x14ac:dyDescent="0.3">
      <c r="A2860" s="130">
        <v>16059</v>
      </c>
      <c r="B2860" s="130">
        <v>28</v>
      </c>
      <c r="C2860" s="130" t="s">
        <v>4484</v>
      </c>
      <c r="D2860">
        <v>24267</v>
      </c>
      <c r="E2860" s="131">
        <v>42320422</v>
      </c>
      <c r="F2860" t="s">
        <v>87</v>
      </c>
      <c r="G2860">
        <v>76</v>
      </c>
      <c r="H2860" t="s">
        <v>8953</v>
      </c>
      <c r="I2860" s="130">
        <v>37</v>
      </c>
      <c r="J2860" t="s">
        <v>4484</v>
      </c>
      <c r="K2860" t="s">
        <v>95</v>
      </c>
      <c r="L2860" t="s">
        <v>138</v>
      </c>
      <c r="M2860" t="s">
        <v>130</v>
      </c>
      <c r="N2860" t="s">
        <v>150</v>
      </c>
      <c r="O2860" t="s">
        <v>116</v>
      </c>
    </row>
    <row r="2861" spans="1:15" x14ac:dyDescent="0.3">
      <c r="A2861" s="130">
        <v>16060</v>
      </c>
      <c r="B2861" s="130">
        <v>45</v>
      </c>
      <c r="C2861" s="130" t="s">
        <v>4485</v>
      </c>
      <c r="D2861">
        <v>24268</v>
      </c>
      <c r="E2861" s="131">
        <v>17161464</v>
      </c>
      <c r="F2861" t="s">
        <v>87</v>
      </c>
      <c r="G2861">
        <v>358</v>
      </c>
      <c r="H2861" t="s">
        <v>8951</v>
      </c>
      <c r="I2861" s="130">
        <v>3</v>
      </c>
      <c r="J2861" t="s">
        <v>4485</v>
      </c>
      <c r="K2861" t="s">
        <v>95</v>
      </c>
      <c r="L2861" t="s">
        <v>105</v>
      </c>
      <c r="M2861" t="s">
        <v>106</v>
      </c>
      <c r="N2861" t="s">
        <v>98</v>
      </c>
      <c r="O2861" t="s">
        <v>1345</v>
      </c>
    </row>
    <row r="2862" spans="1:15" x14ac:dyDescent="0.3">
      <c r="A2862" s="130">
        <v>16062</v>
      </c>
      <c r="B2862" s="130">
        <v>10</v>
      </c>
      <c r="C2862" s="130" t="s">
        <v>4486</v>
      </c>
      <c r="D2862">
        <v>24271</v>
      </c>
      <c r="E2862" s="130">
        <v>34551839</v>
      </c>
      <c r="F2862" t="s">
        <v>87</v>
      </c>
      <c r="G2862">
        <v>358</v>
      </c>
      <c r="H2862" t="s">
        <v>8952</v>
      </c>
      <c r="I2862" s="130">
        <v>18</v>
      </c>
      <c r="J2862" t="s">
        <v>4486</v>
      </c>
      <c r="K2862" t="s">
        <v>108</v>
      </c>
      <c r="L2862" t="s">
        <v>193</v>
      </c>
      <c r="M2862" t="s">
        <v>133</v>
      </c>
      <c r="N2862" t="s">
        <v>98</v>
      </c>
      <c r="O2862" t="s">
        <v>1345</v>
      </c>
    </row>
    <row r="2863" spans="1:15" x14ac:dyDescent="0.3">
      <c r="A2863" s="130">
        <v>16065</v>
      </c>
      <c r="B2863" s="130">
        <v>90</v>
      </c>
      <c r="C2863" s="130" t="s">
        <v>4487</v>
      </c>
      <c r="D2863">
        <v>24272</v>
      </c>
      <c r="E2863" s="131">
        <v>4169215</v>
      </c>
      <c r="F2863" t="s">
        <v>87</v>
      </c>
      <c r="G2863">
        <v>77</v>
      </c>
      <c r="H2863" t="s">
        <v>8953</v>
      </c>
      <c r="I2863" s="130">
        <v>9</v>
      </c>
      <c r="J2863" t="s">
        <v>4487</v>
      </c>
      <c r="K2863" t="s">
        <v>95</v>
      </c>
      <c r="L2863" t="s">
        <v>111</v>
      </c>
      <c r="M2863" t="s">
        <v>170</v>
      </c>
      <c r="N2863" t="s">
        <v>169</v>
      </c>
      <c r="O2863" t="s">
        <v>116</v>
      </c>
    </row>
    <row r="2864" spans="1:15" x14ac:dyDescent="0.3">
      <c r="A2864" s="130">
        <v>16069</v>
      </c>
      <c r="B2864" s="130">
        <v>60</v>
      </c>
      <c r="C2864" s="130" t="s">
        <v>4488</v>
      </c>
      <c r="D2864">
        <v>24278</v>
      </c>
      <c r="E2864" s="131">
        <v>532740</v>
      </c>
      <c r="F2864" t="s">
        <v>87</v>
      </c>
      <c r="G2864">
        <v>76</v>
      </c>
      <c r="H2864" t="s">
        <v>8951</v>
      </c>
      <c r="I2864" s="130">
        <v>10</v>
      </c>
      <c r="J2864" t="s">
        <v>4488</v>
      </c>
      <c r="K2864" t="s">
        <v>95</v>
      </c>
      <c r="L2864" t="s">
        <v>127</v>
      </c>
      <c r="M2864" t="s">
        <v>97</v>
      </c>
      <c r="N2864" t="s">
        <v>118</v>
      </c>
      <c r="O2864" t="s">
        <v>116</v>
      </c>
    </row>
    <row r="2865" spans="1:15" x14ac:dyDescent="0.3">
      <c r="A2865" s="130">
        <v>16079</v>
      </c>
      <c r="B2865" s="130">
        <v>18</v>
      </c>
      <c r="C2865" s="130" t="s">
        <v>4489</v>
      </c>
      <c r="D2865">
        <v>24296</v>
      </c>
      <c r="E2865" s="131">
        <v>12537972</v>
      </c>
      <c r="F2865" t="s">
        <v>87</v>
      </c>
      <c r="G2865">
        <v>76</v>
      </c>
      <c r="H2865" t="s">
        <v>8952</v>
      </c>
      <c r="I2865" s="131">
        <v>26</v>
      </c>
      <c r="J2865" t="s">
        <v>4489</v>
      </c>
      <c r="K2865" t="s">
        <v>108</v>
      </c>
      <c r="L2865" t="s">
        <v>151</v>
      </c>
      <c r="M2865" t="s">
        <v>112</v>
      </c>
      <c r="N2865" t="s">
        <v>98</v>
      </c>
      <c r="O2865" t="s">
        <v>1345</v>
      </c>
    </row>
    <row r="2866" spans="1:15" x14ac:dyDescent="0.3">
      <c r="A2866" s="130">
        <v>16080</v>
      </c>
      <c r="B2866" s="130">
        <v>15</v>
      </c>
      <c r="C2866" s="130" t="s">
        <v>4490</v>
      </c>
      <c r="D2866">
        <v>24297</v>
      </c>
      <c r="E2866" s="130">
        <v>3147393</v>
      </c>
      <c r="F2866" t="s">
        <v>87</v>
      </c>
      <c r="G2866">
        <v>76</v>
      </c>
      <c r="H2866" t="s">
        <v>8953</v>
      </c>
      <c r="I2866" s="131">
        <v>37</v>
      </c>
      <c r="J2866" t="s">
        <v>4490</v>
      </c>
      <c r="K2866" t="s">
        <v>108</v>
      </c>
      <c r="L2866" t="s">
        <v>144</v>
      </c>
      <c r="M2866" t="s">
        <v>145</v>
      </c>
      <c r="N2866" t="s">
        <v>132</v>
      </c>
      <c r="O2866" t="s">
        <v>1345</v>
      </c>
    </row>
    <row r="2867" spans="1:15" x14ac:dyDescent="0.3">
      <c r="A2867" s="130">
        <v>16092</v>
      </c>
      <c r="B2867" s="130">
        <v>30</v>
      </c>
      <c r="C2867" s="130" t="s">
        <v>4491</v>
      </c>
      <c r="D2867">
        <v>24318</v>
      </c>
      <c r="E2867" s="130">
        <v>10439282608</v>
      </c>
      <c r="F2867" t="s">
        <v>87</v>
      </c>
      <c r="G2867">
        <v>76</v>
      </c>
      <c r="H2867" t="s">
        <v>8951</v>
      </c>
      <c r="I2867" s="130">
        <v>3</v>
      </c>
      <c r="J2867" t="s">
        <v>4491</v>
      </c>
      <c r="K2867" t="s">
        <v>95</v>
      </c>
      <c r="L2867" t="s">
        <v>1250</v>
      </c>
      <c r="M2867" t="s">
        <v>103</v>
      </c>
      <c r="N2867" t="s">
        <v>110</v>
      </c>
      <c r="O2867" t="s">
        <v>1256</v>
      </c>
    </row>
    <row r="2868" spans="1:15" x14ac:dyDescent="0.3">
      <c r="A2868" s="130">
        <v>16101</v>
      </c>
      <c r="B2868" s="130">
        <v>30</v>
      </c>
      <c r="C2868" s="130" t="s">
        <v>4492</v>
      </c>
      <c r="D2868">
        <v>24338</v>
      </c>
      <c r="E2868" s="131">
        <v>3426130</v>
      </c>
      <c r="F2868" t="s">
        <v>87</v>
      </c>
      <c r="G2868">
        <v>76</v>
      </c>
      <c r="H2868" t="s">
        <v>8952</v>
      </c>
      <c r="I2868" s="130">
        <v>19</v>
      </c>
      <c r="J2868" t="s">
        <v>4492</v>
      </c>
      <c r="K2868" t="s">
        <v>108</v>
      </c>
      <c r="L2868" t="s">
        <v>146</v>
      </c>
      <c r="M2868" t="s">
        <v>103</v>
      </c>
      <c r="N2868" t="s">
        <v>101</v>
      </c>
      <c r="O2868" t="s">
        <v>116</v>
      </c>
    </row>
    <row r="2869" spans="1:15" x14ac:dyDescent="0.3">
      <c r="A2869" s="130">
        <v>16104</v>
      </c>
      <c r="B2869" s="130">
        <v>21</v>
      </c>
      <c r="C2869" s="130" t="s">
        <v>4493</v>
      </c>
      <c r="D2869">
        <v>24341</v>
      </c>
      <c r="E2869" s="131">
        <v>20059028</v>
      </c>
      <c r="F2869" t="s">
        <v>87</v>
      </c>
      <c r="G2869">
        <v>76</v>
      </c>
      <c r="H2869" t="s">
        <v>8953</v>
      </c>
      <c r="I2869" s="130">
        <v>24</v>
      </c>
      <c r="J2869" t="s">
        <v>4493</v>
      </c>
      <c r="K2869" t="s">
        <v>108</v>
      </c>
      <c r="L2869" t="s">
        <v>191</v>
      </c>
      <c r="M2869" t="s">
        <v>137</v>
      </c>
      <c r="N2869" t="s">
        <v>121</v>
      </c>
      <c r="O2869" t="s">
        <v>1345</v>
      </c>
    </row>
    <row r="2870" spans="1:15" x14ac:dyDescent="0.3">
      <c r="A2870" s="130">
        <v>16110</v>
      </c>
      <c r="B2870" s="130">
        <v>30</v>
      </c>
      <c r="C2870" s="130" t="s">
        <v>4494</v>
      </c>
      <c r="D2870">
        <v>24350</v>
      </c>
      <c r="E2870" s="130">
        <v>41668789</v>
      </c>
      <c r="F2870" t="s">
        <v>87</v>
      </c>
      <c r="G2870">
        <v>76</v>
      </c>
      <c r="H2870" t="s">
        <v>8951</v>
      </c>
      <c r="I2870" s="131">
        <v>3</v>
      </c>
      <c r="J2870" t="s">
        <v>4494</v>
      </c>
      <c r="K2870" t="s">
        <v>95</v>
      </c>
      <c r="L2870" t="s">
        <v>105</v>
      </c>
      <c r="M2870" t="s">
        <v>103</v>
      </c>
      <c r="N2870" t="s">
        <v>98</v>
      </c>
      <c r="O2870" t="s">
        <v>1345</v>
      </c>
    </row>
    <row r="2871" spans="1:15" x14ac:dyDescent="0.3">
      <c r="A2871" s="130">
        <v>16119</v>
      </c>
      <c r="B2871" s="130">
        <v>30</v>
      </c>
      <c r="C2871" s="130" t="s">
        <v>4495</v>
      </c>
      <c r="D2871">
        <v>24359</v>
      </c>
      <c r="E2871" s="131">
        <v>19739564</v>
      </c>
      <c r="F2871" t="s">
        <v>87</v>
      </c>
      <c r="G2871">
        <v>358</v>
      </c>
      <c r="H2871" t="s">
        <v>8952</v>
      </c>
      <c r="I2871" s="130">
        <v>10</v>
      </c>
      <c r="J2871" t="s">
        <v>4495</v>
      </c>
      <c r="K2871" t="s">
        <v>95</v>
      </c>
      <c r="L2871" t="s">
        <v>105</v>
      </c>
      <c r="M2871" t="s">
        <v>103</v>
      </c>
      <c r="N2871" t="s">
        <v>98</v>
      </c>
      <c r="O2871" t="s">
        <v>1345</v>
      </c>
    </row>
    <row r="2872" spans="1:15" x14ac:dyDescent="0.3">
      <c r="A2872" s="130">
        <v>16121</v>
      </c>
      <c r="B2872" s="130">
        <v>30</v>
      </c>
      <c r="C2872" s="130" t="s">
        <v>4496</v>
      </c>
      <c r="D2872">
        <v>24361</v>
      </c>
      <c r="E2872" s="130">
        <v>30455661</v>
      </c>
      <c r="F2872" t="s">
        <v>87</v>
      </c>
      <c r="G2872">
        <v>76</v>
      </c>
      <c r="H2872" t="s">
        <v>8953</v>
      </c>
      <c r="I2872" s="130">
        <v>3</v>
      </c>
      <c r="J2872" t="s">
        <v>4496</v>
      </c>
      <c r="K2872" t="s">
        <v>95</v>
      </c>
      <c r="L2872" t="s">
        <v>1293</v>
      </c>
      <c r="M2872" t="s">
        <v>103</v>
      </c>
      <c r="N2872" t="s">
        <v>98</v>
      </c>
      <c r="O2872" t="s">
        <v>116</v>
      </c>
    </row>
    <row r="2873" spans="1:15" x14ac:dyDescent="0.3">
      <c r="A2873" s="130">
        <v>16131</v>
      </c>
      <c r="B2873" s="130">
        <v>30</v>
      </c>
      <c r="C2873" s="130" t="s">
        <v>4497</v>
      </c>
      <c r="D2873">
        <v>24372</v>
      </c>
      <c r="E2873" s="131">
        <v>6880609</v>
      </c>
      <c r="F2873" t="s">
        <v>87</v>
      </c>
      <c r="G2873">
        <v>358</v>
      </c>
      <c r="H2873" t="s">
        <v>8951</v>
      </c>
      <c r="I2873" s="130">
        <v>9</v>
      </c>
      <c r="J2873" t="s">
        <v>4497</v>
      </c>
      <c r="K2873" t="s">
        <v>95</v>
      </c>
      <c r="L2873" t="s">
        <v>105</v>
      </c>
      <c r="M2873" t="s">
        <v>103</v>
      </c>
      <c r="N2873" t="s">
        <v>98</v>
      </c>
      <c r="O2873" t="s">
        <v>116</v>
      </c>
    </row>
    <row r="2874" spans="1:15" x14ac:dyDescent="0.3">
      <c r="A2874" s="130">
        <v>16133</v>
      </c>
      <c r="B2874" s="130">
        <v>18</v>
      </c>
      <c r="C2874" s="130" t="s">
        <v>4498</v>
      </c>
      <c r="D2874">
        <v>24374</v>
      </c>
      <c r="E2874" s="130">
        <v>22432769</v>
      </c>
      <c r="F2874" t="s">
        <v>87</v>
      </c>
      <c r="G2874">
        <v>76</v>
      </c>
      <c r="H2874" t="s">
        <v>8952</v>
      </c>
      <c r="I2874" s="130">
        <v>3</v>
      </c>
      <c r="J2874" t="s">
        <v>4498</v>
      </c>
      <c r="K2874" t="s">
        <v>108</v>
      </c>
      <c r="L2874" t="s">
        <v>111</v>
      </c>
      <c r="M2874" t="s">
        <v>112</v>
      </c>
      <c r="N2874" t="s">
        <v>98</v>
      </c>
      <c r="O2874" t="s">
        <v>1345</v>
      </c>
    </row>
    <row r="2875" spans="1:15" x14ac:dyDescent="0.3">
      <c r="A2875" s="130">
        <v>16134</v>
      </c>
      <c r="B2875" s="130">
        <v>30</v>
      </c>
      <c r="C2875" s="130" t="s">
        <v>4499</v>
      </c>
      <c r="D2875">
        <v>24376</v>
      </c>
      <c r="E2875" s="131">
        <v>73305997</v>
      </c>
      <c r="F2875" t="s">
        <v>87</v>
      </c>
      <c r="G2875">
        <v>76</v>
      </c>
      <c r="H2875" t="s">
        <v>8953</v>
      </c>
      <c r="I2875" s="131">
        <v>18</v>
      </c>
      <c r="J2875" t="s">
        <v>4499</v>
      </c>
      <c r="K2875" t="s">
        <v>95</v>
      </c>
      <c r="L2875" t="s">
        <v>123</v>
      </c>
      <c r="M2875" t="s">
        <v>103</v>
      </c>
      <c r="N2875" t="s">
        <v>98</v>
      </c>
      <c r="O2875" t="s">
        <v>1345</v>
      </c>
    </row>
    <row r="2876" spans="1:15" x14ac:dyDescent="0.3">
      <c r="A2876" s="130">
        <v>16136</v>
      </c>
      <c r="B2876" s="130">
        <v>15</v>
      </c>
      <c r="C2876" s="130" t="s">
        <v>4500</v>
      </c>
      <c r="D2876">
        <v>24379</v>
      </c>
      <c r="E2876" s="131">
        <v>40408419</v>
      </c>
      <c r="F2876" t="s">
        <v>87</v>
      </c>
      <c r="G2876">
        <v>76</v>
      </c>
      <c r="H2876" t="s">
        <v>8951</v>
      </c>
      <c r="I2876" s="131">
        <v>19</v>
      </c>
      <c r="J2876" t="s">
        <v>4500</v>
      </c>
      <c r="K2876" t="s">
        <v>108</v>
      </c>
      <c r="L2876" t="s">
        <v>146</v>
      </c>
      <c r="M2876" t="s">
        <v>145</v>
      </c>
      <c r="N2876" t="s">
        <v>122</v>
      </c>
      <c r="O2876" t="s">
        <v>116</v>
      </c>
    </row>
    <row r="2877" spans="1:15" x14ac:dyDescent="0.3">
      <c r="A2877" s="130">
        <v>16141</v>
      </c>
      <c r="B2877" s="130">
        <v>30</v>
      </c>
      <c r="C2877" s="130" t="s">
        <v>4501</v>
      </c>
      <c r="D2877">
        <v>24385</v>
      </c>
      <c r="E2877" s="130">
        <v>532740</v>
      </c>
      <c r="F2877" t="s">
        <v>87</v>
      </c>
      <c r="G2877">
        <v>76</v>
      </c>
      <c r="H2877" t="s">
        <v>8952</v>
      </c>
      <c r="I2877" s="130">
        <v>3</v>
      </c>
      <c r="J2877" t="s">
        <v>4501</v>
      </c>
      <c r="K2877" t="s">
        <v>95</v>
      </c>
      <c r="L2877" t="s">
        <v>111</v>
      </c>
      <c r="M2877" t="s">
        <v>103</v>
      </c>
      <c r="N2877" t="s">
        <v>98</v>
      </c>
      <c r="O2877" t="s">
        <v>1345</v>
      </c>
    </row>
    <row r="2878" spans="1:15" x14ac:dyDescent="0.3">
      <c r="A2878" s="130">
        <v>16142</v>
      </c>
      <c r="B2878" s="130">
        <v>30</v>
      </c>
      <c r="C2878" s="130" t="s">
        <v>4502</v>
      </c>
      <c r="D2878">
        <v>24386</v>
      </c>
      <c r="E2878" s="131">
        <v>17185786</v>
      </c>
      <c r="F2878" t="s">
        <v>87</v>
      </c>
      <c r="G2878">
        <v>358</v>
      </c>
      <c r="H2878" t="s">
        <v>8953</v>
      </c>
      <c r="I2878" s="130">
        <v>10</v>
      </c>
      <c r="J2878" t="s">
        <v>4502</v>
      </c>
      <c r="K2878" t="s">
        <v>95</v>
      </c>
      <c r="L2878" t="s">
        <v>105</v>
      </c>
      <c r="M2878" t="s">
        <v>103</v>
      </c>
      <c r="N2878" t="s">
        <v>98</v>
      </c>
      <c r="O2878" t="s">
        <v>116</v>
      </c>
    </row>
    <row r="2879" spans="1:15" x14ac:dyDescent="0.3">
      <c r="A2879" s="130">
        <v>16153</v>
      </c>
      <c r="B2879" s="130">
        <v>30</v>
      </c>
      <c r="C2879" s="130" t="s">
        <v>4503</v>
      </c>
      <c r="D2879">
        <v>24403</v>
      </c>
      <c r="E2879" s="130">
        <v>37749117</v>
      </c>
      <c r="F2879" t="s">
        <v>87</v>
      </c>
      <c r="G2879">
        <v>76</v>
      </c>
      <c r="H2879" t="s">
        <v>8951</v>
      </c>
      <c r="I2879" s="131">
        <v>24</v>
      </c>
      <c r="J2879" t="s">
        <v>4503</v>
      </c>
      <c r="K2879" t="s">
        <v>95</v>
      </c>
      <c r="L2879" t="s">
        <v>191</v>
      </c>
      <c r="M2879" t="s">
        <v>103</v>
      </c>
      <c r="N2879" t="s">
        <v>98</v>
      </c>
      <c r="O2879" t="s">
        <v>1345</v>
      </c>
    </row>
    <row r="2880" spans="1:15" x14ac:dyDescent="0.3">
      <c r="A2880" s="130">
        <v>16155</v>
      </c>
      <c r="B2880" s="130">
        <v>30</v>
      </c>
      <c r="C2880" s="130" t="s">
        <v>4504</v>
      </c>
      <c r="D2880">
        <v>24401</v>
      </c>
      <c r="E2880" s="131">
        <v>7522191</v>
      </c>
      <c r="F2880" t="s">
        <v>87</v>
      </c>
      <c r="G2880">
        <v>76</v>
      </c>
      <c r="H2880" t="s">
        <v>8952</v>
      </c>
      <c r="I2880" s="130">
        <v>19</v>
      </c>
      <c r="J2880" t="s">
        <v>4504</v>
      </c>
      <c r="K2880" t="s">
        <v>95</v>
      </c>
      <c r="L2880" t="s">
        <v>146</v>
      </c>
      <c r="M2880" t="s">
        <v>103</v>
      </c>
      <c r="N2880" t="s">
        <v>98</v>
      </c>
      <c r="O2880" t="s">
        <v>116</v>
      </c>
    </row>
    <row r="2881" spans="1:15" x14ac:dyDescent="0.3">
      <c r="A2881" s="130">
        <v>16158</v>
      </c>
      <c r="B2881" s="130">
        <v>21</v>
      </c>
      <c r="C2881" s="130" t="s">
        <v>4505</v>
      </c>
      <c r="D2881">
        <v>24407</v>
      </c>
      <c r="E2881" s="131">
        <v>4737552</v>
      </c>
      <c r="F2881" t="s">
        <v>87</v>
      </c>
      <c r="G2881">
        <v>358</v>
      </c>
      <c r="H2881" t="s">
        <v>8953</v>
      </c>
      <c r="I2881" s="131">
        <v>3</v>
      </c>
      <c r="J2881" t="s">
        <v>4505</v>
      </c>
      <c r="K2881" t="s">
        <v>108</v>
      </c>
      <c r="L2881" t="s">
        <v>109</v>
      </c>
      <c r="M2881" t="s">
        <v>137</v>
      </c>
      <c r="N2881" t="s">
        <v>101</v>
      </c>
      <c r="O2881" t="s">
        <v>1345</v>
      </c>
    </row>
    <row r="2882" spans="1:15" x14ac:dyDescent="0.3">
      <c r="A2882" s="130">
        <v>16161</v>
      </c>
      <c r="B2882" s="130">
        <v>30</v>
      </c>
      <c r="C2882" s="130" t="s">
        <v>4506</v>
      </c>
      <c r="D2882">
        <v>24411</v>
      </c>
      <c r="E2882" s="130">
        <v>29320058</v>
      </c>
      <c r="F2882" t="s">
        <v>87</v>
      </c>
      <c r="G2882">
        <v>76</v>
      </c>
      <c r="H2882" t="s">
        <v>8951</v>
      </c>
      <c r="I2882" s="130">
        <v>18</v>
      </c>
      <c r="J2882" t="s">
        <v>4506</v>
      </c>
      <c r="K2882" t="s">
        <v>108</v>
      </c>
      <c r="L2882" t="s">
        <v>123</v>
      </c>
      <c r="M2882" t="s">
        <v>103</v>
      </c>
      <c r="N2882" t="s">
        <v>101</v>
      </c>
      <c r="O2882" t="s">
        <v>1345</v>
      </c>
    </row>
    <row r="2883" spans="1:15" x14ac:dyDescent="0.3">
      <c r="A2883" s="130">
        <v>16172</v>
      </c>
      <c r="B2883" s="130">
        <v>30</v>
      </c>
      <c r="C2883" s="130" t="s">
        <v>4507</v>
      </c>
      <c r="D2883">
        <v>24425</v>
      </c>
      <c r="E2883" s="130">
        <v>19712360</v>
      </c>
      <c r="F2883" t="s">
        <v>87</v>
      </c>
      <c r="G2883">
        <v>77</v>
      </c>
      <c r="H2883" t="s">
        <v>8952</v>
      </c>
      <c r="I2883" s="131">
        <v>3</v>
      </c>
      <c r="J2883" t="s">
        <v>4507</v>
      </c>
      <c r="K2883" t="s">
        <v>95</v>
      </c>
      <c r="L2883" t="s">
        <v>256</v>
      </c>
      <c r="M2883" t="s">
        <v>103</v>
      </c>
      <c r="N2883" t="s">
        <v>98</v>
      </c>
      <c r="O2883" t="s">
        <v>116</v>
      </c>
    </row>
    <row r="2884" spans="1:15" x14ac:dyDescent="0.3">
      <c r="A2884" s="130">
        <v>16173</v>
      </c>
      <c r="B2884" s="130">
        <v>60</v>
      </c>
      <c r="C2884" s="130" t="s">
        <v>4508</v>
      </c>
      <c r="D2884">
        <v>22171</v>
      </c>
      <c r="E2884" s="131">
        <v>17227422</v>
      </c>
      <c r="F2884" t="s">
        <v>87</v>
      </c>
      <c r="G2884">
        <v>77</v>
      </c>
      <c r="H2884" t="s">
        <v>8953</v>
      </c>
      <c r="I2884" s="130">
        <v>3</v>
      </c>
      <c r="J2884" t="s">
        <v>4508</v>
      </c>
      <c r="K2884" t="s">
        <v>95</v>
      </c>
      <c r="L2884" t="s">
        <v>235</v>
      </c>
      <c r="M2884" t="s">
        <v>97</v>
      </c>
      <c r="N2884" t="s">
        <v>118</v>
      </c>
      <c r="O2884" t="s">
        <v>1256</v>
      </c>
    </row>
    <row r="2885" spans="1:15" x14ac:dyDescent="0.3">
      <c r="A2885" s="130">
        <v>16175</v>
      </c>
      <c r="B2885" s="130">
        <v>30</v>
      </c>
      <c r="C2885" s="130" t="s">
        <v>4509</v>
      </c>
      <c r="D2885">
        <v>24427</v>
      </c>
      <c r="E2885" s="130">
        <v>12065450</v>
      </c>
      <c r="F2885" t="s">
        <v>87</v>
      </c>
      <c r="G2885">
        <v>76</v>
      </c>
      <c r="H2885" t="s">
        <v>8951</v>
      </c>
      <c r="I2885" s="130">
        <v>3</v>
      </c>
      <c r="J2885" t="s">
        <v>4509</v>
      </c>
      <c r="K2885" t="s">
        <v>108</v>
      </c>
      <c r="L2885" t="s">
        <v>111</v>
      </c>
      <c r="M2885" t="s">
        <v>103</v>
      </c>
      <c r="N2885" t="s">
        <v>98</v>
      </c>
      <c r="O2885" t="s">
        <v>1345</v>
      </c>
    </row>
    <row r="2886" spans="1:15" x14ac:dyDescent="0.3">
      <c r="A2886" s="130">
        <v>16177</v>
      </c>
      <c r="B2886" s="130">
        <v>0</v>
      </c>
      <c r="C2886" s="130" t="s">
        <v>4510</v>
      </c>
      <c r="D2886">
        <v>24430</v>
      </c>
      <c r="E2886" s="130">
        <v>1899414</v>
      </c>
      <c r="F2886" t="s">
        <v>87</v>
      </c>
      <c r="G2886">
        <v>76</v>
      </c>
      <c r="H2886" t="s">
        <v>8952</v>
      </c>
      <c r="I2886" s="130">
        <v>9</v>
      </c>
      <c r="J2886" t="s">
        <v>4510</v>
      </c>
      <c r="K2886" t="s">
        <v>108</v>
      </c>
      <c r="L2886" t="s">
        <v>1298</v>
      </c>
      <c r="M2886" t="s">
        <v>100</v>
      </c>
      <c r="N2886" t="s">
        <v>114</v>
      </c>
      <c r="O2886" t="s">
        <v>1256</v>
      </c>
    </row>
    <row r="2887" spans="1:15" x14ac:dyDescent="0.3">
      <c r="A2887" s="130">
        <v>16188</v>
      </c>
      <c r="B2887" s="130">
        <v>30</v>
      </c>
      <c r="C2887" s="130" t="s">
        <v>4511</v>
      </c>
      <c r="D2887">
        <v>24446</v>
      </c>
      <c r="E2887" s="131">
        <v>10736565</v>
      </c>
      <c r="F2887" t="s">
        <v>87</v>
      </c>
      <c r="G2887">
        <v>76</v>
      </c>
      <c r="H2887" t="s">
        <v>8953</v>
      </c>
      <c r="I2887" s="131">
        <v>18</v>
      </c>
      <c r="J2887" t="s">
        <v>4511</v>
      </c>
      <c r="K2887" t="s">
        <v>95</v>
      </c>
      <c r="L2887" t="s">
        <v>111</v>
      </c>
      <c r="M2887" t="s">
        <v>103</v>
      </c>
      <c r="N2887" t="s">
        <v>98</v>
      </c>
      <c r="O2887" t="s">
        <v>116</v>
      </c>
    </row>
    <row r="2888" spans="1:15" x14ac:dyDescent="0.3">
      <c r="A2888" s="130">
        <v>16189</v>
      </c>
      <c r="B2888" s="130">
        <v>30</v>
      </c>
      <c r="C2888" s="130" t="s">
        <v>4512</v>
      </c>
      <c r="D2888">
        <v>24447</v>
      </c>
      <c r="E2888" s="131">
        <v>54290200</v>
      </c>
      <c r="F2888" t="s">
        <v>87</v>
      </c>
      <c r="G2888">
        <v>358</v>
      </c>
      <c r="H2888" t="s">
        <v>8951</v>
      </c>
      <c r="I2888" s="131">
        <v>24</v>
      </c>
      <c r="J2888" t="s">
        <v>4512</v>
      </c>
      <c r="K2888" t="s">
        <v>95</v>
      </c>
      <c r="L2888" t="s">
        <v>193</v>
      </c>
      <c r="M2888" t="s">
        <v>103</v>
      </c>
      <c r="N2888" t="s">
        <v>98</v>
      </c>
      <c r="O2888" t="s">
        <v>1345</v>
      </c>
    </row>
    <row r="2889" spans="1:15" x14ac:dyDescent="0.3">
      <c r="A2889" s="130">
        <v>16194</v>
      </c>
      <c r="B2889" s="130">
        <v>45</v>
      </c>
      <c r="C2889" s="130" t="s">
        <v>4513</v>
      </c>
      <c r="D2889">
        <v>24458</v>
      </c>
      <c r="E2889" s="130">
        <v>8689024</v>
      </c>
      <c r="F2889" t="s">
        <v>87</v>
      </c>
      <c r="G2889">
        <v>77</v>
      </c>
      <c r="H2889" t="s">
        <v>8952</v>
      </c>
      <c r="I2889" s="131">
        <v>3</v>
      </c>
      <c r="J2889" t="s">
        <v>4513</v>
      </c>
      <c r="K2889" t="s">
        <v>95</v>
      </c>
      <c r="L2889" t="s">
        <v>117</v>
      </c>
      <c r="M2889" t="s">
        <v>106</v>
      </c>
      <c r="N2889" t="s">
        <v>104</v>
      </c>
      <c r="O2889" t="s">
        <v>116</v>
      </c>
    </row>
    <row r="2890" spans="1:15" x14ac:dyDescent="0.3">
      <c r="A2890" s="130">
        <v>16197</v>
      </c>
      <c r="B2890" s="130">
        <v>28</v>
      </c>
      <c r="C2890" s="130" t="s">
        <v>4514</v>
      </c>
      <c r="D2890">
        <v>24463</v>
      </c>
      <c r="E2890" s="130">
        <v>47404890</v>
      </c>
      <c r="F2890" t="s">
        <v>87</v>
      </c>
      <c r="G2890">
        <v>76</v>
      </c>
      <c r="H2890" t="s">
        <v>8953</v>
      </c>
      <c r="I2890" s="130">
        <v>37</v>
      </c>
      <c r="J2890" t="s">
        <v>4514</v>
      </c>
      <c r="K2890" t="s">
        <v>95</v>
      </c>
      <c r="L2890" t="s">
        <v>138</v>
      </c>
      <c r="M2890" t="s">
        <v>130</v>
      </c>
      <c r="N2890" t="s">
        <v>150</v>
      </c>
      <c r="O2890" t="s">
        <v>1345</v>
      </c>
    </row>
    <row r="2891" spans="1:15" x14ac:dyDescent="0.3">
      <c r="A2891" s="130">
        <v>16198</v>
      </c>
      <c r="B2891" s="130">
        <v>30</v>
      </c>
      <c r="C2891" s="130" t="s">
        <v>4515</v>
      </c>
      <c r="D2891">
        <v>24464</v>
      </c>
      <c r="E2891" s="130">
        <v>29626366</v>
      </c>
      <c r="F2891" t="s">
        <v>87</v>
      </c>
      <c r="G2891">
        <v>76</v>
      </c>
      <c r="H2891" t="s">
        <v>8951</v>
      </c>
      <c r="I2891" s="130">
        <v>3</v>
      </c>
      <c r="J2891" t="s">
        <v>4515</v>
      </c>
      <c r="K2891" t="s">
        <v>108</v>
      </c>
      <c r="L2891" t="s">
        <v>111</v>
      </c>
      <c r="M2891" t="s">
        <v>103</v>
      </c>
      <c r="N2891" t="s">
        <v>98</v>
      </c>
      <c r="O2891" t="s">
        <v>1345</v>
      </c>
    </row>
    <row r="2892" spans="1:15" x14ac:dyDescent="0.3">
      <c r="A2892" s="130">
        <v>16204</v>
      </c>
      <c r="B2892" s="130">
        <v>-1</v>
      </c>
      <c r="C2892" s="130" t="s">
        <v>4516</v>
      </c>
      <c r="D2892">
        <v>24470</v>
      </c>
      <c r="E2892" s="130">
        <v>38211398</v>
      </c>
      <c r="F2892" t="s">
        <v>87</v>
      </c>
      <c r="G2892">
        <v>76</v>
      </c>
      <c r="H2892" t="s">
        <v>8952</v>
      </c>
      <c r="I2892" s="131">
        <v>18</v>
      </c>
      <c r="J2892" t="s">
        <v>4516</v>
      </c>
      <c r="K2892" t="s">
        <v>108</v>
      </c>
      <c r="L2892" t="s">
        <v>123</v>
      </c>
      <c r="M2892" t="s">
        <v>174</v>
      </c>
      <c r="N2892" t="s">
        <v>152</v>
      </c>
      <c r="O2892" t="s">
        <v>116</v>
      </c>
    </row>
    <row r="2893" spans="1:15" x14ac:dyDescent="0.3">
      <c r="A2893" s="130">
        <v>16211</v>
      </c>
      <c r="B2893" s="130">
        <v>90</v>
      </c>
      <c r="C2893" s="130" t="s">
        <v>4517</v>
      </c>
      <c r="D2893">
        <v>24485</v>
      </c>
      <c r="E2893" s="130">
        <v>655209</v>
      </c>
      <c r="F2893" t="s">
        <v>87</v>
      </c>
      <c r="G2893">
        <v>76</v>
      </c>
      <c r="H2893" t="s">
        <v>8953</v>
      </c>
      <c r="I2893" s="130">
        <v>9</v>
      </c>
      <c r="J2893" t="s">
        <v>4517</v>
      </c>
      <c r="K2893" t="s">
        <v>95</v>
      </c>
      <c r="L2893" t="s">
        <v>181</v>
      </c>
      <c r="M2893" t="s">
        <v>170</v>
      </c>
      <c r="N2893" t="s">
        <v>114</v>
      </c>
      <c r="O2893" t="s">
        <v>116</v>
      </c>
    </row>
    <row r="2894" spans="1:15" x14ac:dyDescent="0.3">
      <c r="A2894" s="130">
        <v>16213</v>
      </c>
      <c r="B2894" s="130">
        <v>30</v>
      </c>
      <c r="C2894" s="130" t="s">
        <v>4518</v>
      </c>
      <c r="D2894">
        <v>24483</v>
      </c>
      <c r="E2894" s="130">
        <v>3789474</v>
      </c>
      <c r="F2894" t="s">
        <v>113</v>
      </c>
      <c r="G2894">
        <v>77</v>
      </c>
      <c r="H2894" t="s">
        <v>8951</v>
      </c>
      <c r="I2894" s="131">
        <v>28</v>
      </c>
      <c r="J2894" t="s">
        <v>4518</v>
      </c>
      <c r="K2894" t="s">
        <v>95</v>
      </c>
      <c r="L2894" t="s">
        <v>117</v>
      </c>
      <c r="M2894" t="s">
        <v>103</v>
      </c>
      <c r="N2894" t="s">
        <v>114</v>
      </c>
      <c r="O2894" t="s">
        <v>1256</v>
      </c>
    </row>
    <row r="2895" spans="1:15" x14ac:dyDescent="0.3">
      <c r="A2895" s="130">
        <v>16214</v>
      </c>
      <c r="B2895" s="130">
        <v>18</v>
      </c>
      <c r="C2895" s="130" t="s">
        <v>4519</v>
      </c>
      <c r="D2895">
        <v>24487</v>
      </c>
      <c r="E2895" s="130">
        <v>36307671</v>
      </c>
      <c r="F2895" t="s">
        <v>87</v>
      </c>
      <c r="G2895">
        <v>76</v>
      </c>
      <c r="H2895" t="s">
        <v>8952</v>
      </c>
      <c r="I2895" s="130">
        <v>26</v>
      </c>
      <c r="J2895" t="s">
        <v>4519</v>
      </c>
      <c r="K2895" t="s">
        <v>108</v>
      </c>
      <c r="L2895" t="s">
        <v>151</v>
      </c>
      <c r="M2895" t="s">
        <v>112</v>
      </c>
      <c r="N2895" t="s">
        <v>98</v>
      </c>
      <c r="O2895" t="s">
        <v>1345</v>
      </c>
    </row>
    <row r="2896" spans="1:15" x14ac:dyDescent="0.3">
      <c r="A2896" s="130">
        <v>16231</v>
      </c>
      <c r="B2896" s="130">
        <v>18</v>
      </c>
      <c r="C2896" s="130" t="s">
        <v>4520</v>
      </c>
      <c r="D2896">
        <v>24515</v>
      </c>
      <c r="E2896" s="130">
        <v>10970850</v>
      </c>
      <c r="F2896" t="s">
        <v>87</v>
      </c>
      <c r="G2896">
        <v>76</v>
      </c>
      <c r="H2896" t="s">
        <v>8953</v>
      </c>
      <c r="I2896" s="130">
        <v>26</v>
      </c>
      <c r="J2896" t="s">
        <v>4520</v>
      </c>
      <c r="K2896" t="s">
        <v>108</v>
      </c>
      <c r="L2896" t="s">
        <v>151</v>
      </c>
      <c r="M2896" t="s">
        <v>112</v>
      </c>
      <c r="N2896" t="s">
        <v>98</v>
      </c>
      <c r="O2896" t="s">
        <v>1345</v>
      </c>
    </row>
    <row r="2897" spans="1:15" x14ac:dyDescent="0.3">
      <c r="A2897" s="130">
        <v>16253</v>
      </c>
      <c r="B2897" s="130" t="s">
        <v>135</v>
      </c>
      <c r="C2897" s="130" t="s">
        <v>4521</v>
      </c>
      <c r="D2897">
        <v>24509</v>
      </c>
      <c r="E2897" s="130">
        <v>34254022</v>
      </c>
      <c r="F2897" t="s">
        <v>87</v>
      </c>
      <c r="G2897">
        <v>76</v>
      </c>
      <c r="H2897" t="s">
        <v>8951</v>
      </c>
      <c r="I2897" s="130">
        <v>37</v>
      </c>
      <c r="J2897" t="s">
        <v>4521</v>
      </c>
      <c r="K2897" t="s">
        <v>108</v>
      </c>
      <c r="L2897" t="s">
        <v>144</v>
      </c>
      <c r="M2897" t="s">
        <v>136</v>
      </c>
      <c r="N2897" t="s">
        <v>98</v>
      </c>
      <c r="O2897" t="s">
        <v>116</v>
      </c>
    </row>
    <row r="2898" spans="1:15" x14ac:dyDescent="0.3">
      <c r="A2898" s="130">
        <v>16267</v>
      </c>
      <c r="B2898" s="130">
        <v>10</v>
      </c>
      <c r="C2898" s="130" t="s">
        <v>4522</v>
      </c>
      <c r="D2898">
        <v>24566</v>
      </c>
      <c r="E2898" s="131">
        <v>4784140</v>
      </c>
      <c r="F2898" t="s">
        <v>87</v>
      </c>
      <c r="G2898">
        <v>76</v>
      </c>
      <c r="H2898" t="s">
        <v>8952</v>
      </c>
      <c r="I2898" s="130">
        <v>3</v>
      </c>
      <c r="J2898" t="s">
        <v>4522</v>
      </c>
      <c r="K2898" t="s">
        <v>108</v>
      </c>
      <c r="L2898" t="s">
        <v>153</v>
      </c>
      <c r="M2898" t="s">
        <v>133</v>
      </c>
      <c r="N2898" t="s">
        <v>98</v>
      </c>
      <c r="O2898" t="s">
        <v>1256</v>
      </c>
    </row>
    <row r="2899" spans="1:15" x14ac:dyDescent="0.3">
      <c r="A2899" s="130">
        <v>16273</v>
      </c>
      <c r="B2899" s="131">
        <v>30</v>
      </c>
      <c r="C2899" s="130" t="s">
        <v>4523</v>
      </c>
      <c r="D2899">
        <v>24573</v>
      </c>
      <c r="E2899" s="130">
        <v>2692797</v>
      </c>
      <c r="F2899" t="s">
        <v>87</v>
      </c>
      <c r="G2899">
        <v>76</v>
      </c>
      <c r="H2899" t="s">
        <v>8953</v>
      </c>
      <c r="I2899" s="130">
        <v>3</v>
      </c>
      <c r="J2899" t="s">
        <v>4523</v>
      </c>
      <c r="K2899" t="s">
        <v>95</v>
      </c>
      <c r="L2899" t="s">
        <v>111</v>
      </c>
      <c r="M2899" t="s">
        <v>103</v>
      </c>
      <c r="N2899" t="s">
        <v>98</v>
      </c>
      <c r="O2899" t="s">
        <v>116</v>
      </c>
    </row>
    <row r="2900" spans="1:15" x14ac:dyDescent="0.3">
      <c r="A2900" s="130">
        <v>16274</v>
      </c>
      <c r="B2900" s="130">
        <v>21</v>
      </c>
      <c r="C2900" s="130" t="s">
        <v>4524</v>
      </c>
      <c r="D2900">
        <v>24575</v>
      </c>
      <c r="E2900" s="130">
        <v>11498407</v>
      </c>
      <c r="F2900" t="s">
        <v>87</v>
      </c>
      <c r="G2900">
        <v>76</v>
      </c>
      <c r="H2900" t="s">
        <v>8951</v>
      </c>
      <c r="I2900" s="131">
        <v>10</v>
      </c>
      <c r="J2900" t="s">
        <v>4524</v>
      </c>
      <c r="K2900" t="s">
        <v>108</v>
      </c>
      <c r="L2900" t="s">
        <v>127</v>
      </c>
      <c r="M2900" t="s">
        <v>137</v>
      </c>
      <c r="N2900" t="s">
        <v>118</v>
      </c>
      <c r="O2900" t="s">
        <v>116</v>
      </c>
    </row>
    <row r="2901" spans="1:15" x14ac:dyDescent="0.3">
      <c r="A2901" s="130">
        <v>16276</v>
      </c>
      <c r="B2901" s="130">
        <v>30</v>
      </c>
      <c r="C2901" s="130" t="s">
        <v>4525</v>
      </c>
      <c r="D2901">
        <v>24576</v>
      </c>
      <c r="E2901" s="131">
        <v>20599065</v>
      </c>
      <c r="F2901" t="s">
        <v>87</v>
      </c>
      <c r="G2901">
        <v>358</v>
      </c>
      <c r="H2901" t="s">
        <v>8952</v>
      </c>
      <c r="I2901" s="130">
        <v>3</v>
      </c>
      <c r="J2901" t="s">
        <v>4525</v>
      </c>
      <c r="K2901" t="s">
        <v>108</v>
      </c>
      <c r="L2901" t="s">
        <v>111</v>
      </c>
      <c r="M2901" t="s">
        <v>103</v>
      </c>
      <c r="N2901" t="s">
        <v>124</v>
      </c>
      <c r="O2901" t="s">
        <v>1345</v>
      </c>
    </row>
    <row r="2902" spans="1:15" x14ac:dyDescent="0.3">
      <c r="A2902" s="130">
        <v>16277</v>
      </c>
      <c r="B2902" s="130">
        <v>18</v>
      </c>
      <c r="C2902" s="130" t="s">
        <v>4526</v>
      </c>
      <c r="D2902">
        <v>24578</v>
      </c>
      <c r="E2902" s="130">
        <v>10639965</v>
      </c>
      <c r="F2902" t="s">
        <v>87</v>
      </c>
      <c r="G2902">
        <v>76</v>
      </c>
      <c r="H2902" t="s">
        <v>8953</v>
      </c>
      <c r="I2902" s="130">
        <v>26</v>
      </c>
      <c r="J2902" t="s">
        <v>4526</v>
      </c>
      <c r="K2902" t="s">
        <v>108</v>
      </c>
      <c r="L2902" t="s">
        <v>151</v>
      </c>
      <c r="M2902" t="s">
        <v>112</v>
      </c>
      <c r="N2902" t="s">
        <v>98</v>
      </c>
      <c r="O2902" t="s">
        <v>1345</v>
      </c>
    </row>
    <row r="2903" spans="1:15" x14ac:dyDescent="0.3">
      <c r="A2903" s="130">
        <v>16280</v>
      </c>
      <c r="B2903" s="130">
        <v>18</v>
      </c>
      <c r="C2903" s="130" t="s">
        <v>4527</v>
      </c>
      <c r="D2903">
        <v>24585</v>
      </c>
      <c r="E2903" s="131">
        <v>2439141</v>
      </c>
      <c r="F2903" t="s">
        <v>87</v>
      </c>
      <c r="G2903">
        <v>76</v>
      </c>
      <c r="H2903" t="s">
        <v>8951</v>
      </c>
      <c r="I2903" s="130">
        <v>37</v>
      </c>
      <c r="J2903" t="s">
        <v>4527</v>
      </c>
      <c r="K2903" t="s">
        <v>108</v>
      </c>
      <c r="L2903" t="s">
        <v>138</v>
      </c>
      <c r="M2903" t="s">
        <v>112</v>
      </c>
      <c r="N2903" t="s">
        <v>114</v>
      </c>
      <c r="O2903" t="s">
        <v>1345</v>
      </c>
    </row>
    <row r="2904" spans="1:15" x14ac:dyDescent="0.3">
      <c r="A2904" s="130">
        <v>16282</v>
      </c>
      <c r="B2904" s="130" t="s">
        <v>135</v>
      </c>
      <c r="C2904" s="130" t="s">
        <v>4528</v>
      </c>
      <c r="D2904">
        <v>24589</v>
      </c>
      <c r="E2904" s="130">
        <v>83646547</v>
      </c>
      <c r="F2904" t="s">
        <v>87</v>
      </c>
      <c r="G2904">
        <v>76</v>
      </c>
      <c r="H2904" t="s">
        <v>8952</v>
      </c>
      <c r="I2904" s="130">
        <v>3</v>
      </c>
      <c r="J2904" t="s">
        <v>4528</v>
      </c>
      <c r="K2904" t="s">
        <v>95</v>
      </c>
      <c r="L2904" t="s">
        <v>111</v>
      </c>
      <c r="M2904" t="s">
        <v>136</v>
      </c>
      <c r="N2904" t="s">
        <v>98</v>
      </c>
      <c r="O2904" t="s">
        <v>116</v>
      </c>
    </row>
    <row r="2905" spans="1:15" x14ac:dyDescent="0.3">
      <c r="A2905" s="130">
        <v>16292</v>
      </c>
      <c r="B2905" s="130">
        <v>90</v>
      </c>
      <c r="C2905" s="130" t="s">
        <v>4529</v>
      </c>
      <c r="D2905">
        <v>24605</v>
      </c>
      <c r="E2905" s="131">
        <v>655209</v>
      </c>
      <c r="F2905" t="s">
        <v>87</v>
      </c>
      <c r="G2905">
        <v>76</v>
      </c>
      <c r="H2905" t="s">
        <v>8953</v>
      </c>
      <c r="I2905" s="131">
        <v>9</v>
      </c>
      <c r="J2905" t="s">
        <v>4529</v>
      </c>
      <c r="K2905" t="s">
        <v>95</v>
      </c>
      <c r="L2905" t="s">
        <v>181</v>
      </c>
      <c r="M2905" t="s">
        <v>170</v>
      </c>
      <c r="N2905" t="s">
        <v>114</v>
      </c>
      <c r="O2905" t="s">
        <v>116</v>
      </c>
    </row>
    <row r="2906" spans="1:15" x14ac:dyDescent="0.3">
      <c r="A2906" s="130">
        <v>16319</v>
      </c>
      <c r="B2906" s="130">
        <v>30</v>
      </c>
      <c r="C2906" s="130" t="s">
        <v>4530</v>
      </c>
      <c r="D2906">
        <v>24645</v>
      </c>
      <c r="E2906" s="130">
        <v>5451496</v>
      </c>
      <c r="F2906" t="s">
        <v>87</v>
      </c>
      <c r="G2906">
        <v>76</v>
      </c>
      <c r="H2906" t="s">
        <v>8951</v>
      </c>
      <c r="I2906" s="131">
        <v>3</v>
      </c>
      <c r="J2906" t="s">
        <v>4530</v>
      </c>
      <c r="K2906" t="s">
        <v>95</v>
      </c>
      <c r="L2906" t="s">
        <v>111</v>
      </c>
      <c r="M2906" t="s">
        <v>103</v>
      </c>
      <c r="N2906" t="s">
        <v>98</v>
      </c>
      <c r="O2906" t="s">
        <v>116</v>
      </c>
    </row>
    <row r="2907" spans="1:15" x14ac:dyDescent="0.3">
      <c r="A2907" s="130">
        <v>16331</v>
      </c>
      <c r="B2907" s="130">
        <v>60</v>
      </c>
      <c r="C2907" s="130" t="s">
        <v>4531</v>
      </c>
      <c r="D2907">
        <v>24671</v>
      </c>
      <c r="E2907" s="130">
        <v>9811654</v>
      </c>
      <c r="F2907" t="s">
        <v>87</v>
      </c>
      <c r="G2907">
        <v>77</v>
      </c>
      <c r="H2907" t="s">
        <v>8952</v>
      </c>
      <c r="I2907" s="131">
        <v>3</v>
      </c>
      <c r="J2907" t="s">
        <v>4531</v>
      </c>
      <c r="K2907" t="s">
        <v>108</v>
      </c>
      <c r="L2907" t="s">
        <v>235</v>
      </c>
      <c r="M2907" t="s">
        <v>97</v>
      </c>
      <c r="N2907" t="s">
        <v>114</v>
      </c>
      <c r="O2907" t="s">
        <v>116</v>
      </c>
    </row>
    <row r="2908" spans="1:15" x14ac:dyDescent="0.3">
      <c r="A2908" s="130">
        <v>16338</v>
      </c>
      <c r="B2908" s="130">
        <v>30</v>
      </c>
      <c r="C2908" s="130" t="s">
        <v>4532</v>
      </c>
      <c r="D2908">
        <v>24508</v>
      </c>
      <c r="E2908" s="130">
        <v>3775543</v>
      </c>
      <c r="F2908" t="s">
        <v>87</v>
      </c>
      <c r="G2908">
        <v>77</v>
      </c>
      <c r="H2908" t="s">
        <v>8953</v>
      </c>
      <c r="I2908" s="130">
        <v>9</v>
      </c>
      <c r="J2908" t="s">
        <v>4532</v>
      </c>
      <c r="K2908" t="s">
        <v>95</v>
      </c>
      <c r="L2908" t="s">
        <v>243</v>
      </c>
      <c r="M2908" t="s">
        <v>103</v>
      </c>
      <c r="N2908" t="s">
        <v>131</v>
      </c>
      <c r="O2908" t="s">
        <v>116</v>
      </c>
    </row>
    <row r="2909" spans="1:15" x14ac:dyDescent="0.3">
      <c r="A2909" s="130">
        <v>16347</v>
      </c>
      <c r="B2909" s="130">
        <v>18</v>
      </c>
      <c r="C2909" s="130" t="s">
        <v>4533</v>
      </c>
      <c r="D2909">
        <v>24699</v>
      </c>
      <c r="E2909" s="130">
        <v>48237803</v>
      </c>
      <c r="F2909" t="s">
        <v>87</v>
      </c>
      <c r="G2909">
        <v>76</v>
      </c>
      <c r="H2909" t="s">
        <v>8951</v>
      </c>
      <c r="I2909" s="131">
        <v>3</v>
      </c>
      <c r="J2909" t="s">
        <v>4533</v>
      </c>
      <c r="K2909" t="s">
        <v>108</v>
      </c>
      <c r="L2909" t="s">
        <v>111</v>
      </c>
      <c r="M2909" t="s">
        <v>112</v>
      </c>
      <c r="N2909" t="s">
        <v>98</v>
      </c>
      <c r="O2909" t="s">
        <v>1345</v>
      </c>
    </row>
    <row r="2910" spans="1:15" x14ac:dyDescent="0.3">
      <c r="A2910" s="130">
        <v>16349</v>
      </c>
      <c r="B2910" s="130">
        <v>30</v>
      </c>
      <c r="C2910" s="130" t="s">
        <v>4534</v>
      </c>
      <c r="D2910">
        <v>24703</v>
      </c>
      <c r="E2910" s="130">
        <v>2602726</v>
      </c>
      <c r="F2910" t="s">
        <v>87</v>
      </c>
      <c r="G2910">
        <v>76</v>
      </c>
      <c r="H2910" t="s">
        <v>8952</v>
      </c>
      <c r="I2910" s="130">
        <v>3</v>
      </c>
      <c r="J2910" t="s">
        <v>4534</v>
      </c>
      <c r="K2910" t="s">
        <v>108</v>
      </c>
      <c r="L2910" t="s">
        <v>111</v>
      </c>
      <c r="M2910" t="s">
        <v>103</v>
      </c>
      <c r="N2910" t="s">
        <v>98</v>
      </c>
      <c r="O2910" t="s">
        <v>116</v>
      </c>
    </row>
    <row r="2911" spans="1:15" x14ac:dyDescent="0.3">
      <c r="A2911" s="130">
        <v>16351</v>
      </c>
      <c r="B2911" s="130">
        <v>30</v>
      </c>
      <c r="C2911" s="130" t="s">
        <v>4535</v>
      </c>
      <c r="D2911">
        <v>24706</v>
      </c>
      <c r="E2911" s="130">
        <v>17500224</v>
      </c>
      <c r="F2911" t="s">
        <v>87</v>
      </c>
      <c r="G2911">
        <v>77</v>
      </c>
      <c r="H2911" t="s">
        <v>8953</v>
      </c>
      <c r="I2911" s="130">
        <v>28</v>
      </c>
      <c r="J2911" t="s">
        <v>4535</v>
      </c>
      <c r="K2911" t="s">
        <v>95</v>
      </c>
      <c r="L2911" t="s">
        <v>256</v>
      </c>
      <c r="M2911" t="s">
        <v>103</v>
      </c>
      <c r="N2911" t="s">
        <v>104</v>
      </c>
      <c r="O2911" t="s">
        <v>1345</v>
      </c>
    </row>
    <row r="2912" spans="1:15" x14ac:dyDescent="0.3">
      <c r="A2912" s="130">
        <v>16358</v>
      </c>
      <c r="B2912" s="130">
        <v>30</v>
      </c>
      <c r="C2912" s="130" t="s">
        <v>4536</v>
      </c>
      <c r="D2912">
        <v>24714</v>
      </c>
      <c r="E2912" s="131">
        <v>33841727</v>
      </c>
      <c r="F2912" t="s">
        <v>87</v>
      </c>
      <c r="G2912">
        <v>358</v>
      </c>
      <c r="H2912" t="s">
        <v>8951</v>
      </c>
      <c r="I2912" s="130">
        <v>3</v>
      </c>
      <c r="J2912" t="s">
        <v>4536</v>
      </c>
      <c r="K2912" t="s">
        <v>108</v>
      </c>
      <c r="L2912" t="s">
        <v>111</v>
      </c>
      <c r="M2912" t="s">
        <v>103</v>
      </c>
      <c r="N2912" t="s">
        <v>114</v>
      </c>
      <c r="O2912" t="s">
        <v>116</v>
      </c>
    </row>
    <row r="2913" spans="1:15" x14ac:dyDescent="0.3">
      <c r="A2913" s="130">
        <v>16365</v>
      </c>
      <c r="B2913" s="130">
        <v>18</v>
      </c>
      <c r="C2913" s="130" t="s">
        <v>4537</v>
      </c>
      <c r="D2913">
        <v>24726</v>
      </c>
      <c r="E2913" s="130">
        <v>10250053</v>
      </c>
      <c r="F2913" t="s">
        <v>87</v>
      </c>
      <c r="G2913">
        <v>76</v>
      </c>
      <c r="H2913" t="s">
        <v>8952</v>
      </c>
      <c r="I2913" s="131">
        <v>9</v>
      </c>
      <c r="J2913" t="s">
        <v>4537</v>
      </c>
      <c r="K2913" t="s">
        <v>108</v>
      </c>
      <c r="L2913" t="s">
        <v>163</v>
      </c>
      <c r="M2913" t="s">
        <v>112</v>
      </c>
      <c r="N2913" t="s">
        <v>114</v>
      </c>
      <c r="O2913" t="s">
        <v>116</v>
      </c>
    </row>
    <row r="2914" spans="1:15" x14ac:dyDescent="0.3">
      <c r="A2914" s="130">
        <v>16366</v>
      </c>
      <c r="B2914" s="130">
        <v>30</v>
      </c>
      <c r="C2914" s="130" t="s">
        <v>4538</v>
      </c>
      <c r="D2914">
        <v>24725</v>
      </c>
      <c r="E2914" s="130">
        <v>48400927</v>
      </c>
      <c r="F2914" t="s">
        <v>87</v>
      </c>
      <c r="G2914">
        <v>76</v>
      </c>
      <c r="H2914" t="s">
        <v>8953</v>
      </c>
      <c r="I2914" s="130">
        <v>10</v>
      </c>
      <c r="J2914" t="s">
        <v>4538</v>
      </c>
      <c r="K2914" t="s">
        <v>108</v>
      </c>
      <c r="L2914" t="s">
        <v>127</v>
      </c>
      <c r="M2914" t="s">
        <v>103</v>
      </c>
      <c r="N2914" t="s">
        <v>118</v>
      </c>
      <c r="O2914" t="s">
        <v>116</v>
      </c>
    </row>
    <row r="2915" spans="1:15" x14ac:dyDescent="0.3">
      <c r="A2915" s="130">
        <v>16368</v>
      </c>
      <c r="B2915" s="130">
        <v>30</v>
      </c>
      <c r="C2915" s="130" t="s">
        <v>4539</v>
      </c>
      <c r="D2915">
        <v>24735</v>
      </c>
      <c r="E2915" s="130">
        <v>10248815</v>
      </c>
      <c r="F2915" t="s">
        <v>87</v>
      </c>
      <c r="G2915">
        <v>76</v>
      </c>
      <c r="H2915" t="s">
        <v>8951</v>
      </c>
      <c r="I2915" s="131">
        <v>10</v>
      </c>
      <c r="J2915" t="s">
        <v>4539</v>
      </c>
      <c r="K2915" t="s">
        <v>95</v>
      </c>
      <c r="L2915" t="s">
        <v>127</v>
      </c>
      <c r="M2915" t="s">
        <v>103</v>
      </c>
      <c r="N2915" t="s">
        <v>118</v>
      </c>
      <c r="O2915" t="s">
        <v>1345</v>
      </c>
    </row>
    <row r="2916" spans="1:15" x14ac:dyDescent="0.3">
      <c r="A2916" s="130">
        <v>16371</v>
      </c>
      <c r="B2916" s="130">
        <v>30</v>
      </c>
      <c r="C2916" s="130" t="s">
        <v>4540</v>
      </c>
      <c r="D2916">
        <v>24738</v>
      </c>
      <c r="E2916" s="131">
        <v>30455661</v>
      </c>
      <c r="F2916" t="s">
        <v>87</v>
      </c>
      <c r="G2916">
        <v>76</v>
      </c>
      <c r="H2916" t="s">
        <v>8952</v>
      </c>
      <c r="I2916" s="130">
        <v>3</v>
      </c>
      <c r="J2916" t="s">
        <v>4540</v>
      </c>
      <c r="K2916" t="s">
        <v>95</v>
      </c>
      <c r="L2916" t="s">
        <v>111</v>
      </c>
      <c r="M2916" t="s">
        <v>103</v>
      </c>
      <c r="N2916" t="s">
        <v>98</v>
      </c>
      <c r="O2916" t="s">
        <v>116</v>
      </c>
    </row>
    <row r="2917" spans="1:15" x14ac:dyDescent="0.3">
      <c r="A2917" s="130">
        <v>16379</v>
      </c>
      <c r="B2917" s="130">
        <v>30</v>
      </c>
      <c r="C2917" s="130" t="s">
        <v>4541</v>
      </c>
      <c r="D2917">
        <v>24747</v>
      </c>
      <c r="E2917" s="131">
        <v>51466860</v>
      </c>
      <c r="F2917" t="s">
        <v>87</v>
      </c>
      <c r="G2917">
        <v>76</v>
      </c>
      <c r="H2917" t="s">
        <v>8953</v>
      </c>
      <c r="I2917" s="131">
        <v>37</v>
      </c>
      <c r="J2917" t="s">
        <v>4541</v>
      </c>
      <c r="K2917" t="s">
        <v>95</v>
      </c>
      <c r="L2917" t="s">
        <v>144</v>
      </c>
      <c r="M2917" t="s">
        <v>103</v>
      </c>
      <c r="N2917" t="s">
        <v>141</v>
      </c>
      <c r="O2917" t="s">
        <v>116</v>
      </c>
    </row>
    <row r="2918" spans="1:15" x14ac:dyDescent="0.3">
      <c r="A2918" s="130">
        <v>16385</v>
      </c>
      <c r="B2918" s="130">
        <v>30</v>
      </c>
      <c r="C2918" s="130" t="s">
        <v>4542</v>
      </c>
      <c r="D2918">
        <v>24755</v>
      </c>
      <c r="E2918" s="130">
        <v>60625829</v>
      </c>
      <c r="F2918" t="s">
        <v>87</v>
      </c>
      <c r="G2918">
        <v>358</v>
      </c>
      <c r="H2918" t="s">
        <v>8951</v>
      </c>
      <c r="I2918" s="130">
        <v>3</v>
      </c>
      <c r="J2918" t="s">
        <v>4542</v>
      </c>
      <c r="K2918" t="s">
        <v>95</v>
      </c>
      <c r="L2918" t="s">
        <v>193</v>
      </c>
      <c r="M2918" t="s">
        <v>103</v>
      </c>
      <c r="N2918" t="s">
        <v>98</v>
      </c>
      <c r="O2918" t="s">
        <v>1345</v>
      </c>
    </row>
    <row r="2919" spans="1:15" x14ac:dyDescent="0.3">
      <c r="A2919" s="130">
        <v>16389</v>
      </c>
      <c r="B2919" s="130">
        <v>90</v>
      </c>
      <c r="C2919" s="130" t="s">
        <v>4543</v>
      </c>
      <c r="D2919">
        <v>24763</v>
      </c>
      <c r="E2919" s="131">
        <v>655209</v>
      </c>
      <c r="F2919" t="s">
        <v>87</v>
      </c>
      <c r="G2919">
        <v>76</v>
      </c>
      <c r="H2919" t="s">
        <v>8952</v>
      </c>
      <c r="I2919" s="131">
        <v>9</v>
      </c>
      <c r="J2919" t="s">
        <v>4543</v>
      </c>
      <c r="K2919" t="s">
        <v>95</v>
      </c>
      <c r="L2919" t="s">
        <v>181</v>
      </c>
      <c r="M2919" t="s">
        <v>170</v>
      </c>
      <c r="N2919" t="s">
        <v>114</v>
      </c>
      <c r="O2919" t="s">
        <v>116</v>
      </c>
    </row>
    <row r="2920" spans="1:15" x14ac:dyDescent="0.3">
      <c r="A2920" s="130">
        <v>16390</v>
      </c>
      <c r="B2920" s="130">
        <v>28</v>
      </c>
      <c r="C2920" s="130" t="s">
        <v>4544</v>
      </c>
      <c r="D2920">
        <v>24765</v>
      </c>
      <c r="E2920" s="130">
        <v>49314049</v>
      </c>
      <c r="F2920" t="s">
        <v>87</v>
      </c>
      <c r="G2920">
        <v>76</v>
      </c>
      <c r="H2920" t="s">
        <v>8953</v>
      </c>
      <c r="I2920" s="130">
        <v>37</v>
      </c>
      <c r="J2920" t="s">
        <v>4544</v>
      </c>
      <c r="K2920" t="s">
        <v>95</v>
      </c>
      <c r="L2920" t="s">
        <v>138</v>
      </c>
      <c r="M2920" t="s">
        <v>130</v>
      </c>
      <c r="N2920" t="s">
        <v>114</v>
      </c>
      <c r="O2920" t="s">
        <v>1345</v>
      </c>
    </row>
    <row r="2921" spans="1:15" x14ac:dyDescent="0.3">
      <c r="A2921" s="130">
        <v>16391</v>
      </c>
      <c r="B2921" s="130">
        <v>30</v>
      </c>
      <c r="C2921" s="130" t="s">
        <v>4545</v>
      </c>
      <c r="D2921">
        <v>24764</v>
      </c>
      <c r="E2921" s="130">
        <v>38615333</v>
      </c>
      <c r="F2921" t="s">
        <v>87</v>
      </c>
      <c r="G2921">
        <v>76</v>
      </c>
      <c r="H2921" t="s">
        <v>8951</v>
      </c>
      <c r="I2921" s="130">
        <v>37</v>
      </c>
      <c r="J2921" t="s">
        <v>4545</v>
      </c>
      <c r="K2921" t="s">
        <v>108</v>
      </c>
      <c r="L2921" t="s">
        <v>144</v>
      </c>
      <c r="M2921" t="s">
        <v>103</v>
      </c>
      <c r="N2921" t="s">
        <v>124</v>
      </c>
      <c r="O2921" t="s">
        <v>116</v>
      </c>
    </row>
    <row r="2922" spans="1:15" x14ac:dyDescent="0.3">
      <c r="A2922" s="130">
        <v>16394</v>
      </c>
      <c r="B2922" s="130">
        <v>30</v>
      </c>
      <c r="C2922" s="130" t="s">
        <v>4546</v>
      </c>
      <c r="D2922">
        <v>24771</v>
      </c>
      <c r="E2922" s="130">
        <v>2617158</v>
      </c>
      <c r="F2922" t="s">
        <v>87</v>
      </c>
      <c r="G2922">
        <v>76</v>
      </c>
      <c r="H2922" t="s">
        <v>8952</v>
      </c>
      <c r="I2922" s="130">
        <v>10</v>
      </c>
      <c r="J2922" t="s">
        <v>4546</v>
      </c>
      <c r="K2922" t="s">
        <v>108</v>
      </c>
      <c r="L2922" t="s">
        <v>127</v>
      </c>
      <c r="M2922" t="s">
        <v>103</v>
      </c>
      <c r="N2922" t="s">
        <v>118</v>
      </c>
      <c r="O2922" t="s">
        <v>116</v>
      </c>
    </row>
    <row r="2923" spans="1:15" x14ac:dyDescent="0.3">
      <c r="A2923" s="130">
        <v>16399</v>
      </c>
      <c r="B2923" s="130">
        <v>30</v>
      </c>
      <c r="C2923" s="130" t="s">
        <v>4547</v>
      </c>
      <c r="D2923">
        <v>24781</v>
      </c>
      <c r="E2923" s="130">
        <v>15743303</v>
      </c>
      <c r="F2923" t="s">
        <v>87</v>
      </c>
      <c r="G2923">
        <v>77</v>
      </c>
      <c r="H2923" t="s">
        <v>8953</v>
      </c>
      <c r="I2923" s="130">
        <v>9</v>
      </c>
      <c r="J2923" t="s">
        <v>4547</v>
      </c>
      <c r="K2923" t="s">
        <v>95</v>
      </c>
      <c r="L2923" t="s">
        <v>256</v>
      </c>
      <c r="M2923" t="s">
        <v>103</v>
      </c>
      <c r="N2923" t="s">
        <v>124</v>
      </c>
      <c r="O2923" t="s">
        <v>116</v>
      </c>
    </row>
    <row r="2924" spans="1:15" x14ac:dyDescent="0.3">
      <c r="A2924" s="130">
        <v>16400</v>
      </c>
      <c r="B2924" s="132">
        <v>30</v>
      </c>
      <c r="C2924" s="130" t="s">
        <v>4548</v>
      </c>
      <c r="D2924">
        <v>24782</v>
      </c>
      <c r="E2924" s="130">
        <v>48433698</v>
      </c>
      <c r="F2924" t="s">
        <v>87</v>
      </c>
      <c r="G2924">
        <v>76</v>
      </c>
      <c r="H2924" t="s">
        <v>8951</v>
      </c>
      <c r="I2924" s="131">
        <v>26</v>
      </c>
      <c r="J2924" t="s">
        <v>4548</v>
      </c>
      <c r="K2924" t="s">
        <v>108</v>
      </c>
      <c r="L2924" t="s">
        <v>151</v>
      </c>
      <c r="M2924" t="s">
        <v>103</v>
      </c>
      <c r="N2924" t="s">
        <v>98</v>
      </c>
      <c r="O2924" t="s">
        <v>116</v>
      </c>
    </row>
    <row r="2925" spans="1:15" x14ac:dyDescent="0.3">
      <c r="A2925" s="130">
        <v>16407</v>
      </c>
      <c r="B2925" s="130">
        <v>18</v>
      </c>
      <c r="C2925" s="130" t="s">
        <v>4549</v>
      </c>
      <c r="D2925">
        <v>24788</v>
      </c>
      <c r="E2925" s="130">
        <v>7073042</v>
      </c>
      <c r="F2925" t="s">
        <v>87</v>
      </c>
      <c r="G2925">
        <v>76</v>
      </c>
      <c r="H2925" t="s">
        <v>8952</v>
      </c>
      <c r="I2925" s="130">
        <v>10</v>
      </c>
      <c r="J2925" t="s">
        <v>4549</v>
      </c>
      <c r="K2925" t="s">
        <v>108</v>
      </c>
      <c r="L2925" t="s">
        <v>127</v>
      </c>
      <c r="M2925" t="s">
        <v>112</v>
      </c>
      <c r="N2925" t="s">
        <v>118</v>
      </c>
      <c r="O2925" t="s">
        <v>1345</v>
      </c>
    </row>
    <row r="2926" spans="1:15" x14ac:dyDescent="0.3">
      <c r="A2926" s="130">
        <v>16413</v>
      </c>
      <c r="B2926" s="130">
        <v>45</v>
      </c>
      <c r="C2926" s="130" t="s">
        <v>4550</v>
      </c>
      <c r="D2926">
        <v>24799</v>
      </c>
      <c r="E2926" s="131">
        <v>68915891</v>
      </c>
      <c r="F2926" t="s">
        <v>87</v>
      </c>
      <c r="G2926">
        <v>76</v>
      </c>
      <c r="H2926" t="s">
        <v>8953</v>
      </c>
      <c r="I2926" s="130">
        <v>26</v>
      </c>
      <c r="J2926" t="s">
        <v>4550</v>
      </c>
      <c r="K2926" t="s">
        <v>95</v>
      </c>
      <c r="L2926" t="s">
        <v>123</v>
      </c>
      <c r="M2926" t="s">
        <v>106</v>
      </c>
      <c r="N2926" t="s">
        <v>169</v>
      </c>
      <c r="O2926" t="s">
        <v>116</v>
      </c>
    </row>
    <row r="2927" spans="1:15" x14ac:dyDescent="0.3">
      <c r="A2927" s="130">
        <v>16414</v>
      </c>
      <c r="B2927" s="130">
        <v>10</v>
      </c>
      <c r="C2927" s="130" t="s">
        <v>4551</v>
      </c>
      <c r="D2927">
        <v>24801</v>
      </c>
      <c r="E2927" s="130">
        <v>10532857</v>
      </c>
      <c r="F2927" t="s">
        <v>87</v>
      </c>
      <c r="G2927">
        <v>76</v>
      </c>
      <c r="H2927" t="s">
        <v>8951</v>
      </c>
      <c r="I2927" s="130">
        <v>24</v>
      </c>
      <c r="J2927" t="s">
        <v>4551</v>
      </c>
      <c r="K2927" t="s">
        <v>108</v>
      </c>
      <c r="L2927" t="s">
        <v>240</v>
      </c>
      <c r="M2927" t="s">
        <v>133</v>
      </c>
      <c r="N2927" t="s">
        <v>150</v>
      </c>
      <c r="O2927" t="s">
        <v>116</v>
      </c>
    </row>
    <row r="2928" spans="1:15" x14ac:dyDescent="0.3">
      <c r="A2928" s="130">
        <v>16416</v>
      </c>
      <c r="B2928" s="130">
        <v>30</v>
      </c>
      <c r="C2928" s="130" t="s">
        <v>4552</v>
      </c>
      <c r="D2928">
        <v>24802</v>
      </c>
      <c r="E2928" s="130">
        <v>7522191</v>
      </c>
      <c r="F2928" t="s">
        <v>87</v>
      </c>
      <c r="G2928">
        <v>76</v>
      </c>
      <c r="H2928" t="s">
        <v>8952</v>
      </c>
      <c r="I2928" s="131">
        <v>19</v>
      </c>
      <c r="J2928" t="s">
        <v>4552</v>
      </c>
      <c r="K2928" t="s">
        <v>95</v>
      </c>
      <c r="L2928" t="s">
        <v>146</v>
      </c>
      <c r="M2928" t="s">
        <v>103</v>
      </c>
      <c r="N2928" t="s">
        <v>114</v>
      </c>
      <c r="O2928" t="s">
        <v>116</v>
      </c>
    </row>
    <row r="2929" spans="1:15" x14ac:dyDescent="0.3">
      <c r="A2929" s="130">
        <v>16419</v>
      </c>
      <c r="B2929" s="130">
        <v>30</v>
      </c>
      <c r="C2929" s="130" t="s">
        <v>4553</v>
      </c>
      <c r="D2929">
        <v>24806</v>
      </c>
      <c r="E2929" s="131">
        <v>19330033</v>
      </c>
      <c r="F2929" t="s">
        <v>87</v>
      </c>
      <c r="G2929">
        <v>76</v>
      </c>
      <c r="H2929" t="s">
        <v>8953</v>
      </c>
      <c r="I2929" s="130">
        <v>18</v>
      </c>
      <c r="J2929" t="s">
        <v>4553</v>
      </c>
      <c r="K2929" t="s">
        <v>95</v>
      </c>
      <c r="L2929" t="s">
        <v>123</v>
      </c>
      <c r="M2929" t="s">
        <v>103</v>
      </c>
      <c r="N2929" t="s">
        <v>98</v>
      </c>
      <c r="O2929" t="s">
        <v>116</v>
      </c>
    </row>
    <row r="2930" spans="1:15" x14ac:dyDescent="0.3">
      <c r="A2930" s="130">
        <v>16424</v>
      </c>
      <c r="B2930" s="130">
        <v>28</v>
      </c>
      <c r="C2930" s="130" t="s">
        <v>4554</v>
      </c>
      <c r="D2930">
        <v>24813</v>
      </c>
      <c r="E2930" s="131">
        <v>49314049</v>
      </c>
      <c r="F2930" t="s">
        <v>87</v>
      </c>
      <c r="G2930">
        <v>76</v>
      </c>
      <c r="H2930" t="s">
        <v>8951</v>
      </c>
      <c r="I2930" s="130">
        <v>37</v>
      </c>
      <c r="J2930" t="s">
        <v>4554</v>
      </c>
      <c r="K2930" t="s">
        <v>95</v>
      </c>
      <c r="L2930" t="s">
        <v>138</v>
      </c>
      <c r="M2930" t="s">
        <v>130</v>
      </c>
      <c r="N2930" t="s">
        <v>114</v>
      </c>
      <c r="O2930" t="s">
        <v>1345</v>
      </c>
    </row>
    <row r="2931" spans="1:15" x14ac:dyDescent="0.3">
      <c r="A2931" s="130">
        <v>16428</v>
      </c>
      <c r="B2931" s="130">
        <v>30</v>
      </c>
      <c r="C2931" s="130" t="s">
        <v>4555</v>
      </c>
      <c r="D2931">
        <v>24819</v>
      </c>
      <c r="E2931" s="130">
        <v>27786322</v>
      </c>
      <c r="F2931" t="s">
        <v>87</v>
      </c>
      <c r="G2931">
        <v>76</v>
      </c>
      <c r="H2931" t="s">
        <v>8952</v>
      </c>
      <c r="I2931" s="130">
        <v>19</v>
      </c>
      <c r="J2931" t="s">
        <v>4555</v>
      </c>
      <c r="K2931" t="s">
        <v>108</v>
      </c>
      <c r="L2931" t="s">
        <v>146</v>
      </c>
      <c r="M2931" t="s">
        <v>103</v>
      </c>
      <c r="N2931" t="s">
        <v>124</v>
      </c>
      <c r="O2931" t="s">
        <v>1345</v>
      </c>
    </row>
    <row r="2932" spans="1:15" x14ac:dyDescent="0.3">
      <c r="A2932" s="130">
        <v>16429</v>
      </c>
      <c r="B2932" s="130">
        <v>30</v>
      </c>
      <c r="C2932" s="130" t="s">
        <v>4556</v>
      </c>
      <c r="D2932">
        <v>24821</v>
      </c>
      <c r="E2932" s="131">
        <v>42099777</v>
      </c>
      <c r="F2932" t="s">
        <v>87</v>
      </c>
      <c r="G2932">
        <v>76</v>
      </c>
      <c r="H2932" t="s">
        <v>8953</v>
      </c>
      <c r="I2932" s="130">
        <v>19</v>
      </c>
      <c r="J2932" t="s">
        <v>4556</v>
      </c>
      <c r="K2932" t="s">
        <v>108</v>
      </c>
      <c r="L2932" t="s">
        <v>146</v>
      </c>
      <c r="M2932" t="s">
        <v>103</v>
      </c>
      <c r="N2932" t="s">
        <v>98</v>
      </c>
      <c r="O2932" t="s">
        <v>116</v>
      </c>
    </row>
    <row r="2933" spans="1:15" x14ac:dyDescent="0.3">
      <c r="A2933" s="130">
        <v>16434</v>
      </c>
      <c r="B2933" s="130">
        <v>28</v>
      </c>
      <c r="C2933" s="130" t="s">
        <v>4557</v>
      </c>
      <c r="D2933">
        <v>24828</v>
      </c>
      <c r="E2933" s="130">
        <v>49314049</v>
      </c>
      <c r="F2933" t="s">
        <v>87</v>
      </c>
      <c r="G2933">
        <v>76</v>
      </c>
      <c r="H2933" t="s">
        <v>8951</v>
      </c>
      <c r="I2933" s="130">
        <v>37</v>
      </c>
      <c r="J2933" t="s">
        <v>4557</v>
      </c>
      <c r="K2933" t="s">
        <v>95</v>
      </c>
      <c r="L2933" t="s">
        <v>138</v>
      </c>
      <c r="M2933" t="s">
        <v>130</v>
      </c>
      <c r="N2933" t="s">
        <v>114</v>
      </c>
      <c r="O2933" t="s">
        <v>1345</v>
      </c>
    </row>
    <row r="2934" spans="1:15" x14ac:dyDescent="0.3">
      <c r="A2934" s="130">
        <v>16439</v>
      </c>
      <c r="B2934" s="130">
        <v>90</v>
      </c>
      <c r="C2934" s="130" t="s">
        <v>4558</v>
      </c>
      <c r="D2934">
        <v>24836</v>
      </c>
      <c r="E2934" s="130">
        <v>655209</v>
      </c>
      <c r="F2934" t="s">
        <v>87</v>
      </c>
      <c r="G2934">
        <v>76</v>
      </c>
      <c r="H2934" t="s">
        <v>8952</v>
      </c>
      <c r="I2934" s="130">
        <v>9</v>
      </c>
      <c r="J2934" t="s">
        <v>4558</v>
      </c>
      <c r="K2934" t="s">
        <v>95</v>
      </c>
      <c r="L2934" t="s">
        <v>1298</v>
      </c>
      <c r="M2934" t="s">
        <v>170</v>
      </c>
      <c r="N2934" t="s">
        <v>114</v>
      </c>
      <c r="O2934" t="s">
        <v>1256</v>
      </c>
    </row>
    <row r="2935" spans="1:15" x14ac:dyDescent="0.3">
      <c r="A2935" s="130">
        <v>16445</v>
      </c>
      <c r="B2935" s="130">
        <v>30</v>
      </c>
      <c r="C2935" s="130" t="s">
        <v>4559</v>
      </c>
      <c r="D2935">
        <v>24843</v>
      </c>
      <c r="E2935" s="131">
        <v>37749117</v>
      </c>
      <c r="F2935" t="s">
        <v>87</v>
      </c>
      <c r="G2935">
        <v>76</v>
      </c>
      <c r="H2935" t="s">
        <v>8953</v>
      </c>
      <c r="I2935" s="130">
        <v>24</v>
      </c>
      <c r="J2935" t="s">
        <v>4559</v>
      </c>
      <c r="K2935" t="s">
        <v>95</v>
      </c>
      <c r="L2935" t="s">
        <v>191</v>
      </c>
      <c r="M2935" t="s">
        <v>103</v>
      </c>
      <c r="N2935" t="s">
        <v>98</v>
      </c>
      <c r="O2935" t="s">
        <v>1345</v>
      </c>
    </row>
    <row r="2936" spans="1:15" x14ac:dyDescent="0.3">
      <c r="A2936" s="130">
        <v>16447</v>
      </c>
      <c r="B2936" s="130">
        <v>30</v>
      </c>
      <c r="C2936" s="130" t="s">
        <v>4560</v>
      </c>
      <c r="D2936">
        <v>24849</v>
      </c>
      <c r="E2936" s="131">
        <v>38613446</v>
      </c>
      <c r="F2936" t="s">
        <v>87</v>
      </c>
      <c r="G2936">
        <v>76</v>
      </c>
      <c r="H2936" t="s">
        <v>8951</v>
      </c>
      <c r="I2936" s="130">
        <v>19</v>
      </c>
      <c r="J2936" t="s">
        <v>4560</v>
      </c>
      <c r="K2936" t="s">
        <v>108</v>
      </c>
      <c r="L2936" t="s">
        <v>146</v>
      </c>
      <c r="M2936" t="s">
        <v>103</v>
      </c>
      <c r="N2936" t="s">
        <v>150</v>
      </c>
      <c r="O2936" t="s">
        <v>116</v>
      </c>
    </row>
    <row r="2937" spans="1:15" x14ac:dyDescent="0.3">
      <c r="A2937" s="130">
        <v>16449</v>
      </c>
      <c r="B2937" s="130">
        <v>15</v>
      </c>
      <c r="C2937" s="130" t="s">
        <v>4561</v>
      </c>
      <c r="D2937">
        <v>24852</v>
      </c>
      <c r="E2937" s="130">
        <v>42876135</v>
      </c>
      <c r="F2937" t="s">
        <v>87</v>
      </c>
      <c r="G2937">
        <v>76</v>
      </c>
      <c r="H2937" t="s">
        <v>8952</v>
      </c>
      <c r="I2937" s="130">
        <v>19</v>
      </c>
      <c r="J2937" t="s">
        <v>4561</v>
      </c>
      <c r="K2937" t="s">
        <v>108</v>
      </c>
      <c r="L2937" t="s">
        <v>146</v>
      </c>
      <c r="M2937" t="s">
        <v>145</v>
      </c>
      <c r="N2937" t="s">
        <v>98</v>
      </c>
      <c r="O2937" t="s">
        <v>1345</v>
      </c>
    </row>
    <row r="2938" spans="1:15" x14ac:dyDescent="0.3">
      <c r="A2938" s="130">
        <v>16453</v>
      </c>
      <c r="B2938" s="130">
        <v>10</v>
      </c>
      <c r="C2938" s="130" t="s">
        <v>4562</v>
      </c>
      <c r="D2938">
        <v>24856</v>
      </c>
      <c r="E2938" s="130">
        <v>48863214</v>
      </c>
      <c r="F2938" t="s">
        <v>87</v>
      </c>
      <c r="G2938">
        <v>358</v>
      </c>
      <c r="H2938" t="s">
        <v>8953</v>
      </c>
      <c r="I2938" s="130">
        <v>19</v>
      </c>
      <c r="J2938" t="s">
        <v>4562</v>
      </c>
      <c r="K2938" t="s">
        <v>95</v>
      </c>
      <c r="L2938" t="s">
        <v>105</v>
      </c>
      <c r="M2938" t="s">
        <v>133</v>
      </c>
      <c r="N2938" t="s">
        <v>98</v>
      </c>
      <c r="O2938" t="s">
        <v>1345</v>
      </c>
    </row>
    <row r="2939" spans="1:15" x14ac:dyDescent="0.3">
      <c r="A2939" s="130">
        <v>16457</v>
      </c>
      <c r="B2939" s="130">
        <v>28</v>
      </c>
      <c r="C2939" s="130" t="s">
        <v>4563</v>
      </c>
      <c r="D2939">
        <v>24863</v>
      </c>
      <c r="E2939" s="130">
        <v>4824051</v>
      </c>
      <c r="F2939" t="s">
        <v>87</v>
      </c>
      <c r="G2939">
        <v>76</v>
      </c>
      <c r="H2939" t="s">
        <v>8951</v>
      </c>
      <c r="I2939" s="130">
        <v>43</v>
      </c>
      <c r="J2939" t="s">
        <v>4563</v>
      </c>
      <c r="K2939" t="s">
        <v>108</v>
      </c>
      <c r="L2939" t="s">
        <v>173</v>
      </c>
      <c r="M2939" t="s">
        <v>130</v>
      </c>
      <c r="N2939" t="s">
        <v>114</v>
      </c>
      <c r="O2939" t="s">
        <v>1345</v>
      </c>
    </row>
    <row r="2940" spans="1:15" x14ac:dyDescent="0.3">
      <c r="A2940" s="130">
        <v>16460</v>
      </c>
      <c r="B2940" s="130">
        <v>30</v>
      </c>
      <c r="C2940" s="130" t="s">
        <v>4564</v>
      </c>
      <c r="D2940">
        <v>24868</v>
      </c>
      <c r="E2940" s="131">
        <v>17162983</v>
      </c>
      <c r="F2940" t="s">
        <v>87</v>
      </c>
      <c r="G2940">
        <v>76</v>
      </c>
      <c r="H2940" t="s">
        <v>8952</v>
      </c>
      <c r="I2940" s="130">
        <v>3</v>
      </c>
      <c r="J2940" t="s">
        <v>4564</v>
      </c>
      <c r="K2940" t="s">
        <v>95</v>
      </c>
      <c r="L2940" t="s">
        <v>111</v>
      </c>
      <c r="M2940" t="s">
        <v>103</v>
      </c>
      <c r="N2940" t="s">
        <v>98</v>
      </c>
      <c r="O2940" t="s">
        <v>1345</v>
      </c>
    </row>
    <row r="2941" spans="1:15" x14ac:dyDescent="0.3">
      <c r="A2941" s="130">
        <v>16461</v>
      </c>
      <c r="B2941" s="130">
        <v>30</v>
      </c>
      <c r="C2941" s="130" t="s">
        <v>4565</v>
      </c>
      <c r="D2941">
        <v>24869</v>
      </c>
      <c r="E2941" s="130">
        <v>16956443</v>
      </c>
      <c r="F2941" t="s">
        <v>87</v>
      </c>
      <c r="G2941">
        <v>76</v>
      </c>
      <c r="H2941" t="s">
        <v>8953</v>
      </c>
      <c r="I2941" s="131">
        <v>3</v>
      </c>
      <c r="J2941" t="s">
        <v>4565</v>
      </c>
      <c r="K2941" t="s">
        <v>95</v>
      </c>
      <c r="L2941" t="s">
        <v>111</v>
      </c>
      <c r="M2941" t="s">
        <v>103</v>
      </c>
      <c r="N2941" t="s">
        <v>98</v>
      </c>
      <c r="O2941" t="s">
        <v>116</v>
      </c>
    </row>
    <row r="2942" spans="1:15" x14ac:dyDescent="0.3">
      <c r="A2942" s="130">
        <v>16465</v>
      </c>
      <c r="B2942" s="130">
        <v>30</v>
      </c>
      <c r="C2942" s="130" t="s">
        <v>4566</v>
      </c>
      <c r="D2942">
        <v>24872</v>
      </c>
      <c r="E2942" s="130">
        <v>18162590</v>
      </c>
      <c r="F2942" t="s">
        <v>87</v>
      </c>
      <c r="G2942">
        <v>76</v>
      </c>
      <c r="H2942" t="s">
        <v>8951</v>
      </c>
      <c r="I2942" s="131">
        <v>3</v>
      </c>
      <c r="J2942" t="s">
        <v>4566</v>
      </c>
      <c r="K2942" t="s">
        <v>95</v>
      </c>
      <c r="L2942" t="s">
        <v>111</v>
      </c>
      <c r="M2942" t="s">
        <v>103</v>
      </c>
      <c r="N2942" t="s">
        <v>98</v>
      </c>
      <c r="O2942" t="s">
        <v>1345</v>
      </c>
    </row>
    <row r="2943" spans="1:15" x14ac:dyDescent="0.3">
      <c r="A2943" s="130">
        <v>16466</v>
      </c>
      <c r="B2943" s="130">
        <v>28</v>
      </c>
      <c r="C2943" s="130" t="s">
        <v>4567</v>
      </c>
      <c r="D2943">
        <v>24873</v>
      </c>
      <c r="E2943" s="130">
        <v>49314049</v>
      </c>
      <c r="F2943" t="s">
        <v>87</v>
      </c>
      <c r="G2943">
        <v>76</v>
      </c>
      <c r="H2943" t="s">
        <v>8952</v>
      </c>
      <c r="I2943" s="131">
        <v>37</v>
      </c>
      <c r="J2943" t="s">
        <v>4567</v>
      </c>
      <c r="K2943" t="s">
        <v>95</v>
      </c>
      <c r="L2943" t="s">
        <v>138</v>
      </c>
      <c r="M2943" t="s">
        <v>130</v>
      </c>
      <c r="N2943" t="s">
        <v>114</v>
      </c>
      <c r="O2943" t="s">
        <v>1345</v>
      </c>
    </row>
    <row r="2944" spans="1:15" x14ac:dyDescent="0.3">
      <c r="A2944" s="130">
        <v>16470</v>
      </c>
      <c r="B2944" s="130">
        <v>28</v>
      </c>
      <c r="C2944" s="130" t="s">
        <v>4568</v>
      </c>
      <c r="D2944">
        <v>24878</v>
      </c>
      <c r="E2944" s="131">
        <v>49314049</v>
      </c>
      <c r="F2944" t="s">
        <v>87</v>
      </c>
      <c r="G2944">
        <v>76</v>
      </c>
      <c r="H2944" t="s">
        <v>8953</v>
      </c>
      <c r="I2944" s="130">
        <v>37</v>
      </c>
      <c r="J2944" t="s">
        <v>4568</v>
      </c>
      <c r="K2944" t="s">
        <v>95</v>
      </c>
      <c r="L2944" t="s">
        <v>138</v>
      </c>
      <c r="M2944" t="s">
        <v>130</v>
      </c>
      <c r="N2944" t="s">
        <v>114</v>
      </c>
      <c r="O2944" t="s">
        <v>1345</v>
      </c>
    </row>
    <row r="2945" spans="1:15" x14ac:dyDescent="0.3">
      <c r="A2945" s="130">
        <v>16473</v>
      </c>
      <c r="B2945" s="130">
        <v>28</v>
      </c>
      <c r="C2945" s="130" t="s">
        <v>4569</v>
      </c>
      <c r="D2945">
        <v>24882</v>
      </c>
      <c r="E2945" s="130">
        <v>49314049</v>
      </c>
      <c r="F2945" t="s">
        <v>87</v>
      </c>
      <c r="G2945">
        <v>76</v>
      </c>
      <c r="H2945" t="s">
        <v>8951</v>
      </c>
      <c r="I2945" s="131">
        <v>37</v>
      </c>
      <c r="J2945" t="s">
        <v>4569</v>
      </c>
      <c r="K2945" t="s">
        <v>95</v>
      </c>
      <c r="L2945" t="s">
        <v>138</v>
      </c>
      <c r="M2945" t="s">
        <v>130</v>
      </c>
      <c r="N2945" t="s">
        <v>114</v>
      </c>
      <c r="O2945" t="s">
        <v>1345</v>
      </c>
    </row>
    <row r="2946" spans="1:15" x14ac:dyDescent="0.3">
      <c r="A2946" s="130">
        <v>16480</v>
      </c>
      <c r="B2946" s="130">
        <v>28</v>
      </c>
      <c r="C2946" s="130" t="s">
        <v>4570</v>
      </c>
      <c r="D2946">
        <v>24892</v>
      </c>
      <c r="E2946" s="130">
        <v>49314049</v>
      </c>
      <c r="F2946" t="s">
        <v>87</v>
      </c>
      <c r="G2946">
        <v>76</v>
      </c>
      <c r="H2946" t="s">
        <v>8952</v>
      </c>
      <c r="I2946" s="131">
        <v>37</v>
      </c>
      <c r="J2946" t="s">
        <v>4570</v>
      </c>
      <c r="K2946" t="s">
        <v>95</v>
      </c>
      <c r="L2946" t="s">
        <v>138</v>
      </c>
      <c r="M2946" t="s">
        <v>130</v>
      </c>
      <c r="N2946" t="s">
        <v>114</v>
      </c>
      <c r="O2946" t="s">
        <v>1345</v>
      </c>
    </row>
    <row r="2947" spans="1:15" x14ac:dyDescent="0.3">
      <c r="A2947" s="130">
        <v>16484</v>
      </c>
      <c r="B2947" s="130">
        <v>30</v>
      </c>
      <c r="C2947" s="130" t="s">
        <v>4571</v>
      </c>
      <c r="D2947">
        <v>24898</v>
      </c>
      <c r="E2947" s="131">
        <v>51466860</v>
      </c>
      <c r="F2947" t="s">
        <v>87</v>
      </c>
      <c r="G2947">
        <v>76</v>
      </c>
      <c r="H2947" t="s">
        <v>8953</v>
      </c>
      <c r="I2947" s="130">
        <v>37</v>
      </c>
      <c r="J2947" t="s">
        <v>4571</v>
      </c>
      <c r="K2947" t="s">
        <v>95</v>
      </c>
      <c r="L2947" t="s">
        <v>144</v>
      </c>
      <c r="M2947" t="s">
        <v>103</v>
      </c>
      <c r="N2947" t="s">
        <v>141</v>
      </c>
      <c r="O2947" t="s">
        <v>116</v>
      </c>
    </row>
    <row r="2948" spans="1:15" x14ac:dyDescent="0.3">
      <c r="A2948" s="130">
        <v>16489</v>
      </c>
      <c r="B2948" s="130">
        <v>18</v>
      </c>
      <c r="C2948" s="130" t="s">
        <v>4572</v>
      </c>
      <c r="D2948">
        <v>24904</v>
      </c>
      <c r="E2948" s="130">
        <v>49059455</v>
      </c>
      <c r="F2948" t="s">
        <v>87</v>
      </c>
      <c r="G2948">
        <v>358</v>
      </c>
      <c r="H2948" t="s">
        <v>8951</v>
      </c>
      <c r="I2948" s="130">
        <v>9</v>
      </c>
      <c r="J2948" t="s">
        <v>4572</v>
      </c>
      <c r="K2948" t="s">
        <v>95</v>
      </c>
      <c r="L2948" t="s">
        <v>105</v>
      </c>
      <c r="M2948" t="s">
        <v>112</v>
      </c>
      <c r="N2948" t="s">
        <v>98</v>
      </c>
      <c r="O2948" t="s">
        <v>116</v>
      </c>
    </row>
    <row r="2949" spans="1:15" x14ac:dyDescent="0.3">
      <c r="A2949" s="130">
        <v>16490</v>
      </c>
      <c r="B2949" s="130">
        <v>30</v>
      </c>
      <c r="C2949" s="130" t="s">
        <v>4573</v>
      </c>
      <c r="D2949">
        <v>24906</v>
      </c>
      <c r="E2949" s="130">
        <v>71427389</v>
      </c>
      <c r="F2949" t="s">
        <v>87</v>
      </c>
      <c r="G2949">
        <v>76</v>
      </c>
      <c r="H2949" t="s">
        <v>8952</v>
      </c>
      <c r="I2949" s="130">
        <v>3</v>
      </c>
      <c r="J2949" t="s">
        <v>4573</v>
      </c>
      <c r="K2949" t="s">
        <v>95</v>
      </c>
      <c r="L2949" t="s">
        <v>111</v>
      </c>
      <c r="M2949" t="s">
        <v>103</v>
      </c>
      <c r="N2949" t="s">
        <v>98</v>
      </c>
      <c r="O2949" t="s">
        <v>116</v>
      </c>
    </row>
    <row r="2950" spans="1:15" x14ac:dyDescent="0.3">
      <c r="A2950" s="130">
        <v>16491</v>
      </c>
      <c r="B2950" s="130">
        <v>30</v>
      </c>
      <c r="C2950" s="130" t="s">
        <v>4574</v>
      </c>
      <c r="D2950">
        <v>24908</v>
      </c>
      <c r="E2950" s="130">
        <v>48863214</v>
      </c>
      <c r="F2950" t="s">
        <v>87</v>
      </c>
      <c r="G2950">
        <v>358</v>
      </c>
      <c r="H2950" t="s">
        <v>8953</v>
      </c>
      <c r="I2950" s="130">
        <v>3</v>
      </c>
      <c r="J2950" t="s">
        <v>4574</v>
      </c>
      <c r="K2950" t="s">
        <v>95</v>
      </c>
      <c r="L2950" t="s">
        <v>105</v>
      </c>
      <c r="M2950" t="s">
        <v>103</v>
      </c>
      <c r="N2950" t="s">
        <v>98</v>
      </c>
      <c r="O2950" t="s">
        <v>116</v>
      </c>
    </row>
    <row r="2951" spans="1:15" x14ac:dyDescent="0.3">
      <c r="A2951" s="130">
        <v>16494</v>
      </c>
      <c r="B2951" s="130">
        <v>28</v>
      </c>
      <c r="C2951" s="130" t="s">
        <v>4575</v>
      </c>
      <c r="D2951">
        <v>24912</v>
      </c>
      <c r="E2951" s="131">
        <v>49314049</v>
      </c>
      <c r="F2951" t="s">
        <v>87</v>
      </c>
      <c r="G2951">
        <v>76</v>
      </c>
      <c r="H2951" t="s">
        <v>8951</v>
      </c>
      <c r="I2951" s="130">
        <v>37</v>
      </c>
      <c r="J2951" t="s">
        <v>4575</v>
      </c>
      <c r="K2951" t="s">
        <v>95</v>
      </c>
      <c r="L2951" t="s">
        <v>138</v>
      </c>
      <c r="M2951" t="s">
        <v>130</v>
      </c>
      <c r="N2951" t="s">
        <v>114</v>
      </c>
      <c r="O2951" t="s">
        <v>116</v>
      </c>
    </row>
    <row r="2952" spans="1:15" x14ac:dyDescent="0.3">
      <c r="A2952" s="130">
        <v>16495</v>
      </c>
      <c r="B2952" s="130">
        <v>28</v>
      </c>
      <c r="C2952" s="130" t="s">
        <v>4576</v>
      </c>
      <c r="D2952">
        <v>24914</v>
      </c>
      <c r="E2952" s="130">
        <v>49314049</v>
      </c>
      <c r="F2952" t="s">
        <v>87</v>
      </c>
      <c r="G2952">
        <v>76</v>
      </c>
      <c r="H2952" t="s">
        <v>8952</v>
      </c>
      <c r="I2952" s="130">
        <v>37</v>
      </c>
      <c r="J2952" t="s">
        <v>4576</v>
      </c>
      <c r="K2952" t="s">
        <v>95</v>
      </c>
      <c r="L2952" t="s">
        <v>138</v>
      </c>
      <c r="M2952" t="s">
        <v>130</v>
      </c>
      <c r="N2952" t="s">
        <v>114</v>
      </c>
      <c r="O2952" t="s">
        <v>1345</v>
      </c>
    </row>
    <row r="2953" spans="1:15" x14ac:dyDescent="0.3">
      <c r="A2953" s="130">
        <v>16497</v>
      </c>
      <c r="B2953" s="130">
        <v>28</v>
      </c>
      <c r="C2953" s="130" t="s">
        <v>4577</v>
      </c>
      <c r="D2953">
        <v>24915</v>
      </c>
      <c r="E2953" s="131">
        <v>49314049</v>
      </c>
      <c r="F2953" t="s">
        <v>87</v>
      </c>
      <c r="G2953">
        <v>76</v>
      </c>
      <c r="H2953" t="s">
        <v>8953</v>
      </c>
      <c r="I2953" s="130">
        <v>37</v>
      </c>
      <c r="J2953" t="s">
        <v>4577</v>
      </c>
      <c r="K2953" t="s">
        <v>95</v>
      </c>
      <c r="L2953" t="s">
        <v>138</v>
      </c>
      <c r="M2953" t="s">
        <v>130</v>
      </c>
      <c r="N2953" t="s">
        <v>114</v>
      </c>
      <c r="O2953" t="s">
        <v>1345</v>
      </c>
    </row>
    <row r="2954" spans="1:15" x14ac:dyDescent="0.3">
      <c r="A2954" s="130">
        <v>16506</v>
      </c>
      <c r="B2954" s="130">
        <v>10</v>
      </c>
      <c r="C2954" s="130" t="s">
        <v>4578</v>
      </c>
      <c r="D2954">
        <v>24905</v>
      </c>
      <c r="E2954" s="130">
        <v>35230137</v>
      </c>
      <c r="F2954" t="s">
        <v>87</v>
      </c>
      <c r="G2954">
        <v>76</v>
      </c>
      <c r="H2954" t="s">
        <v>8951</v>
      </c>
      <c r="I2954" s="130">
        <v>24</v>
      </c>
      <c r="J2954" t="s">
        <v>4578</v>
      </c>
      <c r="K2954" t="s">
        <v>108</v>
      </c>
      <c r="L2954" t="s">
        <v>191</v>
      </c>
      <c r="M2954" t="s">
        <v>133</v>
      </c>
      <c r="N2954" t="s">
        <v>150</v>
      </c>
      <c r="O2954" t="s">
        <v>1345</v>
      </c>
    </row>
    <row r="2955" spans="1:15" x14ac:dyDescent="0.3">
      <c r="A2955" s="130">
        <v>16525</v>
      </c>
      <c r="B2955" s="130">
        <v>30</v>
      </c>
      <c r="C2955" s="130" t="s">
        <v>4579</v>
      </c>
      <c r="D2955">
        <v>24957</v>
      </c>
      <c r="E2955" s="131">
        <v>5292782</v>
      </c>
      <c r="F2955" t="s">
        <v>87</v>
      </c>
      <c r="G2955">
        <v>76</v>
      </c>
      <c r="H2955" t="s">
        <v>8952</v>
      </c>
      <c r="I2955" s="131">
        <v>9</v>
      </c>
      <c r="J2955" t="s">
        <v>4579</v>
      </c>
      <c r="K2955" t="s">
        <v>108</v>
      </c>
      <c r="L2955" t="s">
        <v>181</v>
      </c>
      <c r="M2955" t="s">
        <v>103</v>
      </c>
      <c r="N2955" t="s">
        <v>114</v>
      </c>
      <c r="O2955" t="s">
        <v>1345</v>
      </c>
    </row>
    <row r="2956" spans="1:15" x14ac:dyDescent="0.3">
      <c r="A2956" s="130">
        <v>16527</v>
      </c>
      <c r="B2956" s="130">
        <v>30</v>
      </c>
      <c r="C2956" s="130" t="s">
        <v>4580</v>
      </c>
      <c r="D2956">
        <v>24958</v>
      </c>
      <c r="E2956" s="130">
        <v>33028845</v>
      </c>
      <c r="F2956" t="s">
        <v>87</v>
      </c>
      <c r="G2956">
        <v>76</v>
      </c>
      <c r="H2956" t="s">
        <v>8953</v>
      </c>
      <c r="I2956" s="131">
        <v>9</v>
      </c>
      <c r="J2956" t="s">
        <v>4580</v>
      </c>
      <c r="K2956" t="s">
        <v>95</v>
      </c>
      <c r="L2956" t="s">
        <v>1298</v>
      </c>
      <c r="M2956" t="s">
        <v>103</v>
      </c>
      <c r="N2956" t="s">
        <v>114</v>
      </c>
      <c r="O2956" t="s">
        <v>1256</v>
      </c>
    </row>
    <row r="2957" spans="1:15" x14ac:dyDescent="0.3">
      <c r="A2957" s="130">
        <v>16537</v>
      </c>
      <c r="B2957" s="130">
        <v>21</v>
      </c>
      <c r="C2957" s="130" t="s">
        <v>4581</v>
      </c>
      <c r="D2957">
        <v>24974</v>
      </c>
      <c r="E2957" s="130">
        <v>11498407</v>
      </c>
      <c r="F2957" t="s">
        <v>87</v>
      </c>
      <c r="G2957">
        <v>76</v>
      </c>
      <c r="H2957" t="s">
        <v>8951</v>
      </c>
      <c r="I2957" s="131">
        <v>10</v>
      </c>
      <c r="J2957" t="s">
        <v>4581</v>
      </c>
      <c r="K2957" t="s">
        <v>108</v>
      </c>
      <c r="L2957" t="s">
        <v>127</v>
      </c>
      <c r="M2957" t="s">
        <v>137</v>
      </c>
      <c r="N2957" t="s">
        <v>118</v>
      </c>
      <c r="O2957" t="s">
        <v>1345</v>
      </c>
    </row>
    <row r="2958" spans="1:15" x14ac:dyDescent="0.3">
      <c r="A2958" s="130">
        <v>16538</v>
      </c>
      <c r="B2958" s="130">
        <v>30</v>
      </c>
      <c r="C2958" s="130" t="s">
        <v>4582</v>
      </c>
      <c r="D2958">
        <v>24975</v>
      </c>
      <c r="E2958" s="130">
        <v>33756768</v>
      </c>
      <c r="F2958" t="s">
        <v>87</v>
      </c>
      <c r="G2958">
        <v>76</v>
      </c>
      <c r="H2958" t="s">
        <v>8952</v>
      </c>
      <c r="I2958" s="130">
        <v>18</v>
      </c>
      <c r="J2958" t="s">
        <v>4582</v>
      </c>
      <c r="K2958" t="s">
        <v>108</v>
      </c>
      <c r="L2958" t="s">
        <v>123</v>
      </c>
      <c r="M2958" t="s">
        <v>103</v>
      </c>
      <c r="N2958" t="s">
        <v>121</v>
      </c>
      <c r="O2958" t="s">
        <v>116</v>
      </c>
    </row>
    <row r="2959" spans="1:15" x14ac:dyDescent="0.3">
      <c r="A2959" s="130">
        <v>16553</v>
      </c>
      <c r="B2959" s="130">
        <v>30</v>
      </c>
      <c r="C2959" s="130" t="s">
        <v>4583</v>
      </c>
      <c r="D2959">
        <v>24991</v>
      </c>
      <c r="E2959" s="131">
        <v>37749117</v>
      </c>
      <c r="F2959" t="s">
        <v>87</v>
      </c>
      <c r="G2959">
        <v>76</v>
      </c>
      <c r="H2959" t="s">
        <v>8953</v>
      </c>
      <c r="I2959" s="130">
        <v>24</v>
      </c>
      <c r="J2959" t="s">
        <v>4583</v>
      </c>
      <c r="K2959" t="s">
        <v>95</v>
      </c>
      <c r="L2959" t="s">
        <v>191</v>
      </c>
      <c r="M2959" t="s">
        <v>103</v>
      </c>
      <c r="N2959" t="s">
        <v>98</v>
      </c>
      <c r="O2959" t="s">
        <v>1345</v>
      </c>
    </row>
    <row r="2960" spans="1:15" x14ac:dyDescent="0.3">
      <c r="A2960" s="130">
        <v>16558</v>
      </c>
      <c r="B2960" s="130">
        <v>21</v>
      </c>
      <c r="C2960" s="130" t="s">
        <v>4584</v>
      </c>
      <c r="D2960">
        <v>24997</v>
      </c>
      <c r="E2960" s="131">
        <v>44443131</v>
      </c>
      <c r="F2960" t="s">
        <v>87</v>
      </c>
      <c r="G2960">
        <v>76</v>
      </c>
      <c r="H2960" t="s">
        <v>8951</v>
      </c>
      <c r="I2960" s="130">
        <v>24</v>
      </c>
      <c r="J2960" t="s">
        <v>4584</v>
      </c>
      <c r="K2960" t="s">
        <v>95</v>
      </c>
      <c r="L2960" t="s">
        <v>191</v>
      </c>
      <c r="M2960" t="s">
        <v>137</v>
      </c>
      <c r="N2960" t="s">
        <v>150</v>
      </c>
      <c r="O2960" t="s">
        <v>1345</v>
      </c>
    </row>
    <row r="2961" spans="1:15" x14ac:dyDescent="0.3">
      <c r="A2961" s="130">
        <v>16560</v>
      </c>
      <c r="B2961" s="130">
        <v>30</v>
      </c>
      <c r="C2961" s="130" t="s">
        <v>4585</v>
      </c>
      <c r="D2961">
        <v>25001</v>
      </c>
      <c r="E2961" s="130">
        <v>18998915</v>
      </c>
      <c r="F2961" t="s">
        <v>87</v>
      </c>
      <c r="G2961">
        <v>76</v>
      </c>
      <c r="H2961" t="s">
        <v>8952</v>
      </c>
      <c r="I2961" s="131">
        <v>10</v>
      </c>
      <c r="J2961" t="s">
        <v>4585</v>
      </c>
      <c r="K2961" t="s">
        <v>95</v>
      </c>
      <c r="L2961" t="s">
        <v>127</v>
      </c>
      <c r="M2961" t="s">
        <v>103</v>
      </c>
      <c r="N2961" t="s">
        <v>118</v>
      </c>
      <c r="O2961" t="s">
        <v>1345</v>
      </c>
    </row>
    <row r="2962" spans="1:15" x14ac:dyDescent="0.3">
      <c r="A2962" s="130">
        <v>16562</v>
      </c>
      <c r="B2962" s="130">
        <v>18</v>
      </c>
      <c r="C2962" s="130" t="s">
        <v>4586</v>
      </c>
      <c r="D2962">
        <v>25007</v>
      </c>
      <c r="E2962" s="130">
        <v>43200669</v>
      </c>
      <c r="F2962" t="s">
        <v>87</v>
      </c>
      <c r="G2962">
        <v>76</v>
      </c>
      <c r="H2962" t="s">
        <v>8953</v>
      </c>
      <c r="I2962" s="130">
        <v>10</v>
      </c>
      <c r="J2962" t="s">
        <v>4586</v>
      </c>
      <c r="K2962" t="s">
        <v>108</v>
      </c>
      <c r="L2962" t="s">
        <v>127</v>
      </c>
      <c r="M2962" t="s">
        <v>112</v>
      </c>
      <c r="N2962" t="s">
        <v>152</v>
      </c>
      <c r="O2962" t="s">
        <v>1345</v>
      </c>
    </row>
    <row r="2963" spans="1:15" x14ac:dyDescent="0.3">
      <c r="A2963" s="130">
        <v>16563</v>
      </c>
      <c r="B2963" s="130">
        <v>15</v>
      </c>
      <c r="C2963" s="130" t="s">
        <v>4587</v>
      </c>
      <c r="D2963">
        <v>25008</v>
      </c>
      <c r="E2963" s="130">
        <v>13537925</v>
      </c>
      <c r="F2963" t="s">
        <v>87</v>
      </c>
      <c r="G2963">
        <v>76</v>
      </c>
      <c r="H2963" t="s">
        <v>8951</v>
      </c>
      <c r="I2963" s="130">
        <v>19</v>
      </c>
      <c r="J2963" t="s">
        <v>4587</v>
      </c>
      <c r="K2963" t="s">
        <v>108</v>
      </c>
      <c r="L2963" t="s">
        <v>146</v>
      </c>
      <c r="M2963" t="s">
        <v>145</v>
      </c>
      <c r="N2963" t="s">
        <v>98</v>
      </c>
      <c r="O2963" t="s">
        <v>1345</v>
      </c>
    </row>
    <row r="2964" spans="1:15" x14ac:dyDescent="0.3">
      <c r="A2964" s="130">
        <v>16564</v>
      </c>
      <c r="B2964" s="130">
        <v>30</v>
      </c>
      <c r="C2964" s="130" t="s">
        <v>4588</v>
      </c>
      <c r="D2964">
        <v>25010</v>
      </c>
      <c r="E2964" s="131">
        <v>82502196</v>
      </c>
      <c r="F2964" t="s">
        <v>87</v>
      </c>
      <c r="G2964">
        <v>76</v>
      </c>
      <c r="H2964" t="s">
        <v>8952</v>
      </c>
      <c r="I2964" s="131">
        <v>10</v>
      </c>
      <c r="J2964" t="s">
        <v>4588</v>
      </c>
      <c r="K2964" t="s">
        <v>95</v>
      </c>
      <c r="L2964" t="s">
        <v>127</v>
      </c>
      <c r="M2964" t="s">
        <v>103</v>
      </c>
      <c r="N2964" t="s">
        <v>118</v>
      </c>
      <c r="O2964" t="s">
        <v>116</v>
      </c>
    </row>
    <row r="2965" spans="1:15" x14ac:dyDescent="0.3">
      <c r="A2965" s="130">
        <v>16594</v>
      </c>
      <c r="B2965" s="130">
        <v>30</v>
      </c>
      <c r="C2965" s="130" t="s">
        <v>4589</v>
      </c>
      <c r="D2965">
        <v>25054</v>
      </c>
      <c r="E2965" s="130">
        <v>2617158</v>
      </c>
      <c r="F2965" t="s">
        <v>87</v>
      </c>
      <c r="G2965">
        <v>76</v>
      </c>
      <c r="H2965" t="s">
        <v>8953</v>
      </c>
      <c r="I2965" s="130">
        <v>3</v>
      </c>
      <c r="J2965" t="s">
        <v>4589</v>
      </c>
      <c r="K2965" t="s">
        <v>108</v>
      </c>
      <c r="L2965" t="s">
        <v>111</v>
      </c>
      <c r="M2965" t="s">
        <v>103</v>
      </c>
      <c r="N2965" t="s">
        <v>98</v>
      </c>
      <c r="O2965" t="s">
        <v>1345</v>
      </c>
    </row>
    <row r="2966" spans="1:15" x14ac:dyDescent="0.3">
      <c r="A2966" s="130">
        <v>16612</v>
      </c>
      <c r="B2966" s="130">
        <v>10</v>
      </c>
      <c r="C2966" s="130" t="s">
        <v>4590</v>
      </c>
      <c r="D2966">
        <v>25073</v>
      </c>
      <c r="E2966" s="130">
        <v>10559898622</v>
      </c>
      <c r="F2966" t="s">
        <v>87</v>
      </c>
      <c r="G2966">
        <v>76</v>
      </c>
      <c r="H2966" t="s">
        <v>8951</v>
      </c>
      <c r="I2966" s="131">
        <v>3</v>
      </c>
      <c r="J2966" t="s">
        <v>4590</v>
      </c>
      <c r="K2966" t="s">
        <v>108</v>
      </c>
      <c r="L2966" t="s">
        <v>153</v>
      </c>
      <c r="M2966" t="s">
        <v>133</v>
      </c>
      <c r="N2966" t="s">
        <v>98</v>
      </c>
      <c r="O2966" t="s">
        <v>1345</v>
      </c>
    </row>
    <row r="2967" spans="1:15" x14ac:dyDescent="0.3">
      <c r="A2967" s="130">
        <v>16619</v>
      </c>
      <c r="B2967" s="130">
        <v>30</v>
      </c>
      <c r="C2967" s="130" t="s">
        <v>4591</v>
      </c>
      <c r="D2967">
        <v>25083</v>
      </c>
      <c r="E2967" s="130">
        <v>65088700</v>
      </c>
      <c r="F2967" t="s">
        <v>87</v>
      </c>
      <c r="G2967">
        <v>76</v>
      </c>
      <c r="H2967" t="s">
        <v>8952</v>
      </c>
      <c r="I2967" s="130">
        <v>3</v>
      </c>
      <c r="J2967" t="s">
        <v>4591</v>
      </c>
      <c r="K2967" t="s">
        <v>95</v>
      </c>
      <c r="L2967" t="s">
        <v>111</v>
      </c>
      <c r="M2967" t="s">
        <v>103</v>
      </c>
      <c r="N2967" t="s">
        <v>98</v>
      </c>
      <c r="O2967" t="s">
        <v>1345</v>
      </c>
    </row>
    <row r="2968" spans="1:15" x14ac:dyDescent="0.3">
      <c r="A2968" s="130">
        <v>16624</v>
      </c>
      <c r="B2968" s="130">
        <v>18</v>
      </c>
      <c r="C2968" s="130" t="s">
        <v>4592</v>
      </c>
      <c r="D2968">
        <v>25095</v>
      </c>
      <c r="E2968" s="131">
        <v>21681150</v>
      </c>
      <c r="F2968" t="s">
        <v>87</v>
      </c>
      <c r="G2968">
        <v>358</v>
      </c>
      <c r="H2968" t="s">
        <v>8953</v>
      </c>
      <c r="I2968" s="131">
        <v>3</v>
      </c>
      <c r="J2968" t="s">
        <v>4592</v>
      </c>
      <c r="K2968" t="s">
        <v>95</v>
      </c>
      <c r="L2968" t="s">
        <v>105</v>
      </c>
      <c r="M2968" t="s">
        <v>112</v>
      </c>
      <c r="N2968" t="s">
        <v>98</v>
      </c>
      <c r="O2968" t="s">
        <v>1345</v>
      </c>
    </row>
    <row r="2969" spans="1:15" x14ac:dyDescent="0.3">
      <c r="A2969" s="130">
        <v>16632</v>
      </c>
      <c r="B2969" s="130">
        <v>10</v>
      </c>
      <c r="C2969" s="130" t="s">
        <v>4593</v>
      </c>
      <c r="D2969">
        <v>25110</v>
      </c>
      <c r="E2969" s="130">
        <v>15192588</v>
      </c>
      <c r="F2969" t="s">
        <v>87</v>
      </c>
      <c r="G2969">
        <v>76</v>
      </c>
      <c r="H2969" t="s">
        <v>8951</v>
      </c>
      <c r="I2969" s="131">
        <v>3</v>
      </c>
      <c r="J2969" t="s">
        <v>4593</v>
      </c>
      <c r="K2969" t="s">
        <v>108</v>
      </c>
      <c r="L2969" t="s">
        <v>153</v>
      </c>
      <c r="M2969" t="s">
        <v>133</v>
      </c>
      <c r="N2969" t="s">
        <v>98</v>
      </c>
      <c r="O2969" t="s">
        <v>116</v>
      </c>
    </row>
    <row r="2970" spans="1:15" x14ac:dyDescent="0.3">
      <c r="A2970" s="130">
        <v>16645</v>
      </c>
      <c r="B2970" s="130">
        <v>10</v>
      </c>
      <c r="C2970" s="130" t="s">
        <v>4594</v>
      </c>
      <c r="D2970">
        <v>25136</v>
      </c>
      <c r="E2970" s="130">
        <v>2215526009</v>
      </c>
      <c r="F2970" t="s">
        <v>87</v>
      </c>
      <c r="G2970">
        <v>76</v>
      </c>
      <c r="H2970" t="s">
        <v>8952</v>
      </c>
      <c r="I2970" s="131">
        <v>3</v>
      </c>
      <c r="J2970" t="s">
        <v>4594</v>
      </c>
      <c r="K2970" t="s">
        <v>108</v>
      </c>
      <c r="L2970" t="s">
        <v>1293</v>
      </c>
      <c r="M2970" t="s">
        <v>133</v>
      </c>
      <c r="N2970" t="s">
        <v>98</v>
      </c>
      <c r="O2970" t="s">
        <v>116</v>
      </c>
    </row>
    <row r="2971" spans="1:15" x14ac:dyDescent="0.3">
      <c r="A2971" s="130">
        <v>16652</v>
      </c>
      <c r="B2971" s="130">
        <v>30</v>
      </c>
      <c r="C2971" s="130" t="s">
        <v>4595</v>
      </c>
      <c r="D2971">
        <v>25150</v>
      </c>
      <c r="E2971" s="130">
        <v>332087</v>
      </c>
      <c r="F2971" t="s">
        <v>87</v>
      </c>
      <c r="G2971">
        <v>76</v>
      </c>
      <c r="H2971" t="s">
        <v>8953</v>
      </c>
      <c r="I2971" s="131">
        <v>37</v>
      </c>
      <c r="J2971" t="s">
        <v>4595</v>
      </c>
      <c r="K2971" t="s">
        <v>108</v>
      </c>
      <c r="L2971" t="s">
        <v>138</v>
      </c>
      <c r="M2971" t="s">
        <v>103</v>
      </c>
      <c r="N2971" t="s">
        <v>114</v>
      </c>
      <c r="O2971" t="s">
        <v>1345</v>
      </c>
    </row>
    <row r="2972" spans="1:15" x14ac:dyDescent="0.3">
      <c r="A2972" s="130">
        <v>16659</v>
      </c>
      <c r="B2972" s="130">
        <v>30</v>
      </c>
      <c r="C2972" s="130" t="s">
        <v>4596</v>
      </c>
      <c r="D2972">
        <v>25159</v>
      </c>
      <c r="E2972" s="131">
        <v>51466860</v>
      </c>
      <c r="F2972" t="s">
        <v>87</v>
      </c>
      <c r="G2972">
        <v>76</v>
      </c>
      <c r="H2972" t="s">
        <v>8951</v>
      </c>
      <c r="I2972" s="130">
        <v>37</v>
      </c>
      <c r="J2972" t="s">
        <v>4596</v>
      </c>
      <c r="K2972" t="s">
        <v>95</v>
      </c>
      <c r="L2972" t="s">
        <v>144</v>
      </c>
      <c r="M2972" t="s">
        <v>103</v>
      </c>
      <c r="N2972" t="s">
        <v>141</v>
      </c>
      <c r="O2972" t="s">
        <v>116</v>
      </c>
    </row>
    <row r="2973" spans="1:15" x14ac:dyDescent="0.3">
      <c r="A2973" s="130">
        <v>16665</v>
      </c>
      <c r="B2973" s="130">
        <v>28</v>
      </c>
      <c r="C2973" s="130" t="s">
        <v>4597</v>
      </c>
      <c r="D2973">
        <v>25173</v>
      </c>
      <c r="E2973" s="130">
        <v>79262104553</v>
      </c>
      <c r="F2973" t="s">
        <v>87</v>
      </c>
      <c r="G2973">
        <v>76</v>
      </c>
      <c r="H2973" t="s">
        <v>8952</v>
      </c>
      <c r="I2973" s="130">
        <v>43</v>
      </c>
      <c r="J2973" t="s">
        <v>4597</v>
      </c>
      <c r="K2973" t="s">
        <v>108</v>
      </c>
      <c r="L2973" t="s">
        <v>1368</v>
      </c>
      <c r="M2973" t="s">
        <v>130</v>
      </c>
      <c r="N2973" t="s">
        <v>110</v>
      </c>
      <c r="O2973" t="s">
        <v>116</v>
      </c>
    </row>
    <row r="2974" spans="1:15" x14ac:dyDescent="0.3">
      <c r="A2974" s="130">
        <v>16666</v>
      </c>
      <c r="B2974" s="130">
        <v>30</v>
      </c>
      <c r="C2974" s="130" t="s">
        <v>4598</v>
      </c>
      <c r="D2974">
        <v>25177</v>
      </c>
      <c r="E2974" s="130">
        <v>17216052</v>
      </c>
      <c r="F2974" t="s">
        <v>87</v>
      </c>
      <c r="G2974">
        <v>358</v>
      </c>
      <c r="H2974" t="s">
        <v>8953</v>
      </c>
      <c r="I2974" s="130">
        <v>3</v>
      </c>
      <c r="J2974" t="s">
        <v>4598</v>
      </c>
      <c r="K2974" t="s">
        <v>95</v>
      </c>
      <c r="L2974" t="s">
        <v>105</v>
      </c>
      <c r="M2974" t="s">
        <v>103</v>
      </c>
      <c r="N2974" t="s">
        <v>98</v>
      </c>
      <c r="O2974" t="s">
        <v>116</v>
      </c>
    </row>
    <row r="2975" spans="1:15" x14ac:dyDescent="0.3">
      <c r="A2975" s="130">
        <v>16669</v>
      </c>
      <c r="B2975" s="130">
        <v>30</v>
      </c>
      <c r="C2975" s="130" t="s">
        <v>4599</v>
      </c>
      <c r="D2975">
        <v>25181</v>
      </c>
      <c r="E2975" s="130">
        <v>1905016</v>
      </c>
      <c r="F2975" t="s">
        <v>87</v>
      </c>
      <c r="G2975">
        <v>76</v>
      </c>
      <c r="H2975" t="s">
        <v>8951</v>
      </c>
      <c r="I2975" s="130">
        <v>38</v>
      </c>
      <c r="J2975" t="s">
        <v>4599</v>
      </c>
      <c r="K2975" t="s">
        <v>108</v>
      </c>
      <c r="L2975" t="s">
        <v>126</v>
      </c>
      <c r="M2975" t="s">
        <v>103</v>
      </c>
      <c r="N2975" t="s">
        <v>101</v>
      </c>
      <c r="O2975" t="s">
        <v>116</v>
      </c>
    </row>
    <row r="2976" spans="1:15" x14ac:dyDescent="0.3">
      <c r="A2976" s="130">
        <v>16680</v>
      </c>
      <c r="B2976" s="130">
        <v>15</v>
      </c>
      <c r="C2976" s="130" t="s">
        <v>4600</v>
      </c>
      <c r="D2976">
        <v>25021</v>
      </c>
      <c r="E2976" s="130">
        <v>24858432</v>
      </c>
      <c r="F2976" t="s">
        <v>113</v>
      </c>
      <c r="G2976">
        <v>76</v>
      </c>
      <c r="H2976" t="s">
        <v>8952</v>
      </c>
      <c r="I2976" s="131">
        <v>18</v>
      </c>
      <c r="J2976" t="s">
        <v>4600</v>
      </c>
      <c r="K2976" t="s">
        <v>108</v>
      </c>
      <c r="L2976" t="s">
        <v>120</v>
      </c>
      <c r="M2976" t="s">
        <v>145</v>
      </c>
      <c r="N2976" t="s">
        <v>98</v>
      </c>
      <c r="O2976" t="s">
        <v>1256</v>
      </c>
    </row>
    <row r="2977" spans="1:15" x14ac:dyDescent="0.3">
      <c r="A2977" s="130">
        <v>16684</v>
      </c>
      <c r="B2977" s="130">
        <v>18</v>
      </c>
      <c r="C2977" s="130" t="s">
        <v>4601</v>
      </c>
      <c r="D2977">
        <v>25208</v>
      </c>
      <c r="E2977" s="130">
        <v>24605292</v>
      </c>
      <c r="F2977" t="s">
        <v>87</v>
      </c>
      <c r="G2977">
        <v>76</v>
      </c>
      <c r="H2977" t="s">
        <v>8953</v>
      </c>
      <c r="I2977" s="130">
        <v>10</v>
      </c>
      <c r="J2977" t="s">
        <v>4601</v>
      </c>
      <c r="K2977" t="s">
        <v>95</v>
      </c>
      <c r="L2977" t="s">
        <v>127</v>
      </c>
      <c r="M2977" t="s">
        <v>112</v>
      </c>
      <c r="N2977" t="s">
        <v>118</v>
      </c>
      <c r="O2977" t="s">
        <v>116</v>
      </c>
    </row>
    <row r="2978" spans="1:15" x14ac:dyDescent="0.3">
      <c r="A2978" s="130">
        <v>16693</v>
      </c>
      <c r="B2978" s="130">
        <v>30</v>
      </c>
      <c r="C2978" s="130" t="s">
        <v>4602</v>
      </c>
      <c r="D2978">
        <v>25221</v>
      </c>
      <c r="E2978" s="131">
        <v>61584223</v>
      </c>
      <c r="F2978" t="s">
        <v>87</v>
      </c>
      <c r="G2978">
        <v>76</v>
      </c>
      <c r="H2978" t="s">
        <v>8951</v>
      </c>
      <c r="I2978" s="130">
        <v>3</v>
      </c>
      <c r="J2978" t="s">
        <v>4602</v>
      </c>
      <c r="K2978" t="s">
        <v>95</v>
      </c>
      <c r="L2978" t="s">
        <v>111</v>
      </c>
      <c r="M2978" t="s">
        <v>103</v>
      </c>
      <c r="N2978" t="s">
        <v>98</v>
      </c>
      <c r="O2978" t="s">
        <v>116</v>
      </c>
    </row>
    <row r="2979" spans="1:15" x14ac:dyDescent="0.3">
      <c r="A2979" s="130">
        <v>16696</v>
      </c>
      <c r="B2979" s="130">
        <v>60</v>
      </c>
      <c r="C2979" s="130" t="s">
        <v>4603</v>
      </c>
      <c r="D2979">
        <v>25222</v>
      </c>
      <c r="E2979" s="130">
        <v>33592510</v>
      </c>
      <c r="F2979" t="s">
        <v>87</v>
      </c>
      <c r="G2979">
        <v>77</v>
      </c>
      <c r="H2979" t="s">
        <v>8952</v>
      </c>
      <c r="I2979" s="131">
        <v>10</v>
      </c>
      <c r="J2979" t="s">
        <v>4603</v>
      </c>
      <c r="K2979" t="s">
        <v>95</v>
      </c>
      <c r="L2979" t="s">
        <v>256</v>
      </c>
      <c r="M2979" t="s">
        <v>97</v>
      </c>
      <c r="N2979" t="s">
        <v>118</v>
      </c>
      <c r="O2979" t="s">
        <v>116</v>
      </c>
    </row>
    <row r="2980" spans="1:15" x14ac:dyDescent="0.3">
      <c r="A2980" s="130">
        <v>16698</v>
      </c>
      <c r="B2980" s="130">
        <v>35</v>
      </c>
      <c r="C2980" s="130" t="s">
        <v>4604</v>
      </c>
      <c r="D2980">
        <v>25227</v>
      </c>
      <c r="E2980" s="130">
        <v>5416618</v>
      </c>
      <c r="F2980" t="s">
        <v>87</v>
      </c>
      <c r="G2980">
        <v>76</v>
      </c>
      <c r="H2980" t="s">
        <v>8953</v>
      </c>
      <c r="I2980" s="130">
        <v>10</v>
      </c>
      <c r="J2980" t="s">
        <v>4604</v>
      </c>
      <c r="K2980" t="s">
        <v>108</v>
      </c>
      <c r="L2980" t="s">
        <v>120</v>
      </c>
      <c r="M2980" t="s">
        <v>161</v>
      </c>
      <c r="N2980" t="s">
        <v>98</v>
      </c>
      <c r="O2980" t="s">
        <v>116</v>
      </c>
    </row>
    <row r="2981" spans="1:15" x14ac:dyDescent="0.3">
      <c r="A2981" s="130">
        <v>16700</v>
      </c>
      <c r="B2981" s="130">
        <v>18</v>
      </c>
      <c r="C2981" s="130" t="s">
        <v>4605</v>
      </c>
      <c r="D2981">
        <v>25229</v>
      </c>
      <c r="E2981" s="130">
        <v>8680836</v>
      </c>
      <c r="F2981" t="s">
        <v>87</v>
      </c>
      <c r="G2981">
        <v>76</v>
      </c>
      <c r="H2981" t="s">
        <v>8951</v>
      </c>
      <c r="I2981" s="130">
        <v>26</v>
      </c>
      <c r="J2981" t="s">
        <v>4605</v>
      </c>
      <c r="K2981" t="s">
        <v>108</v>
      </c>
      <c r="L2981" t="s">
        <v>151</v>
      </c>
      <c r="M2981" t="s">
        <v>112</v>
      </c>
      <c r="N2981" t="s">
        <v>98</v>
      </c>
      <c r="O2981" t="s">
        <v>1345</v>
      </c>
    </row>
    <row r="2982" spans="1:15" x14ac:dyDescent="0.3">
      <c r="A2982" s="130">
        <v>16720</v>
      </c>
      <c r="B2982" s="130">
        <v>30</v>
      </c>
      <c r="C2982" s="130" t="s">
        <v>4606</v>
      </c>
      <c r="D2982">
        <v>25022</v>
      </c>
      <c r="E2982" s="130">
        <v>46004538</v>
      </c>
      <c r="F2982" t="s">
        <v>87</v>
      </c>
      <c r="G2982">
        <v>76</v>
      </c>
      <c r="H2982" t="s">
        <v>8952</v>
      </c>
      <c r="I2982" s="131">
        <v>24</v>
      </c>
      <c r="J2982" t="s">
        <v>4606</v>
      </c>
      <c r="K2982" t="s">
        <v>108</v>
      </c>
      <c r="L2982" t="s">
        <v>191</v>
      </c>
      <c r="M2982" t="s">
        <v>103</v>
      </c>
      <c r="N2982" t="s">
        <v>114</v>
      </c>
      <c r="O2982" t="s">
        <v>116</v>
      </c>
    </row>
    <row r="2983" spans="1:15" x14ac:dyDescent="0.3">
      <c r="A2983" s="130">
        <v>16722</v>
      </c>
      <c r="B2983" s="130">
        <v>10</v>
      </c>
      <c r="C2983" s="130" t="s">
        <v>4607</v>
      </c>
      <c r="D2983">
        <v>25260</v>
      </c>
      <c r="E2983" s="130">
        <v>3705536</v>
      </c>
      <c r="F2983" t="s">
        <v>87</v>
      </c>
      <c r="G2983">
        <v>76</v>
      </c>
      <c r="H2983" t="s">
        <v>8953</v>
      </c>
      <c r="I2983" s="130">
        <v>3</v>
      </c>
      <c r="J2983" t="s">
        <v>4607</v>
      </c>
      <c r="K2983" t="s">
        <v>108</v>
      </c>
      <c r="L2983" t="s">
        <v>1293</v>
      </c>
      <c r="M2983" t="s">
        <v>133</v>
      </c>
      <c r="N2983" t="s">
        <v>98</v>
      </c>
      <c r="O2983" t="s">
        <v>1345</v>
      </c>
    </row>
    <row r="2984" spans="1:15" x14ac:dyDescent="0.3">
      <c r="A2984" s="130">
        <v>16725</v>
      </c>
      <c r="B2984" s="130">
        <v>18</v>
      </c>
      <c r="C2984" s="130" t="s">
        <v>4608</v>
      </c>
      <c r="D2984">
        <v>25263</v>
      </c>
      <c r="E2984" s="130">
        <v>43200669</v>
      </c>
      <c r="F2984" t="s">
        <v>87</v>
      </c>
      <c r="G2984">
        <v>76</v>
      </c>
      <c r="H2984" t="s">
        <v>8951</v>
      </c>
      <c r="I2984" s="130">
        <v>10</v>
      </c>
      <c r="J2984" t="s">
        <v>4608</v>
      </c>
      <c r="K2984" t="s">
        <v>108</v>
      </c>
      <c r="L2984" t="s">
        <v>127</v>
      </c>
      <c r="M2984" t="s">
        <v>112</v>
      </c>
      <c r="N2984" t="s">
        <v>152</v>
      </c>
      <c r="O2984" t="s">
        <v>1345</v>
      </c>
    </row>
    <row r="2985" spans="1:15" x14ac:dyDescent="0.3">
      <c r="A2985" s="130">
        <v>16727</v>
      </c>
      <c r="B2985" s="130">
        <v>60</v>
      </c>
      <c r="C2985" s="130" t="s">
        <v>4609</v>
      </c>
      <c r="D2985">
        <v>25265</v>
      </c>
      <c r="E2985" s="130">
        <v>9625762</v>
      </c>
      <c r="F2985" t="s">
        <v>87</v>
      </c>
      <c r="G2985">
        <v>76</v>
      </c>
      <c r="H2985" t="s">
        <v>8952</v>
      </c>
      <c r="I2985" s="131">
        <v>43</v>
      </c>
      <c r="J2985" t="s">
        <v>4609</v>
      </c>
      <c r="K2985" t="s">
        <v>95</v>
      </c>
      <c r="L2985" t="s">
        <v>1241</v>
      </c>
      <c r="M2985" t="s">
        <v>97</v>
      </c>
      <c r="N2985" t="s">
        <v>150</v>
      </c>
      <c r="O2985" t="s">
        <v>1256</v>
      </c>
    </row>
    <row r="2986" spans="1:15" x14ac:dyDescent="0.3">
      <c r="A2986" s="130">
        <v>16729</v>
      </c>
      <c r="B2986" s="130">
        <v>30</v>
      </c>
      <c r="C2986" s="130" t="s">
        <v>4610</v>
      </c>
      <c r="D2986">
        <v>25268</v>
      </c>
      <c r="E2986" s="130">
        <v>8726496</v>
      </c>
      <c r="F2986" t="s">
        <v>87</v>
      </c>
      <c r="G2986">
        <v>76</v>
      </c>
      <c r="H2986" t="s">
        <v>8953</v>
      </c>
      <c r="I2986" s="131">
        <v>10</v>
      </c>
      <c r="J2986" t="s">
        <v>4610</v>
      </c>
      <c r="K2986" t="s">
        <v>95</v>
      </c>
      <c r="L2986" t="s">
        <v>127</v>
      </c>
      <c r="M2986" t="s">
        <v>103</v>
      </c>
      <c r="N2986" t="s">
        <v>118</v>
      </c>
      <c r="O2986" t="s">
        <v>1345</v>
      </c>
    </row>
    <row r="2987" spans="1:15" x14ac:dyDescent="0.3">
      <c r="A2987" s="130">
        <v>16731</v>
      </c>
      <c r="B2987" s="130">
        <v>30</v>
      </c>
      <c r="C2987" s="130" t="s">
        <v>4611</v>
      </c>
      <c r="D2987">
        <v>25272</v>
      </c>
      <c r="E2987" s="130">
        <v>2617158</v>
      </c>
      <c r="F2987" t="s">
        <v>87</v>
      </c>
      <c r="G2987">
        <v>76</v>
      </c>
      <c r="H2987" t="s">
        <v>8951</v>
      </c>
      <c r="I2987" s="131">
        <v>3</v>
      </c>
      <c r="J2987" t="s">
        <v>4611</v>
      </c>
      <c r="K2987" t="s">
        <v>95</v>
      </c>
      <c r="L2987" t="s">
        <v>111</v>
      </c>
      <c r="M2987" t="s">
        <v>103</v>
      </c>
      <c r="N2987" t="s">
        <v>98</v>
      </c>
      <c r="O2987" t="s">
        <v>1345</v>
      </c>
    </row>
    <row r="2988" spans="1:15" x14ac:dyDescent="0.3">
      <c r="A2988" s="130">
        <v>16744</v>
      </c>
      <c r="B2988" s="130">
        <v>30</v>
      </c>
      <c r="C2988" s="130" t="s">
        <v>4612</v>
      </c>
      <c r="D2988">
        <v>25286</v>
      </c>
      <c r="E2988" s="130">
        <v>39512739</v>
      </c>
      <c r="F2988" t="s">
        <v>87</v>
      </c>
      <c r="G2988">
        <v>76</v>
      </c>
      <c r="H2988" t="s">
        <v>8952</v>
      </c>
      <c r="I2988" s="130">
        <v>37</v>
      </c>
      <c r="J2988" t="s">
        <v>4612</v>
      </c>
      <c r="K2988" t="s">
        <v>108</v>
      </c>
      <c r="L2988" t="s">
        <v>144</v>
      </c>
      <c r="M2988" t="s">
        <v>103</v>
      </c>
      <c r="N2988" t="s">
        <v>98</v>
      </c>
      <c r="O2988" t="s">
        <v>1345</v>
      </c>
    </row>
    <row r="2989" spans="1:15" x14ac:dyDescent="0.3">
      <c r="A2989" s="130">
        <v>16750</v>
      </c>
      <c r="B2989" s="130">
        <v>30</v>
      </c>
      <c r="C2989" s="130" t="s">
        <v>4613</v>
      </c>
      <c r="D2989">
        <v>25290</v>
      </c>
      <c r="E2989" s="131">
        <v>73471963</v>
      </c>
      <c r="F2989" t="s">
        <v>87</v>
      </c>
      <c r="G2989">
        <v>77</v>
      </c>
      <c r="H2989" t="s">
        <v>8953</v>
      </c>
      <c r="I2989" s="130">
        <v>18</v>
      </c>
      <c r="J2989" t="s">
        <v>4613</v>
      </c>
      <c r="K2989" t="s">
        <v>95</v>
      </c>
      <c r="L2989" t="s">
        <v>243</v>
      </c>
      <c r="M2989" t="s">
        <v>103</v>
      </c>
      <c r="N2989" t="s">
        <v>152</v>
      </c>
      <c r="O2989" t="s">
        <v>1345</v>
      </c>
    </row>
    <row r="2990" spans="1:15" x14ac:dyDescent="0.3">
      <c r="A2990" s="130">
        <v>16756</v>
      </c>
      <c r="B2990" s="130">
        <v>30</v>
      </c>
      <c r="C2990" s="130" t="s">
        <v>4614</v>
      </c>
      <c r="D2990">
        <v>25297</v>
      </c>
      <c r="E2990" s="130">
        <v>1699343</v>
      </c>
      <c r="F2990" t="s">
        <v>87</v>
      </c>
      <c r="G2990">
        <v>76</v>
      </c>
      <c r="H2990" t="s">
        <v>8951</v>
      </c>
      <c r="I2990" s="130">
        <v>18</v>
      </c>
      <c r="J2990" t="s">
        <v>4614</v>
      </c>
      <c r="K2990" t="s">
        <v>108</v>
      </c>
      <c r="L2990" t="s">
        <v>123</v>
      </c>
      <c r="M2990" t="s">
        <v>103</v>
      </c>
      <c r="N2990" t="s">
        <v>98</v>
      </c>
      <c r="O2990" t="s">
        <v>1345</v>
      </c>
    </row>
    <row r="2991" spans="1:15" x14ac:dyDescent="0.3">
      <c r="A2991" s="130">
        <v>16759</v>
      </c>
      <c r="B2991" s="130">
        <v>30</v>
      </c>
      <c r="C2991" s="130" t="s">
        <v>4615</v>
      </c>
      <c r="D2991">
        <v>25301</v>
      </c>
      <c r="E2991" s="130">
        <v>1699343</v>
      </c>
      <c r="F2991" t="s">
        <v>87</v>
      </c>
      <c r="G2991">
        <v>76</v>
      </c>
      <c r="H2991" t="s">
        <v>8952</v>
      </c>
      <c r="I2991" s="131">
        <v>18</v>
      </c>
      <c r="J2991" t="s">
        <v>4615</v>
      </c>
      <c r="K2991" t="s">
        <v>108</v>
      </c>
      <c r="L2991" t="s">
        <v>123</v>
      </c>
      <c r="M2991" t="s">
        <v>103</v>
      </c>
      <c r="N2991" t="s">
        <v>98</v>
      </c>
      <c r="O2991" t="s">
        <v>1345</v>
      </c>
    </row>
    <row r="2992" spans="1:15" x14ac:dyDescent="0.3">
      <c r="A2992" s="130">
        <v>16760</v>
      </c>
      <c r="B2992" s="130">
        <v>30</v>
      </c>
      <c r="C2992" s="130" t="s">
        <v>4616</v>
      </c>
      <c r="D2992">
        <v>25302</v>
      </c>
      <c r="E2992" s="131">
        <v>1699343</v>
      </c>
      <c r="F2992" t="s">
        <v>87</v>
      </c>
      <c r="G2992">
        <v>76</v>
      </c>
      <c r="H2992" t="s">
        <v>8953</v>
      </c>
      <c r="I2992" s="130">
        <v>18</v>
      </c>
      <c r="J2992" t="s">
        <v>4616</v>
      </c>
      <c r="K2992" t="s">
        <v>108</v>
      </c>
      <c r="L2992" t="s">
        <v>123</v>
      </c>
      <c r="M2992" t="s">
        <v>103</v>
      </c>
      <c r="N2992" t="s">
        <v>98</v>
      </c>
      <c r="O2992" t="s">
        <v>116</v>
      </c>
    </row>
    <row r="2993" spans="1:15" x14ac:dyDescent="0.3">
      <c r="A2993" s="130">
        <v>16765</v>
      </c>
      <c r="B2993" s="130">
        <v>18</v>
      </c>
      <c r="C2993" s="130" t="s">
        <v>4617</v>
      </c>
      <c r="D2993">
        <v>25309</v>
      </c>
      <c r="E2993" s="130">
        <v>22451088</v>
      </c>
      <c r="F2993" t="s">
        <v>87</v>
      </c>
      <c r="G2993">
        <v>358</v>
      </c>
      <c r="H2993" t="s">
        <v>8951</v>
      </c>
      <c r="I2993" s="131">
        <v>3</v>
      </c>
      <c r="J2993" t="s">
        <v>4617</v>
      </c>
      <c r="K2993" t="s">
        <v>95</v>
      </c>
      <c r="L2993" t="s">
        <v>105</v>
      </c>
      <c r="M2993" t="s">
        <v>112</v>
      </c>
      <c r="N2993" t="s">
        <v>98</v>
      </c>
      <c r="O2993" t="s">
        <v>116</v>
      </c>
    </row>
    <row r="2994" spans="1:15" x14ac:dyDescent="0.3">
      <c r="A2994" s="130">
        <v>16769</v>
      </c>
      <c r="B2994" s="130">
        <v>45</v>
      </c>
      <c r="C2994" s="130" t="s">
        <v>4618</v>
      </c>
      <c r="D2994">
        <v>25314</v>
      </c>
      <c r="E2994" s="131">
        <v>17185786</v>
      </c>
      <c r="F2994" t="s">
        <v>87</v>
      </c>
      <c r="G2994">
        <v>358</v>
      </c>
      <c r="H2994" t="s">
        <v>8952</v>
      </c>
      <c r="I2994" s="131">
        <v>10</v>
      </c>
      <c r="J2994" t="s">
        <v>4618</v>
      </c>
      <c r="K2994" t="s">
        <v>95</v>
      </c>
      <c r="L2994" t="s">
        <v>105</v>
      </c>
      <c r="M2994" t="s">
        <v>106</v>
      </c>
      <c r="N2994" t="s">
        <v>98</v>
      </c>
      <c r="O2994" t="s">
        <v>1345</v>
      </c>
    </row>
    <row r="2995" spans="1:15" x14ac:dyDescent="0.3">
      <c r="A2995" s="130">
        <v>16770</v>
      </c>
      <c r="B2995" s="130">
        <v>30</v>
      </c>
      <c r="C2995" s="130" t="s">
        <v>4619</v>
      </c>
      <c r="D2995">
        <v>25317</v>
      </c>
      <c r="E2995" s="130">
        <v>5416618</v>
      </c>
      <c r="F2995" t="s">
        <v>87</v>
      </c>
      <c r="G2995">
        <v>76</v>
      </c>
      <c r="H2995" t="s">
        <v>8953</v>
      </c>
      <c r="I2995" s="130">
        <v>3</v>
      </c>
      <c r="J2995" t="s">
        <v>4619</v>
      </c>
      <c r="K2995" t="s">
        <v>108</v>
      </c>
      <c r="L2995" t="s">
        <v>111</v>
      </c>
      <c r="M2995" t="s">
        <v>103</v>
      </c>
      <c r="N2995" t="s">
        <v>98</v>
      </c>
      <c r="O2995" t="s">
        <v>116</v>
      </c>
    </row>
    <row r="2996" spans="1:15" x14ac:dyDescent="0.3">
      <c r="A2996" s="130">
        <v>16771</v>
      </c>
      <c r="B2996" s="130">
        <v>35</v>
      </c>
      <c r="C2996" s="130" t="s">
        <v>4620</v>
      </c>
      <c r="D2996">
        <v>25318</v>
      </c>
      <c r="E2996" s="130">
        <v>5416618</v>
      </c>
      <c r="F2996" t="s">
        <v>87</v>
      </c>
      <c r="G2996">
        <v>76</v>
      </c>
      <c r="H2996" t="s">
        <v>8951</v>
      </c>
      <c r="I2996" s="130">
        <v>3</v>
      </c>
      <c r="J2996" t="s">
        <v>4620</v>
      </c>
      <c r="K2996" t="s">
        <v>108</v>
      </c>
      <c r="L2996" t="s">
        <v>111</v>
      </c>
      <c r="M2996" t="s">
        <v>161</v>
      </c>
      <c r="N2996" t="s">
        <v>98</v>
      </c>
      <c r="O2996" t="s">
        <v>116</v>
      </c>
    </row>
    <row r="2997" spans="1:15" x14ac:dyDescent="0.3">
      <c r="A2997" s="130">
        <v>16782</v>
      </c>
      <c r="B2997" s="130" t="s">
        <v>245</v>
      </c>
      <c r="C2997" s="130" t="s">
        <v>4621</v>
      </c>
      <c r="D2997">
        <v>25326</v>
      </c>
      <c r="E2997" s="131">
        <v>17217001</v>
      </c>
      <c r="F2997" t="s">
        <v>87</v>
      </c>
      <c r="G2997">
        <v>76</v>
      </c>
      <c r="H2997" t="s">
        <v>8952</v>
      </c>
      <c r="I2997" s="130">
        <v>3</v>
      </c>
      <c r="J2997" t="s">
        <v>4621</v>
      </c>
      <c r="K2997" t="s">
        <v>95</v>
      </c>
      <c r="L2997" t="s">
        <v>102</v>
      </c>
      <c r="M2997" t="s">
        <v>245</v>
      </c>
      <c r="N2997" t="s">
        <v>152</v>
      </c>
      <c r="O2997" t="s">
        <v>116</v>
      </c>
    </row>
    <row r="2998" spans="1:15" x14ac:dyDescent="0.3">
      <c r="A2998" s="130">
        <v>16783</v>
      </c>
      <c r="B2998" s="130">
        <v>30</v>
      </c>
      <c r="C2998" s="130" t="s">
        <v>4622</v>
      </c>
      <c r="D2998">
        <v>25334</v>
      </c>
      <c r="E2998" s="130">
        <v>2415408</v>
      </c>
      <c r="F2998" t="s">
        <v>87</v>
      </c>
      <c r="G2998">
        <v>76</v>
      </c>
      <c r="H2998" t="s">
        <v>8953</v>
      </c>
      <c r="I2998" s="131">
        <v>24</v>
      </c>
      <c r="J2998" t="s">
        <v>4622</v>
      </c>
      <c r="K2998" t="s">
        <v>95</v>
      </c>
      <c r="L2998" t="s">
        <v>191</v>
      </c>
      <c r="M2998" t="s">
        <v>103</v>
      </c>
      <c r="N2998" t="s">
        <v>131</v>
      </c>
      <c r="O2998" t="s">
        <v>1345</v>
      </c>
    </row>
    <row r="2999" spans="1:15" x14ac:dyDescent="0.3">
      <c r="A2999" s="130">
        <v>16798</v>
      </c>
      <c r="B2999" s="130">
        <v>10</v>
      </c>
      <c r="C2999" s="130" t="s">
        <v>4623</v>
      </c>
      <c r="D2999">
        <v>25352</v>
      </c>
      <c r="E2999" s="130">
        <v>67844183</v>
      </c>
      <c r="F2999" t="s">
        <v>87</v>
      </c>
      <c r="G2999">
        <v>358</v>
      </c>
      <c r="H2999" t="s">
        <v>8951</v>
      </c>
      <c r="I2999" s="130">
        <v>9</v>
      </c>
      <c r="J2999" t="s">
        <v>4623</v>
      </c>
      <c r="K2999" t="s">
        <v>95</v>
      </c>
      <c r="L2999" t="s">
        <v>105</v>
      </c>
      <c r="M2999" t="s">
        <v>133</v>
      </c>
      <c r="N2999" t="s">
        <v>98</v>
      </c>
      <c r="O2999" t="s">
        <v>1345</v>
      </c>
    </row>
    <row r="3000" spans="1:15" x14ac:dyDescent="0.3">
      <c r="A3000" s="130">
        <v>16814</v>
      </c>
      <c r="B3000" s="130">
        <v>45</v>
      </c>
      <c r="C3000" s="130" t="s">
        <v>4624</v>
      </c>
      <c r="D3000">
        <v>25384</v>
      </c>
      <c r="E3000" s="130">
        <v>14721504</v>
      </c>
      <c r="F3000" t="s">
        <v>87</v>
      </c>
      <c r="G3000">
        <v>358</v>
      </c>
      <c r="H3000" t="s">
        <v>8952</v>
      </c>
      <c r="I3000" s="130">
        <v>3</v>
      </c>
      <c r="J3000" t="s">
        <v>4624</v>
      </c>
      <c r="K3000" t="s">
        <v>108</v>
      </c>
      <c r="L3000" t="s">
        <v>193</v>
      </c>
      <c r="M3000" t="s">
        <v>106</v>
      </c>
      <c r="N3000" t="s">
        <v>101</v>
      </c>
      <c r="O3000" t="s">
        <v>116</v>
      </c>
    </row>
    <row r="3001" spans="1:15" x14ac:dyDescent="0.3">
      <c r="A3001" s="130">
        <v>16818</v>
      </c>
      <c r="B3001" s="130">
        <v>30</v>
      </c>
      <c r="C3001" s="130" t="s">
        <v>4625</v>
      </c>
      <c r="D3001">
        <v>25394</v>
      </c>
      <c r="E3001" s="130">
        <v>17164435</v>
      </c>
      <c r="F3001" t="s">
        <v>87</v>
      </c>
      <c r="G3001">
        <v>76</v>
      </c>
      <c r="H3001" t="s">
        <v>8953</v>
      </c>
      <c r="I3001" s="131">
        <v>24</v>
      </c>
      <c r="J3001" t="s">
        <v>4625</v>
      </c>
      <c r="K3001" t="s">
        <v>95</v>
      </c>
      <c r="L3001" t="s">
        <v>191</v>
      </c>
      <c r="M3001" t="s">
        <v>103</v>
      </c>
      <c r="N3001" t="s">
        <v>98</v>
      </c>
      <c r="O3001" t="s">
        <v>116</v>
      </c>
    </row>
    <row r="3002" spans="1:15" x14ac:dyDescent="0.3">
      <c r="A3002" s="130">
        <v>16820</v>
      </c>
      <c r="B3002" s="130">
        <v>15</v>
      </c>
      <c r="C3002" s="130" t="s">
        <v>4626</v>
      </c>
      <c r="D3002">
        <v>25398</v>
      </c>
      <c r="E3002" s="131">
        <v>22439298</v>
      </c>
      <c r="F3002" t="s">
        <v>87</v>
      </c>
      <c r="G3002">
        <v>76</v>
      </c>
      <c r="H3002" t="s">
        <v>8951</v>
      </c>
      <c r="I3002" s="131">
        <v>24</v>
      </c>
      <c r="J3002" t="s">
        <v>4626</v>
      </c>
      <c r="K3002" t="s">
        <v>108</v>
      </c>
      <c r="L3002" t="s">
        <v>191</v>
      </c>
      <c r="M3002" t="s">
        <v>145</v>
      </c>
      <c r="N3002" t="s">
        <v>98</v>
      </c>
      <c r="O3002" t="s">
        <v>1345</v>
      </c>
    </row>
    <row r="3003" spans="1:15" x14ac:dyDescent="0.3">
      <c r="A3003" s="130">
        <v>16821</v>
      </c>
      <c r="B3003" s="130">
        <v>30</v>
      </c>
      <c r="C3003" s="130" t="s">
        <v>4627</v>
      </c>
      <c r="D3003">
        <v>25399</v>
      </c>
      <c r="E3003" s="130">
        <v>21296114</v>
      </c>
      <c r="F3003" t="s">
        <v>87</v>
      </c>
      <c r="G3003">
        <v>76</v>
      </c>
      <c r="H3003" t="s">
        <v>8952</v>
      </c>
      <c r="I3003" s="130">
        <v>3</v>
      </c>
      <c r="J3003" t="s">
        <v>4627</v>
      </c>
      <c r="K3003" t="s">
        <v>95</v>
      </c>
      <c r="L3003" t="s">
        <v>111</v>
      </c>
      <c r="M3003" t="s">
        <v>103</v>
      </c>
      <c r="N3003" t="s">
        <v>132</v>
      </c>
      <c r="O3003" t="s">
        <v>1345</v>
      </c>
    </row>
    <row r="3004" spans="1:15" x14ac:dyDescent="0.3">
      <c r="A3004" s="130">
        <v>16824</v>
      </c>
      <c r="B3004" s="130">
        <v>30</v>
      </c>
      <c r="C3004" s="130" t="s">
        <v>4628</v>
      </c>
      <c r="D3004">
        <v>25407</v>
      </c>
      <c r="E3004" s="130">
        <v>17500224</v>
      </c>
      <c r="F3004" t="s">
        <v>87</v>
      </c>
      <c r="G3004">
        <v>77</v>
      </c>
      <c r="H3004" t="s">
        <v>8953</v>
      </c>
      <c r="I3004" s="131">
        <v>3</v>
      </c>
      <c r="J3004" t="s">
        <v>4628</v>
      </c>
      <c r="K3004" t="s">
        <v>95</v>
      </c>
      <c r="L3004" t="s">
        <v>256</v>
      </c>
      <c r="M3004" t="s">
        <v>103</v>
      </c>
      <c r="N3004" t="s">
        <v>104</v>
      </c>
      <c r="O3004" t="s">
        <v>1345</v>
      </c>
    </row>
    <row r="3005" spans="1:15" x14ac:dyDescent="0.3">
      <c r="A3005" s="130">
        <v>16829</v>
      </c>
      <c r="B3005" s="130">
        <v>30</v>
      </c>
      <c r="C3005" s="130" t="s">
        <v>4629</v>
      </c>
      <c r="D3005">
        <v>25418</v>
      </c>
      <c r="E3005" s="130">
        <v>17332857</v>
      </c>
      <c r="F3005" t="s">
        <v>87</v>
      </c>
      <c r="G3005">
        <v>76</v>
      </c>
      <c r="H3005" t="s">
        <v>8951</v>
      </c>
      <c r="I3005" s="131">
        <v>3</v>
      </c>
      <c r="J3005" t="s">
        <v>4629</v>
      </c>
      <c r="K3005" t="s">
        <v>108</v>
      </c>
      <c r="L3005" t="s">
        <v>111</v>
      </c>
      <c r="M3005" t="s">
        <v>103</v>
      </c>
      <c r="N3005" t="s">
        <v>98</v>
      </c>
      <c r="O3005" t="s">
        <v>1345</v>
      </c>
    </row>
    <row r="3006" spans="1:15" x14ac:dyDescent="0.3">
      <c r="A3006" s="130">
        <v>16837</v>
      </c>
      <c r="B3006" s="130">
        <v>30</v>
      </c>
      <c r="C3006" s="130" t="s">
        <v>4630</v>
      </c>
      <c r="D3006">
        <v>24952</v>
      </c>
      <c r="E3006" s="130">
        <v>8310839</v>
      </c>
      <c r="F3006" t="s">
        <v>87</v>
      </c>
      <c r="G3006">
        <v>77</v>
      </c>
      <c r="H3006" t="s">
        <v>8952</v>
      </c>
      <c r="I3006" s="131">
        <v>18</v>
      </c>
      <c r="J3006" t="s">
        <v>4630</v>
      </c>
      <c r="K3006" t="s">
        <v>95</v>
      </c>
      <c r="L3006" t="s">
        <v>256</v>
      </c>
      <c r="M3006" t="s">
        <v>103</v>
      </c>
      <c r="N3006" t="s">
        <v>118</v>
      </c>
      <c r="O3006" t="s">
        <v>116</v>
      </c>
    </row>
    <row r="3007" spans="1:15" x14ac:dyDescent="0.3">
      <c r="A3007" s="130">
        <v>16838</v>
      </c>
      <c r="B3007" s="130">
        <v>28</v>
      </c>
      <c r="C3007" s="130" t="s">
        <v>4631</v>
      </c>
      <c r="D3007">
        <v>25430</v>
      </c>
      <c r="E3007" s="130">
        <v>5451496</v>
      </c>
      <c r="F3007" t="s">
        <v>87</v>
      </c>
      <c r="G3007">
        <v>76</v>
      </c>
      <c r="H3007" t="s">
        <v>8953</v>
      </c>
      <c r="I3007" s="130">
        <v>43</v>
      </c>
      <c r="J3007" t="s">
        <v>4631</v>
      </c>
      <c r="K3007" t="s">
        <v>108</v>
      </c>
      <c r="L3007" t="s">
        <v>173</v>
      </c>
      <c r="M3007" t="s">
        <v>130</v>
      </c>
      <c r="N3007" t="s">
        <v>101</v>
      </c>
      <c r="O3007" t="s">
        <v>1345</v>
      </c>
    </row>
    <row r="3008" spans="1:15" x14ac:dyDescent="0.3">
      <c r="A3008" s="130">
        <v>16843</v>
      </c>
      <c r="B3008" s="130" t="s">
        <v>222</v>
      </c>
      <c r="C3008" s="130" t="s">
        <v>4632</v>
      </c>
      <c r="D3008">
        <v>25025</v>
      </c>
      <c r="E3008" s="130">
        <v>20041620</v>
      </c>
      <c r="F3008" t="s">
        <v>87</v>
      </c>
      <c r="G3008">
        <v>76</v>
      </c>
      <c r="H3008" t="s">
        <v>8951</v>
      </c>
      <c r="I3008" s="131">
        <v>3</v>
      </c>
      <c r="J3008" t="s">
        <v>4632</v>
      </c>
      <c r="K3008" t="s">
        <v>95</v>
      </c>
      <c r="L3008" t="s">
        <v>102</v>
      </c>
      <c r="M3008" t="s">
        <v>223</v>
      </c>
      <c r="N3008" t="s">
        <v>152</v>
      </c>
      <c r="O3008" t="s">
        <v>116</v>
      </c>
    </row>
    <row r="3009" spans="1:15" x14ac:dyDescent="0.3">
      <c r="A3009" s="130">
        <v>16844</v>
      </c>
      <c r="B3009" s="130">
        <v>30</v>
      </c>
      <c r="C3009" s="130" t="s">
        <v>4633</v>
      </c>
      <c r="D3009">
        <v>25441</v>
      </c>
      <c r="E3009" s="130">
        <v>40003419</v>
      </c>
      <c r="F3009" t="s">
        <v>87</v>
      </c>
      <c r="G3009">
        <v>76</v>
      </c>
      <c r="H3009" t="s">
        <v>8952</v>
      </c>
      <c r="I3009" s="131">
        <v>37</v>
      </c>
      <c r="J3009" t="s">
        <v>4633</v>
      </c>
      <c r="K3009" t="s">
        <v>95</v>
      </c>
      <c r="L3009" t="s">
        <v>144</v>
      </c>
      <c r="M3009" t="s">
        <v>103</v>
      </c>
      <c r="N3009" t="s">
        <v>98</v>
      </c>
      <c r="O3009" t="s">
        <v>116</v>
      </c>
    </row>
    <row r="3010" spans="1:15" x14ac:dyDescent="0.3">
      <c r="A3010" s="130">
        <v>16845</v>
      </c>
      <c r="B3010" s="130">
        <v>45</v>
      </c>
      <c r="C3010" s="130" t="s">
        <v>4634</v>
      </c>
      <c r="D3010">
        <v>25442</v>
      </c>
      <c r="E3010" s="130">
        <v>17162983</v>
      </c>
      <c r="F3010" t="s">
        <v>87</v>
      </c>
      <c r="G3010">
        <v>76</v>
      </c>
      <c r="H3010" t="s">
        <v>8953</v>
      </c>
      <c r="I3010" s="131">
        <v>3</v>
      </c>
      <c r="J3010" t="s">
        <v>4634</v>
      </c>
      <c r="K3010" t="s">
        <v>95</v>
      </c>
      <c r="L3010" t="s">
        <v>105</v>
      </c>
      <c r="M3010" t="s">
        <v>106</v>
      </c>
      <c r="N3010" t="s">
        <v>118</v>
      </c>
      <c r="O3010" t="s">
        <v>116</v>
      </c>
    </row>
    <row r="3011" spans="1:15" x14ac:dyDescent="0.3">
      <c r="A3011" s="130">
        <v>16849</v>
      </c>
      <c r="B3011" s="130">
        <v>30</v>
      </c>
      <c r="C3011" s="130" t="s">
        <v>4635</v>
      </c>
      <c r="D3011">
        <v>25448</v>
      </c>
      <c r="E3011" s="130">
        <v>2265872</v>
      </c>
      <c r="F3011" t="s">
        <v>87</v>
      </c>
      <c r="G3011">
        <v>358</v>
      </c>
      <c r="H3011" t="s">
        <v>8951</v>
      </c>
      <c r="I3011" s="131">
        <v>3</v>
      </c>
      <c r="J3011" t="s">
        <v>4635</v>
      </c>
      <c r="K3011" t="s">
        <v>95</v>
      </c>
      <c r="L3011" t="s">
        <v>105</v>
      </c>
      <c r="M3011" t="s">
        <v>103</v>
      </c>
      <c r="N3011" t="s">
        <v>98</v>
      </c>
      <c r="O3011" t="s">
        <v>1345</v>
      </c>
    </row>
    <row r="3012" spans="1:15" x14ac:dyDescent="0.3">
      <c r="A3012" s="130">
        <v>16861</v>
      </c>
      <c r="B3012" s="130">
        <v>90</v>
      </c>
      <c r="C3012" s="130" t="s">
        <v>4636</v>
      </c>
      <c r="D3012">
        <v>25464</v>
      </c>
      <c r="E3012" s="130">
        <v>655209</v>
      </c>
      <c r="F3012" t="s">
        <v>87</v>
      </c>
      <c r="G3012">
        <v>76</v>
      </c>
      <c r="H3012" t="s">
        <v>8952</v>
      </c>
      <c r="I3012" s="130">
        <v>9</v>
      </c>
      <c r="J3012" t="s">
        <v>4636</v>
      </c>
      <c r="K3012" t="s">
        <v>95</v>
      </c>
      <c r="L3012" t="s">
        <v>181</v>
      </c>
      <c r="M3012" t="s">
        <v>170</v>
      </c>
      <c r="N3012" t="s">
        <v>114</v>
      </c>
      <c r="O3012" t="s">
        <v>116</v>
      </c>
    </row>
    <row r="3013" spans="1:15" x14ac:dyDescent="0.3">
      <c r="A3013" s="130">
        <v>16863</v>
      </c>
      <c r="B3013" s="130">
        <v>18</v>
      </c>
      <c r="C3013" s="130" t="s">
        <v>4637</v>
      </c>
      <c r="D3013">
        <v>25466</v>
      </c>
      <c r="E3013" s="131">
        <v>17168907</v>
      </c>
      <c r="F3013" t="s">
        <v>87</v>
      </c>
      <c r="G3013">
        <v>358</v>
      </c>
      <c r="H3013" t="s">
        <v>8953</v>
      </c>
      <c r="I3013" s="131">
        <v>3</v>
      </c>
      <c r="J3013" t="s">
        <v>4637</v>
      </c>
      <c r="K3013" t="s">
        <v>95</v>
      </c>
      <c r="L3013" t="s">
        <v>105</v>
      </c>
      <c r="M3013" t="s">
        <v>112</v>
      </c>
      <c r="N3013" t="s">
        <v>98</v>
      </c>
      <c r="O3013" t="s">
        <v>116</v>
      </c>
    </row>
    <row r="3014" spans="1:15" x14ac:dyDescent="0.3">
      <c r="A3014" s="130">
        <v>16882</v>
      </c>
      <c r="B3014" s="130">
        <v>10</v>
      </c>
      <c r="C3014" s="130" t="s">
        <v>4638</v>
      </c>
      <c r="D3014">
        <v>25499</v>
      </c>
      <c r="E3014" s="130">
        <v>33048240</v>
      </c>
      <c r="F3014" t="s">
        <v>87</v>
      </c>
      <c r="G3014">
        <v>76</v>
      </c>
      <c r="H3014" t="s">
        <v>8951</v>
      </c>
      <c r="I3014" s="130">
        <v>24</v>
      </c>
      <c r="J3014" t="s">
        <v>4638</v>
      </c>
      <c r="K3014" t="s">
        <v>95</v>
      </c>
      <c r="L3014" t="s">
        <v>1293</v>
      </c>
      <c r="M3014" t="s">
        <v>133</v>
      </c>
      <c r="N3014" t="s">
        <v>98</v>
      </c>
      <c r="O3014" t="s">
        <v>116</v>
      </c>
    </row>
    <row r="3015" spans="1:15" x14ac:dyDescent="0.3">
      <c r="A3015" s="130">
        <v>16885</v>
      </c>
      <c r="B3015" s="130">
        <v>10</v>
      </c>
      <c r="C3015" s="130" t="s">
        <v>4639</v>
      </c>
      <c r="D3015">
        <v>25505</v>
      </c>
      <c r="E3015" s="131">
        <v>22192546</v>
      </c>
      <c r="F3015" t="s">
        <v>87</v>
      </c>
      <c r="G3015">
        <v>358</v>
      </c>
      <c r="H3015" t="s">
        <v>8952</v>
      </c>
      <c r="I3015" s="131">
        <v>10</v>
      </c>
      <c r="J3015" t="s">
        <v>4639</v>
      </c>
      <c r="K3015" t="s">
        <v>108</v>
      </c>
      <c r="L3015" t="s">
        <v>193</v>
      </c>
      <c r="M3015" t="s">
        <v>133</v>
      </c>
      <c r="N3015" t="s">
        <v>98</v>
      </c>
      <c r="O3015" t="s">
        <v>1345</v>
      </c>
    </row>
    <row r="3016" spans="1:15" x14ac:dyDescent="0.3">
      <c r="A3016" s="130">
        <v>16888</v>
      </c>
      <c r="B3016" s="130">
        <v>30</v>
      </c>
      <c r="C3016" s="130" t="s">
        <v>4640</v>
      </c>
      <c r="D3016">
        <v>25511</v>
      </c>
      <c r="E3016" s="131">
        <v>2692797</v>
      </c>
      <c r="F3016" t="s">
        <v>87</v>
      </c>
      <c r="G3016">
        <v>76</v>
      </c>
      <c r="H3016" t="s">
        <v>8953</v>
      </c>
      <c r="I3016" s="131">
        <v>18</v>
      </c>
      <c r="J3016" t="s">
        <v>4640</v>
      </c>
      <c r="K3016" t="s">
        <v>108</v>
      </c>
      <c r="L3016" t="s">
        <v>123</v>
      </c>
      <c r="M3016" t="s">
        <v>103</v>
      </c>
      <c r="N3016" t="s">
        <v>98</v>
      </c>
      <c r="O3016" t="s">
        <v>116</v>
      </c>
    </row>
    <row r="3017" spans="1:15" x14ac:dyDescent="0.3">
      <c r="A3017" s="130">
        <v>16891</v>
      </c>
      <c r="B3017" s="130">
        <v>30</v>
      </c>
      <c r="C3017" s="130" t="s">
        <v>4641</v>
      </c>
      <c r="D3017">
        <v>25516</v>
      </c>
      <c r="E3017" s="131">
        <v>42644220</v>
      </c>
      <c r="F3017" t="s">
        <v>87</v>
      </c>
      <c r="G3017">
        <v>76</v>
      </c>
      <c r="H3017" t="s">
        <v>8951</v>
      </c>
      <c r="I3017" s="130">
        <v>18</v>
      </c>
      <c r="J3017" t="s">
        <v>4641</v>
      </c>
      <c r="K3017" t="s">
        <v>95</v>
      </c>
      <c r="L3017" t="s">
        <v>123</v>
      </c>
      <c r="M3017" t="s">
        <v>103</v>
      </c>
      <c r="N3017" t="s">
        <v>98</v>
      </c>
      <c r="O3017" t="s">
        <v>116</v>
      </c>
    </row>
    <row r="3018" spans="1:15" x14ac:dyDescent="0.3">
      <c r="A3018" s="130">
        <v>16911</v>
      </c>
      <c r="B3018" s="130">
        <v>30</v>
      </c>
      <c r="C3018" s="130" t="s">
        <v>4642</v>
      </c>
      <c r="D3018">
        <v>25552</v>
      </c>
      <c r="E3018" s="130">
        <v>35156161</v>
      </c>
      <c r="F3018" t="s">
        <v>87</v>
      </c>
      <c r="G3018">
        <v>76</v>
      </c>
      <c r="H3018" t="s">
        <v>8952</v>
      </c>
      <c r="I3018" s="130">
        <v>3</v>
      </c>
      <c r="J3018" t="s">
        <v>4642</v>
      </c>
      <c r="K3018" t="s">
        <v>108</v>
      </c>
      <c r="L3018" t="s">
        <v>111</v>
      </c>
      <c r="M3018" t="s">
        <v>103</v>
      </c>
      <c r="N3018" t="s">
        <v>118</v>
      </c>
      <c r="O3018" t="s">
        <v>116</v>
      </c>
    </row>
    <row r="3019" spans="1:15" x14ac:dyDescent="0.3">
      <c r="A3019" s="130">
        <v>16919</v>
      </c>
      <c r="B3019" s="130">
        <v>60</v>
      </c>
      <c r="C3019" s="130" t="s">
        <v>4643</v>
      </c>
      <c r="D3019">
        <v>25562</v>
      </c>
      <c r="E3019" s="130">
        <v>33592510</v>
      </c>
      <c r="F3019" t="s">
        <v>87</v>
      </c>
      <c r="G3019">
        <v>77</v>
      </c>
      <c r="H3019" t="s">
        <v>8953</v>
      </c>
      <c r="I3019" s="130">
        <v>3</v>
      </c>
      <c r="J3019" t="s">
        <v>4643</v>
      </c>
      <c r="K3019" t="s">
        <v>95</v>
      </c>
      <c r="L3019" t="s">
        <v>117</v>
      </c>
      <c r="M3019" t="s">
        <v>97</v>
      </c>
      <c r="N3019" t="s">
        <v>118</v>
      </c>
      <c r="O3019" t="s">
        <v>1345</v>
      </c>
    </row>
    <row r="3020" spans="1:15" x14ac:dyDescent="0.3">
      <c r="A3020" s="130">
        <v>16923</v>
      </c>
      <c r="B3020" s="130">
        <v>18</v>
      </c>
      <c r="C3020" s="130" t="s">
        <v>4644</v>
      </c>
      <c r="D3020">
        <v>25568</v>
      </c>
      <c r="E3020" s="130">
        <v>12063108</v>
      </c>
      <c r="F3020" t="s">
        <v>87</v>
      </c>
      <c r="G3020">
        <v>76</v>
      </c>
      <c r="H3020" t="s">
        <v>8951</v>
      </c>
      <c r="I3020" s="130">
        <v>10</v>
      </c>
      <c r="J3020" t="s">
        <v>4644</v>
      </c>
      <c r="K3020" t="s">
        <v>108</v>
      </c>
      <c r="L3020" t="s">
        <v>127</v>
      </c>
      <c r="M3020" t="s">
        <v>112</v>
      </c>
      <c r="N3020" t="s">
        <v>118</v>
      </c>
      <c r="O3020" t="s">
        <v>1345</v>
      </c>
    </row>
    <row r="3021" spans="1:15" x14ac:dyDescent="0.3">
      <c r="A3021" s="130">
        <v>16924</v>
      </c>
      <c r="B3021" s="130">
        <v>90</v>
      </c>
      <c r="C3021" s="130" t="s">
        <v>4645</v>
      </c>
      <c r="D3021">
        <v>25569</v>
      </c>
      <c r="E3021" s="131">
        <v>35234509</v>
      </c>
      <c r="F3021" t="s">
        <v>87</v>
      </c>
      <c r="G3021">
        <v>76</v>
      </c>
      <c r="H3021" t="s">
        <v>8952</v>
      </c>
      <c r="I3021" s="130">
        <v>24</v>
      </c>
      <c r="J3021" t="s">
        <v>4645</v>
      </c>
      <c r="K3021" t="s">
        <v>95</v>
      </c>
      <c r="L3021" t="s">
        <v>102</v>
      </c>
      <c r="M3021" t="s">
        <v>170</v>
      </c>
      <c r="N3021" t="s">
        <v>98</v>
      </c>
      <c r="O3021" t="s">
        <v>116</v>
      </c>
    </row>
    <row r="3022" spans="1:15" x14ac:dyDescent="0.3">
      <c r="A3022" s="130">
        <v>16925</v>
      </c>
      <c r="B3022" s="130">
        <v>10</v>
      </c>
      <c r="C3022" s="130" t="s">
        <v>4646</v>
      </c>
      <c r="D3022">
        <v>25570</v>
      </c>
      <c r="E3022" s="130">
        <v>823620</v>
      </c>
      <c r="F3022" t="s">
        <v>87</v>
      </c>
      <c r="G3022">
        <v>76</v>
      </c>
      <c r="H3022" t="s">
        <v>8953</v>
      </c>
      <c r="I3022" s="130">
        <v>3</v>
      </c>
      <c r="J3022" t="s">
        <v>4646</v>
      </c>
      <c r="K3022" t="s">
        <v>108</v>
      </c>
      <c r="L3022" t="s">
        <v>1293</v>
      </c>
      <c r="M3022" t="s">
        <v>133</v>
      </c>
      <c r="N3022" t="s">
        <v>98</v>
      </c>
      <c r="O3022" t="s">
        <v>1345</v>
      </c>
    </row>
    <row r="3023" spans="1:15" x14ac:dyDescent="0.3">
      <c r="A3023" s="130">
        <v>16928</v>
      </c>
      <c r="B3023" s="130">
        <v>30</v>
      </c>
      <c r="C3023" s="130" t="s">
        <v>4647</v>
      </c>
      <c r="D3023">
        <v>25575</v>
      </c>
      <c r="E3023" s="130">
        <v>17216052</v>
      </c>
      <c r="F3023" t="s">
        <v>87</v>
      </c>
      <c r="G3023">
        <v>76</v>
      </c>
      <c r="H3023" t="s">
        <v>8951</v>
      </c>
      <c r="I3023" s="131">
        <v>3</v>
      </c>
      <c r="J3023" t="s">
        <v>4647</v>
      </c>
      <c r="K3023" t="s">
        <v>95</v>
      </c>
      <c r="L3023" t="s">
        <v>105</v>
      </c>
      <c r="M3023" t="s">
        <v>103</v>
      </c>
      <c r="N3023" t="s">
        <v>98</v>
      </c>
      <c r="O3023" t="s">
        <v>1345</v>
      </c>
    </row>
    <row r="3024" spans="1:15" x14ac:dyDescent="0.3">
      <c r="A3024" s="130">
        <v>16932</v>
      </c>
      <c r="B3024" s="130">
        <v>30</v>
      </c>
      <c r="C3024" s="130" t="s">
        <v>4648</v>
      </c>
      <c r="D3024">
        <v>25583</v>
      </c>
      <c r="E3024" s="130">
        <v>38615333</v>
      </c>
      <c r="F3024" t="s">
        <v>87</v>
      </c>
      <c r="G3024">
        <v>76</v>
      </c>
      <c r="H3024" t="s">
        <v>8952</v>
      </c>
      <c r="I3024" s="130">
        <v>24</v>
      </c>
      <c r="J3024" t="s">
        <v>4648</v>
      </c>
      <c r="K3024" t="s">
        <v>108</v>
      </c>
      <c r="L3024" t="s">
        <v>144</v>
      </c>
      <c r="M3024" t="s">
        <v>103</v>
      </c>
      <c r="N3024" t="s">
        <v>124</v>
      </c>
      <c r="O3024" t="s">
        <v>116</v>
      </c>
    </row>
    <row r="3025" spans="1:15" x14ac:dyDescent="0.3">
      <c r="A3025" s="130">
        <v>16934</v>
      </c>
      <c r="B3025" s="130">
        <v>7</v>
      </c>
      <c r="C3025" s="130" t="s">
        <v>4649</v>
      </c>
      <c r="D3025">
        <v>25586</v>
      </c>
      <c r="E3025" s="130">
        <v>11102435</v>
      </c>
      <c r="F3025" t="s">
        <v>87</v>
      </c>
      <c r="G3025">
        <v>76</v>
      </c>
      <c r="H3025" t="s">
        <v>8953</v>
      </c>
      <c r="I3025" s="130">
        <v>37</v>
      </c>
      <c r="J3025" t="s">
        <v>4649</v>
      </c>
      <c r="K3025" t="s">
        <v>108</v>
      </c>
      <c r="L3025" t="s">
        <v>138</v>
      </c>
      <c r="M3025" t="s">
        <v>197</v>
      </c>
      <c r="N3025" t="s">
        <v>98</v>
      </c>
      <c r="O3025" t="s">
        <v>1345</v>
      </c>
    </row>
    <row r="3026" spans="1:15" x14ac:dyDescent="0.3">
      <c r="A3026" s="130">
        <v>16935</v>
      </c>
      <c r="B3026" s="131" t="s">
        <v>135</v>
      </c>
      <c r="C3026" s="130" t="s">
        <v>4650</v>
      </c>
      <c r="D3026">
        <v>25593</v>
      </c>
      <c r="E3026" s="130">
        <v>34056665</v>
      </c>
      <c r="F3026" t="s">
        <v>87</v>
      </c>
      <c r="G3026">
        <v>76</v>
      </c>
      <c r="H3026" t="s">
        <v>8951</v>
      </c>
      <c r="I3026" s="130">
        <v>37</v>
      </c>
      <c r="J3026" t="s">
        <v>4650</v>
      </c>
      <c r="K3026" t="s">
        <v>108</v>
      </c>
      <c r="L3026" t="s">
        <v>144</v>
      </c>
      <c r="M3026" t="s">
        <v>136</v>
      </c>
      <c r="N3026" t="s">
        <v>98</v>
      </c>
      <c r="O3026" t="s">
        <v>116</v>
      </c>
    </row>
    <row r="3027" spans="1:15" x14ac:dyDescent="0.3">
      <c r="A3027" s="130">
        <v>16936</v>
      </c>
      <c r="B3027" s="130">
        <v>30</v>
      </c>
      <c r="C3027" s="130" t="s">
        <v>4651</v>
      </c>
      <c r="D3027">
        <v>25594</v>
      </c>
      <c r="E3027" s="131">
        <v>12440000</v>
      </c>
      <c r="F3027" t="s">
        <v>87</v>
      </c>
      <c r="G3027">
        <v>76</v>
      </c>
      <c r="H3027" t="s">
        <v>8952</v>
      </c>
      <c r="I3027" s="131">
        <v>18</v>
      </c>
      <c r="J3027" t="s">
        <v>4651</v>
      </c>
      <c r="K3027" t="s">
        <v>108</v>
      </c>
      <c r="L3027" t="s">
        <v>123</v>
      </c>
      <c r="M3027" t="s">
        <v>103</v>
      </c>
      <c r="N3027" t="s">
        <v>98</v>
      </c>
      <c r="O3027" t="s">
        <v>116</v>
      </c>
    </row>
    <row r="3028" spans="1:15" x14ac:dyDescent="0.3">
      <c r="A3028" s="130">
        <v>16939</v>
      </c>
      <c r="B3028" s="130">
        <v>10</v>
      </c>
      <c r="C3028" s="130" t="s">
        <v>4652</v>
      </c>
      <c r="D3028">
        <v>25595</v>
      </c>
      <c r="E3028" s="130">
        <v>20346524</v>
      </c>
      <c r="F3028" t="s">
        <v>87</v>
      </c>
      <c r="G3028">
        <v>77</v>
      </c>
      <c r="H3028" t="s">
        <v>8953</v>
      </c>
      <c r="I3028" s="131">
        <v>3</v>
      </c>
      <c r="J3028" t="s">
        <v>4652</v>
      </c>
      <c r="K3028" t="s">
        <v>95</v>
      </c>
      <c r="L3028" t="s">
        <v>117</v>
      </c>
      <c r="M3028" t="s">
        <v>133</v>
      </c>
      <c r="N3028" t="s">
        <v>118</v>
      </c>
      <c r="O3028" t="s">
        <v>116</v>
      </c>
    </row>
    <row r="3029" spans="1:15" x14ac:dyDescent="0.3">
      <c r="A3029" s="130">
        <v>16942</v>
      </c>
      <c r="B3029" s="130">
        <v>15</v>
      </c>
      <c r="C3029" s="130" t="s">
        <v>4653</v>
      </c>
      <c r="D3029">
        <v>25599</v>
      </c>
      <c r="E3029" s="130">
        <v>3147393</v>
      </c>
      <c r="F3029" t="s">
        <v>87</v>
      </c>
      <c r="G3029">
        <v>76</v>
      </c>
      <c r="H3029" t="s">
        <v>8951</v>
      </c>
      <c r="I3029" s="130">
        <v>37</v>
      </c>
      <c r="J3029" t="s">
        <v>4653</v>
      </c>
      <c r="K3029" t="s">
        <v>108</v>
      </c>
      <c r="L3029" t="s">
        <v>144</v>
      </c>
      <c r="M3029" t="s">
        <v>145</v>
      </c>
      <c r="N3029" t="s">
        <v>132</v>
      </c>
      <c r="O3029" t="s">
        <v>116</v>
      </c>
    </row>
    <row r="3030" spans="1:15" x14ac:dyDescent="0.3">
      <c r="A3030" s="130">
        <v>16950</v>
      </c>
      <c r="B3030" s="130">
        <v>30</v>
      </c>
      <c r="C3030" s="130" t="s">
        <v>4654</v>
      </c>
      <c r="D3030">
        <v>25610</v>
      </c>
      <c r="E3030" s="130">
        <v>2367073</v>
      </c>
      <c r="F3030" t="s">
        <v>87</v>
      </c>
      <c r="G3030">
        <v>358</v>
      </c>
      <c r="H3030" t="s">
        <v>8952</v>
      </c>
      <c r="I3030" s="131">
        <v>3</v>
      </c>
      <c r="J3030" t="s">
        <v>4654</v>
      </c>
      <c r="K3030" t="s">
        <v>108</v>
      </c>
      <c r="L3030" t="s">
        <v>111</v>
      </c>
      <c r="M3030" t="s">
        <v>103</v>
      </c>
      <c r="N3030" t="s">
        <v>101</v>
      </c>
      <c r="O3030" t="s">
        <v>1345</v>
      </c>
    </row>
    <row r="3031" spans="1:15" x14ac:dyDescent="0.3">
      <c r="A3031" s="130">
        <v>16954</v>
      </c>
      <c r="B3031" s="130">
        <v>90</v>
      </c>
      <c r="C3031" s="130" t="s">
        <v>4655</v>
      </c>
      <c r="D3031">
        <v>25573</v>
      </c>
      <c r="E3031" s="130">
        <v>35234509</v>
      </c>
      <c r="F3031" t="s">
        <v>87</v>
      </c>
      <c r="G3031">
        <v>76</v>
      </c>
      <c r="H3031" t="s">
        <v>8953</v>
      </c>
      <c r="I3031" s="130">
        <v>24</v>
      </c>
      <c r="J3031" t="s">
        <v>4655</v>
      </c>
      <c r="K3031" t="s">
        <v>95</v>
      </c>
      <c r="L3031" t="s">
        <v>102</v>
      </c>
      <c r="M3031" t="s">
        <v>170</v>
      </c>
      <c r="N3031" t="s">
        <v>98</v>
      </c>
      <c r="O3031" t="s">
        <v>116</v>
      </c>
    </row>
    <row r="3032" spans="1:15" x14ac:dyDescent="0.3">
      <c r="A3032" s="130">
        <v>16977</v>
      </c>
      <c r="B3032" s="130">
        <v>30</v>
      </c>
      <c r="C3032" s="130" t="s">
        <v>4656</v>
      </c>
      <c r="D3032">
        <v>25648</v>
      </c>
      <c r="E3032" s="130">
        <v>19942283</v>
      </c>
      <c r="F3032" t="s">
        <v>87</v>
      </c>
      <c r="G3032">
        <v>76</v>
      </c>
      <c r="H3032" t="s">
        <v>8951</v>
      </c>
      <c r="I3032" s="131">
        <v>3</v>
      </c>
      <c r="J3032" t="s">
        <v>4656</v>
      </c>
      <c r="K3032" t="s">
        <v>95</v>
      </c>
      <c r="L3032" t="s">
        <v>111</v>
      </c>
      <c r="M3032" t="s">
        <v>103</v>
      </c>
      <c r="N3032" t="s">
        <v>98</v>
      </c>
      <c r="O3032" t="s">
        <v>116</v>
      </c>
    </row>
    <row r="3033" spans="1:15" x14ac:dyDescent="0.3">
      <c r="A3033" s="130">
        <v>16980</v>
      </c>
      <c r="B3033" s="130">
        <v>30</v>
      </c>
      <c r="C3033" s="130" t="s">
        <v>4657</v>
      </c>
      <c r="D3033">
        <v>25654</v>
      </c>
      <c r="E3033" s="130">
        <v>9247075</v>
      </c>
      <c r="F3033" t="s">
        <v>87</v>
      </c>
      <c r="G3033">
        <v>76</v>
      </c>
      <c r="H3033" t="s">
        <v>8952</v>
      </c>
      <c r="I3033" s="131">
        <v>38</v>
      </c>
      <c r="J3033" t="s">
        <v>4657</v>
      </c>
      <c r="K3033" t="s">
        <v>108</v>
      </c>
      <c r="L3033" t="s">
        <v>126</v>
      </c>
      <c r="M3033" t="s">
        <v>103</v>
      </c>
      <c r="N3033" t="s">
        <v>98</v>
      </c>
      <c r="O3033" t="s">
        <v>1345</v>
      </c>
    </row>
    <row r="3034" spans="1:15" x14ac:dyDescent="0.3">
      <c r="A3034" s="130">
        <v>16984</v>
      </c>
      <c r="B3034" s="131">
        <v>18</v>
      </c>
      <c r="C3034" s="130" t="s">
        <v>4658</v>
      </c>
      <c r="D3034">
        <v>25659</v>
      </c>
      <c r="E3034" s="130">
        <v>5381814</v>
      </c>
      <c r="F3034" t="s">
        <v>113</v>
      </c>
      <c r="G3034">
        <v>76</v>
      </c>
      <c r="H3034" t="s">
        <v>8953</v>
      </c>
      <c r="I3034" s="130">
        <v>9</v>
      </c>
      <c r="J3034" t="s">
        <v>4658</v>
      </c>
      <c r="K3034" t="s">
        <v>95</v>
      </c>
      <c r="L3034" t="s">
        <v>1298</v>
      </c>
      <c r="M3034" t="s">
        <v>112</v>
      </c>
      <c r="N3034" t="s">
        <v>98</v>
      </c>
      <c r="O3034" t="s">
        <v>1256</v>
      </c>
    </row>
    <row r="3035" spans="1:15" x14ac:dyDescent="0.3">
      <c r="A3035" s="130">
        <v>16998</v>
      </c>
      <c r="B3035" s="130">
        <v>10</v>
      </c>
      <c r="C3035" s="130" t="s">
        <v>4659</v>
      </c>
      <c r="D3035">
        <v>25485</v>
      </c>
      <c r="E3035" s="130">
        <v>969103</v>
      </c>
      <c r="F3035" t="s">
        <v>87</v>
      </c>
      <c r="G3035">
        <v>76</v>
      </c>
      <c r="H3035" t="s">
        <v>8951</v>
      </c>
      <c r="I3035" s="130">
        <v>3</v>
      </c>
      <c r="J3035" t="s">
        <v>4659</v>
      </c>
      <c r="K3035" t="s">
        <v>95</v>
      </c>
      <c r="L3035" t="s">
        <v>1293</v>
      </c>
      <c r="M3035" t="s">
        <v>133</v>
      </c>
      <c r="N3035" t="s">
        <v>98</v>
      </c>
      <c r="O3035" t="s">
        <v>1345</v>
      </c>
    </row>
    <row r="3036" spans="1:15" x14ac:dyDescent="0.3">
      <c r="A3036" s="130">
        <v>17009</v>
      </c>
      <c r="B3036" s="130">
        <v>30</v>
      </c>
      <c r="C3036" s="130" t="s">
        <v>4660</v>
      </c>
      <c r="D3036">
        <v>25694</v>
      </c>
      <c r="E3036" s="130">
        <v>22891745</v>
      </c>
      <c r="F3036" t="s">
        <v>87</v>
      </c>
      <c r="G3036">
        <v>76</v>
      </c>
      <c r="H3036" t="s">
        <v>8952</v>
      </c>
      <c r="I3036" s="130">
        <v>18</v>
      </c>
      <c r="J3036" t="s">
        <v>4660</v>
      </c>
      <c r="K3036" t="s">
        <v>108</v>
      </c>
      <c r="L3036" t="s">
        <v>123</v>
      </c>
      <c r="M3036" t="s">
        <v>103</v>
      </c>
      <c r="N3036" t="s">
        <v>98</v>
      </c>
      <c r="O3036" t="s">
        <v>116</v>
      </c>
    </row>
    <row r="3037" spans="1:15" x14ac:dyDescent="0.3">
      <c r="A3037" s="130">
        <v>17010</v>
      </c>
      <c r="B3037" s="130">
        <v>30</v>
      </c>
      <c r="C3037" s="130" t="s">
        <v>4661</v>
      </c>
      <c r="D3037">
        <v>25696</v>
      </c>
      <c r="E3037" s="131">
        <v>22891745</v>
      </c>
      <c r="F3037" t="s">
        <v>87</v>
      </c>
      <c r="G3037">
        <v>76</v>
      </c>
      <c r="H3037" t="s">
        <v>8953</v>
      </c>
      <c r="I3037" s="130">
        <v>18</v>
      </c>
      <c r="J3037" t="s">
        <v>4661</v>
      </c>
      <c r="K3037" t="s">
        <v>108</v>
      </c>
      <c r="L3037" t="s">
        <v>123</v>
      </c>
      <c r="M3037" t="s">
        <v>103</v>
      </c>
      <c r="N3037" t="s">
        <v>98</v>
      </c>
      <c r="O3037" t="s">
        <v>116</v>
      </c>
    </row>
    <row r="3038" spans="1:15" x14ac:dyDescent="0.3">
      <c r="A3038" s="130">
        <v>17047</v>
      </c>
      <c r="B3038" s="130">
        <v>18</v>
      </c>
      <c r="C3038" s="130" t="s">
        <v>4662</v>
      </c>
      <c r="D3038">
        <v>25755</v>
      </c>
      <c r="E3038" s="130">
        <v>5160695</v>
      </c>
      <c r="F3038" t="s">
        <v>87</v>
      </c>
      <c r="G3038">
        <v>76</v>
      </c>
      <c r="H3038" t="s">
        <v>8951</v>
      </c>
      <c r="I3038" s="130">
        <v>9</v>
      </c>
      <c r="J3038" t="s">
        <v>4662</v>
      </c>
      <c r="K3038" t="s">
        <v>108</v>
      </c>
      <c r="L3038" t="s">
        <v>163</v>
      </c>
      <c r="M3038" t="s">
        <v>112</v>
      </c>
      <c r="N3038" t="s">
        <v>114</v>
      </c>
      <c r="O3038" t="s">
        <v>116</v>
      </c>
    </row>
    <row r="3039" spans="1:15" x14ac:dyDescent="0.3">
      <c r="A3039" s="130">
        <v>17067</v>
      </c>
      <c r="B3039" s="130">
        <v>30</v>
      </c>
      <c r="C3039" s="130" t="s">
        <v>4663</v>
      </c>
      <c r="D3039">
        <v>25787</v>
      </c>
      <c r="E3039" s="130">
        <v>17161464</v>
      </c>
      <c r="F3039" t="s">
        <v>87</v>
      </c>
      <c r="G3039">
        <v>358</v>
      </c>
      <c r="H3039" t="s">
        <v>8952</v>
      </c>
      <c r="I3039" s="130">
        <v>3</v>
      </c>
      <c r="J3039" t="s">
        <v>4663</v>
      </c>
      <c r="K3039" t="s">
        <v>95</v>
      </c>
      <c r="L3039" t="s">
        <v>105</v>
      </c>
      <c r="M3039" t="s">
        <v>103</v>
      </c>
      <c r="N3039" t="s">
        <v>98</v>
      </c>
      <c r="O3039" t="s">
        <v>1345</v>
      </c>
    </row>
    <row r="3040" spans="1:15" x14ac:dyDescent="0.3">
      <c r="A3040" s="130">
        <v>17068</v>
      </c>
      <c r="B3040" s="130">
        <v>10</v>
      </c>
      <c r="C3040" s="130" t="s">
        <v>4664</v>
      </c>
      <c r="D3040">
        <v>25785</v>
      </c>
      <c r="E3040" s="130">
        <v>26389015</v>
      </c>
      <c r="F3040" t="s">
        <v>87</v>
      </c>
      <c r="G3040">
        <v>76</v>
      </c>
      <c r="H3040" t="s">
        <v>8953</v>
      </c>
      <c r="I3040" s="131">
        <v>3</v>
      </c>
      <c r="J3040" t="s">
        <v>4664</v>
      </c>
      <c r="K3040" t="s">
        <v>108</v>
      </c>
      <c r="L3040" t="s">
        <v>1293</v>
      </c>
      <c r="M3040" t="s">
        <v>133</v>
      </c>
      <c r="N3040" t="s">
        <v>98</v>
      </c>
      <c r="O3040" t="s">
        <v>116</v>
      </c>
    </row>
    <row r="3041" spans="1:15" x14ac:dyDescent="0.3">
      <c r="A3041" s="130">
        <v>17069</v>
      </c>
      <c r="B3041" s="130" t="s">
        <v>1271</v>
      </c>
      <c r="C3041" s="130" t="s">
        <v>4665</v>
      </c>
      <c r="D3041">
        <v>25788</v>
      </c>
      <c r="E3041" s="130">
        <v>3643856</v>
      </c>
      <c r="F3041" t="s">
        <v>87</v>
      </c>
      <c r="G3041">
        <v>77</v>
      </c>
      <c r="H3041" t="s">
        <v>8951</v>
      </c>
      <c r="I3041" s="130">
        <v>28</v>
      </c>
      <c r="J3041" t="s">
        <v>4665</v>
      </c>
      <c r="K3041" t="s">
        <v>95</v>
      </c>
      <c r="L3041" t="s">
        <v>243</v>
      </c>
      <c r="M3041" t="s">
        <v>1271</v>
      </c>
      <c r="N3041" t="s">
        <v>162</v>
      </c>
      <c r="O3041" t="s">
        <v>1256</v>
      </c>
    </row>
    <row r="3042" spans="1:15" x14ac:dyDescent="0.3">
      <c r="A3042" s="130">
        <v>17076</v>
      </c>
      <c r="B3042" s="130">
        <v>15</v>
      </c>
      <c r="C3042" s="130" t="s">
        <v>4666</v>
      </c>
      <c r="D3042">
        <v>25800</v>
      </c>
      <c r="E3042" s="131">
        <v>21706811</v>
      </c>
      <c r="F3042" t="s">
        <v>87</v>
      </c>
      <c r="G3042">
        <v>76</v>
      </c>
      <c r="H3042" t="s">
        <v>8952</v>
      </c>
      <c r="I3042" s="131">
        <v>19</v>
      </c>
      <c r="J3042" t="s">
        <v>4666</v>
      </c>
      <c r="K3042" t="s">
        <v>108</v>
      </c>
      <c r="L3042" t="s">
        <v>146</v>
      </c>
      <c r="M3042" t="s">
        <v>145</v>
      </c>
      <c r="N3042" t="s">
        <v>98</v>
      </c>
      <c r="O3042" t="s">
        <v>1345</v>
      </c>
    </row>
    <row r="3043" spans="1:15" x14ac:dyDescent="0.3">
      <c r="A3043" s="130">
        <v>17078</v>
      </c>
      <c r="B3043" s="130">
        <v>30</v>
      </c>
      <c r="C3043" s="130" t="s">
        <v>4667</v>
      </c>
      <c r="D3043">
        <v>25801</v>
      </c>
      <c r="E3043" s="131">
        <v>3725445</v>
      </c>
      <c r="F3043" t="s">
        <v>87</v>
      </c>
      <c r="G3043">
        <v>358</v>
      </c>
      <c r="H3043" t="s">
        <v>8953</v>
      </c>
      <c r="I3043" s="130">
        <v>3</v>
      </c>
      <c r="J3043" t="s">
        <v>4667</v>
      </c>
      <c r="K3043" t="s">
        <v>108</v>
      </c>
      <c r="L3043" t="s">
        <v>111</v>
      </c>
      <c r="M3043" t="s">
        <v>103</v>
      </c>
      <c r="N3043" t="s">
        <v>98</v>
      </c>
      <c r="O3043" t="s">
        <v>116</v>
      </c>
    </row>
    <row r="3044" spans="1:15" x14ac:dyDescent="0.3">
      <c r="A3044" s="130">
        <v>17093</v>
      </c>
      <c r="B3044" s="130">
        <v>60</v>
      </c>
      <c r="C3044" s="130" t="s">
        <v>4668</v>
      </c>
      <c r="D3044">
        <v>25822</v>
      </c>
      <c r="E3044" s="130">
        <v>33592510</v>
      </c>
      <c r="F3044" t="s">
        <v>87</v>
      </c>
      <c r="G3044">
        <v>77</v>
      </c>
      <c r="H3044" t="s">
        <v>8951</v>
      </c>
      <c r="I3044" s="130">
        <v>10</v>
      </c>
      <c r="J3044" t="s">
        <v>4668</v>
      </c>
      <c r="K3044" t="s">
        <v>95</v>
      </c>
      <c r="L3044" t="s">
        <v>117</v>
      </c>
      <c r="M3044" t="s">
        <v>97</v>
      </c>
      <c r="N3044" t="s">
        <v>118</v>
      </c>
      <c r="O3044" t="s">
        <v>116</v>
      </c>
    </row>
    <row r="3045" spans="1:15" x14ac:dyDescent="0.3">
      <c r="A3045" s="130">
        <v>17102</v>
      </c>
      <c r="B3045" s="130">
        <v>10</v>
      </c>
      <c r="C3045" s="130" t="s">
        <v>4669</v>
      </c>
      <c r="D3045">
        <v>25833</v>
      </c>
      <c r="E3045" s="130">
        <v>23472828</v>
      </c>
      <c r="F3045" t="s">
        <v>87</v>
      </c>
      <c r="G3045">
        <v>358</v>
      </c>
      <c r="H3045" t="s">
        <v>8952</v>
      </c>
      <c r="I3045" s="131">
        <v>3</v>
      </c>
      <c r="J3045" t="s">
        <v>4669</v>
      </c>
      <c r="K3045" t="s">
        <v>108</v>
      </c>
      <c r="L3045" t="s">
        <v>193</v>
      </c>
      <c r="M3045" t="s">
        <v>133</v>
      </c>
      <c r="N3045" t="s">
        <v>98</v>
      </c>
      <c r="O3045" t="s">
        <v>1345</v>
      </c>
    </row>
    <row r="3046" spans="1:15" x14ac:dyDescent="0.3">
      <c r="A3046" s="130">
        <v>17106</v>
      </c>
      <c r="B3046" s="130">
        <v>45</v>
      </c>
      <c r="C3046" s="130" t="s">
        <v>4670</v>
      </c>
      <c r="D3046">
        <v>25841</v>
      </c>
      <c r="E3046" s="130">
        <v>3007331</v>
      </c>
      <c r="F3046" t="s">
        <v>87</v>
      </c>
      <c r="G3046">
        <v>76</v>
      </c>
      <c r="H3046" t="s">
        <v>8953</v>
      </c>
      <c r="I3046" s="131">
        <v>18</v>
      </c>
      <c r="J3046" t="s">
        <v>4670</v>
      </c>
      <c r="K3046" t="s">
        <v>108</v>
      </c>
      <c r="L3046" t="s">
        <v>123</v>
      </c>
      <c r="M3046" t="s">
        <v>106</v>
      </c>
      <c r="N3046" t="s">
        <v>101</v>
      </c>
      <c r="O3046" t="s">
        <v>116</v>
      </c>
    </row>
    <row r="3047" spans="1:15" x14ac:dyDescent="0.3">
      <c r="A3047" s="130">
        <v>17110</v>
      </c>
      <c r="B3047" s="130">
        <v>18</v>
      </c>
      <c r="C3047" s="130" t="s">
        <v>4671</v>
      </c>
      <c r="D3047">
        <v>25847</v>
      </c>
      <c r="E3047" s="130">
        <v>20098146</v>
      </c>
      <c r="F3047" t="s">
        <v>87</v>
      </c>
      <c r="G3047">
        <v>76</v>
      </c>
      <c r="H3047" t="s">
        <v>8951</v>
      </c>
      <c r="I3047" s="130">
        <v>9</v>
      </c>
      <c r="J3047" t="s">
        <v>4671</v>
      </c>
      <c r="K3047" t="s">
        <v>108</v>
      </c>
      <c r="L3047" t="s">
        <v>163</v>
      </c>
      <c r="M3047" t="s">
        <v>112</v>
      </c>
      <c r="N3047" t="s">
        <v>114</v>
      </c>
      <c r="O3047" t="s">
        <v>1345</v>
      </c>
    </row>
    <row r="3048" spans="1:15" x14ac:dyDescent="0.3">
      <c r="A3048" s="130">
        <v>17111</v>
      </c>
      <c r="B3048" s="130">
        <v>30</v>
      </c>
      <c r="C3048" s="130" t="s">
        <v>4672</v>
      </c>
      <c r="D3048">
        <v>25772</v>
      </c>
      <c r="E3048" s="130">
        <v>41163427</v>
      </c>
      <c r="F3048" t="s">
        <v>87</v>
      </c>
      <c r="G3048">
        <v>77</v>
      </c>
      <c r="H3048" t="s">
        <v>8952</v>
      </c>
      <c r="I3048" s="130">
        <v>3</v>
      </c>
      <c r="J3048" t="s">
        <v>4672</v>
      </c>
      <c r="K3048" t="s">
        <v>95</v>
      </c>
      <c r="L3048" t="s">
        <v>256</v>
      </c>
      <c r="M3048" t="s">
        <v>103</v>
      </c>
      <c r="N3048" t="s">
        <v>98</v>
      </c>
      <c r="O3048" t="s">
        <v>116</v>
      </c>
    </row>
    <row r="3049" spans="1:15" x14ac:dyDescent="0.3">
      <c r="A3049" s="130">
        <v>17116</v>
      </c>
      <c r="B3049" s="130">
        <v>10</v>
      </c>
      <c r="C3049" s="130" t="s">
        <v>4673</v>
      </c>
      <c r="D3049">
        <v>25861</v>
      </c>
      <c r="E3049" s="130">
        <v>5333717</v>
      </c>
      <c r="F3049" t="s">
        <v>87</v>
      </c>
      <c r="G3049">
        <v>76</v>
      </c>
      <c r="H3049" t="s">
        <v>8953</v>
      </c>
      <c r="I3049" s="131">
        <v>3</v>
      </c>
      <c r="J3049" t="s">
        <v>4673</v>
      </c>
      <c r="K3049" t="s">
        <v>108</v>
      </c>
      <c r="L3049" t="s">
        <v>1293</v>
      </c>
      <c r="M3049" t="s">
        <v>133</v>
      </c>
      <c r="N3049" t="s">
        <v>101</v>
      </c>
      <c r="O3049" t="s">
        <v>1345</v>
      </c>
    </row>
    <row r="3050" spans="1:15" x14ac:dyDescent="0.3">
      <c r="A3050" s="130">
        <v>17119</v>
      </c>
      <c r="B3050" s="130">
        <v>30</v>
      </c>
      <c r="C3050" s="130" t="s">
        <v>4674</v>
      </c>
      <c r="D3050">
        <v>25865</v>
      </c>
      <c r="E3050" s="130">
        <v>8807683</v>
      </c>
      <c r="F3050" t="s">
        <v>87</v>
      </c>
      <c r="G3050">
        <v>76</v>
      </c>
      <c r="H3050" t="s">
        <v>8951</v>
      </c>
      <c r="I3050" s="130">
        <v>26</v>
      </c>
      <c r="J3050" t="s">
        <v>4674</v>
      </c>
      <c r="K3050" t="s">
        <v>95</v>
      </c>
      <c r="L3050" t="s">
        <v>151</v>
      </c>
      <c r="M3050" t="s">
        <v>103</v>
      </c>
      <c r="N3050" t="s">
        <v>118</v>
      </c>
      <c r="O3050" t="s">
        <v>1345</v>
      </c>
    </row>
    <row r="3051" spans="1:15" x14ac:dyDescent="0.3">
      <c r="A3051" s="130">
        <v>17120</v>
      </c>
      <c r="B3051" s="130">
        <v>28</v>
      </c>
      <c r="C3051" s="130" t="s">
        <v>4675</v>
      </c>
      <c r="D3051">
        <v>25867</v>
      </c>
      <c r="E3051" s="130">
        <v>9625762</v>
      </c>
      <c r="F3051" t="s">
        <v>87</v>
      </c>
      <c r="G3051">
        <v>76</v>
      </c>
      <c r="H3051" t="s">
        <v>8952</v>
      </c>
      <c r="I3051" s="130">
        <v>43</v>
      </c>
      <c r="J3051" t="s">
        <v>4675</v>
      </c>
      <c r="K3051" t="s">
        <v>95</v>
      </c>
      <c r="L3051" t="s">
        <v>173</v>
      </c>
      <c r="M3051" t="s">
        <v>130</v>
      </c>
      <c r="N3051" t="s">
        <v>150</v>
      </c>
      <c r="O3051" t="s">
        <v>1345</v>
      </c>
    </row>
    <row r="3052" spans="1:15" x14ac:dyDescent="0.3">
      <c r="A3052" s="130">
        <v>17129</v>
      </c>
      <c r="B3052" s="130" t="s">
        <v>201</v>
      </c>
      <c r="C3052" s="130" t="s">
        <v>4676</v>
      </c>
      <c r="D3052">
        <v>25879</v>
      </c>
      <c r="E3052" s="130">
        <v>6880609</v>
      </c>
      <c r="F3052" t="s">
        <v>87</v>
      </c>
      <c r="G3052">
        <v>358</v>
      </c>
      <c r="H3052" t="s">
        <v>8953</v>
      </c>
      <c r="I3052" s="131">
        <v>9</v>
      </c>
      <c r="J3052" t="s">
        <v>4676</v>
      </c>
      <c r="K3052" t="s">
        <v>95</v>
      </c>
      <c r="L3052" t="s">
        <v>105</v>
      </c>
      <c r="M3052" t="s">
        <v>201</v>
      </c>
      <c r="N3052" t="s">
        <v>98</v>
      </c>
      <c r="O3052" t="s">
        <v>116</v>
      </c>
    </row>
    <row r="3053" spans="1:15" x14ac:dyDescent="0.3">
      <c r="A3053" s="130">
        <v>17133</v>
      </c>
      <c r="B3053" s="130">
        <v>10</v>
      </c>
      <c r="C3053" s="130" t="s">
        <v>4677</v>
      </c>
      <c r="D3053">
        <v>25886</v>
      </c>
      <c r="E3053" s="130">
        <v>9143441</v>
      </c>
      <c r="F3053" t="s">
        <v>87</v>
      </c>
      <c r="G3053">
        <v>76</v>
      </c>
      <c r="H3053" t="s">
        <v>8951</v>
      </c>
      <c r="I3053" s="130">
        <v>24</v>
      </c>
      <c r="J3053" t="s">
        <v>4677</v>
      </c>
      <c r="K3053" t="s">
        <v>108</v>
      </c>
      <c r="L3053" t="s">
        <v>191</v>
      </c>
      <c r="M3053" t="s">
        <v>133</v>
      </c>
      <c r="N3053" t="s">
        <v>98</v>
      </c>
      <c r="O3053" t="s">
        <v>1345</v>
      </c>
    </row>
    <row r="3054" spans="1:15" x14ac:dyDescent="0.3">
      <c r="A3054" s="130">
        <v>17135</v>
      </c>
      <c r="B3054" s="130">
        <v>30</v>
      </c>
      <c r="C3054" s="130" t="s">
        <v>4678</v>
      </c>
      <c r="D3054">
        <v>25888</v>
      </c>
      <c r="E3054" s="130">
        <v>34562112</v>
      </c>
      <c r="F3054" t="s">
        <v>87</v>
      </c>
      <c r="G3054">
        <v>76</v>
      </c>
      <c r="H3054" t="s">
        <v>8952</v>
      </c>
      <c r="I3054" s="131">
        <v>24</v>
      </c>
      <c r="J3054" t="s">
        <v>4678</v>
      </c>
      <c r="K3054" t="s">
        <v>95</v>
      </c>
      <c r="L3054" t="s">
        <v>191</v>
      </c>
      <c r="M3054" t="s">
        <v>103</v>
      </c>
      <c r="N3054" t="s">
        <v>98</v>
      </c>
      <c r="O3054" t="s">
        <v>116</v>
      </c>
    </row>
    <row r="3055" spans="1:15" x14ac:dyDescent="0.3">
      <c r="A3055" s="130">
        <v>17146</v>
      </c>
      <c r="B3055" s="130">
        <v>30</v>
      </c>
      <c r="C3055" s="130" t="s">
        <v>4679</v>
      </c>
      <c r="D3055">
        <v>25906</v>
      </c>
      <c r="E3055" s="130">
        <v>5476099</v>
      </c>
      <c r="F3055" t="s">
        <v>87</v>
      </c>
      <c r="G3055">
        <v>76</v>
      </c>
      <c r="H3055" t="s">
        <v>8953</v>
      </c>
      <c r="I3055" s="131">
        <v>3</v>
      </c>
      <c r="J3055" t="s">
        <v>4679</v>
      </c>
      <c r="K3055" t="s">
        <v>108</v>
      </c>
      <c r="L3055" t="s">
        <v>111</v>
      </c>
      <c r="M3055" t="s">
        <v>103</v>
      </c>
      <c r="N3055" t="s">
        <v>98</v>
      </c>
      <c r="O3055" t="s">
        <v>116</v>
      </c>
    </row>
    <row r="3056" spans="1:15" x14ac:dyDescent="0.3">
      <c r="A3056" s="130">
        <v>17148</v>
      </c>
      <c r="B3056" s="130">
        <v>90</v>
      </c>
      <c r="C3056" s="130" t="s">
        <v>4680</v>
      </c>
      <c r="D3056">
        <v>25909</v>
      </c>
      <c r="E3056" s="131">
        <v>35234509</v>
      </c>
      <c r="F3056" t="s">
        <v>87</v>
      </c>
      <c r="G3056">
        <v>76</v>
      </c>
      <c r="H3056" t="s">
        <v>8951</v>
      </c>
      <c r="I3056" s="130">
        <v>24</v>
      </c>
      <c r="J3056" t="s">
        <v>4680</v>
      </c>
      <c r="K3056" t="s">
        <v>95</v>
      </c>
      <c r="L3056" t="s">
        <v>102</v>
      </c>
      <c r="M3056" t="s">
        <v>170</v>
      </c>
      <c r="N3056" t="s">
        <v>98</v>
      </c>
      <c r="O3056" t="s">
        <v>116</v>
      </c>
    </row>
    <row r="3057" spans="1:15" x14ac:dyDescent="0.3">
      <c r="A3057" s="130">
        <v>17150</v>
      </c>
      <c r="B3057" s="130">
        <v>30</v>
      </c>
      <c r="C3057" s="130" t="s">
        <v>4681</v>
      </c>
      <c r="D3057">
        <v>25910</v>
      </c>
      <c r="E3057" s="130">
        <v>40188327</v>
      </c>
      <c r="F3057" t="s">
        <v>113</v>
      </c>
      <c r="G3057">
        <v>77</v>
      </c>
      <c r="H3057" t="s">
        <v>8952</v>
      </c>
      <c r="I3057" s="130">
        <v>24</v>
      </c>
      <c r="J3057" t="s">
        <v>4681</v>
      </c>
      <c r="K3057" t="s">
        <v>95</v>
      </c>
      <c r="L3057" t="s">
        <v>117</v>
      </c>
      <c r="M3057" t="s">
        <v>103</v>
      </c>
      <c r="N3057" t="s">
        <v>131</v>
      </c>
      <c r="O3057" t="s">
        <v>1256</v>
      </c>
    </row>
    <row r="3058" spans="1:15" x14ac:dyDescent="0.3">
      <c r="A3058" s="130">
        <v>17154</v>
      </c>
      <c r="B3058" s="130">
        <v>-1</v>
      </c>
      <c r="C3058" s="130" t="s">
        <v>4682</v>
      </c>
      <c r="D3058">
        <v>25918</v>
      </c>
      <c r="E3058" s="131">
        <v>12216526</v>
      </c>
      <c r="F3058" t="s">
        <v>87</v>
      </c>
      <c r="G3058">
        <v>76</v>
      </c>
      <c r="H3058" t="s">
        <v>8953</v>
      </c>
      <c r="I3058" s="131">
        <v>10</v>
      </c>
      <c r="J3058" t="s">
        <v>4682</v>
      </c>
      <c r="K3058" t="s">
        <v>95</v>
      </c>
      <c r="L3058" t="s">
        <v>127</v>
      </c>
      <c r="M3058" t="s">
        <v>174</v>
      </c>
      <c r="N3058" t="s">
        <v>98</v>
      </c>
      <c r="O3058" t="s">
        <v>1345</v>
      </c>
    </row>
    <row r="3059" spans="1:15" x14ac:dyDescent="0.3">
      <c r="A3059" s="130">
        <v>17157</v>
      </c>
      <c r="B3059" s="130">
        <v>15</v>
      </c>
      <c r="C3059" s="130" t="s">
        <v>4683</v>
      </c>
      <c r="D3059">
        <v>25920</v>
      </c>
      <c r="E3059" s="130">
        <v>22694325</v>
      </c>
      <c r="F3059" t="s">
        <v>87</v>
      </c>
      <c r="G3059">
        <v>76</v>
      </c>
      <c r="H3059" t="s">
        <v>8951</v>
      </c>
      <c r="I3059" s="131">
        <v>24</v>
      </c>
      <c r="J3059" t="s">
        <v>4683</v>
      </c>
      <c r="K3059" t="s">
        <v>108</v>
      </c>
      <c r="L3059" t="s">
        <v>191</v>
      </c>
      <c r="M3059" t="s">
        <v>145</v>
      </c>
      <c r="N3059" t="s">
        <v>98</v>
      </c>
      <c r="O3059" t="s">
        <v>1345</v>
      </c>
    </row>
    <row r="3060" spans="1:15" x14ac:dyDescent="0.3">
      <c r="A3060" s="130">
        <v>17159</v>
      </c>
      <c r="B3060" s="130">
        <v>28</v>
      </c>
      <c r="C3060" s="130" t="s">
        <v>4684</v>
      </c>
      <c r="D3060">
        <v>25926</v>
      </c>
      <c r="E3060" s="130">
        <v>48510185</v>
      </c>
      <c r="F3060" t="s">
        <v>87</v>
      </c>
      <c r="G3060">
        <v>76</v>
      </c>
      <c r="H3060" t="s">
        <v>8952</v>
      </c>
      <c r="I3060" s="131">
        <v>3</v>
      </c>
      <c r="J3060" t="s">
        <v>4684</v>
      </c>
      <c r="K3060" t="s">
        <v>108</v>
      </c>
      <c r="L3060" t="s">
        <v>1293</v>
      </c>
      <c r="M3060" t="s">
        <v>130</v>
      </c>
      <c r="N3060" t="s">
        <v>98</v>
      </c>
      <c r="O3060" t="s">
        <v>1345</v>
      </c>
    </row>
    <row r="3061" spans="1:15" x14ac:dyDescent="0.3">
      <c r="A3061" s="130">
        <v>17167</v>
      </c>
      <c r="B3061" s="130">
        <v>10</v>
      </c>
      <c r="C3061" s="130" t="s">
        <v>4685</v>
      </c>
      <c r="D3061">
        <v>25934</v>
      </c>
      <c r="E3061" s="131">
        <v>7376851</v>
      </c>
      <c r="F3061" t="s">
        <v>87</v>
      </c>
      <c r="G3061">
        <v>76</v>
      </c>
      <c r="H3061" t="s">
        <v>8953</v>
      </c>
      <c r="I3061" s="130">
        <v>37</v>
      </c>
      <c r="J3061" t="s">
        <v>4685</v>
      </c>
      <c r="K3061" t="s">
        <v>108</v>
      </c>
      <c r="L3061" t="s">
        <v>138</v>
      </c>
      <c r="M3061" t="s">
        <v>133</v>
      </c>
      <c r="N3061" t="s">
        <v>98</v>
      </c>
      <c r="O3061" t="s">
        <v>1345</v>
      </c>
    </row>
    <row r="3062" spans="1:15" x14ac:dyDescent="0.3">
      <c r="A3062" s="130">
        <v>17171</v>
      </c>
      <c r="B3062" s="130">
        <v>28</v>
      </c>
      <c r="C3062" s="130" t="s">
        <v>4686</v>
      </c>
      <c r="D3062">
        <v>25942</v>
      </c>
      <c r="E3062" s="130">
        <v>19894985</v>
      </c>
      <c r="F3062" t="s">
        <v>87</v>
      </c>
      <c r="G3062">
        <v>76</v>
      </c>
      <c r="H3062" t="s">
        <v>8951</v>
      </c>
      <c r="I3062" s="131">
        <v>43</v>
      </c>
      <c r="J3062" t="s">
        <v>4686</v>
      </c>
      <c r="K3062" t="s">
        <v>95</v>
      </c>
      <c r="L3062" t="s">
        <v>146</v>
      </c>
      <c r="M3062" t="s">
        <v>130</v>
      </c>
      <c r="N3062" t="s">
        <v>98</v>
      </c>
      <c r="O3062" t="s">
        <v>116</v>
      </c>
    </row>
    <row r="3063" spans="1:15" x14ac:dyDescent="0.3">
      <c r="A3063" s="130">
        <v>17172</v>
      </c>
      <c r="B3063" s="130">
        <v>30</v>
      </c>
      <c r="C3063" s="130" t="s">
        <v>4687</v>
      </c>
      <c r="D3063">
        <v>25945</v>
      </c>
      <c r="E3063" s="130">
        <v>15563826</v>
      </c>
      <c r="F3063" t="s">
        <v>87</v>
      </c>
      <c r="G3063">
        <v>76</v>
      </c>
      <c r="H3063" t="s">
        <v>8952</v>
      </c>
      <c r="I3063" s="130">
        <v>18</v>
      </c>
      <c r="J3063" t="s">
        <v>4687</v>
      </c>
      <c r="K3063" t="s">
        <v>95</v>
      </c>
      <c r="L3063" t="s">
        <v>123</v>
      </c>
      <c r="M3063" t="s">
        <v>103</v>
      </c>
      <c r="N3063" t="s">
        <v>98</v>
      </c>
      <c r="O3063" t="s">
        <v>116</v>
      </c>
    </row>
    <row r="3064" spans="1:15" x14ac:dyDescent="0.3">
      <c r="A3064" s="130">
        <v>17175</v>
      </c>
      <c r="B3064" s="130">
        <v>28</v>
      </c>
      <c r="C3064" s="130" t="s">
        <v>4688</v>
      </c>
      <c r="D3064">
        <v>25949</v>
      </c>
      <c r="E3064" s="130">
        <v>41641398</v>
      </c>
      <c r="F3064" t="s">
        <v>87</v>
      </c>
      <c r="G3064">
        <v>76</v>
      </c>
      <c r="H3064" t="s">
        <v>8953</v>
      </c>
      <c r="I3064" s="130">
        <v>37</v>
      </c>
      <c r="J3064" t="s">
        <v>4688</v>
      </c>
      <c r="K3064" t="s">
        <v>95</v>
      </c>
      <c r="L3064" t="s">
        <v>138</v>
      </c>
      <c r="M3064" t="s">
        <v>130</v>
      </c>
      <c r="N3064" t="s">
        <v>150</v>
      </c>
      <c r="O3064" t="s">
        <v>1345</v>
      </c>
    </row>
    <row r="3065" spans="1:15" x14ac:dyDescent="0.3">
      <c r="A3065" s="130">
        <v>17179</v>
      </c>
      <c r="B3065" s="130">
        <v>-1</v>
      </c>
      <c r="C3065" s="130" t="s">
        <v>4689</v>
      </c>
      <c r="D3065">
        <v>25952</v>
      </c>
      <c r="E3065" s="130">
        <v>34325515</v>
      </c>
      <c r="F3065" t="s">
        <v>87</v>
      </c>
      <c r="G3065">
        <v>76</v>
      </c>
      <c r="H3065" t="s">
        <v>8951</v>
      </c>
      <c r="I3065" s="130">
        <v>3</v>
      </c>
      <c r="J3065" t="s">
        <v>4689</v>
      </c>
      <c r="K3065" t="s">
        <v>108</v>
      </c>
      <c r="L3065" t="s">
        <v>153</v>
      </c>
      <c r="M3065" t="s">
        <v>174</v>
      </c>
      <c r="N3065" t="s">
        <v>98</v>
      </c>
      <c r="O3065" t="s">
        <v>1256</v>
      </c>
    </row>
    <row r="3066" spans="1:15" x14ac:dyDescent="0.3">
      <c r="A3066" s="130">
        <v>17181</v>
      </c>
      <c r="B3066" s="130">
        <v>30</v>
      </c>
      <c r="C3066" s="130" t="s">
        <v>4690</v>
      </c>
      <c r="D3066">
        <v>25956</v>
      </c>
      <c r="E3066" s="130">
        <v>17164435</v>
      </c>
      <c r="F3066" t="s">
        <v>87</v>
      </c>
      <c r="G3066">
        <v>358</v>
      </c>
      <c r="H3066" t="s">
        <v>8952</v>
      </c>
      <c r="I3066" s="130">
        <v>10</v>
      </c>
      <c r="J3066" t="s">
        <v>4690</v>
      </c>
      <c r="K3066" t="s">
        <v>95</v>
      </c>
      <c r="L3066" t="s">
        <v>105</v>
      </c>
      <c r="M3066" t="s">
        <v>103</v>
      </c>
      <c r="N3066" t="s">
        <v>98</v>
      </c>
      <c r="O3066" t="s">
        <v>1345</v>
      </c>
    </row>
    <row r="3067" spans="1:15" x14ac:dyDescent="0.3">
      <c r="A3067" s="130">
        <v>17184</v>
      </c>
      <c r="B3067" s="130">
        <v>18</v>
      </c>
      <c r="C3067" s="130" t="s">
        <v>4691</v>
      </c>
      <c r="D3067">
        <v>25966</v>
      </c>
      <c r="E3067" s="130">
        <v>24605292</v>
      </c>
      <c r="F3067" t="s">
        <v>87</v>
      </c>
      <c r="G3067">
        <v>76</v>
      </c>
      <c r="H3067" t="s">
        <v>8953</v>
      </c>
      <c r="I3067" s="130">
        <v>10</v>
      </c>
      <c r="J3067" t="s">
        <v>4691</v>
      </c>
      <c r="K3067" t="s">
        <v>95</v>
      </c>
      <c r="L3067" t="s">
        <v>127</v>
      </c>
      <c r="M3067" t="s">
        <v>112</v>
      </c>
      <c r="N3067" t="s">
        <v>118</v>
      </c>
      <c r="O3067" t="s">
        <v>116</v>
      </c>
    </row>
    <row r="3068" spans="1:15" x14ac:dyDescent="0.3">
      <c r="A3068" s="130">
        <v>17186</v>
      </c>
      <c r="B3068" s="130">
        <v>30</v>
      </c>
      <c r="C3068" s="130" t="s">
        <v>4692</v>
      </c>
      <c r="D3068">
        <v>25968</v>
      </c>
      <c r="E3068" s="130">
        <v>14594896</v>
      </c>
      <c r="F3068" t="s">
        <v>87</v>
      </c>
      <c r="G3068">
        <v>76</v>
      </c>
      <c r="H3068" t="s">
        <v>8951</v>
      </c>
      <c r="I3068" s="131">
        <v>3</v>
      </c>
      <c r="J3068" t="s">
        <v>4692</v>
      </c>
      <c r="K3068" t="s">
        <v>108</v>
      </c>
      <c r="L3068" t="s">
        <v>111</v>
      </c>
      <c r="M3068" t="s">
        <v>103</v>
      </c>
      <c r="N3068" t="s">
        <v>98</v>
      </c>
      <c r="O3068" t="s">
        <v>116</v>
      </c>
    </row>
    <row r="3069" spans="1:15" x14ac:dyDescent="0.3">
      <c r="A3069" s="130">
        <v>17199</v>
      </c>
      <c r="B3069" s="130">
        <v>10</v>
      </c>
      <c r="C3069" s="130" t="s">
        <v>4693</v>
      </c>
      <c r="D3069">
        <v>25985</v>
      </c>
      <c r="E3069" s="130">
        <v>18322925</v>
      </c>
      <c r="F3069" t="s">
        <v>87</v>
      </c>
      <c r="G3069">
        <v>76</v>
      </c>
      <c r="H3069" t="s">
        <v>8952</v>
      </c>
      <c r="I3069" s="130">
        <v>3</v>
      </c>
      <c r="J3069" t="s">
        <v>4693</v>
      </c>
      <c r="K3069" t="s">
        <v>108</v>
      </c>
      <c r="L3069" t="s">
        <v>1293</v>
      </c>
      <c r="M3069" t="s">
        <v>133</v>
      </c>
      <c r="N3069" t="s">
        <v>98</v>
      </c>
      <c r="O3069" t="s">
        <v>116</v>
      </c>
    </row>
    <row r="3070" spans="1:15" x14ac:dyDescent="0.3">
      <c r="A3070" s="130">
        <v>17206</v>
      </c>
      <c r="B3070" s="130">
        <v>15</v>
      </c>
      <c r="C3070" s="130" t="s">
        <v>4694</v>
      </c>
      <c r="D3070">
        <v>25989</v>
      </c>
      <c r="E3070" s="130">
        <v>9572298</v>
      </c>
      <c r="F3070" t="s">
        <v>87</v>
      </c>
      <c r="G3070">
        <v>76</v>
      </c>
      <c r="H3070" t="s">
        <v>8953</v>
      </c>
      <c r="I3070" s="131">
        <v>19</v>
      </c>
      <c r="J3070" t="s">
        <v>4694</v>
      </c>
      <c r="K3070" t="s">
        <v>108</v>
      </c>
      <c r="L3070" t="s">
        <v>146</v>
      </c>
      <c r="M3070" t="s">
        <v>145</v>
      </c>
      <c r="N3070" t="s">
        <v>98</v>
      </c>
      <c r="O3070" t="s">
        <v>1345</v>
      </c>
    </row>
    <row r="3071" spans="1:15" x14ac:dyDescent="0.3">
      <c r="A3071" s="130">
        <v>17235</v>
      </c>
      <c r="B3071" s="130">
        <v>30</v>
      </c>
      <c r="C3071" s="130" t="s">
        <v>4695</v>
      </c>
      <c r="D3071">
        <v>26034</v>
      </c>
      <c r="E3071" s="131">
        <v>50180042</v>
      </c>
      <c r="F3071" t="s">
        <v>87</v>
      </c>
      <c r="G3071">
        <v>358</v>
      </c>
      <c r="H3071" t="s">
        <v>8951</v>
      </c>
      <c r="I3071" s="130">
        <v>10</v>
      </c>
      <c r="J3071" t="s">
        <v>4695</v>
      </c>
      <c r="K3071" t="s">
        <v>95</v>
      </c>
      <c r="L3071" t="s">
        <v>105</v>
      </c>
      <c r="M3071" t="s">
        <v>103</v>
      </c>
      <c r="N3071" t="s">
        <v>98</v>
      </c>
      <c r="O3071" t="s">
        <v>116</v>
      </c>
    </row>
    <row r="3072" spans="1:15" x14ac:dyDescent="0.3">
      <c r="A3072" s="130">
        <v>17241</v>
      </c>
      <c r="B3072" s="130">
        <v>30</v>
      </c>
      <c r="C3072" s="130" t="s">
        <v>4696</v>
      </c>
      <c r="D3072">
        <v>26038</v>
      </c>
      <c r="E3072" s="130">
        <v>2250663</v>
      </c>
      <c r="F3072" t="s">
        <v>87</v>
      </c>
      <c r="G3072">
        <v>76</v>
      </c>
      <c r="H3072" t="s">
        <v>8952</v>
      </c>
      <c r="I3072" s="131">
        <v>10</v>
      </c>
      <c r="J3072" t="s">
        <v>4696</v>
      </c>
      <c r="K3072" t="s">
        <v>95</v>
      </c>
      <c r="L3072" t="s">
        <v>105</v>
      </c>
      <c r="M3072" t="s">
        <v>103</v>
      </c>
      <c r="N3072" t="s">
        <v>98</v>
      </c>
      <c r="O3072" t="s">
        <v>1345</v>
      </c>
    </row>
    <row r="3073" spans="1:15" x14ac:dyDescent="0.3">
      <c r="A3073" s="130">
        <v>17242</v>
      </c>
      <c r="B3073" s="130">
        <v>28</v>
      </c>
      <c r="C3073" s="130" t="s">
        <v>4697</v>
      </c>
      <c r="D3073">
        <v>25948</v>
      </c>
      <c r="E3073" s="131">
        <v>59893545</v>
      </c>
      <c r="F3073" t="s">
        <v>87</v>
      </c>
      <c r="G3073">
        <v>76</v>
      </c>
      <c r="H3073" t="s">
        <v>8953</v>
      </c>
      <c r="I3073" s="131">
        <v>24</v>
      </c>
      <c r="J3073" t="s">
        <v>4697</v>
      </c>
      <c r="K3073" t="s">
        <v>108</v>
      </c>
      <c r="L3073" t="s">
        <v>191</v>
      </c>
      <c r="M3073" t="s">
        <v>130</v>
      </c>
      <c r="N3073" t="s">
        <v>98</v>
      </c>
      <c r="O3073" t="s">
        <v>1345</v>
      </c>
    </row>
    <row r="3074" spans="1:15" x14ac:dyDescent="0.3">
      <c r="A3074" s="130">
        <v>17244</v>
      </c>
      <c r="B3074" s="130">
        <v>30</v>
      </c>
      <c r="C3074" s="130" t="s">
        <v>4698</v>
      </c>
      <c r="D3074">
        <v>26043</v>
      </c>
      <c r="E3074" s="130">
        <v>50180042</v>
      </c>
      <c r="F3074" t="s">
        <v>87</v>
      </c>
      <c r="G3074">
        <v>358</v>
      </c>
      <c r="H3074" t="s">
        <v>8951</v>
      </c>
      <c r="I3074" s="130">
        <v>10</v>
      </c>
      <c r="J3074" t="s">
        <v>4698</v>
      </c>
      <c r="K3074" t="s">
        <v>95</v>
      </c>
      <c r="L3074" t="s">
        <v>109</v>
      </c>
      <c r="M3074" t="s">
        <v>103</v>
      </c>
      <c r="N3074" t="s">
        <v>98</v>
      </c>
      <c r="O3074" t="s">
        <v>116</v>
      </c>
    </row>
    <row r="3075" spans="1:15" x14ac:dyDescent="0.3">
      <c r="A3075" s="130">
        <v>17252</v>
      </c>
      <c r="B3075" s="130">
        <v>30</v>
      </c>
      <c r="C3075" s="130" t="s">
        <v>4699</v>
      </c>
      <c r="D3075">
        <v>26058</v>
      </c>
      <c r="E3075" s="130">
        <v>39935330</v>
      </c>
      <c r="F3075" t="s">
        <v>87</v>
      </c>
      <c r="G3075">
        <v>358</v>
      </c>
      <c r="H3075" t="s">
        <v>8952</v>
      </c>
      <c r="I3075" s="131">
        <v>10</v>
      </c>
      <c r="J3075" t="s">
        <v>4699</v>
      </c>
      <c r="K3075" t="s">
        <v>95</v>
      </c>
      <c r="L3075" t="s">
        <v>105</v>
      </c>
      <c r="M3075" t="s">
        <v>103</v>
      </c>
      <c r="N3075" t="s">
        <v>118</v>
      </c>
      <c r="O3075" t="s">
        <v>116</v>
      </c>
    </row>
    <row r="3076" spans="1:15" x14ac:dyDescent="0.3">
      <c r="A3076" s="130">
        <v>17257</v>
      </c>
      <c r="B3076" s="130">
        <v>90</v>
      </c>
      <c r="C3076" s="130" t="s">
        <v>4700</v>
      </c>
      <c r="D3076">
        <v>26081</v>
      </c>
      <c r="E3076" s="130">
        <v>35234509</v>
      </c>
      <c r="F3076" t="s">
        <v>87</v>
      </c>
      <c r="G3076">
        <v>76</v>
      </c>
      <c r="H3076" t="s">
        <v>8953</v>
      </c>
      <c r="I3076" s="131">
        <v>24</v>
      </c>
      <c r="J3076" t="s">
        <v>4700</v>
      </c>
      <c r="K3076" t="s">
        <v>95</v>
      </c>
      <c r="L3076" t="s">
        <v>102</v>
      </c>
      <c r="M3076" t="s">
        <v>170</v>
      </c>
      <c r="N3076" t="s">
        <v>98</v>
      </c>
      <c r="O3076" t="s">
        <v>116</v>
      </c>
    </row>
    <row r="3077" spans="1:15" x14ac:dyDescent="0.3">
      <c r="A3077" s="130">
        <v>17263</v>
      </c>
      <c r="B3077" s="130">
        <v>18</v>
      </c>
      <c r="C3077" s="130" t="s">
        <v>4701</v>
      </c>
      <c r="D3077">
        <v>26090</v>
      </c>
      <c r="E3077" s="130">
        <v>29296671</v>
      </c>
      <c r="F3077" t="s">
        <v>87</v>
      </c>
      <c r="G3077">
        <v>76</v>
      </c>
      <c r="H3077" t="s">
        <v>8951</v>
      </c>
      <c r="I3077" s="131">
        <v>10</v>
      </c>
      <c r="J3077" t="s">
        <v>4701</v>
      </c>
      <c r="K3077" t="s">
        <v>108</v>
      </c>
      <c r="L3077" t="s">
        <v>127</v>
      </c>
      <c r="M3077" t="s">
        <v>112</v>
      </c>
      <c r="N3077" t="s">
        <v>118</v>
      </c>
      <c r="O3077" t="s">
        <v>116</v>
      </c>
    </row>
    <row r="3078" spans="1:15" x14ac:dyDescent="0.3">
      <c r="A3078" s="130">
        <v>17267</v>
      </c>
      <c r="B3078" s="130">
        <v>21</v>
      </c>
      <c r="C3078" s="130" t="s">
        <v>4702</v>
      </c>
      <c r="D3078">
        <v>26097</v>
      </c>
      <c r="E3078" s="131">
        <v>24649693</v>
      </c>
      <c r="F3078" t="s">
        <v>87</v>
      </c>
      <c r="G3078">
        <v>76</v>
      </c>
      <c r="H3078" t="s">
        <v>8952</v>
      </c>
      <c r="I3078" s="130">
        <v>19</v>
      </c>
      <c r="J3078" t="s">
        <v>4702</v>
      </c>
      <c r="K3078" t="s">
        <v>108</v>
      </c>
      <c r="L3078" t="s">
        <v>146</v>
      </c>
      <c r="M3078" t="s">
        <v>137</v>
      </c>
      <c r="N3078" t="s">
        <v>216</v>
      </c>
      <c r="O3078" t="s">
        <v>116</v>
      </c>
    </row>
    <row r="3079" spans="1:15" x14ac:dyDescent="0.3">
      <c r="A3079" s="130">
        <v>17269</v>
      </c>
      <c r="B3079" s="130">
        <v>18</v>
      </c>
      <c r="C3079" s="130" t="s">
        <v>4703</v>
      </c>
      <c r="D3079">
        <v>26103</v>
      </c>
      <c r="E3079" s="131">
        <v>8021949</v>
      </c>
      <c r="F3079" t="s">
        <v>87</v>
      </c>
      <c r="G3079">
        <v>76</v>
      </c>
      <c r="H3079" t="s">
        <v>8953</v>
      </c>
      <c r="I3079" s="130">
        <v>26</v>
      </c>
      <c r="J3079" t="s">
        <v>4703</v>
      </c>
      <c r="K3079" t="s">
        <v>108</v>
      </c>
      <c r="L3079" t="s">
        <v>151</v>
      </c>
      <c r="M3079" t="s">
        <v>112</v>
      </c>
      <c r="N3079" t="s">
        <v>118</v>
      </c>
      <c r="O3079" t="s">
        <v>116</v>
      </c>
    </row>
    <row r="3080" spans="1:15" x14ac:dyDescent="0.3">
      <c r="A3080" s="130">
        <v>17270</v>
      </c>
      <c r="B3080" s="130">
        <v>21</v>
      </c>
      <c r="C3080" s="130" t="s">
        <v>4704</v>
      </c>
      <c r="D3080">
        <v>26104</v>
      </c>
      <c r="E3080" s="130">
        <v>26764536</v>
      </c>
      <c r="F3080" t="s">
        <v>87</v>
      </c>
      <c r="G3080">
        <v>76</v>
      </c>
      <c r="H3080" t="s">
        <v>8951</v>
      </c>
      <c r="I3080" s="130">
        <v>3</v>
      </c>
      <c r="J3080" t="s">
        <v>4704</v>
      </c>
      <c r="K3080" t="s">
        <v>108</v>
      </c>
      <c r="L3080" t="s">
        <v>111</v>
      </c>
      <c r="M3080" t="s">
        <v>137</v>
      </c>
      <c r="N3080" t="s">
        <v>98</v>
      </c>
      <c r="O3080" t="s">
        <v>116</v>
      </c>
    </row>
    <row r="3081" spans="1:15" x14ac:dyDescent="0.3">
      <c r="A3081" s="130">
        <v>17272</v>
      </c>
      <c r="B3081" s="130">
        <v>30</v>
      </c>
      <c r="C3081" s="130" t="s">
        <v>4705</v>
      </c>
      <c r="D3081">
        <v>26073</v>
      </c>
      <c r="E3081" s="130">
        <v>32267350</v>
      </c>
      <c r="F3081" t="s">
        <v>87</v>
      </c>
      <c r="G3081">
        <v>77</v>
      </c>
      <c r="H3081" t="s">
        <v>8952</v>
      </c>
      <c r="I3081" s="130">
        <v>3</v>
      </c>
      <c r="J3081" t="s">
        <v>4705</v>
      </c>
      <c r="K3081" t="s">
        <v>95</v>
      </c>
      <c r="L3081" t="s">
        <v>235</v>
      </c>
      <c r="M3081" t="s">
        <v>103</v>
      </c>
      <c r="N3081" t="s">
        <v>98</v>
      </c>
      <c r="O3081" t="s">
        <v>116</v>
      </c>
    </row>
    <row r="3082" spans="1:15" x14ac:dyDescent="0.3">
      <c r="A3082" s="130">
        <v>17276</v>
      </c>
      <c r="B3082" s="130">
        <v>31</v>
      </c>
      <c r="C3082" s="130" t="s">
        <v>4706</v>
      </c>
      <c r="D3082">
        <v>26107</v>
      </c>
      <c r="E3082" s="130">
        <v>18720938</v>
      </c>
      <c r="F3082" t="s">
        <v>87</v>
      </c>
      <c r="G3082">
        <v>77</v>
      </c>
      <c r="H3082" t="s">
        <v>8953</v>
      </c>
      <c r="I3082" s="130">
        <v>28</v>
      </c>
      <c r="J3082" t="s">
        <v>4706</v>
      </c>
      <c r="K3082" t="s">
        <v>95</v>
      </c>
      <c r="L3082" t="s">
        <v>243</v>
      </c>
      <c r="M3082" t="s">
        <v>1266</v>
      </c>
      <c r="N3082" t="s">
        <v>131</v>
      </c>
      <c r="O3082" t="s">
        <v>1256</v>
      </c>
    </row>
    <row r="3083" spans="1:15" x14ac:dyDescent="0.3">
      <c r="A3083" s="130">
        <v>17279</v>
      </c>
      <c r="B3083" s="130">
        <v>30</v>
      </c>
      <c r="C3083" s="130" t="s">
        <v>4707</v>
      </c>
      <c r="D3083">
        <v>26114</v>
      </c>
      <c r="E3083" s="130">
        <v>88416482</v>
      </c>
      <c r="F3083" t="s">
        <v>87</v>
      </c>
      <c r="G3083">
        <v>76</v>
      </c>
      <c r="H3083" t="s">
        <v>8951</v>
      </c>
      <c r="I3083" s="130">
        <v>3</v>
      </c>
      <c r="J3083" t="s">
        <v>4707</v>
      </c>
      <c r="K3083" t="s">
        <v>108</v>
      </c>
      <c r="L3083" t="s">
        <v>111</v>
      </c>
      <c r="M3083" t="s">
        <v>103</v>
      </c>
      <c r="N3083" t="s">
        <v>98</v>
      </c>
      <c r="O3083" t="s">
        <v>116</v>
      </c>
    </row>
    <row r="3084" spans="1:15" x14ac:dyDescent="0.3">
      <c r="A3084" s="130">
        <v>17284</v>
      </c>
      <c r="B3084" s="130">
        <v>21</v>
      </c>
      <c r="C3084" s="130" t="s">
        <v>4708</v>
      </c>
      <c r="D3084">
        <v>26119</v>
      </c>
      <c r="E3084" s="131">
        <v>11498407</v>
      </c>
      <c r="F3084" t="s">
        <v>87</v>
      </c>
      <c r="G3084">
        <v>76</v>
      </c>
      <c r="H3084" t="s">
        <v>8952</v>
      </c>
      <c r="I3084" s="131">
        <v>10</v>
      </c>
      <c r="J3084" t="s">
        <v>4708</v>
      </c>
      <c r="K3084" t="s">
        <v>95</v>
      </c>
      <c r="L3084" t="s">
        <v>127</v>
      </c>
      <c r="M3084" t="s">
        <v>137</v>
      </c>
      <c r="N3084" t="s">
        <v>118</v>
      </c>
      <c r="O3084" t="s">
        <v>1345</v>
      </c>
    </row>
    <row r="3085" spans="1:15" x14ac:dyDescent="0.3">
      <c r="A3085" s="130">
        <v>17285</v>
      </c>
      <c r="B3085" s="130">
        <v>-1</v>
      </c>
      <c r="C3085" s="130" t="s">
        <v>4709</v>
      </c>
      <c r="D3085">
        <v>26111</v>
      </c>
      <c r="E3085" s="131">
        <v>21379234</v>
      </c>
      <c r="F3085" t="s">
        <v>87</v>
      </c>
      <c r="G3085">
        <v>76</v>
      </c>
      <c r="H3085" t="s">
        <v>8953</v>
      </c>
      <c r="I3085" s="131">
        <v>3</v>
      </c>
      <c r="J3085" t="s">
        <v>4709</v>
      </c>
      <c r="K3085" t="s">
        <v>108</v>
      </c>
      <c r="L3085" t="s">
        <v>111</v>
      </c>
      <c r="M3085" t="s">
        <v>174</v>
      </c>
      <c r="N3085" t="s">
        <v>152</v>
      </c>
      <c r="O3085" t="s">
        <v>1345</v>
      </c>
    </row>
    <row r="3086" spans="1:15" x14ac:dyDescent="0.3">
      <c r="A3086" s="130">
        <v>17289</v>
      </c>
      <c r="B3086" s="130">
        <v>90</v>
      </c>
      <c r="C3086" s="130" t="s">
        <v>4710</v>
      </c>
      <c r="D3086">
        <v>26123</v>
      </c>
      <c r="E3086" s="130">
        <v>35234509</v>
      </c>
      <c r="F3086" t="s">
        <v>87</v>
      </c>
      <c r="G3086">
        <v>76</v>
      </c>
      <c r="H3086" t="s">
        <v>8951</v>
      </c>
      <c r="I3086" s="130">
        <v>24</v>
      </c>
      <c r="J3086" t="s">
        <v>4710</v>
      </c>
      <c r="K3086" t="s">
        <v>95</v>
      </c>
      <c r="L3086" t="s">
        <v>102</v>
      </c>
      <c r="M3086" t="s">
        <v>170</v>
      </c>
      <c r="N3086" t="s">
        <v>98</v>
      </c>
      <c r="O3086" t="s">
        <v>116</v>
      </c>
    </row>
    <row r="3087" spans="1:15" x14ac:dyDescent="0.3">
      <c r="A3087" s="130">
        <v>17292</v>
      </c>
      <c r="B3087" s="130">
        <v>45</v>
      </c>
      <c r="C3087" s="130" t="s">
        <v>4711</v>
      </c>
      <c r="D3087">
        <v>26128</v>
      </c>
      <c r="E3087" s="130">
        <v>33193996</v>
      </c>
      <c r="F3087" t="s">
        <v>87</v>
      </c>
      <c r="G3087">
        <v>76</v>
      </c>
      <c r="H3087" t="s">
        <v>8952</v>
      </c>
      <c r="I3087" s="131">
        <v>24</v>
      </c>
      <c r="J3087" t="s">
        <v>4711</v>
      </c>
      <c r="K3087" t="s">
        <v>95</v>
      </c>
      <c r="L3087" t="s">
        <v>153</v>
      </c>
      <c r="M3087" t="s">
        <v>106</v>
      </c>
      <c r="N3087" t="s">
        <v>98</v>
      </c>
      <c r="O3087" t="s">
        <v>116</v>
      </c>
    </row>
    <row r="3088" spans="1:15" x14ac:dyDescent="0.3">
      <c r="A3088" s="130">
        <v>17296</v>
      </c>
      <c r="B3088" s="130">
        <v>18</v>
      </c>
      <c r="C3088" s="130" t="s">
        <v>4712</v>
      </c>
      <c r="D3088">
        <v>26134</v>
      </c>
      <c r="E3088" s="131">
        <v>23758093</v>
      </c>
      <c r="F3088" t="s">
        <v>87</v>
      </c>
      <c r="G3088">
        <v>76</v>
      </c>
      <c r="H3088" t="s">
        <v>8953</v>
      </c>
      <c r="I3088" s="131">
        <v>3</v>
      </c>
      <c r="J3088" t="s">
        <v>4712</v>
      </c>
      <c r="K3088" t="s">
        <v>108</v>
      </c>
      <c r="L3088" t="s">
        <v>111</v>
      </c>
      <c r="M3088" t="s">
        <v>112</v>
      </c>
      <c r="N3088" t="s">
        <v>98</v>
      </c>
      <c r="O3088" t="s">
        <v>116</v>
      </c>
    </row>
    <row r="3089" spans="1:15" x14ac:dyDescent="0.3">
      <c r="A3089" s="130">
        <v>17297</v>
      </c>
      <c r="B3089" s="130">
        <v>30</v>
      </c>
      <c r="C3089" s="130" t="s">
        <v>4713</v>
      </c>
      <c r="D3089">
        <v>26133</v>
      </c>
      <c r="E3089" s="130">
        <v>34562112</v>
      </c>
      <c r="F3089" t="s">
        <v>87</v>
      </c>
      <c r="G3089">
        <v>76</v>
      </c>
      <c r="H3089" t="s">
        <v>8951</v>
      </c>
      <c r="I3089" s="130">
        <v>24</v>
      </c>
      <c r="J3089" t="s">
        <v>4713</v>
      </c>
      <c r="K3089" t="s">
        <v>95</v>
      </c>
      <c r="L3089" t="s">
        <v>191</v>
      </c>
      <c r="M3089" t="s">
        <v>103</v>
      </c>
      <c r="N3089" t="s">
        <v>98</v>
      </c>
      <c r="O3089" t="s">
        <v>116</v>
      </c>
    </row>
    <row r="3090" spans="1:15" x14ac:dyDescent="0.3">
      <c r="A3090" s="130">
        <v>17300</v>
      </c>
      <c r="B3090" s="130">
        <v>30</v>
      </c>
      <c r="C3090" s="130" t="s">
        <v>4714</v>
      </c>
      <c r="D3090">
        <v>26137</v>
      </c>
      <c r="E3090" s="130">
        <v>4446606</v>
      </c>
      <c r="F3090" t="s">
        <v>87</v>
      </c>
      <c r="G3090">
        <v>76</v>
      </c>
      <c r="H3090" t="s">
        <v>8952</v>
      </c>
      <c r="I3090" s="130">
        <v>3</v>
      </c>
      <c r="J3090" t="s">
        <v>4714</v>
      </c>
      <c r="K3090" t="s">
        <v>95</v>
      </c>
      <c r="L3090" t="s">
        <v>138</v>
      </c>
      <c r="M3090" t="s">
        <v>103</v>
      </c>
      <c r="N3090" t="s">
        <v>150</v>
      </c>
      <c r="O3090" t="s">
        <v>1345</v>
      </c>
    </row>
    <row r="3091" spans="1:15" x14ac:dyDescent="0.3">
      <c r="A3091" s="130">
        <v>17316</v>
      </c>
      <c r="B3091" s="130">
        <v>30</v>
      </c>
      <c r="C3091" s="130" t="s">
        <v>4715</v>
      </c>
      <c r="D3091">
        <v>26152</v>
      </c>
      <c r="E3091" s="130">
        <v>2602726</v>
      </c>
      <c r="F3091" t="s">
        <v>87</v>
      </c>
      <c r="G3091">
        <v>76</v>
      </c>
      <c r="H3091" t="s">
        <v>8953</v>
      </c>
      <c r="I3091" s="130">
        <v>3</v>
      </c>
      <c r="J3091" t="s">
        <v>4715</v>
      </c>
      <c r="K3091" t="s">
        <v>108</v>
      </c>
      <c r="L3091" t="s">
        <v>111</v>
      </c>
      <c r="M3091" t="s">
        <v>103</v>
      </c>
      <c r="N3091" t="s">
        <v>98</v>
      </c>
      <c r="O3091" t="s">
        <v>116</v>
      </c>
    </row>
    <row r="3092" spans="1:15" x14ac:dyDescent="0.3">
      <c r="A3092" s="130">
        <v>17317</v>
      </c>
      <c r="B3092" s="130">
        <v>30</v>
      </c>
      <c r="C3092" s="130" t="s">
        <v>4716</v>
      </c>
      <c r="D3092">
        <v>26161</v>
      </c>
      <c r="E3092" s="130">
        <v>23347255</v>
      </c>
      <c r="F3092" t="s">
        <v>87</v>
      </c>
      <c r="G3092">
        <v>76</v>
      </c>
      <c r="H3092" t="s">
        <v>8951</v>
      </c>
      <c r="I3092" s="131">
        <v>3</v>
      </c>
      <c r="J3092" t="s">
        <v>4716</v>
      </c>
      <c r="K3092" t="s">
        <v>108</v>
      </c>
      <c r="L3092" t="s">
        <v>1293</v>
      </c>
      <c r="M3092" t="s">
        <v>103</v>
      </c>
      <c r="N3092" t="s">
        <v>98</v>
      </c>
      <c r="O3092" t="s">
        <v>1345</v>
      </c>
    </row>
    <row r="3093" spans="1:15" x14ac:dyDescent="0.3">
      <c r="A3093" s="130">
        <v>17326</v>
      </c>
      <c r="B3093" s="130">
        <v>30</v>
      </c>
      <c r="C3093" s="130" t="s">
        <v>4717</v>
      </c>
      <c r="D3093">
        <v>25721</v>
      </c>
      <c r="E3093" s="130">
        <v>5848387</v>
      </c>
      <c r="F3093" t="s">
        <v>87</v>
      </c>
      <c r="G3093">
        <v>77</v>
      </c>
      <c r="H3093" t="s">
        <v>8952</v>
      </c>
      <c r="I3093" s="131">
        <v>10</v>
      </c>
      <c r="J3093" t="s">
        <v>4717</v>
      </c>
      <c r="K3093" t="s">
        <v>95</v>
      </c>
      <c r="L3093" t="s">
        <v>117</v>
      </c>
      <c r="M3093" t="s">
        <v>103</v>
      </c>
      <c r="N3093" t="s">
        <v>118</v>
      </c>
      <c r="O3093" t="s">
        <v>116</v>
      </c>
    </row>
    <row r="3094" spans="1:15" x14ac:dyDescent="0.3">
      <c r="A3094" s="130">
        <v>17332</v>
      </c>
      <c r="B3094" s="130">
        <v>10</v>
      </c>
      <c r="C3094" s="130" t="s">
        <v>4718</v>
      </c>
      <c r="D3094">
        <v>26176</v>
      </c>
      <c r="E3094" s="130">
        <v>5515245</v>
      </c>
      <c r="F3094" t="s">
        <v>87</v>
      </c>
      <c r="G3094">
        <v>358</v>
      </c>
      <c r="H3094" t="s">
        <v>8953</v>
      </c>
      <c r="I3094" s="130">
        <v>24</v>
      </c>
      <c r="J3094" t="s">
        <v>4718</v>
      </c>
      <c r="K3094" t="s">
        <v>108</v>
      </c>
      <c r="L3094" t="s">
        <v>109</v>
      </c>
      <c r="M3094" t="s">
        <v>133</v>
      </c>
      <c r="N3094" t="s">
        <v>98</v>
      </c>
      <c r="O3094" t="s">
        <v>1345</v>
      </c>
    </row>
    <row r="3095" spans="1:15" x14ac:dyDescent="0.3">
      <c r="A3095" s="130">
        <v>17346</v>
      </c>
      <c r="B3095" s="130">
        <v>21</v>
      </c>
      <c r="C3095" s="130" t="s">
        <v>4719</v>
      </c>
      <c r="D3095">
        <v>26198</v>
      </c>
      <c r="E3095" s="131">
        <v>7605563</v>
      </c>
      <c r="F3095" t="s">
        <v>87</v>
      </c>
      <c r="G3095">
        <v>76</v>
      </c>
      <c r="H3095" t="s">
        <v>8951</v>
      </c>
      <c r="I3095" s="130">
        <v>10</v>
      </c>
      <c r="J3095" t="s">
        <v>4719</v>
      </c>
      <c r="K3095" t="s">
        <v>108</v>
      </c>
      <c r="L3095" t="s">
        <v>127</v>
      </c>
      <c r="M3095" t="s">
        <v>137</v>
      </c>
      <c r="N3095" t="s">
        <v>118</v>
      </c>
      <c r="O3095" t="s">
        <v>1345</v>
      </c>
    </row>
    <row r="3096" spans="1:15" x14ac:dyDescent="0.3">
      <c r="A3096" s="130">
        <v>17357</v>
      </c>
      <c r="B3096" s="130">
        <v>18</v>
      </c>
      <c r="C3096" s="130" t="s">
        <v>4720</v>
      </c>
      <c r="D3096">
        <v>26217</v>
      </c>
      <c r="E3096" s="130">
        <v>28054927</v>
      </c>
      <c r="F3096" t="s">
        <v>87</v>
      </c>
      <c r="G3096">
        <v>76</v>
      </c>
      <c r="H3096" t="s">
        <v>8952</v>
      </c>
      <c r="I3096" s="130">
        <v>37</v>
      </c>
      <c r="J3096" t="s">
        <v>4720</v>
      </c>
      <c r="K3096" t="s">
        <v>108</v>
      </c>
      <c r="L3096" t="s">
        <v>138</v>
      </c>
      <c r="M3096" t="s">
        <v>112</v>
      </c>
      <c r="N3096" t="s">
        <v>101</v>
      </c>
      <c r="O3096" t="s">
        <v>116</v>
      </c>
    </row>
    <row r="3097" spans="1:15" x14ac:dyDescent="0.3">
      <c r="A3097" s="130">
        <v>17360</v>
      </c>
      <c r="B3097" s="130">
        <v>0</v>
      </c>
      <c r="C3097" s="130" t="s">
        <v>4721</v>
      </c>
      <c r="D3097">
        <v>26180</v>
      </c>
      <c r="E3097" s="130">
        <v>63077937</v>
      </c>
      <c r="F3097" t="s">
        <v>113</v>
      </c>
      <c r="G3097">
        <v>76</v>
      </c>
      <c r="H3097" t="s">
        <v>8953</v>
      </c>
      <c r="I3097" s="131">
        <v>24</v>
      </c>
      <c r="J3097" t="s">
        <v>4721</v>
      </c>
      <c r="K3097" t="s">
        <v>108</v>
      </c>
      <c r="L3097" t="s">
        <v>252</v>
      </c>
      <c r="M3097" t="s">
        <v>100</v>
      </c>
      <c r="N3097" t="s">
        <v>141</v>
      </c>
      <c r="O3097" t="s">
        <v>1256</v>
      </c>
    </row>
    <row r="3098" spans="1:15" x14ac:dyDescent="0.3">
      <c r="A3098" s="130">
        <v>17371</v>
      </c>
      <c r="B3098" s="130">
        <v>30</v>
      </c>
      <c r="C3098" s="130" t="s">
        <v>4722</v>
      </c>
      <c r="D3098">
        <v>26222</v>
      </c>
      <c r="E3098" s="131">
        <v>18519709</v>
      </c>
      <c r="F3098" t="s">
        <v>113</v>
      </c>
      <c r="G3098">
        <v>77</v>
      </c>
      <c r="H3098" t="s">
        <v>8951</v>
      </c>
      <c r="I3098" s="130">
        <v>9</v>
      </c>
      <c r="J3098" t="s">
        <v>4722</v>
      </c>
      <c r="K3098" t="s">
        <v>95</v>
      </c>
      <c r="L3098" t="s">
        <v>243</v>
      </c>
      <c r="M3098" t="s">
        <v>103</v>
      </c>
      <c r="N3098" t="s">
        <v>166</v>
      </c>
      <c r="O3098" t="s">
        <v>1256</v>
      </c>
    </row>
    <row r="3099" spans="1:15" x14ac:dyDescent="0.3">
      <c r="A3099" s="130">
        <v>17372</v>
      </c>
      <c r="B3099" s="130">
        <v>30</v>
      </c>
      <c r="C3099" s="130" t="s">
        <v>4723</v>
      </c>
      <c r="D3099">
        <v>26236</v>
      </c>
      <c r="E3099" s="131">
        <v>24301458</v>
      </c>
      <c r="F3099" t="s">
        <v>87</v>
      </c>
      <c r="G3099">
        <v>358</v>
      </c>
      <c r="H3099" t="s">
        <v>8952</v>
      </c>
      <c r="I3099" s="131">
        <v>43</v>
      </c>
      <c r="J3099" t="s">
        <v>4723</v>
      </c>
      <c r="K3099" t="s">
        <v>95</v>
      </c>
      <c r="L3099" t="s">
        <v>109</v>
      </c>
      <c r="M3099" t="s">
        <v>103</v>
      </c>
      <c r="N3099" t="s">
        <v>98</v>
      </c>
      <c r="O3099" t="s">
        <v>116</v>
      </c>
    </row>
    <row r="3100" spans="1:15" x14ac:dyDescent="0.3">
      <c r="A3100" s="130">
        <v>17373</v>
      </c>
      <c r="B3100" s="130">
        <v>90</v>
      </c>
      <c r="C3100" s="130" t="s">
        <v>4724</v>
      </c>
      <c r="D3100">
        <v>26237</v>
      </c>
      <c r="E3100" s="131">
        <v>35234509</v>
      </c>
      <c r="F3100" t="s">
        <v>87</v>
      </c>
      <c r="G3100">
        <v>76</v>
      </c>
      <c r="H3100" t="s">
        <v>8953</v>
      </c>
      <c r="I3100" s="130">
        <v>19</v>
      </c>
      <c r="J3100" t="s">
        <v>4724</v>
      </c>
      <c r="K3100" t="s">
        <v>95</v>
      </c>
      <c r="L3100" t="s">
        <v>102</v>
      </c>
      <c r="M3100" t="s">
        <v>170</v>
      </c>
      <c r="N3100" t="s">
        <v>98</v>
      </c>
      <c r="O3100" t="s">
        <v>116</v>
      </c>
    </row>
    <row r="3101" spans="1:15" x14ac:dyDescent="0.3">
      <c r="A3101" s="130">
        <v>17379</v>
      </c>
      <c r="B3101" s="130">
        <v>30</v>
      </c>
      <c r="C3101" s="130" t="s">
        <v>4725</v>
      </c>
      <c r="D3101">
        <v>26249</v>
      </c>
      <c r="E3101" s="130">
        <v>34562112</v>
      </c>
      <c r="F3101" t="s">
        <v>87</v>
      </c>
      <c r="G3101">
        <v>76</v>
      </c>
      <c r="H3101" t="s">
        <v>8951</v>
      </c>
      <c r="I3101" s="131">
        <v>24</v>
      </c>
      <c r="J3101" t="s">
        <v>4725</v>
      </c>
      <c r="K3101" t="s">
        <v>95</v>
      </c>
      <c r="L3101" t="s">
        <v>191</v>
      </c>
      <c r="M3101" t="s">
        <v>103</v>
      </c>
      <c r="N3101" t="s">
        <v>107</v>
      </c>
      <c r="O3101" t="s">
        <v>116</v>
      </c>
    </row>
    <row r="3102" spans="1:15" x14ac:dyDescent="0.3">
      <c r="A3102" s="130">
        <v>17382</v>
      </c>
      <c r="B3102" s="130">
        <v>30</v>
      </c>
      <c r="C3102" s="130" t="s">
        <v>4726</v>
      </c>
      <c r="D3102">
        <v>26253</v>
      </c>
      <c r="E3102" s="130">
        <v>34562112</v>
      </c>
      <c r="F3102" t="s">
        <v>87</v>
      </c>
      <c r="G3102">
        <v>76</v>
      </c>
      <c r="H3102" t="s">
        <v>8952</v>
      </c>
      <c r="I3102" s="131">
        <v>24</v>
      </c>
      <c r="J3102" t="s">
        <v>4726</v>
      </c>
      <c r="K3102" t="s">
        <v>95</v>
      </c>
      <c r="L3102" t="s">
        <v>191</v>
      </c>
      <c r="M3102" t="s">
        <v>103</v>
      </c>
      <c r="N3102" t="s">
        <v>107</v>
      </c>
      <c r="O3102" t="s">
        <v>1345</v>
      </c>
    </row>
    <row r="3103" spans="1:15" x14ac:dyDescent="0.3">
      <c r="A3103" s="130">
        <v>17385</v>
      </c>
      <c r="B3103" s="130">
        <v>30</v>
      </c>
      <c r="C3103" s="130" t="s">
        <v>4727</v>
      </c>
      <c r="D3103">
        <v>26254</v>
      </c>
      <c r="E3103" s="131">
        <v>1704488</v>
      </c>
      <c r="F3103" t="s">
        <v>87</v>
      </c>
      <c r="G3103">
        <v>76</v>
      </c>
      <c r="H3103" t="s">
        <v>8953</v>
      </c>
      <c r="I3103" s="131">
        <v>10</v>
      </c>
      <c r="J3103" t="s">
        <v>4727</v>
      </c>
      <c r="K3103" t="s">
        <v>95</v>
      </c>
      <c r="L3103" t="s">
        <v>127</v>
      </c>
      <c r="M3103" t="s">
        <v>103</v>
      </c>
      <c r="N3103" t="s">
        <v>118</v>
      </c>
      <c r="O3103" t="s">
        <v>1345</v>
      </c>
    </row>
    <row r="3104" spans="1:15" x14ac:dyDescent="0.3">
      <c r="A3104" s="130">
        <v>17387</v>
      </c>
      <c r="B3104" s="130">
        <v>30</v>
      </c>
      <c r="C3104" s="130" t="s">
        <v>4728</v>
      </c>
      <c r="D3104">
        <v>26259</v>
      </c>
      <c r="E3104" s="130">
        <v>13537925</v>
      </c>
      <c r="F3104" t="s">
        <v>87</v>
      </c>
      <c r="G3104">
        <v>76</v>
      </c>
      <c r="H3104" t="s">
        <v>8951</v>
      </c>
      <c r="I3104" s="130">
        <v>19</v>
      </c>
      <c r="J3104" t="s">
        <v>4728</v>
      </c>
      <c r="K3104" t="s">
        <v>108</v>
      </c>
      <c r="L3104" t="s">
        <v>146</v>
      </c>
      <c r="M3104" t="s">
        <v>103</v>
      </c>
      <c r="N3104" t="s">
        <v>98</v>
      </c>
      <c r="O3104" t="s">
        <v>116</v>
      </c>
    </row>
    <row r="3105" spans="1:15" x14ac:dyDescent="0.3">
      <c r="A3105" s="130">
        <v>17389</v>
      </c>
      <c r="B3105" s="130">
        <v>18</v>
      </c>
      <c r="C3105" s="130" t="s">
        <v>4729</v>
      </c>
      <c r="D3105">
        <v>26262</v>
      </c>
      <c r="E3105" s="130">
        <v>1276156</v>
      </c>
      <c r="F3105" t="s">
        <v>87</v>
      </c>
      <c r="G3105">
        <v>76</v>
      </c>
      <c r="H3105" t="s">
        <v>8952</v>
      </c>
      <c r="I3105" s="130">
        <v>10</v>
      </c>
      <c r="J3105" t="s">
        <v>4729</v>
      </c>
      <c r="K3105" t="s">
        <v>108</v>
      </c>
      <c r="L3105" t="s">
        <v>127</v>
      </c>
      <c r="M3105" t="s">
        <v>112</v>
      </c>
      <c r="N3105" t="s">
        <v>118</v>
      </c>
      <c r="O3105" t="s">
        <v>1345</v>
      </c>
    </row>
    <row r="3106" spans="1:15" x14ac:dyDescent="0.3">
      <c r="A3106" s="130">
        <v>17390</v>
      </c>
      <c r="B3106" s="130">
        <v>18</v>
      </c>
      <c r="C3106" s="130" t="s">
        <v>4730</v>
      </c>
      <c r="D3106">
        <v>26264</v>
      </c>
      <c r="E3106" s="130">
        <v>1276156</v>
      </c>
      <c r="F3106" t="s">
        <v>87</v>
      </c>
      <c r="G3106">
        <v>76</v>
      </c>
      <c r="H3106" t="s">
        <v>8953</v>
      </c>
      <c r="I3106" s="130">
        <v>10</v>
      </c>
      <c r="J3106" t="s">
        <v>4730</v>
      </c>
      <c r="K3106" t="s">
        <v>108</v>
      </c>
      <c r="L3106" t="s">
        <v>127</v>
      </c>
      <c r="M3106" t="s">
        <v>112</v>
      </c>
      <c r="N3106" t="s">
        <v>118</v>
      </c>
      <c r="O3106" t="s">
        <v>1345</v>
      </c>
    </row>
    <row r="3107" spans="1:15" x14ac:dyDescent="0.3">
      <c r="A3107" s="130">
        <v>17400</v>
      </c>
      <c r="B3107" s="130">
        <v>18</v>
      </c>
      <c r="C3107" s="130" t="s">
        <v>4731</v>
      </c>
      <c r="D3107">
        <v>26284</v>
      </c>
      <c r="E3107" s="130">
        <v>27269374</v>
      </c>
      <c r="F3107" t="s">
        <v>87</v>
      </c>
      <c r="G3107">
        <v>76</v>
      </c>
      <c r="H3107" t="s">
        <v>8951</v>
      </c>
      <c r="I3107" s="130">
        <v>37</v>
      </c>
      <c r="J3107" t="s">
        <v>4731</v>
      </c>
      <c r="K3107" t="s">
        <v>108</v>
      </c>
      <c r="L3107" t="s">
        <v>138</v>
      </c>
      <c r="M3107" t="s">
        <v>112</v>
      </c>
      <c r="N3107" t="s">
        <v>150</v>
      </c>
      <c r="O3107" t="s">
        <v>1345</v>
      </c>
    </row>
    <row r="3108" spans="1:15" x14ac:dyDescent="0.3">
      <c r="A3108" s="130">
        <v>17402</v>
      </c>
      <c r="B3108" s="130">
        <v>30</v>
      </c>
      <c r="C3108" s="130" t="s">
        <v>4732</v>
      </c>
      <c r="D3108">
        <v>26292</v>
      </c>
      <c r="E3108" s="130">
        <v>19739564</v>
      </c>
      <c r="F3108" t="s">
        <v>87</v>
      </c>
      <c r="G3108">
        <v>358</v>
      </c>
      <c r="H3108" t="s">
        <v>8952</v>
      </c>
      <c r="I3108" s="130">
        <v>10</v>
      </c>
      <c r="J3108" t="s">
        <v>4732</v>
      </c>
      <c r="K3108" t="s">
        <v>95</v>
      </c>
      <c r="L3108" t="s">
        <v>105</v>
      </c>
      <c r="M3108" t="s">
        <v>103</v>
      </c>
      <c r="N3108" t="s">
        <v>98</v>
      </c>
      <c r="O3108" t="s">
        <v>1345</v>
      </c>
    </row>
    <row r="3109" spans="1:15" x14ac:dyDescent="0.3">
      <c r="A3109" s="130">
        <v>17406</v>
      </c>
      <c r="B3109" s="130">
        <v>30</v>
      </c>
      <c r="C3109" s="130" t="s">
        <v>4733</v>
      </c>
      <c r="D3109">
        <v>26299</v>
      </c>
      <c r="E3109" s="130">
        <v>67844183</v>
      </c>
      <c r="F3109" t="s">
        <v>87</v>
      </c>
      <c r="G3109">
        <v>76</v>
      </c>
      <c r="H3109" t="s">
        <v>8953</v>
      </c>
      <c r="I3109" s="130">
        <v>19</v>
      </c>
      <c r="J3109" t="s">
        <v>4733</v>
      </c>
      <c r="K3109" t="s">
        <v>95</v>
      </c>
      <c r="L3109" t="s">
        <v>146</v>
      </c>
      <c r="M3109" t="s">
        <v>103</v>
      </c>
      <c r="N3109" t="s">
        <v>98</v>
      </c>
      <c r="O3109" t="s">
        <v>116</v>
      </c>
    </row>
    <row r="3110" spans="1:15" x14ac:dyDescent="0.3">
      <c r="A3110" s="130">
        <v>17407</v>
      </c>
      <c r="B3110" s="130">
        <v>10</v>
      </c>
      <c r="C3110" s="130" t="s">
        <v>4734</v>
      </c>
      <c r="D3110">
        <v>26231</v>
      </c>
      <c r="E3110" s="131">
        <v>13793944</v>
      </c>
      <c r="F3110" t="s">
        <v>87</v>
      </c>
      <c r="G3110">
        <v>358</v>
      </c>
      <c r="H3110" t="s">
        <v>8951</v>
      </c>
      <c r="I3110" s="130">
        <v>37</v>
      </c>
      <c r="J3110" t="s">
        <v>4734</v>
      </c>
      <c r="K3110" t="s">
        <v>108</v>
      </c>
      <c r="L3110" t="s">
        <v>193</v>
      </c>
      <c r="M3110" t="s">
        <v>133</v>
      </c>
      <c r="N3110" t="s">
        <v>98</v>
      </c>
      <c r="O3110" t="s">
        <v>1345</v>
      </c>
    </row>
    <row r="3111" spans="1:15" x14ac:dyDescent="0.3">
      <c r="A3111" s="130">
        <v>17415</v>
      </c>
      <c r="B3111" s="130">
        <v>90</v>
      </c>
      <c r="C3111" s="130" t="s">
        <v>4735</v>
      </c>
      <c r="D3111">
        <v>26309</v>
      </c>
      <c r="E3111" s="131">
        <v>35234509</v>
      </c>
      <c r="F3111" t="s">
        <v>87</v>
      </c>
      <c r="G3111">
        <v>76</v>
      </c>
      <c r="H3111" t="s">
        <v>8952</v>
      </c>
      <c r="I3111" s="131">
        <v>24</v>
      </c>
      <c r="J3111" t="s">
        <v>4735</v>
      </c>
      <c r="K3111" t="s">
        <v>95</v>
      </c>
      <c r="L3111" t="s">
        <v>102</v>
      </c>
      <c r="M3111" t="s">
        <v>170</v>
      </c>
      <c r="N3111" t="s">
        <v>98</v>
      </c>
      <c r="O3111" t="s">
        <v>116</v>
      </c>
    </row>
    <row r="3112" spans="1:15" x14ac:dyDescent="0.3">
      <c r="A3112" s="130">
        <v>17426</v>
      </c>
      <c r="B3112" s="130">
        <v>10</v>
      </c>
      <c r="C3112" s="130" t="s">
        <v>4736</v>
      </c>
      <c r="D3112">
        <v>26329</v>
      </c>
      <c r="E3112" s="130">
        <v>5515245</v>
      </c>
      <c r="F3112" t="s">
        <v>87</v>
      </c>
      <c r="G3112">
        <v>76</v>
      </c>
      <c r="H3112" t="s">
        <v>8953</v>
      </c>
      <c r="I3112" s="130">
        <v>18</v>
      </c>
      <c r="J3112" t="s">
        <v>4736</v>
      </c>
      <c r="K3112" t="s">
        <v>108</v>
      </c>
      <c r="L3112" t="s">
        <v>1293</v>
      </c>
      <c r="M3112" t="s">
        <v>133</v>
      </c>
      <c r="N3112" t="s">
        <v>98</v>
      </c>
      <c r="O3112" t="s">
        <v>1345</v>
      </c>
    </row>
    <row r="3113" spans="1:15" x14ac:dyDescent="0.3">
      <c r="A3113" s="130">
        <v>17430</v>
      </c>
      <c r="B3113" s="130">
        <v>10</v>
      </c>
      <c r="C3113" s="130" t="s">
        <v>4737</v>
      </c>
      <c r="D3113">
        <v>26332</v>
      </c>
      <c r="E3113" s="130">
        <v>242184</v>
      </c>
      <c r="F3113" t="s">
        <v>87</v>
      </c>
      <c r="G3113">
        <v>358</v>
      </c>
      <c r="H3113" t="s">
        <v>8951</v>
      </c>
      <c r="I3113" s="131">
        <v>37</v>
      </c>
      <c r="J3113" t="s">
        <v>4737</v>
      </c>
      <c r="K3113" t="s">
        <v>108</v>
      </c>
      <c r="L3113" t="s">
        <v>193</v>
      </c>
      <c r="M3113" t="s">
        <v>133</v>
      </c>
      <c r="N3113" t="s">
        <v>98</v>
      </c>
      <c r="O3113" t="s">
        <v>116</v>
      </c>
    </row>
    <row r="3114" spans="1:15" x14ac:dyDescent="0.3">
      <c r="A3114" s="130">
        <v>17431</v>
      </c>
      <c r="B3114" s="130">
        <v>25</v>
      </c>
      <c r="C3114" s="130" t="s">
        <v>4738</v>
      </c>
      <c r="D3114">
        <v>26336</v>
      </c>
      <c r="E3114" s="130">
        <v>30598095</v>
      </c>
      <c r="F3114" t="s">
        <v>87</v>
      </c>
      <c r="G3114">
        <v>76</v>
      </c>
      <c r="H3114" t="s">
        <v>8952</v>
      </c>
      <c r="I3114" s="130">
        <v>3</v>
      </c>
      <c r="J3114" t="s">
        <v>4738</v>
      </c>
      <c r="K3114" t="s">
        <v>95</v>
      </c>
      <c r="L3114" t="s">
        <v>111</v>
      </c>
      <c r="M3114" t="s">
        <v>164</v>
      </c>
      <c r="N3114" t="s">
        <v>98</v>
      </c>
      <c r="O3114" t="s">
        <v>1345</v>
      </c>
    </row>
    <row r="3115" spans="1:15" x14ac:dyDescent="0.3">
      <c r="A3115" s="130">
        <v>17436</v>
      </c>
      <c r="B3115" s="130">
        <v>30</v>
      </c>
      <c r="C3115" s="130" t="s">
        <v>4739</v>
      </c>
      <c r="D3115">
        <v>26342</v>
      </c>
      <c r="E3115" s="130">
        <v>33443038</v>
      </c>
      <c r="F3115" t="s">
        <v>87</v>
      </c>
      <c r="G3115">
        <v>76</v>
      </c>
      <c r="H3115" t="s">
        <v>8953</v>
      </c>
      <c r="I3115" s="131">
        <v>3</v>
      </c>
      <c r="J3115" t="s">
        <v>4739</v>
      </c>
      <c r="K3115" t="s">
        <v>108</v>
      </c>
      <c r="L3115" t="s">
        <v>111</v>
      </c>
      <c r="M3115" t="s">
        <v>103</v>
      </c>
      <c r="N3115" t="s">
        <v>98</v>
      </c>
      <c r="O3115" t="s">
        <v>1345</v>
      </c>
    </row>
    <row r="3116" spans="1:15" x14ac:dyDescent="0.3">
      <c r="A3116" s="130">
        <v>17444</v>
      </c>
      <c r="B3116" s="130">
        <v>90</v>
      </c>
      <c r="C3116" s="130" t="s">
        <v>4740</v>
      </c>
      <c r="D3116">
        <v>26353</v>
      </c>
      <c r="E3116" s="130">
        <v>35234509</v>
      </c>
      <c r="F3116" t="s">
        <v>87</v>
      </c>
      <c r="G3116">
        <v>76</v>
      </c>
      <c r="H3116" t="s">
        <v>8951</v>
      </c>
      <c r="I3116" s="131">
        <v>24</v>
      </c>
      <c r="J3116" t="s">
        <v>4740</v>
      </c>
      <c r="K3116" t="s">
        <v>95</v>
      </c>
      <c r="L3116" t="s">
        <v>102</v>
      </c>
      <c r="M3116" t="s">
        <v>170</v>
      </c>
      <c r="N3116" t="s">
        <v>98</v>
      </c>
      <c r="O3116" t="s">
        <v>116</v>
      </c>
    </row>
    <row r="3117" spans="1:15" x14ac:dyDescent="0.3">
      <c r="A3117" s="130">
        <v>17458</v>
      </c>
      <c r="B3117" s="130">
        <v>30</v>
      </c>
      <c r="C3117" s="130" t="s">
        <v>4741</v>
      </c>
      <c r="D3117">
        <v>26372</v>
      </c>
      <c r="E3117" s="130">
        <v>34562112</v>
      </c>
      <c r="F3117" t="s">
        <v>87</v>
      </c>
      <c r="G3117">
        <v>76</v>
      </c>
      <c r="H3117" t="s">
        <v>8952</v>
      </c>
      <c r="I3117" s="131">
        <v>24</v>
      </c>
      <c r="J3117" t="s">
        <v>4741</v>
      </c>
      <c r="K3117" t="s">
        <v>95</v>
      </c>
      <c r="L3117" t="s">
        <v>191</v>
      </c>
      <c r="M3117" t="s">
        <v>103</v>
      </c>
      <c r="N3117" t="s">
        <v>107</v>
      </c>
      <c r="O3117" t="s">
        <v>116</v>
      </c>
    </row>
    <row r="3118" spans="1:15" x14ac:dyDescent="0.3">
      <c r="A3118" s="130">
        <v>17462</v>
      </c>
      <c r="B3118" s="130">
        <v>30</v>
      </c>
      <c r="C3118" s="130" t="s">
        <v>4742</v>
      </c>
      <c r="D3118">
        <v>26376</v>
      </c>
      <c r="E3118" s="130">
        <v>34562112</v>
      </c>
      <c r="F3118" t="s">
        <v>87</v>
      </c>
      <c r="G3118">
        <v>76</v>
      </c>
      <c r="H3118" t="s">
        <v>8953</v>
      </c>
      <c r="I3118" s="131">
        <v>24</v>
      </c>
      <c r="J3118" t="s">
        <v>4742</v>
      </c>
      <c r="K3118" t="s">
        <v>95</v>
      </c>
      <c r="L3118" t="s">
        <v>191</v>
      </c>
      <c r="M3118" t="s">
        <v>103</v>
      </c>
      <c r="N3118" t="s">
        <v>98</v>
      </c>
      <c r="O3118" t="s">
        <v>116</v>
      </c>
    </row>
    <row r="3119" spans="1:15" x14ac:dyDescent="0.3">
      <c r="A3119" s="130">
        <v>17464</v>
      </c>
      <c r="B3119" s="130">
        <v>30</v>
      </c>
      <c r="C3119" s="130" t="s">
        <v>4743</v>
      </c>
      <c r="D3119">
        <v>26378</v>
      </c>
      <c r="E3119" s="130">
        <v>17162983</v>
      </c>
      <c r="F3119" t="s">
        <v>87</v>
      </c>
      <c r="G3119">
        <v>358</v>
      </c>
      <c r="H3119" t="s">
        <v>8951</v>
      </c>
      <c r="I3119" s="130">
        <v>3</v>
      </c>
      <c r="J3119" t="s">
        <v>4743</v>
      </c>
      <c r="K3119" t="s">
        <v>95</v>
      </c>
      <c r="L3119" t="s">
        <v>105</v>
      </c>
      <c r="M3119" t="s">
        <v>103</v>
      </c>
      <c r="N3119" t="s">
        <v>98</v>
      </c>
      <c r="O3119" t="s">
        <v>116</v>
      </c>
    </row>
    <row r="3120" spans="1:15" x14ac:dyDescent="0.3">
      <c r="A3120" s="130">
        <v>17484</v>
      </c>
      <c r="B3120" s="130">
        <v>-1</v>
      </c>
      <c r="C3120" s="130" t="s">
        <v>4744</v>
      </c>
      <c r="D3120">
        <v>26403</v>
      </c>
      <c r="E3120" s="131">
        <v>5701136</v>
      </c>
      <c r="F3120" t="s">
        <v>87</v>
      </c>
      <c r="G3120">
        <v>76</v>
      </c>
      <c r="H3120" t="s">
        <v>8952</v>
      </c>
      <c r="I3120" s="131">
        <v>40</v>
      </c>
      <c r="J3120" t="s">
        <v>4744</v>
      </c>
      <c r="K3120" t="s">
        <v>95</v>
      </c>
      <c r="L3120" t="s">
        <v>1241</v>
      </c>
      <c r="M3120" t="s">
        <v>1263</v>
      </c>
      <c r="N3120" t="s">
        <v>98</v>
      </c>
      <c r="O3120" t="s">
        <v>1256</v>
      </c>
    </row>
    <row r="3121" spans="1:15" x14ac:dyDescent="0.3">
      <c r="A3121" s="130">
        <v>17488</v>
      </c>
      <c r="B3121" s="130">
        <v>30</v>
      </c>
      <c r="C3121" s="130" t="s">
        <v>4745</v>
      </c>
      <c r="D3121">
        <v>26407</v>
      </c>
      <c r="E3121" s="131">
        <v>13473637</v>
      </c>
      <c r="F3121" t="s">
        <v>87</v>
      </c>
      <c r="G3121">
        <v>76</v>
      </c>
      <c r="H3121" t="s">
        <v>8953</v>
      </c>
      <c r="I3121" s="130">
        <v>37</v>
      </c>
      <c r="J3121" t="s">
        <v>4745</v>
      </c>
      <c r="K3121" t="s">
        <v>95</v>
      </c>
      <c r="L3121" t="s">
        <v>138</v>
      </c>
      <c r="M3121" t="s">
        <v>103</v>
      </c>
      <c r="N3121" t="s">
        <v>150</v>
      </c>
      <c r="O3121" t="s">
        <v>1345</v>
      </c>
    </row>
    <row r="3122" spans="1:15" x14ac:dyDescent="0.3">
      <c r="A3122" s="130">
        <v>17494</v>
      </c>
      <c r="B3122" s="130">
        <v>30</v>
      </c>
      <c r="C3122" s="130" t="s">
        <v>4746</v>
      </c>
      <c r="D3122">
        <v>26415</v>
      </c>
      <c r="E3122" s="130">
        <v>67844183</v>
      </c>
      <c r="F3122" t="s">
        <v>87</v>
      </c>
      <c r="G3122">
        <v>76</v>
      </c>
      <c r="H3122" t="s">
        <v>8951</v>
      </c>
      <c r="I3122" s="131">
        <v>19</v>
      </c>
      <c r="J3122" t="s">
        <v>4746</v>
      </c>
      <c r="K3122" t="s">
        <v>95</v>
      </c>
      <c r="L3122" t="s">
        <v>146</v>
      </c>
      <c r="M3122" t="s">
        <v>103</v>
      </c>
      <c r="N3122" t="s">
        <v>98</v>
      </c>
      <c r="O3122" t="s">
        <v>1345</v>
      </c>
    </row>
    <row r="3123" spans="1:15" x14ac:dyDescent="0.3">
      <c r="A3123" s="130">
        <v>17498</v>
      </c>
      <c r="B3123" s="130">
        <v>45</v>
      </c>
      <c r="C3123" s="130" t="s">
        <v>4747</v>
      </c>
      <c r="D3123">
        <v>26389</v>
      </c>
      <c r="E3123" s="130">
        <v>28789998</v>
      </c>
      <c r="F3123" t="s">
        <v>87</v>
      </c>
      <c r="G3123">
        <v>76</v>
      </c>
      <c r="H3123" t="s">
        <v>8952</v>
      </c>
      <c r="I3123" s="130">
        <v>18</v>
      </c>
      <c r="J3123" t="s">
        <v>4747</v>
      </c>
      <c r="K3123" t="s">
        <v>95</v>
      </c>
      <c r="L3123" t="s">
        <v>120</v>
      </c>
      <c r="M3123" t="s">
        <v>106</v>
      </c>
      <c r="N3123" t="s">
        <v>114</v>
      </c>
      <c r="O3123" t="s">
        <v>116</v>
      </c>
    </row>
    <row r="3124" spans="1:15" x14ac:dyDescent="0.3">
      <c r="A3124" s="130">
        <v>17504</v>
      </c>
      <c r="B3124" s="130">
        <v>15</v>
      </c>
      <c r="C3124" s="130" t="s">
        <v>4748</v>
      </c>
      <c r="D3124">
        <v>26426</v>
      </c>
      <c r="E3124" s="130">
        <v>11654165</v>
      </c>
      <c r="F3124" t="s">
        <v>87</v>
      </c>
      <c r="G3124">
        <v>76</v>
      </c>
      <c r="H3124" t="s">
        <v>8953</v>
      </c>
      <c r="I3124" s="131">
        <v>19</v>
      </c>
      <c r="J3124" t="s">
        <v>4748</v>
      </c>
      <c r="K3124" t="s">
        <v>108</v>
      </c>
      <c r="L3124" t="s">
        <v>146</v>
      </c>
      <c r="M3124" t="s">
        <v>145</v>
      </c>
      <c r="N3124" t="s">
        <v>98</v>
      </c>
      <c r="O3124" t="s">
        <v>1345</v>
      </c>
    </row>
    <row r="3125" spans="1:15" x14ac:dyDescent="0.3">
      <c r="A3125" s="130">
        <v>17508</v>
      </c>
      <c r="B3125" s="130">
        <v>30</v>
      </c>
      <c r="C3125" s="130" t="s">
        <v>4749</v>
      </c>
      <c r="D3125">
        <v>26436</v>
      </c>
      <c r="E3125" s="130">
        <v>15062243</v>
      </c>
      <c r="F3125" t="s">
        <v>87</v>
      </c>
      <c r="G3125">
        <v>76</v>
      </c>
      <c r="H3125" t="s">
        <v>8951</v>
      </c>
      <c r="I3125" s="131">
        <v>10</v>
      </c>
      <c r="J3125" t="s">
        <v>4749</v>
      </c>
      <c r="K3125" t="s">
        <v>95</v>
      </c>
      <c r="L3125" t="s">
        <v>105</v>
      </c>
      <c r="M3125" t="s">
        <v>103</v>
      </c>
      <c r="N3125" t="s">
        <v>98</v>
      </c>
      <c r="O3125" t="s">
        <v>1345</v>
      </c>
    </row>
    <row r="3126" spans="1:15" x14ac:dyDescent="0.3">
      <c r="A3126" s="130">
        <v>17511</v>
      </c>
      <c r="B3126" s="130">
        <v>10</v>
      </c>
      <c r="C3126" s="130" t="s">
        <v>4750</v>
      </c>
      <c r="D3126">
        <v>26386</v>
      </c>
      <c r="E3126" s="130">
        <v>5599682</v>
      </c>
      <c r="F3126" t="s">
        <v>113</v>
      </c>
      <c r="G3126">
        <v>76</v>
      </c>
      <c r="H3126" t="s">
        <v>8952</v>
      </c>
      <c r="I3126" s="131">
        <v>3</v>
      </c>
      <c r="J3126" t="s">
        <v>4750</v>
      </c>
      <c r="K3126" t="s">
        <v>108</v>
      </c>
      <c r="L3126" t="s">
        <v>153</v>
      </c>
      <c r="M3126" t="s">
        <v>133</v>
      </c>
      <c r="N3126" t="s">
        <v>98</v>
      </c>
      <c r="O3126" t="s">
        <v>1256</v>
      </c>
    </row>
    <row r="3127" spans="1:15" x14ac:dyDescent="0.3">
      <c r="A3127" s="130">
        <v>17515</v>
      </c>
      <c r="B3127" s="130">
        <v>-1</v>
      </c>
      <c r="C3127" s="130" t="s">
        <v>4751</v>
      </c>
      <c r="D3127">
        <v>26453</v>
      </c>
      <c r="E3127" s="130">
        <v>34639717</v>
      </c>
      <c r="F3127" t="s">
        <v>87</v>
      </c>
      <c r="G3127">
        <v>76</v>
      </c>
      <c r="H3127" t="s">
        <v>8953</v>
      </c>
      <c r="I3127" s="131">
        <v>38</v>
      </c>
      <c r="J3127" t="s">
        <v>4751</v>
      </c>
      <c r="K3127" t="s">
        <v>95</v>
      </c>
      <c r="L3127" t="s">
        <v>109</v>
      </c>
      <c r="M3127" t="s">
        <v>174</v>
      </c>
      <c r="N3127" t="s">
        <v>122</v>
      </c>
      <c r="O3127" t="s">
        <v>116</v>
      </c>
    </row>
    <row r="3128" spans="1:15" x14ac:dyDescent="0.3">
      <c r="A3128" s="130">
        <v>17529</v>
      </c>
      <c r="B3128" s="130">
        <v>10</v>
      </c>
      <c r="C3128" s="130" t="s">
        <v>4752</v>
      </c>
      <c r="D3128">
        <v>26462</v>
      </c>
      <c r="E3128" s="130">
        <v>7456834</v>
      </c>
      <c r="F3128" t="s">
        <v>87</v>
      </c>
      <c r="G3128">
        <v>76</v>
      </c>
      <c r="H3128" t="s">
        <v>8951</v>
      </c>
      <c r="I3128" s="130">
        <v>18</v>
      </c>
      <c r="J3128" t="s">
        <v>4752</v>
      </c>
      <c r="K3128" t="s">
        <v>108</v>
      </c>
      <c r="L3128" t="s">
        <v>1293</v>
      </c>
      <c r="M3128" t="s">
        <v>133</v>
      </c>
      <c r="N3128" t="s">
        <v>98</v>
      </c>
      <c r="O3128" t="s">
        <v>1345</v>
      </c>
    </row>
    <row r="3129" spans="1:15" x14ac:dyDescent="0.3">
      <c r="A3129" s="130">
        <v>17532</v>
      </c>
      <c r="B3129" s="130">
        <v>10</v>
      </c>
      <c r="C3129" s="130" t="s">
        <v>4753</v>
      </c>
      <c r="D3129">
        <v>26474</v>
      </c>
      <c r="E3129" s="130">
        <v>4612844</v>
      </c>
      <c r="F3129" t="s">
        <v>87</v>
      </c>
      <c r="G3129">
        <v>76</v>
      </c>
      <c r="H3129" t="s">
        <v>8952</v>
      </c>
      <c r="I3129" s="131">
        <v>3</v>
      </c>
      <c r="J3129" t="s">
        <v>4753</v>
      </c>
      <c r="K3129" t="s">
        <v>108</v>
      </c>
      <c r="L3129" t="s">
        <v>111</v>
      </c>
      <c r="M3129" t="s">
        <v>133</v>
      </c>
      <c r="N3129" t="s">
        <v>98</v>
      </c>
      <c r="O3129" t="s">
        <v>116</v>
      </c>
    </row>
    <row r="3130" spans="1:15" x14ac:dyDescent="0.3">
      <c r="A3130" s="130">
        <v>17538</v>
      </c>
      <c r="B3130" s="130">
        <v>30</v>
      </c>
      <c r="C3130" s="130" t="s">
        <v>4754</v>
      </c>
      <c r="D3130">
        <v>26480</v>
      </c>
      <c r="E3130" s="130">
        <v>21062047</v>
      </c>
      <c r="F3130" t="s">
        <v>87</v>
      </c>
      <c r="G3130">
        <v>76</v>
      </c>
      <c r="H3130" t="s">
        <v>8953</v>
      </c>
      <c r="I3130" s="131">
        <v>3</v>
      </c>
      <c r="J3130" t="s">
        <v>4754</v>
      </c>
      <c r="K3130" t="s">
        <v>95</v>
      </c>
      <c r="L3130" t="s">
        <v>153</v>
      </c>
      <c r="M3130" t="s">
        <v>103</v>
      </c>
      <c r="N3130" t="s">
        <v>98</v>
      </c>
      <c r="O3130" t="s">
        <v>116</v>
      </c>
    </row>
    <row r="3131" spans="1:15" x14ac:dyDescent="0.3">
      <c r="A3131" s="130">
        <v>17539</v>
      </c>
      <c r="B3131" s="130">
        <v>30</v>
      </c>
      <c r="C3131" s="130" t="s">
        <v>4755</v>
      </c>
      <c r="D3131">
        <v>26482</v>
      </c>
      <c r="E3131" s="130">
        <v>2617158</v>
      </c>
      <c r="F3131" t="s">
        <v>87</v>
      </c>
      <c r="G3131">
        <v>76</v>
      </c>
      <c r="H3131" t="s">
        <v>8951</v>
      </c>
      <c r="I3131" s="131">
        <v>3</v>
      </c>
      <c r="J3131" t="s">
        <v>4755</v>
      </c>
      <c r="K3131" t="s">
        <v>95</v>
      </c>
      <c r="L3131" t="s">
        <v>111</v>
      </c>
      <c r="M3131" t="s">
        <v>103</v>
      </c>
      <c r="N3131" t="s">
        <v>98</v>
      </c>
      <c r="O3131" t="s">
        <v>116</v>
      </c>
    </row>
    <row r="3132" spans="1:15" x14ac:dyDescent="0.3">
      <c r="A3132" s="130">
        <v>17544</v>
      </c>
      <c r="B3132" s="130">
        <v>35</v>
      </c>
      <c r="C3132" s="130" t="s">
        <v>4756</v>
      </c>
      <c r="D3132">
        <v>26488</v>
      </c>
      <c r="E3132" s="130">
        <v>34692778</v>
      </c>
      <c r="F3132" t="s">
        <v>87</v>
      </c>
      <c r="G3132">
        <v>77</v>
      </c>
      <c r="H3132" t="s">
        <v>8952</v>
      </c>
      <c r="I3132" s="131">
        <v>18</v>
      </c>
      <c r="J3132" t="s">
        <v>4756</v>
      </c>
      <c r="K3132" t="s">
        <v>95</v>
      </c>
      <c r="L3132" t="s">
        <v>256</v>
      </c>
      <c r="M3132" t="s">
        <v>161</v>
      </c>
      <c r="N3132" t="s">
        <v>98</v>
      </c>
      <c r="O3132" t="s">
        <v>116</v>
      </c>
    </row>
    <row r="3133" spans="1:15" x14ac:dyDescent="0.3">
      <c r="A3133" s="130">
        <v>17547</v>
      </c>
      <c r="B3133" s="130">
        <v>21</v>
      </c>
      <c r="C3133" s="130" t="s">
        <v>4757</v>
      </c>
      <c r="D3133">
        <v>26496</v>
      </c>
      <c r="E3133" s="131">
        <v>13067990</v>
      </c>
      <c r="F3133" t="s">
        <v>87</v>
      </c>
      <c r="G3133">
        <v>76</v>
      </c>
      <c r="H3133" t="s">
        <v>8953</v>
      </c>
      <c r="I3133" s="130">
        <v>24</v>
      </c>
      <c r="J3133" t="s">
        <v>4757</v>
      </c>
      <c r="K3133" t="s">
        <v>95</v>
      </c>
      <c r="L3133" t="s">
        <v>191</v>
      </c>
      <c r="M3133" t="s">
        <v>137</v>
      </c>
      <c r="N3133" t="s">
        <v>98</v>
      </c>
      <c r="O3133" t="s">
        <v>116</v>
      </c>
    </row>
    <row r="3134" spans="1:15" x14ac:dyDescent="0.3">
      <c r="A3134" s="130">
        <v>17552</v>
      </c>
      <c r="B3134" s="130">
        <v>18</v>
      </c>
      <c r="C3134" s="130" t="s">
        <v>4758</v>
      </c>
      <c r="D3134">
        <v>26503</v>
      </c>
      <c r="E3134" s="130">
        <v>6074662</v>
      </c>
      <c r="F3134" t="s">
        <v>87</v>
      </c>
      <c r="G3134">
        <v>358</v>
      </c>
      <c r="H3134" t="s">
        <v>8951</v>
      </c>
      <c r="I3134" s="130">
        <v>3</v>
      </c>
      <c r="J3134" t="s">
        <v>4758</v>
      </c>
      <c r="K3134" t="s">
        <v>108</v>
      </c>
      <c r="L3134" t="s">
        <v>105</v>
      </c>
      <c r="M3134" t="s">
        <v>112</v>
      </c>
      <c r="N3134" t="s">
        <v>114</v>
      </c>
      <c r="O3134" t="s">
        <v>116</v>
      </c>
    </row>
    <row r="3135" spans="1:15" x14ac:dyDescent="0.3">
      <c r="A3135" s="130">
        <v>17553</v>
      </c>
      <c r="B3135" s="130">
        <v>21</v>
      </c>
      <c r="C3135" s="130" t="s">
        <v>4759</v>
      </c>
      <c r="D3135">
        <v>26505</v>
      </c>
      <c r="E3135" s="130">
        <v>44764288</v>
      </c>
      <c r="F3135" t="s">
        <v>87</v>
      </c>
      <c r="G3135">
        <v>76</v>
      </c>
      <c r="H3135" t="s">
        <v>8952</v>
      </c>
      <c r="I3135" s="131">
        <v>10</v>
      </c>
      <c r="J3135" t="s">
        <v>4759</v>
      </c>
      <c r="K3135" t="s">
        <v>95</v>
      </c>
      <c r="L3135" t="s">
        <v>127</v>
      </c>
      <c r="M3135" t="s">
        <v>137</v>
      </c>
      <c r="N3135" t="s">
        <v>98</v>
      </c>
      <c r="O3135" t="s">
        <v>116</v>
      </c>
    </row>
    <row r="3136" spans="1:15" x14ac:dyDescent="0.3">
      <c r="A3136" s="130">
        <v>17558</v>
      </c>
      <c r="B3136" s="130">
        <v>30</v>
      </c>
      <c r="C3136" s="130" t="s">
        <v>4760</v>
      </c>
      <c r="D3136">
        <v>26516</v>
      </c>
      <c r="E3136" s="130">
        <v>89723977</v>
      </c>
      <c r="F3136" t="s">
        <v>87</v>
      </c>
      <c r="G3136">
        <v>76</v>
      </c>
      <c r="H3136" t="s">
        <v>8953</v>
      </c>
      <c r="I3136" s="131">
        <v>10</v>
      </c>
      <c r="J3136" t="s">
        <v>4760</v>
      </c>
      <c r="K3136" t="s">
        <v>95</v>
      </c>
      <c r="L3136" t="s">
        <v>127</v>
      </c>
      <c r="M3136" t="s">
        <v>103</v>
      </c>
      <c r="N3136" t="s">
        <v>118</v>
      </c>
      <c r="O3136" t="s">
        <v>116</v>
      </c>
    </row>
    <row r="3137" spans="1:15" x14ac:dyDescent="0.3">
      <c r="A3137" s="130">
        <v>17559</v>
      </c>
      <c r="B3137" s="130">
        <v>15</v>
      </c>
      <c r="C3137" s="130" t="s">
        <v>4761</v>
      </c>
      <c r="D3137">
        <v>26517</v>
      </c>
      <c r="E3137" s="131">
        <v>69904936</v>
      </c>
      <c r="F3137" t="s">
        <v>87</v>
      </c>
      <c r="G3137">
        <v>76</v>
      </c>
      <c r="H3137" t="s">
        <v>8951</v>
      </c>
      <c r="I3137" s="131">
        <v>19</v>
      </c>
      <c r="J3137" t="s">
        <v>4761</v>
      </c>
      <c r="K3137" t="s">
        <v>108</v>
      </c>
      <c r="L3137" t="s">
        <v>146</v>
      </c>
      <c r="M3137" t="s">
        <v>145</v>
      </c>
      <c r="N3137" t="s">
        <v>98</v>
      </c>
      <c r="O3137" t="s">
        <v>1345</v>
      </c>
    </row>
    <row r="3138" spans="1:15" x14ac:dyDescent="0.3">
      <c r="A3138" s="130">
        <v>17567</v>
      </c>
      <c r="B3138" s="130">
        <v>28</v>
      </c>
      <c r="C3138" s="130" t="s">
        <v>4762</v>
      </c>
      <c r="D3138">
        <v>26522</v>
      </c>
      <c r="E3138" s="131">
        <v>5962234</v>
      </c>
      <c r="F3138" t="s">
        <v>87</v>
      </c>
      <c r="G3138">
        <v>76</v>
      </c>
      <c r="H3138" t="s">
        <v>8952</v>
      </c>
      <c r="I3138" s="130">
        <v>37</v>
      </c>
      <c r="J3138" t="s">
        <v>4762</v>
      </c>
      <c r="K3138" t="s">
        <v>108</v>
      </c>
      <c r="L3138" t="s">
        <v>138</v>
      </c>
      <c r="M3138" t="s">
        <v>130</v>
      </c>
      <c r="N3138" t="s">
        <v>150</v>
      </c>
      <c r="O3138" t="s">
        <v>116</v>
      </c>
    </row>
    <row r="3139" spans="1:15" x14ac:dyDescent="0.3">
      <c r="A3139" s="130">
        <v>17568</v>
      </c>
      <c r="B3139" s="130">
        <v>30</v>
      </c>
      <c r="C3139" s="130" t="s">
        <v>4763</v>
      </c>
      <c r="D3139">
        <v>26530</v>
      </c>
      <c r="E3139" s="131">
        <v>28465996</v>
      </c>
      <c r="F3139" t="s">
        <v>87</v>
      </c>
      <c r="G3139">
        <v>76</v>
      </c>
      <c r="H3139" t="s">
        <v>8953</v>
      </c>
      <c r="I3139" s="130">
        <v>24</v>
      </c>
      <c r="J3139" t="s">
        <v>4763</v>
      </c>
      <c r="K3139" t="s">
        <v>95</v>
      </c>
      <c r="L3139" t="s">
        <v>144</v>
      </c>
      <c r="M3139" t="s">
        <v>103</v>
      </c>
      <c r="N3139" t="s">
        <v>98</v>
      </c>
      <c r="O3139" t="s">
        <v>116</v>
      </c>
    </row>
    <row r="3140" spans="1:15" x14ac:dyDescent="0.3">
      <c r="A3140" s="130">
        <v>17583</v>
      </c>
      <c r="B3140" s="130">
        <v>18</v>
      </c>
      <c r="C3140" s="130" t="s">
        <v>4764</v>
      </c>
      <c r="D3140">
        <v>26560</v>
      </c>
      <c r="E3140" s="130">
        <v>45231582</v>
      </c>
      <c r="F3140" t="s">
        <v>87</v>
      </c>
      <c r="G3140">
        <v>76</v>
      </c>
      <c r="H3140" t="s">
        <v>8951</v>
      </c>
      <c r="I3140" s="130">
        <v>10</v>
      </c>
      <c r="J3140" t="s">
        <v>4764</v>
      </c>
      <c r="K3140" t="s">
        <v>108</v>
      </c>
      <c r="L3140" t="s">
        <v>127</v>
      </c>
      <c r="M3140" t="s">
        <v>112</v>
      </c>
      <c r="N3140" t="s">
        <v>118</v>
      </c>
      <c r="O3140" t="s">
        <v>1345</v>
      </c>
    </row>
    <row r="3141" spans="1:15" x14ac:dyDescent="0.3">
      <c r="A3141" s="130">
        <v>17587</v>
      </c>
      <c r="B3141" s="130">
        <v>7</v>
      </c>
      <c r="C3141" s="130" t="s">
        <v>4765</v>
      </c>
      <c r="D3141">
        <v>26564</v>
      </c>
      <c r="E3141" s="130">
        <v>45096989</v>
      </c>
      <c r="F3141" t="s">
        <v>87</v>
      </c>
      <c r="G3141">
        <v>76</v>
      </c>
      <c r="H3141" t="s">
        <v>8952</v>
      </c>
      <c r="I3141" s="131">
        <v>37</v>
      </c>
      <c r="J3141" t="s">
        <v>4765</v>
      </c>
      <c r="K3141" t="s">
        <v>108</v>
      </c>
      <c r="L3141" t="s">
        <v>138</v>
      </c>
      <c r="M3141" t="s">
        <v>197</v>
      </c>
      <c r="N3141" t="s">
        <v>150</v>
      </c>
      <c r="O3141" t="s">
        <v>1345</v>
      </c>
    </row>
    <row r="3142" spans="1:15" x14ac:dyDescent="0.3">
      <c r="A3142" s="130">
        <v>17589</v>
      </c>
      <c r="B3142" s="130">
        <v>18</v>
      </c>
      <c r="C3142" s="130" t="s">
        <v>4766</v>
      </c>
      <c r="D3142">
        <v>26565</v>
      </c>
      <c r="E3142" s="130">
        <v>132114</v>
      </c>
      <c r="F3142" t="s">
        <v>87</v>
      </c>
      <c r="G3142">
        <v>358</v>
      </c>
      <c r="H3142" t="s">
        <v>8953</v>
      </c>
      <c r="I3142" s="130">
        <v>3</v>
      </c>
      <c r="J3142" t="s">
        <v>4766</v>
      </c>
      <c r="K3142" t="s">
        <v>108</v>
      </c>
      <c r="L3142" t="s">
        <v>193</v>
      </c>
      <c r="M3142" t="s">
        <v>112</v>
      </c>
      <c r="N3142" t="s">
        <v>98</v>
      </c>
      <c r="O3142" t="s">
        <v>1345</v>
      </c>
    </row>
    <row r="3143" spans="1:15" x14ac:dyDescent="0.3">
      <c r="A3143" s="130">
        <v>17593</v>
      </c>
      <c r="B3143" s="130">
        <v>28</v>
      </c>
      <c r="C3143" s="130" t="s">
        <v>4767</v>
      </c>
      <c r="D3143">
        <v>26574</v>
      </c>
      <c r="E3143" s="130">
        <v>21704420</v>
      </c>
      <c r="F3143" t="s">
        <v>87</v>
      </c>
      <c r="G3143">
        <v>76</v>
      </c>
      <c r="H3143" t="s">
        <v>8951</v>
      </c>
      <c r="I3143" s="130">
        <v>43</v>
      </c>
      <c r="J3143" t="s">
        <v>4767</v>
      </c>
      <c r="K3143" t="s">
        <v>108</v>
      </c>
      <c r="L3143" t="s">
        <v>1368</v>
      </c>
      <c r="M3143" t="s">
        <v>130</v>
      </c>
      <c r="N3143" t="s">
        <v>98</v>
      </c>
      <c r="O3143" t="s">
        <v>116</v>
      </c>
    </row>
    <row r="3144" spans="1:15" x14ac:dyDescent="0.3">
      <c r="A3144" s="130">
        <v>17599</v>
      </c>
      <c r="B3144" s="130">
        <v>30</v>
      </c>
      <c r="C3144" s="130" t="s">
        <v>4768</v>
      </c>
      <c r="D3144">
        <v>26587</v>
      </c>
      <c r="E3144" s="131">
        <v>42909409</v>
      </c>
      <c r="F3144" t="s">
        <v>87</v>
      </c>
      <c r="G3144">
        <v>76</v>
      </c>
      <c r="H3144" t="s">
        <v>8952</v>
      </c>
      <c r="I3144" s="131">
        <v>18</v>
      </c>
      <c r="J3144" t="s">
        <v>4768</v>
      </c>
      <c r="K3144" t="s">
        <v>95</v>
      </c>
      <c r="L3144" t="s">
        <v>123</v>
      </c>
      <c r="M3144" t="s">
        <v>103</v>
      </c>
      <c r="N3144" t="s">
        <v>98</v>
      </c>
      <c r="O3144" t="s">
        <v>116</v>
      </c>
    </row>
    <row r="3145" spans="1:15" x14ac:dyDescent="0.3">
      <c r="A3145" s="130">
        <v>17605</v>
      </c>
      <c r="B3145" s="130">
        <v>45</v>
      </c>
      <c r="C3145" s="130" t="s">
        <v>4769</v>
      </c>
      <c r="D3145">
        <v>26594</v>
      </c>
      <c r="E3145" s="131">
        <v>28789998</v>
      </c>
      <c r="F3145" t="s">
        <v>87</v>
      </c>
      <c r="G3145">
        <v>76</v>
      </c>
      <c r="H3145" t="s">
        <v>8953</v>
      </c>
      <c r="I3145" s="130">
        <v>18</v>
      </c>
      <c r="J3145" t="s">
        <v>4769</v>
      </c>
      <c r="K3145" t="s">
        <v>95</v>
      </c>
      <c r="L3145" t="s">
        <v>120</v>
      </c>
      <c r="M3145" t="s">
        <v>106</v>
      </c>
      <c r="N3145" t="s">
        <v>114</v>
      </c>
      <c r="O3145" t="s">
        <v>116</v>
      </c>
    </row>
    <row r="3146" spans="1:15" x14ac:dyDescent="0.3">
      <c r="A3146" s="130">
        <v>17609</v>
      </c>
      <c r="B3146" s="130">
        <v>18</v>
      </c>
      <c r="C3146" s="130" t="s">
        <v>4770</v>
      </c>
      <c r="D3146">
        <v>26600</v>
      </c>
      <c r="E3146" s="130">
        <v>11334561</v>
      </c>
      <c r="F3146" t="s">
        <v>87</v>
      </c>
      <c r="G3146">
        <v>358</v>
      </c>
      <c r="H3146" t="s">
        <v>8951</v>
      </c>
      <c r="I3146" s="130">
        <v>10</v>
      </c>
      <c r="J3146" t="s">
        <v>4770</v>
      </c>
      <c r="K3146" t="s">
        <v>108</v>
      </c>
      <c r="L3146" t="s">
        <v>109</v>
      </c>
      <c r="M3146" t="s">
        <v>112</v>
      </c>
      <c r="N3146" t="s">
        <v>98</v>
      </c>
      <c r="O3146" t="s">
        <v>1345</v>
      </c>
    </row>
    <row r="3147" spans="1:15" x14ac:dyDescent="0.3">
      <c r="A3147" s="130">
        <v>17613</v>
      </c>
      <c r="B3147" s="130">
        <v>30</v>
      </c>
      <c r="C3147" s="130" t="s">
        <v>4771</v>
      </c>
      <c r="D3147">
        <v>26603</v>
      </c>
      <c r="E3147" s="131">
        <v>67844183</v>
      </c>
      <c r="F3147" t="s">
        <v>87</v>
      </c>
      <c r="G3147">
        <v>76</v>
      </c>
      <c r="H3147" t="s">
        <v>8952</v>
      </c>
      <c r="I3147" s="130">
        <v>10</v>
      </c>
      <c r="J3147" t="s">
        <v>4771</v>
      </c>
      <c r="K3147" t="s">
        <v>95</v>
      </c>
      <c r="L3147" t="s">
        <v>127</v>
      </c>
      <c r="M3147" t="s">
        <v>103</v>
      </c>
      <c r="N3147" t="s">
        <v>118</v>
      </c>
      <c r="O3147" t="s">
        <v>116</v>
      </c>
    </row>
    <row r="3148" spans="1:15" x14ac:dyDescent="0.3">
      <c r="A3148" s="130">
        <v>17620</v>
      </c>
      <c r="B3148" s="130">
        <v>30</v>
      </c>
      <c r="C3148" s="130" t="s">
        <v>4772</v>
      </c>
      <c r="D3148">
        <v>26613</v>
      </c>
      <c r="E3148" s="131">
        <v>67844183</v>
      </c>
      <c r="F3148" t="s">
        <v>87</v>
      </c>
      <c r="G3148">
        <v>358</v>
      </c>
      <c r="H3148" t="s">
        <v>8953</v>
      </c>
      <c r="I3148" s="130">
        <v>24</v>
      </c>
      <c r="J3148" t="s">
        <v>4772</v>
      </c>
      <c r="K3148" t="s">
        <v>95</v>
      </c>
      <c r="L3148" t="s">
        <v>105</v>
      </c>
      <c r="M3148" t="s">
        <v>103</v>
      </c>
      <c r="N3148" t="s">
        <v>98</v>
      </c>
      <c r="O3148" t="s">
        <v>1345</v>
      </c>
    </row>
    <row r="3149" spans="1:15" x14ac:dyDescent="0.3">
      <c r="A3149" s="130">
        <v>17621</v>
      </c>
      <c r="B3149" s="130">
        <v>30</v>
      </c>
      <c r="C3149" s="130" t="s">
        <v>4773</v>
      </c>
      <c r="D3149">
        <v>26616</v>
      </c>
      <c r="E3149" s="130">
        <v>67844183</v>
      </c>
      <c r="F3149" t="s">
        <v>87</v>
      </c>
      <c r="G3149">
        <v>358</v>
      </c>
      <c r="H3149" t="s">
        <v>8951</v>
      </c>
      <c r="I3149" s="131">
        <v>9</v>
      </c>
      <c r="J3149" t="s">
        <v>4773</v>
      </c>
      <c r="K3149" t="s">
        <v>95</v>
      </c>
      <c r="L3149" t="s">
        <v>111</v>
      </c>
      <c r="M3149" t="s">
        <v>103</v>
      </c>
      <c r="N3149" t="s">
        <v>98</v>
      </c>
      <c r="O3149" t="s">
        <v>116</v>
      </c>
    </row>
    <row r="3150" spans="1:15" x14ac:dyDescent="0.3">
      <c r="A3150" s="130">
        <v>17635</v>
      </c>
      <c r="B3150" s="130">
        <v>90</v>
      </c>
      <c r="C3150" s="130" t="s">
        <v>4774</v>
      </c>
      <c r="D3150">
        <v>26645</v>
      </c>
      <c r="E3150" s="130">
        <v>35234509</v>
      </c>
      <c r="F3150" t="s">
        <v>87</v>
      </c>
      <c r="G3150">
        <v>76</v>
      </c>
      <c r="H3150" t="s">
        <v>8952</v>
      </c>
      <c r="I3150" s="131">
        <v>18</v>
      </c>
      <c r="J3150" t="s">
        <v>4774</v>
      </c>
      <c r="K3150" t="s">
        <v>95</v>
      </c>
      <c r="L3150" t="s">
        <v>102</v>
      </c>
      <c r="M3150" t="s">
        <v>170</v>
      </c>
      <c r="N3150" t="s">
        <v>98</v>
      </c>
      <c r="O3150" t="s">
        <v>116</v>
      </c>
    </row>
    <row r="3151" spans="1:15" x14ac:dyDescent="0.3">
      <c r="A3151" s="130">
        <v>17648</v>
      </c>
      <c r="B3151" s="130">
        <v>10</v>
      </c>
      <c r="C3151" s="130" t="s">
        <v>4775</v>
      </c>
      <c r="D3151">
        <v>26655</v>
      </c>
      <c r="E3151" s="130">
        <v>3097618678</v>
      </c>
      <c r="F3151" t="s">
        <v>87</v>
      </c>
      <c r="G3151">
        <v>76</v>
      </c>
      <c r="H3151" t="s">
        <v>8953</v>
      </c>
      <c r="I3151" s="130">
        <v>3</v>
      </c>
      <c r="J3151" t="s">
        <v>4775</v>
      </c>
      <c r="K3151" t="s">
        <v>108</v>
      </c>
      <c r="L3151" t="s">
        <v>1293</v>
      </c>
      <c r="M3151" t="s">
        <v>133</v>
      </c>
      <c r="N3151" t="s">
        <v>110</v>
      </c>
      <c r="O3151" t="s">
        <v>116</v>
      </c>
    </row>
    <row r="3152" spans="1:15" x14ac:dyDescent="0.3">
      <c r="A3152" s="130">
        <v>17653</v>
      </c>
      <c r="B3152" s="130">
        <v>30</v>
      </c>
      <c r="C3152" s="130" t="s">
        <v>4776</v>
      </c>
      <c r="D3152">
        <v>26661</v>
      </c>
      <c r="E3152" s="130">
        <v>11105698</v>
      </c>
      <c r="F3152" t="s">
        <v>87</v>
      </c>
      <c r="G3152">
        <v>76</v>
      </c>
      <c r="H3152" t="s">
        <v>8951</v>
      </c>
      <c r="I3152" s="131">
        <v>38</v>
      </c>
      <c r="J3152" t="s">
        <v>4776</v>
      </c>
      <c r="K3152" t="s">
        <v>108</v>
      </c>
      <c r="L3152" t="s">
        <v>126</v>
      </c>
      <c r="M3152" t="s">
        <v>103</v>
      </c>
      <c r="N3152" t="s">
        <v>98</v>
      </c>
      <c r="O3152" t="s">
        <v>1345</v>
      </c>
    </row>
    <row r="3153" spans="1:15" x14ac:dyDescent="0.3">
      <c r="A3153" s="130">
        <v>17656</v>
      </c>
      <c r="B3153" s="130">
        <v>18</v>
      </c>
      <c r="C3153" s="130" t="s">
        <v>4777</v>
      </c>
      <c r="D3153">
        <v>26664</v>
      </c>
      <c r="E3153" s="131">
        <v>14976693</v>
      </c>
      <c r="F3153" t="s">
        <v>87</v>
      </c>
      <c r="G3153">
        <v>76</v>
      </c>
      <c r="H3153" t="s">
        <v>8952</v>
      </c>
      <c r="I3153" s="130">
        <v>10</v>
      </c>
      <c r="J3153" t="s">
        <v>4777</v>
      </c>
      <c r="K3153" t="s">
        <v>108</v>
      </c>
      <c r="L3153" t="s">
        <v>127</v>
      </c>
      <c r="M3153" t="s">
        <v>112</v>
      </c>
      <c r="N3153" t="s">
        <v>150</v>
      </c>
      <c r="O3153" t="s">
        <v>1345</v>
      </c>
    </row>
    <row r="3154" spans="1:15" x14ac:dyDescent="0.3">
      <c r="A3154" s="130">
        <v>17663</v>
      </c>
      <c r="B3154" s="130">
        <v>10</v>
      </c>
      <c r="C3154" s="130" t="s">
        <v>4778</v>
      </c>
      <c r="D3154">
        <v>26675</v>
      </c>
      <c r="E3154" s="130">
        <v>36984072</v>
      </c>
      <c r="F3154" t="s">
        <v>87</v>
      </c>
      <c r="G3154">
        <v>76</v>
      </c>
      <c r="H3154" t="s">
        <v>8953</v>
      </c>
      <c r="I3154" s="131">
        <v>3</v>
      </c>
      <c r="J3154" t="s">
        <v>4778</v>
      </c>
      <c r="K3154" t="s">
        <v>108</v>
      </c>
      <c r="L3154" t="s">
        <v>153</v>
      </c>
      <c r="M3154" t="s">
        <v>133</v>
      </c>
      <c r="N3154" t="s">
        <v>98</v>
      </c>
      <c r="O3154" t="s">
        <v>1345</v>
      </c>
    </row>
    <row r="3155" spans="1:15" x14ac:dyDescent="0.3">
      <c r="A3155" s="130">
        <v>17676</v>
      </c>
      <c r="B3155" s="130">
        <v>18</v>
      </c>
      <c r="C3155" s="130" t="s">
        <v>4779</v>
      </c>
      <c r="D3155">
        <v>26694</v>
      </c>
      <c r="E3155" s="130">
        <v>63827026</v>
      </c>
      <c r="F3155" t="s">
        <v>87</v>
      </c>
      <c r="G3155">
        <v>76</v>
      </c>
      <c r="H3155" t="s">
        <v>8951</v>
      </c>
      <c r="I3155" s="130">
        <v>9</v>
      </c>
      <c r="J3155" t="s">
        <v>4779</v>
      </c>
      <c r="K3155" t="s">
        <v>108</v>
      </c>
      <c r="L3155" t="s">
        <v>163</v>
      </c>
      <c r="M3155" t="s">
        <v>112</v>
      </c>
      <c r="N3155" t="s">
        <v>114</v>
      </c>
      <c r="O3155" t="s">
        <v>116</v>
      </c>
    </row>
    <row r="3156" spans="1:15" x14ac:dyDescent="0.3">
      <c r="A3156" s="130">
        <v>17678</v>
      </c>
      <c r="B3156" s="130">
        <v>28</v>
      </c>
      <c r="C3156" s="130" t="s">
        <v>4780</v>
      </c>
      <c r="D3156">
        <v>26696</v>
      </c>
      <c r="E3156" s="130">
        <v>9625762</v>
      </c>
      <c r="F3156" t="s">
        <v>87</v>
      </c>
      <c r="G3156">
        <v>76</v>
      </c>
      <c r="H3156" t="s">
        <v>8952</v>
      </c>
      <c r="I3156" s="131">
        <v>19</v>
      </c>
      <c r="J3156" t="s">
        <v>4780</v>
      </c>
      <c r="K3156" t="s">
        <v>95</v>
      </c>
      <c r="L3156" t="s">
        <v>111</v>
      </c>
      <c r="M3156" t="s">
        <v>130</v>
      </c>
      <c r="N3156" t="s">
        <v>150</v>
      </c>
      <c r="O3156" t="s">
        <v>116</v>
      </c>
    </row>
    <row r="3157" spans="1:15" x14ac:dyDescent="0.3">
      <c r="A3157" s="130">
        <v>17683</v>
      </c>
      <c r="B3157" s="130">
        <v>18</v>
      </c>
      <c r="C3157" s="130" t="s">
        <v>4781</v>
      </c>
      <c r="D3157">
        <v>26704</v>
      </c>
      <c r="E3157" s="130">
        <v>36163718</v>
      </c>
      <c r="F3157" t="s">
        <v>87</v>
      </c>
      <c r="G3157">
        <v>76</v>
      </c>
      <c r="H3157" t="s">
        <v>8953</v>
      </c>
      <c r="I3157" s="131">
        <v>37</v>
      </c>
      <c r="J3157" t="s">
        <v>4781</v>
      </c>
      <c r="K3157" t="s">
        <v>108</v>
      </c>
      <c r="L3157" t="s">
        <v>138</v>
      </c>
      <c r="M3157" t="s">
        <v>112</v>
      </c>
      <c r="N3157" t="s">
        <v>101</v>
      </c>
      <c r="O3157" t="s">
        <v>1345</v>
      </c>
    </row>
    <row r="3158" spans="1:15" x14ac:dyDescent="0.3">
      <c r="A3158" s="130">
        <v>17699</v>
      </c>
      <c r="B3158" s="130">
        <v>30</v>
      </c>
      <c r="C3158" s="130" t="s">
        <v>4782</v>
      </c>
      <c r="D3158">
        <v>26728</v>
      </c>
      <c r="E3158" s="131">
        <v>32690778</v>
      </c>
      <c r="F3158" t="s">
        <v>87</v>
      </c>
      <c r="G3158">
        <v>76</v>
      </c>
      <c r="H3158" t="s">
        <v>8951</v>
      </c>
      <c r="I3158" s="130">
        <v>43</v>
      </c>
      <c r="J3158" t="s">
        <v>4782</v>
      </c>
      <c r="K3158" t="s">
        <v>95</v>
      </c>
      <c r="L3158" t="s">
        <v>1368</v>
      </c>
      <c r="M3158" t="s">
        <v>103</v>
      </c>
      <c r="N3158" t="s">
        <v>98</v>
      </c>
      <c r="O3158" t="s">
        <v>116</v>
      </c>
    </row>
    <row r="3159" spans="1:15" x14ac:dyDescent="0.3">
      <c r="A3159" s="130">
        <v>17704</v>
      </c>
      <c r="B3159" s="130">
        <v>30</v>
      </c>
      <c r="C3159" s="130" t="s">
        <v>4783</v>
      </c>
      <c r="D3159">
        <v>26735</v>
      </c>
      <c r="E3159" s="130">
        <v>10630328</v>
      </c>
      <c r="F3159" t="s">
        <v>87</v>
      </c>
      <c r="G3159">
        <v>76</v>
      </c>
      <c r="H3159" t="s">
        <v>8952</v>
      </c>
      <c r="I3159" s="130">
        <v>3</v>
      </c>
      <c r="J3159" t="s">
        <v>4783</v>
      </c>
      <c r="K3159" t="s">
        <v>95</v>
      </c>
      <c r="L3159" t="s">
        <v>111</v>
      </c>
      <c r="M3159" t="s">
        <v>103</v>
      </c>
      <c r="N3159" t="s">
        <v>98</v>
      </c>
      <c r="O3159" t="s">
        <v>116</v>
      </c>
    </row>
    <row r="3160" spans="1:15" x14ac:dyDescent="0.3">
      <c r="A3160" s="130">
        <v>17706</v>
      </c>
      <c r="B3160" s="130">
        <v>30</v>
      </c>
      <c r="C3160" s="130" t="s">
        <v>4784</v>
      </c>
      <c r="D3160">
        <v>26243</v>
      </c>
      <c r="E3160" s="130">
        <v>16921603</v>
      </c>
      <c r="F3160" t="s">
        <v>87</v>
      </c>
      <c r="G3160">
        <v>77</v>
      </c>
      <c r="H3160" t="s">
        <v>8953</v>
      </c>
      <c r="I3160" s="131">
        <v>3</v>
      </c>
      <c r="J3160" t="s">
        <v>4784</v>
      </c>
      <c r="K3160" t="s">
        <v>95</v>
      </c>
      <c r="L3160" t="s">
        <v>235</v>
      </c>
      <c r="M3160" t="s">
        <v>103</v>
      </c>
      <c r="N3160" t="s">
        <v>121</v>
      </c>
      <c r="O3160" t="s">
        <v>116</v>
      </c>
    </row>
    <row r="3161" spans="1:15" x14ac:dyDescent="0.3">
      <c r="A3161" s="130">
        <v>17709</v>
      </c>
      <c r="B3161" s="130">
        <v>21</v>
      </c>
      <c r="C3161" s="130" t="s">
        <v>4785</v>
      </c>
      <c r="D3161">
        <v>26204</v>
      </c>
      <c r="E3161" s="130">
        <v>31005926</v>
      </c>
      <c r="F3161" t="s">
        <v>87</v>
      </c>
      <c r="G3161">
        <v>76</v>
      </c>
      <c r="H3161" t="s">
        <v>8951</v>
      </c>
      <c r="I3161" s="131">
        <v>9</v>
      </c>
      <c r="J3161" t="s">
        <v>4785</v>
      </c>
      <c r="K3161" t="s">
        <v>108</v>
      </c>
      <c r="L3161" t="s">
        <v>181</v>
      </c>
      <c r="M3161" t="s">
        <v>137</v>
      </c>
      <c r="N3161" t="s">
        <v>98</v>
      </c>
      <c r="O3161" t="s">
        <v>1345</v>
      </c>
    </row>
    <row r="3162" spans="1:15" x14ac:dyDescent="0.3">
      <c r="A3162" s="130">
        <v>17730</v>
      </c>
      <c r="B3162" s="130">
        <v>30</v>
      </c>
      <c r="C3162" s="130" t="s">
        <v>4786</v>
      </c>
      <c r="D3162">
        <v>26752</v>
      </c>
      <c r="E3162" s="130">
        <v>21062047</v>
      </c>
      <c r="F3162" t="s">
        <v>87</v>
      </c>
      <c r="G3162">
        <v>76</v>
      </c>
      <c r="H3162" t="s">
        <v>8952</v>
      </c>
      <c r="I3162" s="130">
        <v>3</v>
      </c>
      <c r="J3162" t="s">
        <v>4786</v>
      </c>
      <c r="K3162" t="s">
        <v>95</v>
      </c>
      <c r="L3162" t="s">
        <v>111</v>
      </c>
      <c r="M3162" t="s">
        <v>103</v>
      </c>
      <c r="N3162" t="s">
        <v>98</v>
      </c>
      <c r="O3162" t="s">
        <v>116</v>
      </c>
    </row>
    <row r="3163" spans="1:15" x14ac:dyDescent="0.3">
      <c r="A3163" s="130">
        <v>17731</v>
      </c>
      <c r="B3163" s="130">
        <v>18</v>
      </c>
      <c r="C3163" s="130" t="s">
        <v>4787</v>
      </c>
      <c r="D3163">
        <v>26754</v>
      </c>
      <c r="E3163" s="130">
        <v>17399602</v>
      </c>
      <c r="F3163" t="s">
        <v>87</v>
      </c>
      <c r="G3163">
        <v>76</v>
      </c>
      <c r="H3163" t="s">
        <v>8953</v>
      </c>
      <c r="I3163" s="131">
        <v>10</v>
      </c>
      <c r="J3163" t="s">
        <v>4787</v>
      </c>
      <c r="K3163" t="s">
        <v>108</v>
      </c>
      <c r="L3163" t="s">
        <v>127</v>
      </c>
      <c r="M3163" t="s">
        <v>112</v>
      </c>
      <c r="N3163" t="s">
        <v>118</v>
      </c>
      <c r="O3163" t="s">
        <v>1345</v>
      </c>
    </row>
    <row r="3164" spans="1:15" x14ac:dyDescent="0.3">
      <c r="A3164" s="130">
        <v>17737</v>
      </c>
      <c r="B3164" s="130">
        <v>30</v>
      </c>
      <c r="C3164" s="130" t="s">
        <v>4788</v>
      </c>
      <c r="D3164">
        <v>26168</v>
      </c>
      <c r="E3164" s="131">
        <v>5848387</v>
      </c>
      <c r="F3164" t="s">
        <v>87</v>
      </c>
      <c r="G3164">
        <v>77</v>
      </c>
      <c r="H3164" t="s">
        <v>8951</v>
      </c>
      <c r="I3164" s="131">
        <v>10</v>
      </c>
      <c r="J3164" t="s">
        <v>4788</v>
      </c>
      <c r="K3164" t="s">
        <v>95</v>
      </c>
      <c r="L3164" t="s">
        <v>117</v>
      </c>
      <c r="M3164" t="s">
        <v>103</v>
      </c>
      <c r="N3164" t="s">
        <v>118</v>
      </c>
      <c r="O3164" t="s">
        <v>116</v>
      </c>
    </row>
    <row r="3165" spans="1:15" x14ac:dyDescent="0.3">
      <c r="A3165" s="130">
        <v>17743</v>
      </c>
      <c r="B3165" s="130">
        <v>30</v>
      </c>
      <c r="C3165" s="130" t="s">
        <v>4789</v>
      </c>
      <c r="D3165">
        <v>26759</v>
      </c>
      <c r="E3165" s="130">
        <v>7358761</v>
      </c>
      <c r="F3165" t="s">
        <v>87</v>
      </c>
      <c r="G3165">
        <v>77</v>
      </c>
      <c r="H3165" t="s">
        <v>8952</v>
      </c>
      <c r="I3165" s="130">
        <v>3</v>
      </c>
      <c r="J3165" t="s">
        <v>4789</v>
      </c>
      <c r="K3165" t="s">
        <v>95</v>
      </c>
      <c r="L3165" t="s">
        <v>1255</v>
      </c>
      <c r="M3165" t="s">
        <v>103</v>
      </c>
      <c r="N3165" t="s">
        <v>118</v>
      </c>
      <c r="O3165" t="s">
        <v>1345</v>
      </c>
    </row>
    <row r="3166" spans="1:15" x14ac:dyDescent="0.3">
      <c r="A3166" s="130">
        <v>17747</v>
      </c>
      <c r="B3166" s="130">
        <v>30</v>
      </c>
      <c r="C3166" s="130" t="s">
        <v>4790</v>
      </c>
      <c r="D3166">
        <v>26776</v>
      </c>
      <c r="E3166" s="130">
        <v>34562112</v>
      </c>
      <c r="F3166" t="s">
        <v>87</v>
      </c>
      <c r="G3166">
        <v>76</v>
      </c>
      <c r="H3166" t="s">
        <v>8953</v>
      </c>
      <c r="I3166" s="130">
        <v>24</v>
      </c>
      <c r="J3166" t="s">
        <v>4790</v>
      </c>
      <c r="K3166" t="s">
        <v>95</v>
      </c>
      <c r="L3166" t="s">
        <v>191</v>
      </c>
      <c r="M3166" t="s">
        <v>103</v>
      </c>
      <c r="N3166" t="s">
        <v>107</v>
      </c>
      <c r="O3166" t="s">
        <v>116</v>
      </c>
    </row>
    <row r="3167" spans="1:15" x14ac:dyDescent="0.3">
      <c r="A3167" s="130">
        <v>17749</v>
      </c>
      <c r="B3167" s="130">
        <v>30</v>
      </c>
      <c r="C3167" s="130" t="s">
        <v>4791</v>
      </c>
      <c r="D3167">
        <v>26778</v>
      </c>
      <c r="E3167" s="130">
        <v>34562112</v>
      </c>
      <c r="F3167" t="s">
        <v>87</v>
      </c>
      <c r="G3167">
        <v>76</v>
      </c>
      <c r="H3167" t="s">
        <v>8951</v>
      </c>
      <c r="I3167" s="131">
        <v>24</v>
      </c>
      <c r="J3167" t="s">
        <v>4791</v>
      </c>
      <c r="K3167" t="s">
        <v>95</v>
      </c>
      <c r="L3167" t="s">
        <v>191</v>
      </c>
      <c r="M3167" t="s">
        <v>103</v>
      </c>
      <c r="N3167" t="s">
        <v>107</v>
      </c>
      <c r="O3167" t="s">
        <v>1345</v>
      </c>
    </row>
    <row r="3168" spans="1:15" x14ac:dyDescent="0.3">
      <c r="A3168" s="130">
        <v>17753</v>
      </c>
      <c r="B3168" s="130">
        <v>60</v>
      </c>
      <c r="C3168" s="130" t="s">
        <v>4792</v>
      </c>
      <c r="D3168">
        <v>26783</v>
      </c>
      <c r="E3168" s="130">
        <v>68059674</v>
      </c>
      <c r="F3168" t="s">
        <v>87</v>
      </c>
      <c r="G3168">
        <v>358</v>
      </c>
      <c r="H3168" t="s">
        <v>8952</v>
      </c>
      <c r="I3168" s="130">
        <v>10</v>
      </c>
      <c r="J3168" t="s">
        <v>4792</v>
      </c>
      <c r="K3168" t="s">
        <v>95</v>
      </c>
      <c r="L3168" t="s">
        <v>109</v>
      </c>
      <c r="M3168" t="s">
        <v>97</v>
      </c>
      <c r="N3168" t="s">
        <v>114</v>
      </c>
      <c r="O3168" t="s">
        <v>116</v>
      </c>
    </row>
    <row r="3169" spans="1:15" x14ac:dyDescent="0.3">
      <c r="A3169" s="130">
        <v>17761</v>
      </c>
      <c r="B3169" s="130">
        <v>30</v>
      </c>
      <c r="C3169" s="130" t="s">
        <v>4793</v>
      </c>
      <c r="D3169">
        <v>26796</v>
      </c>
      <c r="E3169" s="130">
        <v>17162983</v>
      </c>
      <c r="F3169" t="s">
        <v>87</v>
      </c>
      <c r="G3169">
        <v>76</v>
      </c>
      <c r="H3169" t="s">
        <v>8953</v>
      </c>
      <c r="I3169" s="131">
        <v>3</v>
      </c>
      <c r="J3169" t="s">
        <v>4793</v>
      </c>
      <c r="K3169" t="s">
        <v>95</v>
      </c>
      <c r="L3169" t="s">
        <v>111</v>
      </c>
      <c r="M3169" t="s">
        <v>103</v>
      </c>
      <c r="N3169" t="s">
        <v>98</v>
      </c>
      <c r="O3169" t="s">
        <v>1345</v>
      </c>
    </row>
    <row r="3170" spans="1:15" x14ac:dyDescent="0.3">
      <c r="A3170" s="130">
        <v>17762</v>
      </c>
      <c r="B3170" s="130" t="s">
        <v>227</v>
      </c>
      <c r="C3170" s="130" t="s">
        <v>4794</v>
      </c>
      <c r="D3170">
        <v>26794</v>
      </c>
      <c r="E3170" s="131">
        <v>229417620</v>
      </c>
      <c r="F3170" t="s">
        <v>87</v>
      </c>
      <c r="G3170">
        <v>76</v>
      </c>
      <c r="H3170" t="s">
        <v>8951</v>
      </c>
      <c r="I3170" s="130">
        <v>3</v>
      </c>
      <c r="J3170" t="s">
        <v>4794</v>
      </c>
      <c r="K3170" t="s">
        <v>95</v>
      </c>
      <c r="L3170" t="s">
        <v>102</v>
      </c>
      <c r="M3170" t="s">
        <v>228</v>
      </c>
      <c r="N3170" t="s">
        <v>110</v>
      </c>
      <c r="O3170" t="s">
        <v>1345</v>
      </c>
    </row>
    <row r="3171" spans="1:15" x14ac:dyDescent="0.3">
      <c r="A3171" s="130">
        <v>17768</v>
      </c>
      <c r="B3171" s="130">
        <v>30</v>
      </c>
      <c r="C3171" s="130" t="s">
        <v>4795</v>
      </c>
      <c r="D3171">
        <v>26804</v>
      </c>
      <c r="E3171" s="130">
        <v>22891745</v>
      </c>
      <c r="F3171" t="s">
        <v>87</v>
      </c>
      <c r="G3171">
        <v>76</v>
      </c>
      <c r="H3171" t="s">
        <v>8952</v>
      </c>
      <c r="I3171" s="130">
        <v>18</v>
      </c>
      <c r="J3171" t="s">
        <v>4795</v>
      </c>
      <c r="K3171" t="s">
        <v>108</v>
      </c>
      <c r="L3171" t="s">
        <v>123</v>
      </c>
      <c r="M3171" t="s">
        <v>103</v>
      </c>
      <c r="N3171" t="s">
        <v>98</v>
      </c>
      <c r="O3171" t="s">
        <v>116</v>
      </c>
    </row>
    <row r="3172" spans="1:15" x14ac:dyDescent="0.3">
      <c r="A3172" s="130">
        <v>17769</v>
      </c>
      <c r="B3172" s="130">
        <v>30</v>
      </c>
      <c r="C3172" s="130" t="s">
        <v>4796</v>
      </c>
      <c r="D3172">
        <v>26805</v>
      </c>
      <c r="E3172" s="131">
        <v>22891745</v>
      </c>
      <c r="F3172" t="s">
        <v>87</v>
      </c>
      <c r="G3172">
        <v>76</v>
      </c>
      <c r="H3172" t="s">
        <v>8953</v>
      </c>
      <c r="I3172" s="130">
        <v>18</v>
      </c>
      <c r="J3172" t="s">
        <v>4796</v>
      </c>
      <c r="K3172" t="s">
        <v>108</v>
      </c>
      <c r="L3172" t="s">
        <v>123</v>
      </c>
      <c r="M3172" t="s">
        <v>103</v>
      </c>
      <c r="N3172" t="s">
        <v>98</v>
      </c>
      <c r="O3172" t="s">
        <v>116</v>
      </c>
    </row>
    <row r="3173" spans="1:15" x14ac:dyDescent="0.3">
      <c r="A3173" s="130">
        <v>17776</v>
      </c>
      <c r="B3173" s="130">
        <v>45</v>
      </c>
      <c r="C3173" s="130" t="s">
        <v>4797</v>
      </c>
      <c r="D3173">
        <v>26814</v>
      </c>
      <c r="E3173" s="131">
        <v>33193996</v>
      </c>
      <c r="F3173" t="s">
        <v>87</v>
      </c>
      <c r="G3173">
        <v>76</v>
      </c>
      <c r="H3173" t="s">
        <v>8951</v>
      </c>
      <c r="I3173" s="130">
        <v>24</v>
      </c>
      <c r="J3173" t="s">
        <v>4797</v>
      </c>
      <c r="K3173" t="s">
        <v>95</v>
      </c>
      <c r="L3173" t="s">
        <v>1293</v>
      </c>
      <c r="M3173" t="s">
        <v>106</v>
      </c>
      <c r="N3173" t="s">
        <v>98</v>
      </c>
      <c r="O3173" t="s">
        <v>116</v>
      </c>
    </row>
    <row r="3174" spans="1:15" x14ac:dyDescent="0.3">
      <c r="A3174" s="130">
        <v>17777</v>
      </c>
      <c r="B3174" s="130">
        <v>45</v>
      </c>
      <c r="C3174" s="130" t="s">
        <v>4798</v>
      </c>
      <c r="D3174">
        <v>26813</v>
      </c>
      <c r="E3174" s="130">
        <v>2502844</v>
      </c>
      <c r="F3174" t="s">
        <v>87</v>
      </c>
      <c r="G3174">
        <v>76</v>
      </c>
      <c r="H3174" t="s">
        <v>8952</v>
      </c>
      <c r="I3174" s="130">
        <v>24</v>
      </c>
      <c r="J3174" t="s">
        <v>4798</v>
      </c>
      <c r="K3174" t="s">
        <v>108</v>
      </c>
      <c r="L3174" t="s">
        <v>191</v>
      </c>
      <c r="M3174" t="s">
        <v>106</v>
      </c>
      <c r="N3174" t="s">
        <v>122</v>
      </c>
      <c r="O3174" t="s">
        <v>1345</v>
      </c>
    </row>
    <row r="3175" spans="1:15" x14ac:dyDescent="0.3">
      <c r="A3175" s="130">
        <v>17793</v>
      </c>
      <c r="B3175" s="130">
        <v>30</v>
      </c>
      <c r="C3175" s="130" t="s">
        <v>4799</v>
      </c>
      <c r="D3175">
        <v>26839</v>
      </c>
      <c r="E3175" s="130">
        <v>24078780</v>
      </c>
      <c r="F3175" t="s">
        <v>87</v>
      </c>
      <c r="G3175">
        <v>76</v>
      </c>
      <c r="H3175" t="s">
        <v>8953</v>
      </c>
      <c r="I3175" s="130">
        <v>19</v>
      </c>
      <c r="J3175" t="s">
        <v>4799</v>
      </c>
      <c r="K3175" t="s">
        <v>108</v>
      </c>
      <c r="L3175" t="s">
        <v>146</v>
      </c>
      <c r="M3175" t="s">
        <v>103</v>
      </c>
      <c r="N3175" t="s">
        <v>122</v>
      </c>
      <c r="O3175" t="s">
        <v>1345</v>
      </c>
    </row>
    <row r="3176" spans="1:15" x14ac:dyDescent="0.3">
      <c r="A3176" s="130">
        <v>17796</v>
      </c>
      <c r="B3176" s="131">
        <v>15</v>
      </c>
      <c r="C3176" s="130" t="s">
        <v>4800</v>
      </c>
      <c r="D3176">
        <v>26850</v>
      </c>
      <c r="E3176" s="131">
        <v>4453613</v>
      </c>
      <c r="F3176" t="s">
        <v>87</v>
      </c>
      <c r="G3176">
        <v>76</v>
      </c>
      <c r="H3176" t="s">
        <v>8951</v>
      </c>
      <c r="I3176" s="131">
        <v>19</v>
      </c>
      <c r="J3176" t="s">
        <v>4800</v>
      </c>
      <c r="K3176" t="s">
        <v>108</v>
      </c>
      <c r="L3176" t="s">
        <v>146</v>
      </c>
      <c r="M3176" t="s">
        <v>145</v>
      </c>
      <c r="N3176" t="s">
        <v>98</v>
      </c>
      <c r="O3176" t="s">
        <v>1345</v>
      </c>
    </row>
    <row r="3177" spans="1:15" x14ac:dyDescent="0.3">
      <c r="A3177" s="130">
        <v>17801</v>
      </c>
      <c r="B3177" s="130">
        <v>60</v>
      </c>
      <c r="C3177" s="130" t="s">
        <v>4801</v>
      </c>
      <c r="D3177">
        <v>26863</v>
      </c>
      <c r="E3177" s="131">
        <v>17164435</v>
      </c>
      <c r="F3177" t="s">
        <v>87</v>
      </c>
      <c r="G3177">
        <v>76</v>
      </c>
      <c r="H3177" t="s">
        <v>8952</v>
      </c>
      <c r="I3177" s="131">
        <v>3</v>
      </c>
      <c r="J3177" t="s">
        <v>4801</v>
      </c>
      <c r="K3177" t="s">
        <v>95</v>
      </c>
      <c r="L3177" t="s">
        <v>105</v>
      </c>
      <c r="M3177" t="s">
        <v>97</v>
      </c>
      <c r="N3177" t="s">
        <v>98</v>
      </c>
      <c r="O3177" t="s">
        <v>116</v>
      </c>
    </row>
    <row r="3178" spans="1:15" x14ac:dyDescent="0.3">
      <c r="A3178" s="130">
        <v>17803</v>
      </c>
      <c r="B3178" s="130">
        <v>30</v>
      </c>
      <c r="C3178" s="130" t="s">
        <v>4802</v>
      </c>
      <c r="D3178">
        <v>26864</v>
      </c>
      <c r="E3178" s="131">
        <v>17216052</v>
      </c>
      <c r="F3178" t="s">
        <v>87</v>
      </c>
      <c r="G3178">
        <v>76</v>
      </c>
      <c r="H3178" t="s">
        <v>8953</v>
      </c>
      <c r="I3178" s="130">
        <v>3</v>
      </c>
      <c r="J3178" t="s">
        <v>4802</v>
      </c>
      <c r="K3178" t="s">
        <v>95</v>
      </c>
      <c r="L3178" t="s">
        <v>105</v>
      </c>
      <c r="M3178" t="s">
        <v>103</v>
      </c>
      <c r="N3178" t="s">
        <v>98</v>
      </c>
      <c r="O3178" t="s">
        <v>1345</v>
      </c>
    </row>
    <row r="3179" spans="1:15" x14ac:dyDescent="0.3">
      <c r="A3179" s="130">
        <v>17805</v>
      </c>
      <c r="B3179" s="130">
        <v>30</v>
      </c>
      <c r="C3179" s="130" t="s">
        <v>4803</v>
      </c>
      <c r="D3179">
        <v>26865</v>
      </c>
      <c r="E3179" s="130">
        <v>3560020</v>
      </c>
      <c r="F3179" t="s">
        <v>87</v>
      </c>
      <c r="G3179">
        <v>76</v>
      </c>
      <c r="H3179" t="s">
        <v>8951</v>
      </c>
      <c r="I3179" s="130">
        <v>18</v>
      </c>
      <c r="J3179" t="s">
        <v>4803</v>
      </c>
      <c r="K3179" t="s">
        <v>108</v>
      </c>
      <c r="L3179" t="s">
        <v>123</v>
      </c>
      <c r="M3179" t="s">
        <v>103</v>
      </c>
      <c r="N3179" t="s">
        <v>98</v>
      </c>
      <c r="O3179" t="s">
        <v>1345</v>
      </c>
    </row>
    <row r="3180" spans="1:15" x14ac:dyDescent="0.3">
      <c r="A3180" s="130">
        <v>17811</v>
      </c>
      <c r="B3180" s="130">
        <v>35</v>
      </c>
      <c r="C3180" s="130" t="s">
        <v>4804</v>
      </c>
      <c r="D3180">
        <v>26872</v>
      </c>
      <c r="E3180" s="130">
        <v>25125373</v>
      </c>
      <c r="F3180" t="s">
        <v>87</v>
      </c>
      <c r="G3180">
        <v>77</v>
      </c>
      <c r="H3180" t="s">
        <v>8952</v>
      </c>
      <c r="I3180" s="131">
        <v>26</v>
      </c>
      <c r="J3180" t="s">
        <v>4804</v>
      </c>
      <c r="K3180" t="s">
        <v>95</v>
      </c>
      <c r="L3180" t="s">
        <v>256</v>
      </c>
      <c r="M3180" t="s">
        <v>161</v>
      </c>
      <c r="N3180" t="s">
        <v>98</v>
      </c>
      <c r="O3180" t="s">
        <v>1345</v>
      </c>
    </row>
    <row r="3181" spans="1:15" x14ac:dyDescent="0.3">
      <c r="A3181" s="130">
        <v>17823</v>
      </c>
      <c r="B3181" s="130">
        <v>30</v>
      </c>
      <c r="C3181" s="130" t="s">
        <v>4805</v>
      </c>
      <c r="D3181">
        <v>26891</v>
      </c>
      <c r="E3181" s="131">
        <v>23935022</v>
      </c>
      <c r="F3181" t="s">
        <v>87</v>
      </c>
      <c r="G3181">
        <v>76</v>
      </c>
      <c r="H3181" t="s">
        <v>8953</v>
      </c>
      <c r="I3181" s="131">
        <v>19</v>
      </c>
      <c r="J3181" t="s">
        <v>4805</v>
      </c>
      <c r="K3181" t="s">
        <v>108</v>
      </c>
      <c r="L3181" t="s">
        <v>146</v>
      </c>
      <c r="M3181" t="s">
        <v>103</v>
      </c>
      <c r="N3181" t="s">
        <v>122</v>
      </c>
      <c r="O3181" t="s">
        <v>116</v>
      </c>
    </row>
    <row r="3182" spans="1:15" x14ac:dyDescent="0.3">
      <c r="A3182" s="130">
        <v>17826</v>
      </c>
      <c r="B3182" s="130">
        <v>10</v>
      </c>
      <c r="C3182" s="130" t="s">
        <v>4806</v>
      </c>
      <c r="D3182">
        <v>26889</v>
      </c>
      <c r="E3182" s="131">
        <v>9488807</v>
      </c>
      <c r="F3182" t="s">
        <v>87</v>
      </c>
      <c r="G3182">
        <v>76</v>
      </c>
      <c r="H3182" t="s">
        <v>8951</v>
      </c>
      <c r="I3182" s="130">
        <v>24</v>
      </c>
      <c r="J3182" t="s">
        <v>4806</v>
      </c>
      <c r="K3182" t="s">
        <v>108</v>
      </c>
      <c r="L3182" t="s">
        <v>191</v>
      </c>
      <c r="M3182" t="s">
        <v>133</v>
      </c>
      <c r="N3182" t="s">
        <v>150</v>
      </c>
      <c r="O3182" t="s">
        <v>1345</v>
      </c>
    </row>
    <row r="3183" spans="1:15" x14ac:dyDescent="0.3">
      <c r="A3183" s="130">
        <v>17830</v>
      </c>
      <c r="B3183" s="130">
        <v>18</v>
      </c>
      <c r="C3183" s="130" t="s">
        <v>4807</v>
      </c>
      <c r="D3183">
        <v>26902</v>
      </c>
      <c r="E3183" s="131">
        <v>22665082</v>
      </c>
      <c r="F3183" t="s">
        <v>87</v>
      </c>
      <c r="G3183">
        <v>76</v>
      </c>
      <c r="H3183" t="s">
        <v>8952</v>
      </c>
      <c r="I3183" s="131">
        <v>37</v>
      </c>
      <c r="J3183" t="s">
        <v>4807</v>
      </c>
      <c r="K3183" t="s">
        <v>108</v>
      </c>
      <c r="L3183" t="s">
        <v>138</v>
      </c>
      <c r="M3183" t="s">
        <v>112</v>
      </c>
      <c r="N3183" t="s">
        <v>152</v>
      </c>
      <c r="O3183" t="s">
        <v>1345</v>
      </c>
    </row>
    <row r="3184" spans="1:15" x14ac:dyDescent="0.3">
      <c r="A3184" s="130">
        <v>17833</v>
      </c>
      <c r="B3184" s="130">
        <v>18</v>
      </c>
      <c r="C3184" s="130" t="s">
        <v>4808</v>
      </c>
      <c r="D3184">
        <v>26905</v>
      </c>
      <c r="E3184" s="130">
        <v>46612032</v>
      </c>
      <c r="F3184" t="s">
        <v>87</v>
      </c>
      <c r="G3184">
        <v>76</v>
      </c>
      <c r="H3184" t="s">
        <v>8953</v>
      </c>
      <c r="I3184" s="131">
        <v>37</v>
      </c>
      <c r="J3184" t="s">
        <v>4808</v>
      </c>
      <c r="K3184" t="s">
        <v>108</v>
      </c>
      <c r="L3184" t="s">
        <v>138</v>
      </c>
      <c r="M3184" t="s">
        <v>112</v>
      </c>
      <c r="N3184" t="s">
        <v>131</v>
      </c>
      <c r="O3184" t="s">
        <v>116</v>
      </c>
    </row>
    <row r="3185" spans="1:15" x14ac:dyDescent="0.3">
      <c r="A3185" s="130">
        <v>17850</v>
      </c>
      <c r="B3185" s="130">
        <v>30</v>
      </c>
      <c r="C3185" s="130" t="s">
        <v>4809</v>
      </c>
      <c r="D3185">
        <v>26918</v>
      </c>
      <c r="E3185" s="131">
        <v>2565617</v>
      </c>
      <c r="F3185" t="s">
        <v>87</v>
      </c>
      <c r="G3185">
        <v>358</v>
      </c>
      <c r="H3185" t="s">
        <v>8951</v>
      </c>
      <c r="I3185" s="131">
        <v>3</v>
      </c>
      <c r="J3185" t="s">
        <v>4809</v>
      </c>
      <c r="K3185" t="s">
        <v>108</v>
      </c>
      <c r="L3185" t="s">
        <v>111</v>
      </c>
      <c r="M3185" t="s">
        <v>103</v>
      </c>
      <c r="N3185" t="s">
        <v>98</v>
      </c>
      <c r="O3185" t="s">
        <v>116</v>
      </c>
    </row>
    <row r="3186" spans="1:15" x14ac:dyDescent="0.3">
      <c r="A3186" s="130">
        <v>17858</v>
      </c>
      <c r="B3186" s="130">
        <v>28</v>
      </c>
      <c r="C3186" s="130" t="s">
        <v>4810</v>
      </c>
      <c r="D3186">
        <v>26930</v>
      </c>
      <c r="E3186" s="130">
        <v>50019472</v>
      </c>
      <c r="F3186" t="s">
        <v>87</v>
      </c>
      <c r="G3186">
        <v>76</v>
      </c>
      <c r="H3186" t="s">
        <v>8952</v>
      </c>
      <c r="I3186" s="130">
        <v>19</v>
      </c>
      <c r="J3186" t="s">
        <v>4810</v>
      </c>
      <c r="K3186" t="s">
        <v>108</v>
      </c>
      <c r="L3186" t="s">
        <v>146</v>
      </c>
      <c r="M3186" t="s">
        <v>130</v>
      </c>
      <c r="N3186" t="s">
        <v>98</v>
      </c>
      <c r="O3186" t="s">
        <v>116</v>
      </c>
    </row>
    <row r="3187" spans="1:15" x14ac:dyDescent="0.3">
      <c r="A3187" s="130">
        <v>17866</v>
      </c>
      <c r="B3187" s="130">
        <v>30</v>
      </c>
      <c r="C3187" s="130" t="s">
        <v>4811</v>
      </c>
      <c r="D3187">
        <v>26937</v>
      </c>
      <c r="E3187" s="130">
        <v>10630328</v>
      </c>
      <c r="F3187" t="s">
        <v>87</v>
      </c>
      <c r="G3187">
        <v>76</v>
      </c>
      <c r="H3187" t="s">
        <v>8953</v>
      </c>
      <c r="I3187" s="130">
        <v>3</v>
      </c>
      <c r="J3187" t="s">
        <v>4811</v>
      </c>
      <c r="K3187" t="s">
        <v>95</v>
      </c>
      <c r="L3187" t="s">
        <v>111</v>
      </c>
      <c r="M3187" t="s">
        <v>103</v>
      </c>
      <c r="N3187" t="s">
        <v>98</v>
      </c>
      <c r="O3187" t="s">
        <v>1345</v>
      </c>
    </row>
    <row r="3188" spans="1:15" x14ac:dyDescent="0.3">
      <c r="A3188" s="130">
        <v>17883</v>
      </c>
      <c r="B3188" s="130">
        <v>30</v>
      </c>
      <c r="C3188" s="130" t="s">
        <v>4812</v>
      </c>
      <c r="D3188">
        <v>26968</v>
      </c>
      <c r="E3188" s="130">
        <v>21596361</v>
      </c>
      <c r="F3188" t="s">
        <v>87</v>
      </c>
      <c r="G3188">
        <v>77</v>
      </c>
      <c r="H3188" t="s">
        <v>8951</v>
      </c>
      <c r="I3188" s="131">
        <v>3</v>
      </c>
      <c r="J3188" t="s">
        <v>4812</v>
      </c>
      <c r="K3188" t="s">
        <v>95</v>
      </c>
      <c r="L3188" t="s">
        <v>256</v>
      </c>
      <c r="M3188" t="s">
        <v>103</v>
      </c>
      <c r="N3188" t="s">
        <v>98</v>
      </c>
      <c r="O3188" t="s">
        <v>1345</v>
      </c>
    </row>
    <row r="3189" spans="1:15" x14ac:dyDescent="0.3">
      <c r="A3189" s="130">
        <v>17891</v>
      </c>
      <c r="B3189" s="130">
        <v>18</v>
      </c>
      <c r="C3189" s="130" t="s">
        <v>4813</v>
      </c>
      <c r="D3189">
        <v>26992</v>
      </c>
      <c r="E3189" s="130">
        <v>4045850</v>
      </c>
      <c r="F3189" t="s">
        <v>87</v>
      </c>
      <c r="G3189">
        <v>76</v>
      </c>
      <c r="H3189" t="s">
        <v>8952</v>
      </c>
      <c r="I3189" s="130">
        <v>10</v>
      </c>
      <c r="J3189" t="s">
        <v>4813</v>
      </c>
      <c r="K3189" t="s">
        <v>108</v>
      </c>
      <c r="L3189" t="s">
        <v>127</v>
      </c>
      <c r="M3189" t="s">
        <v>112</v>
      </c>
      <c r="N3189" t="s">
        <v>118</v>
      </c>
      <c r="O3189" t="s">
        <v>1345</v>
      </c>
    </row>
    <row r="3190" spans="1:15" x14ac:dyDescent="0.3">
      <c r="A3190" s="130">
        <v>17895</v>
      </c>
      <c r="B3190" s="130">
        <v>30</v>
      </c>
      <c r="C3190" s="130" t="s">
        <v>4814</v>
      </c>
      <c r="D3190">
        <v>27001</v>
      </c>
      <c r="E3190" s="130">
        <v>10630328</v>
      </c>
      <c r="F3190" t="s">
        <v>87</v>
      </c>
      <c r="G3190">
        <v>76</v>
      </c>
      <c r="H3190" t="s">
        <v>8953</v>
      </c>
      <c r="I3190" s="130">
        <v>3</v>
      </c>
      <c r="J3190" t="s">
        <v>4814</v>
      </c>
      <c r="K3190" t="s">
        <v>95</v>
      </c>
      <c r="L3190" t="s">
        <v>111</v>
      </c>
      <c r="M3190" t="s">
        <v>103</v>
      </c>
      <c r="N3190" t="s">
        <v>98</v>
      </c>
      <c r="O3190" t="s">
        <v>1345</v>
      </c>
    </row>
    <row r="3191" spans="1:15" x14ac:dyDescent="0.3">
      <c r="A3191" s="130">
        <v>17896</v>
      </c>
      <c r="B3191" s="130">
        <v>60</v>
      </c>
      <c r="C3191" s="130" t="s">
        <v>4815</v>
      </c>
      <c r="D3191">
        <v>26995</v>
      </c>
      <c r="E3191" s="131">
        <v>3998869</v>
      </c>
      <c r="F3191" t="s">
        <v>87</v>
      </c>
      <c r="G3191">
        <v>76</v>
      </c>
      <c r="H3191" t="s">
        <v>8951</v>
      </c>
      <c r="I3191" s="131">
        <v>24</v>
      </c>
      <c r="J3191" t="s">
        <v>4815</v>
      </c>
      <c r="K3191" t="s">
        <v>95</v>
      </c>
      <c r="L3191" t="s">
        <v>191</v>
      </c>
      <c r="M3191" t="s">
        <v>97</v>
      </c>
      <c r="N3191" t="s">
        <v>98</v>
      </c>
      <c r="O3191" t="s">
        <v>1345</v>
      </c>
    </row>
    <row r="3192" spans="1:15" x14ac:dyDescent="0.3">
      <c r="A3192" s="130">
        <v>17903</v>
      </c>
      <c r="B3192" s="130">
        <v>21</v>
      </c>
      <c r="C3192" s="130" t="s">
        <v>4816</v>
      </c>
      <c r="D3192">
        <v>27002</v>
      </c>
      <c r="E3192" s="130">
        <v>33443038</v>
      </c>
      <c r="F3192" t="s">
        <v>87</v>
      </c>
      <c r="G3192">
        <v>76</v>
      </c>
      <c r="H3192" t="s">
        <v>8952</v>
      </c>
      <c r="I3192" s="130">
        <v>3</v>
      </c>
      <c r="J3192" t="s">
        <v>4816</v>
      </c>
      <c r="K3192" t="s">
        <v>95</v>
      </c>
      <c r="L3192" t="s">
        <v>111</v>
      </c>
      <c r="M3192" t="s">
        <v>137</v>
      </c>
      <c r="N3192" t="s">
        <v>98</v>
      </c>
      <c r="O3192" t="s">
        <v>116</v>
      </c>
    </row>
    <row r="3193" spans="1:15" x14ac:dyDescent="0.3">
      <c r="A3193" s="130">
        <v>17919</v>
      </c>
      <c r="B3193" s="130">
        <v>0</v>
      </c>
      <c r="C3193" s="130" t="s">
        <v>4817</v>
      </c>
      <c r="D3193">
        <v>27048</v>
      </c>
      <c r="E3193" s="131">
        <v>39935330</v>
      </c>
      <c r="F3193" t="s">
        <v>87</v>
      </c>
      <c r="G3193">
        <v>358</v>
      </c>
      <c r="H3193" t="s">
        <v>8953</v>
      </c>
      <c r="I3193" s="130">
        <v>10</v>
      </c>
      <c r="J3193" t="s">
        <v>4817</v>
      </c>
      <c r="K3193" t="s">
        <v>95</v>
      </c>
      <c r="L3193" t="s">
        <v>105</v>
      </c>
      <c r="M3193" t="s">
        <v>100</v>
      </c>
      <c r="N3193" t="s">
        <v>118</v>
      </c>
      <c r="O3193" t="s">
        <v>116</v>
      </c>
    </row>
    <row r="3194" spans="1:15" x14ac:dyDescent="0.3">
      <c r="A3194" s="130">
        <v>17927</v>
      </c>
      <c r="B3194" s="130">
        <v>15</v>
      </c>
      <c r="C3194" s="130" t="s">
        <v>4818</v>
      </c>
      <c r="D3194">
        <v>27059</v>
      </c>
      <c r="E3194" s="130">
        <v>9575043</v>
      </c>
      <c r="F3194" t="s">
        <v>87</v>
      </c>
      <c r="G3194">
        <v>76</v>
      </c>
      <c r="H3194" t="s">
        <v>8951</v>
      </c>
      <c r="I3194" s="131">
        <v>19</v>
      </c>
      <c r="J3194" t="s">
        <v>4818</v>
      </c>
      <c r="K3194" t="s">
        <v>108</v>
      </c>
      <c r="L3194" t="s">
        <v>146</v>
      </c>
      <c r="M3194" t="s">
        <v>145</v>
      </c>
      <c r="N3194" t="s">
        <v>98</v>
      </c>
      <c r="O3194" t="s">
        <v>1345</v>
      </c>
    </row>
    <row r="3195" spans="1:15" x14ac:dyDescent="0.3">
      <c r="A3195" s="130">
        <v>17928</v>
      </c>
      <c r="B3195" s="130">
        <v>30</v>
      </c>
      <c r="C3195" s="130" t="s">
        <v>4819</v>
      </c>
      <c r="D3195">
        <v>27060</v>
      </c>
      <c r="E3195" s="130">
        <v>67844183</v>
      </c>
      <c r="F3195" t="s">
        <v>87</v>
      </c>
      <c r="G3195">
        <v>76</v>
      </c>
      <c r="H3195" t="s">
        <v>8952</v>
      </c>
      <c r="I3195" s="130">
        <v>18</v>
      </c>
      <c r="J3195" t="s">
        <v>4819</v>
      </c>
      <c r="K3195" t="s">
        <v>95</v>
      </c>
      <c r="L3195" t="s">
        <v>123</v>
      </c>
      <c r="M3195" t="s">
        <v>103</v>
      </c>
      <c r="N3195" t="s">
        <v>98</v>
      </c>
      <c r="O3195" t="s">
        <v>116</v>
      </c>
    </row>
    <row r="3196" spans="1:15" x14ac:dyDescent="0.3">
      <c r="A3196" s="130">
        <v>17935</v>
      </c>
      <c r="B3196" s="130">
        <v>30</v>
      </c>
      <c r="C3196" s="130" t="s">
        <v>4820</v>
      </c>
      <c r="D3196">
        <v>27072</v>
      </c>
      <c r="E3196" s="130">
        <v>33841727</v>
      </c>
      <c r="F3196" t="s">
        <v>87</v>
      </c>
      <c r="G3196">
        <v>76</v>
      </c>
      <c r="H3196" t="s">
        <v>8953</v>
      </c>
      <c r="I3196" s="131">
        <v>18</v>
      </c>
      <c r="J3196" t="s">
        <v>4820</v>
      </c>
      <c r="K3196" t="s">
        <v>108</v>
      </c>
      <c r="L3196" t="s">
        <v>123</v>
      </c>
      <c r="M3196" t="s">
        <v>103</v>
      </c>
      <c r="N3196" t="s">
        <v>98</v>
      </c>
      <c r="O3196" t="s">
        <v>1345</v>
      </c>
    </row>
    <row r="3197" spans="1:15" x14ac:dyDescent="0.3">
      <c r="A3197" s="130">
        <v>17942</v>
      </c>
      <c r="B3197" s="130" t="s">
        <v>227</v>
      </c>
      <c r="C3197" s="130" t="s">
        <v>4821</v>
      </c>
      <c r="D3197">
        <v>27085</v>
      </c>
      <c r="E3197" s="130">
        <v>83416862600</v>
      </c>
      <c r="F3197" t="s">
        <v>87</v>
      </c>
      <c r="G3197">
        <v>76</v>
      </c>
      <c r="H3197" t="s">
        <v>8951</v>
      </c>
      <c r="I3197" s="130">
        <v>3</v>
      </c>
      <c r="J3197" t="s">
        <v>4821</v>
      </c>
      <c r="K3197" t="s">
        <v>95</v>
      </c>
      <c r="L3197" t="s">
        <v>102</v>
      </c>
      <c r="M3197" t="s">
        <v>228</v>
      </c>
      <c r="N3197" t="s">
        <v>110</v>
      </c>
      <c r="O3197" t="s">
        <v>1345</v>
      </c>
    </row>
    <row r="3198" spans="1:15" x14ac:dyDescent="0.3">
      <c r="A3198" s="130">
        <v>17943</v>
      </c>
      <c r="B3198" s="130">
        <v>90</v>
      </c>
      <c r="C3198" s="130" t="s">
        <v>4822</v>
      </c>
      <c r="D3198">
        <v>27088</v>
      </c>
      <c r="E3198" s="130">
        <v>655209</v>
      </c>
      <c r="F3198" t="s">
        <v>87</v>
      </c>
      <c r="G3198">
        <v>76</v>
      </c>
      <c r="H3198" t="s">
        <v>8952</v>
      </c>
      <c r="I3198" s="131">
        <v>9</v>
      </c>
      <c r="J3198" t="s">
        <v>4822</v>
      </c>
      <c r="K3198" t="s">
        <v>95</v>
      </c>
      <c r="L3198" t="s">
        <v>181</v>
      </c>
      <c r="M3198" t="s">
        <v>170</v>
      </c>
      <c r="N3198" t="s">
        <v>114</v>
      </c>
      <c r="O3198" t="s">
        <v>116</v>
      </c>
    </row>
    <row r="3199" spans="1:15" x14ac:dyDescent="0.3">
      <c r="A3199" s="130">
        <v>17960</v>
      </c>
      <c r="B3199" s="130">
        <v>18</v>
      </c>
      <c r="C3199" s="130" t="s">
        <v>4823</v>
      </c>
      <c r="D3199">
        <v>27122</v>
      </c>
      <c r="E3199" s="130">
        <v>5160695</v>
      </c>
      <c r="F3199" t="s">
        <v>87</v>
      </c>
      <c r="G3199">
        <v>76</v>
      </c>
      <c r="H3199" t="s">
        <v>8953</v>
      </c>
      <c r="I3199" s="130">
        <v>9</v>
      </c>
      <c r="J3199" t="s">
        <v>4823</v>
      </c>
      <c r="K3199" t="s">
        <v>108</v>
      </c>
      <c r="L3199" t="s">
        <v>163</v>
      </c>
      <c r="M3199" t="s">
        <v>112</v>
      </c>
      <c r="N3199" t="s">
        <v>124</v>
      </c>
      <c r="O3199" t="s">
        <v>116</v>
      </c>
    </row>
    <row r="3200" spans="1:15" x14ac:dyDescent="0.3">
      <c r="A3200" s="130">
        <v>17964</v>
      </c>
      <c r="B3200" s="130">
        <v>30</v>
      </c>
      <c r="C3200" s="130" t="s">
        <v>4824</v>
      </c>
      <c r="D3200">
        <v>26671</v>
      </c>
      <c r="E3200" s="131">
        <v>42463174</v>
      </c>
      <c r="F3200" t="s">
        <v>87</v>
      </c>
      <c r="G3200">
        <v>77</v>
      </c>
      <c r="H3200" t="s">
        <v>8951</v>
      </c>
      <c r="I3200" s="130">
        <v>43</v>
      </c>
      <c r="J3200" t="s">
        <v>4824</v>
      </c>
      <c r="K3200" t="s">
        <v>95</v>
      </c>
      <c r="L3200" t="s">
        <v>235</v>
      </c>
      <c r="M3200" t="s">
        <v>103</v>
      </c>
      <c r="N3200" t="s">
        <v>118</v>
      </c>
      <c r="O3200" t="s">
        <v>116</v>
      </c>
    </row>
    <row r="3201" spans="1:15" x14ac:dyDescent="0.3">
      <c r="A3201" s="130">
        <v>17971</v>
      </c>
      <c r="B3201" s="130">
        <v>30</v>
      </c>
      <c r="C3201" s="130" t="s">
        <v>4825</v>
      </c>
      <c r="D3201">
        <v>27144</v>
      </c>
      <c r="E3201" s="130">
        <v>3426130</v>
      </c>
      <c r="F3201" t="s">
        <v>87</v>
      </c>
      <c r="G3201">
        <v>76</v>
      </c>
      <c r="H3201" t="s">
        <v>8952</v>
      </c>
      <c r="I3201" s="131">
        <v>19</v>
      </c>
      <c r="J3201" t="s">
        <v>4825</v>
      </c>
      <c r="K3201" t="s">
        <v>108</v>
      </c>
      <c r="L3201" t="s">
        <v>146</v>
      </c>
      <c r="M3201" t="s">
        <v>103</v>
      </c>
      <c r="N3201" t="s">
        <v>162</v>
      </c>
      <c r="O3201" t="s">
        <v>116</v>
      </c>
    </row>
    <row r="3202" spans="1:15" x14ac:dyDescent="0.3">
      <c r="A3202" s="130">
        <v>17972</v>
      </c>
      <c r="B3202" s="130">
        <v>30</v>
      </c>
      <c r="C3202" s="130" t="s">
        <v>4826</v>
      </c>
      <c r="D3202">
        <v>27145</v>
      </c>
      <c r="E3202" s="130">
        <v>3426130</v>
      </c>
      <c r="F3202" t="s">
        <v>87</v>
      </c>
      <c r="G3202">
        <v>76</v>
      </c>
      <c r="H3202" t="s">
        <v>8953</v>
      </c>
      <c r="I3202" s="130">
        <v>19</v>
      </c>
      <c r="J3202" t="s">
        <v>4826</v>
      </c>
      <c r="K3202" t="s">
        <v>108</v>
      </c>
      <c r="L3202" t="s">
        <v>146</v>
      </c>
      <c r="M3202" t="s">
        <v>103</v>
      </c>
      <c r="N3202" t="s">
        <v>162</v>
      </c>
      <c r="O3202" t="s">
        <v>116</v>
      </c>
    </row>
    <row r="3203" spans="1:15" x14ac:dyDescent="0.3">
      <c r="A3203" s="130">
        <v>17973</v>
      </c>
      <c r="B3203" s="130">
        <v>10</v>
      </c>
      <c r="C3203" s="130" t="s">
        <v>4827</v>
      </c>
      <c r="D3203">
        <v>27146</v>
      </c>
      <c r="E3203" s="130">
        <v>33048240</v>
      </c>
      <c r="F3203" t="s">
        <v>87</v>
      </c>
      <c r="G3203">
        <v>76</v>
      </c>
      <c r="H3203" t="s">
        <v>8951</v>
      </c>
      <c r="I3203" s="131">
        <v>3</v>
      </c>
      <c r="J3203" t="s">
        <v>4827</v>
      </c>
      <c r="K3203" t="s">
        <v>95</v>
      </c>
      <c r="L3203" t="s">
        <v>1293</v>
      </c>
      <c r="M3203" t="s">
        <v>133</v>
      </c>
      <c r="N3203" t="s">
        <v>98</v>
      </c>
      <c r="O3203" t="s">
        <v>116</v>
      </c>
    </row>
    <row r="3204" spans="1:15" x14ac:dyDescent="0.3">
      <c r="A3204" s="130">
        <v>17974</v>
      </c>
      <c r="B3204" s="130">
        <v>28</v>
      </c>
      <c r="C3204" s="130" t="s">
        <v>4828</v>
      </c>
      <c r="D3204">
        <v>27148</v>
      </c>
      <c r="E3204" s="130">
        <v>44602581</v>
      </c>
      <c r="F3204" t="s">
        <v>87</v>
      </c>
      <c r="G3204">
        <v>76</v>
      </c>
      <c r="H3204" t="s">
        <v>8952</v>
      </c>
      <c r="I3204" s="130">
        <v>37</v>
      </c>
      <c r="J3204" t="s">
        <v>4828</v>
      </c>
      <c r="K3204" t="s">
        <v>95</v>
      </c>
      <c r="L3204" t="s">
        <v>138</v>
      </c>
      <c r="M3204" t="s">
        <v>130</v>
      </c>
      <c r="N3204" t="s">
        <v>150</v>
      </c>
      <c r="O3204" t="s">
        <v>1345</v>
      </c>
    </row>
    <row r="3205" spans="1:15" x14ac:dyDescent="0.3">
      <c r="A3205" s="130">
        <v>17985</v>
      </c>
      <c r="B3205" s="130">
        <v>18</v>
      </c>
      <c r="C3205" s="130" t="s">
        <v>4829</v>
      </c>
      <c r="D3205">
        <v>27158</v>
      </c>
      <c r="E3205" s="130">
        <v>17185786</v>
      </c>
      <c r="F3205" t="s">
        <v>87</v>
      </c>
      <c r="G3205">
        <v>358</v>
      </c>
      <c r="H3205" t="s">
        <v>8953</v>
      </c>
      <c r="I3205" s="131">
        <v>10</v>
      </c>
      <c r="J3205" t="s">
        <v>4829</v>
      </c>
      <c r="K3205" t="s">
        <v>95</v>
      </c>
      <c r="L3205" t="s">
        <v>105</v>
      </c>
      <c r="M3205" t="s">
        <v>112</v>
      </c>
      <c r="N3205" t="s">
        <v>98</v>
      </c>
      <c r="O3205" t="s">
        <v>116</v>
      </c>
    </row>
    <row r="3206" spans="1:15" x14ac:dyDescent="0.3">
      <c r="A3206" s="130">
        <v>17990</v>
      </c>
      <c r="B3206" s="130">
        <v>90</v>
      </c>
      <c r="C3206" s="130" t="s">
        <v>4830</v>
      </c>
      <c r="D3206">
        <v>27166</v>
      </c>
      <c r="E3206" s="130">
        <v>655209</v>
      </c>
      <c r="F3206" t="s">
        <v>87</v>
      </c>
      <c r="G3206">
        <v>76</v>
      </c>
      <c r="H3206" t="s">
        <v>8951</v>
      </c>
      <c r="I3206" s="130">
        <v>9</v>
      </c>
      <c r="J3206" t="s">
        <v>4830</v>
      </c>
      <c r="K3206" t="s">
        <v>95</v>
      </c>
      <c r="L3206" t="s">
        <v>181</v>
      </c>
      <c r="M3206" t="s">
        <v>170</v>
      </c>
      <c r="N3206" t="s">
        <v>114</v>
      </c>
      <c r="O3206" t="s">
        <v>116</v>
      </c>
    </row>
    <row r="3207" spans="1:15" x14ac:dyDescent="0.3">
      <c r="A3207" s="130">
        <v>18009</v>
      </c>
      <c r="B3207" s="130">
        <v>18</v>
      </c>
      <c r="C3207" s="130" t="s">
        <v>4831</v>
      </c>
      <c r="D3207">
        <v>27189</v>
      </c>
      <c r="E3207" s="130">
        <v>7336695</v>
      </c>
      <c r="F3207" t="s">
        <v>87</v>
      </c>
      <c r="G3207">
        <v>358</v>
      </c>
      <c r="H3207" t="s">
        <v>8952</v>
      </c>
      <c r="I3207" s="130">
        <v>10</v>
      </c>
      <c r="J3207" t="s">
        <v>4831</v>
      </c>
      <c r="K3207" t="s">
        <v>108</v>
      </c>
      <c r="L3207" t="s">
        <v>105</v>
      </c>
      <c r="M3207" t="s">
        <v>112</v>
      </c>
      <c r="N3207" t="s">
        <v>141</v>
      </c>
      <c r="O3207" t="s">
        <v>116</v>
      </c>
    </row>
    <row r="3208" spans="1:15" x14ac:dyDescent="0.3">
      <c r="A3208" s="130">
        <v>18014</v>
      </c>
      <c r="B3208" s="130">
        <v>21</v>
      </c>
      <c r="C3208" s="130" t="s">
        <v>4832</v>
      </c>
      <c r="D3208">
        <v>27199</v>
      </c>
      <c r="E3208" s="130">
        <v>17069832</v>
      </c>
      <c r="F3208" t="s">
        <v>87</v>
      </c>
      <c r="G3208">
        <v>358</v>
      </c>
      <c r="H3208" t="s">
        <v>8953</v>
      </c>
      <c r="I3208" s="130">
        <v>18</v>
      </c>
      <c r="J3208" t="s">
        <v>4832</v>
      </c>
      <c r="K3208" t="s">
        <v>108</v>
      </c>
      <c r="L3208" t="s">
        <v>193</v>
      </c>
      <c r="M3208" t="s">
        <v>137</v>
      </c>
      <c r="N3208" t="s">
        <v>98</v>
      </c>
      <c r="O3208" t="s">
        <v>116</v>
      </c>
    </row>
    <row r="3209" spans="1:15" x14ac:dyDescent="0.3">
      <c r="A3209" s="130">
        <v>18018</v>
      </c>
      <c r="B3209" s="130">
        <v>90</v>
      </c>
      <c r="C3209" s="130" t="s">
        <v>4833</v>
      </c>
      <c r="D3209">
        <v>27209</v>
      </c>
      <c r="E3209" s="130">
        <v>35234509</v>
      </c>
      <c r="F3209" t="s">
        <v>87</v>
      </c>
      <c r="G3209">
        <v>76</v>
      </c>
      <c r="H3209" t="s">
        <v>8951</v>
      </c>
      <c r="I3209" s="130">
        <v>24</v>
      </c>
      <c r="J3209" t="s">
        <v>4833</v>
      </c>
      <c r="K3209" t="s">
        <v>95</v>
      </c>
      <c r="L3209" t="s">
        <v>102</v>
      </c>
      <c r="M3209" t="s">
        <v>170</v>
      </c>
      <c r="N3209" t="s">
        <v>98</v>
      </c>
      <c r="O3209" t="s">
        <v>116</v>
      </c>
    </row>
    <row r="3210" spans="1:15" x14ac:dyDescent="0.3">
      <c r="A3210" s="130">
        <v>18036</v>
      </c>
      <c r="B3210" s="130">
        <v>30</v>
      </c>
      <c r="C3210" s="130" t="s">
        <v>4834</v>
      </c>
      <c r="D3210">
        <v>27228</v>
      </c>
      <c r="E3210" s="131">
        <v>67706853</v>
      </c>
      <c r="F3210" t="s">
        <v>87</v>
      </c>
      <c r="G3210">
        <v>76</v>
      </c>
      <c r="H3210" t="s">
        <v>8952</v>
      </c>
      <c r="I3210" s="131">
        <v>10</v>
      </c>
      <c r="J3210" t="s">
        <v>4834</v>
      </c>
      <c r="K3210" t="s">
        <v>95</v>
      </c>
      <c r="L3210" t="s">
        <v>127</v>
      </c>
      <c r="M3210" t="s">
        <v>103</v>
      </c>
      <c r="N3210" t="s">
        <v>118</v>
      </c>
      <c r="O3210" t="s">
        <v>116</v>
      </c>
    </row>
    <row r="3211" spans="1:15" x14ac:dyDescent="0.3">
      <c r="A3211" s="130">
        <v>18042</v>
      </c>
      <c r="B3211" s="130" t="s">
        <v>227</v>
      </c>
      <c r="C3211" s="130" t="s">
        <v>4835</v>
      </c>
      <c r="D3211">
        <v>27246</v>
      </c>
      <c r="E3211" s="130">
        <v>83416862600</v>
      </c>
      <c r="F3211" t="s">
        <v>87</v>
      </c>
      <c r="G3211">
        <v>76</v>
      </c>
      <c r="H3211" t="s">
        <v>8953</v>
      </c>
      <c r="I3211" s="131">
        <v>3</v>
      </c>
      <c r="J3211" t="s">
        <v>4835</v>
      </c>
      <c r="K3211" t="s">
        <v>95</v>
      </c>
      <c r="L3211" t="s">
        <v>102</v>
      </c>
      <c r="M3211" t="s">
        <v>228</v>
      </c>
      <c r="N3211" t="s">
        <v>110</v>
      </c>
      <c r="O3211" t="s">
        <v>1345</v>
      </c>
    </row>
    <row r="3212" spans="1:15" x14ac:dyDescent="0.3">
      <c r="A3212" s="130">
        <v>18045</v>
      </c>
      <c r="B3212" s="130" t="s">
        <v>227</v>
      </c>
      <c r="C3212" s="130" t="s">
        <v>4836</v>
      </c>
      <c r="D3212">
        <v>27250</v>
      </c>
      <c r="E3212" s="131">
        <v>83416862600</v>
      </c>
      <c r="F3212" t="s">
        <v>87</v>
      </c>
      <c r="G3212">
        <v>76</v>
      </c>
      <c r="H3212" t="s">
        <v>8951</v>
      </c>
      <c r="I3212" s="130">
        <v>3</v>
      </c>
      <c r="J3212" t="s">
        <v>4836</v>
      </c>
      <c r="K3212" t="s">
        <v>95</v>
      </c>
      <c r="L3212" t="s">
        <v>102</v>
      </c>
      <c r="M3212" t="s">
        <v>228</v>
      </c>
      <c r="N3212" t="s">
        <v>110</v>
      </c>
      <c r="O3212" t="s">
        <v>1345</v>
      </c>
    </row>
    <row r="3213" spans="1:15" x14ac:dyDescent="0.3">
      <c r="A3213" s="130">
        <v>18050</v>
      </c>
      <c r="B3213" s="130">
        <v>28</v>
      </c>
      <c r="C3213" s="130" t="s">
        <v>4837</v>
      </c>
      <c r="D3213">
        <v>27266</v>
      </c>
      <c r="E3213" s="130">
        <v>28783378</v>
      </c>
      <c r="F3213" t="s">
        <v>87</v>
      </c>
      <c r="G3213">
        <v>76</v>
      </c>
      <c r="H3213" t="s">
        <v>8952</v>
      </c>
      <c r="I3213" s="130">
        <v>43</v>
      </c>
      <c r="J3213" t="s">
        <v>4837</v>
      </c>
      <c r="K3213" t="s">
        <v>108</v>
      </c>
      <c r="L3213" t="s">
        <v>1368</v>
      </c>
      <c r="M3213" t="s">
        <v>130</v>
      </c>
      <c r="N3213" t="s">
        <v>98</v>
      </c>
      <c r="O3213" t="s">
        <v>116</v>
      </c>
    </row>
    <row r="3214" spans="1:15" x14ac:dyDescent="0.3">
      <c r="A3214" s="130">
        <v>18068</v>
      </c>
      <c r="B3214" s="130">
        <v>90</v>
      </c>
      <c r="C3214" s="130" t="s">
        <v>4838</v>
      </c>
      <c r="D3214">
        <v>27295</v>
      </c>
      <c r="E3214" s="131">
        <v>35234509</v>
      </c>
      <c r="F3214" t="s">
        <v>87</v>
      </c>
      <c r="G3214">
        <v>76</v>
      </c>
      <c r="H3214" t="s">
        <v>8953</v>
      </c>
      <c r="I3214" s="130">
        <v>24</v>
      </c>
      <c r="J3214" t="s">
        <v>4838</v>
      </c>
      <c r="K3214" t="s">
        <v>95</v>
      </c>
      <c r="L3214" t="s">
        <v>102</v>
      </c>
      <c r="M3214" t="s">
        <v>170</v>
      </c>
      <c r="N3214" t="s">
        <v>122</v>
      </c>
      <c r="O3214" t="s">
        <v>116</v>
      </c>
    </row>
    <row r="3215" spans="1:15" x14ac:dyDescent="0.3">
      <c r="A3215" s="130">
        <v>18080</v>
      </c>
      <c r="B3215" s="130">
        <v>28</v>
      </c>
      <c r="C3215" s="130" t="s">
        <v>4839</v>
      </c>
      <c r="D3215">
        <v>27318</v>
      </c>
      <c r="E3215" s="130">
        <v>27093558</v>
      </c>
      <c r="F3215" t="s">
        <v>87</v>
      </c>
      <c r="G3215">
        <v>76</v>
      </c>
      <c r="H3215" t="s">
        <v>8951</v>
      </c>
      <c r="I3215" s="130">
        <v>3</v>
      </c>
      <c r="J3215" t="s">
        <v>4839</v>
      </c>
      <c r="K3215" t="s">
        <v>108</v>
      </c>
      <c r="L3215" t="s">
        <v>1293</v>
      </c>
      <c r="M3215" t="s">
        <v>130</v>
      </c>
      <c r="N3215" t="s">
        <v>98</v>
      </c>
      <c r="O3215" t="s">
        <v>116</v>
      </c>
    </row>
    <row r="3216" spans="1:15" x14ac:dyDescent="0.3">
      <c r="A3216" s="130">
        <v>18083</v>
      </c>
      <c r="B3216" s="130" t="s">
        <v>222</v>
      </c>
      <c r="C3216" s="130" t="s">
        <v>4840</v>
      </c>
      <c r="D3216">
        <v>27324</v>
      </c>
      <c r="E3216" s="130">
        <v>18127274</v>
      </c>
      <c r="F3216" t="s">
        <v>87</v>
      </c>
      <c r="G3216">
        <v>76</v>
      </c>
      <c r="H3216" t="s">
        <v>8952</v>
      </c>
      <c r="I3216" s="130">
        <v>18</v>
      </c>
      <c r="J3216" t="s">
        <v>4840</v>
      </c>
      <c r="K3216" t="s">
        <v>95</v>
      </c>
      <c r="L3216" t="s">
        <v>102</v>
      </c>
      <c r="M3216" t="s">
        <v>223</v>
      </c>
      <c r="N3216" t="s">
        <v>152</v>
      </c>
      <c r="O3216" t="s">
        <v>116</v>
      </c>
    </row>
    <row r="3217" spans="1:15" x14ac:dyDescent="0.3">
      <c r="A3217" s="130">
        <v>18086</v>
      </c>
      <c r="B3217" s="130">
        <v>30</v>
      </c>
      <c r="C3217" s="130" t="s">
        <v>4841</v>
      </c>
      <c r="D3217">
        <v>26623</v>
      </c>
      <c r="E3217" s="130">
        <v>20346524</v>
      </c>
      <c r="F3217" t="s">
        <v>87</v>
      </c>
      <c r="G3217">
        <v>77</v>
      </c>
      <c r="H3217" t="s">
        <v>8953</v>
      </c>
      <c r="I3217" s="130">
        <v>3</v>
      </c>
      <c r="J3217" t="s">
        <v>4841</v>
      </c>
      <c r="K3217" t="s">
        <v>95</v>
      </c>
      <c r="L3217" t="s">
        <v>117</v>
      </c>
      <c r="M3217" t="s">
        <v>103</v>
      </c>
      <c r="N3217" t="s">
        <v>118</v>
      </c>
      <c r="O3217" t="s">
        <v>116</v>
      </c>
    </row>
    <row r="3218" spans="1:15" x14ac:dyDescent="0.3">
      <c r="A3218" s="130">
        <v>18088</v>
      </c>
      <c r="B3218" s="130">
        <v>-1</v>
      </c>
      <c r="C3218" s="130" t="s">
        <v>4842</v>
      </c>
      <c r="D3218">
        <v>27332</v>
      </c>
      <c r="E3218" s="130">
        <v>12216526</v>
      </c>
      <c r="F3218" t="s">
        <v>87</v>
      </c>
      <c r="G3218">
        <v>76</v>
      </c>
      <c r="H3218" t="s">
        <v>8951</v>
      </c>
      <c r="I3218" s="131">
        <v>10</v>
      </c>
      <c r="J3218" t="s">
        <v>4842</v>
      </c>
      <c r="K3218" t="s">
        <v>95</v>
      </c>
      <c r="L3218" t="s">
        <v>127</v>
      </c>
      <c r="M3218" t="s">
        <v>174</v>
      </c>
      <c r="N3218" t="s">
        <v>98</v>
      </c>
      <c r="O3218" t="s">
        <v>1345</v>
      </c>
    </row>
    <row r="3219" spans="1:15" x14ac:dyDescent="0.3">
      <c r="A3219" s="130">
        <v>18096</v>
      </c>
      <c r="B3219" s="130">
        <v>10</v>
      </c>
      <c r="C3219" s="130" t="s">
        <v>4843</v>
      </c>
      <c r="D3219">
        <v>27338</v>
      </c>
      <c r="E3219" s="130">
        <v>10685570</v>
      </c>
      <c r="F3219" t="s">
        <v>87</v>
      </c>
      <c r="G3219">
        <v>358</v>
      </c>
      <c r="H3219" t="s">
        <v>8952</v>
      </c>
      <c r="I3219" s="131">
        <v>18</v>
      </c>
      <c r="J3219" t="s">
        <v>4843</v>
      </c>
      <c r="K3219" t="s">
        <v>95</v>
      </c>
      <c r="L3219" t="s">
        <v>193</v>
      </c>
      <c r="M3219" t="s">
        <v>133</v>
      </c>
      <c r="N3219" t="s">
        <v>98</v>
      </c>
      <c r="O3219" t="s">
        <v>116</v>
      </c>
    </row>
    <row r="3220" spans="1:15" x14ac:dyDescent="0.3">
      <c r="A3220" s="130">
        <v>18098</v>
      </c>
      <c r="B3220" s="130">
        <v>18</v>
      </c>
      <c r="C3220" s="130" t="s">
        <v>4844</v>
      </c>
      <c r="D3220">
        <v>27343</v>
      </c>
      <c r="E3220" s="130">
        <v>4311533</v>
      </c>
      <c r="F3220" t="s">
        <v>87</v>
      </c>
      <c r="G3220">
        <v>76</v>
      </c>
      <c r="H3220" t="s">
        <v>8953</v>
      </c>
      <c r="I3220" s="131">
        <v>9</v>
      </c>
      <c r="J3220" t="s">
        <v>4844</v>
      </c>
      <c r="K3220" t="s">
        <v>108</v>
      </c>
      <c r="L3220" t="s">
        <v>163</v>
      </c>
      <c r="M3220" t="s">
        <v>112</v>
      </c>
      <c r="N3220" t="s">
        <v>101</v>
      </c>
      <c r="O3220" t="s">
        <v>1345</v>
      </c>
    </row>
    <row r="3221" spans="1:15" x14ac:dyDescent="0.3">
      <c r="A3221" s="130">
        <v>18099</v>
      </c>
      <c r="B3221" s="130">
        <v>-1</v>
      </c>
      <c r="C3221" s="130" t="s">
        <v>4845</v>
      </c>
      <c r="D3221">
        <v>27345</v>
      </c>
      <c r="E3221" s="130">
        <v>9026681</v>
      </c>
      <c r="F3221" t="s">
        <v>87</v>
      </c>
      <c r="G3221">
        <v>76</v>
      </c>
      <c r="H3221" t="s">
        <v>8951</v>
      </c>
      <c r="I3221" s="131">
        <v>3</v>
      </c>
      <c r="J3221" t="s">
        <v>4845</v>
      </c>
      <c r="K3221" t="s">
        <v>108</v>
      </c>
      <c r="L3221" t="s">
        <v>153</v>
      </c>
      <c r="M3221" t="s">
        <v>174</v>
      </c>
      <c r="N3221" t="s">
        <v>152</v>
      </c>
      <c r="O3221" t="s">
        <v>1345</v>
      </c>
    </row>
    <row r="3222" spans="1:15" x14ac:dyDescent="0.3">
      <c r="A3222" s="130">
        <v>18107</v>
      </c>
      <c r="B3222" s="130">
        <v>28</v>
      </c>
      <c r="C3222" s="130" t="s">
        <v>4846</v>
      </c>
      <c r="D3222">
        <v>27361</v>
      </c>
      <c r="E3222" s="130">
        <v>21186892</v>
      </c>
      <c r="F3222" t="s">
        <v>87</v>
      </c>
      <c r="G3222">
        <v>76</v>
      </c>
      <c r="H3222" t="s">
        <v>8952</v>
      </c>
      <c r="I3222" s="130">
        <v>37</v>
      </c>
      <c r="J3222" t="s">
        <v>4846</v>
      </c>
      <c r="K3222" t="s">
        <v>95</v>
      </c>
      <c r="L3222" t="s">
        <v>138</v>
      </c>
      <c r="M3222" t="s">
        <v>130</v>
      </c>
      <c r="N3222" t="s">
        <v>150</v>
      </c>
      <c r="O3222" t="s">
        <v>1345</v>
      </c>
    </row>
    <row r="3223" spans="1:15" x14ac:dyDescent="0.3">
      <c r="A3223" s="130">
        <v>18116</v>
      </c>
      <c r="B3223" s="130">
        <v>30</v>
      </c>
      <c r="C3223" s="130" t="s">
        <v>4847</v>
      </c>
      <c r="D3223">
        <v>27373</v>
      </c>
      <c r="E3223" s="130">
        <v>25349440</v>
      </c>
      <c r="F3223" t="s">
        <v>87</v>
      </c>
      <c r="G3223">
        <v>76</v>
      </c>
      <c r="H3223" t="s">
        <v>8953</v>
      </c>
      <c r="I3223" s="130">
        <v>3</v>
      </c>
      <c r="J3223" t="s">
        <v>4847</v>
      </c>
      <c r="K3223" t="s">
        <v>95</v>
      </c>
      <c r="L3223" t="s">
        <v>111</v>
      </c>
      <c r="M3223" t="s">
        <v>103</v>
      </c>
      <c r="N3223" t="s">
        <v>98</v>
      </c>
      <c r="O3223" t="s">
        <v>1345</v>
      </c>
    </row>
    <row r="3224" spans="1:15" x14ac:dyDescent="0.3">
      <c r="A3224" s="130">
        <v>18121</v>
      </c>
      <c r="B3224" s="130">
        <v>10</v>
      </c>
      <c r="C3224" s="130" t="s">
        <v>4848</v>
      </c>
      <c r="D3224">
        <v>27384</v>
      </c>
      <c r="E3224" s="130">
        <v>10685570</v>
      </c>
      <c r="F3224" t="s">
        <v>87</v>
      </c>
      <c r="G3224">
        <v>358</v>
      </c>
      <c r="H3224" t="s">
        <v>8951</v>
      </c>
      <c r="I3224" s="130">
        <v>37</v>
      </c>
      <c r="J3224" t="s">
        <v>4848</v>
      </c>
      <c r="K3224" t="s">
        <v>95</v>
      </c>
      <c r="L3224" t="s">
        <v>193</v>
      </c>
      <c r="M3224" t="s">
        <v>133</v>
      </c>
      <c r="N3224" t="s">
        <v>98</v>
      </c>
      <c r="O3224" t="s">
        <v>1345</v>
      </c>
    </row>
    <row r="3225" spans="1:15" x14ac:dyDescent="0.3">
      <c r="A3225" s="130">
        <v>18125</v>
      </c>
      <c r="B3225" s="130">
        <v>18</v>
      </c>
      <c r="C3225" s="130" t="s">
        <v>4849</v>
      </c>
      <c r="D3225">
        <v>27393</v>
      </c>
      <c r="E3225" s="131">
        <v>40769920</v>
      </c>
      <c r="F3225" t="s">
        <v>87</v>
      </c>
      <c r="G3225">
        <v>76</v>
      </c>
      <c r="H3225" t="s">
        <v>8952</v>
      </c>
      <c r="I3225" s="130">
        <v>10</v>
      </c>
      <c r="J3225" t="s">
        <v>4849</v>
      </c>
      <c r="K3225" t="s">
        <v>108</v>
      </c>
      <c r="L3225" t="s">
        <v>127</v>
      </c>
      <c r="M3225" t="s">
        <v>112</v>
      </c>
      <c r="N3225" t="s">
        <v>118</v>
      </c>
      <c r="O3225" t="s">
        <v>116</v>
      </c>
    </row>
    <row r="3226" spans="1:15" x14ac:dyDescent="0.3">
      <c r="A3226" s="130">
        <v>18139</v>
      </c>
      <c r="B3226" s="130">
        <v>60</v>
      </c>
      <c r="C3226" s="130" t="s">
        <v>4850</v>
      </c>
      <c r="D3226">
        <v>27420</v>
      </c>
      <c r="E3226" s="131">
        <v>68059674</v>
      </c>
      <c r="F3226" t="s">
        <v>87</v>
      </c>
      <c r="G3226">
        <v>358</v>
      </c>
      <c r="H3226" t="s">
        <v>8953</v>
      </c>
      <c r="I3226" s="130">
        <v>10</v>
      </c>
      <c r="J3226" t="s">
        <v>4850</v>
      </c>
      <c r="K3226" t="s">
        <v>108</v>
      </c>
      <c r="L3226" t="s">
        <v>109</v>
      </c>
      <c r="M3226" t="s">
        <v>97</v>
      </c>
      <c r="N3226" t="s">
        <v>124</v>
      </c>
      <c r="O3226" t="s">
        <v>1345</v>
      </c>
    </row>
    <row r="3227" spans="1:15" x14ac:dyDescent="0.3">
      <c r="A3227" s="130">
        <v>18146</v>
      </c>
      <c r="B3227" s="130">
        <v>-1</v>
      </c>
      <c r="C3227" s="130" t="s">
        <v>4851</v>
      </c>
      <c r="D3227">
        <v>27442</v>
      </c>
      <c r="E3227" s="130">
        <v>9026681</v>
      </c>
      <c r="F3227" t="s">
        <v>87</v>
      </c>
      <c r="G3227">
        <v>76</v>
      </c>
      <c r="H3227" t="s">
        <v>8951</v>
      </c>
      <c r="I3227" s="131">
        <v>24</v>
      </c>
      <c r="J3227" t="s">
        <v>4851</v>
      </c>
      <c r="K3227" t="s">
        <v>108</v>
      </c>
      <c r="L3227" t="s">
        <v>1293</v>
      </c>
      <c r="M3227" t="s">
        <v>174</v>
      </c>
      <c r="N3227" t="s">
        <v>152</v>
      </c>
      <c r="O3227" t="s">
        <v>1345</v>
      </c>
    </row>
    <row r="3228" spans="1:15" x14ac:dyDescent="0.3">
      <c r="A3228" s="130">
        <v>18172</v>
      </c>
      <c r="B3228" s="130">
        <v>30</v>
      </c>
      <c r="C3228" s="130" t="s">
        <v>4852</v>
      </c>
      <c r="D3228">
        <v>27491</v>
      </c>
      <c r="E3228" s="130">
        <v>32582630</v>
      </c>
      <c r="F3228" t="s">
        <v>87</v>
      </c>
      <c r="G3228">
        <v>77</v>
      </c>
      <c r="H3228" t="s">
        <v>8952</v>
      </c>
      <c r="I3228" s="130">
        <v>3</v>
      </c>
      <c r="J3228" t="s">
        <v>4852</v>
      </c>
      <c r="K3228" t="s">
        <v>95</v>
      </c>
      <c r="L3228" t="s">
        <v>256</v>
      </c>
      <c r="M3228" t="s">
        <v>103</v>
      </c>
      <c r="N3228" t="s">
        <v>98</v>
      </c>
      <c r="O3228" t="s">
        <v>116</v>
      </c>
    </row>
    <row r="3229" spans="1:15" x14ac:dyDescent="0.3">
      <c r="A3229" s="130">
        <v>18175</v>
      </c>
      <c r="B3229" s="130">
        <v>10</v>
      </c>
      <c r="C3229" s="130" t="s">
        <v>4853</v>
      </c>
      <c r="D3229">
        <v>27495</v>
      </c>
      <c r="E3229" s="130">
        <v>10685570</v>
      </c>
      <c r="F3229" t="s">
        <v>87</v>
      </c>
      <c r="G3229">
        <v>358</v>
      </c>
      <c r="H3229" t="s">
        <v>8953</v>
      </c>
      <c r="I3229" s="131">
        <v>24</v>
      </c>
      <c r="J3229" t="s">
        <v>4853</v>
      </c>
      <c r="K3229" t="s">
        <v>95</v>
      </c>
      <c r="L3229" t="s">
        <v>193</v>
      </c>
      <c r="M3229" t="s">
        <v>133</v>
      </c>
      <c r="N3229" t="s">
        <v>98</v>
      </c>
      <c r="O3229" t="s">
        <v>1345</v>
      </c>
    </row>
    <row r="3230" spans="1:15" x14ac:dyDescent="0.3">
      <c r="A3230" s="130">
        <v>18176</v>
      </c>
      <c r="B3230" s="130" t="s">
        <v>1372</v>
      </c>
      <c r="C3230" s="130" t="s">
        <v>4854</v>
      </c>
      <c r="D3230">
        <v>27496</v>
      </c>
      <c r="E3230" s="130">
        <v>1731172</v>
      </c>
      <c r="F3230" t="s">
        <v>87</v>
      </c>
      <c r="G3230">
        <v>76</v>
      </c>
      <c r="H3230" t="s">
        <v>8951</v>
      </c>
      <c r="I3230" s="130">
        <v>18</v>
      </c>
      <c r="J3230" t="s">
        <v>4854</v>
      </c>
      <c r="K3230" t="s">
        <v>108</v>
      </c>
      <c r="L3230" t="s">
        <v>153</v>
      </c>
      <c r="M3230" t="s">
        <v>1373</v>
      </c>
      <c r="N3230" t="s">
        <v>101</v>
      </c>
      <c r="O3230" t="s">
        <v>1345</v>
      </c>
    </row>
    <row r="3231" spans="1:15" x14ac:dyDescent="0.3">
      <c r="A3231" s="130">
        <v>18181</v>
      </c>
      <c r="B3231" s="130">
        <v>30</v>
      </c>
      <c r="C3231" s="130" t="s">
        <v>4855</v>
      </c>
      <c r="D3231">
        <v>27500</v>
      </c>
      <c r="E3231" s="131">
        <v>21062047</v>
      </c>
      <c r="F3231" t="s">
        <v>87</v>
      </c>
      <c r="G3231">
        <v>76</v>
      </c>
      <c r="H3231" t="s">
        <v>8952</v>
      </c>
      <c r="I3231" s="131">
        <v>3</v>
      </c>
      <c r="J3231" t="s">
        <v>4855</v>
      </c>
      <c r="K3231" t="s">
        <v>108</v>
      </c>
      <c r="L3231" t="s">
        <v>111</v>
      </c>
      <c r="M3231" t="s">
        <v>103</v>
      </c>
      <c r="N3231" t="s">
        <v>98</v>
      </c>
      <c r="O3231" t="s">
        <v>1345</v>
      </c>
    </row>
    <row r="3232" spans="1:15" x14ac:dyDescent="0.3">
      <c r="A3232" s="130">
        <v>18195</v>
      </c>
      <c r="B3232" s="130">
        <v>30</v>
      </c>
      <c r="C3232" s="130" t="s">
        <v>4856</v>
      </c>
      <c r="D3232">
        <v>27520</v>
      </c>
      <c r="E3232" s="131">
        <v>41759096</v>
      </c>
      <c r="F3232" t="s">
        <v>87</v>
      </c>
      <c r="G3232">
        <v>76</v>
      </c>
      <c r="H3232" t="s">
        <v>8953</v>
      </c>
      <c r="I3232" s="131">
        <v>43</v>
      </c>
      <c r="J3232" t="s">
        <v>4856</v>
      </c>
      <c r="K3232" t="s">
        <v>95</v>
      </c>
      <c r="L3232" t="s">
        <v>1368</v>
      </c>
      <c r="M3232" t="s">
        <v>103</v>
      </c>
      <c r="N3232" t="s">
        <v>114</v>
      </c>
      <c r="O3232" t="s">
        <v>116</v>
      </c>
    </row>
    <row r="3233" spans="1:15" x14ac:dyDescent="0.3">
      <c r="A3233" s="130">
        <v>18197</v>
      </c>
      <c r="B3233" s="130">
        <v>18</v>
      </c>
      <c r="C3233" s="130" t="s">
        <v>4857</v>
      </c>
      <c r="D3233">
        <v>27517</v>
      </c>
      <c r="E3233" s="131">
        <v>44384175</v>
      </c>
      <c r="F3233" t="s">
        <v>87</v>
      </c>
      <c r="G3233">
        <v>76</v>
      </c>
      <c r="H3233" t="s">
        <v>8951</v>
      </c>
      <c r="I3233" s="130">
        <v>37</v>
      </c>
      <c r="J3233" t="s">
        <v>4857</v>
      </c>
      <c r="K3233" t="s">
        <v>108</v>
      </c>
      <c r="L3233" t="s">
        <v>138</v>
      </c>
      <c r="M3233" t="s">
        <v>112</v>
      </c>
      <c r="N3233" t="s">
        <v>150</v>
      </c>
      <c r="O3233" t="s">
        <v>1345</v>
      </c>
    </row>
    <row r="3234" spans="1:15" x14ac:dyDescent="0.3">
      <c r="A3234" s="130">
        <v>18198</v>
      </c>
      <c r="B3234" s="130">
        <v>30</v>
      </c>
      <c r="C3234" s="130" t="s">
        <v>4858</v>
      </c>
      <c r="D3234">
        <v>27525</v>
      </c>
      <c r="E3234" s="130">
        <v>5451496</v>
      </c>
      <c r="F3234" t="s">
        <v>87</v>
      </c>
      <c r="G3234">
        <v>76</v>
      </c>
      <c r="H3234" t="s">
        <v>8952</v>
      </c>
      <c r="I3234" s="130">
        <v>43</v>
      </c>
      <c r="J3234" t="s">
        <v>4858</v>
      </c>
      <c r="K3234" t="s">
        <v>95</v>
      </c>
      <c r="L3234" t="s">
        <v>1368</v>
      </c>
      <c r="M3234" t="s">
        <v>103</v>
      </c>
      <c r="N3234" t="s">
        <v>98</v>
      </c>
      <c r="O3234" t="s">
        <v>116</v>
      </c>
    </row>
    <row r="3235" spans="1:15" x14ac:dyDescent="0.3">
      <c r="A3235" s="130">
        <v>18201</v>
      </c>
      <c r="B3235" s="130">
        <v>90</v>
      </c>
      <c r="C3235" s="130" t="s">
        <v>4859</v>
      </c>
      <c r="D3235">
        <v>27526</v>
      </c>
      <c r="E3235" s="130">
        <v>35234509</v>
      </c>
      <c r="F3235" t="s">
        <v>87</v>
      </c>
      <c r="G3235">
        <v>76</v>
      </c>
      <c r="H3235" t="s">
        <v>8953</v>
      </c>
      <c r="I3235" s="130">
        <v>19</v>
      </c>
      <c r="J3235" t="s">
        <v>4859</v>
      </c>
      <c r="K3235" t="s">
        <v>95</v>
      </c>
      <c r="L3235" t="s">
        <v>102</v>
      </c>
      <c r="M3235" t="s">
        <v>170</v>
      </c>
      <c r="N3235" t="s">
        <v>122</v>
      </c>
      <c r="O3235" t="s">
        <v>116</v>
      </c>
    </row>
    <row r="3236" spans="1:15" x14ac:dyDescent="0.3">
      <c r="A3236" s="130">
        <v>18202</v>
      </c>
      <c r="B3236" s="130">
        <v>10</v>
      </c>
      <c r="C3236" s="130" t="s">
        <v>4860</v>
      </c>
      <c r="D3236">
        <v>27528</v>
      </c>
      <c r="E3236" s="130">
        <v>5515245</v>
      </c>
      <c r="F3236" t="s">
        <v>87</v>
      </c>
      <c r="G3236">
        <v>76</v>
      </c>
      <c r="H3236" t="s">
        <v>8951</v>
      </c>
      <c r="I3236" s="130">
        <v>24</v>
      </c>
      <c r="J3236" t="s">
        <v>4860</v>
      </c>
      <c r="K3236" t="s">
        <v>108</v>
      </c>
      <c r="L3236" t="s">
        <v>1293</v>
      </c>
      <c r="M3236" t="s">
        <v>133</v>
      </c>
      <c r="N3236" t="s">
        <v>98</v>
      </c>
      <c r="O3236" t="s">
        <v>1345</v>
      </c>
    </row>
    <row r="3237" spans="1:15" x14ac:dyDescent="0.3">
      <c r="A3237" s="130">
        <v>18204</v>
      </c>
      <c r="B3237" s="130">
        <v>30</v>
      </c>
      <c r="C3237" s="130" t="s">
        <v>4861</v>
      </c>
      <c r="D3237">
        <v>27530</v>
      </c>
      <c r="E3237" s="130">
        <v>67706853</v>
      </c>
      <c r="F3237" t="s">
        <v>87</v>
      </c>
      <c r="G3237">
        <v>76</v>
      </c>
      <c r="H3237" t="s">
        <v>8952</v>
      </c>
      <c r="I3237" s="130">
        <v>10</v>
      </c>
      <c r="J3237" t="s">
        <v>4861</v>
      </c>
      <c r="K3237" t="s">
        <v>95</v>
      </c>
      <c r="L3237" t="s">
        <v>127</v>
      </c>
      <c r="M3237" t="s">
        <v>103</v>
      </c>
      <c r="N3237" t="s">
        <v>118</v>
      </c>
      <c r="O3237" t="s">
        <v>116</v>
      </c>
    </row>
    <row r="3238" spans="1:15" x14ac:dyDescent="0.3">
      <c r="A3238" s="130">
        <v>18215</v>
      </c>
      <c r="B3238" s="130">
        <v>18</v>
      </c>
      <c r="C3238" s="130" t="s">
        <v>4862</v>
      </c>
      <c r="D3238">
        <v>27546</v>
      </c>
      <c r="E3238" s="130">
        <v>10639965</v>
      </c>
      <c r="F3238" t="s">
        <v>87</v>
      </c>
      <c r="G3238">
        <v>76</v>
      </c>
      <c r="H3238" t="s">
        <v>8953</v>
      </c>
      <c r="I3238" s="131">
        <v>26</v>
      </c>
      <c r="J3238" t="s">
        <v>4862</v>
      </c>
      <c r="K3238" t="s">
        <v>108</v>
      </c>
      <c r="L3238" t="s">
        <v>151</v>
      </c>
      <c r="M3238" t="s">
        <v>112</v>
      </c>
      <c r="N3238" t="s">
        <v>98</v>
      </c>
      <c r="O3238" t="s">
        <v>116</v>
      </c>
    </row>
    <row r="3239" spans="1:15" x14ac:dyDescent="0.3">
      <c r="A3239" s="130">
        <v>18216</v>
      </c>
      <c r="B3239" s="130">
        <v>20</v>
      </c>
      <c r="C3239" s="130" t="s">
        <v>4863</v>
      </c>
      <c r="D3239">
        <v>27300</v>
      </c>
      <c r="E3239" s="130">
        <v>42509257</v>
      </c>
      <c r="F3239" t="s">
        <v>87</v>
      </c>
      <c r="G3239">
        <v>77</v>
      </c>
      <c r="H3239" t="s">
        <v>8951</v>
      </c>
      <c r="I3239" s="131">
        <v>10</v>
      </c>
      <c r="J3239" t="s">
        <v>4863</v>
      </c>
      <c r="K3239" t="s">
        <v>95</v>
      </c>
      <c r="L3239" t="s">
        <v>117</v>
      </c>
      <c r="M3239" t="s">
        <v>148</v>
      </c>
      <c r="N3239" t="s">
        <v>118</v>
      </c>
      <c r="O3239" t="s">
        <v>116</v>
      </c>
    </row>
    <row r="3240" spans="1:15" x14ac:dyDescent="0.3">
      <c r="A3240" s="130">
        <v>18222</v>
      </c>
      <c r="B3240" s="130">
        <v>18</v>
      </c>
      <c r="C3240" s="130" t="s">
        <v>4864</v>
      </c>
      <c r="D3240">
        <v>27555</v>
      </c>
      <c r="E3240" s="130">
        <v>11360529</v>
      </c>
      <c r="F3240" t="s">
        <v>87</v>
      </c>
      <c r="G3240">
        <v>76</v>
      </c>
      <c r="H3240" t="s">
        <v>8952</v>
      </c>
      <c r="I3240" s="131">
        <v>37</v>
      </c>
      <c r="J3240" t="s">
        <v>4864</v>
      </c>
      <c r="K3240" t="s">
        <v>108</v>
      </c>
      <c r="L3240" t="s">
        <v>138</v>
      </c>
      <c r="M3240" t="s">
        <v>112</v>
      </c>
      <c r="N3240" t="s">
        <v>150</v>
      </c>
      <c r="O3240" t="s">
        <v>1345</v>
      </c>
    </row>
    <row r="3241" spans="1:15" x14ac:dyDescent="0.3">
      <c r="A3241" s="130">
        <v>18224</v>
      </c>
      <c r="B3241" s="130">
        <v>18</v>
      </c>
      <c r="C3241" s="130" t="s">
        <v>4865</v>
      </c>
      <c r="D3241">
        <v>27557</v>
      </c>
      <c r="E3241" s="130">
        <v>4311533</v>
      </c>
      <c r="F3241" t="s">
        <v>87</v>
      </c>
      <c r="G3241">
        <v>76</v>
      </c>
      <c r="H3241" t="s">
        <v>8953</v>
      </c>
      <c r="I3241" s="130">
        <v>9</v>
      </c>
      <c r="J3241" t="s">
        <v>4865</v>
      </c>
      <c r="K3241" t="s">
        <v>108</v>
      </c>
      <c r="L3241" t="s">
        <v>163</v>
      </c>
      <c r="M3241" t="s">
        <v>112</v>
      </c>
      <c r="N3241" t="s">
        <v>101</v>
      </c>
      <c r="O3241" t="s">
        <v>116</v>
      </c>
    </row>
    <row r="3242" spans="1:15" x14ac:dyDescent="0.3">
      <c r="A3242" s="130">
        <v>18227</v>
      </c>
      <c r="B3242" s="130">
        <v>18</v>
      </c>
      <c r="C3242" s="130" t="s">
        <v>4866</v>
      </c>
      <c r="D3242">
        <v>27564</v>
      </c>
      <c r="E3242" s="130">
        <v>43200669</v>
      </c>
      <c r="F3242" t="s">
        <v>87</v>
      </c>
      <c r="G3242">
        <v>76</v>
      </c>
      <c r="H3242" t="s">
        <v>8951</v>
      </c>
      <c r="I3242" s="130">
        <v>10</v>
      </c>
      <c r="J3242" t="s">
        <v>4866</v>
      </c>
      <c r="K3242" t="s">
        <v>108</v>
      </c>
      <c r="L3242" t="s">
        <v>127</v>
      </c>
      <c r="M3242" t="s">
        <v>112</v>
      </c>
      <c r="N3242" t="s">
        <v>152</v>
      </c>
      <c r="O3242" t="s">
        <v>1345</v>
      </c>
    </row>
    <row r="3243" spans="1:15" x14ac:dyDescent="0.3">
      <c r="A3243" s="130">
        <v>18247</v>
      </c>
      <c r="B3243" s="130">
        <v>15</v>
      </c>
      <c r="C3243" s="130" t="s">
        <v>4867</v>
      </c>
      <c r="D3243">
        <v>27595</v>
      </c>
      <c r="E3243" s="131">
        <v>27742040</v>
      </c>
      <c r="F3243" t="s">
        <v>87</v>
      </c>
      <c r="G3243">
        <v>76</v>
      </c>
      <c r="H3243" t="s">
        <v>8952</v>
      </c>
      <c r="I3243" s="130">
        <v>19</v>
      </c>
      <c r="J3243" t="s">
        <v>4867</v>
      </c>
      <c r="K3243" t="s">
        <v>108</v>
      </c>
      <c r="L3243" t="s">
        <v>1369</v>
      </c>
      <c r="M3243" t="s">
        <v>145</v>
      </c>
      <c r="N3243" t="s">
        <v>98</v>
      </c>
      <c r="O3243" t="s">
        <v>1345</v>
      </c>
    </row>
    <row r="3244" spans="1:15" x14ac:dyDescent="0.3">
      <c r="A3244" s="130">
        <v>18256</v>
      </c>
      <c r="B3244" s="130">
        <v>18</v>
      </c>
      <c r="C3244" s="130" t="s">
        <v>4868</v>
      </c>
      <c r="D3244">
        <v>27606</v>
      </c>
      <c r="E3244" s="130">
        <v>33443038</v>
      </c>
      <c r="F3244" t="s">
        <v>87</v>
      </c>
      <c r="G3244">
        <v>76</v>
      </c>
      <c r="H3244" t="s">
        <v>8953</v>
      </c>
      <c r="I3244" s="130">
        <v>3</v>
      </c>
      <c r="J3244" t="s">
        <v>4868</v>
      </c>
      <c r="K3244" t="s">
        <v>95</v>
      </c>
      <c r="L3244" t="s">
        <v>111</v>
      </c>
      <c r="M3244" t="s">
        <v>112</v>
      </c>
      <c r="N3244" t="s">
        <v>98</v>
      </c>
      <c r="O3244" t="s">
        <v>1345</v>
      </c>
    </row>
    <row r="3245" spans="1:15" x14ac:dyDescent="0.3">
      <c r="A3245" s="130">
        <v>18257</v>
      </c>
      <c r="B3245" s="130">
        <v>28</v>
      </c>
      <c r="C3245" s="130" t="s">
        <v>4869</v>
      </c>
      <c r="D3245">
        <v>27613</v>
      </c>
      <c r="E3245" s="130">
        <v>43368422</v>
      </c>
      <c r="F3245" t="s">
        <v>87</v>
      </c>
      <c r="G3245">
        <v>76</v>
      </c>
      <c r="H3245" t="s">
        <v>8951</v>
      </c>
      <c r="I3245" s="130">
        <v>43</v>
      </c>
      <c r="J3245" t="s">
        <v>4869</v>
      </c>
      <c r="K3245" t="s">
        <v>108</v>
      </c>
      <c r="L3245" t="s">
        <v>173</v>
      </c>
      <c r="M3245" t="s">
        <v>130</v>
      </c>
      <c r="N3245" t="s">
        <v>114</v>
      </c>
      <c r="O3245" t="s">
        <v>1345</v>
      </c>
    </row>
    <row r="3246" spans="1:15" x14ac:dyDescent="0.3">
      <c r="A3246" s="130">
        <v>18280</v>
      </c>
      <c r="B3246" s="130">
        <v>30</v>
      </c>
      <c r="C3246" s="130" t="s">
        <v>4870</v>
      </c>
      <c r="D3246">
        <v>27643</v>
      </c>
      <c r="E3246" s="130">
        <v>8056030</v>
      </c>
      <c r="F3246" t="s">
        <v>87</v>
      </c>
      <c r="G3246">
        <v>76</v>
      </c>
      <c r="H3246" t="s">
        <v>8952</v>
      </c>
      <c r="I3246" s="130">
        <v>26</v>
      </c>
      <c r="J3246" t="s">
        <v>4870</v>
      </c>
      <c r="K3246" t="s">
        <v>95</v>
      </c>
      <c r="L3246" t="s">
        <v>151</v>
      </c>
      <c r="M3246" t="s">
        <v>103</v>
      </c>
      <c r="N3246" t="s">
        <v>169</v>
      </c>
      <c r="O3246" t="s">
        <v>116</v>
      </c>
    </row>
    <row r="3247" spans="1:15" x14ac:dyDescent="0.3">
      <c r="A3247" s="130">
        <v>18283</v>
      </c>
      <c r="B3247" s="130">
        <v>30</v>
      </c>
      <c r="C3247" s="130" t="s">
        <v>4871</v>
      </c>
      <c r="D3247">
        <v>27647</v>
      </c>
      <c r="E3247" s="131">
        <v>61584223</v>
      </c>
      <c r="F3247" t="s">
        <v>87</v>
      </c>
      <c r="G3247">
        <v>76</v>
      </c>
      <c r="H3247" t="s">
        <v>8953</v>
      </c>
      <c r="I3247" s="130">
        <v>3</v>
      </c>
      <c r="J3247" t="s">
        <v>4871</v>
      </c>
      <c r="K3247" t="s">
        <v>95</v>
      </c>
      <c r="L3247" t="s">
        <v>111</v>
      </c>
      <c r="M3247" t="s">
        <v>103</v>
      </c>
      <c r="N3247" t="s">
        <v>98</v>
      </c>
      <c r="O3247" t="s">
        <v>1345</v>
      </c>
    </row>
    <row r="3248" spans="1:15" x14ac:dyDescent="0.3">
      <c r="A3248" s="130">
        <v>18292</v>
      </c>
      <c r="B3248" s="130">
        <v>21</v>
      </c>
      <c r="C3248" s="130" t="s">
        <v>4872</v>
      </c>
      <c r="D3248">
        <v>27650</v>
      </c>
      <c r="E3248" s="131">
        <v>8061365</v>
      </c>
      <c r="F3248" t="s">
        <v>87</v>
      </c>
      <c r="G3248">
        <v>76</v>
      </c>
      <c r="H3248" t="s">
        <v>8951</v>
      </c>
      <c r="I3248" s="130">
        <v>24</v>
      </c>
      <c r="J3248" t="s">
        <v>4872</v>
      </c>
      <c r="K3248" t="s">
        <v>108</v>
      </c>
      <c r="L3248" t="s">
        <v>191</v>
      </c>
      <c r="M3248" t="s">
        <v>137</v>
      </c>
      <c r="N3248" t="s">
        <v>114</v>
      </c>
      <c r="O3248" t="s">
        <v>116</v>
      </c>
    </row>
    <row r="3249" spans="1:15" x14ac:dyDescent="0.3">
      <c r="A3249" s="130">
        <v>18295</v>
      </c>
      <c r="B3249" s="130" t="s">
        <v>156</v>
      </c>
      <c r="C3249" s="130" t="s">
        <v>4873</v>
      </c>
      <c r="D3249">
        <v>27661</v>
      </c>
      <c r="E3249" s="130">
        <v>10764189</v>
      </c>
      <c r="F3249" t="s">
        <v>87</v>
      </c>
      <c r="G3249">
        <v>76</v>
      </c>
      <c r="H3249" t="s">
        <v>8952</v>
      </c>
      <c r="I3249" s="131">
        <v>3</v>
      </c>
      <c r="J3249" t="s">
        <v>4873</v>
      </c>
      <c r="K3249" t="s">
        <v>108</v>
      </c>
      <c r="L3249" t="s">
        <v>111</v>
      </c>
      <c r="M3249" t="s">
        <v>156</v>
      </c>
      <c r="N3249" t="s">
        <v>114</v>
      </c>
      <c r="O3249" t="s">
        <v>116</v>
      </c>
    </row>
    <row r="3250" spans="1:15" x14ac:dyDescent="0.3">
      <c r="A3250" s="130">
        <v>18304</v>
      </c>
      <c r="B3250" s="130">
        <v>18</v>
      </c>
      <c r="C3250" s="130" t="s">
        <v>4874</v>
      </c>
      <c r="D3250">
        <v>27673</v>
      </c>
      <c r="E3250" s="130">
        <v>3562124</v>
      </c>
      <c r="F3250" t="s">
        <v>87</v>
      </c>
      <c r="G3250">
        <v>76</v>
      </c>
      <c r="H3250" t="s">
        <v>8953</v>
      </c>
      <c r="I3250" s="130">
        <v>9</v>
      </c>
      <c r="J3250" t="s">
        <v>4874</v>
      </c>
      <c r="K3250" t="s">
        <v>95</v>
      </c>
      <c r="L3250" t="s">
        <v>1298</v>
      </c>
      <c r="M3250" t="s">
        <v>112</v>
      </c>
      <c r="N3250" t="s">
        <v>122</v>
      </c>
      <c r="O3250" t="s">
        <v>1256</v>
      </c>
    </row>
    <row r="3251" spans="1:15" x14ac:dyDescent="0.3">
      <c r="A3251" s="130">
        <v>18315</v>
      </c>
      <c r="B3251" s="130">
        <v>30</v>
      </c>
      <c r="C3251" s="130" t="s">
        <v>4875</v>
      </c>
      <c r="D3251">
        <v>27692</v>
      </c>
      <c r="E3251" s="130">
        <v>5451496</v>
      </c>
      <c r="F3251" t="s">
        <v>87</v>
      </c>
      <c r="G3251">
        <v>76</v>
      </c>
      <c r="H3251" t="s">
        <v>8951</v>
      </c>
      <c r="I3251" s="131">
        <v>43</v>
      </c>
      <c r="J3251" t="s">
        <v>4875</v>
      </c>
      <c r="K3251" t="s">
        <v>95</v>
      </c>
      <c r="L3251" t="s">
        <v>1368</v>
      </c>
      <c r="M3251" t="s">
        <v>103</v>
      </c>
      <c r="N3251" t="s">
        <v>101</v>
      </c>
      <c r="O3251" t="s">
        <v>116</v>
      </c>
    </row>
    <row r="3252" spans="1:15" x14ac:dyDescent="0.3">
      <c r="A3252" s="130">
        <v>18320</v>
      </c>
      <c r="B3252" s="130">
        <v>28</v>
      </c>
      <c r="C3252" s="130" t="s">
        <v>4876</v>
      </c>
      <c r="D3252">
        <v>27708</v>
      </c>
      <c r="E3252" s="131">
        <v>15320822</v>
      </c>
      <c r="F3252" t="s">
        <v>87</v>
      </c>
      <c r="G3252">
        <v>76</v>
      </c>
      <c r="H3252" t="s">
        <v>8952</v>
      </c>
      <c r="I3252" s="131">
        <v>37</v>
      </c>
      <c r="J3252" t="s">
        <v>4876</v>
      </c>
      <c r="K3252" t="s">
        <v>95</v>
      </c>
      <c r="L3252" t="s">
        <v>138</v>
      </c>
      <c r="M3252" t="s">
        <v>130</v>
      </c>
      <c r="N3252" t="s">
        <v>150</v>
      </c>
      <c r="O3252" t="s">
        <v>1345</v>
      </c>
    </row>
    <row r="3253" spans="1:15" x14ac:dyDescent="0.3">
      <c r="A3253" s="130">
        <v>18328</v>
      </c>
      <c r="B3253" s="130">
        <v>90</v>
      </c>
      <c r="C3253" s="130" t="s">
        <v>4877</v>
      </c>
      <c r="D3253">
        <v>27723</v>
      </c>
      <c r="E3253" s="130">
        <v>655209</v>
      </c>
      <c r="F3253" t="s">
        <v>87</v>
      </c>
      <c r="G3253">
        <v>76</v>
      </c>
      <c r="H3253" t="s">
        <v>8953</v>
      </c>
      <c r="I3253" s="130">
        <v>9</v>
      </c>
      <c r="J3253" t="s">
        <v>4877</v>
      </c>
      <c r="K3253" t="s">
        <v>95</v>
      </c>
      <c r="L3253" t="s">
        <v>181</v>
      </c>
      <c r="M3253" t="s">
        <v>170</v>
      </c>
      <c r="N3253" t="s">
        <v>114</v>
      </c>
      <c r="O3253" t="s">
        <v>116</v>
      </c>
    </row>
    <row r="3254" spans="1:15" x14ac:dyDescent="0.3">
      <c r="A3254" s="130">
        <v>18331</v>
      </c>
      <c r="B3254" s="130">
        <v>10</v>
      </c>
      <c r="C3254" s="130" t="s">
        <v>4878</v>
      </c>
      <c r="D3254">
        <v>27707</v>
      </c>
      <c r="E3254" s="131">
        <v>26389015</v>
      </c>
      <c r="F3254" t="s">
        <v>87</v>
      </c>
      <c r="G3254">
        <v>76</v>
      </c>
      <c r="H3254" t="s">
        <v>8951</v>
      </c>
      <c r="I3254" s="130">
        <v>3</v>
      </c>
      <c r="J3254" t="s">
        <v>4878</v>
      </c>
      <c r="K3254" t="s">
        <v>108</v>
      </c>
      <c r="L3254" t="s">
        <v>153</v>
      </c>
      <c r="M3254" t="s">
        <v>133</v>
      </c>
      <c r="N3254" t="s">
        <v>98</v>
      </c>
      <c r="O3254" t="s">
        <v>116</v>
      </c>
    </row>
    <row r="3255" spans="1:15" x14ac:dyDescent="0.3">
      <c r="A3255" s="130">
        <v>18337</v>
      </c>
      <c r="B3255" s="130">
        <v>30</v>
      </c>
      <c r="C3255" s="130" t="s">
        <v>4879</v>
      </c>
      <c r="D3255">
        <v>27634</v>
      </c>
      <c r="E3255" s="130">
        <v>46588950</v>
      </c>
      <c r="F3255" t="s">
        <v>87</v>
      </c>
      <c r="G3255">
        <v>76</v>
      </c>
      <c r="H3255" t="s">
        <v>8952</v>
      </c>
      <c r="I3255" s="131">
        <v>37</v>
      </c>
      <c r="J3255" t="s">
        <v>4879</v>
      </c>
      <c r="K3255" t="s">
        <v>95</v>
      </c>
      <c r="L3255" t="s">
        <v>138</v>
      </c>
      <c r="M3255" t="s">
        <v>103</v>
      </c>
      <c r="N3255" t="s">
        <v>131</v>
      </c>
      <c r="O3255" t="s">
        <v>116</v>
      </c>
    </row>
    <row r="3256" spans="1:15" x14ac:dyDescent="0.3">
      <c r="A3256" s="130">
        <v>18344</v>
      </c>
      <c r="B3256" s="130">
        <v>35</v>
      </c>
      <c r="C3256" s="130" t="s">
        <v>4880</v>
      </c>
      <c r="D3256">
        <v>27755</v>
      </c>
      <c r="E3256" s="131">
        <v>34692778</v>
      </c>
      <c r="F3256" t="s">
        <v>87</v>
      </c>
      <c r="G3256">
        <v>77</v>
      </c>
      <c r="H3256" t="s">
        <v>8953</v>
      </c>
      <c r="I3256" s="131">
        <v>18</v>
      </c>
      <c r="J3256" t="s">
        <v>4880</v>
      </c>
      <c r="K3256" t="s">
        <v>95</v>
      </c>
      <c r="L3256" t="s">
        <v>256</v>
      </c>
      <c r="M3256" t="s">
        <v>161</v>
      </c>
      <c r="N3256" t="s">
        <v>98</v>
      </c>
      <c r="O3256" t="s">
        <v>116</v>
      </c>
    </row>
    <row r="3257" spans="1:15" x14ac:dyDescent="0.3">
      <c r="A3257" s="130">
        <v>18345</v>
      </c>
      <c r="B3257" s="130">
        <v>30</v>
      </c>
      <c r="C3257" s="130" t="s">
        <v>4881</v>
      </c>
      <c r="D3257">
        <v>27756</v>
      </c>
      <c r="E3257" s="130">
        <v>14996274</v>
      </c>
      <c r="F3257" t="s">
        <v>87</v>
      </c>
      <c r="G3257">
        <v>76</v>
      </c>
      <c r="H3257" t="s">
        <v>8951</v>
      </c>
      <c r="I3257" s="131">
        <v>10</v>
      </c>
      <c r="J3257" t="s">
        <v>4881</v>
      </c>
      <c r="K3257" t="s">
        <v>95</v>
      </c>
      <c r="L3257" t="s">
        <v>127</v>
      </c>
      <c r="M3257" t="s">
        <v>103</v>
      </c>
      <c r="N3257" t="s">
        <v>98</v>
      </c>
      <c r="O3257" t="s">
        <v>116</v>
      </c>
    </row>
    <row r="3258" spans="1:15" x14ac:dyDescent="0.3">
      <c r="A3258" s="130">
        <v>18348</v>
      </c>
      <c r="B3258" s="130">
        <v>21</v>
      </c>
      <c r="C3258" s="130" t="s">
        <v>4882</v>
      </c>
      <c r="D3258">
        <v>27760</v>
      </c>
      <c r="E3258" s="131">
        <v>24352304</v>
      </c>
      <c r="F3258" t="s">
        <v>87</v>
      </c>
      <c r="G3258">
        <v>76</v>
      </c>
      <c r="H3258" t="s">
        <v>8952</v>
      </c>
      <c r="I3258" s="130">
        <v>19</v>
      </c>
      <c r="J3258" t="s">
        <v>4882</v>
      </c>
      <c r="K3258" t="s">
        <v>108</v>
      </c>
      <c r="L3258" t="s">
        <v>146</v>
      </c>
      <c r="M3258" t="s">
        <v>137</v>
      </c>
      <c r="N3258" t="s">
        <v>98</v>
      </c>
      <c r="O3258" t="s">
        <v>1345</v>
      </c>
    </row>
    <row r="3259" spans="1:15" x14ac:dyDescent="0.3">
      <c r="A3259" s="130">
        <v>18350</v>
      </c>
      <c r="B3259" s="130">
        <v>30</v>
      </c>
      <c r="C3259" s="130" t="s">
        <v>4883</v>
      </c>
      <c r="D3259">
        <v>27766</v>
      </c>
      <c r="E3259" s="131">
        <v>15063096</v>
      </c>
      <c r="F3259" t="s">
        <v>87</v>
      </c>
      <c r="G3259">
        <v>76</v>
      </c>
      <c r="H3259" t="s">
        <v>8953</v>
      </c>
      <c r="I3259" s="130">
        <v>3</v>
      </c>
      <c r="J3259" t="s">
        <v>4883</v>
      </c>
      <c r="K3259" t="s">
        <v>108</v>
      </c>
      <c r="L3259" t="s">
        <v>111</v>
      </c>
      <c r="M3259" t="s">
        <v>103</v>
      </c>
      <c r="N3259" t="s">
        <v>98</v>
      </c>
      <c r="O3259" t="s">
        <v>1345</v>
      </c>
    </row>
    <row r="3260" spans="1:15" x14ac:dyDescent="0.3">
      <c r="A3260" s="130">
        <v>18360</v>
      </c>
      <c r="B3260" s="130">
        <v>30</v>
      </c>
      <c r="C3260" s="130" t="s">
        <v>4884</v>
      </c>
      <c r="D3260">
        <v>27738</v>
      </c>
      <c r="E3260" s="130">
        <v>30703410</v>
      </c>
      <c r="F3260" t="s">
        <v>87</v>
      </c>
      <c r="G3260">
        <v>76</v>
      </c>
      <c r="H3260" t="s">
        <v>8951</v>
      </c>
      <c r="I3260" s="131">
        <v>3</v>
      </c>
      <c r="J3260" t="s">
        <v>4884</v>
      </c>
      <c r="K3260" t="s">
        <v>95</v>
      </c>
      <c r="L3260" t="s">
        <v>153</v>
      </c>
      <c r="M3260" t="s">
        <v>103</v>
      </c>
      <c r="N3260" t="s">
        <v>101</v>
      </c>
      <c r="O3260" t="s">
        <v>1345</v>
      </c>
    </row>
    <row r="3261" spans="1:15" x14ac:dyDescent="0.3">
      <c r="A3261" s="130">
        <v>18375</v>
      </c>
      <c r="B3261" s="130">
        <v>28</v>
      </c>
      <c r="C3261" s="130" t="s">
        <v>4885</v>
      </c>
      <c r="D3261">
        <v>27806</v>
      </c>
      <c r="E3261" s="131">
        <v>41743415</v>
      </c>
      <c r="F3261" t="s">
        <v>87</v>
      </c>
      <c r="G3261">
        <v>76</v>
      </c>
      <c r="H3261" t="s">
        <v>8952</v>
      </c>
      <c r="I3261" s="130">
        <v>43</v>
      </c>
      <c r="J3261" t="s">
        <v>4885</v>
      </c>
      <c r="K3261" t="s">
        <v>95</v>
      </c>
      <c r="L3261" t="s">
        <v>173</v>
      </c>
      <c r="M3261" t="s">
        <v>130</v>
      </c>
      <c r="N3261" t="s">
        <v>114</v>
      </c>
      <c r="O3261" t="s">
        <v>1345</v>
      </c>
    </row>
    <row r="3262" spans="1:15" x14ac:dyDescent="0.3">
      <c r="A3262" s="130">
        <v>18383</v>
      </c>
      <c r="B3262" s="130">
        <v>28</v>
      </c>
      <c r="C3262" s="130" t="s">
        <v>4886</v>
      </c>
      <c r="D3262">
        <v>27820</v>
      </c>
      <c r="E3262" s="130">
        <v>9625762</v>
      </c>
      <c r="F3262" t="s">
        <v>87</v>
      </c>
      <c r="G3262">
        <v>76</v>
      </c>
      <c r="H3262" t="s">
        <v>8953</v>
      </c>
      <c r="I3262" s="131">
        <v>43</v>
      </c>
      <c r="J3262" t="s">
        <v>4886</v>
      </c>
      <c r="K3262" t="s">
        <v>95</v>
      </c>
      <c r="L3262" t="s">
        <v>173</v>
      </c>
      <c r="M3262" t="s">
        <v>130</v>
      </c>
      <c r="N3262" t="s">
        <v>150</v>
      </c>
      <c r="O3262" t="s">
        <v>1345</v>
      </c>
    </row>
    <row r="3263" spans="1:15" x14ac:dyDescent="0.3">
      <c r="A3263" s="130">
        <v>18388</v>
      </c>
      <c r="B3263" s="130">
        <v>10</v>
      </c>
      <c r="C3263" s="130" t="s">
        <v>4887</v>
      </c>
      <c r="D3263">
        <v>27818</v>
      </c>
      <c r="E3263" s="130">
        <v>10571491</v>
      </c>
      <c r="F3263" t="s">
        <v>87</v>
      </c>
      <c r="G3263">
        <v>358</v>
      </c>
      <c r="H3263" t="s">
        <v>8951</v>
      </c>
      <c r="I3263" s="131">
        <v>10</v>
      </c>
      <c r="J3263" t="s">
        <v>4887</v>
      </c>
      <c r="K3263" t="s">
        <v>108</v>
      </c>
      <c r="L3263" t="s">
        <v>109</v>
      </c>
      <c r="M3263" t="s">
        <v>133</v>
      </c>
      <c r="N3263" t="s">
        <v>98</v>
      </c>
      <c r="O3263" t="s">
        <v>116</v>
      </c>
    </row>
    <row r="3264" spans="1:15" x14ac:dyDescent="0.3">
      <c r="A3264" s="130">
        <v>18389</v>
      </c>
      <c r="B3264" s="130">
        <v>90</v>
      </c>
      <c r="C3264" s="130" t="s">
        <v>4888</v>
      </c>
      <c r="D3264">
        <v>27827</v>
      </c>
      <c r="E3264" s="131">
        <v>35234509</v>
      </c>
      <c r="F3264" t="s">
        <v>87</v>
      </c>
      <c r="G3264">
        <v>76</v>
      </c>
      <c r="H3264" t="s">
        <v>8952</v>
      </c>
      <c r="I3264" s="131">
        <v>18</v>
      </c>
      <c r="J3264" t="s">
        <v>4888</v>
      </c>
      <c r="K3264" t="s">
        <v>95</v>
      </c>
      <c r="L3264" t="s">
        <v>102</v>
      </c>
      <c r="M3264" t="s">
        <v>170</v>
      </c>
      <c r="N3264" t="s">
        <v>98</v>
      </c>
      <c r="O3264" t="s">
        <v>116</v>
      </c>
    </row>
    <row r="3265" spans="1:15" x14ac:dyDescent="0.3">
      <c r="A3265" s="130">
        <v>18390</v>
      </c>
      <c r="B3265" s="130">
        <v>30</v>
      </c>
      <c r="C3265" s="130" t="s">
        <v>4889</v>
      </c>
      <c r="D3265">
        <v>27828</v>
      </c>
      <c r="E3265" s="130">
        <v>10630328</v>
      </c>
      <c r="F3265" t="s">
        <v>87</v>
      </c>
      <c r="G3265">
        <v>76</v>
      </c>
      <c r="H3265" t="s">
        <v>8953</v>
      </c>
      <c r="I3265" s="131">
        <v>3</v>
      </c>
      <c r="J3265" t="s">
        <v>4889</v>
      </c>
      <c r="K3265" t="s">
        <v>95</v>
      </c>
      <c r="L3265" t="s">
        <v>111</v>
      </c>
      <c r="M3265" t="s">
        <v>103</v>
      </c>
      <c r="N3265" t="s">
        <v>98</v>
      </c>
      <c r="O3265" t="s">
        <v>116</v>
      </c>
    </row>
    <row r="3266" spans="1:15" x14ac:dyDescent="0.3">
      <c r="A3266" s="130">
        <v>18400</v>
      </c>
      <c r="B3266" s="130">
        <v>0</v>
      </c>
      <c r="C3266" s="130" t="s">
        <v>4890</v>
      </c>
      <c r="D3266">
        <v>27842</v>
      </c>
      <c r="E3266" s="131">
        <v>4602699685</v>
      </c>
      <c r="F3266" t="s">
        <v>87</v>
      </c>
      <c r="G3266">
        <v>76</v>
      </c>
      <c r="H3266" t="s">
        <v>8951</v>
      </c>
      <c r="I3266" s="130">
        <v>3</v>
      </c>
      <c r="J3266" t="s">
        <v>4890</v>
      </c>
      <c r="K3266" t="s">
        <v>95</v>
      </c>
      <c r="L3266" t="s">
        <v>102</v>
      </c>
      <c r="M3266" t="s">
        <v>100</v>
      </c>
      <c r="N3266" t="s">
        <v>110</v>
      </c>
      <c r="O3266" t="s">
        <v>1345</v>
      </c>
    </row>
    <row r="3267" spans="1:15" x14ac:dyDescent="0.3">
      <c r="A3267" s="130">
        <v>18404</v>
      </c>
      <c r="B3267" s="130">
        <v>30</v>
      </c>
      <c r="C3267" s="130" t="s">
        <v>4891</v>
      </c>
      <c r="D3267">
        <v>27854</v>
      </c>
      <c r="E3267" s="131">
        <v>21681150</v>
      </c>
      <c r="F3267" t="s">
        <v>87</v>
      </c>
      <c r="G3267">
        <v>358</v>
      </c>
      <c r="H3267" t="s">
        <v>8952</v>
      </c>
      <c r="I3267" s="131">
        <v>3</v>
      </c>
      <c r="J3267" t="s">
        <v>4891</v>
      </c>
      <c r="K3267" t="s">
        <v>95</v>
      </c>
      <c r="L3267" t="s">
        <v>105</v>
      </c>
      <c r="M3267" t="s">
        <v>103</v>
      </c>
      <c r="N3267" t="s">
        <v>98</v>
      </c>
      <c r="O3267" t="s">
        <v>1345</v>
      </c>
    </row>
    <row r="3268" spans="1:15" x14ac:dyDescent="0.3">
      <c r="A3268" s="130">
        <v>18409</v>
      </c>
      <c r="B3268" s="130">
        <v>21</v>
      </c>
      <c r="C3268" s="130" t="s">
        <v>4892</v>
      </c>
      <c r="D3268">
        <v>27859</v>
      </c>
      <c r="E3268" s="130">
        <v>19284040</v>
      </c>
      <c r="F3268" t="s">
        <v>87</v>
      </c>
      <c r="G3268">
        <v>76</v>
      </c>
      <c r="H3268" t="s">
        <v>8953</v>
      </c>
      <c r="I3268" s="130">
        <v>19</v>
      </c>
      <c r="J3268" t="s">
        <v>4892</v>
      </c>
      <c r="K3268" t="s">
        <v>108</v>
      </c>
      <c r="L3268" t="s">
        <v>146</v>
      </c>
      <c r="M3268" t="s">
        <v>137</v>
      </c>
      <c r="N3268" t="s">
        <v>98</v>
      </c>
      <c r="O3268" t="s">
        <v>1345</v>
      </c>
    </row>
    <row r="3269" spans="1:15" x14ac:dyDescent="0.3">
      <c r="A3269" s="130">
        <v>18413</v>
      </c>
      <c r="B3269" s="130">
        <v>18</v>
      </c>
      <c r="C3269" s="130" t="s">
        <v>4893</v>
      </c>
      <c r="D3269">
        <v>27869</v>
      </c>
      <c r="E3269" s="131">
        <v>7207251</v>
      </c>
      <c r="F3269" t="s">
        <v>87</v>
      </c>
      <c r="G3269">
        <v>76</v>
      </c>
      <c r="H3269" t="s">
        <v>8951</v>
      </c>
      <c r="I3269" s="131">
        <v>9</v>
      </c>
      <c r="J3269" t="s">
        <v>4893</v>
      </c>
      <c r="K3269" t="s">
        <v>108</v>
      </c>
      <c r="L3269" t="s">
        <v>163</v>
      </c>
      <c r="M3269" t="s">
        <v>112</v>
      </c>
      <c r="N3269" t="s">
        <v>98</v>
      </c>
      <c r="O3269" t="s">
        <v>116</v>
      </c>
    </row>
    <row r="3270" spans="1:15" x14ac:dyDescent="0.3">
      <c r="A3270" s="130">
        <v>18416</v>
      </c>
      <c r="B3270" s="130">
        <v>10</v>
      </c>
      <c r="C3270" s="130" t="s">
        <v>4894</v>
      </c>
      <c r="D3270">
        <v>27822</v>
      </c>
      <c r="E3270" s="131">
        <v>82768151</v>
      </c>
      <c r="F3270" t="s">
        <v>87</v>
      </c>
      <c r="G3270">
        <v>76</v>
      </c>
      <c r="H3270" t="s">
        <v>8952</v>
      </c>
      <c r="I3270" s="131">
        <v>24</v>
      </c>
      <c r="J3270" t="s">
        <v>4894</v>
      </c>
      <c r="K3270" t="s">
        <v>108</v>
      </c>
      <c r="L3270" t="s">
        <v>191</v>
      </c>
      <c r="M3270" t="s">
        <v>133</v>
      </c>
      <c r="N3270" t="s">
        <v>114</v>
      </c>
      <c r="O3270" t="s">
        <v>1345</v>
      </c>
    </row>
    <row r="3271" spans="1:15" x14ac:dyDescent="0.3">
      <c r="A3271" s="130">
        <v>18417</v>
      </c>
      <c r="B3271" s="130">
        <v>-1</v>
      </c>
      <c r="C3271" s="130" t="s">
        <v>4895</v>
      </c>
      <c r="D3271">
        <v>27877</v>
      </c>
      <c r="E3271" s="131">
        <v>33883251</v>
      </c>
      <c r="F3271" t="s">
        <v>87</v>
      </c>
      <c r="G3271">
        <v>76</v>
      </c>
      <c r="H3271" t="s">
        <v>8953</v>
      </c>
      <c r="I3271" s="131">
        <v>43</v>
      </c>
      <c r="J3271" t="s">
        <v>4895</v>
      </c>
      <c r="K3271" t="s">
        <v>108</v>
      </c>
      <c r="L3271" t="s">
        <v>1368</v>
      </c>
      <c r="M3271" t="s">
        <v>174</v>
      </c>
      <c r="N3271" t="s">
        <v>114</v>
      </c>
      <c r="O3271" t="s">
        <v>116</v>
      </c>
    </row>
    <row r="3272" spans="1:15" x14ac:dyDescent="0.3">
      <c r="A3272" s="130">
        <v>18418</v>
      </c>
      <c r="B3272" s="130">
        <v>30</v>
      </c>
      <c r="C3272" s="130" t="s">
        <v>4896</v>
      </c>
      <c r="D3272">
        <v>27883</v>
      </c>
      <c r="E3272" s="130">
        <v>27601782</v>
      </c>
      <c r="F3272" t="s">
        <v>87</v>
      </c>
      <c r="G3272">
        <v>76</v>
      </c>
      <c r="H3272" t="s">
        <v>8951</v>
      </c>
      <c r="I3272" s="130">
        <v>18</v>
      </c>
      <c r="J3272" t="s">
        <v>4896</v>
      </c>
      <c r="K3272" t="s">
        <v>95</v>
      </c>
      <c r="L3272" t="s">
        <v>123</v>
      </c>
      <c r="M3272" t="s">
        <v>103</v>
      </c>
      <c r="N3272" t="s">
        <v>98</v>
      </c>
      <c r="O3272" t="s">
        <v>116</v>
      </c>
    </row>
    <row r="3273" spans="1:15" x14ac:dyDescent="0.3">
      <c r="A3273" s="130">
        <v>18425</v>
      </c>
      <c r="B3273" s="130">
        <v>30</v>
      </c>
      <c r="C3273" s="130" t="s">
        <v>4897</v>
      </c>
      <c r="D3273">
        <v>27889</v>
      </c>
      <c r="E3273" s="130">
        <v>35156161</v>
      </c>
      <c r="F3273" t="s">
        <v>87</v>
      </c>
      <c r="G3273">
        <v>76</v>
      </c>
      <c r="H3273" t="s">
        <v>8952</v>
      </c>
      <c r="I3273" s="130">
        <v>3</v>
      </c>
      <c r="J3273" t="s">
        <v>4897</v>
      </c>
      <c r="K3273" t="s">
        <v>108</v>
      </c>
      <c r="L3273" t="s">
        <v>111</v>
      </c>
      <c r="M3273" t="s">
        <v>103</v>
      </c>
      <c r="N3273" t="s">
        <v>118</v>
      </c>
      <c r="O3273" t="s">
        <v>1345</v>
      </c>
    </row>
    <row r="3274" spans="1:15" x14ac:dyDescent="0.3">
      <c r="A3274" s="130">
        <v>18426</v>
      </c>
      <c r="B3274" s="130">
        <v>0</v>
      </c>
      <c r="C3274" s="130" t="s">
        <v>4898</v>
      </c>
      <c r="D3274">
        <v>27898</v>
      </c>
      <c r="E3274" s="130">
        <v>18725687</v>
      </c>
      <c r="F3274" t="s">
        <v>87</v>
      </c>
      <c r="G3274">
        <v>76</v>
      </c>
      <c r="H3274" t="s">
        <v>8953</v>
      </c>
      <c r="I3274" s="131">
        <v>24</v>
      </c>
      <c r="J3274" t="s">
        <v>4898</v>
      </c>
      <c r="K3274" t="s">
        <v>108</v>
      </c>
      <c r="L3274" t="s">
        <v>191</v>
      </c>
      <c r="M3274" t="s">
        <v>100</v>
      </c>
      <c r="N3274" t="s">
        <v>98</v>
      </c>
      <c r="O3274" t="s">
        <v>116</v>
      </c>
    </row>
    <row r="3275" spans="1:15" x14ac:dyDescent="0.3">
      <c r="A3275" s="130">
        <v>18429</v>
      </c>
      <c r="B3275" s="130">
        <v>30</v>
      </c>
      <c r="C3275" s="130" t="s">
        <v>4899</v>
      </c>
      <c r="D3275">
        <v>27866</v>
      </c>
      <c r="E3275" s="130">
        <v>2888032</v>
      </c>
      <c r="F3275" t="s">
        <v>87</v>
      </c>
      <c r="G3275">
        <v>77</v>
      </c>
      <c r="H3275" t="s">
        <v>8951</v>
      </c>
      <c r="I3275" s="131">
        <v>18</v>
      </c>
      <c r="J3275" t="s">
        <v>4899</v>
      </c>
      <c r="K3275" t="s">
        <v>95</v>
      </c>
      <c r="L3275" t="s">
        <v>256</v>
      </c>
      <c r="M3275" t="s">
        <v>103</v>
      </c>
      <c r="N3275" t="s">
        <v>98</v>
      </c>
      <c r="O3275" t="s">
        <v>116</v>
      </c>
    </row>
    <row r="3276" spans="1:15" x14ac:dyDescent="0.3">
      <c r="A3276" s="130">
        <v>18438</v>
      </c>
      <c r="B3276" s="130">
        <v>30</v>
      </c>
      <c r="C3276" s="130" t="s">
        <v>4900</v>
      </c>
      <c r="D3276">
        <v>27911</v>
      </c>
      <c r="E3276" s="130">
        <v>30341594</v>
      </c>
      <c r="F3276" t="s">
        <v>87</v>
      </c>
      <c r="G3276">
        <v>76</v>
      </c>
      <c r="H3276" t="s">
        <v>8952</v>
      </c>
      <c r="I3276" s="130">
        <v>19</v>
      </c>
      <c r="J3276" t="s">
        <v>4900</v>
      </c>
      <c r="K3276" t="s">
        <v>108</v>
      </c>
      <c r="L3276" t="s">
        <v>146</v>
      </c>
      <c r="M3276" t="s">
        <v>103</v>
      </c>
      <c r="N3276" t="s">
        <v>162</v>
      </c>
      <c r="O3276" t="s">
        <v>1345</v>
      </c>
    </row>
    <row r="3277" spans="1:15" x14ac:dyDescent="0.3">
      <c r="A3277" s="130">
        <v>18455</v>
      </c>
      <c r="B3277" s="130">
        <v>30</v>
      </c>
      <c r="C3277" s="130" t="s">
        <v>4901</v>
      </c>
      <c r="D3277">
        <v>27928</v>
      </c>
      <c r="E3277" s="130">
        <v>1294551</v>
      </c>
      <c r="F3277" t="s">
        <v>87</v>
      </c>
      <c r="G3277">
        <v>76</v>
      </c>
      <c r="H3277" t="s">
        <v>8953</v>
      </c>
      <c r="I3277" s="130">
        <v>19</v>
      </c>
      <c r="J3277" t="s">
        <v>4901</v>
      </c>
      <c r="K3277" t="s">
        <v>108</v>
      </c>
      <c r="L3277" t="s">
        <v>146</v>
      </c>
      <c r="M3277" t="s">
        <v>103</v>
      </c>
      <c r="N3277" t="s">
        <v>114</v>
      </c>
      <c r="O3277" t="s">
        <v>116</v>
      </c>
    </row>
    <row r="3278" spans="1:15" x14ac:dyDescent="0.3">
      <c r="A3278" s="130">
        <v>18462</v>
      </c>
      <c r="B3278" s="130">
        <v>15</v>
      </c>
      <c r="C3278" s="130" t="s">
        <v>4902</v>
      </c>
      <c r="D3278">
        <v>27936</v>
      </c>
      <c r="E3278" s="131">
        <v>15120750</v>
      </c>
      <c r="F3278" t="s">
        <v>87</v>
      </c>
      <c r="G3278">
        <v>76</v>
      </c>
      <c r="H3278" t="s">
        <v>8951</v>
      </c>
      <c r="I3278" s="130">
        <v>19</v>
      </c>
      <c r="J3278" t="s">
        <v>4902</v>
      </c>
      <c r="K3278" t="s">
        <v>108</v>
      </c>
      <c r="L3278" t="s">
        <v>146</v>
      </c>
      <c r="M3278" t="s">
        <v>145</v>
      </c>
      <c r="N3278" t="s">
        <v>98</v>
      </c>
      <c r="O3278" t="s">
        <v>116</v>
      </c>
    </row>
    <row r="3279" spans="1:15" x14ac:dyDescent="0.3">
      <c r="A3279" s="130">
        <v>18463</v>
      </c>
      <c r="B3279" s="130">
        <v>15</v>
      </c>
      <c r="C3279" s="130" t="s">
        <v>4903</v>
      </c>
      <c r="D3279">
        <v>27937</v>
      </c>
      <c r="E3279" s="130">
        <v>96556642</v>
      </c>
      <c r="F3279" t="s">
        <v>87</v>
      </c>
      <c r="G3279">
        <v>76</v>
      </c>
      <c r="H3279" t="s">
        <v>8952</v>
      </c>
      <c r="I3279" s="131">
        <v>19</v>
      </c>
      <c r="J3279" t="s">
        <v>4903</v>
      </c>
      <c r="K3279" t="s">
        <v>108</v>
      </c>
      <c r="L3279" t="s">
        <v>146</v>
      </c>
      <c r="M3279" t="s">
        <v>145</v>
      </c>
      <c r="N3279" t="s">
        <v>98</v>
      </c>
      <c r="O3279" t="s">
        <v>116</v>
      </c>
    </row>
    <row r="3280" spans="1:15" x14ac:dyDescent="0.3">
      <c r="A3280" s="130">
        <v>18464</v>
      </c>
      <c r="B3280" s="130">
        <v>18</v>
      </c>
      <c r="C3280" s="130" t="s">
        <v>4904</v>
      </c>
      <c r="D3280">
        <v>27938</v>
      </c>
      <c r="E3280" s="131">
        <v>43200669</v>
      </c>
      <c r="F3280" t="s">
        <v>87</v>
      </c>
      <c r="G3280">
        <v>76</v>
      </c>
      <c r="H3280" t="s">
        <v>8953</v>
      </c>
      <c r="I3280" s="131">
        <v>10</v>
      </c>
      <c r="J3280" t="s">
        <v>4904</v>
      </c>
      <c r="K3280" t="s">
        <v>108</v>
      </c>
      <c r="L3280" t="s">
        <v>127</v>
      </c>
      <c r="M3280" t="s">
        <v>112</v>
      </c>
      <c r="N3280" t="s">
        <v>152</v>
      </c>
      <c r="O3280" t="s">
        <v>1345</v>
      </c>
    </row>
    <row r="3281" spans="1:15" x14ac:dyDescent="0.3">
      <c r="A3281" s="130">
        <v>18491</v>
      </c>
      <c r="B3281" s="130">
        <v>28</v>
      </c>
      <c r="C3281" s="130" t="s">
        <v>4905</v>
      </c>
      <c r="D3281">
        <v>27969</v>
      </c>
      <c r="E3281" s="131">
        <v>44602581</v>
      </c>
      <c r="F3281" t="s">
        <v>87</v>
      </c>
      <c r="G3281">
        <v>76</v>
      </c>
      <c r="H3281" t="s">
        <v>8951</v>
      </c>
      <c r="I3281" s="131">
        <v>37</v>
      </c>
      <c r="J3281" t="s">
        <v>4905</v>
      </c>
      <c r="K3281" t="s">
        <v>95</v>
      </c>
      <c r="L3281" t="s">
        <v>138</v>
      </c>
      <c r="M3281" t="s">
        <v>130</v>
      </c>
      <c r="N3281" t="s">
        <v>150</v>
      </c>
      <c r="O3281" t="s">
        <v>1345</v>
      </c>
    </row>
    <row r="3282" spans="1:15" x14ac:dyDescent="0.3">
      <c r="A3282" s="130">
        <v>18496</v>
      </c>
      <c r="B3282" s="130" t="s">
        <v>135</v>
      </c>
      <c r="C3282" s="130" t="s">
        <v>4906</v>
      </c>
      <c r="D3282">
        <v>27983</v>
      </c>
      <c r="E3282" s="130">
        <v>83646547</v>
      </c>
      <c r="F3282" t="s">
        <v>87</v>
      </c>
      <c r="G3282">
        <v>358</v>
      </c>
      <c r="H3282" t="s">
        <v>8952</v>
      </c>
      <c r="I3282" s="130">
        <v>10</v>
      </c>
      <c r="J3282" t="s">
        <v>4906</v>
      </c>
      <c r="K3282" t="s">
        <v>95</v>
      </c>
      <c r="L3282" t="s">
        <v>105</v>
      </c>
      <c r="M3282" t="s">
        <v>136</v>
      </c>
      <c r="N3282" t="s">
        <v>98</v>
      </c>
      <c r="O3282" t="s">
        <v>116</v>
      </c>
    </row>
    <row r="3283" spans="1:15" x14ac:dyDescent="0.3">
      <c r="A3283" s="130">
        <v>18497</v>
      </c>
      <c r="B3283" s="130">
        <v>28</v>
      </c>
      <c r="C3283" s="130" t="s">
        <v>4907</v>
      </c>
      <c r="D3283">
        <v>27984</v>
      </c>
      <c r="E3283" s="130">
        <v>10776314</v>
      </c>
      <c r="F3283" t="s">
        <v>87</v>
      </c>
      <c r="G3283">
        <v>76</v>
      </c>
      <c r="H3283" t="s">
        <v>8953</v>
      </c>
      <c r="I3283" s="130">
        <v>3</v>
      </c>
      <c r="J3283" t="s">
        <v>4907</v>
      </c>
      <c r="K3283" t="s">
        <v>108</v>
      </c>
      <c r="L3283" t="s">
        <v>111</v>
      </c>
      <c r="M3283" t="s">
        <v>130</v>
      </c>
      <c r="N3283" t="s">
        <v>98</v>
      </c>
      <c r="O3283" t="s">
        <v>1345</v>
      </c>
    </row>
    <row r="3284" spans="1:15" x14ac:dyDescent="0.3">
      <c r="A3284" s="130">
        <v>18502</v>
      </c>
      <c r="B3284" s="130">
        <v>28</v>
      </c>
      <c r="C3284" s="130" t="s">
        <v>4908</v>
      </c>
      <c r="D3284">
        <v>27993</v>
      </c>
      <c r="E3284" s="130">
        <v>21186892</v>
      </c>
      <c r="F3284" t="s">
        <v>87</v>
      </c>
      <c r="G3284">
        <v>76</v>
      </c>
      <c r="H3284" t="s">
        <v>8951</v>
      </c>
      <c r="I3284" s="130">
        <v>37</v>
      </c>
      <c r="J3284" t="s">
        <v>4908</v>
      </c>
      <c r="K3284" t="s">
        <v>95</v>
      </c>
      <c r="L3284" t="s">
        <v>138</v>
      </c>
      <c r="M3284" t="s">
        <v>130</v>
      </c>
      <c r="N3284" t="s">
        <v>150</v>
      </c>
      <c r="O3284" t="s">
        <v>1345</v>
      </c>
    </row>
    <row r="3285" spans="1:15" x14ac:dyDescent="0.3">
      <c r="A3285" s="130">
        <v>18508</v>
      </c>
      <c r="B3285" s="130">
        <v>28</v>
      </c>
      <c r="C3285" s="130" t="s">
        <v>4909</v>
      </c>
      <c r="D3285">
        <v>28001</v>
      </c>
      <c r="E3285" s="130">
        <v>49314049</v>
      </c>
      <c r="F3285" t="s">
        <v>87</v>
      </c>
      <c r="G3285">
        <v>76</v>
      </c>
      <c r="H3285" t="s">
        <v>8952</v>
      </c>
      <c r="I3285" s="131">
        <v>37</v>
      </c>
      <c r="J3285" t="s">
        <v>4909</v>
      </c>
      <c r="K3285" t="s">
        <v>95</v>
      </c>
      <c r="L3285" t="s">
        <v>138</v>
      </c>
      <c r="M3285" t="s">
        <v>130</v>
      </c>
      <c r="N3285" t="s">
        <v>122</v>
      </c>
      <c r="O3285" t="s">
        <v>1345</v>
      </c>
    </row>
    <row r="3286" spans="1:15" x14ac:dyDescent="0.3">
      <c r="A3286" s="130">
        <v>18509</v>
      </c>
      <c r="B3286" s="130">
        <v>30</v>
      </c>
      <c r="C3286" s="130" t="s">
        <v>4910</v>
      </c>
      <c r="D3286">
        <v>28002</v>
      </c>
      <c r="E3286" s="130">
        <v>8220952</v>
      </c>
      <c r="F3286" t="s">
        <v>87</v>
      </c>
      <c r="G3286">
        <v>76</v>
      </c>
      <c r="H3286" t="s">
        <v>8953</v>
      </c>
      <c r="I3286" s="130">
        <v>43</v>
      </c>
      <c r="J3286" t="s">
        <v>4910</v>
      </c>
      <c r="K3286" t="s">
        <v>108</v>
      </c>
      <c r="L3286" t="s">
        <v>173</v>
      </c>
      <c r="M3286" t="s">
        <v>103</v>
      </c>
      <c r="N3286" t="s">
        <v>107</v>
      </c>
      <c r="O3286" t="s">
        <v>1345</v>
      </c>
    </row>
    <row r="3287" spans="1:15" x14ac:dyDescent="0.3">
      <c r="A3287" s="130">
        <v>18510</v>
      </c>
      <c r="B3287" s="130">
        <v>28</v>
      </c>
      <c r="C3287" s="130" t="s">
        <v>4911</v>
      </c>
      <c r="D3287">
        <v>28005</v>
      </c>
      <c r="E3287" s="131">
        <v>49314049</v>
      </c>
      <c r="F3287" t="s">
        <v>87</v>
      </c>
      <c r="G3287">
        <v>76</v>
      </c>
      <c r="H3287" t="s">
        <v>8951</v>
      </c>
      <c r="I3287" s="131">
        <v>37</v>
      </c>
      <c r="J3287" t="s">
        <v>4911</v>
      </c>
      <c r="K3287" t="s">
        <v>95</v>
      </c>
      <c r="L3287" t="s">
        <v>138</v>
      </c>
      <c r="M3287" t="s">
        <v>130</v>
      </c>
      <c r="N3287" t="s">
        <v>122</v>
      </c>
      <c r="O3287" t="s">
        <v>1345</v>
      </c>
    </row>
    <row r="3288" spans="1:15" x14ac:dyDescent="0.3">
      <c r="A3288" s="130">
        <v>18511</v>
      </c>
      <c r="B3288" s="130">
        <v>28</v>
      </c>
      <c r="C3288" s="130" t="s">
        <v>4912</v>
      </c>
      <c r="D3288">
        <v>28003</v>
      </c>
      <c r="E3288" s="131">
        <v>60945169</v>
      </c>
      <c r="F3288" t="s">
        <v>87</v>
      </c>
      <c r="G3288">
        <v>76</v>
      </c>
      <c r="H3288" t="s">
        <v>8952</v>
      </c>
      <c r="I3288" s="131">
        <v>24</v>
      </c>
      <c r="J3288" t="s">
        <v>4912</v>
      </c>
      <c r="K3288" t="s">
        <v>95</v>
      </c>
      <c r="L3288" t="s">
        <v>120</v>
      </c>
      <c r="M3288" t="s">
        <v>130</v>
      </c>
      <c r="N3288" t="s">
        <v>114</v>
      </c>
      <c r="O3288" t="s">
        <v>116</v>
      </c>
    </row>
    <row r="3289" spans="1:15" x14ac:dyDescent="0.3">
      <c r="A3289" s="130">
        <v>18518</v>
      </c>
      <c r="B3289" s="130">
        <v>28</v>
      </c>
      <c r="C3289" s="130" t="s">
        <v>4913</v>
      </c>
      <c r="D3289">
        <v>28009</v>
      </c>
      <c r="E3289" s="130">
        <v>49314049</v>
      </c>
      <c r="F3289" t="s">
        <v>87</v>
      </c>
      <c r="G3289">
        <v>76</v>
      </c>
      <c r="H3289" t="s">
        <v>8953</v>
      </c>
      <c r="I3289" s="130">
        <v>37</v>
      </c>
      <c r="J3289" t="s">
        <v>4913</v>
      </c>
      <c r="K3289" t="s">
        <v>95</v>
      </c>
      <c r="L3289" t="s">
        <v>138</v>
      </c>
      <c r="M3289" t="s">
        <v>130</v>
      </c>
      <c r="N3289" t="s">
        <v>122</v>
      </c>
      <c r="O3289" t="s">
        <v>1345</v>
      </c>
    </row>
    <row r="3290" spans="1:15" x14ac:dyDescent="0.3">
      <c r="A3290" s="130">
        <v>18519</v>
      </c>
      <c r="B3290" s="130">
        <v>30</v>
      </c>
      <c r="C3290" s="130" t="s">
        <v>4914</v>
      </c>
      <c r="D3290">
        <v>28013</v>
      </c>
      <c r="E3290" s="131">
        <v>44159557</v>
      </c>
      <c r="F3290" t="s">
        <v>87</v>
      </c>
      <c r="G3290">
        <v>358</v>
      </c>
      <c r="H3290" t="s">
        <v>8951</v>
      </c>
      <c r="I3290" s="130">
        <v>3</v>
      </c>
      <c r="J3290" t="s">
        <v>4914</v>
      </c>
      <c r="K3290" t="s">
        <v>95</v>
      </c>
      <c r="L3290" t="s">
        <v>105</v>
      </c>
      <c r="M3290" t="s">
        <v>103</v>
      </c>
      <c r="N3290" t="s">
        <v>98</v>
      </c>
      <c r="O3290" t="s">
        <v>1345</v>
      </c>
    </row>
    <row r="3291" spans="1:15" x14ac:dyDescent="0.3">
      <c r="A3291" s="130">
        <v>18527</v>
      </c>
      <c r="B3291" s="130">
        <v>60</v>
      </c>
      <c r="C3291" s="130" t="s">
        <v>4915</v>
      </c>
      <c r="D3291">
        <v>28024</v>
      </c>
      <c r="E3291" s="130">
        <v>532740</v>
      </c>
      <c r="F3291" t="s">
        <v>87</v>
      </c>
      <c r="G3291">
        <v>76</v>
      </c>
      <c r="H3291" t="s">
        <v>8952</v>
      </c>
      <c r="I3291" s="130">
        <v>10</v>
      </c>
      <c r="J3291" t="s">
        <v>4915</v>
      </c>
      <c r="K3291" t="s">
        <v>95</v>
      </c>
      <c r="L3291" t="s">
        <v>127</v>
      </c>
      <c r="M3291" t="s">
        <v>97</v>
      </c>
      <c r="N3291" t="s">
        <v>118</v>
      </c>
      <c r="O3291" t="s">
        <v>116</v>
      </c>
    </row>
    <row r="3292" spans="1:15" x14ac:dyDescent="0.3">
      <c r="A3292" s="130">
        <v>18535</v>
      </c>
      <c r="B3292" s="130">
        <v>30</v>
      </c>
      <c r="C3292" s="130" t="s">
        <v>4916</v>
      </c>
      <c r="D3292">
        <v>28036</v>
      </c>
      <c r="E3292" s="131">
        <v>34173001</v>
      </c>
      <c r="F3292" t="s">
        <v>87</v>
      </c>
      <c r="G3292">
        <v>76</v>
      </c>
      <c r="H3292" t="s">
        <v>8953</v>
      </c>
      <c r="I3292" s="130">
        <v>3</v>
      </c>
      <c r="J3292" t="s">
        <v>4916</v>
      </c>
      <c r="K3292" t="s">
        <v>95</v>
      </c>
      <c r="L3292" t="s">
        <v>144</v>
      </c>
      <c r="M3292" t="s">
        <v>103</v>
      </c>
      <c r="N3292" t="s">
        <v>101</v>
      </c>
      <c r="O3292" t="s">
        <v>116</v>
      </c>
    </row>
    <row r="3293" spans="1:15" x14ac:dyDescent="0.3">
      <c r="A3293" s="130">
        <v>18544</v>
      </c>
      <c r="B3293" s="130">
        <v>30</v>
      </c>
      <c r="C3293" s="130" t="s">
        <v>4917</v>
      </c>
      <c r="D3293">
        <v>28057</v>
      </c>
      <c r="E3293" s="130">
        <v>36935862</v>
      </c>
      <c r="F3293" t="s">
        <v>87</v>
      </c>
      <c r="G3293">
        <v>76</v>
      </c>
      <c r="H3293" t="s">
        <v>8951</v>
      </c>
      <c r="I3293" s="131">
        <v>26</v>
      </c>
      <c r="J3293" t="s">
        <v>4917</v>
      </c>
      <c r="K3293" t="s">
        <v>108</v>
      </c>
      <c r="L3293" t="s">
        <v>151</v>
      </c>
      <c r="M3293" t="s">
        <v>103</v>
      </c>
      <c r="N3293" t="s">
        <v>98</v>
      </c>
      <c r="O3293" t="s">
        <v>1345</v>
      </c>
    </row>
    <row r="3294" spans="1:15" x14ac:dyDescent="0.3">
      <c r="A3294" s="130">
        <v>18547</v>
      </c>
      <c r="B3294" s="130">
        <v>28</v>
      </c>
      <c r="C3294" s="130" t="s">
        <v>4918</v>
      </c>
      <c r="D3294">
        <v>28060</v>
      </c>
      <c r="E3294" s="130">
        <v>94480480</v>
      </c>
      <c r="F3294" t="s">
        <v>87</v>
      </c>
      <c r="G3294">
        <v>76</v>
      </c>
      <c r="H3294" t="s">
        <v>8952</v>
      </c>
      <c r="I3294" s="130">
        <v>43</v>
      </c>
      <c r="J3294" t="s">
        <v>4918</v>
      </c>
      <c r="K3294" t="s">
        <v>95</v>
      </c>
      <c r="L3294" t="s">
        <v>173</v>
      </c>
      <c r="M3294" t="s">
        <v>130</v>
      </c>
      <c r="N3294" t="s">
        <v>114</v>
      </c>
      <c r="O3294" t="s">
        <v>1345</v>
      </c>
    </row>
    <row r="3295" spans="1:15" x14ac:dyDescent="0.3">
      <c r="A3295" s="130">
        <v>18548</v>
      </c>
      <c r="B3295" s="130">
        <v>30</v>
      </c>
      <c r="C3295" s="130" t="s">
        <v>4919</v>
      </c>
      <c r="D3295">
        <v>28064</v>
      </c>
      <c r="E3295" s="130">
        <v>903166</v>
      </c>
      <c r="F3295" t="s">
        <v>87</v>
      </c>
      <c r="G3295">
        <v>76</v>
      </c>
      <c r="H3295" t="s">
        <v>8953</v>
      </c>
      <c r="I3295" s="131">
        <v>19</v>
      </c>
      <c r="J3295" t="s">
        <v>4919</v>
      </c>
      <c r="K3295" t="s">
        <v>108</v>
      </c>
      <c r="L3295" t="s">
        <v>146</v>
      </c>
      <c r="M3295" t="s">
        <v>103</v>
      </c>
      <c r="N3295" t="s">
        <v>169</v>
      </c>
      <c r="O3295" t="s">
        <v>1345</v>
      </c>
    </row>
    <row r="3296" spans="1:15" x14ac:dyDescent="0.3">
      <c r="A3296" s="130">
        <v>18549</v>
      </c>
      <c r="B3296" s="130">
        <v>-1</v>
      </c>
      <c r="C3296" s="130" t="s">
        <v>4920</v>
      </c>
      <c r="D3296">
        <v>28066</v>
      </c>
      <c r="E3296" s="130">
        <v>38471380</v>
      </c>
      <c r="F3296" t="s">
        <v>87</v>
      </c>
      <c r="G3296">
        <v>76</v>
      </c>
      <c r="H3296" t="s">
        <v>8951</v>
      </c>
      <c r="I3296" s="130">
        <v>9</v>
      </c>
      <c r="J3296" t="s">
        <v>4920</v>
      </c>
      <c r="K3296" t="s">
        <v>108</v>
      </c>
      <c r="L3296" t="s">
        <v>163</v>
      </c>
      <c r="M3296" t="s">
        <v>174</v>
      </c>
      <c r="N3296" t="s">
        <v>131</v>
      </c>
      <c r="O3296" t="s">
        <v>116</v>
      </c>
    </row>
    <row r="3297" spans="1:15" x14ac:dyDescent="0.3">
      <c r="A3297" s="130">
        <v>18551</v>
      </c>
      <c r="B3297" s="130">
        <v>28</v>
      </c>
      <c r="C3297" s="130" t="s">
        <v>4921</v>
      </c>
      <c r="D3297">
        <v>28065</v>
      </c>
      <c r="E3297" s="130">
        <v>44602581</v>
      </c>
      <c r="F3297" t="s">
        <v>87</v>
      </c>
      <c r="G3297">
        <v>76</v>
      </c>
      <c r="H3297" t="s">
        <v>8952</v>
      </c>
      <c r="I3297" s="131">
        <v>37</v>
      </c>
      <c r="J3297" t="s">
        <v>4921</v>
      </c>
      <c r="K3297" t="s">
        <v>95</v>
      </c>
      <c r="L3297" t="s">
        <v>138</v>
      </c>
      <c r="M3297" t="s">
        <v>130</v>
      </c>
      <c r="N3297" t="s">
        <v>150</v>
      </c>
      <c r="O3297" t="s">
        <v>1345</v>
      </c>
    </row>
    <row r="3298" spans="1:15" x14ac:dyDescent="0.3">
      <c r="A3298" s="130">
        <v>18552</v>
      </c>
      <c r="B3298" s="130">
        <v>28</v>
      </c>
      <c r="C3298" s="130" t="s">
        <v>4922</v>
      </c>
      <c r="D3298">
        <v>28063</v>
      </c>
      <c r="E3298" s="130">
        <v>44912043</v>
      </c>
      <c r="F3298" t="s">
        <v>87</v>
      </c>
      <c r="G3298">
        <v>76</v>
      </c>
      <c r="H3298" t="s">
        <v>8953</v>
      </c>
      <c r="I3298" s="131">
        <v>37</v>
      </c>
      <c r="J3298" t="s">
        <v>4922</v>
      </c>
      <c r="K3298" t="s">
        <v>95</v>
      </c>
      <c r="L3298" t="s">
        <v>138</v>
      </c>
      <c r="M3298" t="s">
        <v>130</v>
      </c>
      <c r="N3298" t="s">
        <v>150</v>
      </c>
      <c r="O3298" t="s">
        <v>1345</v>
      </c>
    </row>
    <row r="3299" spans="1:15" x14ac:dyDescent="0.3">
      <c r="A3299" s="130">
        <v>18555</v>
      </c>
      <c r="B3299" s="130">
        <v>0</v>
      </c>
      <c r="C3299" s="130" t="s">
        <v>4923</v>
      </c>
      <c r="D3299">
        <v>28055</v>
      </c>
      <c r="E3299" s="131">
        <v>82633436587</v>
      </c>
      <c r="F3299" t="s">
        <v>87</v>
      </c>
      <c r="G3299">
        <v>76</v>
      </c>
      <c r="H3299" t="s">
        <v>8951</v>
      </c>
      <c r="I3299" s="130">
        <v>3</v>
      </c>
      <c r="J3299" t="s">
        <v>4923</v>
      </c>
      <c r="K3299" t="s">
        <v>95</v>
      </c>
      <c r="L3299" t="s">
        <v>102</v>
      </c>
      <c r="M3299" t="s">
        <v>100</v>
      </c>
      <c r="N3299" t="s">
        <v>110</v>
      </c>
      <c r="O3299" t="s">
        <v>116</v>
      </c>
    </row>
    <row r="3300" spans="1:15" x14ac:dyDescent="0.3">
      <c r="A3300" s="130">
        <v>18557</v>
      </c>
      <c r="B3300" s="130">
        <v>30</v>
      </c>
      <c r="C3300" s="130" t="s">
        <v>4924</v>
      </c>
      <c r="D3300">
        <v>28074</v>
      </c>
      <c r="E3300" s="131">
        <v>61584223</v>
      </c>
      <c r="F3300" t="s">
        <v>87</v>
      </c>
      <c r="G3300">
        <v>76</v>
      </c>
      <c r="H3300" t="s">
        <v>8952</v>
      </c>
      <c r="I3300" s="131">
        <v>3</v>
      </c>
      <c r="J3300" t="s">
        <v>4924</v>
      </c>
      <c r="K3300" t="s">
        <v>95</v>
      </c>
      <c r="L3300" t="s">
        <v>111</v>
      </c>
      <c r="M3300" t="s">
        <v>103</v>
      </c>
      <c r="N3300" t="s">
        <v>98</v>
      </c>
      <c r="O3300" t="s">
        <v>1345</v>
      </c>
    </row>
    <row r="3301" spans="1:15" x14ac:dyDescent="0.3">
      <c r="A3301" s="130">
        <v>18562</v>
      </c>
      <c r="B3301" s="130">
        <v>30</v>
      </c>
      <c r="C3301" s="130" t="s">
        <v>4925</v>
      </c>
      <c r="D3301">
        <v>28082</v>
      </c>
      <c r="E3301" s="131">
        <v>92660604</v>
      </c>
      <c r="F3301" t="s">
        <v>87</v>
      </c>
      <c r="G3301">
        <v>77</v>
      </c>
      <c r="H3301" t="s">
        <v>8953</v>
      </c>
      <c r="I3301" s="130">
        <v>24</v>
      </c>
      <c r="J3301" t="s">
        <v>4925</v>
      </c>
      <c r="K3301" t="s">
        <v>95</v>
      </c>
      <c r="L3301" t="s">
        <v>117</v>
      </c>
      <c r="M3301" t="s">
        <v>103</v>
      </c>
      <c r="N3301" t="s">
        <v>114</v>
      </c>
      <c r="O3301" t="s">
        <v>1345</v>
      </c>
    </row>
    <row r="3302" spans="1:15" x14ac:dyDescent="0.3">
      <c r="A3302" s="130">
        <v>18576</v>
      </c>
      <c r="B3302" s="130">
        <v>60</v>
      </c>
      <c r="C3302" s="130" t="s">
        <v>4926</v>
      </c>
      <c r="D3302">
        <v>28102</v>
      </c>
      <c r="E3302" s="131">
        <v>60744463</v>
      </c>
      <c r="F3302" t="s">
        <v>87</v>
      </c>
      <c r="G3302">
        <v>358</v>
      </c>
      <c r="H3302" t="s">
        <v>8951</v>
      </c>
      <c r="I3302" s="130">
        <v>24</v>
      </c>
      <c r="J3302" t="s">
        <v>4926</v>
      </c>
      <c r="K3302" t="s">
        <v>108</v>
      </c>
      <c r="L3302" t="s">
        <v>193</v>
      </c>
      <c r="M3302" t="s">
        <v>97</v>
      </c>
      <c r="N3302" t="s">
        <v>98</v>
      </c>
      <c r="O3302" t="s">
        <v>116</v>
      </c>
    </row>
    <row r="3303" spans="1:15" x14ac:dyDescent="0.3">
      <c r="A3303" s="130">
        <v>18577</v>
      </c>
      <c r="B3303" s="130">
        <v>30</v>
      </c>
      <c r="C3303" s="130" t="s">
        <v>4927</v>
      </c>
      <c r="D3303">
        <v>28104</v>
      </c>
      <c r="E3303" s="130">
        <v>1313486</v>
      </c>
      <c r="F3303" t="s">
        <v>87</v>
      </c>
      <c r="G3303">
        <v>76</v>
      </c>
      <c r="H3303" t="s">
        <v>8952</v>
      </c>
      <c r="I3303" s="131">
        <v>10</v>
      </c>
      <c r="J3303" t="s">
        <v>4927</v>
      </c>
      <c r="K3303" t="s">
        <v>108</v>
      </c>
      <c r="L3303" t="s">
        <v>127</v>
      </c>
      <c r="M3303" t="s">
        <v>103</v>
      </c>
      <c r="N3303" t="s">
        <v>118</v>
      </c>
      <c r="O3303" t="s">
        <v>116</v>
      </c>
    </row>
    <row r="3304" spans="1:15" x14ac:dyDescent="0.3">
      <c r="A3304" s="130">
        <v>18580</v>
      </c>
      <c r="B3304" s="130" t="s">
        <v>156</v>
      </c>
      <c r="C3304" s="130" t="s">
        <v>4928</v>
      </c>
      <c r="D3304">
        <v>28108</v>
      </c>
      <c r="E3304" s="131">
        <v>10764189</v>
      </c>
      <c r="F3304" t="s">
        <v>87</v>
      </c>
      <c r="G3304">
        <v>76</v>
      </c>
      <c r="H3304" t="s">
        <v>8953</v>
      </c>
      <c r="I3304" s="130">
        <v>3</v>
      </c>
      <c r="J3304" t="s">
        <v>4928</v>
      </c>
      <c r="K3304" t="s">
        <v>108</v>
      </c>
      <c r="L3304" t="s">
        <v>111</v>
      </c>
      <c r="M3304" t="s">
        <v>156</v>
      </c>
      <c r="N3304" t="s">
        <v>98</v>
      </c>
      <c r="O3304" t="s">
        <v>116</v>
      </c>
    </row>
    <row r="3305" spans="1:15" x14ac:dyDescent="0.3">
      <c r="A3305" s="130">
        <v>18586</v>
      </c>
      <c r="B3305" s="130">
        <v>18</v>
      </c>
      <c r="C3305" s="130" t="s">
        <v>4929</v>
      </c>
      <c r="D3305">
        <v>28116</v>
      </c>
      <c r="E3305" s="130">
        <v>16836669</v>
      </c>
      <c r="F3305" t="s">
        <v>87</v>
      </c>
      <c r="G3305">
        <v>76</v>
      </c>
      <c r="H3305" t="s">
        <v>8951</v>
      </c>
      <c r="I3305" s="131">
        <v>10</v>
      </c>
      <c r="J3305" t="s">
        <v>4929</v>
      </c>
      <c r="K3305" t="s">
        <v>108</v>
      </c>
      <c r="L3305" t="s">
        <v>127</v>
      </c>
      <c r="M3305" t="s">
        <v>112</v>
      </c>
      <c r="N3305" t="s">
        <v>152</v>
      </c>
      <c r="O3305" t="s">
        <v>1345</v>
      </c>
    </row>
    <row r="3306" spans="1:15" x14ac:dyDescent="0.3">
      <c r="A3306" s="130">
        <v>18588</v>
      </c>
      <c r="B3306" s="130">
        <v>28</v>
      </c>
      <c r="C3306" s="130" t="s">
        <v>4930</v>
      </c>
      <c r="D3306">
        <v>28123</v>
      </c>
      <c r="E3306" s="130">
        <v>41641398</v>
      </c>
      <c r="F3306" t="s">
        <v>87</v>
      </c>
      <c r="G3306">
        <v>76</v>
      </c>
      <c r="H3306" t="s">
        <v>8952</v>
      </c>
      <c r="I3306" s="130">
        <v>37</v>
      </c>
      <c r="J3306" t="s">
        <v>4930</v>
      </c>
      <c r="K3306" t="s">
        <v>95</v>
      </c>
      <c r="L3306" t="s">
        <v>138</v>
      </c>
      <c r="M3306" t="s">
        <v>130</v>
      </c>
      <c r="N3306" t="s">
        <v>98</v>
      </c>
      <c r="O3306" t="s">
        <v>116</v>
      </c>
    </row>
    <row r="3307" spans="1:15" x14ac:dyDescent="0.3">
      <c r="A3307" s="130">
        <v>18601</v>
      </c>
      <c r="B3307" s="130">
        <v>18</v>
      </c>
      <c r="C3307" s="130" t="s">
        <v>4931</v>
      </c>
      <c r="D3307">
        <v>28139</v>
      </c>
      <c r="E3307" s="131">
        <v>44803275</v>
      </c>
      <c r="F3307" t="s">
        <v>87</v>
      </c>
      <c r="G3307">
        <v>76</v>
      </c>
      <c r="H3307" t="s">
        <v>8953</v>
      </c>
      <c r="I3307" s="130">
        <v>9</v>
      </c>
      <c r="J3307" t="s">
        <v>4931</v>
      </c>
      <c r="K3307" t="s">
        <v>108</v>
      </c>
      <c r="L3307" t="s">
        <v>163</v>
      </c>
      <c r="M3307" t="s">
        <v>112</v>
      </c>
      <c r="N3307" t="s">
        <v>114</v>
      </c>
      <c r="O3307" t="s">
        <v>116</v>
      </c>
    </row>
    <row r="3308" spans="1:15" x14ac:dyDescent="0.3">
      <c r="A3308" s="130">
        <v>18607</v>
      </c>
      <c r="B3308" s="130">
        <v>90</v>
      </c>
      <c r="C3308" s="130" t="s">
        <v>4932</v>
      </c>
      <c r="D3308">
        <v>28159</v>
      </c>
      <c r="E3308" s="130">
        <v>655209</v>
      </c>
      <c r="F3308" t="s">
        <v>87</v>
      </c>
      <c r="G3308">
        <v>76</v>
      </c>
      <c r="H3308" t="s">
        <v>8951</v>
      </c>
      <c r="I3308" s="130">
        <v>9</v>
      </c>
      <c r="J3308" t="s">
        <v>4932</v>
      </c>
      <c r="K3308" t="s">
        <v>95</v>
      </c>
      <c r="L3308" t="s">
        <v>1298</v>
      </c>
      <c r="M3308" t="s">
        <v>170</v>
      </c>
      <c r="N3308" t="s">
        <v>114</v>
      </c>
      <c r="O3308" t="s">
        <v>1256</v>
      </c>
    </row>
    <row r="3309" spans="1:15" x14ac:dyDescent="0.3">
      <c r="A3309" s="130">
        <v>18610</v>
      </c>
      <c r="B3309" s="130">
        <v>30</v>
      </c>
      <c r="C3309" s="130" t="s">
        <v>4933</v>
      </c>
      <c r="D3309">
        <v>28168</v>
      </c>
      <c r="E3309" s="130">
        <v>15151317</v>
      </c>
      <c r="F3309" t="s">
        <v>87</v>
      </c>
      <c r="G3309">
        <v>76</v>
      </c>
      <c r="H3309" t="s">
        <v>8952</v>
      </c>
      <c r="I3309" s="130">
        <v>9</v>
      </c>
      <c r="J3309" t="s">
        <v>4933</v>
      </c>
      <c r="K3309" t="s">
        <v>108</v>
      </c>
      <c r="L3309" t="s">
        <v>146</v>
      </c>
      <c r="M3309" t="s">
        <v>103</v>
      </c>
      <c r="N3309" t="s">
        <v>150</v>
      </c>
      <c r="O3309" t="s">
        <v>1256</v>
      </c>
    </row>
    <row r="3310" spans="1:15" x14ac:dyDescent="0.3">
      <c r="A3310" s="130">
        <v>18614</v>
      </c>
      <c r="B3310" s="130">
        <v>30</v>
      </c>
      <c r="C3310" s="130" t="s">
        <v>4934</v>
      </c>
      <c r="D3310">
        <v>28176</v>
      </c>
      <c r="E3310" s="131">
        <v>15151317</v>
      </c>
      <c r="F3310" t="s">
        <v>87</v>
      </c>
      <c r="G3310">
        <v>358</v>
      </c>
      <c r="H3310" t="s">
        <v>8953</v>
      </c>
      <c r="I3310" s="131">
        <v>19</v>
      </c>
      <c r="J3310" t="s">
        <v>4934</v>
      </c>
      <c r="K3310" t="s">
        <v>108</v>
      </c>
      <c r="L3310" t="s">
        <v>146</v>
      </c>
      <c r="M3310" t="s">
        <v>103</v>
      </c>
      <c r="N3310" t="s">
        <v>150</v>
      </c>
      <c r="O3310" t="s">
        <v>1345</v>
      </c>
    </row>
    <row r="3311" spans="1:15" x14ac:dyDescent="0.3">
      <c r="A3311" s="130">
        <v>18619</v>
      </c>
      <c r="B3311" s="130">
        <v>18</v>
      </c>
      <c r="C3311" s="130" t="s">
        <v>4935</v>
      </c>
      <c r="D3311">
        <v>28182</v>
      </c>
      <c r="E3311" s="131">
        <v>49873895</v>
      </c>
      <c r="F3311" t="s">
        <v>87</v>
      </c>
      <c r="G3311">
        <v>76</v>
      </c>
      <c r="H3311" t="s">
        <v>8951</v>
      </c>
      <c r="I3311" s="130">
        <v>37</v>
      </c>
      <c r="J3311" t="s">
        <v>4935</v>
      </c>
      <c r="K3311" t="s">
        <v>108</v>
      </c>
      <c r="L3311" t="s">
        <v>138</v>
      </c>
      <c r="M3311" t="s">
        <v>112</v>
      </c>
      <c r="N3311" t="s">
        <v>101</v>
      </c>
      <c r="O3311" t="s">
        <v>116</v>
      </c>
    </row>
    <row r="3312" spans="1:15" x14ac:dyDescent="0.3">
      <c r="A3312" s="130">
        <v>18623</v>
      </c>
      <c r="B3312" s="130">
        <v>30</v>
      </c>
      <c r="C3312" s="130" t="s">
        <v>4936</v>
      </c>
      <c r="D3312">
        <v>28187</v>
      </c>
      <c r="E3312" s="130">
        <v>39905136</v>
      </c>
      <c r="F3312" t="s">
        <v>87</v>
      </c>
      <c r="G3312">
        <v>76</v>
      </c>
      <c r="H3312" t="s">
        <v>8952</v>
      </c>
      <c r="I3312" s="131">
        <v>37</v>
      </c>
      <c r="J3312" t="s">
        <v>4936</v>
      </c>
      <c r="K3312" t="s">
        <v>108</v>
      </c>
      <c r="L3312" t="s">
        <v>144</v>
      </c>
      <c r="M3312" t="s">
        <v>103</v>
      </c>
      <c r="N3312" t="s">
        <v>150</v>
      </c>
      <c r="O3312" t="s">
        <v>116</v>
      </c>
    </row>
    <row r="3313" spans="1:15" x14ac:dyDescent="0.3">
      <c r="A3313" s="130">
        <v>18632</v>
      </c>
      <c r="B3313" s="130">
        <v>18</v>
      </c>
      <c r="C3313" s="130" t="s">
        <v>4937</v>
      </c>
      <c r="D3313">
        <v>28193</v>
      </c>
      <c r="E3313" s="131">
        <v>49873895</v>
      </c>
      <c r="F3313" t="s">
        <v>87</v>
      </c>
      <c r="G3313">
        <v>76</v>
      </c>
      <c r="H3313" t="s">
        <v>8953</v>
      </c>
      <c r="I3313" s="131">
        <v>37</v>
      </c>
      <c r="J3313" t="s">
        <v>4937</v>
      </c>
      <c r="K3313" t="s">
        <v>108</v>
      </c>
      <c r="L3313" t="s">
        <v>138</v>
      </c>
      <c r="M3313" t="s">
        <v>112</v>
      </c>
      <c r="N3313" t="s">
        <v>101</v>
      </c>
      <c r="O3313" t="s">
        <v>116</v>
      </c>
    </row>
    <row r="3314" spans="1:15" x14ac:dyDescent="0.3">
      <c r="A3314" s="130">
        <v>18635</v>
      </c>
      <c r="B3314" s="130">
        <v>18</v>
      </c>
      <c r="C3314" s="130" t="s">
        <v>4938</v>
      </c>
      <c r="D3314">
        <v>28196</v>
      </c>
      <c r="E3314" s="130">
        <v>49873895</v>
      </c>
      <c r="F3314" t="s">
        <v>87</v>
      </c>
      <c r="G3314">
        <v>76</v>
      </c>
      <c r="H3314" t="s">
        <v>8951</v>
      </c>
      <c r="I3314" s="130">
        <v>37</v>
      </c>
      <c r="J3314" t="s">
        <v>4938</v>
      </c>
      <c r="K3314" t="s">
        <v>108</v>
      </c>
      <c r="L3314" t="s">
        <v>138</v>
      </c>
      <c r="M3314" t="s">
        <v>112</v>
      </c>
      <c r="N3314" t="s">
        <v>101</v>
      </c>
      <c r="O3314" t="s">
        <v>116</v>
      </c>
    </row>
    <row r="3315" spans="1:15" x14ac:dyDescent="0.3">
      <c r="A3315" s="130">
        <v>18638</v>
      </c>
      <c r="B3315" s="130">
        <v>18</v>
      </c>
      <c r="C3315" s="130" t="s">
        <v>4939</v>
      </c>
      <c r="D3315">
        <v>28201</v>
      </c>
      <c r="E3315" s="131">
        <v>9625762</v>
      </c>
      <c r="F3315" t="s">
        <v>87</v>
      </c>
      <c r="G3315">
        <v>76</v>
      </c>
      <c r="H3315" t="s">
        <v>8952</v>
      </c>
      <c r="I3315" s="130">
        <v>43</v>
      </c>
      <c r="J3315" t="s">
        <v>4939</v>
      </c>
      <c r="K3315" t="s">
        <v>95</v>
      </c>
      <c r="L3315" t="s">
        <v>1241</v>
      </c>
      <c r="M3315" t="s">
        <v>112</v>
      </c>
      <c r="N3315" t="s">
        <v>150</v>
      </c>
      <c r="O3315" t="s">
        <v>1256</v>
      </c>
    </row>
    <row r="3316" spans="1:15" x14ac:dyDescent="0.3">
      <c r="A3316" s="130">
        <v>18644</v>
      </c>
      <c r="B3316" s="130">
        <v>30</v>
      </c>
      <c r="C3316" s="130" t="s">
        <v>4940</v>
      </c>
      <c r="D3316">
        <v>28208</v>
      </c>
      <c r="E3316" s="130">
        <v>17185786</v>
      </c>
      <c r="F3316" t="s">
        <v>87</v>
      </c>
      <c r="G3316">
        <v>358</v>
      </c>
      <c r="H3316" t="s">
        <v>8953</v>
      </c>
      <c r="I3316" s="131">
        <v>10</v>
      </c>
      <c r="J3316" t="s">
        <v>4940</v>
      </c>
      <c r="K3316" t="s">
        <v>95</v>
      </c>
      <c r="L3316" t="s">
        <v>109</v>
      </c>
      <c r="M3316" t="s">
        <v>103</v>
      </c>
      <c r="N3316" t="s">
        <v>98</v>
      </c>
      <c r="O3316" t="s">
        <v>1345</v>
      </c>
    </row>
    <row r="3317" spans="1:15" x14ac:dyDescent="0.3">
      <c r="A3317" s="130">
        <v>18649</v>
      </c>
      <c r="B3317" s="130">
        <v>28</v>
      </c>
      <c r="C3317" s="130" t="s">
        <v>4941</v>
      </c>
      <c r="D3317">
        <v>28216</v>
      </c>
      <c r="E3317" s="131">
        <v>60701521</v>
      </c>
      <c r="F3317" t="s">
        <v>87</v>
      </c>
      <c r="G3317">
        <v>76</v>
      </c>
      <c r="H3317" t="s">
        <v>8951</v>
      </c>
      <c r="I3317" s="130">
        <v>24</v>
      </c>
      <c r="J3317" t="s">
        <v>4941</v>
      </c>
      <c r="K3317" t="s">
        <v>95</v>
      </c>
      <c r="L3317" t="s">
        <v>138</v>
      </c>
      <c r="M3317" t="s">
        <v>130</v>
      </c>
      <c r="N3317" t="s">
        <v>162</v>
      </c>
      <c r="O3317" t="s">
        <v>116</v>
      </c>
    </row>
    <row r="3318" spans="1:15" x14ac:dyDescent="0.3">
      <c r="A3318" s="130">
        <v>18650</v>
      </c>
      <c r="B3318" s="130">
        <v>28</v>
      </c>
      <c r="C3318" s="130" t="s">
        <v>4942</v>
      </c>
      <c r="D3318">
        <v>28219</v>
      </c>
      <c r="E3318" s="130">
        <v>60701521</v>
      </c>
      <c r="F3318" t="s">
        <v>87</v>
      </c>
      <c r="G3318">
        <v>76</v>
      </c>
      <c r="H3318" t="s">
        <v>8952</v>
      </c>
      <c r="I3318" s="131">
        <v>24</v>
      </c>
      <c r="J3318" t="s">
        <v>4942</v>
      </c>
      <c r="K3318" t="s">
        <v>95</v>
      </c>
      <c r="L3318" t="s">
        <v>138</v>
      </c>
      <c r="M3318" t="s">
        <v>130</v>
      </c>
      <c r="N3318" t="s">
        <v>162</v>
      </c>
      <c r="O3318" t="s">
        <v>116</v>
      </c>
    </row>
    <row r="3319" spans="1:15" x14ac:dyDescent="0.3">
      <c r="A3319" s="130">
        <v>18651</v>
      </c>
      <c r="B3319" s="130">
        <v>28</v>
      </c>
      <c r="C3319" s="130" t="s">
        <v>4943</v>
      </c>
      <c r="D3319">
        <v>28221</v>
      </c>
      <c r="E3319" s="130">
        <v>60701521</v>
      </c>
      <c r="F3319" t="s">
        <v>87</v>
      </c>
      <c r="G3319">
        <v>76</v>
      </c>
      <c r="H3319" t="s">
        <v>8953</v>
      </c>
      <c r="I3319" s="131">
        <v>24</v>
      </c>
      <c r="J3319" t="s">
        <v>4943</v>
      </c>
      <c r="K3319" t="s">
        <v>95</v>
      </c>
      <c r="L3319" t="s">
        <v>138</v>
      </c>
      <c r="M3319" t="s">
        <v>130</v>
      </c>
      <c r="N3319" t="s">
        <v>162</v>
      </c>
      <c r="O3319" t="s">
        <v>116</v>
      </c>
    </row>
    <row r="3320" spans="1:15" x14ac:dyDescent="0.3">
      <c r="A3320" s="130">
        <v>18661</v>
      </c>
      <c r="B3320" s="130">
        <v>28</v>
      </c>
      <c r="C3320" s="130" t="s">
        <v>4944</v>
      </c>
      <c r="D3320">
        <v>28243</v>
      </c>
      <c r="E3320" s="130">
        <v>9625762</v>
      </c>
      <c r="F3320" t="s">
        <v>87</v>
      </c>
      <c r="G3320">
        <v>76</v>
      </c>
      <c r="H3320" t="s">
        <v>8951</v>
      </c>
      <c r="I3320" s="130">
        <v>19</v>
      </c>
      <c r="J3320" t="s">
        <v>4944</v>
      </c>
      <c r="K3320" t="s">
        <v>95</v>
      </c>
      <c r="L3320" t="s">
        <v>1368</v>
      </c>
      <c r="M3320" t="s">
        <v>130</v>
      </c>
      <c r="N3320" t="s">
        <v>150</v>
      </c>
      <c r="O3320" t="s">
        <v>116</v>
      </c>
    </row>
    <row r="3321" spans="1:15" x14ac:dyDescent="0.3">
      <c r="A3321" s="130">
        <v>18674</v>
      </c>
      <c r="B3321" s="130">
        <v>30</v>
      </c>
      <c r="C3321" s="130" t="s">
        <v>4945</v>
      </c>
      <c r="D3321">
        <v>28275</v>
      </c>
      <c r="E3321" s="131">
        <v>49089727</v>
      </c>
      <c r="F3321" t="s">
        <v>87</v>
      </c>
      <c r="G3321">
        <v>358</v>
      </c>
      <c r="H3321" t="s">
        <v>8952</v>
      </c>
      <c r="I3321" s="130">
        <v>3</v>
      </c>
      <c r="J3321" t="s">
        <v>4945</v>
      </c>
      <c r="K3321" t="s">
        <v>95</v>
      </c>
      <c r="L3321" t="s">
        <v>105</v>
      </c>
      <c r="M3321" t="s">
        <v>103</v>
      </c>
      <c r="N3321" t="s">
        <v>98</v>
      </c>
      <c r="O3321" t="s">
        <v>116</v>
      </c>
    </row>
    <row r="3322" spans="1:15" x14ac:dyDescent="0.3">
      <c r="A3322" s="130">
        <v>18675</v>
      </c>
      <c r="B3322" s="130">
        <v>10</v>
      </c>
      <c r="C3322" s="130" t="s">
        <v>4946</v>
      </c>
      <c r="D3322">
        <v>28276</v>
      </c>
      <c r="E3322" s="131">
        <v>10630328</v>
      </c>
      <c r="F3322" t="s">
        <v>87</v>
      </c>
      <c r="G3322">
        <v>358</v>
      </c>
      <c r="H3322" t="s">
        <v>8953</v>
      </c>
      <c r="I3322" s="130">
        <v>3</v>
      </c>
      <c r="J3322" t="s">
        <v>4946</v>
      </c>
      <c r="K3322" t="s">
        <v>95</v>
      </c>
      <c r="L3322" t="s">
        <v>109</v>
      </c>
      <c r="M3322" t="s">
        <v>133</v>
      </c>
      <c r="N3322" t="s">
        <v>98</v>
      </c>
      <c r="O3322" t="s">
        <v>1345</v>
      </c>
    </row>
    <row r="3323" spans="1:15" x14ac:dyDescent="0.3">
      <c r="A3323" s="130">
        <v>18678</v>
      </c>
      <c r="B3323" s="130">
        <v>18</v>
      </c>
      <c r="C3323" s="130" t="s">
        <v>4947</v>
      </c>
      <c r="D3323">
        <v>28283</v>
      </c>
      <c r="E3323" s="130">
        <v>22192546</v>
      </c>
      <c r="F3323" t="s">
        <v>87</v>
      </c>
      <c r="G3323">
        <v>358</v>
      </c>
      <c r="H3323" t="s">
        <v>8951</v>
      </c>
      <c r="I3323" s="130">
        <v>3</v>
      </c>
      <c r="J3323" t="s">
        <v>4947</v>
      </c>
      <c r="K3323" t="s">
        <v>108</v>
      </c>
      <c r="L3323" t="s">
        <v>111</v>
      </c>
      <c r="M3323" t="s">
        <v>112</v>
      </c>
      <c r="N3323" t="s">
        <v>98</v>
      </c>
      <c r="O3323" t="s">
        <v>116</v>
      </c>
    </row>
    <row r="3324" spans="1:15" x14ac:dyDescent="0.3">
      <c r="A3324" s="130">
        <v>18680</v>
      </c>
      <c r="B3324" s="130">
        <v>0</v>
      </c>
      <c r="C3324" s="130" t="s">
        <v>4948</v>
      </c>
      <c r="D3324">
        <v>28285</v>
      </c>
      <c r="E3324" s="130">
        <v>30455661</v>
      </c>
      <c r="F3324" t="s">
        <v>87</v>
      </c>
      <c r="G3324">
        <v>76</v>
      </c>
      <c r="H3324" t="s">
        <v>8952</v>
      </c>
      <c r="I3324" s="130">
        <v>3</v>
      </c>
      <c r="J3324" t="s">
        <v>4948</v>
      </c>
      <c r="K3324" t="s">
        <v>108</v>
      </c>
      <c r="L3324" t="s">
        <v>153</v>
      </c>
      <c r="M3324" t="s">
        <v>100</v>
      </c>
      <c r="N3324" t="s">
        <v>98</v>
      </c>
      <c r="O3324" t="s">
        <v>1256</v>
      </c>
    </row>
    <row r="3325" spans="1:15" x14ac:dyDescent="0.3">
      <c r="A3325" s="130">
        <v>18702</v>
      </c>
      <c r="B3325" s="130">
        <v>18</v>
      </c>
      <c r="C3325" s="130" t="s">
        <v>4949</v>
      </c>
      <c r="D3325">
        <v>28302</v>
      </c>
      <c r="E3325" s="130">
        <v>43200669</v>
      </c>
      <c r="F3325" t="s">
        <v>87</v>
      </c>
      <c r="G3325">
        <v>76</v>
      </c>
      <c r="H3325" t="s">
        <v>8953</v>
      </c>
      <c r="I3325" s="130">
        <v>10</v>
      </c>
      <c r="J3325" t="s">
        <v>4949</v>
      </c>
      <c r="K3325" t="s">
        <v>108</v>
      </c>
      <c r="L3325" t="s">
        <v>127</v>
      </c>
      <c r="M3325" t="s">
        <v>112</v>
      </c>
      <c r="N3325" t="s">
        <v>152</v>
      </c>
      <c r="O3325" t="s">
        <v>1345</v>
      </c>
    </row>
    <row r="3326" spans="1:15" x14ac:dyDescent="0.3">
      <c r="A3326" s="130">
        <v>18705</v>
      </c>
      <c r="B3326" s="130">
        <v>30</v>
      </c>
      <c r="C3326" s="130" t="s">
        <v>4950</v>
      </c>
      <c r="D3326">
        <v>28297</v>
      </c>
      <c r="E3326" s="131">
        <v>26070156</v>
      </c>
      <c r="F3326" t="s">
        <v>87</v>
      </c>
      <c r="G3326">
        <v>76</v>
      </c>
      <c r="H3326" t="s">
        <v>8951</v>
      </c>
      <c r="I3326" s="130">
        <v>38</v>
      </c>
      <c r="J3326" t="s">
        <v>4950</v>
      </c>
      <c r="K3326" t="s">
        <v>108</v>
      </c>
      <c r="L3326" t="s">
        <v>126</v>
      </c>
      <c r="M3326" t="s">
        <v>103</v>
      </c>
      <c r="N3326" t="s">
        <v>98</v>
      </c>
      <c r="O3326" t="s">
        <v>1345</v>
      </c>
    </row>
    <row r="3327" spans="1:15" x14ac:dyDescent="0.3">
      <c r="A3327" s="130">
        <v>18712</v>
      </c>
      <c r="B3327" s="130">
        <v>18</v>
      </c>
      <c r="C3327" s="130" t="s">
        <v>4951</v>
      </c>
      <c r="D3327">
        <v>28311</v>
      </c>
      <c r="E3327" s="130">
        <v>7550669</v>
      </c>
      <c r="F3327" t="s">
        <v>87</v>
      </c>
      <c r="G3327">
        <v>76</v>
      </c>
      <c r="H3327" t="s">
        <v>8952</v>
      </c>
      <c r="I3327" s="130">
        <v>10</v>
      </c>
      <c r="J3327" t="s">
        <v>4951</v>
      </c>
      <c r="K3327" t="s">
        <v>108</v>
      </c>
      <c r="L3327" t="s">
        <v>127</v>
      </c>
      <c r="M3327" t="s">
        <v>112</v>
      </c>
      <c r="N3327" t="s">
        <v>118</v>
      </c>
      <c r="O3327" t="s">
        <v>116</v>
      </c>
    </row>
    <row r="3328" spans="1:15" x14ac:dyDescent="0.3">
      <c r="A3328" s="130">
        <v>18714</v>
      </c>
      <c r="B3328" s="130">
        <v>30</v>
      </c>
      <c r="C3328" s="130" t="s">
        <v>4952</v>
      </c>
      <c r="D3328">
        <v>28313</v>
      </c>
      <c r="E3328" s="130">
        <v>10248815</v>
      </c>
      <c r="F3328" t="s">
        <v>87</v>
      </c>
      <c r="G3328">
        <v>76</v>
      </c>
      <c r="H3328" t="s">
        <v>8953</v>
      </c>
      <c r="I3328" s="131">
        <v>10</v>
      </c>
      <c r="J3328" t="s">
        <v>4952</v>
      </c>
      <c r="K3328" t="s">
        <v>108</v>
      </c>
      <c r="L3328" t="s">
        <v>127</v>
      </c>
      <c r="M3328" t="s">
        <v>103</v>
      </c>
      <c r="N3328" t="s">
        <v>118</v>
      </c>
      <c r="O3328" t="s">
        <v>1345</v>
      </c>
    </row>
    <row r="3329" spans="1:15" x14ac:dyDescent="0.3">
      <c r="A3329" s="130">
        <v>18717</v>
      </c>
      <c r="B3329" s="130">
        <v>30</v>
      </c>
      <c r="C3329" s="130" t="s">
        <v>4953</v>
      </c>
      <c r="D3329">
        <v>28316</v>
      </c>
      <c r="E3329" s="130">
        <v>36935862</v>
      </c>
      <c r="F3329" t="s">
        <v>87</v>
      </c>
      <c r="G3329">
        <v>76</v>
      </c>
      <c r="H3329" t="s">
        <v>8951</v>
      </c>
      <c r="I3329" s="130">
        <v>26</v>
      </c>
      <c r="J3329" t="s">
        <v>4953</v>
      </c>
      <c r="K3329" t="s">
        <v>108</v>
      </c>
      <c r="L3329" t="s">
        <v>151</v>
      </c>
      <c r="M3329" t="s">
        <v>103</v>
      </c>
      <c r="N3329" t="s">
        <v>98</v>
      </c>
      <c r="O3329" t="s">
        <v>1345</v>
      </c>
    </row>
    <row r="3330" spans="1:15" x14ac:dyDescent="0.3">
      <c r="A3330" s="130">
        <v>18727</v>
      </c>
      <c r="B3330" s="130">
        <v>30</v>
      </c>
      <c r="C3330" s="130" t="s">
        <v>4954</v>
      </c>
      <c r="D3330">
        <v>28331</v>
      </c>
      <c r="E3330" s="130">
        <v>56095862</v>
      </c>
      <c r="F3330" t="s">
        <v>87</v>
      </c>
      <c r="G3330">
        <v>76</v>
      </c>
      <c r="H3330" t="s">
        <v>8952</v>
      </c>
      <c r="I3330" s="130">
        <v>18</v>
      </c>
      <c r="J3330" t="s">
        <v>4954</v>
      </c>
      <c r="K3330" t="s">
        <v>108</v>
      </c>
      <c r="L3330" t="s">
        <v>123</v>
      </c>
      <c r="M3330" t="s">
        <v>103</v>
      </c>
      <c r="N3330" t="s">
        <v>98</v>
      </c>
      <c r="O3330" t="s">
        <v>116</v>
      </c>
    </row>
    <row r="3331" spans="1:15" x14ac:dyDescent="0.3">
      <c r="A3331" s="130">
        <v>18736</v>
      </c>
      <c r="B3331" s="130">
        <v>18</v>
      </c>
      <c r="C3331" s="130" t="s">
        <v>4955</v>
      </c>
      <c r="D3331">
        <v>28346</v>
      </c>
      <c r="E3331" s="130">
        <v>12363277</v>
      </c>
      <c r="F3331" t="s">
        <v>87</v>
      </c>
      <c r="G3331">
        <v>76</v>
      </c>
      <c r="H3331" t="s">
        <v>8953</v>
      </c>
      <c r="I3331" s="130">
        <v>37</v>
      </c>
      <c r="J3331" t="s">
        <v>4955</v>
      </c>
      <c r="K3331" t="s">
        <v>108</v>
      </c>
      <c r="L3331" t="s">
        <v>138</v>
      </c>
      <c r="M3331" t="s">
        <v>112</v>
      </c>
      <c r="N3331" t="s">
        <v>122</v>
      </c>
      <c r="O3331" t="s">
        <v>116</v>
      </c>
    </row>
    <row r="3332" spans="1:15" x14ac:dyDescent="0.3">
      <c r="A3332" s="130">
        <v>18740</v>
      </c>
      <c r="B3332" s="130">
        <v>30</v>
      </c>
      <c r="C3332" s="130" t="s">
        <v>4956</v>
      </c>
      <c r="D3332">
        <v>28349</v>
      </c>
      <c r="E3332" s="131">
        <v>33968740</v>
      </c>
      <c r="F3332" t="s">
        <v>87</v>
      </c>
      <c r="G3332">
        <v>76</v>
      </c>
      <c r="H3332" t="s">
        <v>8951</v>
      </c>
      <c r="I3332" s="131">
        <v>3</v>
      </c>
      <c r="J3332" t="s">
        <v>4956</v>
      </c>
      <c r="K3332" t="s">
        <v>95</v>
      </c>
      <c r="L3332" t="s">
        <v>105</v>
      </c>
      <c r="M3332" t="s">
        <v>103</v>
      </c>
      <c r="N3332" t="s">
        <v>98</v>
      </c>
      <c r="O3332" t="s">
        <v>1345</v>
      </c>
    </row>
    <row r="3333" spans="1:15" x14ac:dyDescent="0.3">
      <c r="A3333" s="130">
        <v>18749</v>
      </c>
      <c r="B3333" s="130">
        <v>30</v>
      </c>
      <c r="C3333" s="130" t="s">
        <v>4957</v>
      </c>
      <c r="D3333">
        <v>28360</v>
      </c>
      <c r="E3333" s="131">
        <v>24555044</v>
      </c>
      <c r="F3333" t="s">
        <v>87</v>
      </c>
      <c r="G3333">
        <v>76</v>
      </c>
      <c r="H3333" t="s">
        <v>8952</v>
      </c>
      <c r="I3333" s="131">
        <v>38</v>
      </c>
      <c r="J3333" t="s">
        <v>4957</v>
      </c>
      <c r="K3333" t="s">
        <v>108</v>
      </c>
      <c r="L3333" t="s">
        <v>126</v>
      </c>
      <c r="M3333" t="s">
        <v>103</v>
      </c>
      <c r="N3333" t="s">
        <v>98</v>
      </c>
      <c r="O3333" t="s">
        <v>1345</v>
      </c>
    </row>
    <row r="3334" spans="1:15" x14ac:dyDescent="0.3">
      <c r="A3334" s="130">
        <v>18750</v>
      </c>
      <c r="B3334" s="130">
        <v>18</v>
      </c>
      <c r="C3334" s="130" t="s">
        <v>4958</v>
      </c>
      <c r="D3334">
        <v>28362</v>
      </c>
      <c r="E3334" s="131">
        <v>82502196</v>
      </c>
      <c r="F3334" t="s">
        <v>87</v>
      </c>
      <c r="G3334">
        <v>76</v>
      </c>
      <c r="H3334" t="s">
        <v>8953</v>
      </c>
      <c r="I3334" s="131">
        <v>9</v>
      </c>
      <c r="J3334" t="s">
        <v>4958</v>
      </c>
      <c r="K3334" t="s">
        <v>95</v>
      </c>
      <c r="L3334" t="s">
        <v>163</v>
      </c>
      <c r="M3334" t="s">
        <v>112</v>
      </c>
      <c r="N3334" t="s">
        <v>98</v>
      </c>
      <c r="O3334" t="s">
        <v>116</v>
      </c>
    </row>
    <row r="3335" spans="1:15" x14ac:dyDescent="0.3">
      <c r="A3335" s="130">
        <v>18765</v>
      </c>
      <c r="B3335" s="130" t="s">
        <v>246</v>
      </c>
      <c r="C3335" s="130" t="s">
        <v>4959</v>
      </c>
      <c r="D3335">
        <v>28377</v>
      </c>
      <c r="E3335" s="130">
        <v>32253577</v>
      </c>
      <c r="F3335" t="s">
        <v>87</v>
      </c>
      <c r="G3335">
        <v>76</v>
      </c>
      <c r="H3335" t="s">
        <v>8951</v>
      </c>
      <c r="I3335" s="130">
        <v>18</v>
      </c>
      <c r="J3335" t="s">
        <v>4959</v>
      </c>
      <c r="K3335" t="s">
        <v>95</v>
      </c>
      <c r="L3335" t="s">
        <v>102</v>
      </c>
      <c r="M3335" t="s">
        <v>246</v>
      </c>
      <c r="N3335" t="s">
        <v>152</v>
      </c>
      <c r="O3335" t="s">
        <v>116</v>
      </c>
    </row>
    <row r="3336" spans="1:15" x14ac:dyDescent="0.3">
      <c r="A3336" s="130">
        <v>18771</v>
      </c>
      <c r="B3336" s="130">
        <v>10</v>
      </c>
      <c r="C3336" s="130" t="s">
        <v>4960</v>
      </c>
      <c r="D3336">
        <v>28387</v>
      </c>
      <c r="E3336" s="130">
        <v>7376851</v>
      </c>
      <c r="F3336" t="s">
        <v>87</v>
      </c>
      <c r="G3336">
        <v>76</v>
      </c>
      <c r="H3336" t="s">
        <v>8952</v>
      </c>
      <c r="I3336" s="130">
        <v>37</v>
      </c>
      <c r="J3336" t="s">
        <v>4960</v>
      </c>
      <c r="K3336" t="s">
        <v>108</v>
      </c>
      <c r="L3336" t="s">
        <v>138</v>
      </c>
      <c r="M3336" t="s">
        <v>133</v>
      </c>
      <c r="N3336" t="s">
        <v>150</v>
      </c>
      <c r="O3336" t="s">
        <v>1345</v>
      </c>
    </row>
    <row r="3337" spans="1:15" x14ac:dyDescent="0.3">
      <c r="A3337" s="130">
        <v>18776</v>
      </c>
      <c r="B3337" s="130">
        <v>30</v>
      </c>
      <c r="C3337" s="130" t="s">
        <v>4961</v>
      </c>
      <c r="D3337">
        <v>28393</v>
      </c>
      <c r="E3337" s="130">
        <v>32870995</v>
      </c>
      <c r="F3337" t="s">
        <v>87</v>
      </c>
      <c r="G3337">
        <v>358</v>
      </c>
      <c r="H3337" t="s">
        <v>8953</v>
      </c>
      <c r="I3337" s="130">
        <v>10</v>
      </c>
      <c r="J3337" t="s">
        <v>4961</v>
      </c>
      <c r="K3337" t="s">
        <v>108</v>
      </c>
      <c r="L3337" t="s">
        <v>109</v>
      </c>
      <c r="M3337" t="s">
        <v>103</v>
      </c>
      <c r="N3337" t="s">
        <v>98</v>
      </c>
      <c r="O3337" t="s">
        <v>1345</v>
      </c>
    </row>
    <row r="3338" spans="1:15" x14ac:dyDescent="0.3">
      <c r="A3338" s="130">
        <v>18778</v>
      </c>
      <c r="B3338" s="130">
        <v>30</v>
      </c>
      <c r="C3338" s="130" t="s">
        <v>4962</v>
      </c>
      <c r="D3338">
        <v>28395</v>
      </c>
      <c r="E3338" s="130">
        <v>82502196</v>
      </c>
      <c r="F3338" t="s">
        <v>87</v>
      </c>
      <c r="G3338">
        <v>76</v>
      </c>
      <c r="H3338" t="s">
        <v>8951</v>
      </c>
      <c r="I3338" s="130">
        <v>9</v>
      </c>
      <c r="J3338" t="s">
        <v>4962</v>
      </c>
      <c r="K3338" t="s">
        <v>95</v>
      </c>
      <c r="L3338" t="s">
        <v>163</v>
      </c>
      <c r="M3338" t="s">
        <v>103</v>
      </c>
      <c r="N3338" t="s">
        <v>98</v>
      </c>
      <c r="O3338" t="s">
        <v>116</v>
      </c>
    </row>
    <row r="3339" spans="1:15" x14ac:dyDescent="0.3">
      <c r="A3339" s="130">
        <v>18781</v>
      </c>
      <c r="B3339" s="130">
        <v>-1</v>
      </c>
      <c r="C3339" s="130" t="s">
        <v>4963</v>
      </c>
      <c r="D3339">
        <v>28399</v>
      </c>
      <c r="E3339" s="130">
        <v>21441058</v>
      </c>
      <c r="F3339" t="s">
        <v>87</v>
      </c>
      <c r="G3339">
        <v>76</v>
      </c>
      <c r="H3339" t="s">
        <v>8952</v>
      </c>
      <c r="I3339" s="130">
        <v>9</v>
      </c>
      <c r="J3339" t="s">
        <v>4963</v>
      </c>
      <c r="K3339" t="s">
        <v>108</v>
      </c>
      <c r="L3339" t="s">
        <v>163</v>
      </c>
      <c r="M3339" t="s">
        <v>174</v>
      </c>
      <c r="N3339" t="s">
        <v>124</v>
      </c>
      <c r="O3339" t="s">
        <v>1345</v>
      </c>
    </row>
    <row r="3340" spans="1:15" x14ac:dyDescent="0.3">
      <c r="A3340" s="130">
        <v>18783</v>
      </c>
      <c r="B3340" s="130">
        <v>18</v>
      </c>
      <c r="C3340" s="130" t="s">
        <v>4964</v>
      </c>
      <c r="D3340">
        <v>28400</v>
      </c>
      <c r="E3340" s="130">
        <v>38480878</v>
      </c>
      <c r="F3340" t="s">
        <v>87</v>
      </c>
      <c r="G3340">
        <v>76</v>
      </c>
      <c r="H3340" t="s">
        <v>8953</v>
      </c>
      <c r="I3340" s="131">
        <v>24</v>
      </c>
      <c r="J3340" t="s">
        <v>4964</v>
      </c>
      <c r="K3340" t="s">
        <v>108</v>
      </c>
      <c r="L3340" t="s">
        <v>191</v>
      </c>
      <c r="M3340" t="s">
        <v>112</v>
      </c>
      <c r="N3340" t="s">
        <v>216</v>
      </c>
      <c r="O3340" t="s">
        <v>116</v>
      </c>
    </row>
    <row r="3341" spans="1:15" x14ac:dyDescent="0.3">
      <c r="A3341" s="130">
        <v>18785</v>
      </c>
      <c r="B3341" s="130">
        <v>0</v>
      </c>
      <c r="C3341" s="130" t="s">
        <v>4965</v>
      </c>
      <c r="D3341">
        <v>28403</v>
      </c>
      <c r="E3341" s="131">
        <v>78023116</v>
      </c>
      <c r="F3341" t="s">
        <v>87</v>
      </c>
      <c r="G3341">
        <v>76</v>
      </c>
      <c r="H3341" t="s">
        <v>8951</v>
      </c>
      <c r="I3341" s="131">
        <v>3</v>
      </c>
      <c r="J3341" t="s">
        <v>4965</v>
      </c>
      <c r="K3341" t="s">
        <v>108</v>
      </c>
      <c r="L3341" t="s">
        <v>153</v>
      </c>
      <c r="M3341" t="s">
        <v>100</v>
      </c>
      <c r="N3341" t="s">
        <v>98</v>
      </c>
      <c r="O3341" t="s">
        <v>1256</v>
      </c>
    </row>
    <row r="3342" spans="1:15" x14ac:dyDescent="0.3">
      <c r="A3342" s="130">
        <v>18786</v>
      </c>
      <c r="B3342" s="130">
        <v>30</v>
      </c>
      <c r="C3342" s="130" t="s">
        <v>4966</v>
      </c>
      <c r="D3342">
        <v>28406</v>
      </c>
      <c r="E3342" s="130">
        <v>10320249</v>
      </c>
      <c r="F3342" t="s">
        <v>87</v>
      </c>
      <c r="G3342">
        <v>76</v>
      </c>
      <c r="H3342" t="s">
        <v>8952</v>
      </c>
      <c r="I3342" s="131">
        <v>37</v>
      </c>
      <c r="J3342" t="s">
        <v>4966</v>
      </c>
      <c r="K3342" t="s">
        <v>108</v>
      </c>
      <c r="L3342" t="s">
        <v>144</v>
      </c>
      <c r="M3342" t="s">
        <v>103</v>
      </c>
      <c r="N3342" t="s">
        <v>118</v>
      </c>
      <c r="O3342" t="s">
        <v>116</v>
      </c>
    </row>
    <row r="3343" spans="1:15" x14ac:dyDescent="0.3">
      <c r="A3343" s="130">
        <v>18789</v>
      </c>
      <c r="B3343" s="130">
        <v>30</v>
      </c>
      <c r="C3343" s="130" t="s">
        <v>4967</v>
      </c>
      <c r="D3343">
        <v>28420</v>
      </c>
      <c r="E3343" s="130">
        <v>11958413</v>
      </c>
      <c r="F3343" t="s">
        <v>87</v>
      </c>
      <c r="G3343">
        <v>76</v>
      </c>
      <c r="H3343" t="s">
        <v>8953</v>
      </c>
      <c r="I3343" s="130">
        <v>9</v>
      </c>
      <c r="J3343" t="s">
        <v>4967</v>
      </c>
      <c r="K3343" t="s">
        <v>108</v>
      </c>
      <c r="L3343" t="s">
        <v>181</v>
      </c>
      <c r="M3343" t="s">
        <v>103</v>
      </c>
      <c r="N3343" t="s">
        <v>114</v>
      </c>
      <c r="O3343" t="s">
        <v>116</v>
      </c>
    </row>
    <row r="3344" spans="1:15" x14ac:dyDescent="0.3">
      <c r="A3344" s="130">
        <v>18796</v>
      </c>
      <c r="B3344" s="130">
        <v>20</v>
      </c>
      <c r="C3344" s="130" t="s">
        <v>4968</v>
      </c>
      <c r="D3344">
        <v>28428</v>
      </c>
      <c r="E3344" s="130">
        <v>17162983</v>
      </c>
      <c r="F3344" t="s">
        <v>87</v>
      </c>
      <c r="G3344">
        <v>358</v>
      </c>
      <c r="H3344" t="s">
        <v>8951</v>
      </c>
      <c r="I3344" s="131">
        <v>3</v>
      </c>
      <c r="J3344" t="s">
        <v>4968</v>
      </c>
      <c r="K3344" t="s">
        <v>95</v>
      </c>
      <c r="L3344" t="s">
        <v>105</v>
      </c>
      <c r="M3344" t="s">
        <v>148</v>
      </c>
      <c r="N3344" t="s">
        <v>98</v>
      </c>
      <c r="O3344" t="s">
        <v>116</v>
      </c>
    </row>
    <row r="3345" spans="1:15" x14ac:dyDescent="0.3">
      <c r="A3345" s="130">
        <v>18803</v>
      </c>
      <c r="B3345" s="130">
        <v>10</v>
      </c>
      <c r="C3345" s="130" t="s">
        <v>4969</v>
      </c>
      <c r="D3345">
        <v>28437</v>
      </c>
      <c r="E3345" s="130">
        <v>24447770</v>
      </c>
      <c r="F3345" t="s">
        <v>87</v>
      </c>
      <c r="G3345">
        <v>76</v>
      </c>
      <c r="H3345" t="s">
        <v>8952</v>
      </c>
      <c r="I3345" s="130">
        <v>3</v>
      </c>
      <c r="J3345" t="s">
        <v>4969</v>
      </c>
      <c r="K3345" t="s">
        <v>95</v>
      </c>
      <c r="L3345" t="s">
        <v>1293</v>
      </c>
      <c r="M3345" t="s">
        <v>133</v>
      </c>
      <c r="N3345" t="s">
        <v>98</v>
      </c>
      <c r="O3345" t="s">
        <v>1345</v>
      </c>
    </row>
    <row r="3346" spans="1:15" x14ac:dyDescent="0.3">
      <c r="A3346" s="130">
        <v>18848</v>
      </c>
      <c r="B3346" s="130">
        <v>30</v>
      </c>
      <c r="C3346" s="130" t="s">
        <v>4970</v>
      </c>
      <c r="D3346">
        <v>28493</v>
      </c>
      <c r="E3346" s="130">
        <v>49786295</v>
      </c>
      <c r="F3346" t="s">
        <v>87</v>
      </c>
      <c r="G3346">
        <v>76</v>
      </c>
      <c r="H3346" t="s">
        <v>8953</v>
      </c>
      <c r="I3346" s="130">
        <v>43</v>
      </c>
      <c r="J3346" t="s">
        <v>4970</v>
      </c>
      <c r="K3346" t="s">
        <v>95</v>
      </c>
      <c r="L3346" t="s">
        <v>111</v>
      </c>
      <c r="M3346" t="s">
        <v>103</v>
      </c>
      <c r="N3346" t="s">
        <v>118</v>
      </c>
      <c r="O3346" t="s">
        <v>116</v>
      </c>
    </row>
    <row r="3347" spans="1:15" x14ac:dyDescent="0.3">
      <c r="A3347" s="130">
        <v>18891</v>
      </c>
      <c r="B3347" s="130">
        <v>0</v>
      </c>
      <c r="C3347" s="130" t="s">
        <v>4971</v>
      </c>
      <c r="D3347">
        <v>28554</v>
      </c>
      <c r="E3347" s="130">
        <v>61409892</v>
      </c>
      <c r="F3347" t="s">
        <v>87</v>
      </c>
      <c r="G3347">
        <v>76</v>
      </c>
      <c r="H3347" t="s">
        <v>8951</v>
      </c>
      <c r="I3347" s="130">
        <v>37</v>
      </c>
      <c r="J3347" t="s">
        <v>4971</v>
      </c>
      <c r="K3347" t="s">
        <v>108</v>
      </c>
      <c r="L3347" t="s">
        <v>144</v>
      </c>
      <c r="M3347" t="s">
        <v>100</v>
      </c>
      <c r="N3347" t="s">
        <v>98</v>
      </c>
      <c r="O3347" t="s">
        <v>1256</v>
      </c>
    </row>
    <row r="3348" spans="1:15" x14ac:dyDescent="0.3">
      <c r="A3348" s="130">
        <v>18901</v>
      </c>
      <c r="C3348" s="130" t="s">
        <v>4972</v>
      </c>
      <c r="D3348">
        <v>28576</v>
      </c>
      <c r="E3348" s="131">
        <v>23563231</v>
      </c>
      <c r="F3348" t="s">
        <v>87</v>
      </c>
      <c r="G3348">
        <v>76</v>
      </c>
      <c r="H3348" t="s">
        <v>8952</v>
      </c>
      <c r="I3348" s="130">
        <v>37</v>
      </c>
      <c r="J3348" t="s">
        <v>4972</v>
      </c>
      <c r="K3348" t="s">
        <v>108</v>
      </c>
      <c r="L3348" t="s">
        <v>138</v>
      </c>
      <c r="N3348" t="s">
        <v>114</v>
      </c>
      <c r="O3348" t="s">
        <v>1256</v>
      </c>
    </row>
    <row r="3349" spans="1:15" x14ac:dyDescent="0.3">
      <c r="A3349" s="130">
        <v>18908</v>
      </c>
      <c r="B3349" s="130" t="s">
        <v>175</v>
      </c>
      <c r="C3349" s="130" t="s">
        <v>4973</v>
      </c>
      <c r="D3349">
        <v>28591</v>
      </c>
      <c r="E3349" s="131">
        <v>35203974</v>
      </c>
      <c r="F3349" t="s">
        <v>87</v>
      </c>
      <c r="G3349">
        <v>76</v>
      </c>
      <c r="H3349" t="s">
        <v>8953</v>
      </c>
      <c r="I3349" s="131">
        <v>3</v>
      </c>
      <c r="J3349" t="s">
        <v>4973</v>
      </c>
      <c r="K3349" t="s">
        <v>95</v>
      </c>
      <c r="L3349" t="s">
        <v>102</v>
      </c>
      <c r="M3349" t="s">
        <v>176</v>
      </c>
      <c r="N3349" t="s">
        <v>122</v>
      </c>
      <c r="O3349" t="s">
        <v>116</v>
      </c>
    </row>
    <row r="3350" spans="1:15" x14ac:dyDescent="0.3">
      <c r="A3350" s="130">
        <v>18917</v>
      </c>
      <c r="B3350" s="130">
        <v>2</v>
      </c>
      <c r="C3350" s="130" t="s">
        <v>4974</v>
      </c>
      <c r="D3350">
        <v>28600</v>
      </c>
      <c r="E3350" s="131">
        <v>30595737862</v>
      </c>
      <c r="F3350" t="s">
        <v>87</v>
      </c>
      <c r="G3350">
        <v>76</v>
      </c>
      <c r="H3350" t="s">
        <v>8951</v>
      </c>
      <c r="I3350" s="130">
        <v>37</v>
      </c>
      <c r="J3350" t="s">
        <v>4974</v>
      </c>
      <c r="K3350" t="s">
        <v>108</v>
      </c>
      <c r="L3350" t="s">
        <v>183</v>
      </c>
      <c r="M3350" t="s">
        <v>224</v>
      </c>
      <c r="N3350" t="s">
        <v>110</v>
      </c>
      <c r="O3350" t="s">
        <v>116</v>
      </c>
    </row>
    <row r="3351" spans="1:15" x14ac:dyDescent="0.3">
      <c r="A3351" s="130">
        <v>18929</v>
      </c>
      <c r="B3351" s="130">
        <v>18</v>
      </c>
      <c r="C3351" s="130" t="s">
        <v>4975</v>
      </c>
      <c r="D3351">
        <v>28612</v>
      </c>
      <c r="E3351" s="130">
        <v>60621430</v>
      </c>
      <c r="F3351" t="s">
        <v>87</v>
      </c>
      <c r="G3351">
        <v>76</v>
      </c>
      <c r="H3351" t="s">
        <v>8952</v>
      </c>
      <c r="I3351" s="131">
        <v>37</v>
      </c>
      <c r="J3351" t="s">
        <v>4975</v>
      </c>
      <c r="K3351" t="s">
        <v>108</v>
      </c>
      <c r="L3351" t="s">
        <v>138</v>
      </c>
      <c r="M3351" t="s">
        <v>112</v>
      </c>
      <c r="N3351" t="s">
        <v>101</v>
      </c>
      <c r="O3351" t="s">
        <v>1345</v>
      </c>
    </row>
    <row r="3352" spans="1:15" x14ac:dyDescent="0.3">
      <c r="A3352" s="130">
        <v>18930</v>
      </c>
      <c r="B3352" s="130">
        <v>30</v>
      </c>
      <c r="C3352" s="130" t="s">
        <v>4976</v>
      </c>
      <c r="D3352">
        <v>28613</v>
      </c>
      <c r="E3352" s="130">
        <v>8807683</v>
      </c>
      <c r="F3352" t="s">
        <v>87</v>
      </c>
      <c r="G3352">
        <v>76</v>
      </c>
      <c r="H3352" t="s">
        <v>8953</v>
      </c>
      <c r="I3352" s="131">
        <v>26</v>
      </c>
      <c r="J3352" t="s">
        <v>4976</v>
      </c>
      <c r="K3352" t="s">
        <v>95</v>
      </c>
      <c r="L3352" t="s">
        <v>151</v>
      </c>
      <c r="M3352" t="s">
        <v>103</v>
      </c>
      <c r="N3352" t="s">
        <v>118</v>
      </c>
      <c r="O3352" t="s">
        <v>1345</v>
      </c>
    </row>
    <row r="3353" spans="1:15" x14ac:dyDescent="0.3">
      <c r="A3353" s="130">
        <v>18932</v>
      </c>
      <c r="B3353" s="130">
        <v>30</v>
      </c>
      <c r="C3353" s="130" t="s">
        <v>4977</v>
      </c>
      <c r="D3353">
        <v>28614</v>
      </c>
      <c r="E3353" s="131">
        <v>12598528</v>
      </c>
      <c r="F3353" t="s">
        <v>87</v>
      </c>
      <c r="G3353">
        <v>76</v>
      </c>
      <c r="H3353" t="s">
        <v>8951</v>
      </c>
      <c r="I3353" s="131">
        <v>43</v>
      </c>
      <c r="J3353" t="s">
        <v>4977</v>
      </c>
      <c r="K3353" t="s">
        <v>95</v>
      </c>
      <c r="L3353" t="s">
        <v>111</v>
      </c>
      <c r="M3353" t="s">
        <v>103</v>
      </c>
      <c r="N3353" t="s">
        <v>124</v>
      </c>
      <c r="O3353" t="s">
        <v>116</v>
      </c>
    </row>
    <row r="3354" spans="1:15" x14ac:dyDescent="0.3">
      <c r="A3354" s="130">
        <v>18946</v>
      </c>
      <c r="B3354" s="130">
        <v>18</v>
      </c>
      <c r="C3354" s="130" t="s">
        <v>4978</v>
      </c>
      <c r="D3354">
        <v>28631</v>
      </c>
      <c r="E3354" s="130">
        <v>29296671</v>
      </c>
      <c r="F3354" t="s">
        <v>87</v>
      </c>
      <c r="G3354">
        <v>76</v>
      </c>
      <c r="H3354" t="s">
        <v>8952</v>
      </c>
      <c r="I3354" s="130">
        <v>10</v>
      </c>
      <c r="J3354" t="s">
        <v>4978</v>
      </c>
      <c r="K3354" t="s">
        <v>108</v>
      </c>
      <c r="L3354" t="s">
        <v>127</v>
      </c>
      <c r="M3354" t="s">
        <v>112</v>
      </c>
      <c r="N3354" t="s">
        <v>118</v>
      </c>
      <c r="O3354" t="s">
        <v>116</v>
      </c>
    </row>
    <row r="3355" spans="1:15" x14ac:dyDescent="0.3">
      <c r="A3355" s="130">
        <v>18949</v>
      </c>
      <c r="B3355" s="130">
        <v>30</v>
      </c>
      <c r="C3355" s="130" t="s">
        <v>4979</v>
      </c>
      <c r="D3355">
        <v>28633</v>
      </c>
      <c r="E3355" s="130">
        <v>18715383</v>
      </c>
      <c r="F3355" t="s">
        <v>87</v>
      </c>
      <c r="G3355">
        <v>77</v>
      </c>
      <c r="H3355" t="s">
        <v>8953</v>
      </c>
      <c r="I3355" s="130">
        <v>3</v>
      </c>
      <c r="J3355" t="s">
        <v>4979</v>
      </c>
      <c r="K3355" t="s">
        <v>95</v>
      </c>
      <c r="L3355" t="s">
        <v>1255</v>
      </c>
      <c r="M3355" t="s">
        <v>103</v>
      </c>
      <c r="N3355" t="s">
        <v>131</v>
      </c>
      <c r="O3355" t="s">
        <v>1345</v>
      </c>
    </row>
    <row r="3356" spans="1:15" x14ac:dyDescent="0.3">
      <c r="A3356" s="130">
        <v>18959</v>
      </c>
      <c r="B3356" s="130">
        <v>-1</v>
      </c>
      <c r="C3356" s="130" t="s">
        <v>4980</v>
      </c>
      <c r="D3356">
        <v>28653</v>
      </c>
      <c r="E3356" s="130">
        <v>44490706</v>
      </c>
      <c r="F3356" t="s">
        <v>87</v>
      </c>
      <c r="G3356">
        <v>76</v>
      </c>
      <c r="H3356" t="s">
        <v>8951</v>
      </c>
      <c r="I3356" s="130">
        <v>3</v>
      </c>
      <c r="J3356" t="s">
        <v>4980</v>
      </c>
      <c r="K3356" t="s">
        <v>108</v>
      </c>
      <c r="L3356" t="s">
        <v>111</v>
      </c>
      <c r="M3356" t="s">
        <v>174</v>
      </c>
      <c r="N3356" t="s">
        <v>166</v>
      </c>
      <c r="O3356" t="s">
        <v>116</v>
      </c>
    </row>
    <row r="3357" spans="1:15" x14ac:dyDescent="0.3">
      <c r="A3357" s="130">
        <v>18965</v>
      </c>
      <c r="B3357" s="130">
        <v>30</v>
      </c>
      <c r="C3357" s="130" t="s">
        <v>4981</v>
      </c>
      <c r="D3357">
        <v>28657</v>
      </c>
      <c r="E3357" s="130">
        <v>51466860</v>
      </c>
      <c r="F3357" t="s">
        <v>87</v>
      </c>
      <c r="G3357">
        <v>76</v>
      </c>
      <c r="H3357" t="s">
        <v>8952</v>
      </c>
      <c r="I3357" s="130">
        <v>37</v>
      </c>
      <c r="J3357" t="s">
        <v>4981</v>
      </c>
      <c r="K3357" t="s">
        <v>95</v>
      </c>
      <c r="L3357" t="s">
        <v>144</v>
      </c>
      <c r="M3357" t="s">
        <v>103</v>
      </c>
      <c r="N3357" t="s">
        <v>141</v>
      </c>
      <c r="O3357" t="s">
        <v>1256</v>
      </c>
    </row>
    <row r="3358" spans="1:15" x14ac:dyDescent="0.3">
      <c r="A3358" s="130">
        <v>18970</v>
      </c>
      <c r="B3358" s="130">
        <v>30</v>
      </c>
      <c r="C3358" s="130" t="s">
        <v>4982</v>
      </c>
      <c r="D3358">
        <v>28663</v>
      </c>
      <c r="E3358" s="130">
        <v>3672857</v>
      </c>
      <c r="F3358" t="s">
        <v>87</v>
      </c>
      <c r="G3358">
        <v>76</v>
      </c>
      <c r="H3358" t="s">
        <v>8953</v>
      </c>
      <c r="I3358" s="131">
        <v>10</v>
      </c>
      <c r="J3358" t="s">
        <v>4982</v>
      </c>
      <c r="K3358" t="s">
        <v>108</v>
      </c>
      <c r="L3358" t="s">
        <v>127</v>
      </c>
      <c r="M3358" t="s">
        <v>103</v>
      </c>
      <c r="N3358" t="s">
        <v>118</v>
      </c>
      <c r="O3358" t="s">
        <v>1345</v>
      </c>
    </row>
    <row r="3359" spans="1:15" x14ac:dyDescent="0.3">
      <c r="A3359" s="130">
        <v>18973</v>
      </c>
      <c r="B3359" s="130">
        <v>15</v>
      </c>
      <c r="C3359" s="130" t="s">
        <v>4983</v>
      </c>
      <c r="D3359">
        <v>28664</v>
      </c>
      <c r="E3359" s="130">
        <v>96556642</v>
      </c>
      <c r="F3359" t="s">
        <v>87</v>
      </c>
      <c r="G3359">
        <v>76</v>
      </c>
      <c r="H3359" t="s">
        <v>8951</v>
      </c>
      <c r="I3359" s="130">
        <v>19</v>
      </c>
      <c r="J3359" t="s">
        <v>4983</v>
      </c>
      <c r="K3359" t="s">
        <v>108</v>
      </c>
      <c r="L3359" t="s">
        <v>146</v>
      </c>
      <c r="M3359" t="s">
        <v>145</v>
      </c>
      <c r="N3359" t="s">
        <v>98</v>
      </c>
      <c r="O3359" t="s">
        <v>116</v>
      </c>
    </row>
    <row r="3360" spans="1:15" x14ac:dyDescent="0.3">
      <c r="A3360" s="130">
        <v>18974</v>
      </c>
      <c r="B3360" s="130">
        <v>30</v>
      </c>
      <c r="C3360" s="130" t="s">
        <v>4984</v>
      </c>
      <c r="D3360">
        <v>27836</v>
      </c>
      <c r="E3360" s="130">
        <v>42909409</v>
      </c>
      <c r="F3360" t="s">
        <v>87</v>
      </c>
      <c r="G3360">
        <v>76</v>
      </c>
      <c r="H3360" t="s">
        <v>8952</v>
      </c>
      <c r="I3360" s="131">
        <v>18</v>
      </c>
      <c r="J3360" t="s">
        <v>4984</v>
      </c>
      <c r="K3360" t="s">
        <v>95</v>
      </c>
      <c r="L3360" t="s">
        <v>123</v>
      </c>
      <c r="M3360" t="s">
        <v>103</v>
      </c>
      <c r="N3360" t="s">
        <v>98</v>
      </c>
      <c r="O3360" t="s">
        <v>116</v>
      </c>
    </row>
    <row r="3361" spans="1:15" x14ac:dyDescent="0.3">
      <c r="A3361" s="130">
        <v>18975</v>
      </c>
      <c r="B3361" s="130">
        <v>30</v>
      </c>
      <c r="C3361" s="130" t="s">
        <v>4985</v>
      </c>
      <c r="D3361">
        <v>28667</v>
      </c>
      <c r="E3361" s="130">
        <v>32346693</v>
      </c>
      <c r="F3361" t="s">
        <v>87</v>
      </c>
      <c r="G3361">
        <v>76</v>
      </c>
      <c r="H3361" t="s">
        <v>8953</v>
      </c>
      <c r="I3361" s="130">
        <v>3</v>
      </c>
      <c r="J3361" t="s">
        <v>4985</v>
      </c>
      <c r="K3361" t="s">
        <v>95</v>
      </c>
      <c r="L3361" t="s">
        <v>144</v>
      </c>
      <c r="M3361" t="s">
        <v>103</v>
      </c>
      <c r="N3361" t="s">
        <v>118</v>
      </c>
      <c r="O3361" t="s">
        <v>1345</v>
      </c>
    </row>
    <row r="3362" spans="1:15" x14ac:dyDescent="0.3">
      <c r="A3362" s="130">
        <v>18981</v>
      </c>
      <c r="B3362" s="130">
        <v>30</v>
      </c>
      <c r="C3362" s="130" t="s">
        <v>4986</v>
      </c>
      <c r="D3362">
        <v>27113</v>
      </c>
      <c r="E3362" s="131">
        <v>33781055</v>
      </c>
      <c r="F3362" t="s">
        <v>87</v>
      </c>
      <c r="G3362">
        <v>76</v>
      </c>
      <c r="H3362" t="s">
        <v>8951</v>
      </c>
      <c r="I3362" s="130">
        <v>18</v>
      </c>
      <c r="J3362" t="s">
        <v>4986</v>
      </c>
      <c r="K3362" t="s">
        <v>95</v>
      </c>
      <c r="L3362" t="s">
        <v>123</v>
      </c>
      <c r="M3362" t="s">
        <v>103</v>
      </c>
      <c r="N3362" t="s">
        <v>131</v>
      </c>
      <c r="O3362" t="s">
        <v>1256</v>
      </c>
    </row>
    <row r="3363" spans="1:15" x14ac:dyDescent="0.3">
      <c r="A3363" s="130">
        <v>18987</v>
      </c>
      <c r="B3363" s="130">
        <v>18</v>
      </c>
      <c r="C3363" s="130" t="s">
        <v>4987</v>
      </c>
      <c r="D3363">
        <v>28677</v>
      </c>
      <c r="E3363" s="131">
        <v>10872355</v>
      </c>
      <c r="F3363" t="s">
        <v>87</v>
      </c>
      <c r="G3363">
        <v>76</v>
      </c>
      <c r="H3363" t="s">
        <v>8952</v>
      </c>
      <c r="I3363" s="131">
        <v>10</v>
      </c>
      <c r="J3363" t="s">
        <v>4987</v>
      </c>
      <c r="K3363" t="s">
        <v>108</v>
      </c>
      <c r="L3363" t="s">
        <v>127</v>
      </c>
      <c r="M3363" t="s">
        <v>112</v>
      </c>
      <c r="N3363" t="s">
        <v>98</v>
      </c>
      <c r="O3363" t="s">
        <v>116</v>
      </c>
    </row>
    <row r="3364" spans="1:15" x14ac:dyDescent="0.3">
      <c r="A3364" s="130">
        <v>18989</v>
      </c>
      <c r="B3364" s="130">
        <v>28</v>
      </c>
      <c r="C3364" s="130" t="s">
        <v>4988</v>
      </c>
      <c r="D3364">
        <v>28678</v>
      </c>
      <c r="E3364" s="130">
        <v>44425642</v>
      </c>
      <c r="F3364" t="s">
        <v>87</v>
      </c>
      <c r="G3364">
        <v>76</v>
      </c>
      <c r="H3364" t="s">
        <v>8953</v>
      </c>
      <c r="I3364" s="130">
        <v>37</v>
      </c>
      <c r="J3364" t="s">
        <v>4988</v>
      </c>
      <c r="K3364" t="s">
        <v>95</v>
      </c>
      <c r="L3364" t="s">
        <v>138</v>
      </c>
      <c r="M3364" t="s">
        <v>130</v>
      </c>
      <c r="N3364" t="s">
        <v>150</v>
      </c>
      <c r="O3364" t="s">
        <v>1345</v>
      </c>
    </row>
    <row r="3365" spans="1:15" x14ac:dyDescent="0.3">
      <c r="A3365" s="130">
        <v>18990</v>
      </c>
      <c r="B3365" s="130">
        <v>30</v>
      </c>
      <c r="C3365" s="130" t="s">
        <v>4989</v>
      </c>
      <c r="D3365">
        <v>28679</v>
      </c>
      <c r="E3365" s="131">
        <v>40003419</v>
      </c>
      <c r="F3365" t="s">
        <v>87</v>
      </c>
      <c r="G3365">
        <v>76</v>
      </c>
      <c r="H3365" t="s">
        <v>8951</v>
      </c>
      <c r="I3365" s="130">
        <v>24</v>
      </c>
      <c r="J3365" t="s">
        <v>4989</v>
      </c>
      <c r="K3365" t="s">
        <v>95</v>
      </c>
      <c r="L3365" t="s">
        <v>144</v>
      </c>
      <c r="M3365" t="s">
        <v>103</v>
      </c>
      <c r="N3365" t="s">
        <v>98</v>
      </c>
      <c r="O3365" t="s">
        <v>116</v>
      </c>
    </row>
    <row r="3366" spans="1:15" x14ac:dyDescent="0.3">
      <c r="A3366" s="130">
        <v>18999</v>
      </c>
      <c r="B3366" s="130">
        <v>30</v>
      </c>
      <c r="C3366" s="130" t="s">
        <v>4990</v>
      </c>
      <c r="D3366">
        <v>28692</v>
      </c>
      <c r="E3366" s="131">
        <v>17164435</v>
      </c>
      <c r="F3366" t="s">
        <v>87</v>
      </c>
      <c r="G3366">
        <v>358</v>
      </c>
      <c r="H3366" t="s">
        <v>8952</v>
      </c>
      <c r="I3366" s="131">
        <v>18</v>
      </c>
      <c r="J3366" t="s">
        <v>4990</v>
      </c>
      <c r="K3366" t="s">
        <v>95</v>
      </c>
      <c r="L3366" t="s">
        <v>109</v>
      </c>
      <c r="M3366" t="s">
        <v>103</v>
      </c>
      <c r="N3366" t="s">
        <v>98</v>
      </c>
      <c r="O3366" t="s">
        <v>116</v>
      </c>
    </row>
    <row r="3367" spans="1:15" x14ac:dyDescent="0.3">
      <c r="A3367" s="130">
        <v>19022</v>
      </c>
      <c r="B3367" s="130">
        <v>18</v>
      </c>
      <c r="C3367" s="130" t="s">
        <v>4991</v>
      </c>
      <c r="D3367">
        <v>28726</v>
      </c>
      <c r="E3367" s="131">
        <v>19477285</v>
      </c>
      <c r="F3367" t="s">
        <v>87</v>
      </c>
      <c r="G3367">
        <v>76</v>
      </c>
      <c r="H3367" t="s">
        <v>8953</v>
      </c>
      <c r="I3367" s="130">
        <v>9</v>
      </c>
      <c r="J3367" t="s">
        <v>4991</v>
      </c>
      <c r="K3367" t="s">
        <v>108</v>
      </c>
      <c r="L3367" t="s">
        <v>163</v>
      </c>
      <c r="M3367" t="s">
        <v>112</v>
      </c>
      <c r="N3367" t="s">
        <v>122</v>
      </c>
      <c r="O3367" t="s">
        <v>116</v>
      </c>
    </row>
    <row r="3368" spans="1:15" x14ac:dyDescent="0.3">
      <c r="A3368" s="130">
        <v>19030</v>
      </c>
      <c r="B3368" s="130">
        <v>30</v>
      </c>
      <c r="C3368" s="130" t="s">
        <v>4992</v>
      </c>
      <c r="D3368">
        <v>28738</v>
      </c>
      <c r="E3368" s="130">
        <v>27786322</v>
      </c>
      <c r="F3368" t="s">
        <v>87</v>
      </c>
      <c r="G3368">
        <v>76</v>
      </c>
      <c r="H3368" t="s">
        <v>8951</v>
      </c>
      <c r="I3368" s="130">
        <v>19</v>
      </c>
      <c r="J3368" t="s">
        <v>4992</v>
      </c>
      <c r="K3368" t="s">
        <v>108</v>
      </c>
      <c r="L3368" t="s">
        <v>146</v>
      </c>
      <c r="M3368" t="s">
        <v>103</v>
      </c>
      <c r="N3368" t="s">
        <v>124</v>
      </c>
      <c r="O3368" t="s">
        <v>1345</v>
      </c>
    </row>
    <row r="3369" spans="1:15" x14ac:dyDescent="0.3">
      <c r="A3369" s="130">
        <v>19031</v>
      </c>
      <c r="B3369" s="130">
        <v>30</v>
      </c>
      <c r="C3369" s="130" t="s">
        <v>4993</v>
      </c>
      <c r="D3369">
        <v>28741</v>
      </c>
      <c r="E3369" s="130">
        <v>27786322</v>
      </c>
      <c r="F3369" t="s">
        <v>87</v>
      </c>
      <c r="G3369">
        <v>76</v>
      </c>
      <c r="H3369" t="s">
        <v>8952</v>
      </c>
      <c r="I3369" s="130">
        <v>19</v>
      </c>
      <c r="J3369" t="s">
        <v>4993</v>
      </c>
      <c r="K3369" t="s">
        <v>108</v>
      </c>
      <c r="L3369" t="s">
        <v>146</v>
      </c>
      <c r="M3369" t="s">
        <v>103</v>
      </c>
      <c r="N3369" t="s">
        <v>124</v>
      </c>
      <c r="O3369" t="s">
        <v>1345</v>
      </c>
    </row>
    <row r="3370" spans="1:15" x14ac:dyDescent="0.3">
      <c r="A3370" s="130">
        <v>19034</v>
      </c>
      <c r="B3370" s="130">
        <v>28</v>
      </c>
      <c r="C3370" s="130" t="s">
        <v>4994</v>
      </c>
      <c r="D3370">
        <v>28744</v>
      </c>
      <c r="E3370" s="130">
        <v>9625762</v>
      </c>
      <c r="F3370" t="s">
        <v>87</v>
      </c>
      <c r="G3370">
        <v>76</v>
      </c>
      <c r="H3370" t="s">
        <v>8953</v>
      </c>
      <c r="I3370" s="131">
        <v>43</v>
      </c>
      <c r="J3370" t="s">
        <v>4994</v>
      </c>
      <c r="K3370" t="s">
        <v>95</v>
      </c>
      <c r="L3370" t="s">
        <v>1368</v>
      </c>
      <c r="M3370" t="s">
        <v>130</v>
      </c>
      <c r="N3370" t="s">
        <v>150</v>
      </c>
      <c r="O3370" t="s">
        <v>116</v>
      </c>
    </row>
    <row r="3371" spans="1:15" x14ac:dyDescent="0.3">
      <c r="A3371" s="130">
        <v>19038</v>
      </c>
      <c r="B3371" s="130">
        <v>35</v>
      </c>
      <c r="C3371" s="130" t="s">
        <v>4995</v>
      </c>
      <c r="D3371">
        <v>28749</v>
      </c>
      <c r="E3371" s="130">
        <v>45201136</v>
      </c>
      <c r="F3371" t="s">
        <v>87</v>
      </c>
      <c r="G3371">
        <v>76</v>
      </c>
      <c r="H3371" t="s">
        <v>8951</v>
      </c>
      <c r="I3371" s="130">
        <v>24</v>
      </c>
      <c r="J3371" t="s">
        <v>4995</v>
      </c>
      <c r="K3371" t="s">
        <v>95</v>
      </c>
      <c r="L3371" t="s">
        <v>191</v>
      </c>
      <c r="M3371" t="s">
        <v>161</v>
      </c>
      <c r="N3371" t="s">
        <v>98</v>
      </c>
      <c r="O3371" t="s">
        <v>1345</v>
      </c>
    </row>
    <row r="3372" spans="1:15" x14ac:dyDescent="0.3">
      <c r="A3372" s="130">
        <v>19047</v>
      </c>
      <c r="B3372" s="130">
        <v>30</v>
      </c>
      <c r="C3372" s="130" t="s">
        <v>4996</v>
      </c>
      <c r="D3372">
        <v>28761</v>
      </c>
      <c r="E3372" s="131">
        <v>45507471</v>
      </c>
      <c r="F3372" t="s">
        <v>87</v>
      </c>
      <c r="G3372">
        <v>358</v>
      </c>
      <c r="H3372" t="s">
        <v>8952</v>
      </c>
      <c r="I3372" s="130">
        <v>3</v>
      </c>
      <c r="J3372" t="s">
        <v>4996</v>
      </c>
      <c r="K3372" t="s">
        <v>95</v>
      </c>
      <c r="L3372" t="s">
        <v>105</v>
      </c>
      <c r="M3372" t="s">
        <v>103</v>
      </c>
      <c r="N3372" t="s">
        <v>98</v>
      </c>
      <c r="O3372" t="s">
        <v>1345</v>
      </c>
    </row>
    <row r="3373" spans="1:15" x14ac:dyDescent="0.3">
      <c r="A3373" s="130">
        <v>19060</v>
      </c>
      <c r="B3373" s="130">
        <v>30</v>
      </c>
      <c r="C3373" s="130" t="s">
        <v>4997</v>
      </c>
      <c r="D3373">
        <v>28789</v>
      </c>
      <c r="E3373" s="130">
        <v>17185786</v>
      </c>
      <c r="F3373" t="s">
        <v>87</v>
      </c>
      <c r="G3373">
        <v>358</v>
      </c>
      <c r="H3373" t="s">
        <v>8953</v>
      </c>
      <c r="I3373" s="130">
        <v>3</v>
      </c>
      <c r="J3373" t="s">
        <v>4997</v>
      </c>
      <c r="K3373" t="s">
        <v>95</v>
      </c>
      <c r="L3373" t="s">
        <v>105</v>
      </c>
      <c r="M3373" t="s">
        <v>103</v>
      </c>
      <c r="N3373" t="s">
        <v>98</v>
      </c>
      <c r="O3373" t="s">
        <v>1345</v>
      </c>
    </row>
    <row r="3374" spans="1:15" x14ac:dyDescent="0.3">
      <c r="A3374" s="130">
        <v>19061</v>
      </c>
      <c r="B3374" s="130">
        <v>30</v>
      </c>
      <c r="C3374" s="130" t="s">
        <v>4998</v>
      </c>
      <c r="D3374">
        <v>28790</v>
      </c>
      <c r="E3374" s="130">
        <v>3152281</v>
      </c>
      <c r="F3374" t="s">
        <v>87</v>
      </c>
      <c r="G3374">
        <v>76</v>
      </c>
      <c r="H3374" t="s">
        <v>8951</v>
      </c>
      <c r="I3374" s="130">
        <v>9</v>
      </c>
      <c r="J3374" t="s">
        <v>4998</v>
      </c>
      <c r="K3374" t="s">
        <v>95</v>
      </c>
      <c r="L3374" t="s">
        <v>163</v>
      </c>
      <c r="M3374" t="s">
        <v>103</v>
      </c>
      <c r="N3374" t="s">
        <v>118</v>
      </c>
      <c r="O3374" t="s">
        <v>116</v>
      </c>
    </row>
    <row r="3375" spans="1:15" x14ac:dyDescent="0.3">
      <c r="A3375" s="130">
        <v>19072</v>
      </c>
      <c r="B3375" s="130">
        <v>30</v>
      </c>
      <c r="C3375" s="130" t="s">
        <v>4999</v>
      </c>
      <c r="D3375">
        <v>28806</v>
      </c>
      <c r="E3375" s="131">
        <v>49727476</v>
      </c>
      <c r="F3375" t="s">
        <v>87</v>
      </c>
      <c r="G3375">
        <v>76</v>
      </c>
      <c r="H3375" t="s">
        <v>8952</v>
      </c>
      <c r="I3375" s="130">
        <v>38</v>
      </c>
      <c r="J3375" t="s">
        <v>4999</v>
      </c>
      <c r="K3375" t="s">
        <v>108</v>
      </c>
      <c r="L3375" t="s">
        <v>126</v>
      </c>
      <c r="M3375" t="s">
        <v>103</v>
      </c>
      <c r="N3375" t="s">
        <v>101</v>
      </c>
      <c r="O3375" t="s">
        <v>116</v>
      </c>
    </row>
    <row r="3376" spans="1:15" x14ac:dyDescent="0.3">
      <c r="A3376" s="130">
        <v>19076</v>
      </c>
      <c r="B3376" s="130">
        <v>18</v>
      </c>
      <c r="C3376" s="130" t="s">
        <v>5000</v>
      </c>
      <c r="D3376">
        <v>28809</v>
      </c>
      <c r="E3376" s="131">
        <v>23093564</v>
      </c>
      <c r="F3376" t="s">
        <v>87</v>
      </c>
      <c r="G3376">
        <v>76</v>
      </c>
      <c r="H3376" t="s">
        <v>8953</v>
      </c>
      <c r="I3376" s="130">
        <v>9</v>
      </c>
      <c r="J3376" t="s">
        <v>5000</v>
      </c>
      <c r="K3376" t="s">
        <v>108</v>
      </c>
      <c r="L3376" t="s">
        <v>163</v>
      </c>
      <c r="M3376" t="s">
        <v>112</v>
      </c>
      <c r="N3376" t="s">
        <v>98</v>
      </c>
      <c r="O3376" t="s">
        <v>116</v>
      </c>
    </row>
    <row r="3377" spans="1:15" x14ac:dyDescent="0.3">
      <c r="A3377" s="130">
        <v>19079</v>
      </c>
      <c r="B3377" s="130">
        <v>30</v>
      </c>
      <c r="C3377" s="130" t="s">
        <v>5001</v>
      </c>
      <c r="D3377">
        <v>28818</v>
      </c>
      <c r="E3377" s="130">
        <v>27786322</v>
      </c>
      <c r="F3377" t="s">
        <v>87</v>
      </c>
      <c r="G3377">
        <v>76</v>
      </c>
      <c r="H3377" t="s">
        <v>8951</v>
      </c>
      <c r="I3377" s="130">
        <v>19</v>
      </c>
      <c r="J3377" t="s">
        <v>5001</v>
      </c>
      <c r="K3377" t="s">
        <v>108</v>
      </c>
      <c r="L3377" t="s">
        <v>146</v>
      </c>
      <c r="M3377" t="s">
        <v>103</v>
      </c>
      <c r="N3377" t="s">
        <v>124</v>
      </c>
      <c r="O3377" t="s">
        <v>1345</v>
      </c>
    </row>
    <row r="3378" spans="1:15" x14ac:dyDescent="0.3">
      <c r="A3378" s="130">
        <v>19083</v>
      </c>
      <c r="B3378" s="130">
        <v>30</v>
      </c>
      <c r="C3378" s="130" t="s">
        <v>5002</v>
      </c>
      <c r="D3378">
        <v>28821</v>
      </c>
      <c r="E3378" s="130">
        <v>17185786</v>
      </c>
      <c r="F3378" t="s">
        <v>87</v>
      </c>
      <c r="G3378">
        <v>76</v>
      </c>
      <c r="H3378" t="s">
        <v>8952</v>
      </c>
      <c r="I3378" s="130">
        <v>10</v>
      </c>
      <c r="J3378" t="s">
        <v>5002</v>
      </c>
      <c r="K3378" t="s">
        <v>95</v>
      </c>
      <c r="L3378" t="s">
        <v>105</v>
      </c>
      <c r="M3378" t="s">
        <v>103</v>
      </c>
      <c r="N3378" t="s">
        <v>98</v>
      </c>
      <c r="O3378" t="s">
        <v>1345</v>
      </c>
    </row>
    <row r="3379" spans="1:15" x14ac:dyDescent="0.3">
      <c r="A3379" s="130">
        <v>19089</v>
      </c>
      <c r="B3379" s="130">
        <v>30</v>
      </c>
      <c r="C3379" s="130" t="s">
        <v>5003</v>
      </c>
      <c r="D3379">
        <v>28592</v>
      </c>
      <c r="E3379" s="131">
        <v>29286001</v>
      </c>
      <c r="F3379" t="s">
        <v>87</v>
      </c>
      <c r="G3379">
        <v>76</v>
      </c>
      <c r="H3379" t="s">
        <v>8953</v>
      </c>
      <c r="I3379" s="131">
        <v>18</v>
      </c>
      <c r="J3379" t="s">
        <v>5003</v>
      </c>
      <c r="K3379" t="s">
        <v>95</v>
      </c>
      <c r="L3379" t="s">
        <v>123</v>
      </c>
      <c r="M3379" t="s">
        <v>103</v>
      </c>
      <c r="N3379" t="s">
        <v>169</v>
      </c>
      <c r="O3379" t="s">
        <v>116</v>
      </c>
    </row>
    <row r="3380" spans="1:15" x14ac:dyDescent="0.3">
      <c r="A3380" s="130">
        <v>19090</v>
      </c>
      <c r="B3380" s="130">
        <v>35</v>
      </c>
      <c r="C3380" s="130" t="s">
        <v>5004</v>
      </c>
      <c r="D3380">
        <v>28828</v>
      </c>
      <c r="E3380" s="130">
        <v>34692778</v>
      </c>
      <c r="F3380" t="s">
        <v>87</v>
      </c>
      <c r="G3380">
        <v>77</v>
      </c>
      <c r="H3380" t="s">
        <v>8951</v>
      </c>
      <c r="I3380" s="130">
        <v>18</v>
      </c>
      <c r="J3380" t="s">
        <v>5004</v>
      </c>
      <c r="K3380" t="s">
        <v>95</v>
      </c>
      <c r="L3380" t="s">
        <v>256</v>
      </c>
      <c r="M3380" t="s">
        <v>161</v>
      </c>
      <c r="N3380" t="s">
        <v>98</v>
      </c>
      <c r="O3380" t="s">
        <v>116</v>
      </c>
    </row>
    <row r="3381" spans="1:15" x14ac:dyDescent="0.3">
      <c r="A3381" s="130">
        <v>19091</v>
      </c>
      <c r="B3381" s="130">
        <v>30</v>
      </c>
      <c r="C3381" s="130" t="s">
        <v>5005</v>
      </c>
      <c r="D3381">
        <v>28830</v>
      </c>
      <c r="E3381" s="130">
        <v>1848287</v>
      </c>
      <c r="F3381" t="s">
        <v>87</v>
      </c>
      <c r="G3381">
        <v>76</v>
      </c>
      <c r="H3381" t="s">
        <v>8952</v>
      </c>
      <c r="I3381" s="131">
        <v>38</v>
      </c>
      <c r="J3381" t="s">
        <v>5005</v>
      </c>
      <c r="K3381" t="s">
        <v>108</v>
      </c>
      <c r="L3381" t="s">
        <v>126</v>
      </c>
      <c r="M3381" t="s">
        <v>103</v>
      </c>
      <c r="N3381" t="s">
        <v>114</v>
      </c>
      <c r="O3381" t="s">
        <v>116</v>
      </c>
    </row>
    <row r="3382" spans="1:15" x14ac:dyDescent="0.3">
      <c r="A3382" s="130">
        <v>19095</v>
      </c>
      <c r="B3382" s="130">
        <v>30</v>
      </c>
      <c r="C3382" s="130" t="s">
        <v>5006</v>
      </c>
      <c r="D3382">
        <v>28837</v>
      </c>
      <c r="E3382" s="131">
        <v>53020152</v>
      </c>
      <c r="F3382" t="s">
        <v>87</v>
      </c>
      <c r="G3382">
        <v>76</v>
      </c>
      <c r="H3382" t="s">
        <v>8953</v>
      </c>
      <c r="I3382" s="130">
        <v>3</v>
      </c>
      <c r="J3382" t="s">
        <v>5006</v>
      </c>
      <c r="K3382" t="s">
        <v>108</v>
      </c>
      <c r="L3382" t="s">
        <v>111</v>
      </c>
      <c r="M3382" t="s">
        <v>103</v>
      </c>
      <c r="N3382" t="s">
        <v>98</v>
      </c>
      <c r="O3382" t="s">
        <v>1345</v>
      </c>
    </row>
    <row r="3383" spans="1:15" x14ac:dyDescent="0.3">
      <c r="A3383" s="130">
        <v>19096</v>
      </c>
      <c r="B3383" s="130">
        <v>18</v>
      </c>
      <c r="C3383" s="130" t="s">
        <v>5007</v>
      </c>
      <c r="D3383">
        <v>28838</v>
      </c>
      <c r="E3383" s="130">
        <v>1665347</v>
      </c>
      <c r="F3383" t="s">
        <v>87</v>
      </c>
      <c r="G3383">
        <v>76</v>
      </c>
      <c r="H3383" t="s">
        <v>8951</v>
      </c>
      <c r="I3383" s="130">
        <v>3</v>
      </c>
      <c r="J3383" t="s">
        <v>5007</v>
      </c>
      <c r="K3383" t="s">
        <v>95</v>
      </c>
      <c r="L3383" t="s">
        <v>105</v>
      </c>
      <c r="M3383" t="s">
        <v>112</v>
      </c>
      <c r="N3383" t="s">
        <v>132</v>
      </c>
      <c r="O3383" t="s">
        <v>1345</v>
      </c>
    </row>
    <row r="3384" spans="1:15" x14ac:dyDescent="0.3">
      <c r="A3384" s="130">
        <v>19101</v>
      </c>
      <c r="B3384" s="130">
        <v>90</v>
      </c>
      <c r="C3384" s="130" t="s">
        <v>5008</v>
      </c>
      <c r="D3384">
        <v>28852</v>
      </c>
      <c r="E3384" s="130">
        <v>655209</v>
      </c>
      <c r="F3384" t="s">
        <v>87</v>
      </c>
      <c r="G3384">
        <v>76</v>
      </c>
      <c r="H3384" t="s">
        <v>8952</v>
      </c>
      <c r="I3384" s="131">
        <v>9</v>
      </c>
      <c r="J3384" t="s">
        <v>5008</v>
      </c>
      <c r="K3384" t="s">
        <v>95</v>
      </c>
      <c r="L3384" t="s">
        <v>181</v>
      </c>
      <c r="M3384" t="s">
        <v>170</v>
      </c>
      <c r="N3384" t="s">
        <v>114</v>
      </c>
      <c r="O3384" t="s">
        <v>116</v>
      </c>
    </row>
    <row r="3385" spans="1:15" x14ac:dyDescent="0.3">
      <c r="A3385" s="130">
        <v>19106</v>
      </c>
      <c r="B3385" s="130">
        <v>28</v>
      </c>
      <c r="C3385" s="130" t="s">
        <v>5009</v>
      </c>
      <c r="D3385">
        <v>28857</v>
      </c>
      <c r="E3385" s="130">
        <v>4065406676</v>
      </c>
      <c r="F3385" t="s">
        <v>87</v>
      </c>
      <c r="G3385">
        <v>76</v>
      </c>
      <c r="H3385" t="s">
        <v>8953</v>
      </c>
      <c r="I3385" s="131">
        <v>3</v>
      </c>
      <c r="J3385" t="s">
        <v>5009</v>
      </c>
      <c r="K3385" t="s">
        <v>95</v>
      </c>
      <c r="L3385" t="s">
        <v>102</v>
      </c>
      <c r="M3385" t="s">
        <v>130</v>
      </c>
      <c r="N3385" t="s">
        <v>152</v>
      </c>
      <c r="O3385" t="s">
        <v>116</v>
      </c>
    </row>
    <row r="3386" spans="1:15" x14ac:dyDescent="0.3">
      <c r="A3386" s="130">
        <v>19134</v>
      </c>
      <c r="B3386" s="130">
        <v>10</v>
      </c>
      <c r="C3386" s="130" t="s">
        <v>5010</v>
      </c>
      <c r="D3386">
        <v>28894</v>
      </c>
      <c r="E3386" s="130">
        <v>17906653</v>
      </c>
      <c r="F3386" t="s">
        <v>113</v>
      </c>
      <c r="G3386">
        <v>76</v>
      </c>
      <c r="H3386" t="s">
        <v>8951</v>
      </c>
      <c r="I3386" s="130">
        <v>3</v>
      </c>
      <c r="J3386" t="s">
        <v>5010</v>
      </c>
      <c r="K3386" t="s">
        <v>108</v>
      </c>
      <c r="L3386" t="s">
        <v>153</v>
      </c>
      <c r="M3386" t="s">
        <v>133</v>
      </c>
      <c r="N3386" t="s">
        <v>98</v>
      </c>
      <c r="O3386" t="s">
        <v>1256</v>
      </c>
    </row>
    <row r="3387" spans="1:15" x14ac:dyDescent="0.3">
      <c r="A3387" s="130">
        <v>19161</v>
      </c>
      <c r="B3387" s="130">
        <v>28</v>
      </c>
      <c r="C3387" s="130" t="s">
        <v>5011</v>
      </c>
      <c r="D3387">
        <v>28932</v>
      </c>
      <c r="E3387" s="130">
        <v>4824051</v>
      </c>
      <c r="F3387" t="s">
        <v>87</v>
      </c>
      <c r="G3387">
        <v>76</v>
      </c>
      <c r="H3387" t="s">
        <v>8952</v>
      </c>
      <c r="I3387" s="130">
        <v>43</v>
      </c>
      <c r="J3387" t="s">
        <v>5011</v>
      </c>
      <c r="K3387" t="s">
        <v>108</v>
      </c>
      <c r="L3387" t="s">
        <v>173</v>
      </c>
      <c r="M3387" t="s">
        <v>130</v>
      </c>
      <c r="N3387" t="s">
        <v>114</v>
      </c>
      <c r="O3387" t="s">
        <v>1345</v>
      </c>
    </row>
    <row r="3388" spans="1:15" x14ac:dyDescent="0.3">
      <c r="A3388" s="130">
        <v>19164</v>
      </c>
      <c r="B3388" s="130">
        <v>18</v>
      </c>
      <c r="C3388" s="130" t="s">
        <v>5012</v>
      </c>
      <c r="D3388">
        <v>28939</v>
      </c>
      <c r="E3388" s="130">
        <v>14267717</v>
      </c>
      <c r="F3388" t="s">
        <v>87</v>
      </c>
      <c r="G3388">
        <v>76</v>
      </c>
      <c r="H3388" t="s">
        <v>8953</v>
      </c>
      <c r="I3388" s="130">
        <v>9</v>
      </c>
      <c r="J3388" t="s">
        <v>5012</v>
      </c>
      <c r="K3388" t="s">
        <v>108</v>
      </c>
      <c r="L3388" t="s">
        <v>163</v>
      </c>
      <c r="M3388" t="s">
        <v>112</v>
      </c>
      <c r="N3388" t="s">
        <v>132</v>
      </c>
      <c r="O3388" t="s">
        <v>1345</v>
      </c>
    </row>
    <row r="3389" spans="1:15" x14ac:dyDescent="0.3">
      <c r="A3389" s="130">
        <v>19165</v>
      </c>
      <c r="B3389" s="130">
        <v>18</v>
      </c>
      <c r="C3389" s="130" t="s">
        <v>5013</v>
      </c>
      <c r="D3389">
        <v>28941</v>
      </c>
      <c r="E3389" s="130">
        <v>61167060</v>
      </c>
      <c r="F3389" t="s">
        <v>87</v>
      </c>
      <c r="G3389">
        <v>76</v>
      </c>
      <c r="H3389" t="s">
        <v>8951</v>
      </c>
      <c r="I3389" s="131">
        <v>37</v>
      </c>
      <c r="J3389" t="s">
        <v>5013</v>
      </c>
      <c r="K3389" t="s">
        <v>108</v>
      </c>
      <c r="L3389" t="s">
        <v>138</v>
      </c>
      <c r="M3389" t="s">
        <v>112</v>
      </c>
      <c r="N3389" t="s">
        <v>114</v>
      </c>
      <c r="O3389" t="s">
        <v>1345</v>
      </c>
    </row>
    <row r="3390" spans="1:15" x14ac:dyDescent="0.3">
      <c r="A3390" s="130">
        <v>19183</v>
      </c>
      <c r="B3390" s="130">
        <v>30</v>
      </c>
      <c r="C3390" s="130" t="s">
        <v>5014</v>
      </c>
      <c r="D3390">
        <v>28963</v>
      </c>
      <c r="E3390" s="131">
        <v>2617158</v>
      </c>
      <c r="F3390" t="s">
        <v>87</v>
      </c>
      <c r="G3390">
        <v>76</v>
      </c>
      <c r="H3390" t="s">
        <v>8952</v>
      </c>
      <c r="I3390" s="130">
        <v>3</v>
      </c>
      <c r="J3390" t="s">
        <v>5014</v>
      </c>
      <c r="K3390" t="s">
        <v>95</v>
      </c>
      <c r="L3390" t="s">
        <v>111</v>
      </c>
      <c r="M3390" t="s">
        <v>103</v>
      </c>
      <c r="N3390" t="s">
        <v>98</v>
      </c>
      <c r="O3390" t="s">
        <v>116</v>
      </c>
    </row>
    <row r="3391" spans="1:15" x14ac:dyDescent="0.3">
      <c r="A3391" s="130">
        <v>19184</v>
      </c>
      <c r="B3391" s="130">
        <v>10</v>
      </c>
      <c r="C3391" s="130" t="s">
        <v>5015</v>
      </c>
      <c r="D3391">
        <v>28968</v>
      </c>
      <c r="E3391" s="131">
        <v>969103</v>
      </c>
      <c r="F3391" t="s">
        <v>87</v>
      </c>
      <c r="G3391">
        <v>76</v>
      </c>
      <c r="H3391" t="s">
        <v>8953</v>
      </c>
      <c r="I3391" s="130">
        <v>3</v>
      </c>
      <c r="J3391" t="s">
        <v>5015</v>
      </c>
      <c r="K3391" t="s">
        <v>108</v>
      </c>
      <c r="L3391" t="s">
        <v>153</v>
      </c>
      <c r="M3391" t="s">
        <v>133</v>
      </c>
      <c r="N3391" t="s">
        <v>98</v>
      </c>
      <c r="O3391" t="s">
        <v>1345</v>
      </c>
    </row>
    <row r="3392" spans="1:15" x14ac:dyDescent="0.3">
      <c r="A3392" s="130">
        <v>19186</v>
      </c>
      <c r="B3392" s="130">
        <v>30</v>
      </c>
      <c r="C3392" s="130" t="s">
        <v>5016</v>
      </c>
      <c r="D3392">
        <v>28972</v>
      </c>
      <c r="E3392" s="130">
        <v>32909546</v>
      </c>
      <c r="F3392" t="s">
        <v>87</v>
      </c>
      <c r="G3392">
        <v>358</v>
      </c>
      <c r="H3392" t="s">
        <v>8951</v>
      </c>
      <c r="I3392" s="131">
        <v>3</v>
      </c>
      <c r="J3392" t="s">
        <v>5016</v>
      </c>
      <c r="K3392" t="s">
        <v>95</v>
      </c>
      <c r="L3392" t="s">
        <v>105</v>
      </c>
      <c r="M3392" t="s">
        <v>103</v>
      </c>
      <c r="N3392" t="s">
        <v>98</v>
      </c>
      <c r="O3392" t="s">
        <v>1345</v>
      </c>
    </row>
    <row r="3393" spans="1:15" x14ac:dyDescent="0.3">
      <c r="A3393" s="130">
        <v>19188</v>
      </c>
      <c r="B3393" s="130">
        <v>18</v>
      </c>
      <c r="C3393" s="130" t="s">
        <v>5017</v>
      </c>
      <c r="D3393">
        <v>28980</v>
      </c>
      <c r="E3393" s="130">
        <v>5802590</v>
      </c>
      <c r="F3393" t="s">
        <v>87</v>
      </c>
      <c r="G3393">
        <v>76</v>
      </c>
      <c r="H3393" t="s">
        <v>8952</v>
      </c>
      <c r="I3393" s="131">
        <v>9</v>
      </c>
      <c r="J3393" t="s">
        <v>5017</v>
      </c>
      <c r="K3393" t="s">
        <v>95</v>
      </c>
      <c r="L3393" t="s">
        <v>1298</v>
      </c>
      <c r="M3393" t="s">
        <v>112</v>
      </c>
      <c r="N3393" t="s">
        <v>98</v>
      </c>
      <c r="O3393" t="s">
        <v>1256</v>
      </c>
    </row>
    <row r="3394" spans="1:15" x14ac:dyDescent="0.3">
      <c r="A3394" s="130">
        <v>19195</v>
      </c>
      <c r="B3394" s="130">
        <v>18</v>
      </c>
      <c r="C3394" s="130" t="s">
        <v>5018</v>
      </c>
      <c r="D3394">
        <v>28996</v>
      </c>
      <c r="E3394" s="130">
        <v>10736565</v>
      </c>
      <c r="F3394" t="s">
        <v>87</v>
      </c>
      <c r="G3394">
        <v>76</v>
      </c>
      <c r="H3394" t="s">
        <v>8953</v>
      </c>
      <c r="I3394" s="131">
        <v>9</v>
      </c>
      <c r="J3394" t="s">
        <v>5018</v>
      </c>
      <c r="K3394" t="s">
        <v>95</v>
      </c>
      <c r="L3394" t="s">
        <v>163</v>
      </c>
      <c r="M3394" t="s">
        <v>112</v>
      </c>
      <c r="N3394" t="s">
        <v>114</v>
      </c>
      <c r="O3394" t="s">
        <v>1345</v>
      </c>
    </row>
    <row r="3395" spans="1:15" x14ac:dyDescent="0.3">
      <c r="A3395" s="130">
        <v>19203</v>
      </c>
      <c r="B3395" s="130">
        <v>18</v>
      </c>
      <c r="C3395" s="130" t="s">
        <v>5019</v>
      </c>
      <c r="D3395">
        <v>29014</v>
      </c>
      <c r="E3395" s="130">
        <v>76519974</v>
      </c>
      <c r="F3395" t="s">
        <v>87</v>
      </c>
      <c r="G3395">
        <v>358</v>
      </c>
      <c r="H3395" t="s">
        <v>8951</v>
      </c>
      <c r="I3395" s="131">
        <v>10</v>
      </c>
      <c r="J3395" t="s">
        <v>5019</v>
      </c>
      <c r="K3395" t="s">
        <v>95</v>
      </c>
      <c r="L3395" t="s">
        <v>105</v>
      </c>
      <c r="M3395" t="s">
        <v>112</v>
      </c>
      <c r="N3395" t="s">
        <v>98</v>
      </c>
      <c r="O3395" t="s">
        <v>116</v>
      </c>
    </row>
    <row r="3396" spans="1:15" x14ac:dyDescent="0.3">
      <c r="A3396" s="130">
        <v>19205</v>
      </c>
      <c r="B3396" s="130">
        <v>30</v>
      </c>
      <c r="C3396" s="130" t="s">
        <v>5020</v>
      </c>
      <c r="D3396">
        <v>29016</v>
      </c>
      <c r="E3396" s="131">
        <v>51466860</v>
      </c>
      <c r="F3396" t="s">
        <v>87</v>
      </c>
      <c r="G3396">
        <v>76</v>
      </c>
      <c r="H3396" t="s">
        <v>8952</v>
      </c>
      <c r="I3396" s="130">
        <v>37</v>
      </c>
      <c r="J3396" t="s">
        <v>5020</v>
      </c>
      <c r="K3396" t="s">
        <v>95</v>
      </c>
      <c r="L3396" t="s">
        <v>144</v>
      </c>
      <c r="M3396" t="s">
        <v>103</v>
      </c>
      <c r="N3396" t="s">
        <v>141</v>
      </c>
      <c r="O3396" t="s">
        <v>1256</v>
      </c>
    </row>
    <row r="3397" spans="1:15" x14ac:dyDescent="0.3">
      <c r="A3397" s="130">
        <v>19222</v>
      </c>
      <c r="B3397" s="130">
        <v>30</v>
      </c>
      <c r="C3397" s="130" t="s">
        <v>5021</v>
      </c>
      <c r="D3397">
        <v>29047</v>
      </c>
      <c r="E3397" s="130">
        <v>19739564</v>
      </c>
      <c r="F3397" t="s">
        <v>87</v>
      </c>
      <c r="G3397">
        <v>358</v>
      </c>
      <c r="H3397" t="s">
        <v>8953</v>
      </c>
      <c r="I3397" s="130">
        <v>9</v>
      </c>
      <c r="J3397" t="s">
        <v>5021</v>
      </c>
      <c r="K3397" t="s">
        <v>95</v>
      </c>
      <c r="L3397" t="s">
        <v>105</v>
      </c>
      <c r="M3397" t="s">
        <v>103</v>
      </c>
      <c r="N3397" t="s">
        <v>98</v>
      </c>
      <c r="O3397" t="s">
        <v>1345</v>
      </c>
    </row>
    <row r="3398" spans="1:15" x14ac:dyDescent="0.3">
      <c r="A3398" s="130">
        <v>19241</v>
      </c>
      <c r="B3398" s="130">
        <v>-1</v>
      </c>
      <c r="C3398" s="130" t="s">
        <v>5022</v>
      </c>
      <c r="D3398">
        <v>29073</v>
      </c>
      <c r="E3398" s="130">
        <v>17200684</v>
      </c>
      <c r="F3398" t="s">
        <v>87</v>
      </c>
      <c r="G3398">
        <v>76</v>
      </c>
      <c r="H3398" t="s">
        <v>8951</v>
      </c>
      <c r="I3398" s="130">
        <v>3</v>
      </c>
      <c r="J3398" t="s">
        <v>5022</v>
      </c>
      <c r="K3398" t="s">
        <v>108</v>
      </c>
      <c r="L3398" t="s">
        <v>1293</v>
      </c>
      <c r="M3398" t="s">
        <v>174</v>
      </c>
      <c r="N3398" t="s">
        <v>162</v>
      </c>
      <c r="O3398" t="s">
        <v>1345</v>
      </c>
    </row>
    <row r="3399" spans="1:15" x14ac:dyDescent="0.3">
      <c r="A3399" s="130">
        <v>19250</v>
      </c>
      <c r="B3399" s="130">
        <v>30</v>
      </c>
      <c r="C3399" s="130" t="s">
        <v>5023</v>
      </c>
      <c r="D3399">
        <v>29083</v>
      </c>
      <c r="E3399" s="130">
        <v>56095862</v>
      </c>
      <c r="F3399" t="s">
        <v>87</v>
      </c>
      <c r="G3399">
        <v>76</v>
      </c>
      <c r="H3399" t="s">
        <v>8952</v>
      </c>
      <c r="I3399" s="130">
        <v>18</v>
      </c>
      <c r="J3399" t="s">
        <v>5023</v>
      </c>
      <c r="K3399" t="s">
        <v>108</v>
      </c>
      <c r="L3399" t="s">
        <v>123</v>
      </c>
      <c r="M3399" t="s">
        <v>103</v>
      </c>
      <c r="N3399" t="s">
        <v>98</v>
      </c>
      <c r="O3399" t="s">
        <v>116</v>
      </c>
    </row>
    <row r="3400" spans="1:15" x14ac:dyDescent="0.3">
      <c r="A3400" s="130">
        <v>19253</v>
      </c>
      <c r="B3400" s="130">
        <v>90</v>
      </c>
      <c r="C3400" s="130" t="s">
        <v>5024</v>
      </c>
      <c r="D3400">
        <v>29086</v>
      </c>
      <c r="E3400" s="131">
        <v>655209</v>
      </c>
      <c r="F3400" t="s">
        <v>87</v>
      </c>
      <c r="G3400">
        <v>76</v>
      </c>
      <c r="H3400" t="s">
        <v>8953</v>
      </c>
      <c r="I3400" s="131">
        <v>9</v>
      </c>
      <c r="J3400" t="s">
        <v>5024</v>
      </c>
      <c r="K3400" t="s">
        <v>95</v>
      </c>
      <c r="L3400" t="s">
        <v>181</v>
      </c>
      <c r="M3400" t="s">
        <v>170</v>
      </c>
      <c r="N3400" t="s">
        <v>114</v>
      </c>
      <c r="O3400" t="s">
        <v>116</v>
      </c>
    </row>
    <row r="3401" spans="1:15" x14ac:dyDescent="0.3">
      <c r="A3401" s="130">
        <v>19261</v>
      </c>
      <c r="B3401" s="130">
        <v>30</v>
      </c>
      <c r="C3401" s="130" t="s">
        <v>5025</v>
      </c>
      <c r="D3401">
        <v>29095</v>
      </c>
      <c r="E3401" s="131">
        <v>2112074</v>
      </c>
      <c r="F3401" t="s">
        <v>87</v>
      </c>
      <c r="G3401">
        <v>76</v>
      </c>
      <c r="H3401" t="s">
        <v>8951</v>
      </c>
      <c r="I3401" s="131">
        <v>3</v>
      </c>
      <c r="J3401" t="s">
        <v>5025</v>
      </c>
      <c r="K3401" t="s">
        <v>108</v>
      </c>
      <c r="L3401" t="s">
        <v>111</v>
      </c>
      <c r="M3401" t="s">
        <v>103</v>
      </c>
      <c r="N3401" t="s">
        <v>98</v>
      </c>
      <c r="O3401" t="s">
        <v>1345</v>
      </c>
    </row>
    <row r="3402" spans="1:15" x14ac:dyDescent="0.3">
      <c r="A3402" s="130">
        <v>19271</v>
      </c>
      <c r="B3402" s="130">
        <v>30</v>
      </c>
      <c r="C3402" s="130" t="s">
        <v>5026</v>
      </c>
      <c r="D3402">
        <v>29114</v>
      </c>
      <c r="E3402" s="130">
        <v>19739564</v>
      </c>
      <c r="F3402" t="s">
        <v>87</v>
      </c>
      <c r="G3402">
        <v>76</v>
      </c>
      <c r="H3402" t="s">
        <v>8952</v>
      </c>
      <c r="I3402" s="131">
        <v>9</v>
      </c>
      <c r="J3402" t="s">
        <v>5026</v>
      </c>
      <c r="K3402" t="s">
        <v>95</v>
      </c>
      <c r="L3402" t="s">
        <v>105</v>
      </c>
      <c r="M3402" t="s">
        <v>103</v>
      </c>
      <c r="N3402" t="s">
        <v>98</v>
      </c>
      <c r="O3402" t="s">
        <v>1345</v>
      </c>
    </row>
    <row r="3403" spans="1:15" x14ac:dyDescent="0.3">
      <c r="A3403" s="130">
        <v>19272</v>
      </c>
      <c r="B3403" s="130">
        <v>30</v>
      </c>
      <c r="C3403" s="130" t="s">
        <v>5027</v>
      </c>
      <c r="D3403">
        <v>29115</v>
      </c>
      <c r="E3403" s="130">
        <v>19739564</v>
      </c>
      <c r="F3403" t="s">
        <v>87</v>
      </c>
      <c r="G3403">
        <v>76</v>
      </c>
      <c r="H3403" t="s">
        <v>8953</v>
      </c>
      <c r="I3403" s="131">
        <v>9</v>
      </c>
      <c r="J3403" t="s">
        <v>5027</v>
      </c>
      <c r="K3403" t="s">
        <v>95</v>
      </c>
      <c r="L3403" t="s">
        <v>105</v>
      </c>
      <c r="M3403" t="s">
        <v>103</v>
      </c>
      <c r="N3403" t="s">
        <v>98</v>
      </c>
      <c r="O3403" t="s">
        <v>116</v>
      </c>
    </row>
    <row r="3404" spans="1:15" x14ac:dyDescent="0.3">
      <c r="A3404" s="130">
        <v>19285</v>
      </c>
      <c r="B3404" s="130">
        <v>30</v>
      </c>
      <c r="C3404" s="130" t="s">
        <v>5028</v>
      </c>
      <c r="D3404">
        <v>29129</v>
      </c>
      <c r="E3404" s="130">
        <v>15709184</v>
      </c>
      <c r="F3404" t="s">
        <v>87</v>
      </c>
      <c r="G3404">
        <v>76</v>
      </c>
      <c r="H3404" t="s">
        <v>8951</v>
      </c>
      <c r="I3404" s="131">
        <v>18</v>
      </c>
      <c r="J3404" t="s">
        <v>5028</v>
      </c>
      <c r="K3404" t="s">
        <v>95</v>
      </c>
      <c r="L3404" t="s">
        <v>123</v>
      </c>
      <c r="M3404" t="s">
        <v>103</v>
      </c>
      <c r="N3404" t="s">
        <v>98</v>
      </c>
      <c r="O3404" t="s">
        <v>116</v>
      </c>
    </row>
    <row r="3405" spans="1:15" x14ac:dyDescent="0.3">
      <c r="A3405" s="130">
        <v>19287</v>
      </c>
      <c r="B3405" s="130">
        <v>18</v>
      </c>
      <c r="C3405" s="130" t="s">
        <v>5029</v>
      </c>
      <c r="D3405">
        <v>29130</v>
      </c>
      <c r="E3405" s="131">
        <v>10385174</v>
      </c>
      <c r="F3405" t="s">
        <v>87</v>
      </c>
      <c r="G3405">
        <v>76</v>
      </c>
      <c r="H3405" t="s">
        <v>8952</v>
      </c>
      <c r="I3405" s="130">
        <v>37</v>
      </c>
      <c r="J3405" t="s">
        <v>5029</v>
      </c>
      <c r="K3405" t="s">
        <v>108</v>
      </c>
      <c r="L3405" t="s">
        <v>138</v>
      </c>
      <c r="M3405" t="s">
        <v>112</v>
      </c>
      <c r="N3405" t="s">
        <v>101</v>
      </c>
      <c r="O3405" t="s">
        <v>1345</v>
      </c>
    </row>
    <row r="3406" spans="1:15" x14ac:dyDescent="0.3">
      <c r="A3406" s="130">
        <v>19297</v>
      </c>
      <c r="B3406" s="130" t="s">
        <v>1374</v>
      </c>
      <c r="C3406" s="130" t="s">
        <v>5030</v>
      </c>
      <c r="D3406">
        <v>29149</v>
      </c>
      <c r="E3406" s="131">
        <v>92779503</v>
      </c>
      <c r="F3406" t="s">
        <v>87</v>
      </c>
      <c r="G3406">
        <v>76</v>
      </c>
      <c r="H3406" t="s">
        <v>8953</v>
      </c>
      <c r="I3406" s="130">
        <v>37</v>
      </c>
      <c r="J3406" t="s">
        <v>5030</v>
      </c>
      <c r="K3406" t="s">
        <v>95</v>
      </c>
      <c r="L3406" t="s">
        <v>138</v>
      </c>
      <c r="M3406" t="s">
        <v>1374</v>
      </c>
      <c r="N3406" t="s">
        <v>150</v>
      </c>
      <c r="O3406" t="s">
        <v>1345</v>
      </c>
    </row>
    <row r="3407" spans="1:15" x14ac:dyDescent="0.3">
      <c r="A3407" s="130">
        <v>19301</v>
      </c>
      <c r="B3407" s="130">
        <v>30</v>
      </c>
      <c r="C3407" s="130" t="s">
        <v>5031</v>
      </c>
      <c r="D3407">
        <v>29125</v>
      </c>
      <c r="E3407" s="130">
        <v>18715383</v>
      </c>
      <c r="F3407" t="s">
        <v>87</v>
      </c>
      <c r="G3407">
        <v>77</v>
      </c>
      <c r="H3407" t="s">
        <v>8951</v>
      </c>
      <c r="I3407" s="131">
        <v>2</v>
      </c>
      <c r="J3407" t="s">
        <v>5031</v>
      </c>
      <c r="K3407" t="s">
        <v>95</v>
      </c>
      <c r="L3407" t="s">
        <v>256</v>
      </c>
      <c r="M3407" t="s">
        <v>103</v>
      </c>
      <c r="N3407" t="s">
        <v>131</v>
      </c>
      <c r="O3407" t="s">
        <v>116</v>
      </c>
    </row>
    <row r="3408" spans="1:15" x14ac:dyDescent="0.3">
      <c r="A3408" s="130">
        <v>19313</v>
      </c>
      <c r="B3408" s="130">
        <v>30</v>
      </c>
      <c r="C3408" s="130" t="s">
        <v>5032</v>
      </c>
      <c r="D3408">
        <v>29108</v>
      </c>
      <c r="E3408" s="130">
        <v>67844183</v>
      </c>
      <c r="F3408" t="s">
        <v>87</v>
      </c>
      <c r="G3408">
        <v>76</v>
      </c>
      <c r="H3408" t="s">
        <v>8952</v>
      </c>
      <c r="I3408" s="131">
        <v>9</v>
      </c>
      <c r="J3408" t="s">
        <v>5032</v>
      </c>
      <c r="K3408" t="s">
        <v>95</v>
      </c>
      <c r="L3408" t="s">
        <v>181</v>
      </c>
      <c r="M3408" t="s">
        <v>103</v>
      </c>
      <c r="N3408" t="s">
        <v>114</v>
      </c>
      <c r="O3408" t="s">
        <v>116</v>
      </c>
    </row>
    <row r="3409" spans="1:15" x14ac:dyDescent="0.3">
      <c r="A3409" s="130">
        <v>19316</v>
      </c>
      <c r="B3409" s="130">
        <v>10</v>
      </c>
      <c r="C3409" s="130" t="s">
        <v>5033</v>
      </c>
      <c r="D3409">
        <v>29170</v>
      </c>
      <c r="E3409" s="130">
        <v>30455661</v>
      </c>
      <c r="F3409" t="s">
        <v>87</v>
      </c>
      <c r="G3409">
        <v>76</v>
      </c>
      <c r="H3409" t="s">
        <v>8953</v>
      </c>
      <c r="I3409" s="130">
        <v>18</v>
      </c>
      <c r="J3409" t="s">
        <v>5033</v>
      </c>
      <c r="K3409" t="s">
        <v>95</v>
      </c>
      <c r="L3409" t="s">
        <v>153</v>
      </c>
      <c r="M3409" t="s">
        <v>133</v>
      </c>
      <c r="N3409" t="s">
        <v>98</v>
      </c>
      <c r="O3409" t="s">
        <v>116</v>
      </c>
    </row>
    <row r="3410" spans="1:15" x14ac:dyDescent="0.3">
      <c r="A3410" s="130">
        <v>19322</v>
      </c>
      <c r="B3410" s="130">
        <v>30</v>
      </c>
      <c r="C3410" s="130" t="s">
        <v>5034</v>
      </c>
      <c r="D3410">
        <v>29181</v>
      </c>
      <c r="E3410" s="130">
        <v>21441058</v>
      </c>
      <c r="F3410" t="s">
        <v>87</v>
      </c>
      <c r="G3410">
        <v>76</v>
      </c>
      <c r="H3410" t="s">
        <v>8951</v>
      </c>
      <c r="I3410" s="131">
        <v>9</v>
      </c>
      <c r="J3410" t="s">
        <v>5034</v>
      </c>
      <c r="K3410" t="s">
        <v>95</v>
      </c>
      <c r="L3410" t="s">
        <v>163</v>
      </c>
      <c r="M3410" t="s">
        <v>103</v>
      </c>
      <c r="N3410" t="s">
        <v>124</v>
      </c>
      <c r="O3410" t="s">
        <v>116</v>
      </c>
    </row>
    <row r="3411" spans="1:15" x14ac:dyDescent="0.3">
      <c r="A3411" s="130">
        <v>19325</v>
      </c>
      <c r="B3411" s="130">
        <v>10</v>
      </c>
      <c r="C3411" s="130" t="s">
        <v>5035</v>
      </c>
      <c r="D3411">
        <v>29174</v>
      </c>
      <c r="E3411" s="130">
        <v>49314049</v>
      </c>
      <c r="F3411" t="s">
        <v>87</v>
      </c>
      <c r="G3411">
        <v>76</v>
      </c>
      <c r="H3411" t="s">
        <v>8952</v>
      </c>
      <c r="I3411" s="130">
        <v>37</v>
      </c>
      <c r="J3411" t="s">
        <v>5035</v>
      </c>
      <c r="K3411" t="s">
        <v>108</v>
      </c>
      <c r="L3411" t="s">
        <v>138</v>
      </c>
      <c r="M3411" t="s">
        <v>133</v>
      </c>
      <c r="N3411" t="s">
        <v>122</v>
      </c>
      <c r="O3411" t="s">
        <v>116</v>
      </c>
    </row>
    <row r="3412" spans="1:15" x14ac:dyDescent="0.3">
      <c r="A3412" s="130">
        <v>19329</v>
      </c>
      <c r="B3412" s="130">
        <v>21</v>
      </c>
      <c r="C3412" s="130" t="s">
        <v>5036</v>
      </c>
      <c r="D3412">
        <v>29189</v>
      </c>
      <c r="E3412" s="131">
        <v>15482315</v>
      </c>
      <c r="F3412" t="s">
        <v>87</v>
      </c>
      <c r="G3412">
        <v>76</v>
      </c>
      <c r="H3412" t="s">
        <v>8953</v>
      </c>
      <c r="I3412" s="130">
        <v>10</v>
      </c>
      <c r="J3412" t="s">
        <v>5036</v>
      </c>
      <c r="K3412" t="s">
        <v>95</v>
      </c>
      <c r="L3412" t="s">
        <v>127</v>
      </c>
      <c r="M3412" t="s">
        <v>137</v>
      </c>
      <c r="N3412" t="s">
        <v>98</v>
      </c>
      <c r="O3412" t="s">
        <v>1345</v>
      </c>
    </row>
    <row r="3413" spans="1:15" x14ac:dyDescent="0.3">
      <c r="A3413" s="130">
        <v>19336</v>
      </c>
      <c r="B3413" s="130">
        <v>45</v>
      </c>
      <c r="C3413" s="130" t="s">
        <v>5037</v>
      </c>
      <c r="D3413">
        <v>29207</v>
      </c>
      <c r="E3413" s="131">
        <v>49457168</v>
      </c>
      <c r="F3413" t="s">
        <v>87</v>
      </c>
      <c r="G3413">
        <v>76</v>
      </c>
      <c r="H3413" t="s">
        <v>8951</v>
      </c>
      <c r="I3413" s="130">
        <v>3</v>
      </c>
      <c r="J3413" t="s">
        <v>5037</v>
      </c>
      <c r="K3413" t="s">
        <v>95</v>
      </c>
      <c r="L3413" t="s">
        <v>96</v>
      </c>
      <c r="M3413" t="s">
        <v>106</v>
      </c>
      <c r="N3413" t="s">
        <v>114</v>
      </c>
      <c r="O3413" t="s">
        <v>1345</v>
      </c>
    </row>
    <row r="3414" spans="1:15" x14ac:dyDescent="0.3">
      <c r="A3414" s="130">
        <v>19350</v>
      </c>
      <c r="B3414" s="130">
        <v>90</v>
      </c>
      <c r="C3414" s="130" t="s">
        <v>5038</v>
      </c>
      <c r="D3414">
        <v>29225</v>
      </c>
      <c r="E3414" s="130">
        <v>35234509</v>
      </c>
      <c r="F3414" t="s">
        <v>87</v>
      </c>
      <c r="G3414">
        <v>76</v>
      </c>
      <c r="H3414" t="s">
        <v>8952</v>
      </c>
      <c r="I3414" s="130">
        <v>24</v>
      </c>
      <c r="J3414" t="s">
        <v>5038</v>
      </c>
      <c r="K3414" t="s">
        <v>95</v>
      </c>
      <c r="L3414" t="s">
        <v>102</v>
      </c>
      <c r="M3414" t="s">
        <v>170</v>
      </c>
      <c r="N3414" t="s">
        <v>98</v>
      </c>
      <c r="O3414" t="s">
        <v>116</v>
      </c>
    </row>
    <row r="3415" spans="1:15" x14ac:dyDescent="0.3">
      <c r="A3415" s="130">
        <v>19357</v>
      </c>
      <c r="B3415" s="130">
        <v>21</v>
      </c>
      <c r="C3415" s="130" t="s">
        <v>5039</v>
      </c>
      <c r="D3415">
        <v>29236</v>
      </c>
      <c r="E3415" s="131">
        <v>15482315</v>
      </c>
      <c r="F3415" t="s">
        <v>87</v>
      </c>
      <c r="G3415">
        <v>76</v>
      </c>
      <c r="H3415" t="s">
        <v>8953</v>
      </c>
      <c r="I3415" s="130">
        <v>10</v>
      </c>
      <c r="J3415" t="s">
        <v>5039</v>
      </c>
      <c r="K3415" t="s">
        <v>95</v>
      </c>
      <c r="L3415" t="s">
        <v>127</v>
      </c>
      <c r="M3415" t="s">
        <v>137</v>
      </c>
      <c r="N3415" t="s">
        <v>98</v>
      </c>
      <c r="O3415" t="s">
        <v>1345</v>
      </c>
    </row>
    <row r="3416" spans="1:15" x14ac:dyDescent="0.3">
      <c r="A3416" s="130">
        <v>19361</v>
      </c>
      <c r="B3416" s="130">
        <v>30</v>
      </c>
      <c r="C3416" s="130" t="s">
        <v>5040</v>
      </c>
      <c r="D3416">
        <v>29239</v>
      </c>
      <c r="E3416" s="131">
        <v>33841727</v>
      </c>
      <c r="F3416" t="s">
        <v>87</v>
      </c>
      <c r="G3416">
        <v>358</v>
      </c>
      <c r="H3416" t="s">
        <v>8951</v>
      </c>
      <c r="I3416" s="130">
        <v>10</v>
      </c>
      <c r="J3416" t="s">
        <v>5040</v>
      </c>
      <c r="K3416" t="s">
        <v>95</v>
      </c>
      <c r="L3416" t="s">
        <v>105</v>
      </c>
      <c r="M3416" t="s">
        <v>103</v>
      </c>
      <c r="N3416" t="s">
        <v>98</v>
      </c>
      <c r="O3416" t="s">
        <v>1345</v>
      </c>
    </row>
    <row r="3417" spans="1:15" x14ac:dyDescent="0.3">
      <c r="A3417" s="130">
        <v>19362</v>
      </c>
      <c r="B3417" s="130">
        <v>18</v>
      </c>
      <c r="C3417" s="130" t="s">
        <v>5041</v>
      </c>
      <c r="D3417">
        <v>29242</v>
      </c>
      <c r="E3417" s="131">
        <v>42133541</v>
      </c>
      <c r="F3417" t="s">
        <v>87</v>
      </c>
      <c r="G3417">
        <v>76</v>
      </c>
      <c r="H3417" t="s">
        <v>8952</v>
      </c>
      <c r="I3417" s="131">
        <v>10</v>
      </c>
      <c r="J3417" t="s">
        <v>5041</v>
      </c>
      <c r="K3417" t="s">
        <v>108</v>
      </c>
      <c r="L3417" t="s">
        <v>127</v>
      </c>
      <c r="M3417" t="s">
        <v>112</v>
      </c>
      <c r="N3417" t="s">
        <v>141</v>
      </c>
      <c r="O3417" t="s">
        <v>1345</v>
      </c>
    </row>
    <row r="3418" spans="1:15" x14ac:dyDescent="0.3">
      <c r="A3418" s="130">
        <v>19364</v>
      </c>
      <c r="B3418" s="130">
        <v>18</v>
      </c>
      <c r="C3418" s="130" t="s">
        <v>5042</v>
      </c>
      <c r="D3418">
        <v>29247</v>
      </c>
      <c r="E3418" s="130">
        <v>19727473</v>
      </c>
      <c r="F3418" t="s">
        <v>87</v>
      </c>
      <c r="G3418">
        <v>76</v>
      </c>
      <c r="H3418" t="s">
        <v>8953</v>
      </c>
      <c r="I3418" s="130">
        <v>3</v>
      </c>
      <c r="J3418" t="s">
        <v>5042</v>
      </c>
      <c r="K3418" t="s">
        <v>108</v>
      </c>
      <c r="L3418" t="s">
        <v>111</v>
      </c>
      <c r="M3418" t="s">
        <v>112</v>
      </c>
      <c r="N3418" t="s">
        <v>98</v>
      </c>
      <c r="O3418" t="s">
        <v>116</v>
      </c>
    </row>
    <row r="3419" spans="1:15" x14ac:dyDescent="0.3">
      <c r="A3419" s="130">
        <v>19366</v>
      </c>
      <c r="B3419" s="130">
        <v>21</v>
      </c>
      <c r="C3419" s="130" t="s">
        <v>5043</v>
      </c>
      <c r="D3419">
        <v>29249</v>
      </c>
      <c r="E3419" s="130">
        <v>42501292</v>
      </c>
      <c r="F3419" t="s">
        <v>87</v>
      </c>
      <c r="G3419">
        <v>358</v>
      </c>
      <c r="H3419" t="s">
        <v>8951</v>
      </c>
      <c r="I3419" s="131">
        <v>3</v>
      </c>
      <c r="J3419" t="s">
        <v>5043</v>
      </c>
      <c r="K3419" t="s">
        <v>95</v>
      </c>
      <c r="L3419" t="s">
        <v>105</v>
      </c>
      <c r="M3419" t="s">
        <v>137</v>
      </c>
      <c r="N3419" t="s">
        <v>98</v>
      </c>
      <c r="O3419" t="s">
        <v>1345</v>
      </c>
    </row>
    <row r="3420" spans="1:15" x14ac:dyDescent="0.3">
      <c r="A3420" s="130">
        <v>19384</v>
      </c>
      <c r="B3420" s="130">
        <v>60</v>
      </c>
      <c r="C3420" s="130" t="s">
        <v>5044</v>
      </c>
      <c r="D3420">
        <v>29280</v>
      </c>
      <c r="E3420" s="130">
        <v>33592510</v>
      </c>
      <c r="F3420" t="s">
        <v>87</v>
      </c>
      <c r="G3420">
        <v>77</v>
      </c>
      <c r="H3420" t="s">
        <v>8952</v>
      </c>
      <c r="I3420" s="130">
        <v>3</v>
      </c>
      <c r="J3420" t="s">
        <v>5044</v>
      </c>
      <c r="K3420" t="s">
        <v>95</v>
      </c>
      <c r="L3420" t="s">
        <v>117</v>
      </c>
      <c r="M3420" t="s">
        <v>97</v>
      </c>
      <c r="N3420" t="s">
        <v>118</v>
      </c>
      <c r="O3420" t="s">
        <v>116</v>
      </c>
    </row>
    <row r="3421" spans="1:15" x14ac:dyDescent="0.3">
      <c r="A3421" s="130">
        <v>19385</v>
      </c>
      <c r="B3421" s="130">
        <v>90</v>
      </c>
      <c r="C3421" s="130" t="s">
        <v>5045</v>
      </c>
      <c r="D3421">
        <v>29281</v>
      </c>
      <c r="E3421" s="130">
        <v>35234509</v>
      </c>
      <c r="F3421" t="s">
        <v>87</v>
      </c>
      <c r="G3421">
        <v>76</v>
      </c>
      <c r="H3421" t="s">
        <v>8953</v>
      </c>
      <c r="I3421" s="130">
        <v>18</v>
      </c>
      <c r="J3421" t="s">
        <v>5045</v>
      </c>
      <c r="K3421" t="s">
        <v>95</v>
      </c>
      <c r="L3421" t="s">
        <v>102</v>
      </c>
      <c r="M3421" t="s">
        <v>170</v>
      </c>
      <c r="N3421" t="s">
        <v>98</v>
      </c>
      <c r="O3421" t="s">
        <v>116</v>
      </c>
    </row>
    <row r="3422" spans="1:15" x14ac:dyDescent="0.3">
      <c r="A3422" s="130">
        <v>19387</v>
      </c>
      <c r="B3422" s="130">
        <v>10</v>
      </c>
      <c r="C3422" s="130" t="s">
        <v>5046</v>
      </c>
      <c r="D3422">
        <v>29284</v>
      </c>
      <c r="E3422" s="130">
        <v>1276156</v>
      </c>
      <c r="F3422" t="s">
        <v>87</v>
      </c>
      <c r="G3422">
        <v>358</v>
      </c>
      <c r="H3422" t="s">
        <v>8951</v>
      </c>
      <c r="I3422" s="130">
        <v>18</v>
      </c>
      <c r="J3422" t="s">
        <v>5046</v>
      </c>
      <c r="K3422" t="s">
        <v>108</v>
      </c>
      <c r="L3422" t="s">
        <v>193</v>
      </c>
      <c r="M3422" t="s">
        <v>133</v>
      </c>
      <c r="N3422" t="s">
        <v>98</v>
      </c>
      <c r="O3422" t="s">
        <v>1345</v>
      </c>
    </row>
    <row r="3423" spans="1:15" x14ac:dyDescent="0.3">
      <c r="A3423" s="130">
        <v>19395</v>
      </c>
      <c r="B3423" s="130">
        <v>21</v>
      </c>
      <c r="C3423" s="130" t="s">
        <v>5047</v>
      </c>
      <c r="D3423">
        <v>29292</v>
      </c>
      <c r="E3423" s="131">
        <v>84907393</v>
      </c>
      <c r="F3423" t="s">
        <v>87</v>
      </c>
      <c r="G3423">
        <v>358</v>
      </c>
      <c r="H3423" t="s">
        <v>8952</v>
      </c>
      <c r="I3423" s="130">
        <v>26</v>
      </c>
      <c r="J3423" t="s">
        <v>5047</v>
      </c>
      <c r="K3423" t="s">
        <v>108</v>
      </c>
      <c r="L3423" t="s">
        <v>193</v>
      </c>
      <c r="M3423" t="s">
        <v>137</v>
      </c>
      <c r="N3423" t="s">
        <v>98</v>
      </c>
      <c r="O3423" t="s">
        <v>116</v>
      </c>
    </row>
    <row r="3424" spans="1:15" x14ac:dyDescent="0.3">
      <c r="A3424" s="130">
        <v>19396</v>
      </c>
      <c r="B3424" s="130">
        <v>18</v>
      </c>
      <c r="C3424" s="130" t="s">
        <v>5048</v>
      </c>
      <c r="D3424">
        <v>29298</v>
      </c>
      <c r="E3424" s="130">
        <v>19727473</v>
      </c>
      <c r="F3424" t="s">
        <v>87</v>
      </c>
      <c r="G3424">
        <v>76</v>
      </c>
      <c r="H3424" t="s">
        <v>8953</v>
      </c>
      <c r="I3424" s="131">
        <v>3</v>
      </c>
      <c r="J3424" t="s">
        <v>5048</v>
      </c>
      <c r="K3424" t="s">
        <v>95</v>
      </c>
      <c r="L3424" t="s">
        <v>111</v>
      </c>
      <c r="M3424" t="s">
        <v>112</v>
      </c>
      <c r="N3424" t="s">
        <v>98</v>
      </c>
      <c r="O3424" t="s">
        <v>1345</v>
      </c>
    </row>
    <row r="3425" spans="1:15" x14ac:dyDescent="0.3">
      <c r="A3425" s="130">
        <v>19400</v>
      </c>
      <c r="B3425" s="130">
        <v>10</v>
      </c>
      <c r="C3425" s="130" t="s">
        <v>5049</v>
      </c>
      <c r="D3425">
        <v>29303</v>
      </c>
      <c r="E3425" s="131">
        <v>1869256</v>
      </c>
      <c r="F3425" t="s">
        <v>87</v>
      </c>
      <c r="G3425">
        <v>76</v>
      </c>
      <c r="H3425" t="s">
        <v>8951</v>
      </c>
      <c r="I3425" s="131">
        <v>24</v>
      </c>
      <c r="J3425" t="s">
        <v>5049</v>
      </c>
      <c r="K3425" t="s">
        <v>108</v>
      </c>
      <c r="L3425" t="s">
        <v>191</v>
      </c>
      <c r="M3425" t="s">
        <v>133</v>
      </c>
      <c r="N3425" t="s">
        <v>98</v>
      </c>
      <c r="O3425" t="s">
        <v>1345</v>
      </c>
    </row>
    <row r="3426" spans="1:15" x14ac:dyDescent="0.3">
      <c r="A3426" s="130">
        <v>19402</v>
      </c>
      <c r="B3426" s="130">
        <v>18</v>
      </c>
      <c r="C3426" s="130" t="s">
        <v>5050</v>
      </c>
      <c r="D3426">
        <v>29309</v>
      </c>
      <c r="E3426" s="130">
        <v>23768603</v>
      </c>
      <c r="F3426" t="s">
        <v>87</v>
      </c>
      <c r="G3426">
        <v>76</v>
      </c>
      <c r="H3426" t="s">
        <v>8952</v>
      </c>
      <c r="I3426" s="131">
        <v>10</v>
      </c>
      <c r="J3426" t="s">
        <v>5050</v>
      </c>
      <c r="K3426" t="s">
        <v>108</v>
      </c>
      <c r="L3426" t="s">
        <v>127</v>
      </c>
      <c r="M3426" t="s">
        <v>112</v>
      </c>
      <c r="N3426" t="s">
        <v>118</v>
      </c>
      <c r="O3426" t="s">
        <v>1345</v>
      </c>
    </row>
    <row r="3427" spans="1:15" x14ac:dyDescent="0.3">
      <c r="A3427" s="130">
        <v>19408</v>
      </c>
      <c r="B3427" s="130">
        <v>30</v>
      </c>
      <c r="C3427" s="130" t="s">
        <v>5051</v>
      </c>
      <c r="D3427">
        <v>29322</v>
      </c>
      <c r="E3427" s="130">
        <v>45870688</v>
      </c>
      <c r="F3427" t="s">
        <v>87</v>
      </c>
      <c r="G3427">
        <v>76</v>
      </c>
      <c r="H3427" t="s">
        <v>8953</v>
      </c>
      <c r="I3427" s="130">
        <v>10</v>
      </c>
      <c r="J3427" t="s">
        <v>5051</v>
      </c>
      <c r="K3427" t="s">
        <v>95</v>
      </c>
      <c r="L3427" t="s">
        <v>127</v>
      </c>
      <c r="M3427" t="s">
        <v>103</v>
      </c>
      <c r="N3427" t="s">
        <v>98</v>
      </c>
      <c r="O3427" t="s">
        <v>116</v>
      </c>
    </row>
    <row r="3428" spans="1:15" x14ac:dyDescent="0.3">
      <c r="A3428" s="130">
        <v>19409</v>
      </c>
      <c r="B3428" s="130">
        <v>18</v>
      </c>
      <c r="C3428" s="130" t="s">
        <v>5052</v>
      </c>
      <c r="D3428">
        <v>29323</v>
      </c>
      <c r="E3428" s="130">
        <v>8576978</v>
      </c>
      <c r="F3428" t="s">
        <v>87</v>
      </c>
      <c r="G3428">
        <v>76</v>
      </c>
      <c r="H3428" t="s">
        <v>8951</v>
      </c>
      <c r="I3428" s="130">
        <v>9</v>
      </c>
      <c r="J3428" t="s">
        <v>5052</v>
      </c>
      <c r="K3428" t="s">
        <v>108</v>
      </c>
      <c r="L3428" t="s">
        <v>163</v>
      </c>
      <c r="M3428" t="s">
        <v>112</v>
      </c>
      <c r="N3428" t="s">
        <v>98</v>
      </c>
      <c r="O3428" t="s">
        <v>1345</v>
      </c>
    </row>
    <row r="3429" spans="1:15" x14ac:dyDescent="0.3">
      <c r="A3429" s="130">
        <v>19415</v>
      </c>
      <c r="B3429" s="130">
        <v>30</v>
      </c>
      <c r="C3429" s="130" t="s">
        <v>5053</v>
      </c>
      <c r="D3429">
        <v>29333</v>
      </c>
      <c r="E3429" s="130">
        <v>51466860</v>
      </c>
      <c r="F3429" t="s">
        <v>87</v>
      </c>
      <c r="G3429">
        <v>76</v>
      </c>
      <c r="H3429" t="s">
        <v>8952</v>
      </c>
      <c r="I3429" s="130">
        <v>37</v>
      </c>
      <c r="J3429" t="s">
        <v>5053</v>
      </c>
      <c r="K3429" t="s">
        <v>95</v>
      </c>
      <c r="L3429" t="s">
        <v>144</v>
      </c>
      <c r="M3429" t="s">
        <v>103</v>
      </c>
      <c r="N3429" t="s">
        <v>141</v>
      </c>
      <c r="O3429" t="s">
        <v>1345</v>
      </c>
    </row>
    <row r="3430" spans="1:15" x14ac:dyDescent="0.3">
      <c r="A3430" s="130">
        <v>19418</v>
      </c>
      <c r="B3430" s="130">
        <v>0</v>
      </c>
      <c r="C3430" s="130" t="s">
        <v>5054</v>
      </c>
      <c r="D3430">
        <v>29336</v>
      </c>
      <c r="E3430" s="130">
        <v>61584223</v>
      </c>
      <c r="F3430" t="s">
        <v>87</v>
      </c>
      <c r="G3430">
        <v>76</v>
      </c>
      <c r="H3430" t="s">
        <v>8953</v>
      </c>
      <c r="I3430" s="130">
        <v>37</v>
      </c>
      <c r="J3430" t="s">
        <v>5054</v>
      </c>
      <c r="K3430" t="s">
        <v>108</v>
      </c>
      <c r="L3430" t="s">
        <v>1250</v>
      </c>
      <c r="M3430" t="s">
        <v>100</v>
      </c>
      <c r="N3430" t="s">
        <v>98</v>
      </c>
      <c r="O3430" t="s">
        <v>1256</v>
      </c>
    </row>
    <row r="3431" spans="1:15" x14ac:dyDescent="0.3">
      <c r="A3431" s="130">
        <v>19433</v>
      </c>
      <c r="B3431" s="130">
        <v>18</v>
      </c>
      <c r="C3431" s="130" t="s">
        <v>5055</v>
      </c>
      <c r="D3431">
        <v>29354</v>
      </c>
      <c r="E3431" s="131">
        <v>5638550</v>
      </c>
      <c r="F3431" t="s">
        <v>87</v>
      </c>
      <c r="G3431">
        <v>76</v>
      </c>
      <c r="H3431" t="s">
        <v>8951</v>
      </c>
      <c r="I3431" s="130">
        <v>9</v>
      </c>
      <c r="J3431" t="s">
        <v>5055</v>
      </c>
      <c r="K3431" t="s">
        <v>108</v>
      </c>
      <c r="L3431" t="s">
        <v>181</v>
      </c>
      <c r="M3431" t="s">
        <v>112</v>
      </c>
      <c r="N3431" t="s">
        <v>114</v>
      </c>
      <c r="O3431" t="s">
        <v>1345</v>
      </c>
    </row>
    <row r="3432" spans="1:15" x14ac:dyDescent="0.3">
      <c r="A3432" s="130">
        <v>19460</v>
      </c>
      <c r="B3432" s="130">
        <v>18</v>
      </c>
      <c r="C3432" s="130" t="s">
        <v>5056</v>
      </c>
      <c r="D3432">
        <v>29378</v>
      </c>
      <c r="E3432" s="130">
        <v>50134797</v>
      </c>
      <c r="F3432" t="s">
        <v>87</v>
      </c>
      <c r="G3432">
        <v>76</v>
      </c>
      <c r="H3432" t="s">
        <v>8952</v>
      </c>
      <c r="I3432" s="130">
        <v>9</v>
      </c>
      <c r="J3432" t="s">
        <v>5056</v>
      </c>
      <c r="K3432" t="s">
        <v>95</v>
      </c>
      <c r="L3432" t="s">
        <v>163</v>
      </c>
      <c r="M3432" t="s">
        <v>112</v>
      </c>
      <c r="N3432" t="s">
        <v>98</v>
      </c>
      <c r="O3432" t="s">
        <v>116</v>
      </c>
    </row>
    <row r="3433" spans="1:15" x14ac:dyDescent="0.3">
      <c r="A3433" s="130">
        <v>19473</v>
      </c>
      <c r="B3433" s="130">
        <v>30</v>
      </c>
      <c r="C3433" s="130" t="s">
        <v>5057</v>
      </c>
      <c r="D3433">
        <v>29353</v>
      </c>
      <c r="E3433" s="131">
        <v>18715383</v>
      </c>
      <c r="F3433" t="s">
        <v>87</v>
      </c>
      <c r="G3433">
        <v>77</v>
      </c>
      <c r="H3433" t="s">
        <v>8953</v>
      </c>
      <c r="I3433" s="131">
        <v>2</v>
      </c>
      <c r="J3433" t="s">
        <v>5057</v>
      </c>
      <c r="K3433" t="s">
        <v>95</v>
      </c>
      <c r="L3433" t="s">
        <v>256</v>
      </c>
      <c r="M3433" t="s">
        <v>103</v>
      </c>
      <c r="N3433" t="s">
        <v>131</v>
      </c>
      <c r="O3433" t="s">
        <v>116</v>
      </c>
    </row>
    <row r="3434" spans="1:15" x14ac:dyDescent="0.3">
      <c r="A3434" s="130">
        <v>19474</v>
      </c>
      <c r="B3434" s="130">
        <v>30</v>
      </c>
      <c r="C3434" s="130" t="s">
        <v>5058</v>
      </c>
      <c r="D3434">
        <v>29394</v>
      </c>
      <c r="E3434" s="130">
        <v>636794</v>
      </c>
      <c r="F3434" t="s">
        <v>87</v>
      </c>
      <c r="G3434">
        <v>76</v>
      </c>
      <c r="H3434" t="s">
        <v>8951</v>
      </c>
      <c r="I3434" s="130">
        <v>9</v>
      </c>
      <c r="J3434" t="s">
        <v>5058</v>
      </c>
      <c r="K3434" t="s">
        <v>108</v>
      </c>
      <c r="L3434" t="s">
        <v>181</v>
      </c>
      <c r="M3434" t="s">
        <v>103</v>
      </c>
      <c r="N3434" t="s">
        <v>114</v>
      </c>
      <c r="O3434" t="s">
        <v>116</v>
      </c>
    </row>
    <row r="3435" spans="1:15" x14ac:dyDescent="0.3">
      <c r="A3435" s="130">
        <v>19476</v>
      </c>
      <c r="B3435" s="130">
        <v>28</v>
      </c>
      <c r="C3435" s="130" t="s">
        <v>5059</v>
      </c>
      <c r="D3435">
        <v>29397</v>
      </c>
      <c r="E3435" s="130">
        <v>44425642</v>
      </c>
      <c r="F3435" t="s">
        <v>87</v>
      </c>
      <c r="G3435">
        <v>76</v>
      </c>
      <c r="H3435" t="s">
        <v>8952</v>
      </c>
      <c r="I3435" s="130">
        <v>37</v>
      </c>
      <c r="J3435" t="s">
        <v>5059</v>
      </c>
      <c r="K3435" t="s">
        <v>95</v>
      </c>
      <c r="L3435" t="s">
        <v>138</v>
      </c>
      <c r="M3435" t="s">
        <v>130</v>
      </c>
      <c r="N3435" t="s">
        <v>150</v>
      </c>
      <c r="O3435" t="s">
        <v>116</v>
      </c>
    </row>
    <row r="3436" spans="1:15" x14ac:dyDescent="0.3">
      <c r="A3436" s="130">
        <v>19477</v>
      </c>
      <c r="B3436" s="130">
        <v>90</v>
      </c>
      <c r="C3436" s="130" t="s">
        <v>5060</v>
      </c>
      <c r="D3436">
        <v>29398</v>
      </c>
      <c r="E3436" s="130">
        <v>35234509</v>
      </c>
      <c r="F3436" t="s">
        <v>87</v>
      </c>
      <c r="G3436">
        <v>76</v>
      </c>
      <c r="H3436" t="s">
        <v>8953</v>
      </c>
      <c r="I3436" s="131">
        <v>24</v>
      </c>
      <c r="J3436" t="s">
        <v>5060</v>
      </c>
      <c r="K3436" t="s">
        <v>95</v>
      </c>
      <c r="L3436" t="s">
        <v>102</v>
      </c>
      <c r="M3436" t="s">
        <v>170</v>
      </c>
      <c r="N3436" t="s">
        <v>98</v>
      </c>
      <c r="O3436" t="s">
        <v>116</v>
      </c>
    </row>
    <row r="3437" spans="1:15" x14ac:dyDescent="0.3">
      <c r="A3437" s="130">
        <v>19491</v>
      </c>
      <c r="B3437" s="130">
        <v>0</v>
      </c>
      <c r="C3437" s="130" t="s">
        <v>5061</v>
      </c>
      <c r="D3437">
        <v>29421</v>
      </c>
      <c r="E3437" s="130">
        <v>7504723</v>
      </c>
      <c r="F3437" t="s">
        <v>87</v>
      </c>
      <c r="G3437">
        <v>76</v>
      </c>
      <c r="H3437" t="s">
        <v>8951</v>
      </c>
      <c r="I3437" s="130">
        <v>9</v>
      </c>
      <c r="J3437" t="s">
        <v>5061</v>
      </c>
      <c r="K3437" t="s">
        <v>95</v>
      </c>
      <c r="L3437" t="s">
        <v>163</v>
      </c>
      <c r="M3437" t="s">
        <v>100</v>
      </c>
      <c r="N3437" t="s">
        <v>101</v>
      </c>
      <c r="O3437" t="s">
        <v>116</v>
      </c>
    </row>
    <row r="3438" spans="1:15" x14ac:dyDescent="0.3">
      <c r="A3438" s="130">
        <v>19511</v>
      </c>
      <c r="B3438" s="130">
        <v>30</v>
      </c>
      <c r="C3438" s="130" t="s">
        <v>5062</v>
      </c>
      <c r="D3438">
        <v>29444</v>
      </c>
      <c r="E3438" s="130">
        <v>16956443</v>
      </c>
      <c r="F3438" t="s">
        <v>87</v>
      </c>
      <c r="G3438">
        <v>76</v>
      </c>
      <c r="H3438" t="s">
        <v>8952</v>
      </c>
      <c r="I3438" s="130">
        <v>3</v>
      </c>
      <c r="J3438" t="s">
        <v>5062</v>
      </c>
      <c r="K3438" t="s">
        <v>108</v>
      </c>
      <c r="L3438" t="s">
        <v>111</v>
      </c>
      <c r="M3438" t="s">
        <v>103</v>
      </c>
      <c r="N3438" t="s">
        <v>98</v>
      </c>
      <c r="O3438" t="s">
        <v>116</v>
      </c>
    </row>
    <row r="3439" spans="1:15" x14ac:dyDescent="0.3">
      <c r="A3439" s="130">
        <v>19515</v>
      </c>
      <c r="B3439" s="130">
        <v>-1</v>
      </c>
      <c r="C3439" s="130" t="s">
        <v>5063</v>
      </c>
      <c r="D3439">
        <v>29450</v>
      </c>
      <c r="E3439" s="130">
        <v>43668790</v>
      </c>
      <c r="F3439" t="s">
        <v>87</v>
      </c>
      <c r="G3439">
        <v>76</v>
      </c>
      <c r="H3439" t="s">
        <v>8953</v>
      </c>
      <c r="I3439" s="131">
        <v>24</v>
      </c>
      <c r="J3439" t="s">
        <v>5063</v>
      </c>
      <c r="K3439" t="s">
        <v>108</v>
      </c>
      <c r="L3439" t="s">
        <v>191</v>
      </c>
      <c r="M3439" t="s">
        <v>174</v>
      </c>
      <c r="N3439" t="s">
        <v>162</v>
      </c>
      <c r="O3439" t="s">
        <v>1345</v>
      </c>
    </row>
    <row r="3440" spans="1:15" x14ac:dyDescent="0.3">
      <c r="A3440" s="130">
        <v>19517</v>
      </c>
      <c r="B3440" s="130">
        <v>18</v>
      </c>
      <c r="C3440" s="130" t="s">
        <v>5064</v>
      </c>
      <c r="D3440">
        <v>29453</v>
      </c>
      <c r="E3440" s="130">
        <v>50134797</v>
      </c>
      <c r="F3440" t="s">
        <v>87</v>
      </c>
      <c r="G3440">
        <v>76</v>
      </c>
      <c r="H3440" t="s">
        <v>8951</v>
      </c>
      <c r="I3440" s="130">
        <v>9</v>
      </c>
      <c r="J3440" t="s">
        <v>5064</v>
      </c>
      <c r="K3440" t="s">
        <v>108</v>
      </c>
      <c r="L3440" t="s">
        <v>163</v>
      </c>
      <c r="M3440" t="s">
        <v>112</v>
      </c>
      <c r="N3440" t="s">
        <v>98</v>
      </c>
      <c r="O3440" t="s">
        <v>116</v>
      </c>
    </row>
    <row r="3441" spans="1:15" x14ac:dyDescent="0.3">
      <c r="A3441" s="130">
        <v>19522</v>
      </c>
      <c r="B3441" s="130">
        <v>30</v>
      </c>
      <c r="C3441" s="130" t="s">
        <v>5065</v>
      </c>
      <c r="D3441">
        <v>29463</v>
      </c>
      <c r="E3441" s="130">
        <v>18540906</v>
      </c>
      <c r="F3441" t="s">
        <v>87</v>
      </c>
      <c r="G3441">
        <v>76</v>
      </c>
      <c r="H3441" t="s">
        <v>8952</v>
      </c>
      <c r="I3441" s="131">
        <v>10</v>
      </c>
      <c r="J3441" t="s">
        <v>5065</v>
      </c>
      <c r="K3441" t="s">
        <v>95</v>
      </c>
      <c r="L3441" t="s">
        <v>127</v>
      </c>
      <c r="M3441" t="s">
        <v>103</v>
      </c>
      <c r="N3441" t="s">
        <v>118</v>
      </c>
      <c r="O3441" t="s">
        <v>116</v>
      </c>
    </row>
    <row r="3442" spans="1:15" x14ac:dyDescent="0.3">
      <c r="A3442" s="130">
        <v>19524</v>
      </c>
      <c r="B3442" s="130">
        <v>10</v>
      </c>
      <c r="C3442" s="130" t="s">
        <v>5066</v>
      </c>
      <c r="D3442">
        <v>29467</v>
      </c>
      <c r="E3442" s="130">
        <v>3367118</v>
      </c>
      <c r="F3442" t="s">
        <v>87</v>
      </c>
      <c r="G3442">
        <v>76</v>
      </c>
      <c r="H3442" t="s">
        <v>8953</v>
      </c>
      <c r="I3442" s="130">
        <v>3</v>
      </c>
      <c r="J3442" t="s">
        <v>5066</v>
      </c>
      <c r="K3442" t="s">
        <v>108</v>
      </c>
      <c r="L3442" t="s">
        <v>153</v>
      </c>
      <c r="M3442" t="s">
        <v>133</v>
      </c>
      <c r="N3442" t="s">
        <v>98</v>
      </c>
      <c r="O3442" t="s">
        <v>116</v>
      </c>
    </row>
    <row r="3443" spans="1:15" x14ac:dyDescent="0.3">
      <c r="A3443" s="130">
        <v>19531</v>
      </c>
      <c r="B3443" s="130">
        <v>30</v>
      </c>
      <c r="C3443" s="130" t="s">
        <v>5067</v>
      </c>
      <c r="D3443">
        <v>29479</v>
      </c>
      <c r="E3443" s="131">
        <v>17399602</v>
      </c>
      <c r="F3443" t="s">
        <v>87</v>
      </c>
      <c r="G3443">
        <v>76</v>
      </c>
      <c r="H3443" t="s">
        <v>8951</v>
      </c>
      <c r="I3443" s="130">
        <v>10</v>
      </c>
      <c r="J3443" t="s">
        <v>5067</v>
      </c>
      <c r="K3443" t="s">
        <v>95</v>
      </c>
      <c r="L3443" t="s">
        <v>127</v>
      </c>
      <c r="M3443" t="s">
        <v>103</v>
      </c>
      <c r="N3443" t="s">
        <v>118</v>
      </c>
      <c r="O3443" t="s">
        <v>1345</v>
      </c>
    </row>
    <row r="3444" spans="1:15" x14ac:dyDescent="0.3">
      <c r="A3444" s="130">
        <v>19532</v>
      </c>
      <c r="B3444" s="130">
        <v>30</v>
      </c>
      <c r="C3444" s="130" t="s">
        <v>5068</v>
      </c>
      <c r="D3444">
        <v>29393</v>
      </c>
      <c r="E3444" s="130">
        <v>10279488</v>
      </c>
      <c r="F3444" t="s">
        <v>87</v>
      </c>
      <c r="G3444">
        <v>77</v>
      </c>
      <c r="H3444" t="s">
        <v>8952</v>
      </c>
      <c r="I3444" s="130">
        <v>3</v>
      </c>
      <c r="J3444" t="s">
        <v>5068</v>
      </c>
      <c r="K3444" t="s">
        <v>95</v>
      </c>
      <c r="L3444" t="s">
        <v>235</v>
      </c>
      <c r="M3444" t="s">
        <v>103</v>
      </c>
      <c r="N3444" t="s">
        <v>114</v>
      </c>
      <c r="O3444" t="s">
        <v>116</v>
      </c>
    </row>
    <row r="3445" spans="1:15" x14ac:dyDescent="0.3">
      <c r="A3445" s="130">
        <v>19535</v>
      </c>
      <c r="B3445" s="130">
        <v>30</v>
      </c>
      <c r="C3445" s="130" t="s">
        <v>5069</v>
      </c>
      <c r="D3445">
        <v>29395</v>
      </c>
      <c r="E3445" s="130">
        <v>10279488</v>
      </c>
      <c r="F3445" t="s">
        <v>87</v>
      </c>
      <c r="G3445">
        <v>77</v>
      </c>
      <c r="H3445" t="s">
        <v>8953</v>
      </c>
      <c r="I3445" s="130">
        <v>3</v>
      </c>
      <c r="J3445" t="s">
        <v>5069</v>
      </c>
      <c r="K3445" t="s">
        <v>95</v>
      </c>
      <c r="L3445" t="s">
        <v>235</v>
      </c>
      <c r="M3445" t="s">
        <v>103</v>
      </c>
      <c r="N3445" t="s">
        <v>114</v>
      </c>
      <c r="O3445" t="s">
        <v>116</v>
      </c>
    </row>
    <row r="3446" spans="1:15" x14ac:dyDescent="0.3">
      <c r="A3446" s="130">
        <v>19540</v>
      </c>
      <c r="B3446" s="130">
        <v>30</v>
      </c>
      <c r="C3446" s="130" t="s">
        <v>5070</v>
      </c>
      <c r="D3446">
        <v>29495</v>
      </c>
      <c r="E3446" s="130">
        <v>2617158</v>
      </c>
      <c r="F3446" t="s">
        <v>87</v>
      </c>
      <c r="G3446">
        <v>76</v>
      </c>
      <c r="H3446" t="s">
        <v>8951</v>
      </c>
      <c r="I3446" s="130">
        <v>3</v>
      </c>
      <c r="J3446" t="s">
        <v>5070</v>
      </c>
      <c r="K3446" t="s">
        <v>95</v>
      </c>
      <c r="L3446" t="s">
        <v>111</v>
      </c>
      <c r="M3446" t="s">
        <v>103</v>
      </c>
      <c r="N3446" t="s">
        <v>98</v>
      </c>
      <c r="O3446" t="s">
        <v>1345</v>
      </c>
    </row>
    <row r="3447" spans="1:15" x14ac:dyDescent="0.3">
      <c r="A3447" s="130">
        <v>19541</v>
      </c>
      <c r="B3447" s="130">
        <v>35</v>
      </c>
      <c r="C3447" s="130" t="s">
        <v>5071</v>
      </c>
      <c r="D3447">
        <v>29496</v>
      </c>
      <c r="E3447" s="130">
        <v>34692778</v>
      </c>
      <c r="F3447" t="s">
        <v>87</v>
      </c>
      <c r="G3447">
        <v>77</v>
      </c>
      <c r="H3447" t="s">
        <v>8952</v>
      </c>
      <c r="I3447" s="131">
        <v>18</v>
      </c>
      <c r="J3447" t="s">
        <v>5071</v>
      </c>
      <c r="K3447" t="s">
        <v>95</v>
      </c>
      <c r="L3447" t="s">
        <v>256</v>
      </c>
      <c r="M3447" t="s">
        <v>161</v>
      </c>
      <c r="N3447" t="s">
        <v>98</v>
      </c>
      <c r="O3447" t="s">
        <v>116</v>
      </c>
    </row>
    <row r="3448" spans="1:15" x14ac:dyDescent="0.3">
      <c r="A3448" s="130">
        <v>19543</v>
      </c>
      <c r="B3448" s="130">
        <v>30</v>
      </c>
      <c r="C3448" s="130" t="s">
        <v>5072</v>
      </c>
      <c r="D3448">
        <v>29500</v>
      </c>
      <c r="E3448" s="130">
        <v>14994472</v>
      </c>
      <c r="F3448" t="s">
        <v>87</v>
      </c>
      <c r="G3448">
        <v>76</v>
      </c>
      <c r="H3448" t="s">
        <v>8953</v>
      </c>
      <c r="I3448" s="130">
        <v>19</v>
      </c>
      <c r="J3448" t="s">
        <v>5072</v>
      </c>
      <c r="K3448" t="s">
        <v>108</v>
      </c>
      <c r="L3448" t="s">
        <v>146</v>
      </c>
      <c r="M3448" t="s">
        <v>103</v>
      </c>
      <c r="N3448" t="s">
        <v>124</v>
      </c>
      <c r="O3448" t="s">
        <v>116</v>
      </c>
    </row>
    <row r="3449" spans="1:15" x14ac:dyDescent="0.3">
      <c r="A3449" s="130">
        <v>19555</v>
      </c>
      <c r="B3449" s="130">
        <v>30</v>
      </c>
      <c r="C3449" s="130" t="s">
        <v>5073</v>
      </c>
      <c r="D3449">
        <v>29516</v>
      </c>
      <c r="E3449" s="130">
        <v>17193590</v>
      </c>
      <c r="F3449" t="s">
        <v>87</v>
      </c>
      <c r="G3449">
        <v>76</v>
      </c>
      <c r="H3449" t="s">
        <v>8951</v>
      </c>
      <c r="I3449" s="130">
        <v>3</v>
      </c>
      <c r="J3449" t="s">
        <v>5073</v>
      </c>
      <c r="K3449" t="s">
        <v>95</v>
      </c>
      <c r="L3449" t="s">
        <v>1293</v>
      </c>
      <c r="M3449" t="s">
        <v>103</v>
      </c>
      <c r="N3449" t="s">
        <v>98</v>
      </c>
      <c r="O3449" t="s">
        <v>116</v>
      </c>
    </row>
    <row r="3450" spans="1:15" x14ac:dyDescent="0.3">
      <c r="A3450" s="130">
        <v>19563</v>
      </c>
      <c r="B3450" s="130">
        <v>18</v>
      </c>
      <c r="C3450" s="130" t="s">
        <v>5074</v>
      </c>
      <c r="D3450">
        <v>29526</v>
      </c>
      <c r="E3450" s="131">
        <v>5025210</v>
      </c>
      <c r="F3450" t="s">
        <v>87</v>
      </c>
      <c r="G3450">
        <v>76</v>
      </c>
      <c r="H3450" t="s">
        <v>8952</v>
      </c>
      <c r="I3450" s="130">
        <v>10</v>
      </c>
      <c r="J3450" t="s">
        <v>5074</v>
      </c>
      <c r="K3450" t="s">
        <v>95</v>
      </c>
      <c r="L3450" t="s">
        <v>127</v>
      </c>
      <c r="M3450" t="s">
        <v>112</v>
      </c>
      <c r="N3450" t="s">
        <v>118</v>
      </c>
      <c r="O3450" t="s">
        <v>1345</v>
      </c>
    </row>
    <row r="3451" spans="1:15" x14ac:dyDescent="0.3">
      <c r="A3451" s="130">
        <v>19569</v>
      </c>
      <c r="B3451" s="130">
        <v>30</v>
      </c>
      <c r="C3451" s="130" t="s">
        <v>5075</v>
      </c>
      <c r="D3451">
        <v>29531</v>
      </c>
      <c r="E3451" s="130">
        <v>48343981</v>
      </c>
      <c r="F3451" t="s">
        <v>87</v>
      </c>
      <c r="G3451">
        <v>76</v>
      </c>
      <c r="H3451" t="s">
        <v>8953</v>
      </c>
      <c r="I3451" s="130">
        <v>3</v>
      </c>
      <c r="J3451" t="s">
        <v>5075</v>
      </c>
      <c r="K3451" t="s">
        <v>95</v>
      </c>
      <c r="L3451" t="s">
        <v>111</v>
      </c>
      <c r="M3451" t="s">
        <v>103</v>
      </c>
      <c r="N3451" t="s">
        <v>98</v>
      </c>
      <c r="O3451" t="s">
        <v>116</v>
      </c>
    </row>
    <row r="3452" spans="1:15" x14ac:dyDescent="0.3">
      <c r="A3452" s="130">
        <v>19591</v>
      </c>
      <c r="B3452" s="130">
        <v>45</v>
      </c>
      <c r="C3452" s="130" t="s">
        <v>5076</v>
      </c>
      <c r="D3452">
        <v>29570</v>
      </c>
      <c r="E3452" s="130">
        <v>28789998</v>
      </c>
      <c r="F3452" t="s">
        <v>87</v>
      </c>
      <c r="G3452">
        <v>76</v>
      </c>
      <c r="H3452" t="s">
        <v>8951</v>
      </c>
      <c r="I3452" s="131">
        <v>18</v>
      </c>
      <c r="J3452" t="s">
        <v>5076</v>
      </c>
      <c r="K3452" t="s">
        <v>95</v>
      </c>
      <c r="L3452" t="s">
        <v>120</v>
      </c>
      <c r="M3452" t="s">
        <v>106</v>
      </c>
      <c r="N3452" t="s">
        <v>114</v>
      </c>
      <c r="O3452" t="s">
        <v>1345</v>
      </c>
    </row>
    <row r="3453" spans="1:15" x14ac:dyDescent="0.3">
      <c r="A3453" s="130">
        <v>19599</v>
      </c>
      <c r="B3453" s="130">
        <v>30</v>
      </c>
      <c r="C3453" s="130" t="s">
        <v>5077</v>
      </c>
      <c r="D3453">
        <v>29584</v>
      </c>
      <c r="E3453" s="130">
        <v>2617158</v>
      </c>
      <c r="F3453" t="s">
        <v>87</v>
      </c>
      <c r="G3453">
        <v>76</v>
      </c>
      <c r="H3453" t="s">
        <v>8952</v>
      </c>
      <c r="I3453" s="130">
        <v>3</v>
      </c>
      <c r="J3453" t="s">
        <v>5077</v>
      </c>
      <c r="K3453" t="s">
        <v>95</v>
      </c>
      <c r="L3453" t="s">
        <v>111</v>
      </c>
      <c r="M3453" t="s">
        <v>103</v>
      </c>
      <c r="N3453" t="s">
        <v>98</v>
      </c>
      <c r="O3453" t="s">
        <v>1345</v>
      </c>
    </row>
    <row r="3454" spans="1:15" x14ac:dyDescent="0.3">
      <c r="A3454" s="130">
        <v>19614</v>
      </c>
      <c r="B3454" s="130">
        <v>30</v>
      </c>
      <c r="C3454" s="130" t="s">
        <v>5078</v>
      </c>
      <c r="D3454">
        <v>29604</v>
      </c>
      <c r="E3454" s="131">
        <v>21048323</v>
      </c>
      <c r="F3454" t="s">
        <v>87</v>
      </c>
      <c r="G3454">
        <v>76</v>
      </c>
      <c r="H3454" t="s">
        <v>8953</v>
      </c>
      <c r="I3454" s="130">
        <v>9</v>
      </c>
      <c r="J3454" t="s">
        <v>5078</v>
      </c>
      <c r="K3454" t="s">
        <v>95</v>
      </c>
      <c r="L3454" t="s">
        <v>163</v>
      </c>
      <c r="M3454" t="s">
        <v>103</v>
      </c>
      <c r="N3454" t="s">
        <v>122</v>
      </c>
      <c r="O3454" t="s">
        <v>116</v>
      </c>
    </row>
    <row r="3455" spans="1:15" x14ac:dyDescent="0.3">
      <c r="A3455" s="130">
        <v>19628</v>
      </c>
      <c r="B3455" s="130">
        <v>18</v>
      </c>
      <c r="C3455" s="130" t="s">
        <v>5079</v>
      </c>
      <c r="D3455">
        <v>29631</v>
      </c>
      <c r="E3455" s="130">
        <v>34209835</v>
      </c>
      <c r="F3455" t="s">
        <v>87</v>
      </c>
      <c r="G3455">
        <v>76</v>
      </c>
      <c r="H3455" t="s">
        <v>8951</v>
      </c>
      <c r="I3455" s="130">
        <v>3</v>
      </c>
      <c r="J3455" t="s">
        <v>5079</v>
      </c>
      <c r="K3455" t="s">
        <v>95</v>
      </c>
      <c r="L3455" t="s">
        <v>102</v>
      </c>
      <c r="M3455" t="s">
        <v>112</v>
      </c>
      <c r="N3455" t="s">
        <v>98</v>
      </c>
      <c r="O3455" t="s">
        <v>116</v>
      </c>
    </row>
    <row r="3456" spans="1:15" x14ac:dyDescent="0.3">
      <c r="A3456" s="130">
        <v>19629</v>
      </c>
      <c r="B3456" s="130">
        <v>18</v>
      </c>
      <c r="C3456" s="130" t="s">
        <v>5080</v>
      </c>
      <c r="D3456">
        <v>29633</v>
      </c>
      <c r="E3456" s="130">
        <v>34209835</v>
      </c>
      <c r="F3456" t="s">
        <v>87</v>
      </c>
      <c r="G3456">
        <v>76</v>
      </c>
      <c r="H3456" t="s">
        <v>8952</v>
      </c>
      <c r="I3456" s="130">
        <v>10</v>
      </c>
      <c r="J3456" t="s">
        <v>5080</v>
      </c>
      <c r="K3456" t="s">
        <v>95</v>
      </c>
      <c r="L3456" t="s">
        <v>102</v>
      </c>
      <c r="M3456" t="s">
        <v>112</v>
      </c>
      <c r="N3456" t="s">
        <v>98</v>
      </c>
      <c r="O3456" t="s">
        <v>116</v>
      </c>
    </row>
    <row r="3457" spans="1:15" x14ac:dyDescent="0.3">
      <c r="A3457" s="130">
        <v>19632</v>
      </c>
      <c r="B3457" s="130">
        <v>18</v>
      </c>
      <c r="C3457" s="130" t="s">
        <v>5081</v>
      </c>
      <c r="D3457">
        <v>29635</v>
      </c>
      <c r="E3457" s="131">
        <v>33360733</v>
      </c>
      <c r="F3457" t="s">
        <v>87</v>
      </c>
      <c r="G3457">
        <v>76</v>
      </c>
      <c r="H3457" t="s">
        <v>8953</v>
      </c>
      <c r="I3457" s="130">
        <v>37</v>
      </c>
      <c r="J3457" t="s">
        <v>5081</v>
      </c>
      <c r="K3457" t="s">
        <v>108</v>
      </c>
      <c r="L3457" t="s">
        <v>138</v>
      </c>
      <c r="M3457" t="s">
        <v>112</v>
      </c>
      <c r="N3457" t="s">
        <v>150</v>
      </c>
      <c r="O3457" t="s">
        <v>1345</v>
      </c>
    </row>
    <row r="3458" spans="1:15" x14ac:dyDescent="0.3">
      <c r="A3458" s="130">
        <v>19635</v>
      </c>
      <c r="B3458" s="130">
        <v>90</v>
      </c>
      <c r="C3458" s="130" t="s">
        <v>5082</v>
      </c>
      <c r="D3458">
        <v>29369</v>
      </c>
      <c r="E3458" s="130">
        <v>28403532</v>
      </c>
      <c r="F3458" t="s">
        <v>87</v>
      </c>
      <c r="G3458">
        <v>358</v>
      </c>
      <c r="H3458" t="s">
        <v>8951</v>
      </c>
      <c r="I3458" s="130">
        <v>37</v>
      </c>
      <c r="J3458" t="s">
        <v>5082</v>
      </c>
      <c r="K3458" t="s">
        <v>95</v>
      </c>
      <c r="L3458" t="s">
        <v>193</v>
      </c>
      <c r="M3458" t="s">
        <v>170</v>
      </c>
      <c r="N3458" t="s">
        <v>98</v>
      </c>
      <c r="O3458" t="s">
        <v>116</v>
      </c>
    </row>
    <row r="3459" spans="1:15" x14ac:dyDescent="0.3">
      <c r="A3459" s="130">
        <v>19637</v>
      </c>
      <c r="B3459" s="130">
        <v>30</v>
      </c>
      <c r="C3459" s="130" t="s">
        <v>5083</v>
      </c>
      <c r="D3459">
        <v>29655</v>
      </c>
      <c r="E3459" s="130">
        <v>34562112</v>
      </c>
      <c r="F3459" t="s">
        <v>87</v>
      </c>
      <c r="G3459">
        <v>76</v>
      </c>
      <c r="H3459" t="s">
        <v>8952</v>
      </c>
      <c r="I3459" s="130">
        <v>24</v>
      </c>
      <c r="J3459" t="s">
        <v>5083</v>
      </c>
      <c r="K3459" t="s">
        <v>95</v>
      </c>
      <c r="L3459" t="s">
        <v>191</v>
      </c>
      <c r="M3459" t="s">
        <v>103</v>
      </c>
      <c r="N3459" t="s">
        <v>107</v>
      </c>
      <c r="O3459" t="s">
        <v>116</v>
      </c>
    </row>
    <row r="3460" spans="1:15" x14ac:dyDescent="0.3">
      <c r="A3460" s="130">
        <v>19639</v>
      </c>
      <c r="B3460" s="131">
        <v>60</v>
      </c>
      <c r="C3460" s="130" t="s">
        <v>5084</v>
      </c>
      <c r="D3460">
        <v>29659</v>
      </c>
      <c r="E3460" s="130">
        <v>17185786</v>
      </c>
      <c r="F3460" t="s">
        <v>87</v>
      </c>
      <c r="G3460">
        <v>76</v>
      </c>
      <c r="H3460" t="s">
        <v>8953</v>
      </c>
      <c r="I3460" s="130">
        <v>3</v>
      </c>
      <c r="J3460" t="s">
        <v>5084</v>
      </c>
      <c r="K3460" t="s">
        <v>95</v>
      </c>
      <c r="L3460" t="s">
        <v>109</v>
      </c>
      <c r="M3460" t="s">
        <v>97</v>
      </c>
      <c r="N3460" t="s">
        <v>98</v>
      </c>
      <c r="O3460" t="s">
        <v>1345</v>
      </c>
    </row>
    <row r="3461" spans="1:15" x14ac:dyDescent="0.3">
      <c r="A3461" s="130">
        <v>19649</v>
      </c>
      <c r="B3461" s="130">
        <v>10</v>
      </c>
      <c r="C3461" s="130" t="s">
        <v>5085</v>
      </c>
      <c r="D3461">
        <v>29667</v>
      </c>
      <c r="E3461" s="130">
        <v>439965</v>
      </c>
      <c r="F3461" t="s">
        <v>87</v>
      </c>
      <c r="G3461">
        <v>358</v>
      </c>
      <c r="H3461" t="s">
        <v>8951</v>
      </c>
      <c r="I3461" s="130">
        <v>18</v>
      </c>
      <c r="J3461" t="s">
        <v>5085</v>
      </c>
      <c r="K3461" t="s">
        <v>108</v>
      </c>
      <c r="L3461" t="s">
        <v>193</v>
      </c>
      <c r="M3461" t="s">
        <v>133</v>
      </c>
      <c r="N3461" t="s">
        <v>98</v>
      </c>
      <c r="O3461" t="s">
        <v>116</v>
      </c>
    </row>
    <row r="3462" spans="1:15" x14ac:dyDescent="0.3">
      <c r="A3462" s="130">
        <v>19669</v>
      </c>
      <c r="C3462" s="130" t="s">
        <v>5086</v>
      </c>
      <c r="D3462">
        <v>27668</v>
      </c>
      <c r="E3462" s="130">
        <v>16921603</v>
      </c>
      <c r="F3462" t="s">
        <v>87</v>
      </c>
      <c r="G3462">
        <v>77</v>
      </c>
      <c r="H3462" t="s">
        <v>8952</v>
      </c>
      <c r="I3462" s="131">
        <v>14</v>
      </c>
      <c r="J3462" t="s">
        <v>5086</v>
      </c>
      <c r="K3462" t="s">
        <v>95</v>
      </c>
      <c r="L3462" t="s">
        <v>235</v>
      </c>
      <c r="N3462" t="s">
        <v>121</v>
      </c>
      <c r="O3462" t="s">
        <v>1256</v>
      </c>
    </row>
    <row r="3463" spans="1:15" x14ac:dyDescent="0.3">
      <c r="A3463" s="130">
        <v>19673</v>
      </c>
      <c r="B3463" s="130">
        <v>10</v>
      </c>
      <c r="C3463" s="130" t="s">
        <v>5087</v>
      </c>
      <c r="D3463">
        <v>29701</v>
      </c>
      <c r="E3463" s="130">
        <v>13237467</v>
      </c>
      <c r="F3463" t="s">
        <v>87</v>
      </c>
      <c r="G3463">
        <v>76</v>
      </c>
      <c r="H3463" t="s">
        <v>8953</v>
      </c>
      <c r="I3463" s="130">
        <v>9</v>
      </c>
      <c r="J3463" t="s">
        <v>5087</v>
      </c>
      <c r="K3463" t="s">
        <v>95</v>
      </c>
      <c r="L3463" t="s">
        <v>181</v>
      </c>
      <c r="M3463" t="s">
        <v>133</v>
      </c>
      <c r="N3463" t="s">
        <v>98</v>
      </c>
      <c r="O3463" t="s">
        <v>116</v>
      </c>
    </row>
    <row r="3464" spans="1:15" x14ac:dyDescent="0.3">
      <c r="A3464" s="130">
        <v>19684</v>
      </c>
      <c r="B3464" s="130">
        <v>30</v>
      </c>
      <c r="C3464" s="130" t="s">
        <v>5088</v>
      </c>
      <c r="D3464">
        <v>29718</v>
      </c>
      <c r="E3464" s="130">
        <v>18593815</v>
      </c>
      <c r="F3464" t="s">
        <v>87</v>
      </c>
      <c r="G3464">
        <v>76</v>
      </c>
      <c r="H3464" t="s">
        <v>8951</v>
      </c>
      <c r="I3464" s="130">
        <v>24</v>
      </c>
      <c r="J3464" t="s">
        <v>5088</v>
      </c>
      <c r="K3464" t="s">
        <v>108</v>
      </c>
      <c r="L3464" t="s">
        <v>191</v>
      </c>
      <c r="M3464" t="s">
        <v>103</v>
      </c>
      <c r="N3464" t="s">
        <v>98</v>
      </c>
      <c r="O3464" t="s">
        <v>1345</v>
      </c>
    </row>
    <row r="3465" spans="1:15" x14ac:dyDescent="0.3">
      <c r="A3465" s="130">
        <v>19696</v>
      </c>
      <c r="B3465" s="130">
        <v>18</v>
      </c>
      <c r="C3465" s="130" t="s">
        <v>5089</v>
      </c>
      <c r="D3465">
        <v>29740</v>
      </c>
      <c r="E3465" s="130">
        <v>38090597</v>
      </c>
      <c r="F3465" t="s">
        <v>87</v>
      </c>
      <c r="G3465">
        <v>76</v>
      </c>
      <c r="H3465" t="s">
        <v>8952</v>
      </c>
      <c r="I3465" s="130">
        <v>9</v>
      </c>
      <c r="J3465" t="s">
        <v>5089</v>
      </c>
      <c r="K3465" t="s">
        <v>108</v>
      </c>
      <c r="L3465" t="s">
        <v>163</v>
      </c>
      <c r="M3465" t="s">
        <v>112</v>
      </c>
      <c r="N3465" t="s">
        <v>101</v>
      </c>
      <c r="O3465" t="s">
        <v>1345</v>
      </c>
    </row>
    <row r="3466" spans="1:15" x14ac:dyDescent="0.3">
      <c r="A3466" s="130">
        <v>19701</v>
      </c>
      <c r="B3466" s="130">
        <v>18</v>
      </c>
      <c r="C3466" s="130" t="s">
        <v>5090</v>
      </c>
      <c r="D3466">
        <v>29746</v>
      </c>
      <c r="E3466" s="131">
        <v>21854112</v>
      </c>
      <c r="F3466" t="s">
        <v>87</v>
      </c>
      <c r="G3466">
        <v>76</v>
      </c>
      <c r="H3466" t="s">
        <v>8953</v>
      </c>
      <c r="I3466" s="131">
        <v>3</v>
      </c>
      <c r="J3466" t="s">
        <v>5090</v>
      </c>
      <c r="K3466" t="s">
        <v>108</v>
      </c>
      <c r="L3466" t="s">
        <v>111</v>
      </c>
      <c r="M3466" t="s">
        <v>112</v>
      </c>
      <c r="N3466" t="s">
        <v>152</v>
      </c>
      <c r="O3466" t="s">
        <v>1345</v>
      </c>
    </row>
    <row r="3467" spans="1:15" x14ac:dyDescent="0.3">
      <c r="A3467" s="130">
        <v>19702</v>
      </c>
      <c r="B3467" s="130">
        <v>-1</v>
      </c>
      <c r="C3467" s="130" t="s">
        <v>5091</v>
      </c>
      <c r="D3467">
        <v>29749</v>
      </c>
      <c r="E3467" s="130">
        <v>6007189</v>
      </c>
      <c r="F3467" t="s">
        <v>87</v>
      </c>
      <c r="G3467">
        <v>76</v>
      </c>
      <c r="H3467" t="s">
        <v>8951</v>
      </c>
      <c r="I3467" s="130">
        <v>18</v>
      </c>
      <c r="J3467" t="s">
        <v>5091</v>
      </c>
      <c r="K3467" t="s">
        <v>108</v>
      </c>
      <c r="L3467" t="s">
        <v>1293</v>
      </c>
      <c r="M3467" t="s">
        <v>174</v>
      </c>
      <c r="N3467" t="s">
        <v>98</v>
      </c>
      <c r="O3467" t="s">
        <v>116</v>
      </c>
    </row>
    <row r="3468" spans="1:15" x14ac:dyDescent="0.3">
      <c r="A3468" s="130">
        <v>19718</v>
      </c>
      <c r="B3468" s="130">
        <v>30</v>
      </c>
      <c r="C3468" s="130" t="s">
        <v>5092</v>
      </c>
      <c r="D3468">
        <v>29765</v>
      </c>
      <c r="E3468" s="130">
        <v>3672857</v>
      </c>
      <c r="F3468" t="s">
        <v>87</v>
      </c>
      <c r="G3468">
        <v>76</v>
      </c>
      <c r="H3468" t="s">
        <v>8952</v>
      </c>
      <c r="I3468" s="130">
        <v>10</v>
      </c>
      <c r="J3468" t="s">
        <v>5092</v>
      </c>
      <c r="K3468" t="s">
        <v>95</v>
      </c>
      <c r="L3468" t="s">
        <v>127</v>
      </c>
      <c r="M3468" t="s">
        <v>103</v>
      </c>
      <c r="N3468" t="s">
        <v>118</v>
      </c>
      <c r="O3468" t="s">
        <v>1345</v>
      </c>
    </row>
    <row r="3469" spans="1:15" x14ac:dyDescent="0.3">
      <c r="A3469" s="130">
        <v>19727</v>
      </c>
      <c r="B3469" s="130">
        <v>30</v>
      </c>
      <c r="C3469" s="130" t="s">
        <v>5093</v>
      </c>
      <c r="D3469">
        <v>29794</v>
      </c>
      <c r="E3469" s="131">
        <v>41759096</v>
      </c>
      <c r="F3469" t="s">
        <v>87</v>
      </c>
      <c r="G3469">
        <v>76</v>
      </c>
      <c r="H3469" t="s">
        <v>8953</v>
      </c>
      <c r="I3469" s="131">
        <v>43</v>
      </c>
      <c r="J3469" t="s">
        <v>5093</v>
      </c>
      <c r="K3469" t="s">
        <v>95</v>
      </c>
      <c r="L3469" t="s">
        <v>1368</v>
      </c>
      <c r="M3469" t="s">
        <v>103</v>
      </c>
      <c r="N3469" t="s">
        <v>122</v>
      </c>
      <c r="O3469" t="s">
        <v>116</v>
      </c>
    </row>
    <row r="3470" spans="1:15" x14ac:dyDescent="0.3">
      <c r="A3470" s="130">
        <v>19743</v>
      </c>
      <c r="B3470" s="130">
        <v>30</v>
      </c>
      <c r="C3470" s="130" t="s">
        <v>5094</v>
      </c>
      <c r="D3470">
        <v>29807</v>
      </c>
      <c r="E3470" s="130">
        <v>19396169</v>
      </c>
      <c r="F3470" t="s">
        <v>87</v>
      </c>
      <c r="G3470">
        <v>76</v>
      </c>
      <c r="H3470" t="s">
        <v>8951</v>
      </c>
      <c r="I3470" s="130">
        <v>18</v>
      </c>
      <c r="J3470" t="s">
        <v>5094</v>
      </c>
      <c r="K3470" t="s">
        <v>108</v>
      </c>
      <c r="L3470" t="s">
        <v>123</v>
      </c>
      <c r="M3470" t="s">
        <v>103</v>
      </c>
      <c r="N3470" t="s">
        <v>98</v>
      </c>
      <c r="O3470" t="s">
        <v>1345</v>
      </c>
    </row>
    <row r="3471" spans="1:15" x14ac:dyDescent="0.3">
      <c r="A3471" s="130">
        <v>19775</v>
      </c>
      <c r="B3471" s="130">
        <v>30</v>
      </c>
      <c r="C3471" s="130" t="s">
        <v>5095</v>
      </c>
      <c r="D3471">
        <v>29863</v>
      </c>
      <c r="E3471" s="130">
        <v>17297516</v>
      </c>
      <c r="F3471" t="s">
        <v>87</v>
      </c>
      <c r="G3471">
        <v>76</v>
      </c>
      <c r="H3471" t="s">
        <v>8952</v>
      </c>
      <c r="I3471" s="130">
        <v>3</v>
      </c>
      <c r="J3471" t="s">
        <v>5095</v>
      </c>
      <c r="K3471" t="s">
        <v>95</v>
      </c>
      <c r="L3471" t="s">
        <v>111</v>
      </c>
      <c r="M3471" t="s">
        <v>103</v>
      </c>
      <c r="N3471" t="s">
        <v>98</v>
      </c>
      <c r="O3471" t="s">
        <v>1345</v>
      </c>
    </row>
    <row r="3472" spans="1:15" x14ac:dyDescent="0.3">
      <c r="A3472" s="130">
        <v>19776</v>
      </c>
      <c r="B3472" s="130">
        <v>18</v>
      </c>
      <c r="C3472" s="130" t="s">
        <v>5096</v>
      </c>
      <c r="D3472">
        <v>29864</v>
      </c>
      <c r="E3472" s="131">
        <v>19727473</v>
      </c>
      <c r="F3472" t="s">
        <v>87</v>
      </c>
      <c r="G3472">
        <v>76</v>
      </c>
      <c r="H3472" t="s">
        <v>8953</v>
      </c>
      <c r="I3472" s="130">
        <v>3</v>
      </c>
      <c r="J3472" t="s">
        <v>5096</v>
      </c>
      <c r="K3472" t="s">
        <v>108</v>
      </c>
      <c r="L3472" t="s">
        <v>111</v>
      </c>
      <c r="M3472" t="s">
        <v>112</v>
      </c>
      <c r="N3472" t="s">
        <v>98</v>
      </c>
      <c r="O3472" t="s">
        <v>116</v>
      </c>
    </row>
    <row r="3473" spans="1:15" x14ac:dyDescent="0.3">
      <c r="A3473" s="130">
        <v>19780</v>
      </c>
      <c r="B3473" s="130">
        <v>30</v>
      </c>
      <c r="C3473" s="130" t="s">
        <v>5097</v>
      </c>
      <c r="D3473">
        <v>29869</v>
      </c>
      <c r="E3473" s="131">
        <v>1606606</v>
      </c>
      <c r="F3473" t="s">
        <v>87</v>
      </c>
      <c r="G3473">
        <v>76</v>
      </c>
      <c r="H3473" t="s">
        <v>8951</v>
      </c>
      <c r="I3473" s="131">
        <v>18</v>
      </c>
      <c r="J3473" t="s">
        <v>5097</v>
      </c>
      <c r="K3473" t="s">
        <v>108</v>
      </c>
      <c r="L3473" t="s">
        <v>123</v>
      </c>
      <c r="M3473" t="s">
        <v>103</v>
      </c>
      <c r="N3473" t="s">
        <v>162</v>
      </c>
      <c r="O3473" t="s">
        <v>116</v>
      </c>
    </row>
    <row r="3474" spans="1:15" x14ac:dyDescent="0.3">
      <c r="A3474" s="130">
        <v>19785</v>
      </c>
      <c r="B3474" s="130">
        <v>28</v>
      </c>
      <c r="C3474" s="130" t="s">
        <v>5098</v>
      </c>
      <c r="D3474">
        <v>29876</v>
      </c>
      <c r="E3474" s="131">
        <v>7959171</v>
      </c>
      <c r="F3474" t="s">
        <v>87</v>
      </c>
      <c r="G3474">
        <v>76</v>
      </c>
      <c r="H3474" t="s">
        <v>8952</v>
      </c>
      <c r="I3474" s="130">
        <v>24</v>
      </c>
      <c r="J3474" t="s">
        <v>5098</v>
      </c>
      <c r="K3474" t="s">
        <v>95</v>
      </c>
      <c r="L3474" t="s">
        <v>191</v>
      </c>
      <c r="M3474" t="s">
        <v>130</v>
      </c>
      <c r="N3474" t="s">
        <v>98</v>
      </c>
      <c r="O3474" t="s">
        <v>1345</v>
      </c>
    </row>
    <row r="3475" spans="1:15" x14ac:dyDescent="0.3">
      <c r="A3475" s="130">
        <v>19787</v>
      </c>
      <c r="B3475" s="130">
        <v>30</v>
      </c>
      <c r="C3475" s="130" t="s">
        <v>5099</v>
      </c>
      <c r="D3475">
        <v>29879</v>
      </c>
      <c r="E3475" s="130">
        <v>7522191</v>
      </c>
      <c r="F3475" t="s">
        <v>87</v>
      </c>
      <c r="G3475">
        <v>76</v>
      </c>
      <c r="H3475" t="s">
        <v>8953</v>
      </c>
      <c r="I3475" s="130">
        <v>43</v>
      </c>
      <c r="J3475" t="s">
        <v>5099</v>
      </c>
      <c r="K3475" t="s">
        <v>95</v>
      </c>
      <c r="L3475" t="s">
        <v>111</v>
      </c>
      <c r="M3475" t="s">
        <v>103</v>
      </c>
      <c r="N3475" t="s">
        <v>98</v>
      </c>
      <c r="O3475" t="s">
        <v>116</v>
      </c>
    </row>
    <row r="3476" spans="1:15" x14ac:dyDescent="0.3">
      <c r="A3476" s="130">
        <v>19789</v>
      </c>
      <c r="B3476" s="130">
        <v>30</v>
      </c>
      <c r="C3476" s="130" t="s">
        <v>5100</v>
      </c>
      <c r="D3476">
        <v>29887</v>
      </c>
      <c r="E3476" s="131">
        <v>388601</v>
      </c>
      <c r="F3476" t="s">
        <v>87</v>
      </c>
      <c r="G3476">
        <v>76</v>
      </c>
      <c r="H3476" t="s">
        <v>8951</v>
      </c>
      <c r="I3476" s="130">
        <v>18</v>
      </c>
      <c r="J3476" t="s">
        <v>5100</v>
      </c>
      <c r="K3476" t="s">
        <v>108</v>
      </c>
      <c r="L3476" t="s">
        <v>123</v>
      </c>
      <c r="M3476" t="s">
        <v>103</v>
      </c>
      <c r="N3476" t="s">
        <v>98</v>
      </c>
      <c r="O3476" t="s">
        <v>1345</v>
      </c>
    </row>
    <row r="3477" spans="1:15" x14ac:dyDescent="0.3">
      <c r="A3477" s="130">
        <v>19790</v>
      </c>
      <c r="B3477" s="130">
        <v>21</v>
      </c>
      <c r="C3477" s="130" t="s">
        <v>5101</v>
      </c>
      <c r="D3477">
        <v>29890</v>
      </c>
      <c r="E3477" s="130">
        <v>47769120</v>
      </c>
      <c r="F3477" t="s">
        <v>87</v>
      </c>
      <c r="G3477">
        <v>76</v>
      </c>
      <c r="H3477" t="s">
        <v>8952</v>
      </c>
      <c r="I3477" s="130">
        <v>24</v>
      </c>
      <c r="J3477" t="s">
        <v>5101</v>
      </c>
      <c r="K3477" t="s">
        <v>108</v>
      </c>
      <c r="L3477" t="s">
        <v>240</v>
      </c>
      <c r="M3477" t="s">
        <v>137</v>
      </c>
      <c r="N3477" t="s">
        <v>98</v>
      </c>
      <c r="O3477" t="s">
        <v>1345</v>
      </c>
    </row>
    <row r="3478" spans="1:15" x14ac:dyDescent="0.3">
      <c r="A3478" s="130">
        <v>19800</v>
      </c>
      <c r="B3478" s="130">
        <v>28</v>
      </c>
      <c r="C3478" s="130" t="s">
        <v>5102</v>
      </c>
      <c r="D3478">
        <v>29907</v>
      </c>
      <c r="E3478" s="131">
        <v>21658572</v>
      </c>
      <c r="F3478" t="s">
        <v>87</v>
      </c>
      <c r="G3478">
        <v>76</v>
      </c>
      <c r="H3478" t="s">
        <v>8953</v>
      </c>
      <c r="I3478" s="130">
        <v>43</v>
      </c>
      <c r="J3478" t="s">
        <v>5102</v>
      </c>
      <c r="K3478" t="s">
        <v>108</v>
      </c>
      <c r="L3478" t="s">
        <v>1368</v>
      </c>
      <c r="M3478" t="s">
        <v>130</v>
      </c>
      <c r="N3478" t="s">
        <v>98</v>
      </c>
      <c r="O3478" t="s">
        <v>116</v>
      </c>
    </row>
    <row r="3479" spans="1:15" x14ac:dyDescent="0.3">
      <c r="A3479" s="130">
        <v>19802</v>
      </c>
      <c r="B3479" s="130">
        <v>30</v>
      </c>
      <c r="C3479" s="130" t="s">
        <v>5103</v>
      </c>
      <c r="D3479">
        <v>29913</v>
      </c>
      <c r="E3479" s="130">
        <v>17742033</v>
      </c>
      <c r="F3479" t="s">
        <v>87</v>
      </c>
      <c r="G3479">
        <v>76</v>
      </c>
      <c r="H3479" t="s">
        <v>8951</v>
      </c>
      <c r="I3479" s="130">
        <v>3</v>
      </c>
      <c r="J3479" t="s">
        <v>5103</v>
      </c>
      <c r="K3479" t="s">
        <v>108</v>
      </c>
      <c r="L3479" t="s">
        <v>111</v>
      </c>
      <c r="M3479" t="s">
        <v>103</v>
      </c>
      <c r="N3479" t="s">
        <v>98</v>
      </c>
      <c r="O3479" t="s">
        <v>116</v>
      </c>
    </row>
    <row r="3480" spans="1:15" x14ac:dyDescent="0.3">
      <c r="A3480" s="130">
        <v>19806</v>
      </c>
      <c r="B3480" s="130">
        <v>30</v>
      </c>
      <c r="C3480" s="130" t="s">
        <v>5104</v>
      </c>
      <c r="D3480">
        <v>29922</v>
      </c>
      <c r="E3480" s="130">
        <v>19894985</v>
      </c>
      <c r="F3480" t="s">
        <v>87</v>
      </c>
      <c r="G3480">
        <v>76</v>
      </c>
      <c r="H3480" t="s">
        <v>8952</v>
      </c>
      <c r="I3480" s="131">
        <v>19</v>
      </c>
      <c r="J3480" t="s">
        <v>5104</v>
      </c>
      <c r="K3480" t="s">
        <v>95</v>
      </c>
      <c r="L3480" t="s">
        <v>146</v>
      </c>
      <c r="M3480" t="s">
        <v>103</v>
      </c>
      <c r="N3480" t="s">
        <v>124</v>
      </c>
      <c r="O3480" t="s">
        <v>116</v>
      </c>
    </row>
    <row r="3481" spans="1:15" x14ac:dyDescent="0.3">
      <c r="A3481" s="130">
        <v>19813</v>
      </c>
      <c r="B3481" s="130">
        <v>30</v>
      </c>
      <c r="C3481" s="130" t="s">
        <v>5105</v>
      </c>
      <c r="D3481">
        <v>29930</v>
      </c>
      <c r="E3481" s="131">
        <v>50086453</v>
      </c>
      <c r="F3481" t="s">
        <v>87</v>
      </c>
      <c r="G3481">
        <v>76</v>
      </c>
      <c r="H3481" t="s">
        <v>8953</v>
      </c>
      <c r="I3481" s="130">
        <v>18</v>
      </c>
      <c r="J3481" t="s">
        <v>5105</v>
      </c>
      <c r="K3481" t="s">
        <v>108</v>
      </c>
      <c r="L3481" t="s">
        <v>123</v>
      </c>
      <c r="M3481" t="s">
        <v>103</v>
      </c>
      <c r="N3481" t="s">
        <v>98</v>
      </c>
      <c r="O3481" t="s">
        <v>1345</v>
      </c>
    </row>
    <row r="3482" spans="1:15" x14ac:dyDescent="0.3">
      <c r="A3482" s="130">
        <v>19815</v>
      </c>
      <c r="B3482" s="130">
        <v>30</v>
      </c>
      <c r="C3482" s="130" t="s">
        <v>5106</v>
      </c>
      <c r="D3482">
        <v>29934</v>
      </c>
      <c r="E3482" s="130">
        <v>3672857</v>
      </c>
      <c r="F3482" t="s">
        <v>87</v>
      </c>
      <c r="G3482">
        <v>76</v>
      </c>
      <c r="H3482" t="s">
        <v>8951</v>
      </c>
      <c r="I3482" s="131">
        <v>9</v>
      </c>
      <c r="J3482" t="s">
        <v>5106</v>
      </c>
      <c r="K3482" t="s">
        <v>108</v>
      </c>
      <c r="L3482" t="s">
        <v>1298</v>
      </c>
      <c r="M3482" t="s">
        <v>103</v>
      </c>
      <c r="N3482" t="s">
        <v>98</v>
      </c>
      <c r="O3482" t="s">
        <v>116</v>
      </c>
    </row>
    <row r="3483" spans="1:15" x14ac:dyDescent="0.3">
      <c r="A3483" s="130">
        <v>19819</v>
      </c>
      <c r="B3483" s="130">
        <v>30</v>
      </c>
      <c r="C3483" s="130" t="s">
        <v>5107</v>
      </c>
      <c r="D3483">
        <v>29940</v>
      </c>
      <c r="E3483" s="130">
        <v>3672857</v>
      </c>
      <c r="F3483" t="s">
        <v>87</v>
      </c>
      <c r="G3483">
        <v>76</v>
      </c>
      <c r="H3483" t="s">
        <v>8952</v>
      </c>
      <c r="I3483" s="131">
        <v>9</v>
      </c>
      <c r="J3483" t="s">
        <v>5107</v>
      </c>
      <c r="K3483" t="s">
        <v>108</v>
      </c>
      <c r="L3483" t="s">
        <v>181</v>
      </c>
      <c r="M3483" t="s">
        <v>103</v>
      </c>
      <c r="N3483" t="s">
        <v>98</v>
      </c>
      <c r="O3483" t="s">
        <v>1345</v>
      </c>
    </row>
    <row r="3484" spans="1:15" x14ac:dyDescent="0.3">
      <c r="A3484" s="130">
        <v>19821</v>
      </c>
      <c r="B3484" s="130">
        <v>30</v>
      </c>
      <c r="C3484" s="130" t="s">
        <v>5108</v>
      </c>
      <c r="D3484">
        <v>29944</v>
      </c>
      <c r="E3484" s="130">
        <v>9329077</v>
      </c>
      <c r="F3484" t="s">
        <v>87</v>
      </c>
      <c r="G3484">
        <v>358</v>
      </c>
      <c r="H3484" t="s">
        <v>8953</v>
      </c>
      <c r="I3484" s="130">
        <v>3</v>
      </c>
      <c r="J3484" t="s">
        <v>5108</v>
      </c>
      <c r="K3484" t="s">
        <v>95</v>
      </c>
      <c r="L3484" t="s">
        <v>109</v>
      </c>
      <c r="M3484" t="s">
        <v>103</v>
      </c>
      <c r="N3484" t="s">
        <v>98</v>
      </c>
      <c r="O3484" t="s">
        <v>1345</v>
      </c>
    </row>
    <row r="3485" spans="1:15" x14ac:dyDescent="0.3">
      <c r="A3485" s="130">
        <v>19833</v>
      </c>
      <c r="B3485" s="130">
        <v>30</v>
      </c>
      <c r="C3485" s="130" t="s">
        <v>5109</v>
      </c>
      <c r="D3485">
        <v>29963</v>
      </c>
      <c r="E3485" s="130">
        <v>1294551</v>
      </c>
      <c r="F3485" t="s">
        <v>87</v>
      </c>
      <c r="G3485">
        <v>76</v>
      </c>
      <c r="H3485" t="s">
        <v>8951</v>
      </c>
      <c r="I3485" s="130">
        <v>43</v>
      </c>
      <c r="J3485" t="s">
        <v>5109</v>
      </c>
      <c r="K3485" t="s">
        <v>108</v>
      </c>
      <c r="L3485" t="s">
        <v>173</v>
      </c>
      <c r="M3485" t="s">
        <v>103</v>
      </c>
      <c r="N3485" t="s">
        <v>114</v>
      </c>
      <c r="O3485" t="s">
        <v>1345</v>
      </c>
    </row>
    <row r="3486" spans="1:15" x14ac:dyDescent="0.3">
      <c r="A3486" s="130">
        <v>19838</v>
      </c>
      <c r="C3486" s="130" t="s">
        <v>5110</v>
      </c>
      <c r="D3486">
        <v>29969</v>
      </c>
      <c r="E3486" s="131">
        <v>2789565</v>
      </c>
      <c r="F3486" t="s">
        <v>113</v>
      </c>
      <c r="G3486">
        <v>358</v>
      </c>
      <c r="H3486" t="s">
        <v>8952</v>
      </c>
      <c r="I3486" s="130">
        <v>38</v>
      </c>
      <c r="J3486" t="s">
        <v>5110</v>
      </c>
      <c r="K3486" t="s">
        <v>108</v>
      </c>
      <c r="L3486" t="s">
        <v>1250</v>
      </c>
      <c r="N3486" t="s">
        <v>107</v>
      </c>
      <c r="O3486" t="s">
        <v>1256</v>
      </c>
    </row>
    <row r="3487" spans="1:15" x14ac:dyDescent="0.3">
      <c r="A3487" s="130">
        <v>19845</v>
      </c>
      <c r="B3487" s="130">
        <v>30</v>
      </c>
      <c r="C3487" s="130" t="s">
        <v>5111</v>
      </c>
      <c r="D3487">
        <v>29977</v>
      </c>
      <c r="E3487" s="130">
        <v>2265872</v>
      </c>
      <c r="F3487" t="s">
        <v>87</v>
      </c>
      <c r="G3487">
        <v>358</v>
      </c>
      <c r="H3487" t="s">
        <v>8953</v>
      </c>
      <c r="I3487" s="130">
        <v>3</v>
      </c>
      <c r="J3487" t="s">
        <v>5111</v>
      </c>
      <c r="K3487" t="s">
        <v>95</v>
      </c>
      <c r="L3487" t="s">
        <v>105</v>
      </c>
      <c r="M3487" t="s">
        <v>103</v>
      </c>
      <c r="N3487" t="s">
        <v>98</v>
      </c>
      <c r="O3487" t="s">
        <v>1345</v>
      </c>
    </row>
    <row r="3488" spans="1:15" x14ac:dyDescent="0.3">
      <c r="A3488" s="130">
        <v>19868</v>
      </c>
      <c r="B3488" s="130" t="s">
        <v>247</v>
      </c>
      <c r="C3488" s="130" t="s">
        <v>5112</v>
      </c>
      <c r="D3488">
        <v>29987</v>
      </c>
      <c r="E3488" s="130">
        <v>23559245</v>
      </c>
      <c r="F3488" t="s">
        <v>87</v>
      </c>
      <c r="G3488">
        <v>76</v>
      </c>
      <c r="H3488" t="s">
        <v>8951</v>
      </c>
      <c r="I3488" s="130">
        <v>37</v>
      </c>
      <c r="J3488" t="s">
        <v>5112</v>
      </c>
      <c r="K3488" t="s">
        <v>108</v>
      </c>
      <c r="L3488" t="s">
        <v>138</v>
      </c>
      <c r="M3488" t="s">
        <v>248</v>
      </c>
      <c r="N3488" t="s">
        <v>152</v>
      </c>
      <c r="O3488" t="s">
        <v>116</v>
      </c>
    </row>
    <row r="3489" spans="1:15" x14ac:dyDescent="0.3">
      <c r="A3489" s="130">
        <v>19869</v>
      </c>
      <c r="B3489" s="130">
        <v>30</v>
      </c>
      <c r="C3489" s="130" t="s">
        <v>5113</v>
      </c>
      <c r="D3489">
        <v>30013</v>
      </c>
      <c r="E3489" s="131">
        <v>35699852</v>
      </c>
      <c r="F3489" t="s">
        <v>87</v>
      </c>
      <c r="G3489">
        <v>76</v>
      </c>
      <c r="H3489" t="s">
        <v>8952</v>
      </c>
      <c r="I3489" s="131">
        <v>26</v>
      </c>
      <c r="J3489" t="s">
        <v>5113</v>
      </c>
      <c r="K3489" t="s">
        <v>108</v>
      </c>
      <c r="L3489" t="s">
        <v>123</v>
      </c>
      <c r="M3489" t="s">
        <v>103</v>
      </c>
      <c r="N3489" t="s">
        <v>98</v>
      </c>
      <c r="O3489" t="s">
        <v>1345</v>
      </c>
    </row>
    <row r="3490" spans="1:15" x14ac:dyDescent="0.3">
      <c r="A3490" s="130">
        <v>19886</v>
      </c>
      <c r="B3490" s="130">
        <v>30</v>
      </c>
      <c r="C3490" s="130" t="s">
        <v>5114</v>
      </c>
      <c r="D3490">
        <v>30035</v>
      </c>
      <c r="E3490" s="130">
        <v>17297516</v>
      </c>
      <c r="F3490" t="s">
        <v>87</v>
      </c>
      <c r="G3490">
        <v>76</v>
      </c>
      <c r="H3490" t="s">
        <v>8953</v>
      </c>
      <c r="I3490" s="130">
        <v>3</v>
      </c>
      <c r="J3490" t="s">
        <v>5114</v>
      </c>
      <c r="K3490" t="s">
        <v>108</v>
      </c>
      <c r="L3490" t="s">
        <v>111</v>
      </c>
      <c r="M3490" t="s">
        <v>103</v>
      </c>
      <c r="N3490" t="s">
        <v>98</v>
      </c>
      <c r="O3490" t="s">
        <v>116</v>
      </c>
    </row>
    <row r="3491" spans="1:15" x14ac:dyDescent="0.3">
      <c r="A3491" s="130">
        <v>19897</v>
      </c>
      <c r="B3491" s="130">
        <v>28</v>
      </c>
      <c r="C3491" s="130" t="s">
        <v>5115</v>
      </c>
      <c r="D3491">
        <v>30047</v>
      </c>
      <c r="E3491" s="130">
        <v>44602581</v>
      </c>
      <c r="F3491" t="s">
        <v>87</v>
      </c>
      <c r="G3491">
        <v>76</v>
      </c>
      <c r="H3491" t="s">
        <v>8951</v>
      </c>
      <c r="I3491" s="130">
        <v>37</v>
      </c>
      <c r="J3491" t="s">
        <v>5115</v>
      </c>
      <c r="K3491" t="s">
        <v>95</v>
      </c>
      <c r="L3491" t="s">
        <v>138</v>
      </c>
      <c r="M3491" t="s">
        <v>130</v>
      </c>
      <c r="N3491" t="s">
        <v>150</v>
      </c>
      <c r="O3491" t="s">
        <v>1345</v>
      </c>
    </row>
    <row r="3492" spans="1:15" x14ac:dyDescent="0.3">
      <c r="A3492" s="130">
        <v>19899</v>
      </c>
      <c r="B3492" s="130">
        <v>30</v>
      </c>
      <c r="C3492" s="130" t="s">
        <v>5116</v>
      </c>
      <c r="D3492">
        <v>30048</v>
      </c>
      <c r="E3492" s="130">
        <v>3152281</v>
      </c>
      <c r="F3492" t="s">
        <v>87</v>
      </c>
      <c r="G3492">
        <v>76</v>
      </c>
      <c r="H3492" t="s">
        <v>8952</v>
      </c>
      <c r="I3492" s="131">
        <v>10</v>
      </c>
      <c r="J3492" t="s">
        <v>5116</v>
      </c>
      <c r="K3492" t="s">
        <v>95</v>
      </c>
      <c r="L3492" t="s">
        <v>163</v>
      </c>
      <c r="M3492" t="s">
        <v>103</v>
      </c>
      <c r="N3492" t="s">
        <v>118</v>
      </c>
      <c r="O3492" t="s">
        <v>1345</v>
      </c>
    </row>
    <row r="3493" spans="1:15" x14ac:dyDescent="0.3">
      <c r="A3493" s="130">
        <v>19900</v>
      </c>
      <c r="B3493" s="130">
        <v>30</v>
      </c>
      <c r="C3493" s="130" t="s">
        <v>5117</v>
      </c>
      <c r="D3493">
        <v>30049</v>
      </c>
      <c r="E3493" s="131">
        <v>89723977</v>
      </c>
      <c r="F3493" t="s">
        <v>87</v>
      </c>
      <c r="G3493">
        <v>76</v>
      </c>
      <c r="H3493" t="s">
        <v>8953</v>
      </c>
      <c r="I3493" s="130">
        <v>10</v>
      </c>
      <c r="J3493" t="s">
        <v>5117</v>
      </c>
      <c r="K3493" t="s">
        <v>95</v>
      </c>
      <c r="L3493" t="s">
        <v>127</v>
      </c>
      <c r="M3493" t="s">
        <v>103</v>
      </c>
      <c r="N3493" t="s">
        <v>118</v>
      </c>
      <c r="O3493" t="s">
        <v>1345</v>
      </c>
    </row>
    <row r="3494" spans="1:15" x14ac:dyDescent="0.3">
      <c r="A3494" s="130">
        <v>19901</v>
      </c>
      <c r="B3494" s="130">
        <v>28</v>
      </c>
      <c r="C3494" s="130" t="s">
        <v>5118</v>
      </c>
      <c r="D3494">
        <v>30050</v>
      </c>
      <c r="E3494" s="130">
        <v>44602581</v>
      </c>
      <c r="F3494" t="s">
        <v>87</v>
      </c>
      <c r="G3494">
        <v>76</v>
      </c>
      <c r="H3494" t="s">
        <v>8951</v>
      </c>
      <c r="I3494" s="131">
        <v>37</v>
      </c>
      <c r="J3494" t="s">
        <v>5118</v>
      </c>
      <c r="K3494" t="s">
        <v>95</v>
      </c>
      <c r="L3494" t="s">
        <v>138</v>
      </c>
      <c r="M3494" t="s">
        <v>130</v>
      </c>
      <c r="N3494" t="s">
        <v>150</v>
      </c>
      <c r="O3494" t="s">
        <v>116</v>
      </c>
    </row>
    <row r="3495" spans="1:15" x14ac:dyDescent="0.3">
      <c r="A3495" s="130">
        <v>19903</v>
      </c>
      <c r="B3495" s="130">
        <v>30</v>
      </c>
      <c r="C3495" s="130" t="s">
        <v>5119</v>
      </c>
      <c r="D3495">
        <v>30051</v>
      </c>
      <c r="E3495" s="130">
        <v>44013159</v>
      </c>
      <c r="F3495" t="s">
        <v>87</v>
      </c>
      <c r="G3495">
        <v>358</v>
      </c>
      <c r="H3495" t="s">
        <v>8952</v>
      </c>
      <c r="I3495" s="130">
        <v>26</v>
      </c>
      <c r="J3495" t="s">
        <v>5119</v>
      </c>
      <c r="K3495" t="s">
        <v>108</v>
      </c>
      <c r="L3495" t="s">
        <v>193</v>
      </c>
      <c r="M3495" t="s">
        <v>103</v>
      </c>
      <c r="N3495" t="s">
        <v>98</v>
      </c>
      <c r="O3495" t="s">
        <v>116</v>
      </c>
    </row>
    <row r="3496" spans="1:15" x14ac:dyDescent="0.3">
      <c r="A3496" s="130">
        <v>19910</v>
      </c>
      <c r="B3496" s="130">
        <v>30</v>
      </c>
      <c r="C3496" s="130" t="s">
        <v>5120</v>
      </c>
      <c r="D3496">
        <v>30060</v>
      </c>
      <c r="E3496" s="130">
        <v>22902554</v>
      </c>
      <c r="F3496" t="s">
        <v>87</v>
      </c>
      <c r="G3496">
        <v>358</v>
      </c>
      <c r="H3496" t="s">
        <v>8953</v>
      </c>
      <c r="I3496" s="130">
        <v>3</v>
      </c>
      <c r="J3496" t="s">
        <v>5120</v>
      </c>
      <c r="K3496" t="s">
        <v>95</v>
      </c>
      <c r="L3496" t="s">
        <v>109</v>
      </c>
      <c r="M3496" t="s">
        <v>103</v>
      </c>
      <c r="N3496" t="s">
        <v>118</v>
      </c>
      <c r="O3496" t="s">
        <v>116</v>
      </c>
    </row>
    <row r="3497" spans="1:15" x14ac:dyDescent="0.3">
      <c r="A3497" s="130">
        <v>19912</v>
      </c>
      <c r="B3497" s="130">
        <v>30</v>
      </c>
      <c r="C3497" s="130" t="s">
        <v>5121</v>
      </c>
      <c r="D3497">
        <v>30066</v>
      </c>
      <c r="E3497" s="131">
        <v>13955101</v>
      </c>
      <c r="F3497" t="s">
        <v>87</v>
      </c>
      <c r="G3497">
        <v>358</v>
      </c>
      <c r="H3497" t="s">
        <v>8951</v>
      </c>
      <c r="I3497" s="130">
        <v>9</v>
      </c>
      <c r="J3497" t="s">
        <v>5121</v>
      </c>
      <c r="K3497" t="s">
        <v>95</v>
      </c>
      <c r="L3497" t="s">
        <v>105</v>
      </c>
      <c r="M3497" t="s">
        <v>103</v>
      </c>
      <c r="N3497" t="s">
        <v>122</v>
      </c>
      <c r="O3497" t="s">
        <v>116</v>
      </c>
    </row>
    <row r="3498" spans="1:15" x14ac:dyDescent="0.3">
      <c r="A3498" s="130">
        <v>19917</v>
      </c>
      <c r="B3498" s="130">
        <v>28</v>
      </c>
      <c r="C3498" s="130" t="s">
        <v>5122</v>
      </c>
      <c r="D3498">
        <v>30085</v>
      </c>
      <c r="E3498" s="130">
        <v>10220039</v>
      </c>
      <c r="F3498" t="s">
        <v>87</v>
      </c>
      <c r="G3498">
        <v>358</v>
      </c>
      <c r="H3498" t="s">
        <v>8952</v>
      </c>
      <c r="I3498" s="130">
        <v>3</v>
      </c>
      <c r="J3498" t="s">
        <v>5122</v>
      </c>
      <c r="K3498" t="s">
        <v>95</v>
      </c>
      <c r="L3498" t="s">
        <v>105</v>
      </c>
      <c r="M3498" t="s">
        <v>130</v>
      </c>
      <c r="N3498" t="s">
        <v>98</v>
      </c>
      <c r="O3498" t="s">
        <v>116</v>
      </c>
    </row>
    <row r="3499" spans="1:15" x14ac:dyDescent="0.3">
      <c r="A3499" s="130">
        <v>19924</v>
      </c>
      <c r="B3499" s="130">
        <v>18</v>
      </c>
      <c r="C3499" s="130" t="s">
        <v>5123</v>
      </c>
      <c r="D3499">
        <v>30098</v>
      </c>
      <c r="E3499" s="131">
        <v>34597906</v>
      </c>
      <c r="F3499" t="s">
        <v>87</v>
      </c>
      <c r="G3499">
        <v>76</v>
      </c>
      <c r="H3499" t="s">
        <v>8953</v>
      </c>
      <c r="I3499" s="130">
        <v>10</v>
      </c>
      <c r="J3499" t="s">
        <v>5123</v>
      </c>
      <c r="K3499" t="s">
        <v>108</v>
      </c>
      <c r="L3499" t="s">
        <v>127</v>
      </c>
      <c r="M3499" t="s">
        <v>112</v>
      </c>
      <c r="N3499" t="s">
        <v>118</v>
      </c>
      <c r="O3499" t="s">
        <v>1345</v>
      </c>
    </row>
    <row r="3500" spans="1:15" x14ac:dyDescent="0.3">
      <c r="A3500" s="130">
        <v>19945</v>
      </c>
      <c r="B3500" s="130">
        <v>21</v>
      </c>
      <c r="C3500" s="130" t="s">
        <v>5124</v>
      </c>
      <c r="D3500">
        <v>30122</v>
      </c>
      <c r="E3500" s="130">
        <v>22673347</v>
      </c>
      <c r="F3500" t="s">
        <v>87</v>
      </c>
      <c r="G3500">
        <v>76</v>
      </c>
      <c r="H3500" t="s">
        <v>8951</v>
      </c>
      <c r="I3500" s="130">
        <v>3</v>
      </c>
      <c r="J3500" t="s">
        <v>5124</v>
      </c>
      <c r="K3500" t="s">
        <v>108</v>
      </c>
      <c r="L3500" t="s">
        <v>153</v>
      </c>
      <c r="M3500" t="s">
        <v>137</v>
      </c>
      <c r="N3500" t="s">
        <v>98</v>
      </c>
      <c r="O3500" t="s">
        <v>1345</v>
      </c>
    </row>
    <row r="3501" spans="1:15" x14ac:dyDescent="0.3">
      <c r="A3501" s="130">
        <v>19966</v>
      </c>
      <c r="B3501" s="130">
        <v>10</v>
      </c>
      <c r="C3501" s="130" t="s">
        <v>5125</v>
      </c>
      <c r="D3501">
        <v>30142</v>
      </c>
      <c r="E3501" s="130">
        <v>51005059</v>
      </c>
      <c r="F3501" t="s">
        <v>87</v>
      </c>
      <c r="G3501">
        <v>76</v>
      </c>
      <c r="H3501" t="s">
        <v>8952</v>
      </c>
      <c r="I3501" s="131">
        <v>18</v>
      </c>
      <c r="J3501" t="s">
        <v>5125</v>
      </c>
      <c r="K3501" t="s">
        <v>108</v>
      </c>
      <c r="L3501" t="s">
        <v>153</v>
      </c>
      <c r="M3501" t="s">
        <v>133</v>
      </c>
      <c r="N3501" t="s">
        <v>98</v>
      </c>
      <c r="O3501" t="s">
        <v>1345</v>
      </c>
    </row>
    <row r="3502" spans="1:15" x14ac:dyDescent="0.3">
      <c r="A3502" s="130">
        <v>19969</v>
      </c>
      <c r="B3502" s="130">
        <v>18</v>
      </c>
      <c r="C3502" s="130" t="s">
        <v>5126</v>
      </c>
      <c r="D3502">
        <v>30147</v>
      </c>
      <c r="E3502" s="130">
        <v>48417180</v>
      </c>
      <c r="F3502" t="s">
        <v>87</v>
      </c>
      <c r="G3502">
        <v>76</v>
      </c>
      <c r="H3502" t="s">
        <v>8953</v>
      </c>
      <c r="I3502" s="130">
        <v>26</v>
      </c>
      <c r="J3502" t="s">
        <v>5126</v>
      </c>
      <c r="K3502" t="s">
        <v>108</v>
      </c>
      <c r="L3502" t="s">
        <v>151</v>
      </c>
      <c r="M3502" t="s">
        <v>112</v>
      </c>
      <c r="N3502" t="s">
        <v>98</v>
      </c>
      <c r="O3502" t="s">
        <v>1345</v>
      </c>
    </row>
    <row r="3503" spans="1:15" x14ac:dyDescent="0.3">
      <c r="A3503" s="130">
        <v>19974</v>
      </c>
      <c r="B3503" s="130" t="s">
        <v>135</v>
      </c>
      <c r="C3503" s="130" t="s">
        <v>5127</v>
      </c>
      <c r="D3503">
        <v>30154</v>
      </c>
      <c r="E3503" s="130">
        <v>83646547</v>
      </c>
      <c r="F3503" t="s">
        <v>87</v>
      </c>
      <c r="G3503">
        <v>76</v>
      </c>
      <c r="H3503" t="s">
        <v>8951</v>
      </c>
      <c r="I3503" s="130">
        <v>10</v>
      </c>
      <c r="J3503" t="s">
        <v>5127</v>
      </c>
      <c r="K3503" t="s">
        <v>95</v>
      </c>
      <c r="L3503" t="s">
        <v>105</v>
      </c>
      <c r="M3503" t="s">
        <v>136</v>
      </c>
      <c r="N3503" t="s">
        <v>98</v>
      </c>
      <c r="O3503" t="s">
        <v>1345</v>
      </c>
    </row>
    <row r="3504" spans="1:15" x14ac:dyDescent="0.3">
      <c r="A3504" s="130">
        <v>19981</v>
      </c>
      <c r="C3504" s="130" t="s">
        <v>5128</v>
      </c>
      <c r="D3504">
        <v>30163</v>
      </c>
      <c r="E3504" s="130">
        <v>2846056</v>
      </c>
      <c r="F3504" t="s">
        <v>87</v>
      </c>
      <c r="G3504">
        <v>77</v>
      </c>
      <c r="H3504" t="s">
        <v>8952</v>
      </c>
      <c r="I3504" s="130">
        <v>3</v>
      </c>
      <c r="J3504" t="s">
        <v>5128</v>
      </c>
      <c r="K3504" t="s">
        <v>95</v>
      </c>
      <c r="L3504" t="s">
        <v>117</v>
      </c>
      <c r="N3504" t="s">
        <v>98</v>
      </c>
      <c r="O3504" t="s">
        <v>1256</v>
      </c>
    </row>
    <row r="3505" spans="1:15" x14ac:dyDescent="0.3">
      <c r="A3505" s="130">
        <v>19984</v>
      </c>
      <c r="B3505" s="130">
        <v>18</v>
      </c>
      <c r="C3505" s="130" t="s">
        <v>5129</v>
      </c>
      <c r="D3505">
        <v>30166</v>
      </c>
      <c r="E3505" s="130">
        <v>22439298</v>
      </c>
      <c r="F3505" t="s">
        <v>87</v>
      </c>
      <c r="G3505">
        <v>76</v>
      </c>
      <c r="H3505" t="s">
        <v>8953</v>
      </c>
      <c r="I3505" s="130">
        <v>9</v>
      </c>
      <c r="J3505" t="s">
        <v>5129</v>
      </c>
      <c r="K3505" t="s">
        <v>95</v>
      </c>
      <c r="L3505" t="s">
        <v>163</v>
      </c>
      <c r="M3505" t="s">
        <v>112</v>
      </c>
      <c r="N3505" t="s">
        <v>98</v>
      </c>
      <c r="O3505" t="s">
        <v>116</v>
      </c>
    </row>
    <row r="3506" spans="1:15" x14ac:dyDescent="0.3">
      <c r="A3506" s="130">
        <v>19987</v>
      </c>
      <c r="B3506" s="130">
        <v>18</v>
      </c>
      <c r="C3506" s="130" t="s">
        <v>5130</v>
      </c>
      <c r="D3506">
        <v>30177</v>
      </c>
      <c r="E3506" s="131">
        <v>76674704</v>
      </c>
      <c r="F3506" t="s">
        <v>87</v>
      </c>
      <c r="G3506">
        <v>76</v>
      </c>
      <c r="H3506" t="s">
        <v>8951</v>
      </c>
      <c r="I3506" s="130">
        <v>9</v>
      </c>
      <c r="J3506" t="s">
        <v>5130</v>
      </c>
      <c r="K3506" t="s">
        <v>108</v>
      </c>
      <c r="L3506" t="s">
        <v>163</v>
      </c>
      <c r="M3506" t="s">
        <v>112</v>
      </c>
      <c r="N3506" t="s">
        <v>98</v>
      </c>
      <c r="O3506" t="s">
        <v>1345</v>
      </c>
    </row>
    <row r="3507" spans="1:15" x14ac:dyDescent="0.3">
      <c r="A3507" s="130">
        <v>19991</v>
      </c>
      <c r="B3507" s="130">
        <v>28</v>
      </c>
      <c r="C3507" s="130" t="s">
        <v>5131</v>
      </c>
      <c r="D3507">
        <v>30181</v>
      </c>
      <c r="E3507" s="131">
        <v>7959171</v>
      </c>
      <c r="F3507" t="s">
        <v>87</v>
      </c>
      <c r="G3507">
        <v>76</v>
      </c>
      <c r="H3507" t="s">
        <v>8952</v>
      </c>
      <c r="I3507" s="130">
        <v>43</v>
      </c>
      <c r="J3507" t="s">
        <v>5131</v>
      </c>
      <c r="K3507" t="s">
        <v>95</v>
      </c>
      <c r="L3507" t="s">
        <v>1368</v>
      </c>
      <c r="M3507" t="s">
        <v>130</v>
      </c>
      <c r="N3507" t="s">
        <v>98</v>
      </c>
      <c r="O3507" t="s">
        <v>116</v>
      </c>
    </row>
    <row r="3508" spans="1:15" x14ac:dyDescent="0.3">
      <c r="A3508" s="130">
        <v>19996</v>
      </c>
      <c r="B3508" s="130">
        <v>28</v>
      </c>
      <c r="C3508" s="130" t="s">
        <v>5132</v>
      </c>
      <c r="D3508">
        <v>30189</v>
      </c>
      <c r="E3508" s="130">
        <v>19235340</v>
      </c>
      <c r="F3508" t="s">
        <v>87</v>
      </c>
      <c r="G3508">
        <v>358</v>
      </c>
      <c r="H3508" t="s">
        <v>8953</v>
      </c>
      <c r="I3508" s="130">
        <v>3</v>
      </c>
      <c r="J3508" t="s">
        <v>5132</v>
      </c>
      <c r="K3508" t="s">
        <v>95</v>
      </c>
      <c r="L3508" t="s">
        <v>111</v>
      </c>
      <c r="M3508" t="s">
        <v>130</v>
      </c>
      <c r="N3508" t="s">
        <v>98</v>
      </c>
      <c r="O3508" t="s">
        <v>1345</v>
      </c>
    </row>
    <row r="3509" spans="1:15" x14ac:dyDescent="0.3">
      <c r="A3509" s="130">
        <v>20010</v>
      </c>
      <c r="B3509" s="130">
        <v>30</v>
      </c>
      <c r="C3509" s="130" t="s">
        <v>5133</v>
      </c>
      <c r="D3509">
        <v>30144</v>
      </c>
      <c r="E3509" s="130">
        <v>50030001</v>
      </c>
      <c r="F3509" t="s">
        <v>87</v>
      </c>
      <c r="G3509">
        <v>77</v>
      </c>
      <c r="H3509" t="s">
        <v>8951</v>
      </c>
      <c r="I3509" s="130">
        <v>3</v>
      </c>
      <c r="J3509" t="s">
        <v>5133</v>
      </c>
      <c r="K3509" t="s">
        <v>95</v>
      </c>
      <c r="L3509" t="s">
        <v>1251</v>
      </c>
      <c r="M3509" t="s">
        <v>103</v>
      </c>
      <c r="N3509" t="s">
        <v>98</v>
      </c>
      <c r="O3509" t="s">
        <v>116</v>
      </c>
    </row>
    <row r="3510" spans="1:15" x14ac:dyDescent="0.3">
      <c r="A3510" s="130">
        <v>20023</v>
      </c>
      <c r="B3510" s="130">
        <v>18</v>
      </c>
      <c r="C3510" s="130" t="s">
        <v>5134</v>
      </c>
      <c r="D3510">
        <v>30224</v>
      </c>
      <c r="E3510" s="130">
        <v>15063096</v>
      </c>
      <c r="F3510" t="s">
        <v>87</v>
      </c>
      <c r="G3510">
        <v>76</v>
      </c>
      <c r="H3510" t="s">
        <v>8952</v>
      </c>
      <c r="I3510" s="130">
        <v>3</v>
      </c>
      <c r="J3510" t="s">
        <v>5134</v>
      </c>
      <c r="K3510" t="s">
        <v>95</v>
      </c>
      <c r="L3510" t="s">
        <v>111</v>
      </c>
      <c r="M3510" t="s">
        <v>112</v>
      </c>
      <c r="N3510" t="s">
        <v>98</v>
      </c>
      <c r="O3510" t="s">
        <v>1345</v>
      </c>
    </row>
    <row r="3511" spans="1:15" x14ac:dyDescent="0.3">
      <c r="A3511" s="130">
        <v>20028</v>
      </c>
      <c r="B3511" s="130">
        <v>30</v>
      </c>
      <c r="C3511" s="130" t="s">
        <v>5135</v>
      </c>
      <c r="D3511">
        <v>30206</v>
      </c>
      <c r="E3511" s="130">
        <v>11257155</v>
      </c>
      <c r="F3511" t="s">
        <v>87</v>
      </c>
      <c r="G3511">
        <v>76</v>
      </c>
      <c r="H3511" t="s">
        <v>8953</v>
      </c>
      <c r="I3511" s="130">
        <v>18</v>
      </c>
      <c r="J3511" t="s">
        <v>5135</v>
      </c>
      <c r="K3511" t="s">
        <v>108</v>
      </c>
      <c r="L3511" t="s">
        <v>123</v>
      </c>
      <c r="M3511" t="s">
        <v>103</v>
      </c>
      <c r="N3511" t="s">
        <v>124</v>
      </c>
      <c r="O3511" t="s">
        <v>1345</v>
      </c>
    </row>
    <row r="3512" spans="1:15" x14ac:dyDescent="0.3">
      <c r="A3512" s="130">
        <v>20037</v>
      </c>
      <c r="B3512" s="130">
        <v>30</v>
      </c>
      <c r="C3512" s="130" t="s">
        <v>5136</v>
      </c>
      <c r="D3512">
        <v>30249</v>
      </c>
      <c r="E3512" s="131">
        <v>30455661</v>
      </c>
      <c r="F3512" t="s">
        <v>87</v>
      </c>
      <c r="G3512">
        <v>76</v>
      </c>
      <c r="H3512" t="s">
        <v>8951</v>
      </c>
      <c r="I3512" s="130">
        <v>18</v>
      </c>
      <c r="J3512" t="s">
        <v>5136</v>
      </c>
      <c r="K3512" t="s">
        <v>95</v>
      </c>
      <c r="L3512" t="s">
        <v>1293</v>
      </c>
      <c r="M3512" t="s">
        <v>103</v>
      </c>
      <c r="N3512" t="s">
        <v>98</v>
      </c>
      <c r="O3512" t="s">
        <v>116</v>
      </c>
    </row>
    <row r="3513" spans="1:15" x14ac:dyDescent="0.3">
      <c r="A3513" s="130">
        <v>20048</v>
      </c>
      <c r="B3513" s="130">
        <v>28</v>
      </c>
      <c r="C3513" s="130" t="s">
        <v>5137</v>
      </c>
      <c r="D3513">
        <v>30266</v>
      </c>
      <c r="E3513" s="130">
        <v>47407786</v>
      </c>
      <c r="F3513" t="s">
        <v>87</v>
      </c>
      <c r="G3513">
        <v>76</v>
      </c>
      <c r="H3513" t="s">
        <v>8952</v>
      </c>
      <c r="I3513" s="130">
        <v>37</v>
      </c>
      <c r="J3513" t="s">
        <v>5137</v>
      </c>
      <c r="K3513" t="s">
        <v>95</v>
      </c>
      <c r="L3513" t="s">
        <v>138</v>
      </c>
      <c r="M3513" t="s">
        <v>130</v>
      </c>
      <c r="N3513" t="s">
        <v>150</v>
      </c>
      <c r="O3513" t="s">
        <v>116</v>
      </c>
    </row>
    <row r="3514" spans="1:15" x14ac:dyDescent="0.3">
      <c r="A3514" s="130">
        <v>20049</v>
      </c>
      <c r="B3514" s="130">
        <v>30</v>
      </c>
      <c r="C3514" s="130" t="s">
        <v>5138</v>
      </c>
      <c r="D3514">
        <v>30272</v>
      </c>
      <c r="E3514" s="130">
        <v>3672857</v>
      </c>
      <c r="F3514" t="s">
        <v>87</v>
      </c>
      <c r="G3514">
        <v>76</v>
      </c>
      <c r="H3514" t="s">
        <v>8953</v>
      </c>
      <c r="I3514" s="130">
        <v>10</v>
      </c>
      <c r="J3514" t="s">
        <v>5138</v>
      </c>
      <c r="K3514" t="s">
        <v>95</v>
      </c>
      <c r="L3514" t="s">
        <v>127</v>
      </c>
      <c r="M3514" t="s">
        <v>103</v>
      </c>
      <c r="N3514" t="s">
        <v>118</v>
      </c>
      <c r="O3514" t="s">
        <v>1345</v>
      </c>
    </row>
    <row r="3515" spans="1:15" x14ac:dyDescent="0.3">
      <c r="A3515" s="130">
        <v>20054</v>
      </c>
      <c r="B3515" s="130">
        <v>-1</v>
      </c>
      <c r="C3515" s="130" t="s">
        <v>5139</v>
      </c>
      <c r="D3515">
        <v>30278</v>
      </c>
      <c r="E3515" s="131">
        <v>34428468</v>
      </c>
      <c r="F3515" t="s">
        <v>87</v>
      </c>
      <c r="G3515">
        <v>76</v>
      </c>
      <c r="H3515" t="s">
        <v>8951</v>
      </c>
      <c r="I3515" s="130">
        <v>38</v>
      </c>
      <c r="J3515" t="s">
        <v>5139</v>
      </c>
      <c r="K3515" t="s">
        <v>108</v>
      </c>
      <c r="L3515" t="s">
        <v>126</v>
      </c>
      <c r="M3515" t="s">
        <v>174</v>
      </c>
      <c r="N3515" t="s">
        <v>98</v>
      </c>
      <c r="O3515" t="s">
        <v>116</v>
      </c>
    </row>
    <row r="3516" spans="1:15" x14ac:dyDescent="0.3">
      <c r="A3516" s="130">
        <v>20056</v>
      </c>
      <c r="B3516" s="130">
        <v>30</v>
      </c>
      <c r="C3516" s="130" t="s">
        <v>5140</v>
      </c>
      <c r="D3516">
        <v>30281</v>
      </c>
      <c r="E3516" s="130">
        <v>21457788</v>
      </c>
      <c r="F3516" t="s">
        <v>87</v>
      </c>
      <c r="G3516">
        <v>76</v>
      </c>
      <c r="H3516" t="s">
        <v>8952</v>
      </c>
      <c r="I3516" s="130">
        <v>38</v>
      </c>
      <c r="J3516" t="s">
        <v>5140</v>
      </c>
      <c r="K3516" t="s">
        <v>108</v>
      </c>
      <c r="L3516" t="s">
        <v>126</v>
      </c>
      <c r="M3516" t="s">
        <v>103</v>
      </c>
      <c r="N3516" t="s">
        <v>98</v>
      </c>
      <c r="O3516" t="s">
        <v>116</v>
      </c>
    </row>
    <row r="3517" spans="1:15" x14ac:dyDescent="0.3">
      <c r="A3517" s="130">
        <v>20062</v>
      </c>
      <c r="B3517" s="130">
        <v>30</v>
      </c>
      <c r="C3517" s="130" t="s">
        <v>5141</v>
      </c>
      <c r="D3517">
        <v>30286</v>
      </c>
      <c r="E3517" s="130">
        <v>9325670</v>
      </c>
      <c r="F3517" t="s">
        <v>87</v>
      </c>
      <c r="G3517">
        <v>358</v>
      </c>
      <c r="H3517" t="s">
        <v>8953</v>
      </c>
      <c r="I3517" s="131">
        <v>3</v>
      </c>
      <c r="J3517" t="s">
        <v>5141</v>
      </c>
      <c r="K3517" t="s">
        <v>108</v>
      </c>
      <c r="L3517" t="s">
        <v>109</v>
      </c>
      <c r="M3517" t="s">
        <v>103</v>
      </c>
      <c r="N3517" t="s">
        <v>118</v>
      </c>
      <c r="O3517" t="s">
        <v>116</v>
      </c>
    </row>
    <row r="3518" spans="1:15" x14ac:dyDescent="0.3">
      <c r="A3518" s="130">
        <v>20076</v>
      </c>
      <c r="B3518" s="130">
        <v>90</v>
      </c>
      <c r="C3518" s="130" t="s">
        <v>5142</v>
      </c>
      <c r="D3518">
        <v>30316</v>
      </c>
      <c r="E3518" s="130">
        <v>2012862</v>
      </c>
      <c r="F3518" t="s">
        <v>87</v>
      </c>
      <c r="G3518">
        <v>76</v>
      </c>
      <c r="H3518" t="s">
        <v>8951</v>
      </c>
      <c r="I3518" s="130">
        <v>10</v>
      </c>
      <c r="J3518" t="s">
        <v>5142</v>
      </c>
      <c r="K3518" t="s">
        <v>108</v>
      </c>
      <c r="L3518" t="s">
        <v>127</v>
      </c>
      <c r="M3518" t="s">
        <v>170</v>
      </c>
      <c r="N3518" t="s">
        <v>122</v>
      </c>
      <c r="O3518" t="s">
        <v>116</v>
      </c>
    </row>
    <row r="3519" spans="1:15" x14ac:dyDescent="0.3">
      <c r="A3519" s="130">
        <v>20082</v>
      </c>
      <c r="B3519" s="130">
        <v>30</v>
      </c>
      <c r="C3519" s="130" t="s">
        <v>5143</v>
      </c>
      <c r="D3519">
        <v>30320</v>
      </c>
      <c r="E3519" s="130">
        <v>1412207</v>
      </c>
      <c r="F3519" t="s">
        <v>87</v>
      </c>
      <c r="G3519">
        <v>76</v>
      </c>
      <c r="H3519" t="s">
        <v>8952</v>
      </c>
      <c r="I3519" s="130">
        <v>9</v>
      </c>
      <c r="J3519" t="s">
        <v>5143</v>
      </c>
      <c r="K3519" t="s">
        <v>95</v>
      </c>
      <c r="L3519" t="s">
        <v>1298</v>
      </c>
      <c r="M3519" t="s">
        <v>103</v>
      </c>
      <c r="N3519" t="s">
        <v>114</v>
      </c>
      <c r="O3519" t="s">
        <v>116</v>
      </c>
    </row>
    <row r="3520" spans="1:15" x14ac:dyDescent="0.3">
      <c r="A3520" s="130">
        <v>20085</v>
      </c>
      <c r="B3520" s="130">
        <v>30</v>
      </c>
      <c r="C3520" s="130" t="s">
        <v>5144</v>
      </c>
      <c r="D3520">
        <v>30321</v>
      </c>
      <c r="E3520" s="130">
        <v>17159856</v>
      </c>
      <c r="F3520" t="s">
        <v>87</v>
      </c>
      <c r="G3520">
        <v>76</v>
      </c>
      <c r="H3520" t="s">
        <v>8953</v>
      </c>
      <c r="I3520" s="131">
        <v>9</v>
      </c>
      <c r="J3520" t="s">
        <v>5144</v>
      </c>
      <c r="K3520" t="s">
        <v>95</v>
      </c>
      <c r="L3520" t="s">
        <v>163</v>
      </c>
      <c r="M3520" t="s">
        <v>103</v>
      </c>
      <c r="N3520" t="s">
        <v>98</v>
      </c>
      <c r="O3520" t="s">
        <v>1345</v>
      </c>
    </row>
    <row r="3521" spans="1:15" x14ac:dyDescent="0.3">
      <c r="A3521" s="130">
        <v>20087</v>
      </c>
      <c r="B3521" s="130">
        <v>30</v>
      </c>
      <c r="C3521" s="130" t="s">
        <v>5145</v>
      </c>
      <c r="D3521">
        <v>30326</v>
      </c>
      <c r="E3521" s="131">
        <v>8807683</v>
      </c>
      <c r="F3521" t="s">
        <v>87</v>
      </c>
      <c r="G3521">
        <v>76</v>
      </c>
      <c r="H3521" t="s">
        <v>8951</v>
      </c>
      <c r="I3521" s="131">
        <v>26</v>
      </c>
      <c r="J3521" t="s">
        <v>5145</v>
      </c>
      <c r="K3521" t="s">
        <v>95</v>
      </c>
      <c r="L3521" t="s">
        <v>151</v>
      </c>
      <c r="M3521" t="s">
        <v>103</v>
      </c>
      <c r="N3521" t="s">
        <v>118</v>
      </c>
      <c r="O3521" t="s">
        <v>116</v>
      </c>
    </row>
    <row r="3522" spans="1:15" x14ac:dyDescent="0.3">
      <c r="A3522" s="130">
        <v>20096</v>
      </c>
      <c r="B3522" s="130">
        <v>18</v>
      </c>
      <c r="C3522" s="130" t="s">
        <v>5146</v>
      </c>
      <c r="D3522">
        <v>30336</v>
      </c>
      <c r="E3522" s="130">
        <v>31835974</v>
      </c>
      <c r="F3522" t="s">
        <v>87</v>
      </c>
      <c r="G3522">
        <v>76</v>
      </c>
      <c r="H3522" t="s">
        <v>8952</v>
      </c>
      <c r="I3522" s="131">
        <v>26</v>
      </c>
      <c r="J3522" t="s">
        <v>5146</v>
      </c>
      <c r="K3522" t="s">
        <v>108</v>
      </c>
      <c r="L3522" t="s">
        <v>151</v>
      </c>
      <c r="M3522" t="s">
        <v>112</v>
      </c>
      <c r="N3522" t="s">
        <v>98</v>
      </c>
      <c r="O3522" t="s">
        <v>1345</v>
      </c>
    </row>
    <row r="3523" spans="1:15" x14ac:dyDescent="0.3">
      <c r="A3523" s="130">
        <v>20098</v>
      </c>
      <c r="B3523" s="130">
        <v>28</v>
      </c>
      <c r="C3523" s="130" t="s">
        <v>5147</v>
      </c>
      <c r="D3523">
        <v>30339</v>
      </c>
      <c r="E3523" s="130">
        <v>24013278</v>
      </c>
      <c r="F3523" t="s">
        <v>87</v>
      </c>
      <c r="G3523">
        <v>76</v>
      </c>
      <c r="H3523" t="s">
        <v>8953</v>
      </c>
      <c r="I3523" s="130">
        <v>43</v>
      </c>
      <c r="J3523" t="s">
        <v>5147</v>
      </c>
      <c r="K3523" t="s">
        <v>95</v>
      </c>
      <c r="L3523" t="s">
        <v>1241</v>
      </c>
      <c r="M3523" t="s">
        <v>130</v>
      </c>
      <c r="N3523" t="s">
        <v>98</v>
      </c>
      <c r="O3523" t="s">
        <v>1256</v>
      </c>
    </row>
    <row r="3524" spans="1:15" x14ac:dyDescent="0.3">
      <c r="A3524" s="130">
        <v>20101</v>
      </c>
      <c r="B3524" s="130">
        <v>30</v>
      </c>
      <c r="C3524" s="130" t="s">
        <v>5148</v>
      </c>
      <c r="D3524">
        <v>30344</v>
      </c>
      <c r="E3524" s="131">
        <v>10279488</v>
      </c>
      <c r="F3524" t="s">
        <v>87</v>
      </c>
      <c r="G3524">
        <v>76</v>
      </c>
      <c r="H3524" t="s">
        <v>8951</v>
      </c>
      <c r="I3524" s="130">
        <v>19</v>
      </c>
      <c r="J3524" t="s">
        <v>5148</v>
      </c>
      <c r="K3524" t="s">
        <v>95</v>
      </c>
      <c r="L3524" t="s">
        <v>146</v>
      </c>
      <c r="M3524" t="s">
        <v>103</v>
      </c>
      <c r="N3524" t="s">
        <v>98</v>
      </c>
      <c r="O3524" t="s">
        <v>116</v>
      </c>
    </row>
    <row r="3525" spans="1:15" x14ac:dyDescent="0.3">
      <c r="A3525" s="130">
        <v>20115</v>
      </c>
      <c r="B3525" s="130">
        <v>18</v>
      </c>
      <c r="C3525" s="130" t="s">
        <v>5149</v>
      </c>
      <c r="D3525">
        <v>30363</v>
      </c>
      <c r="E3525" s="131">
        <v>4978039</v>
      </c>
      <c r="F3525" t="s">
        <v>87</v>
      </c>
      <c r="G3525">
        <v>76</v>
      </c>
      <c r="H3525" t="s">
        <v>8952</v>
      </c>
      <c r="I3525" s="131">
        <v>26</v>
      </c>
      <c r="J3525" t="s">
        <v>5149</v>
      </c>
      <c r="K3525" t="s">
        <v>108</v>
      </c>
      <c r="L3525" t="s">
        <v>151</v>
      </c>
      <c r="M3525" t="s">
        <v>112</v>
      </c>
      <c r="N3525" t="s">
        <v>122</v>
      </c>
      <c r="O3525" t="s">
        <v>116</v>
      </c>
    </row>
    <row r="3526" spans="1:15" x14ac:dyDescent="0.3">
      <c r="A3526" s="130">
        <v>20118</v>
      </c>
      <c r="B3526" s="130">
        <v>30</v>
      </c>
      <c r="C3526" s="130" t="s">
        <v>5150</v>
      </c>
      <c r="D3526">
        <v>30369</v>
      </c>
      <c r="E3526" s="130">
        <v>7522191</v>
      </c>
      <c r="F3526" t="s">
        <v>87</v>
      </c>
      <c r="G3526">
        <v>76</v>
      </c>
      <c r="H3526" t="s">
        <v>8953</v>
      </c>
      <c r="I3526" s="130">
        <v>18</v>
      </c>
      <c r="J3526" t="s">
        <v>5150</v>
      </c>
      <c r="K3526" t="s">
        <v>95</v>
      </c>
      <c r="L3526" t="s">
        <v>123</v>
      </c>
      <c r="M3526" t="s">
        <v>103</v>
      </c>
      <c r="N3526" t="s">
        <v>98</v>
      </c>
      <c r="O3526" t="s">
        <v>116</v>
      </c>
    </row>
    <row r="3527" spans="1:15" x14ac:dyDescent="0.3">
      <c r="A3527" s="130">
        <v>20120</v>
      </c>
      <c r="B3527" s="130">
        <v>30</v>
      </c>
      <c r="C3527" s="130" t="s">
        <v>5151</v>
      </c>
      <c r="D3527">
        <v>30371</v>
      </c>
      <c r="E3527" s="130">
        <v>15628541</v>
      </c>
      <c r="F3527" t="s">
        <v>87</v>
      </c>
      <c r="G3527">
        <v>76</v>
      </c>
      <c r="H3527" t="s">
        <v>8951</v>
      </c>
      <c r="I3527" s="130">
        <v>18</v>
      </c>
      <c r="J3527" t="s">
        <v>5151</v>
      </c>
      <c r="K3527" t="s">
        <v>108</v>
      </c>
      <c r="L3527" t="s">
        <v>123</v>
      </c>
      <c r="M3527" t="s">
        <v>103</v>
      </c>
      <c r="N3527" t="s">
        <v>98</v>
      </c>
      <c r="O3527" t="s">
        <v>1345</v>
      </c>
    </row>
    <row r="3528" spans="1:15" x14ac:dyDescent="0.3">
      <c r="A3528" s="130">
        <v>20126</v>
      </c>
      <c r="B3528" s="130">
        <v>30</v>
      </c>
      <c r="C3528" s="130" t="s">
        <v>5152</v>
      </c>
      <c r="D3528">
        <v>30382</v>
      </c>
      <c r="E3528" s="131">
        <v>19739564</v>
      </c>
      <c r="F3528" t="s">
        <v>87</v>
      </c>
      <c r="G3528">
        <v>358</v>
      </c>
      <c r="H3528" t="s">
        <v>8952</v>
      </c>
      <c r="I3528" s="130">
        <v>10</v>
      </c>
      <c r="J3528" t="s">
        <v>5152</v>
      </c>
      <c r="K3528" t="s">
        <v>95</v>
      </c>
      <c r="L3528" t="s">
        <v>105</v>
      </c>
      <c r="M3528" t="s">
        <v>103</v>
      </c>
      <c r="N3528" t="s">
        <v>98</v>
      </c>
      <c r="O3528" t="s">
        <v>1345</v>
      </c>
    </row>
    <row r="3529" spans="1:15" x14ac:dyDescent="0.3">
      <c r="A3529" s="130">
        <v>20137</v>
      </c>
      <c r="B3529" s="130">
        <v>35</v>
      </c>
      <c r="C3529" s="130" t="s">
        <v>5153</v>
      </c>
      <c r="D3529">
        <v>30395</v>
      </c>
      <c r="E3529" s="130">
        <v>34692778</v>
      </c>
      <c r="F3529" t="s">
        <v>87</v>
      </c>
      <c r="G3529">
        <v>77</v>
      </c>
      <c r="H3529" t="s">
        <v>8953</v>
      </c>
      <c r="I3529" s="130">
        <v>18</v>
      </c>
      <c r="J3529" t="s">
        <v>5153</v>
      </c>
      <c r="K3529" t="s">
        <v>95</v>
      </c>
      <c r="L3529" t="s">
        <v>256</v>
      </c>
      <c r="M3529" t="s">
        <v>161</v>
      </c>
      <c r="N3529" t="s">
        <v>98</v>
      </c>
      <c r="O3529" t="s">
        <v>116</v>
      </c>
    </row>
    <row r="3530" spans="1:15" x14ac:dyDescent="0.3">
      <c r="A3530" s="130">
        <v>20152</v>
      </c>
      <c r="B3530" s="130">
        <v>18</v>
      </c>
      <c r="C3530" s="130" t="s">
        <v>5154</v>
      </c>
      <c r="D3530">
        <v>30433</v>
      </c>
      <c r="E3530" s="130">
        <v>22632588</v>
      </c>
      <c r="F3530" t="s">
        <v>87</v>
      </c>
      <c r="G3530">
        <v>76</v>
      </c>
      <c r="H3530" t="s">
        <v>8951</v>
      </c>
      <c r="I3530" s="130">
        <v>9</v>
      </c>
      <c r="J3530" t="s">
        <v>5154</v>
      </c>
      <c r="K3530" t="s">
        <v>108</v>
      </c>
      <c r="L3530" t="s">
        <v>163</v>
      </c>
      <c r="M3530" t="s">
        <v>112</v>
      </c>
      <c r="N3530" t="s">
        <v>98</v>
      </c>
      <c r="O3530" t="s">
        <v>116</v>
      </c>
    </row>
    <row r="3531" spans="1:15" x14ac:dyDescent="0.3">
      <c r="A3531" s="130">
        <v>20153</v>
      </c>
      <c r="B3531" s="130">
        <v>35</v>
      </c>
      <c r="C3531" s="130" t="s">
        <v>5155</v>
      </c>
      <c r="D3531">
        <v>30434</v>
      </c>
      <c r="E3531" s="130">
        <v>34692778</v>
      </c>
      <c r="F3531" t="s">
        <v>87</v>
      </c>
      <c r="G3531">
        <v>77</v>
      </c>
      <c r="H3531" t="s">
        <v>8952</v>
      </c>
      <c r="I3531" s="130">
        <v>18</v>
      </c>
      <c r="J3531" t="s">
        <v>5155</v>
      </c>
      <c r="K3531" t="s">
        <v>95</v>
      </c>
      <c r="L3531" t="s">
        <v>256</v>
      </c>
      <c r="M3531" t="s">
        <v>161</v>
      </c>
      <c r="N3531" t="s">
        <v>98</v>
      </c>
      <c r="O3531" t="s">
        <v>116</v>
      </c>
    </row>
    <row r="3532" spans="1:15" x14ac:dyDescent="0.3">
      <c r="A3532" s="130">
        <v>20158</v>
      </c>
      <c r="B3532" s="130">
        <v>30</v>
      </c>
      <c r="C3532" s="130" t="s">
        <v>5156</v>
      </c>
      <c r="D3532">
        <v>30442</v>
      </c>
      <c r="E3532" s="130">
        <v>15122275</v>
      </c>
      <c r="F3532" t="s">
        <v>87</v>
      </c>
      <c r="G3532">
        <v>76</v>
      </c>
      <c r="H3532" t="s">
        <v>8953</v>
      </c>
      <c r="I3532" s="131">
        <v>43</v>
      </c>
      <c r="J3532" t="s">
        <v>5156</v>
      </c>
      <c r="K3532" t="s">
        <v>95</v>
      </c>
      <c r="L3532" t="s">
        <v>1368</v>
      </c>
      <c r="M3532" t="s">
        <v>103</v>
      </c>
      <c r="N3532" t="s">
        <v>98</v>
      </c>
      <c r="O3532" t="s">
        <v>116</v>
      </c>
    </row>
    <row r="3533" spans="1:15" x14ac:dyDescent="0.3">
      <c r="A3533" s="130">
        <v>20173</v>
      </c>
      <c r="B3533" s="130">
        <v>30</v>
      </c>
      <c r="C3533" s="130" t="s">
        <v>5157</v>
      </c>
      <c r="D3533">
        <v>30464</v>
      </c>
      <c r="E3533" s="130">
        <v>18162590</v>
      </c>
      <c r="F3533" t="s">
        <v>87</v>
      </c>
      <c r="G3533">
        <v>76</v>
      </c>
      <c r="H3533" t="s">
        <v>8951</v>
      </c>
      <c r="I3533" s="131">
        <v>3</v>
      </c>
      <c r="J3533" t="s">
        <v>5157</v>
      </c>
      <c r="K3533" t="s">
        <v>108</v>
      </c>
      <c r="L3533" t="s">
        <v>111</v>
      </c>
      <c r="M3533" t="s">
        <v>103</v>
      </c>
      <c r="N3533" t="s">
        <v>98</v>
      </c>
      <c r="O3533" t="s">
        <v>1345</v>
      </c>
    </row>
    <row r="3534" spans="1:15" x14ac:dyDescent="0.3">
      <c r="A3534" s="130">
        <v>20176</v>
      </c>
      <c r="B3534" s="130">
        <v>15</v>
      </c>
      <c r="C3534" s="130" t="s">
        <v>5158</v>
      </c>
      <c r="D3534">
        <v>30468</v>
      </c>
      <c r="E3534" s="130">
        <v>7680258</v>
      </c>
      <c r="F3534" t="s">
        <v>87</v>
      </c>
      <c r="G3534">
        <v>76</v>
      </c>
      <c r="H3534" t="s">
        <v>8952</v>
      </c>
      <c r="I3534" s="130">
        <v>24</v>
      </c>
      <c r="J3534" t="s">
        <v>5158</v>
      </c>
      <c r="K3534" t="s">
        <v>108</v>
      </c>
      <c r="L3534" t="s">
        <v>240</v>
      </c>
      <c r="M3534" t="s">
        <v>145</v>
      </c>
      <c r="N3534" t="s">
        <v>114</v>
      </c>
      <c r="O3534" t="s">
        <v>1345</v>
      </c>
    </row>
    <row r="3535" spans="1:15" x14ac:dyDescent="0.3">
      <c r="A3535" s="130">
        <v>20178</v>
      </c>
      <c r="B3535" s="130">
        <v>18</v>
      </c>
      <c r="C3535" s="130" t="s">
        <v>5159</v>
      </c>
      <c r="D3535">
        <v>30473</v>
      </c>
      <c r="E3535" s="130">
        <v>11868115</v>
      </c>
      <c r="F3535" t="s">
        <v>87</v>
      </c>
      <c r="G3535">
        <v>76</v>
      </c>
      <c r="H3535" t="s">
        <v>8953</v>
      </c>
      <c r="I3535" s="130">
        <v>26</v>
      </c>
      <c r="J3535" t="s">
        <v>5159</v>
      </c>
      <c r="K3535" t="s">
        <v>108</v>
      </c>
      <c r="L3535" t="s">
        <v>151</v>
      </c>
      <c r="M3535" t="s">
        <v>112</v>
      </c>
      <c r="N3535" t="s">
        <v>122</v>
      </c>
      <c r="O3535" t="s">
        <v>1345</v>
      </c>
    </row>
    <row r="3536" spans="1:15" x14ac:dyDescent="0.3">
      <c r="A3536" s="130">
        <v>20180</v>
      </c>
      <c r="B3536" s="130">
        <v>35</v>
      </c>
      <c r="C3536" s="130" t="s">
        <v>5160</v>
      </c>
      <c r="D3536">
        <v>30475</v>
      </c>
      <c r="E3536" s="130">
        <v>8343492</v>
      </c>
      <c r="F3536" t="s">
        <v>87</v>
      </c>
      <c r="G3536">
        <v>77</v>
      </c>
      <c r="H3536" t="s">
        <v>8951</v>
      </c>
      <c r="I3536" s="131">
        <v>18</v>
      </c>
      <c r="J3536" t="s">
        <v>5160</v>
      </c>
      <c r="K3536" t="s">
        <v>95</v>
      </c>
      <c r="L3536" t="s">
        <v>256</v>
      </c>
      <c r="M3536" t="s">
        <v>161</v>
      </c>
      <c r="N3536" t="s">
        <v>98</v>
      </c>
      <c r="O3536" t="s">
        <v>116</v>
      </c>
    </row>
    <row r="3537" spans="1:15" x14ac:dyDescent="0.3">
      <c r="A3537" s="130">
        <v>20191</v>
      </c>
      <c r="B3537" s="130">
        <v>30</v>
      </c>
      <c r="C3537" s="130" t="s">
        <v>5161</v>
      </c>
      <c r="D3537">
        <v>30492</v>
      </c>
      <c r="E3537" s="130">
        <v>94480480</v>
      </c>
      <c r="F3537" t="s">
        <v>87</v>
      </c>
      <c r="G3537">
        <v>76</v>
      </c>
      <c r="H3537" t="s">
        <v>8952</v>
      </c>
      <c r="I3537" s="130">
        <v>43</v>
      </c>
      <c r="J3537" t="s">
        <v>5161</v>
      </c>
      <c r="K3537" t="s">
        <v>95</v>
      </c>
      <c r="L3537" t="s">
        <v>1368</v>
      </c>
      <c r="M3537" t="s">
        <v>103</v>
      </c>
      <c r="N3537" t="s">
        <v>114</v>
      </c>
      <c r="O3537" t="s">
        <v>116</v>
      </c>
    </row>
    <row r="3538" spans="1:15" x14ac:dyDescent="0.3">
      <c r="A3538" s="130">
        <v>20192</v>
      </c>
      <c r="B3538" s="130">
        <v>18</v>
      </c>
      <c r="C3538" s="130" t="s">
        <v>5162</v>
      </c>
      <c r="D3538">
        <v>30494</v>
      </c>
      <c r="E3538" s="130">
        <v>31835974</v>
      </c>
      <c r="F3538" t="s">
        <v>87</v>
      </c>
      <c r="G3538">
        <v>76</v>
      </c>
      <c r="H3538" t="s">
        <v>8953</v>
      </c>
      <c r="I3538" s="130">
        <v>26</v>
      </c>
      <c r="J3538" t="s">
        <v>5162</v>
      </c>
      <c r="K3538" t="s">
        <v>108</v>
      </c>
      <c r="L3538" t="s">
        <v>151</v>
      </c>
      <c r="M3538" t="s">
        <v>112</v>
      </c>
      <c r="N3538" t="s">
        <v>98</v>
      </c>
      <c r="O3538" t="s">
        <v>116</v>
      </c>
    </row>
    <row r="3539" spans="1:15" x14ac:dyDescent="0.3">
      <c r="A3539" s="130">
        <v>20210</v>
      </c>
      <c r="B3539" s="130">
        <v>30</v>
      </c>
      <c r="C3539" s="130" t="s">
        <v>5163</v>
      </c>
      <c r="D3539">
        <v>30522</v>
      </c>
      <c r="E3539" s="130">
        <v>22101690</v>
      </c>
      <c r="F3539" t="s">
        <v>87</v>
      </c>
      <c r="G3539">
        <v>76</v>
      </c>
      <c r="H3539" t="s">
        <v>8951</v>
      </c>
      <c r="I3539" s="130">
        <v>3</v>
      </c>
      <c r="J3539" t="s">
        <v>5163</v>
      </c>
      <c r="K3539" t="s">
        <v>95</v>
      </c>
      <c r="L3539" t="s">
        <v>102</v>
      </c>
      <c r="M3539" t="s">
        <v>103</v>
      </c>
      <c r="N3539" t="s">
        <v>132</v>
      </c>
      <c r="O3539" t="s">
        <v>116</v>
      </c>
    </row>
    <row r="3540" spans="1:15" x14ac:dyDescent="0.3">
      <c r="A3540" s="130">
        <v>20224</v>
      </c>
      <c r="B3540" s="130">
        <v>30</v>
      </c>
      <c r="C3540" s="130" t="s">
        <v>5164</v>
      </c>
      <c r="D3540">
        <v>30543</v>
      </c>
      <c r="E3540" s="130">
        <v>30455661</v>
      </c>
      <c r="F3540" t="s">
        <v>87</v>
      </c>
      <c r="G3540">
        <v>76</v>
      </c>
      <c r="H3540" t="s">
        <v>8952</v>
      </c>
      <c r="I3540" s="131">
        <v>18</v>
      </c>
      <c r="J3540" t="s">
        <v>5164</v>
      </c>
      <c r="K3540" t="s">
        <v>108</v>
      </c>
      <c r="L3540" t="s">
        <v>1293</v>
      </c>
      <c r="M3540" t="s">
        <v>103</v>
      </c>
      <c r="N3540" t="s">
        <v>98</v>
      </c>
      <c r="O3540" t="s">
        <v>1345</v>
      </c>
    </row>
    <row r="3541" spans="1:15" x14ac:dyDescent="0.3">
      <c r="A3541" s="130">
        <v>20231</v>
      </c>
      <c r="B3541" s="130">
        <v>30</v>
      </c>
      <c r="C3541" s="130" t="s">
        <v>5165</v>
      </c>
      <c r="D3541">
        <v>30553</v>
      </c>
      <c r="E3541" s="131">
        <v>22113908</v>
      </c>
      <c r="F3541" t="s">
        <v>87</v>
      </c>
      <c r="G3541">
        <v>76</v>
      </c>
      <c r="H3541" t="s">
        <v>8953</v>
      </c>
      <c r="I3541" s="130">
        <v>3</v>
      </c>
      <c r="J3541" t="s">
        <v>5165</v>
      </c>
      <c r="K3541" t="s">
        <v>95</v>
      </c>
      <c r="L3541" t="s">
        <v>111</v>
      </c>
      <c r="M3541" t="s">
        <v>103</v>
      </c>
      <c r="N3541" t="s">
        <v>98</v>
      </c>
      <c r="O3541" t="s">
        <v>1345</v>
      </c>
    </row>
    <row r="3542" spans="1:15" x14ac:dyDescent="0.3">
      <c r="A3542" s="130">
        <v>20251</v>
      </c>
      <c r="B3542" s="130">
        <v>30</v>
      </c>
      <c r="C3542" s="130" t="s">
        <v>5166</v>
      </c>
      <c r="D3542">
        <v>30591</v>
      </c>
      <c r="E3542" s="131">
        <v>36178464</v>
      </c>
      <c r="F3542" t="s">
        <v>87</v>
      </c>
      <c r="G3542">
        <v>76</v>
      </c>
      <c r="H3542" t="s">
        <v>8951</v>
      </c>
      <c r="I3542" s="130">
        <v>37</v>
      </c>
      <c r="J3542" t="s">
        <v>5166</v>
      </c>
      <c r="K3542" t="s">
        <v>95</v>
      </c>
      <c r="L3542" t="s">
        <v>138</v>
      </c>
      <c r="M3542" t="s">
        <v>103</v>
      </c>
      <c r="N3542" t="s">
        <v>150</v>
      </c>
      <c r="O3542" t="s">
        <v>1345</v>
      </c>
    </row>
    <row r="3543" spans="1:15" x14ac:dyDescent="0.3">
      <c r="A3543" s="130">
        <v>20254</v>
      </c>
      <c r="B3543" s="130">
        <v>30</v>
      </c>
      <c r="C3543" s="130" t="s">
        <v>5167</v>
      </c>
      <c r="D3543">
        <v>30596</v>
      </c>
      <c r="E3543" s="130">
        <v>2229648</v>
      </c>
      <c r="F3543" t="s">
        <v>87</v>
      </c>
      <c r="G3543">
        <v>76</v>
      </c>
      <c r="H3543" t="s">
        <v>8952</v>
      </c>
      <c r="I3543" s="130">
        <v>18</v>
      </c>
      <c r="J3543" t="s">
        <v>5167</v>
      </c>
      <c r="K3543" t="s">
        <v>108</v>
      </c>
      <c r="L3543" t="s">
        <v>123</v>
      </c>
      <c r="M3543" t="s">
        <v>103</v>
      </c>
      <c r="N3543" t="s">
        <v>98</v>
      </c>
      <c r="O3543" t="s">
        <v>116</v>
      </c>
    </row>
    <row r="3544" spans="1:15" x14ac:dyDescent="0.3">
      <c r="A3544" s="130">
        <v>20260</v>
      </c>
      <c r="B3544" s="130">
        <v>18</v>
      </c>
      <c r="C3544" s="130" t="s">
        <v>5168</v>
      </c>
      <c r="D3544">
        <v>30409</v>
      </c>
      <c r="E3544" s="130">
        <v>48884349</v>
      </c>
      <c r="F3544" t="s">
        <v>87</v>
      </c>
      <c r="G3544">
        <v>76</v>
      </c>
      <c r="H3544" t="s">
        <v>8953</v>
      </c>
      <c r="I3544" s="130">
        <v>26</v>
      </c>
      <c r="J3544" t="s">
        <v>5168</v>
      </c>
      <c r="K3544" t="s">
        <v>108</v>
      </c>
      <c r="L3544" t="s">
        <v>123</v>
      </c>
      <c r="M3544" t="s">
        <v>112</v>
      </c>
      <c r="N3544" t="s">
        <v>98</v>
      </c>
      <c r="O3544" t="s">
        <v>1345</v>
      </c>
    </row>
    <row r="3545" spans="1:15" x14ac:dyDescent="0.3">
      <c r="A3545" s="130">
        <v>20261</v>
      </c>
      <c r="B3545" s="130">
        <v>10</v>
      </c>
      <c r="C3545" s="130" t="s">
        <v>5169</v>
      </c>
      <c r="D3545">
        <v>30605</v>
      </c>
      <c r="E3545" s="131">
        <v>39935330</v>
      </c>
      <c r="F3545" t="s">
        <v>87</v>
      </c>
      <c r="G3545">
        <v>358</v>
      </c>
      <c r="H3545" t="s">
        <v>8951</v>
      </c>
      <c r="I3545" s="131">
        <v>10</v>
      </c>
      <c r="J3545" t="s">
        <v>5169</v>
      </c>
      <c r="K3545" t="s">
        <v>95</v>
      </c>
      <c r="L3545" t="s">
        <v>105</v>
      </c>
      <c r="M3545" t="s">
        <v>133</v>
      </c>
      <c r="N3545" t="s">
        <v>118</v>
      </c>
      <c r="O3545" t="s">
        <v>116</v>
      </c>
    </row>
    <row r="3546" spans="1:15" x14ac:dyDescent="0.3">
      <c r="A3546" s="130">
        <v>20266</v>
      </c>
      <c r="B3546" s="130">
        <v>18</v>
      </c>
      <c r="C3546" s="130" t="s">
        <v>5170</v>
      </c>
      <c r="D3546">
        <v>30612</v>
      </c>
      <c r="E3546" s="131">
        <v>16594889</v>
      </c>
      <c r="F3546" t="s">
        <v>87</v>
      </c>
      <c r="G3546">
        <v>76</v>
      </c>
      <c r="H3546" t="s">
        <v>8952</v>
      </c>
      <c r="I3546" s="130">
        <v>9</v>
      </c>
      <c r="J3546" t="s">
        <v>5170</v>
      </c>
      <c r="K3546" t="s">
        <v>95</v>
      </c>
      <c r="L3546" t="s">
        <v>163</v>
      </c>
      <c r="M3546" t="s">
        <v>112</v>
      </c>
      <c r="N3546" t="s">
        <v>98</v>
      </c>
      <c r="O3546" t="s">
        <v>116</v>
      </c>
    </row>
    <row r="3547" spans="1:15" x14ac:dyDescent="0.3">
      <c r="A3547" s="130">
        <v>20268</v>
      </c>
      <c r="B3547" s="130">
        <v>30</v>
      </c>
      <c r="C3547" s="130" t="s">
        <v>5171</v>
      </c>
      <c r="D3547">
        <v>30615</v>
      </c>
      <c r="E3547" s="130">
        <v>17161936</v>
      </c>
      <c r="F3547" t="s">
        <v>87</v>
      </c>
      <c r="G3547">
        <v>76</v>
      </c>
      <c r="H3547" t="s">
        <v>8953</v>
      </c>
      <c r="I3547" s="131">
        <v>3</v>
      </c>
      <c r="J3547" t="s">
        <v>5171</v>
      </c>
      <c r="K3547" t="s">
        <v>108</v>
      </c>
      <c r="L3547" t="s">
        <v>111</v>
      </c>
      <c r="M3547" t="s">
        <v>103</v>
      </c>
      <c r="N3547" t="s">
        <v>114</v>
      </c>
      <c r="O3547" t="s">
        <v>1345</v>
      </c>
    </row>
    <row r="3548" spans="1:15" x14ac:dyDescent="0.3">
      <c r="A3548" s="130">
        <v>20269</v>
      </c>
      <c r="B3548" s="130">
        <v>30</v>
      </c>
      <c r="C3548" s="130" t="s">
        <v>5172</v>
      </c>
      <c r="D3548">
        <v>30620</v>
      </c>
      <c r="E3548" s="130">
        <v>78023116</v>
      </c>
      <c r="F3548" t="s">
        <v>87</v>
      </c>
      <c r="G3548">
        <v>76</v>
      </c>
      <c r="H3548" t="s">
        <v>8951</v>
      </c>
      <c r="I3548" s="130">
        <v>18</v>
      </c>
      <c r="J3548" t="s">
        <v>5172</v>
      </c>
      <c r="K3548" t="s">
        <v>108</v>
      </c>
      <c r="L3548" t="s">
        <v>123</v>
      </c>
      <c r="M3548" t="s">
        <v>103</v>
      </c>
      <c r="N3548" t="s">
        <v>98</v>
      </c>
      <c r="O3548" t="s">
        <v>116</v>
      </c>
    </row>
    <row r="3549" spans="1:15" x14ac:dyDescent="0.3">
      <c r="A3549" s="130">
        <v>20270</v>
      </c>
      <c r="B3549" s="130">
        <v>10</v>
      </c>
      <c r="C3549" s="130" t="s">
        <v>5173</v>
      </c>
      <c r="D3549">
        <v>30621</v>
      </c>
      <c r="E3549" s="130">
        <v>41713147</v>
      </c>
      <c r="F3549" t="s">
        <v>87</v>
      </c>
      <c r="G3549">
        <v>76</v>
      </c>
      <c r="H3549" t="s">
        <v>8952</v>
      </c>
      <c r="I3549" s="131">
        <v>3</v>
      </c>
      <c r="J3549" t="s">
        <v>5173</v>
      </c>
      <c r="K3549" t="s">
        <v>108</v>
      </c>
      <c r="L3549" t="s">
        <v>153</v>
      </c>
      <c r="M3549" t="s">
        <v>133</v>
      </c>
      <c r="N3549" t="s">
        <v>101</v>
      </c>
      <c r="O3549" t="s">
        <v>1345</v>
      </c>
    </row>
    <row r="3550" spans="1:15" x14ac:dyDescent="0.3">
      <c r="A3550" s="130">
        <v>20277</v>
      </c>
      <c r="B3550" s="130">
        <v>10</v>
      </c>
      <c r="C3550" s="130" t="s">
        <v>5174</v>
      </c>
      <c r="D3550">
        <v>30631</v>
      </c>
      <c r="E3550" s="131">
        <v>66380148</v>
      </c>
      <c r="F3550" t="s">
        <v>87</v>
      </c>
      <c r="G3550">
        <v>76</v>
      </c>
      <c r="H3550" t="s">
        <v>8953</v>
      </c>
      <c r="I3550" s="130">
        <v>3</v>
      </c>
      <c r="J3550" t="s">
        <v>5174</v>
      </c>
      <c r="K3550" t="s">
        <v>108</v>
      </c>
      <c r="L3550" t="s">
        <v>153</v>
      </c>
      <c r="M3550" t="s">
        <v>133</v>
      </c>
      <c r="N3550" t="s">
        <v>101</v>
      </c>
      <c r="O3550" t="s">
        <v>1345</v>
      </c>
    </row>
    <row r="3551" spans="1:15" x14ac:dyDescent="0.3">
      <c r="A3551" s="130">
        <v>20278</v>
      </c>
      <c r="B3551" s="130">
        <v>30</v>
      </c>
      <c r="C3551" s="130" t="s">
        <v>5175</v>
      </c>
      <c r="D3551">
        <v>30633</v>
      </c>
      <c r="E3551" s="130">
        <v>3406655</v>
      </c>
      <c r="F3551" t="s">
        <v>87</v>
      </c>
      <c r="G3551">
        <v>76</v>
      </c>
      <c r="H3551" t="s">
        <v>8951</v>
      </c>
      <c r="I3551" s="131">
        <v>3</v>
      </c>
      <c r="J3551" t="s">
        <v>5175</v>
      </c>
      <c r="K3551" t="s">
        <v>108</v>
      </c>
      <c r="L3551" t="s">
        <v>111</v>
      </c>
      <c r="M3551" t="s">
        <v>103</v>
      </c>
      <c r="N3551" t="s">
        <v>98</v>
      </c>
      <c r="O3551" t="s">
        <v>116</v>
      </c>
    </row>
    <row r="3552" spans="1:15" x14ac:dyDescent="0.3">
      <c r="A3552" s="130">
        <v>20280</v>
      </c>
      <c r="B3552" s="130">
        <v>-1</v>
      </c>
      <c r="C3552" s="130" t="s">
        <v>5176</v>
      </c>
      <c r="D3552">
        <v>30636</v>
      </c>
      <c r="E3552" s="130">
        <v>39420869</v>
      </c>
      <c r="F3552" t="s">
        <v>87</v>
      </c>
      <c r="G3552">
        <v>76</v>
      </c>
      <c r="H3552" t="s">
        <v>8952</v>
      </c>
      <c r="I3552" s="130">
        <v>3</v>
      </c>
      <c r="J3552" t="s">
        <v>5176</v>
      </c>
      <c r="K3552" t="s">
        <v>108</v>
      </c>
      <c r="L3552" t="s">
        <v>111</v>
      </c>
      <c r="M3552" t="s">
        <v>174</v>
      </c>
      <c r="N3552" t="s">
        <v>98</v>
      </c>
      <c r="O3552" t="s">
        <v>116</v>
      </c>
    </row>
    <row r="3553" spans="1:15" x14ac:dyDescent="0.3">
      <c r="A3553" s="130">
        <v>20283</v>
      </c>
      <c r="B3553" s="130" t="s">
        <v>249</v>
      </c>
      <c r="C3553" s="130" t="s">
        <v>5177</v>
      </c>
      <c r="D3553">
        <v>30638</v>
      </c>
      <c r="E3553" s="130">
        <v>43787820</v>
      </c>
      <c r="F3553" t="s">
        <v>87</v>
      </c>
      <c r="G3553">
        <v>76</v>
      </c>
      <c r="H3553" t="s">
        <v>8953</v>
      </c>
      <c r="I3553" s="130">
        <v>9</v>
      </c>
      <c r="J3553" t="s">
        <v>5177</v>
      </c>
      <c r="K3553" t="s">
        <v>95</v>
      </c>
      <c r="L3553" t="s">
        <v>102</v>
      </c>
      <c r="M3553" t="s">
        <v>250</v>
      </c>
      <c r="N3553" t="s">
        <v>98</v>
      </c>
      <c r="O3553" t="s">
        <v>116</v>
      </c>
    </row>
    <row r="3554" spans="1:15" x14ac:dyDescent="0.3">
      <c r="A3554" s="130">
        <v>20288</v>
      </c>
      <c r="B3554" s="130">
        <v>30</v>
      </c>
      <c r="C3554" s="130" t="s">
        <v>5178</v>
      </c>
      <c r="D3554">
        <v>30646</v>
      </c>
      <c r="E3554" s="130">
        <v>3672857</v>
      </c>
      <c r="F3554" t="s">
        <v>87</v>
      </c>
      <c r="G3554">
        <v>76</v>
      </c>
      <c r="H3554" t="s">
        <v>8951</v>
      </c>
      <c r="I3554" s="130">
        <v>9</v>
      </c>
      <c r="J3554" t="s">
        <v>5178</v>
      </c>
      <c r="K3554" t="s">
        <v>108</v>
      </c>
      <c r="L3554" t="s">
        <v>181</v>
      </c>
      <c r="M3554" t="s">
        <v>103</v>
      </c>
      <c r="N3554" t="s">
        <v>98</v>
      </c>
      <c r="O3554" t="s">
        <v>116</v>
      </c>
    </row>
    <row r="3555" spans="1:15" x14ac:dyDescent="0.3">
      <c r="A3555" s="130">
        <v>20295</v>
      </c>
      <c r="B3555" s="130">
        <v>10</v>
      </c>
      <c r="C3555" s="130" t="s">
        <v>5179</v>
      </c>
      <c r="D3555">
        <v>30665</v>
      </c>
      <c r="E3555" s="130">
        <v>50897018</v>
      </c>
      <c r="F3555" t="s">
        <v>87</v>
      </c>
      <c r="G3555">
        <v>76</v>
      </c>
      <c r="H3555" t="s">
        <v>8952</v>
      </c>
      <c r="I3555" s="131">
        <v>18</v>
      </c>
      <c r="J3555" t="s">
        <v>5179</v>
      </c>
      <c r="K3555" t="s">
        <v>108</v>
      </c>
      <c r="L3555" t="s">
        <v>153</v>
      </c>
      <c r="M3555" t="s">
        <v>133</v>
      </c>
      <c r="N3555" t="s">
        <v>98</v>
      </c>
      <c r="O3555" t="s">
        <v>1345</v>
      </c>
    </row>
    <row r="3556" spans="1:15" x14ac:dyDescent="0.3">
      <c r="A3556" s="130">
        <v>20299</v>
      </c>
      <c r="B3556" s="130">
        <v>18</v>
      </c>
      <c r="C3556" s="130" t="s">
        <v>5180</v>
      </c>
      <c r="D3556">
        <v>30669</v>
      </c>
      <c r="E3556" s="131">
        <v>17216052</v>
      </c>
      <c r="F3556" t="s">
        <v>87</v>
      </c>
      <c r="G3556">
        <v>358</v>
      </c>
      <c r="H3556" t="s">
        <v>8953</v>
      </c>
      <c r="I3556" s="130">
        <v>3</v>
      </c>
      <c r="J3556" t="s">
        <v>5180</v>
      </c>
      <c r="K3556" t="s">
        <v>95</v>
      </c>
      <c r="L3556" t="s">
        <v>105</v>
      </c>
      <c r="M3556" t="s">
        <v>112</v>
      </c>
      <c r="N3556" t="s">
        <v>98</v>
      </c>
      <c r="O3556" t="s">
        <v>116</v>
      </c>
    </row>
    <row r="3557" spans="1:15" x14ac:dyDescent="0.3">
      <c r="A3557" s="130">
        <v>20303</v>
      </c>
      <c r="B3557" s="130">
        <v>30</v>
      </c>
      <c r="C3557" s="130" t="s">
        <v>5181</v>
      </c>
      <c r="D3557">
        <v>30677</v>
      </c>
      <c r="E3557" s="130">
        <v>50222914</v>
      </c>
      <c r="F3557" t="s">
        <v>87</v>
      </c>
      <c r="G3557">
        <v>76</v>
      </c>
      <c r="H3557" t="s">
        <v>8951</v>
      </c>
      <c r="I3557" s="130">
        <v>38</v>
      </c>
      <c r="J3557" t="s">
        <v>5181</v>
      </c>
      <c r="K3557" t="s">
        <v>108</v>
      </c>
      <c r="L3557" t="s">
        <v>126</v>
      </c>
      <c r="M3557" t="s">
        <v>103</v>
      </c>
      <c r="N3557" t="s">
        <v>98</v>
      </c>
      <c r="O3557" t="s">
        <v>1345</v>
      </c>
    </row>
    <row r="3558" spans="1:15" x14ac:dyDescent="0.3">
      <c r="A3558" s="130">
        <v>20304</v>
      </c>
      <c r="B3558" s="130">
        <v>20</v>
      </c>
      <c r="C3558" s="130" t="s">
        <v>5182</v>
      </c>
      <c r="D3558">
        <v>30679</v>
      </c>
      <c r="E3558" s="130">
        <v>37764761</v>
      </c>
      <c r="F3558" t="s">
        <v>87</v>
      </c>
      <c r="G3558">
        <v>76</v>
      </c>
      <c r="H3558" t="s">
        <v>8952</v>
      </c>
      <c r="I3558" s="131">
        <v>37</v>
      </c>
      <c r="J3558" t="s">
        <v>5182</v>
      </c>
      <c r="K3558" t="s">
        <v>108</v>
      </c>
      <c r="L3558" t="s">
        <v>138</v>
      </c>
      <c r="M3558" t="s">
        <v>148</v>
      </c>
      <c r="N3558" t="s">
        <v>101</v>
      </c>
      <c r="O3558" t="s">
        <v>116</v>
      </c>
    </row>
    <row r="3559" spans="1:15" x14ac:dyDescent="0.3">
      <c r="A3559" s="130">
        <v>20331</v>
      </c>
      <c r="B3559" s="130">
        <v>30</v>
      </c>
      <c r="C3559" s="130" t="s">
        <v>5183</v>
      </c>
      <c r="D3559">
        <v>30725</v>
      </c>
      <c r="E3559" s="130">
        <v>21062047</v>
      </c>
      <c r="F3559" t="s">
        <v>87</v>
      </c>
      <c r="G3559">
        <v>358</v>
      </c>
      <c r="H3559" t="s">
        <v>8953</v>
      </c>
      <c r="I3559" s="131">
        <v>3</v>
      </c>
      <c r="J3559" t="s">
        <v>5183</v>
      </c>
      <c r="K3559" t="s">
        <v>108</v>
      </c>
      <c r="L3559" t="s">
        <v>111</v>
      </c>
      <c r="M3559" t="s">
        <v>103</v>
      </c>
      <c r="N3559" t="s">
        <v>98</v>
      </c>
      <c r="O3559" t="s">
        <v>116</v>
      </c>
    </row>
    <row r="3560" spans="1:15" x14ac:dyDescent="0.3">
      <c r="A3560" s="130">
        <v>20332</v>
      </c>
      <c r="B3560" s="130">
        <v>30</v>
      </c>
      <c r="C3560" s="130" t="s">
        <v>5184</v>
      </c>
      <c r="D3560">
        <v>30729</v>
      </c>
      <c r="E3560" s="131">
        <v>242184</v>
      </c>
      <c r="F3560" t="s">
        <v>87</v>
      </c>
      <c r="G3560">
        <v>358</v>
      </c>
      <c r="H3560" t="s">
        <v>8951</v>
      </c>
      <c r="I3560" s="130">
        <v>18</v>
      </c>
      <c r="J3560" t="s">
        <v>5184</v>
      </c>
      <c r="K3560" t="s">
        <v>95</v>
      </c>
      <c r="L3560" t="s">
        <v>109</v>
      </c>
      <c r="M3560" t="s">
        <v>103</v>
      </c>
      <c r="N3560" t="s">
        <v>118</v>
      </c>
      <c r="O3560" t="s">
        <v>1345</v>
      </c>
    </row>
    <row r="3561" spans="1:15" x14ac:dyDescent="0.3">
      <c r="A3561" s="130">
        <v>20347</v>
      </c>
      <c r="B3561" s="130">
        <v>30</v>
      </c>
      <c r="C3561" s="130" t="s">
        <v>5185</v>
      </c>
      <c r="D3561">
        <v>30752</v>
      </c>
      <c r="E3561" s="131">
        <v>50030001</v>
      </c>
      <c r="F3561" t="s">
        <v>87</v>
      </c>
      <c r="G3561">
        <v>77</v>
      </c>
      <c r="H3561" t="s">
        <v>8952</v>
      </c>
      <c r="I3561" s="130">
        <v>37</v>
      </c>
      <c r="J3561" t="s">
        <v>5185</v>
      </c>
      <c r="K3561" t="s">
        <v>95</v>
      </c>
      <c r="L3561" t="s">
        <v>256</v>
      </c>
      <c r="M3561" t="s">
        <v>103</v>
      </c>
      <c r="N3561" t="s">
        <v>98</v>
      </c>
      <c r="O3561" t="s">
        <v>116</v>
      </c>
    </row>
    <row r="3562" spans="1:15" x14ac:dyDescent="0.3">
      <c r="A3562" s="130">
        <v>20352</v>
      </c>
      <c r="B3562" s="130">
        <v>30</v>
      </c>
      <c r="C3562" s="130" t="s">
        <v>5186</v>
      </c>
      <c r="D3562">
        <v>30757</v>
      </c>
      <c r="E3562" s="131">
        <v>18593815</v>
      </c>
      <c r="F3562" t="s">
        <v>87</v>
      </c>
      <c r="G3562">
        <v>76</v>
      </c>
      <c r="H3562" t="s">
        <v>8953</v>
      </c>
      <c r="I3562" s="131">
        <v>24</v>
      </c>
      <c r="J3562" t="s">
        <v>5186</v>
      </c>
      <c r="K3562" t="s">
        <v>108</v>
      </c>
      <c r="L3562" t="s">
        <v>191</v>
      </c>
      <c r="M3562" t="s">
        <v>103</v>
      </c>
      <c r="N3562" t="s">
        <v>98</v>
      </c>
      <c r="O3562" t="s">
        <v>116</v>
      </c>
    </row>
    <row r="3563" spans="1:15" x14ac:dyDescent="0.3">
      <c r="A3563" s="130">
        <v>20355</v>
      </c>
      <c r="B3563" s="130">
        <v>30</v>
      </c>
      <c r="C3563" s="130" t="s">
        <v>5187</v>
      </c>
      <c r="D3563">
        <v>30764</v>
      </c>
      <c r="E3563" s="130">
        <v>4737552</v>
      </c>
      <c r="F3563" t="s">
        <v>87</v>
      </c>
      <c r="G3563">
        <v>76</v>
      </c>
      <c r="H3563" t="s">
        <v>8951</v>
      </c>
      <c r="I3563" s="131">
        <v>3</v>
      </c>
      <c r="J3563" t="s">
        <v>5187</v>
      </c>
      <c r="K3563" t="s">
        <v>108</v>
      </c>
      <c r="L3563" t="s">
        <v>111</v>
      </c>
      <c r="M3563" t="s">
        <v>103</v>
      </c>
      <c r="N3563" t="s">
        <v>101</v>
      </c>
      <c r="O3563" t="s">
        <v>1345</v>
      </c>
    </row>
    <row r="3564" spans="1:15" x14ac:dyDescent="0.3">
      <c r="A3564" s="130">
        <v>20356</v>
      </c>
      <c r="B3564" s="130">
        <v>18</v>
      </c>
      <c r="C3564" s="130" t="s">
        <v>5188</v>
      </c>
      <c r="D3564">
        <v>30768</v>
      </c>
      <c r="E3564" s="130">
        <v>14267717</v>
      </c>
      <c r="F3564" t="s">
        <v>87</v>
      </c>
      <c r="G3564">
        <v>76</v>
      </c>
      <c r="H3564" t="s">
        <v>8952</v>
      </c>
      <c r="I3564" s="130">
        <v>9</v>
      </c>
      <c r="J3564" t="s">
        <v>5188</v>
      </c>
      <c r="K3564" t="s">
        <v>95</v>
      </c>
      <c r="L3564" t="s">
        <v>163</v>
      </c>
      <c r="M3564" t="s">
        <v>112</v>
      </c>
      <c r="N3564" t="s">
        <v>141</v>
      </c>
      <c r="O3564" t="s">
        <v>116</v>
      </c>
    </row>
    <row r="3565" spans="1:15" x14ac:dyDescent="0.3">
      <c r="A3565" s="130">
        <v>20358</v>
      </c>
      <c r="B3565" s="130">
        <v>30</v>
      </c>
      <c r="C3565" s="130" t="s">
        <v>5189</v>
      </c>
      <c r="D3565">
        <v>30769</v>
      </c>
      <c r="E3565" s="130">
        <v>14594896</v>
      </c>
      <c r="F3565" t="s">
        <v>87</v>
      </c>
      <c r="G3565">
        <v>358</v>
      </c>
      <c r="H3565" t="s">
        <v>8953</v>
      </c>
      <c r="I3565" s="131">
        <v>3</v>
      </c>
      <c r="J3565" t="s">
        <v>5189</v>
      </c>
      <c r="K3565" t="s">
        <v>108</v>
      </c>
      <c r="L3565" t="s">
        <v>111</v>
      </c>
      <c r="M3565" t="s">
        <v>103</v>
      </c>
      <c r="N3565" t="s">
        <v>98</v>
      </c>
      <c r="O3565" t="s">
        <v>1345</v>
      </c>
    </row>
    <row r="3566" spans="1:15" x14ac:dyDescent="0.3">
      <c r="A3566" s="130">
        <v>20361</v>
      </c>
      <c r="B3566" s="130">
        <v>30</v>
      </c>
      <c r="C3566" s="130" t="s">
        <v>5190</v>
      </c>
      <c r="D3566">
        <v>30772</v>
      </c>
      <c r="E3566" s="130">
        <v>2617158</v>
      </c>
      <c r="F3566" t="s">
        <v>87</v>
      </c>
      <c r="G3566">
        <v>76</v>
      </c>
      <c r="H3566" t="s">
        <v>8951</v>
      </c>
      <c r="I3566" s="130">
        <v>3</v>
      </c>
      <c r="J3566" t="s">
        <v>5190</v>
      </c>
      <c r="K3566" t="s">
        <v>95</v>
      </c>
      <c r="L3566" t="s">
        <v>111</v>
      </c>
      <c r="M3566" t="s">
        <v>103</v>
      </c>
      <c r="N3566" t="s">
        <v>98</v>
      </c>
      <c r="O3566" t="s">
        <v>1345</v>
      </c>
    </row>
    <row r="3567" spans="1:15" x14ac:dyDescent="0.3">
      <c r="A3567" s="130">
        <v>20362</v>
      </c>
      <c r="B3567" s="130">
        <v>30</v>
      </c>
      <c r="C3567" s="130" t="s">
        <v>5191</v>
      </c>
      <c r="D3567">
        <v>30773</v>
      </c>
      <c r="E3567" s="131">
        <v>9280758</v>
      </c>
      <c r="F3567" t="s">
        <v>87</v>
      </c>
      <c r="G3567">
        <v>76</v>
      </c>
      <c r="H3567" t="s">
        <v>8952</v>
      </c>
      <c r="I3567" s="131">
        <v>18</v>
      </c>
      <c r="J3567" t="s">
        <v>5191</v>
      </c>
      <c r="K3567" t="s">
        <v>108</v>
      </c>
      <c r="L3567" t="s">
        <v>123</v>
      </c>
      <c r="M3567" t="s">
        <v>103</v>
      </c>
      <c r="N3567" t="s">
        <v>98</v>
      </c>
      <c r="O3567" t="s">
        <v>1345</v>
      </c>
    </row>
    <row r="3568" spans="1:15" x14ac:dyDescent="0.3">
      <c r="A3568" s="130">
        <v>20363</v>
      </c>
      <c r="B3568" s="130">
        <v>30</v>
      </c>
      <c r="C3568" s="130" t="s">
        <v>5192</v>
      </c>
      <c r="D3568">
        <v>30774</v>
      </c>
      <c r="E3568" s="130">
        <v>3672857</v>
      </c>
      <c r="F3568" t="s">
        <v>87</v>
      </c>
      <c r="G3568">
        <v>76</v>
      </c>
      <c r="H3568" t="s">
        <v>8953</v>
      </c>
      <c r="I3568" s="131">
        <v>10</v>
      </c>
      <c r="J3568" t="s">
        <v>5192</v>
      </c>
      <c r="K3568" t="s">
        <v>95</v>
      </c>
      <c r="L3568" t="s">
        <v>127</v>
      </c>
      <c r="M3568" t="s">
        <v>103</v>
      </c>
      <c r="N3568" t="s">
        <v>118</v>
      </c>
      <c r="O3568" t="s">
        <v>1345</v>
      </c>
    </row>
    <row r="3569" spans="1:15" x14ac:dyDescent="0.3">
      <c r="A3569" s="130">
        <v>20366</v>
      </c>
      <c r="B3569" s="130">
        <v>28</v>
      </c>
      <c r="C3569" s="130" t="s">
        <v>5193</v>
      </c>
      <c r="D3569">
        <v>30781</v>
      </c>
      <c r="E3569" s="130">
        <v>7959171</v>
      </c>
      <c r="F3569" t="s">
        <v>87</v>
      </c>
      <c r="G3569">
        <v>76</v>
      </c>
      <c r="H3569" t="s">
        <v>8951</v>
      </c>
      <c r="I3569" s="130">
        <v>24</v>
      </c>
      <c r="J3569" t="s">
        <v>5193</v>
      </c>
      <c r="K3569" t="s">
        <v>95</v>
      </c>
      <c r="L3569" t="s">
        <v>191</v>
      </c>
      <c r="M3569" t="s">
        <v>130</v>
      </c>
      <c r="N3569" t="s">
        <v>98</v>
      </c>
      <c r="O3569" t="s">
        <v>1345</v>
      </c>
    </row>
    <row r="3570" spans="1:15" x14ac:dyDescent="0.3">
      <c r="A3570" s="130">
        <v>20369</v>
      </c>
      <c r="B3570" s="130">
        <v>30</v>
      </c>
      <c r="C3570" s="130" t="s">
        <v>5194</v>
      </c>
      <c r="D3570">
        <v>30786</v>
      </c>
      <c r="E3570" s="130">
        <v>60498706</v>
      </c>
      <c r="F3570" t="s">
        <v>87</v>
      </c>
      <c r="G3570">
        <v>76</v>
      </c>
      <c r="H3570" t="s">
        <v>8952</v>
      </c>
      <c r="I3570" s="130">
        <v>38</v>
      </c>
      <c r="J3570" t="s">
        <v>5194</v>
      </c>
      <c r="K3570" t="s">
        <v>108</v>
      </c>
      <c r="L3570" t="s">
        <v>126</v>
      </c>
      <c r="M3570" t="s">
        <v>103</v>
      </c>
      <c r="N3570" t="s">
        <v>141</v>
      </c>
      <c r="O3570" t="s">
        <v>116</v>
      </c>
    </row>
    <row r="3571" spans="1:15" x14ac:dyDescent="0.3">
      <c r="A3571" s="130">
        <v>20372</v>
      </c>
      <c r="B3571" s="130">
        <v>45</v>
      </c>
      <c r="C3571" s="130" t="s">
        <v>5195</v>
      </c>
      <c r="D3571">
        <v>30792</v>
      </c>
      <c r="E3571" s="130">
        <v>2888032</v>
      </c>
      <c r="F3571" t="s">
        <v>87</v>
      </c>
      <c r="G3571">
        <v>77</v>
      </c>
      <c r="H3571" t="s">
        <v>8953</v>
      </c>
      <c r="I3571" s="131">
        <v>18</v>
      </c>
      <c r="J3571" t="s">
        <v>5195</v>
      </c>
      <c r="K3571" t="s">
        <v>95</v>
      </c>
      <c r="L3571" t="s">
        <v>256</v>
      </c>
      <c r="M3571" t="s">
        <v>106</v>
      </c>
      <c r="N3571" t="s">
        <v>98</v>
      </c>
      <c r="O3571" t="s">
        <v>116</v>
      </c>
    </row>
    <row r="3572" spans="1:15" x14ac:dyDescent="0.3">
      <c r="A3572" s="130">
        <v>20376</v>
      </c>
      <c r="B3572" s="130">
        <v>18</v>
      </c>
      <c r="C3572" s="130" t="s">
        <v>5196</v>
      </c>
      <c r="D3572">
        <v>30797</v>
      </c>
      <c r="E3572" s="131">
        <v>10736565</v>
      </c>
      <c r="F3572" t="s">
        <v>87</v>
      </c>
      <c r="G3572">
        <v>76</v>
      </c>
      <c r="H3572" t="s">
        <v>8951</v>
      </c>
      <c r="I3572" s="130">
        <v>9</v>
      </c>
      <c r="J3572" t="s">
        <v>5196</v>
      </c>
      <c r="K3572" t="s">
        <v>95</v>
      </c>
      <c r="L3572" t="s">
        <v>163</v>
      </c>
      <c r="M3572" t="s">
        <v>112</v>
      </c>
      <c r="N3572" t="s">
        <v>98</v>
      </c>
      <c r="O3572" t="s">
        <v>116</v>
      </c>
    </row>
    <row r="3573" spans="1:15" x14ac:dyDescent="0.3">
      <c r="A3573" s="130">
        <v>20394</v>
      </c>
      <c r="B3573" s="130">
        <v>18</v>
      </c>
      <c r="C3573" s="130" t="s">
        <v>5197</v>
      </c>
      <c r="D3573">
        <v>30829</v>
      </c>
      <c r="E3573" s="130">
        <v>5484048</v>
      </c>
      <c r="F3573" t="s">
        <v>87</v>
      </c>
      <c r="G3573">
        <v>76</v>
      </c>
      <c r="H3573" t="s">
        <v>8952</v>
      </c>
      <c r="I3573" s="130">
        <v>3</v>
      </c>
      <c r="J3573" t="s">
        <v>5197</v>
      </c>
      <c r="K3573" t="s">
        <v>108</v>
      </c>
      <c r="L3573" t="s">
        <v>111</v>
      </c>
      <c r="M3573" t="s">
        <v>112</v>
      </c>
      <c r="N3573" t="s">
        <v>124</v>
      </c>
      <c r="O3573" t="s">
        <v>116</v>
      </c>
    </row>
    <row r="3574" spans="1:15" x14ac:dyDescent="0.3">
      <c r="A3574" s="130">
        <v>20402</v>
      </c>
      <c r="B3574" s="130">
        <v>35</v>
      </c>
      <c r="C3574" s="130" t="s">
        <v>5198</v>
      </c>
      <c r="D3574">
        <v>30840</v>
      </c>
      <c r="E3574" s="130">
        <v>8343492</v>
      </c>
      <c r="F3574" t="s">
        <v>87</v>
      </c>
      <c r="G3574">
        <v>77</v>
      </c>
      <c r="H3574" t="s">
        <v>8953</v>
      </c>
      <c r="I3574" s="131">
        <v>18</v>
      </c>
      <c r="J3574" t="s">
        <v>5198</v>
      </c>
      <c r="K3574" t="s">
        <v>95</v>
      </c>
      <c r="L3574" t="s">
        <v>256</v>
      </c>
      <c r="M3574" t="s">
        <v>161</v>
      </c>
      <c r="N3574" t="s">
        <v>98</v>
      </c>
      <c r="O3574" t="s">
        <v>116</v>
      </c>
    </row>
    <row r="3575" spans="1:15" x14ac:dyDescent="0.3">
      <c r="A3575" s="130">
        <v>20430</v>
      </c>
      <c r="B3575" s="130">
        <v>30</v>
      </c>
      <c r="C3575" s="130" t="s">
        <v>5199</v>
      </c>
      <c r="D3575">
        <v>30887</v>
      </c>
      <c r="E3575" s="130">
        <v>17722651</v>
      </c>
      <c r="F3575" t="s">
        <v>87</v>
      </c>
      <c r="G3575">
        <v>76</v>
      </c>
      <c r="H3575" t="s">
        <v>8951</v>
      </c>
      <c r="I3575" s="131">
        <v>38</v>
      </c>
      <c r="J3575" t="s">
        <v>5199</v>
      </c>
      <c r="K3575" t="s">
        <v>108</v>
      </c>
      <c r="L3575" t="s">
        <v>126</v>
      </c>
      <c r="M3575" t="s">
        <v>103</v>
      </c>
      <c r="N3575" t="s">
        <v>141</v>
      </c>
      <c r="O3575" t="s">
        <v>116</v>
      </c>
    </row>
    <row r="3576" spans="1:15" x14ac:dyDescent="0.3">
      <c r="A3576" s="130">
        <v>20434</v>
      </c>
      <c r="B3576" s="130">
        <v>30</v>
      </c>
      <c r="C3576" s="130" t="s">
        <v>5200</v>
      </c>
      <c r="D3576">
        <v>30897</v>
      </c>
      <c r="E3576" s="130">
        <v>44138270</v>
      </c>
      <c r="F3576" t="s">
        <v>87</v>
      </c>
      <c r="G3576">
        <v>76</v>
      </c>
      <c r="H3576" t="s">
        <v>8952</v>
      </c>
      <c r="I3576" s="130">
        <v>18</v>
      </c>
      <c r="J3576" t="s">
        <v>5200</v>
      </c>
      <c r="K3576" t="s">
        <v>108</v>
      </c>
      <c r="L3576" t="s">
        <v>123</v>
      </c>
      <c r="M3576" t="s">
        <v>103</v>
      </c>
      <c r="N3576" t="s">
        <v>98</v>
      </c>
      <c r="O3576" t="s">
        <v>116</v>
      </c>
    </row>
    <row r="3577" spans="1:15" x14ac:dyDescent="0.3">
      <c r="A3577" s="130">
        <v>20437</v>
      </c>
      <c r="B3577" s="130">
        <v>28</v>
      </c>
      <c r="C3577" s="130" t="s">
        <v>5201</v>
      </c>
      <c r="D3577">
        <v>30898</v>
      </c>
      <c r="E3577" s="130">
        <v>37264837</v>
      </c>
      <c r="F3577" t="s">
        <v>87</v>
      </c>
      <c r="G3577">
        <v>76</v>
      </c>
      <c r="H3577" t="s">
        <v>8953</v>
      </c>
      <c r="I3577" s="130">
        <v>37</v>
      </c>
      <c r="J3577" t="s">
        <v>5201</v>
      </c>
      <c r="K3577" t="s">
        <v>95</v>
      </c>
      <c r="L3577" t="s">
        <v>138</v>
      </c>
      <c r="M3577" t="s">
        <v>130</v>
      </c>
      <c r="N3577" t="s">
        <v>150</v>
      </c>
      <c r="O3577" t="s">
        <v>1345</v>
      </c>
    </row>
    <row r="3578" spans="1:15" x14ac:dyDescent="0.3">
      <c r="A3578" s="130">
        <v>20438</v>
      </c>
      <c r="B3578" s="130">
        <v>30</v>
      </c>
      <c r="C3578" s="130" t="s">
        <v>5202</v>
      </c>
      <c r="D3578">
        <v>30901</v>
      </c>
      <c r="E3578" s="130">
        <v>50729795</v>
      </c>
      <c r="F3578" t="s">
        <v>87</v>
      </c>
      <c r="G3578">
        <v>76</v>
      </c>
      <c r="H3578" t="s">
        <v>8951</v>
      </c>
      <c r="I3578" s="130">
        <v>24</v>
      </c>
      <c r="J3578" t="s">
        <v>5202</v>
      </c>
      <c r="K3578" t="s">
        <v>108</v>
      </c>
      <c r="L3578" t="s">
        <v>240</v>
      </c>
      <c r="M3578" t="s">
        <v>103</v>
      </c>
      <c r="N3578" t="s">
        <v>98</v>
      </c>
      <c r="O3578" t="s">
        <v>1345</v>
      </c>
    </row>
    <row r="3579" spans="1:15" x14ac:dyDescent="0.3">
      <c r="A3579" s="130">
        <v>20439</v>
      </c>
      <c r="B3579" s="130">
        <v>30</v>
      </c>
      <c r="C3579" s="130" t="s">
        <v>5203</v>
      </c>
      <c r="D3579">
        <v>30902</v>
      </c>
      <c r="E3579" s="130">
        <v>35234509</v>
      </c>
      <c r="F3579" t="s">
        <v>87</v>
      </c>
      <c r="G3579">
        <v>76</v>
      </c>
      <c r="H3579" t="s">
        <v>8952</v>
      </c>
      <c r="I3579" s="130">
        <v>18</v>
      </c>
      <c r="J3579" t="s">
        <v>5203</v>
      </c>
      <c r="K3579" t="s">
        <v>95</v>
      </c>
      <c r="L3579" t="s">
        <v>102</v>
      </c>
      <c r="M3579" t="s">
        <v>103</v>
      </c>
      <c r="N3579" t="s">
        <v>98</v>
      </c>
      <c r="O3579" t="s">
        <v>1345</v>
      </c>
    </row>
    <row r="3580" spans="1:15" x14ac:dyDescent="0.3">
      <c r="A3580" s="130">
        <v>20454</v>
      </c>
      <c r="B3580" s="130">
        <v>30</v>
      </c>
      <c r="C3580" s="130" t="s">
        <v>5204</v>
      </c>
      <c r="D3580">
        <v>30927</v>
      </c>
      <c r="E3580" s="130">
        <v>3521758</v>
      </c>
      <c r="F3580" t="s">
        <v>87</v>
      </c>
      <c r="G3580">
        <v>76</v>
      </c>
      <c r="H3580" t="s">
        <v>8953</v>
      </c>
      <c r="I3580" s="130">
        <v>3</v>
      </c>
      <c r="J3580" t="s">
        <v>5204</v>
      </c>
      <c r="K3580" t="s">
        <v>108</v>
      </c>
      <c r="L3580" t="s">
        <v>111</v>
      </c>
      <c r="M3580" t="s">
        <v>103</v>
      </c>
      <c r="N3580" t="s">
        <v>98</v>
      </c>
      <c r="O3580" t="s">
        <v>1345</v>
      </c>
    </row>
    <row r="3581" spans="1:15" x14ac:dyDescent="0.3">
      <c r="A3581" s="130">
        <v>20459</v>
      </c>
      <c r="B3581" s="130">
        <v>0</v>
      </c>
      <c r="C3581" s="130" t="s">
        <v>5205</v>
      </c>
      <c r="D3581">
        <v>30937</v>
      </c>
      <c r="E3581" s="130">
        <v>31430936</v>
      </c>
      <c r="F3581" t="s">
        <v>87</v>
      </c>
      <c r="G3581">
        <v>358</v>
      </c>
      <c r="H3581" t="s">
        <v>8951</v>
      </c>
      <c r="I3581" s="130">
        <v>3</v>
      </c>
      <c r="J3581" t="s">
        <v>5205</v>
      </c>
      <c r="K3581" t="s">
        <v>108</v>
      </c>
      <c r="L3581" t="s">
        <v>1250</v>
      </c>
      <c r="M3581" t="s">
        <v>100</v>
      </c>
      <c r="N3581" t="s">
        <v>216</v>
      </c>
      <c r="O3581" t="s">
        <v>1256</v>
      </c>
    </row>
    <row r="3582" spans="1:15" x14ac:dyDescent="0.3">
      <c r="A3582" s="130">
        <v>20460</v>
      </c>
      <c r="B3582" s="130">
        <v>30</v>
      </c>
      <c r="C3582" s="130" t="s">
        <v>5206</v>
      </c>
      <c r="D3582">
        <v>30939</v>
      </c>
      <c r="E3582" s="131">
        <v>8217851</v>
      </c>
      <c r="F3582" t="s">
        <v>87</v>
      </c>
      <c r="G3582">
        <v>76</v>
      </c>
      <c r="H3582" t="s">
        <v>8952</v>
      </c>
      <c r="I3582" s="131">
        <v>18</v>
      </c>
      <c r="J3582" t="s">
        <v>5206</v>
      </c>
      <c r="K3582" t="s">
        <v>108</v>
      </c>
      <c r="L3582" t="s">
        <v>123</v>
      </c>
      <c r="M3582" t="s">
        <v>103</v>
      </c>
      <c r="N3582" t="s">
        <v>98</v>
      </c>
      <c r="O3582" t="s">
        <v>1345</v>
      </c>
    </row>
    <row r="3583" spans="1:15" x14ac:dyDescent="0.3">
      <c r="A3583" s="130">
        <v>20466</v>
      </c>
      <c r="B3583" s="130" t="s">
        <v>156</v>
      </c>
      <c r="C3583" s="130" t="s">
        <v>5207</v>
      </c>
      <c r="D3583">
        <v>30941</v>
      </c>
      <c r="E3583" s="131">
        <v>2426640</v>
      </c>
      <c r="F3583" t="s">
        <v>87</v>
      </c>
      <c r="G3583">
        <v>76</v>
      </c>
      <c r="H3583" t="s">
        <v>8953</v>
      </c>
      <c r="I3583" s="131">
        <v>3</v>
      </c>
      <c r="J3583" t="s">
        <v>5207</v>
      </c>
      <c r="K3583" t="s">
        <v>108</v>
      </c>
      <c r="L3583" t="s">
        <v>111</v>
      </c>
      <c r="M3583" t="s">
        <v>156</v>
      </c>
      <c r="N3583" t="s">
        <v>98</v>
      </c>
      <c r="O3583" t="s">
        <v>1345</v>
      </c>
    </row>
    <row r="3584" spans="1:15" x14ac:dyDescent="0.3">
      <c r="A3584" s="130">
        <v>20475</v>
      </c>
      <c r="B3584" s="130">
        <v>18</v>
      </c>
      <c r="C3584" s="130" t="s">
        <v>5208</v>
      </c>
      <c r="D3584">
        <v>30955</v>
      </c>
      <c r="E3584" s="130">
        <v>19286752</v>
      </c>
      <c r="F3584" t="s">
        <v>87</v>
      </c>
      <c r="G3584">
        <v>358</v>
      </c>
      <c r="H3584" t="s">
        <v>8951</v>
      </c>
      <c r="I3584" s="131">
        <v>3</v>
      </c>
      <c r="J3584" t="s">
        <v>5208</v>
      </c>
      <c r="K3584" t="s">
        <v>108</v>
      </c>
      <c r="L3584" t="s">
        <v>111</v>
      </c>
      <c r="M3584" t="s">
        <v>112</v>
      </c>
      <c r="N3584" t="s">
        <v>101</v>
      </c>
      <c r="O3584" t="s">
        <v>1345</v>
      </c>
    </row>
    <row r="3585" spans="1:15" x14ac:dyDescent="0.3">
      <c r="A3585" s="130">
        <v>20485</v>
      </c>
      <c r="B3585" s="130">
        <v>60</v>
      </c>
      <c r="C3585" s="130" t="s">
        <v>5209</v>
      </c>
      <c r="D3585">
        <v>30963</v>
      </c>
      <c r="E3585" s="130">
        <v>33592510</v>
      </c>
      <c r="F3585" t="s">
        <v>87</v>
      </c>
      <c r="G3585">
        <v>77</v>
      </c>
      <c r="H3585" t="s">
        <v>8952</v>
      </c>
      <c r="I3585" s="130">
        <v>3</v>
      </c>
      <c r="J3585" t="s">
        <v>5209</v>
      </c>
      <c r="K3585" t="s">
        <v>95</v>
      </c>
      <c r="L3585" t="s">
        <v>117</v>
      </c>
      <c r="M3585" t="s">
        <v>97</v>
      </c>
      <c r="N3585" t="s">
        <v>118</v>
      </c>
      <c r="O3585" t="s">
        <v>116</v>
      </c>
    </row>
    <row r="3586" spans="1:15" x14ac:dyDescent="0.3">
      <c r="A3586" s="130">
        <v>20487</v>
      </c>
      <c r="B3586" s="130">
        <v>30</v>
      </c>
      <c r="C3586" s="130" t="s">
        <v>5210</v>
      </c>
      <c r="D3586">
        <v>30964</v>
      </c>
      <c r="E3586" s="130">
        <v>3165342</v>
      </c>
      <c r="F3586" t="s">
        <v>87</v>
      </c>
      <c r="G3586">
        <v>76</v>
      </c>
      <c r="H3586" t="s">
        <v>8953</v>
      </c>
      <c r="I3586" s="130">
        <v>18</v>
      </c>
      <c r="J3586" t="s">
        <v>5210</v>
      </c>
      <c r="K3586" t="s">
        <v>108</v>
      </c>
      <c r="L3586" t="s">
        <v>123</v>
      </c>
      <c r="M3586" t="s">
        <v>103</v>
      </c>
      <c r="N3586" t="s">
        <v>98</v>
      </c>
      <c r="O3586" t="s">
        <v>116</v>
      </c>
    </row>
    <row r="3587" spans="1:15" x14ac:dyDescent="0.3">
      <c r="A3587" s="130">
        <v>20492</v>
      </c>
      <c r="B3587" s="130">
        <v>30</v>
      </c>
      <c r="C3587" s="130" t="s">
        <v>5211</v>
      </c>
      <c r="D3587">
        <v>30972</v>
      </c>
      <c r="E3587" s="130">
        <v>7522191</v>
      </c>
      <c r="F3587" t="s">
        <v>87</v>
      </c>
      <c r="G3587">
        <v>76</v>
      </c>
      <c r="H3587" t="s">
        <v>8951</v>
      </c>
      <c r="I3587" s="131">
        <v>3</v>
      </c>
      <c r="J3587" t="s">
        <v>5211</v>
      </c>
      <c r="K3587" t="s">
        <v>95</v>
      </c>
      <c r="L3587" t="s">
        <v>111</v>
      </c>
      <c r="M3587" t="s">
        <v>103</v>
      </c>
      <c r="N3587" t="s">
        <v>98</v>
      </c>
      <c r="O3587" t="s">
        <v>1345</v>
      </c>
    </row>
    <row r="3588" spans="1:15" x14ac:dyDescent="0.3">
      <c r="A3588" s="130">
        <v>20493</v>
      </c>
      <c r="B3588" s="130">
        <v>15</v>
      </c>
      <c r="C3588" s="130" t="s">
        <v>5212</v>
      </c>
      <c r="D3588">
        <v>30974</v>
      </c>
      <c r="E3588" s="130">
        <v>27702723</v>
      </c>
      <c r="F3588" t="s">
        <v>87</v>
      </c>
      <c r="G3588">
        <v>76</v>
      </c>
      <c r="H3588" t="s">
        <v>8952</v>
      </c>
      <c r="I3588" s="130">
        <v>19</v>
      </c>
      <c r="J3588" t="s">
        <v>5212</v>
      </c>
      <c r="K3588" t="s">
        <v>108</v>
      </c>
      <c r="L3588" t="s">
        <v>146</v>
      </c>
      <c r="M3588" t="s">
        <v>145</v>
      </c>
      <c r="N3588" t="s">
        <v>98</v>
      </c>
      <c r="O3588" t="s">
        <v>116</v>
      </c>
    </row>
    <row r="3589" spans="1:15" x14ac:dyDescent="0.3">
      <c r="A3589" s="130">
        <v>20494</v>
      </c>
      <c r="B3589" s="130">
        <v>30</v>
      </c>
      <c r="C3589" s="130" t="s">
        <v>5213</v>
      </c>
      <c r="D3589">
        <v>30970</v>
      </c>
      <c r="E3589" s="130">
        <v>30748470</v>
      </c>
      <c r="F3589" t="s">
        <v>87</v>
      </c>
      <c r="G3589">
        <v>76</v>
      </c>
      <c r="H3589" t="s">
        <v>8953</v>
      </c>
      <c r="I3589" s="130">
        <v>18</v>
      </c>
      <c r="J3589" t="s">
        <v>5213</v>
      </c>
      <c r="K3589" t="s">
        <v>108</v>
      </c>
      <c r="L3589" t="s">
        <v>123</v>
      </c>
      <c r="M3589" t="s">
        <v>103</v>
      </c>
      <c r="N3589" t="s">
        <v>98</v>
      </c>
      <c r="O3589" t="s">
        <v>1345</v>
      </c>
    </row>
    <row r="3590" spans="1:15" x14ac:dyDescent="0.3">
      <c r="A3590" s="130">
        <v>20495</v>
      </c>
      <c r="B3590" s="130">
        <v>30</v>
      </c>
      <c r="C3590" s="130" t="s">
        <v>5214</v>
      </c>
      <c r="D3590">
        <v>30971</v>
      </c>
      <c r="E3590" s="131">
        <v>30748470</v>
      </c>
      <c r="F3590" t="s">
        <v>87</v>
      </c>
      <c r="G3590">
        <v>76</v>
      </c>
      <c r="H3590" t="s">
        <v>8951</v>
      </c>
      <c r="I3590" s="130">
        <v>18</v>
      </c>
      <c r="J3590" t="s">
        <v>5214</v>
      </c>
      <c r="K3590" t="s">
        <v>108</v>
      </c>
      <c r="L3590" t="s">
        <v>123</v>
      </c>
      <c r="M3590" t="s">
        <v>103</v>
      </c>
      <c r="N3590" t="s">
        <v>98</v>
      </c>
      <c r="O3590" t="s">
        <v>1345</v>
      </c>
    </row>
    <row r="3591" spans="1:15" x14ac:dyDescent="0.3">
      <c r="A3591" s="130">
        <v>20500</v>
      </c>
      <c r="B3591" s="130">
        <v>30</v>
      </c>
      <c r="C3591" s="130" t="s">
        <v>5215</v>
      </c>
      <c r="D3591">
        <v>30984</v>
      </c>
      <c r="E3591" s="130">
        <v>3471864</v>
      </c>
      <c r="F3591" t="s">
        <v>87</v>
      </c>
      <c r="G3591">
        <v>76</v>
      </c>
      <c r="H3591" t="s">
        <v>8952</v>
      </c>
      <c r="I3591" s="131">
        <v>38</v>
      </c>
      <c r="J3591" t="s">
        <v>5215</v>
      </c>
      <c r="K3591" t="s">
        <v>108</v>
      </c>
      <c r="L3591" t="s">
        <v>126</v>
      </c>
      <c r="M3591" t="s">
        <v>103</v>
      </c>
      <c r="N3591" t="s">
        <v>98</v>
      </c>
      <c r="O3591" t="s">
        <v>116</v>
      </c>
    </row>
    <row r="3592" spans="1:15" x14ac:dyDescent="0.3">
      <c r="A3592" s="130">
        <v>20503</v>
      </c>
      <c r="B3592" s="130">
        <v>30</v>
      </c>
      <c r="C3592" s="130" t="s">
        <v>5216</v>
      </c>
      <c r="D3592">
        <v>30987</v>
      </c>
      <c r="E3592" s="131">
        <v>73454788820</v>
      </c>
      <c r="F3592" t="s">
        <v>87</v>
      </c>
      <c r="G3592">
        <v>76</v>
      </c>
      <c r="H3592" t="s">
        <v>8953</v>
      </c>
      <c r="I3592" s="130">
        <v>38</v>
      </c>
      <c r="J3592" t="s">
        <v>5216</v>
      </c>
      <c r="K3592" t="s">
        <v>108</v>
      </c>
      <c r="L3592" t="s">
        <v>126</v>
      </c>
      <c r="M3592" t="s">
        <v>103</v>
      </c>
      <c r="N3592" t="s">
        <v>110</v>
      </c>
      <c r="O3592" t="s">
        <v>116</v>
      </c>
    </row>
    <row r="3593" spans="1:15" x14ac:dyDescent="0.3">
      <c r="A3593" s="130">
        <v>20509</v>
      </c>
      <c r="B3593" s="130">
        <v>18</v>
      </c>
      <c r="C3593" s="130" t="s">
        <v>5217</v>
      </c>
      <c r="D3593">
        <v>30995</v>
      </c>
      <c r="E3593" s="130">
        <v>50030001</v>
      </c>
      <c r="F3593" t="s">
        <v>87</v>
      </c>
      <c r="G3593">
        <v>358</v>
      </c>
      <c r="H3593" t="s">
        <v>8951</v>
      </c>
      <c r="I3593" s="130">
        <v>3</v>
      </c>
      <c r="J3593" t="s">
        <v>5217</v>
      </c>
      <c r="K3593" t="s">
        <v>95</v>
      </c>
      <c r="L3593" t="s">
        <v>105</v>
      </c>
      <c r="M3593" t="s">
        <v>112</v>
      </c>
      <c r="N3593" t="s">
        <v>98</v>
      </c>
      <c r="O3593" t="s">
        <v>1345</v>
      </c>
    </row>
    <row r="3594" spans="1:15" x14ac:dyDescent="0.3">
      <c r="A3594" s="130">
        <v>20514</v>
      </c>
      <c r="B3594" s="130">
        <v>18</v>
      </c>
      <c r="C3594" s="130" t="s">
        <v>5218</v>
      </c>
      <c r="D3594">
        <v>30993</v>
      </c>
      <c r="E3594" s="131">
        <v>37712993</v>
      </c>
      <c r="F3594" t="s">
        <v>87</v>
      </c>
      <c r="G3594">
        <v>76</v>
      </c>
      <c r="H3594" t="s">
        <v>8952</v>
      </c>
      <c r="I3594" s="130">
        <v>37</v>
      </c>
      <c r="J3594" t="s">
        <v>5218</v>
      </c>
      <c r="K3594" t="s">
        <v>108</v>
      </c>
      <c r="L3594" t="s">
        <v>138</v>
      </c>
      <c r="M3594" t="s">
        <v>112</v>
      </c>
      <c r="N3594" t="s">
        <v>101</v>
      </c>
      <c r="O3594" t="s">
        <v>1345</v>
      </c>
    </row>
    <row r="3595" spans="1:15" x14ac:dyDescent="0.3">
      <c r="A3595" s="130">
        <v>20522</v>
      </c>
      <c r="B3595" s="130">
        <v>30</v>
      </c>
      <c r="C3595" s="130" t="s">
        <v>5219</v>
      </c>
      <c r="D3595">
        <v>31012</v>
      </c>
      <c r="E3595" s="130">
        <v>19235340</v>
      </c>
      <c r="F3595" t="s">
        <v>87</v>
      </c>
      <c r="G3595">
        <v>358</v>
      </c>
      <c r="H3595" t="s">
        <v>8953</v>
      </c>
      <c r="I3595" s="131">
        <v>3</v>
      </c>
      <c r="J3595" t="s">
        <v>5219</v>
      </c>
      <c r="K3595" t="s">
        <v>95</v>
      </c>
      <c r="L3595" t="s">
        <v>111</v>
      </c>
      <c r="M3595" t="s">
        <v>103</v>
      </c>
      <c r="N3595" t="s">
        <v>98</v>
      </c>
      <c r="O3595" t="s">
        <v>116</v>
      </c>
    </row>
    <row r="3596" spans="1:15" x14ac:dyDescent="0.3">
      <c r="A3596" s="130">
        <v>20538</v>
      </c>
      <c r="B3596" s="130">
        <v>10</v>
      </c>
      <c r="C3596" s="130" t="s">
        <v>5220</v>
      </c>
      <c r="D3596">
        <v>30739</v>
      </c>
      <c r="E3596" s="130">
        <v>20051915</v>
      </c>
      <c r="F3596" t="s">
        <v>87</v>
      </c>
      <c r="G3596">
        <v>76</v>
      </c>
      <c r="H3596" t="s">
        <v>8951</v>
      </c>
      <c r="I3596" s="130">
        <v>24</v>
      </c>
      <c r="J3596" t="s">
        <v>5220</v>
      </c>
      <c r="K3596" t="s">
        <v>108</v>
      </c>
      <c r="L3596" t="s">
        <v>191</v>
      </c>
      <c r="M3596" t="s">
        <v>133</v>
      </c>
      <c r="N3596" t="s">
        <v>98</v>
      </c>
      <c r="O3596" t="s">
        <v>116</v>
      </c>
    </row>
    <row r="3597" spans="1:15" x14ac:dyDescent="0.3">
      <c r="A3597" s="130">
        <v>20540</v>
      </c>
      <c r="B3597" s="130">
        <v>30</v>
      </c>
      <c r="C3597" s="130" t="s">
        <v>5221</v>
      </c>
      <c r="D3597">
        <v>30430</v>
      </c>
      <c r="E3597" s="130">
        <v>33435231</v>
      </c>
      <c r="F3597" t="s">
        <v>87</v>
      </c>
      <c r="G3597">
        <v>77</v>
      </c>
      <c r="H3597" t="s">
        <v>8952</v>
      </c>
      <c r="I3597" s="130">
        <v>18</v>
      </c>
      <c r="J3597" t="s">
        <v>5221</v>
      </c>
      <c r="K3597" t="s">
        <v>108</v>
      </c>
      <c r="L3597" t="s">
        <v>256</v>
      </c>
      <c r="M3597" t="s">
        <v>103</v>
      </c>
      <c r="N3597" t="s">
        <v>114</v>
      </c>
      <c r="O3597" t="s">
        <v>116</v>
      </c>
    </row>
    <row r="3598" spans="1:15" x14ac:dyDescent="0.3">
      <c r="A3598" s="130">
        <v>20552</v>
      </c>
      <c r="B3598" s="130">
        <v>30</v>
      </c>
      <c r="C3598" s="130" t="s">
        <v>5222</v>
      </c>
      <c r="D3598">
        <v>31057</v>
      </c>
      <c r="E3598" s="130">
        <v>44553754</v>
      </c>
      <c r="F3598" t="s">
        <v>87</v>
      </c>
      <c r="G3598">
        <v>76</v>
      </c>
      <c r="H3598" t="s">
        <v>8953</v>
      </c>
      <c r="I3598" s="131">
        <v>3</v>
      </c>
      <c r="J3598" t="s">
        <v>5222</v>
      </c>
      <c r="K3598" t="s">
        <v>95</v>
      </c>
      <c r="L3598" t="s">
        <v>163</v>
      </c>
      <c r="M3598" t="s">
        <v>103</v>
      </c>
      <c r="N3598" t="s">
        <v>98</v>
      </c>
      <c r="O3598" t="s">
        <v>1256</v>
      </c>
    </row>
    <row r="3599" spans="1:15" x14ac:dyDescent="0.3">
      <c r="A3599" s="130">
        <v>20553</v>
      </c>
      <c r="B3599" s="130">
        <v>30</v>
      </c>
      <c r="C3599" s="130" t="s">
        <v>5223</v>
      </c>
      <c r="D3599">
        <v>31059</v>
      </c>
      <c r="E3599" s="130">
        <v>39740084</v>
      </c>
      <c r="F3599" t="s">
        <v>87</v>
      </c>
      <c r="G3599">
        <v>76</v>
      </c>
      <c r="H3599" t="s">
        <v>8951</v>
      </c>
      <c r="I3599" s="130">
        <v>9</v>
      </c>
      <c r="J3599" t="s">
        <v>5223</v>
      </c>
      <c r="K3599" t="s">
        <v>108</v>
      </c>
      <c r="L3599" t="s">
        <v>181</v>
      </c>
      <c r="M3599" t="s">
        <v>103</v>
      </c>
      <c r="N3599" t="s">
        <v>98</v>
      </c>
      <c r="O3599" t="s">
        <v>116</v>
      </c>
    </row>
    <row r="3600" spans="1:15" x14ac:dyDescent="0.3">
      <c r="A3600" s="130">
        <v>20556</v>
      </c>
      <c r="B3600" s="130">
        <v>90</v>
      </c>
      <c r="C3600" s="130" t="s">
        <v>5224</v>
      </c>
      <c r="D3600">
        <v>31064</v>
      </c>
      <c r="E3600" s="131">
        <v>35234509</v>
      </c>
      <c r="F3600" t="s">
        <v>87</v>
      </c>
      <c r="G3600">
        <v>76</v>
      </c>
      <c r="H3600" t="s">
        <v>8952</v>
      </c>
      <c r="I3600" s="130">
        <v>24</v>
      </c>
      <c r="J3600" t="s">
        <v>5224</v>
      </c>
      <c r="K3600" t="s">
        <v>95</v>
      </c>
      <c r="L3600" t="s">
        <v>102</v>
      </c>
      <c r="M3600" t="s">
        <v>170</v>
      </c>
      <c r="N3600" t="s">
        <v>98</v>
      </c>
      <c r="O3600" t="s">
        <v>116</v>
      </c>
    </row>
    <row r="3601" spans="1:15" x14ac:dyDescent="0.3">
      <c r="A3601" s="130">
        <v>20561</v>
      </c>
      <c r="B3601" s="130">
        <v>90</v>
      </c>
      <c r="C3601" s="130" t="s">
        <v>5225</v>
      </c>
      <c r="D3601">
        <v>31070</v>
      </c>
      <c r="E3601" s="131">
        <v>2888032</v>
      </c>
      <c r="F3601" t="s">
        <v>87</v>
      </c>
      <c r="G3601">
        <v>77</v>
      </c>
      <c r="H3601" t="s">
        <v>8953</v>
      </c>
      <c r="I3601" s="131">
        <v>18</v>
      </c>
      <c r="J3601" t="s">
        <v>5225</v>
      </c>
      <c r="K3601" t="s">
        <v>95</v>
      </c>
      <c r="L3601" t="s">
        <v>256</v>
      </c>
      <c r="M3601" t="s">
        <v>170</v>
      </c>
      <c r="N3601" t="s">
        <v>98</v>
      </c>
      <c r="O3601" t="s">
        <v>116</v>
      </c>
    </row>
    <row r="3602" spans="1:15" x14ac:dyDescent="0.3">
      <c r="A3602" s="130">
        <v>20564</v>
      </c>
      <c r="B3602" s="130">
        <v>30</v>
      </c>
      <c r="C3602" s="130" t="s">
        <v>5226</v>
      </c>
      <c r="D3602">
        <v>31072</v>
      </c>
      <c r="E3602" s="130">
        <v>15063096</v>
      </c>
      <c r="F3602" t="s">
        <v>87</v>
      </c>
      <c r="G3602">
        <v>76</v>
      </c>
      <c r="H3602" t="s">
        <v>8951</v>
      </c>
      <c r="I3602" s="130">
        <v>10</v>
      </c>
      <c r="J3602" t="s">
        <v>5226</v>
      </c>
      <c r="K3602" t="s">
        <v>95</v>
      </c>
      <c r="L3602" t="s">
        <v>127</v>
      </c>
      <c r="M3602" t="s">
        <v>103</v>
      </c>
      <c r="N3602" t="s">
        <v>118</v>
      </c>
      <c r="O3602" t="s">
        <v>116</v>
      </c>
    </row>
    <row r="3603" spans="1:15" x14ac:dyDescent="0.3">
      <c r="A3603" s="130">
        <v>20566</v>
      </c>
      <c r="B3603" s="130">
        <v>45</v>
      </c>
      <c r="C3603" s="130" t="s">
        <v>5227</v>
      </c>
      <c r="D3603">
        <v>31076</v>
      </c>
      <c r="E3603" s="130">
        <v>89637490</v>
      </c>
      <c r="F3603" t="s">
        <v>87</v>
      </c>
      <c r="G3603">
        <v>77</v>
      </c>
      <c r="H3603" t="s">
        <v>8952</v>
      </c>
      <c r="I3603" s="130">
        <v>3</v>
      </c>
      <c r="J3603" t="s">
        <v>5227</v>
      </c>
      <c r="K3603" t="s">
        <v>95</v>
      </c>
      <c r="L3603" t="s">
        <v>235</v>
      </c>
      <c r="M3603" t="s">
        <v>106</v>
      </c>
      <c r="N3603" t="s">
        <v>114</v>
      </c>
      <c r="O3603" t="s">
        <v>1345</v>
      </c>
    </row>
    <row r="3604" spans="1:15" x14ac:dyDescent="0.3">
      <c r="A3604" s="130">
        <v>20567</v>
      </c>
      <c r="B3604" s="130">
        <v>45</v>
      </c>
      <c r="C3604" s="130" t="s">
        <v>5228</v>
      </c>
      <c r="D3604">
        <v>31077</v>
      </c>
      <c r="E3604" s="130">
        <v>89637490</v>
      </c>
      <c r="F3604" t="s">
        <v>87</v>
      </c>
      <c r="G3604">
        <v>77</v>
      </c>
      <c r="H3604" t="s">
        <v>8953</v>
      </c>
      <c r="I3604" s="131">
        <v>40</v>
      </c>
      <c r="J3604" t="s">
        <v>5228</v>
      </c>
      <c r="K3604" t="s">
        <v>95</v>
      </c>
      <c r="L3604" t="s">
        <v>235</v>
      </c>
      <c r="M3604" t="s">
        <v>106</v>
      </c>
      <c r="N3604" t="s">
        <v>114</v>
      </c>
      <c r="O3604" t="s">
        <v>116</v>
      </c>
    </row>
    <row r="3605" spans="1:15" x14ac:dyDescent="0.3">
      <c r="A3605" s="130">
        <v>20571</v>
      </c>
      <c r="B3605" s="130">
        <v>45</v>
      </c>
      <c r="C3605" s="130" t="s">
        <v>5229</v>
      </c>
      <c r="D3605">
        <v>31083</v>
      </c>
      <c r="E3605" s="131">
        <v>21109697</v>
      </c>
      <c r="F3605" t="s">
        <v>87</v>
      </c>
      <c r="G3605">
        <v>77</v>
      </c>
      <c r="H3605" t="s">
        <v>8951</v>
      </c>
      <c r="I3605" s="131">
        <v>3</v>
      </c>
      <c r="J3605" t="s">
        <v>5229</v>
      </c>
      <c r="K3605" t="s">
        <v>95</v>
      </c>
      <c r="L3605" t="s">
        <v>117</v>
      </c>
      <c r="M3605" t="s">
        <v>106</v>
      </c>
      <c r="N3605" t="s">
        <v>114</v>
      </c>
      <c r="O3605" t="s">
        <v>116</v>
      </c>
    </row>
    <row r="3606" spans="1:15" x14ac:dyDescent="0.3">
      <c r="A3606" s="130">
        <v>20572</v>
      </c>
      <c r="B3606" s="130">
        <v>30</v>
      </c>
      <c r="C3606" s="130" t="s">
        <v>5230</v>
      </c>
      <c r="D3606">
        <v>31082</v>
      </c>
      <c r="E3606" s="130">
        <v>33193996</v>
      </c>
      <c r="F3606" t="s">
        <v>87</v>
      </c>
      <c r="G3606">
        <v>76</v>
      </c>
      <c r="H3606" t="s">
        <v>8952</v>
      </c>
      <c r="I3606" s="130">
        <v>10</v>
      </c>
      <c r="J3606" t="s">
        <v>5230</v>
      </c>
      <c r="K3606" t="s">
        <v>95</v>
      </c>
      <c r="L3606" t="s">
        <v>127</v>
      </c>
      <c r="M3606" t="s">
        <v>103</v>
      </c>
      <c r="N3606" t="s">
        <v>118</v>
      </c>
      <c r="O3606" t="s">
        <v>116</v>
      </c>
    </row>
    <row r="3607" spans="1:15" x14ac:dyDescent="0.3">
      <c r="A3607" s="130">
        <v>20573</v>
      </c>
      <c r="B3607" s="130">
        <v>10</v>
      </c>
      <c r="C3607" s="130" t="s">
        <v>5231</v>
      </c>
      <c r="D3607">
        <v>31084</v>
      </c>
      <c r="E3607" s="130">
        <v>37262942</v>
      </c>
      <c r="F3607" t="s">
        <v>87</v>
      </c>
      <c r="G3607">
        <v>358</v>
      </c>
      <c r="H3607" t="s">
        <v>8953</v>
      </c>
      <c r="I3607" s="130">
        <v>10</v>
      </c>
      <c r="J3607" t="s">
        <v>5231</v>
      </c>
      <c r="K3607" t="s">
        <v>95</v>
      </c>
      <c r="L3607" t="s">
        <v>105</v>
      </c>
      <c r="M3607" t="s">
        <v>133</v>
      </c>
      <c r="N3607" t="s">
        <v>98</v>
      </c>
      <c r="O3607" t="s">
        <v>1345</v>
      </c>
    </row>
    <row r="3608" spans="1:15" x14ac:dyDescent="0.3">
      <c r="A3608" s="130">
        <v>20574</v>
      </c>
      <c r="B3608" s="130">
        <v>10</v>
      </c>
      <c r="C3608" s="130" t="s">
        <v>5232</v>
      </c>
      <c r="D3608">
        <v>31087</v>
      </c>
      <c r="E3608" s="131">
        <v>35302016</v>
      </c>
      <c r="F3608" t="s">
        <v>87</v>
      </c>
      <c r="G3608">
        <v>76</v>
      </c>
      <c r="H3608" t="s">
        <v>8951</v>
      </c>
      <c r="I3608" s="131">
        <v>37</v>
      </c>
      <c r="J3608" t="s">
        <v>5232</v>
      </c>
      <c r="K3608" t="s">
        <v>108</v>
      </c>
      <c r="L3608" t="s">
        <v>138</v>
      </c>
      <c r="M3608" t="s">
        <v>133</v>
      </c>
      <c r="N3608" t="s">
        <v>114</v>
      </c>
      <c r="O3608" t="s">
        <v>1345</v>
      </c>
    </row>
    <row r="3609" spans="1:15" x14ac:dyDescent="0.3">
      <c r="A3609" s="130">
        <v>20576</v>
      </c>
      <c r="B3609" s="130">
        <v>18</v>
      </c>
      <c r="C3609" s="130" t="s">
        <v>5233</v>
      </c>
      <c r="D3609">
        <v>31089</v>
      </c>
      <c r="E3609" s="130">
        <v>8056030</v>
      </c>
      <c r="F3609" t="s">
        <v>87</v>
      </c>
      <c r="G3609">
        <v>76</v>
      </c>
      <c r="H3609" t="s">
        <v>8952</v>
      </c>
      <c r="I3609" s="130">
        <v>26</v>
      </c>
      <c r="J3609" t="s">
        <v>5233</v>
      </c>
      <c r="K3609" t="s">
        <v>95</v>
      </c>
      <c r="L3609" t="s">
        <v>151</v>
      </c>
      <c r="M3609" t="s">
        <v>112</v>
      </c>
      <c r="N3609" t="s">
        <v>169</v>
      </c>
      <c r="O3609" t="s">
        <v>116</v>
      </c>
    </row>
    <row r="3610" spans="1:15" x14ac:dyDescent="0.3">
      <c r="A3610" s="130">
        <v>20578</v>
      </c>
      <c r="B3610" s="130">
        <v>18</v>
      </c>
      <c r="C3610" s="130" t="s">
        <v>5234</v>
      </c>
      <c r="D3610">
        <v>31092</v>
      </c>
      <c r="E3610" s="130">
        <v>10736565</v>
      </c>
      <c r="F3610" t="s">
        <v>87</v>
      </c>
      <c r="G3610">
        <v>76</v>
      </c>
      <c r="H3610" t="s">
        <v>8953</v>
      </c>
      <c r="I3610" s="131">
        <v>9</v>
      </c>
      <c r="J3610" t="s">
        <v>5234</v>
      </c>
      <c r="K3610" t="s">
        <v>95</v>
      </c>
      <c r="L3610" t="s">
        <v>163</v>
      </c>
      <c r="M3610" t="s">
        <v>112</v>
      </c>
      <c r="N3610" t="s">
        <v>114</v>
      </c>
      <c r="O3610" t="s">
        <v>116</v>
      </c>
    </row>
    <row r="3611" spans="1:15" x14ac:dyDescent="0.3">
      <c r="A3611" s="130">
        <v>20579</v>
      </c>
      <c r="B3611" s="130">
        <v>10</v>
      </c>
      <c r="C3611" s="130" t="s">
        <v>5235</v>
      </c>
      <c r="D3611">
        <v>31094</v>
      </c>
      <c r="E3611" s="131">
        <v>35302016</v>
      </c>
      <c r="F3611" t="s">
        <v>87</v>
      </c>
      <c r="G3611">
        <v>76</v>
      </c>
      <c r="H3611" t="s">
        <v>8951</v>
      </c>
      <c r="I3611" s="130">
        <v>37</v>
      </c>
      <c r="J3611" t="s">
        <v>5235</v>
      </c>
      <c r="K3611" t="s">
        <v>108</v>
      </c>
      <c r="L3611" t="s">
        <v>138</v>
      </c>
      <c r="M3611" t="s">
        <v>133</v>
      </c>
      <c r="N3611" t="s">
        <v>114</v>
      </c>
      <c r="O3611" t="s">
        <v>116</v>
      </c>
    </row>
    <row r="3612" spans="1:15" x14ac:dyDescent="0.3">
      <c r="A3612" s="130">
        <v>20581</v>
      </c>
      <c r="B3612" s="130">
        <v>10</v>
      </c>
      <c r="C3612" s="130" t="s">
        <v>5236</v>
      </c>
      <c r="D3612">
        <v>31095</v>
      </c>
      <c r="E3612" s="130">
        <v>35302016</v>
      </c>
      <c r="F3612" t="s">
        <v>87</v>
      </c>
      <c r="G3612">
        <v>76</v>
      </c>
      <c r="H3612" t="s">
        <v>8952</v>
      </c>
      <c r="I3612" s="130">
        <v>37</v>
      </c>
      <c r="J3612" t="s">
        <v>5236</v>
      </c>
      <c r="K3612" t="s">
        <v>108</v>
      </c>
      <c r="L3612" t="s">
        <v>138</v>
      </c>
      <c r="M3612" t="s">
        <v>133</v>
      </c>
      <c r="N3612" t="s">
        <v>114</v>
      </c>
      <c r="O3612" t="s">
        <v>116</v>
      </c>
    </row>
    <row r="3613" spans="1:15" x14ac:dyDescent="0.3">
      <c r="A3613" s="130">
        <v>20583</v>
      </c>
      <c r="B3613" s="130">
        <v>10</v>
      </c>
      <c r="C3613" s="130" t="s">
        <v>5237</v>
      </c>
      <c r="D3613">
        <v>31097</v>
      </c>
      <c r="E3613" s="131">
        <v>35302016</v>
      </c>
      <c r="F3613" t="s">
        <v>87</v>
      </c>
      <c r="G3613">
        <v>76</v>
      </c>
      <c r="H3613" t="s">
        <v>8953</v>
      </c>
      <c r="I3613" s="131">
        <v>37</v>
      </c>
      <c r="J3613" t="s">
        <v>5237</v>
      </c>
      <c r="K3613" t="s">
        <v>95</v>
      </c>
      <c r="L3613" t="s">
        <v>138</v>
      </c>
      <c r="M3613" t="s">
        <v>133</v>
      </c>
      <c r="N3613" t="s">
        <v>114</v>
      </c>
      <c r="O3613" t="s">
        <v>1345</v>
      </c>
    </row>
    <row r="3614" spans="1:15" x14ac:dyDescent="0.3">
      <c r="A3614" s="130">
        <v>20585</v>
      </c>
      <c r="B3614" s="130">
        <v>10</v>
      </c>
      <c r="C3614" s="130" t="s">
        <v>5238</v>
      </c>
      <c r="D3614">
        <v>31102</v>
      </c>
      <c r="E3614" s="130">
        <v>35302016</v>
      </c>
      <c r="F3614" t="s">
        <v>87</v>
      </c>
      <c r="G3614">
        <v>76</v>
      </c>
      <c r="H3614" t="s">
        <v>8951</v>
      </c>
      <c r="I3614" s="130">
        <v>37</v>
      </c>
      <c r="J3614" t="s">
        <v>5238</v>
      </c>
      <c r="K3614" t="s">
        <v>108</v>
      </c>
      <c r="L3614" t="s">
        <v>138</v>
      </c>
      <c r="M3614" t="s">
        <v>133</v>
      </c>
      <c r="N3614" t="s">
        <v>114</v>
      </c>
      <c r="O3614" t="s">
        <v>116</v>
      </c>
    </row>
    <row r="3615" spans="1:15" x14ac:dyDescent="0.3">
      <c r="A3615" s="130">
        <v>20602</v>
      </c>
      <c r="B3615" s="130">
        <v>30</v>
      </c>
      <c r="C3615" s="130" t="s">
        <v>5239</v>
      </c>
      <c r="D3615">
        <v>31129</v>
      </c>
      <c r="E3615" s="131">
        <v>29513405</v>
      </c>
      <c r="F3615" t="s">
        <v>87</v>
      </c>
      <c r="G3615">
        <v>76</v>
      </c>
      <c r="H3615" t="s">
        <v>8952</v>
      </c>
      <c r="I3615" s="130">
        <v>18</v>
      </c>
      <c r="J3615" t="s">
        <v>5239</v>
      </c>
      <c r="K3615" t="s">
        <v>108</v>
      </c>
      <c r="L3615" t="s">
        <v>123</v>
      </c>
      <c r="M3615" t="s">
        <v>103</v>
      </c>
      <c r="N3615" t="s">
        <v>98</v>
      </c>
      <c r="O3615" t="s">
        <v>1345</v>
      </c>
    </row>
    <row r="3616" spans="1:15" x14ac:dyDescent="0.3">
      <c r="A3616" s="130">
        <v>20603</v>
      </c>
      <c r="B3616" s="130">
        <v>21</v>
      </c>
      <c r="C3616" s="130" t="s">
        <v>5240</v>
      </c>
      <c r="D3616">
        <v>31131</v>
      </c>
      <c r="E3616" s="130">
        <v>3992929</v>
      </c>
      <c r="F3616" t="s">
        <v>87</v>
      </c>
      <c r="G3616">
        <v>76</v>
      </c>
      <c r="H3616" t="s">
        <v>8953</v>
      </c>
      <c r="I3616" s="130">
        <v>10</v>
      </c>
      <c r="J3616" t="s">
        <v>5240</v>
      </c>
      <c r="K3616" t="s">
        <v>108</v>
      </c>
      <c r="L3616" t="s">
        <v>127</v>
      </c>
      <c r="M3616" t="s">
        <v>137</v>
      </c>
      <c r="N3616" t="s">
        <v>118</v>
      </c>
      <c r="O3616" t="s">
        <v>1345</v>
      </c>
    </row>
    <row r="3617" spans="1:15" x14ac:dyDescent="0.3">
      <c r="A3617" s="130">
        <v>20606</v>
      </c>
      <c r="B3617" s="130">
        <v>10</v>
      </c>
      <c r="C3617" s="130" t="s">
        <v>5241</v>
      </c>
      <c r="D3617">
        <v>31134</v>
      </c>
      <c r="E3617" s="131">
        <v>13783221</v>
      </c>
      <c r="F3617" t="s">
        <v>87</v>
      </c>
      <c r="G3617">
        <v>76</v>
      </c>
      <c r="H3617" t="s">
        <v>8951</v>
      </c>
      <c r="I3617" s="130">
        <v>3</v>
      </c>
      <c r="J3617" t="s">
        <v>5241</v>
      </c>
      <c r="K3617" t="s">
        <v>108</v>
      </c>
      <c r="L3617" t="s">
        <v>153</v>
      </c>
      <c r="M3617" t="s">
        <v>133</v>
      </c>
      <c r="N3617" t="s">
        <v>98</v>
      </c>
      <c r="O3617" t="s">
        <v>1345</v>
      </c>
    </row>
    <row r="3618" spans="1:15" x14ac:dyDescent="0.3">
      <c r="A3618" s="130">
        <v>20607</v>
      </c>
      <c r="B3618" s="130">
        <v>30</v>
      </c>
      <c r="C3618" s="130" t="s">
        <v>5242</v>
      </c>
      <c r="D3618">
        <v>31135</v>
      </c>
      <c r="E3618" s="131">
        <v>2385674</v>
      </c>
      <c r="F3618" t="s">
        <v>87</v>
      </c>
      <c r="G3618">
        <v>358</v>
      </c>
      <c r="H3618" t="s">
        <v>8952</v>
      </c>
      <c r="I3618" s="130">
        <v>3</v>
      </c>
      <c r="J3618" t="s">
        <v>5242</v>
      </c>
      <c r="K3618" t="s">
        <v>108</v>
      </c>
      <c r="L3618" t="s">
        <v>109</v>
      </c>
      <c r="M3618" t="s">
        <v>103</v>
      </c>
      <c r="N3618" t="s">
        <v>98</v>
      </c>
      <c r="O3618" t="s">
        <v>116</v>
      </c>
    </row>
    <row r="3619" spans="1:15" x14ac:dyDescent="0.3">
      <c r="A3619" s="130">
        <v>20612</v>
      </c>
      <c r="B3619" s="130">
        <v>30</v>
      </c>
      <c r="C3619" s="130" t="s">
        <v>5243</v>
      </c>
      <c r="D3619">
        <v>31149</v>
      </c>
      <c r="E3619" s="131">
        <v>7522191</v>
      </c>
      <c r="F3619" t="s">
        <v>87</v>
      </c>
      <c r="G3619">
        <v>358</v>
      </c>
      <c r="H3619" t="s">
        <v>8953</v>
      </c>
      <c r="I3619" s="130">
        <v>3</v>
      </c>
      <c r="J3619" t="s">
        <v>5243</v>
      </c>
      <c r="K3619" t="s">
        <v>108</v>
      </c>
      <c r="L3619" t="s">
        <v>111</v>
      </c>
      <c r="M3619" t="s">
        <v>103</v>
      </c>
      <c r="N3619" t="s">
        <v>98</v>
      </c>
      <c r="O3619" t="s">
        <v>1345</v>
      </c>
    </row>
    <row r="3620" spans="1:15" x14ac:dyDescent="0.3">
      <c r="A3620" s="130">
        <v>20615</v>
      </c>
      <c r="B3620" s="130">
        <v>30</v>
      </c>
      <c r="C3620" s="130" t="s">
        <v>5244</v>
      </c>
      <c r="D3620">
        <v>31151</v>
      </c>
      <c r="E3620" s="130">
        <v>61186888</v>
      </c>
      <c r="F3620" t="s">
        <v>87</v>
      </c>
      <c r="G3620">
        <v>76</v>
      </c>
      <c r="H3620" t="s">
        <v>8951</v>
      </c>
      <c r="I3620" s="130">
        <v>3</v>
      </c>
      <c r="J3620" t="s">
        <v>5244</v>
      </c>
      <c r="K3620" t="s">
        <v>108</v>
      </c>
      <c r="L3620" t="s">
        <v>111</v>
      </c>
      <c r="M3620" t="s">
        <v>103</v>
      </c>
      <c r="N3620" t="s">
        <v>101</v>
      </c>
      <c r="O3620" t="s">
        <v>116</v>
      </c>
    </row>
    <row r="3621" spans="1:15" x14ac:dyDescent="0.3">
      <c r="A3621" s="130">
        <v>20616</v>
      </c>
      <c r="B3621" s="130">
        <v>30</v>
      </c>
      <c r="C3621" s="130" t="s">
        <v>5245</v>
      </c>
      <c r="D3621">
        <v>31152</v>
      </c>
      <c r="E3621" s="130">
        <v>61186888</v>
      </c>
      <c r="F3621" t="s">
        <v>87</v>
      </c>
      <c r="G3621">
        <v>76</v>
      </c>
      <c r="H3621" t="s">
        <v>8952</v>
      </c>
      <c r="I3621" s="130">
        <v>3</v>
      </c>
      <c r="J3621" t="s">
        <v>5245</v>
      </c>
      <c r="K3621" t="s">
        <v>95</v>
      </c>
      <c r="L3621" t="s">
        <v>111</v>
      </c>
      <c r="M3621" t="s">
        <v>103</v>
      </c>
      <c r="N3621" t="s">
        <v>101</v>
      </c>
      <c r="O3621" t="s">
        <v>1345</v>
      </c>
    </row>
    <row r="3622" spans="1:15" x14ac:dyDescent="0.3">
      <c r="A3622" s="130">
        <v>20617</v>
      </c>
      <c r="B3622" s="130">
        <v>30</v>
      </c>
      <c r="C3622" s="130" t="s">
        <v>5246</v>
      </c>
      <c r="D3622">
        <v>31153</v>
      </c>
      <c r="E3622" s="130">
        <v>49948167</v>
      </c>
      <c r="F3622" t="s">
        <v>87</v>
      </c>
      <c r="G3622">
        <v>76</v>
      </c>
      <c r="H3622" t="s">
        <v>8953</v>
      </c>
      <c r="I3622" s="130">
        <v>38</v>
      </c>
      <c r="J3622" t="s">
        <v>5246</v>
      </c>
      <c r="K3622" t="s">
        <v>108</v>
      </c>
      <c r="L3622" t="s">
        <v>126</v>
      </c>
      <c r="M3622" t="s">
        <v>103</v>
      </c>
      <c r="N3622" t="s">
        <v>101</v>
      </c>
      <c r="O3622" t="s">
        <v>1345</v>
      </c>
    </row>
    <row r="3623" spans="1:15" x14ac:dyDescent="0.3">
      <c r="A3623" s="130">
        <v>20619</v>
      </c>
      <c r="B3623" s="130">
        <v>0</v>
      </c>
      <c r="C3623" s="130" t="s">
        <v>5247</v>
      </c>
      <c r="D3623">
        <v>31154</v>
      </c>
      <c r="E3623" s="130">
        <v>1092686</v>
      </c>
      <c r="F3623" t="s">
        <v>87</v>
      </c>
      <c r="G3623">
        <v>358</v>
      </c>
      <c r="H3623" t="s">
        <v>8951</v>
      </c>
      <c r="I3623" s="130">
        <v>10</v>
      </c>
      <c r="J3623" t="s">
        <v>5247</v>
      </c>
      <c r="K3623" t="s">
        <v>95</v>
      </c>
      <c r="L3623" t="s">
        <v>109</v>
      </c>
      <c r="M3623" t="s">
        <v>100</v>
      </c>
      <c r="N3623" t="s">
        <v>98</v>
      </c>
      <c r="O3623" t="s">
        <v>1256</v>
      </c>
    </row>
    <row r="3624" spans="1:15" x14ac:dyDescent="0.3">
      <c r="A3624" s="130">
        <v>20620</v>
      </c>
      <c r="B3624" s="130">
        <v>0</v>
      </c>
      <c r="C3624" s="130" t="s">
        <v>5248</v>
      </c>
      <c r="D3624">
        <v>31155</v>
      </c>
      <c r="E3624" s="131">
        <v>1092686</v>
      </c>
      <c r="F3624" t="s">
        <v>87</v>
      </c>
      <c r="G3624">
        <v>358</v>
      </c>
      <c r="H3624" t="s">
        <v>8952</v>
      </c>
      <c r="I3624" s="131">
        <v>14</v>
      </c>
      <c r="J3624" t="s">
        <v>5248</v>
      </c>
      <c r="K3624" t="s">
        <v>108</v>
      </c>
      <c r="L3624" t="s">
        <v>109</v>
      </c>
      <c r="M3624" t="s">
        <v>154</v>
      </c>
      <c r="N3624" t="s">
        <v>98</v>
      </c>
      <c r="O3624" t="s">
        <v>1256</v>
      </c>
    </row>
    <row r="3625" spans="1:15" x14ac:dyDescent="0.3">
      <c r="A3625" s="130">
        <v>20621</v>
      </c>
      <c r="B3625" s="130">
        <v>30</v>
      </c>
      <c r="C3625" s="130" t="s">
        <v>5249</v>
      </c>
      <c r="D3625">
        <v>31150</v>
      </c>
      <c r="E3625" s="130">
        <v>13623957</v>
      </c>
      <c r="F3625" t="s">
        <v>87</v>
      </c>
      <c r="G3625">
        <v>77</v>
      </c>
      <c r="H3625" t="s">
        <v>8953</v>
      </c>
      <c r="I3625" s="131">
        <v>3</v>
      </c>
      <c r="J3625" t="s">
        <v>5249</v>
      </c>
      <c r="K3625" t="s">
        <v>95</v>
      </c>
      <c r="L3625" t="s">
        <v>117</v>
      </c>
      <c r="M3625" t="s">
        <v>103</v>
      </c>
      <c r="N3625" t="s">
        <v>98</v>
      </c>
      <c r="O3625" t="s">
        <v>1256</v>
      </c>
    </row>
    <row r="3626" spans="1:15" x14ac:dyDescent="0.3">
      <c r="A3626" s="130">
        <v>20623</v>
      </c>
      <c r="B3626" s="130">
        <v>18</v>
      </c>
      <c r="C3626" s="130" t="s">
        <v>5250</v>
      </c>
      <c r="D3626">
        <v>31161</v>
      </c>
      <c r="E3626" s="131">
        <v>16587834</v>
      </c>
      <c r="F3626" t="s">
        <v>87</v>
      </c>
      <c r="G3626">
        <v>76</v>
      </c>
      <c r="H3626" t="s">
        <v>8951</v>
      </c>
      <c r="I3626" s="130">
        <v>3</v>
      </c>
      <c r="J3626" t="s">
        <v>5250</v>
      </c>
      <c r="K3626" t="s">
        <v>108</v>
      </c>
      <c r="L3626" t="s">
        <v>1293</v>
      </c>
      <c r="M3626" t="s">
        <v>112</v>
      </c>
      <c r="N3626" t="s">
        <v>98</v>
      </c>
      <c r="O3626" t="s">
        <v>1345</v>
      </c>
    </row>
    <row r="3627" spans="1:15" x14ac:dyDescent="0.3">
      <c r="A3627" s="130">
        <v>20624</v>
      </c>
      <c r="B3627" s="130" t="s">
        <v>227</v>
      </c>
      <c r="C3627" s="130" t="s">
        <v>5251</v>
      </c>
      <c r="D3627">
        <v>31165</v>
      </c>
      <c r="E3627" s="130">
        <v>24955022</v>
      </c>
      <c r="F3627" t="s">
        <v>87</v>
      </c>
      <c r="G3627">
        <v>76</v>
      </c>
      <c r="H3627" t="s">
        <v>8952</v>
      </c>
      <c r="I3627" s="130">
        <v>24</v>
      </c>
      <c r="J3627" t="s">
        <v>5251</v>
      </c>
      <c r="K3627" t="s">
        <v>95</v>
      </c>
      <c r="L3627" t="s">
        <v>102</v>
      </c>
      <c r="M3627" t="s">
        <v>228</v>
      </c>
      <c r="N3627" t="s">
        <v>152</v>
      </c>
      <c r="O3627" t="s">
        <v>116</v>
      </c>
    </row>
    <row r="3628" spans="1:15" x14ac:dyDescent="0.3">
      <c r="A3628" s="130">
        <v>20626</v>
      </c>
      <c r="B3628" s="130">
        <v>30</v>
      </c>
      <c r="C3628" s="130" t="s">
        <v>5252</v>
      </c>
      <c r="D3628">
        <v>31168</v>
      </c>
      <c r="E3628" s="130">
        <v>19284040</v>
      </c>
      <c r="F3628" t="s">
        <v>87</v>
      </c>
      <c r="G3628">
        <v>76</v>
      </c>
      <c r="H3628" t="s">
        <v>8953</v>
      </c>
      <c r="I3628" s="130">
        <v>19</v>
      </c>
      <c r="J3628" t="s">
        <v>5252</v>
      </c>
      <c r="K3628" t="s">
        <v>108</v>
      </c>
      <c r="L3628" t="s">
        <v>146</v>
      </c>
      <c r="M3628" t="s">
        <v>103</v>
      </c>
      <c r="N3628" t="s">
        <v>101</v>
      </c>
      <c r="O3628" t="s">
        <v>116</v>
      </c>
    </row>
    <row r="3629" spans="1:15" x14ac:dyDescent="0.3">
      <c r="A3629" s="130">
        <v>20631</v>
      </c>
      <c r="B3629" s="130" t="s">
        <v>227</v>
      </c>
      <c r="C3629" s="130" t="s">
        <v>5253</v>
      </c>
      <c r="D3629">
        <v>31172</v>
      </c>
      <c r="E3629" s="130">
        <v>24955022</v>
      </c>
      <c r="F3629" t="s">
        <v>87</v>
      </c>
      <c r="G3629">
        <v>76</v>
      </c>
      <c r="H3629" t="s">
        <v>8951</v>
      </c>
      <c r="I3629" s="131">
        <v>24</v>
      </c>
      <c r="J3629" t="s">
        <v>5253</v>
      </c>
      <c r="K3629" t="s">
        <v>95</v>
      </c>
      <c r="L3629" t="s">
        <v>102</v>
      </c>
      <c r="M3629" t="s">
        <v>228</v>
      </c>
      <c r="N3629" t="s">
        <v>152</v>
      </c>
      <c r="O3629" t="s">
        <v>116</v>
      </c>
    </row>
    <row r="3630" spans="1:15" x14ac:dyDescent="0.3">
      <c r="A3630" s="130">
        <v>20633</v>
      </c>
      <c r="B3630" s="130" t="s">
        <v>227</v>
      </c>
      <c r="C3630" s="130" t="s">
        <v>5254</v>
      </c>
      <c r="D3630">
        <v>31175</v>
      </c>
      <c r="E3630" s="131">
        <v>24955022</v>
      </c>
      <c r="F3630" t="s">
        <v>87</v>
      </c>
      <c r="G3630">
        <v>76</v>
      </c>
      <c r="H3630" t="s">
        <v>8952</v>
      </c>
      <c r="I3630" s="130">
        <v>24</v>
      </c>
      <c r="J3630" t="s">
        <v>5254</v>
      </c>
      <c r="K3630" t="s">
        <v>95</v>
      </c>
      <c r="L3630" t="s">
        <v>102</v>
      </c>
      <c r="M3630" t="s">
        <v>228</v>
      </c>
      <c r="N3630" t="s">
        <v>152</v>
      </c>
      <c r="O3630" t="s">
        <v>116</v>
      </c>
    </row>
    <row r="3631" spans="1:15" x14ac:dyDescent="0.3">
      <c r="A3631" s="130">
        <v>20634</v>
      </c>
      <c r="B3631" s="130" t="s">
        <v>227</v>
      </c>
      <c r="C3631" s="130" t="s">
        <v>5255</v>
      </c>
      <c r="D3631">
        <v>31176</v>
      </c>
      <c r="E3631" s="130">
        <v>24955022</v>
      </c>
      <c r="F3631" t="s">
        <v>87</v>
      </c>
      <c r="G3631">
        <v>76</v>
      </c>
      <c r="H3631" t="s">
        <v>8953</v>
      </c>
      <c r="I3631" s="130">
        <v>24</v>
      </c>
      <c r="J3631" t="s">
        <v>5255</v>
      </c>
      <c r="K3631" t="s">
        <v>95</v>
      </c>
      <c r="L3631" t="s">
        <v>102</v>
      </c>
      <c r="M3631" t="s">
        <v>228</v>
      </c>
      <c r="N3631" t="s">
        <v>152</v>
      </c>
      <c r="O3631" t="s">
        <v>116</v>
      </c>
    </row>
    <row r="3632" spans="1:15" x14ac:dyDescent="0.3">
      <c r="A3632" s="130">
        <v>20639</v>
      </c>
      <c r="B3632" s="130">
        <v>21</v>
      </c>
      <c r="C3632" s="130" t="s">
        <v>5256</v>
      </c>
      <c r="D3632">
        <v>31187</v>
      </c>
      <c r="E3632" s="131">
        <v>29873231</v>
      </c>
      <c r="F3632" t="s">
        <v>87</v>
      </c>
      <c r="G3632">
        <v>76</v>
      </c>
      <c r="H3632" t="s">
        <v>8951</v>
      </c>
      <c r="I3632" s="131">
        <v>19</v>
      </c>
      <c r="J3632" t="s">
        <v>5256</v>
      </c>
      <c r="K3632" t="s">
        <v>108</v>
      </c>
      <c r="L3632" t="s">
        <v>146</v>
      </c>
      <c r="M3632" t="s">
        <v>137</v>
      </c>
      <c r="N3632" t="s">
        <v>101</v>
      </c>
      <c r="O3632" t="s">
        <v>116</v>
      </c>
    </row>
    <row r="3633" spans="1:15" x14ac:dyDescent="0.3">
      <c r="A3633" s="130">
        <v>20659</v>
      </c>
      <c r="B3633" s="130">
        <v>35</v>
      </c>
      <c r="C3633" s="130" t="s">
        <v>5257</v>
      </c>
      <c r="D3633">
        <v>31224</v>
      </c>
      <c r="E3633" s="131">
        <v>20346524</v>
      </c>
      <c r="F3633" t="s">
        <v>87</v>
      </c>
      <c r="G3633">
        <v>77</v>
      </c>
      <c r="H3633" t="s">
        <v>8952</v>
      </c>
      <c r="I3633" s="130">
        <v>3</v>
      </c>
      <c r="J3633" t="s">
        <v>5257</v>
      </c>
      <c r="K3633" t="s">
        <v>95</v>
      </c>
      <c r="L3633" t="s">
        <v>117</v>
      </c>
      <c r="M3633" t="s">
        <v>161</v>
      </c>
      <c r="N3633" t="s">
        <v>118</v>
      </c>
      <c r="O3633" t="s">
        <v>116</v>
      </c>
    </row>
    <row r="3634" spans="1:15" x14ac:dyDescent="0.3">
      <c r="A3634" s="130">
        <v>20662</v>
      </c>
      <c r="B3634" s="130">
        <v>60</v>
      </c>
      <c r="C3634" s="130" t="s">
        <v>5258</v>
      </c>
      <c r="D3634">
        <v>31227</v>
      </c>
      <c r="E3634" s="131">
        <v>3176142</v>
      </c>
      <c r="F3634" t="s">
        <v>87</v>
      </c>
      <c r="G3634">
        <v>76</v>
      </c>
      <c r="H3634" t="s">
        <v>8953</v>
      </c>
      <c r="I3634" s="130">
        <v>10</v>
      </c>
      <c r="J3634" t="s">
        <v>5258</v>
      </c>
      <c r="K3634" t="s">
        <v>95</v>
      </c>
      <c r="L3634" t="s">
        <v>127</v>
      </c>
      <c r="M3634" t="s">
        <v>97</v>
      </c>
      <c r="N3634" t="s">
        <v>118</v>
      </c>
      <c r="O3634" t="s">
        <v>1345</v>
      </c>
    </row>
    <row r="3635" spans="1:15" x14ac:dyDescent="0.3">
      <c r="A3635" s="130">
        <v>20671</v>
      </c>
      <c r="B3635" s="130">
        <v>-1</v>
      </c>
      <c r="C3635" s="130" t="s">
        <v>5259</v>
      </c>
      <c r="D3635">
        <v>31244</v>
      </c>
      <c r="E3635" s="130">
        <v>31138217</v>
      </c>
      <c r="F3635" t="s">
        <v>87</v>
      </c>
      <c r="G3635">
        <v>76</v>
      </c>
      <c r="H3635" t="s">
        <v>8951</v>
      </c>
      <c r="I3635" s="131">
        <v>18</v>
      </c>
      <c r="J3635" t="s">
        <v>5259</v>
      </c>
      <c r="K3635" t="s">
        <v>108</v>
      </c>
      <c r="L3635" t="s">
        <v>123</v>
      </c>
      <c r="M3635" t="s">
        <v>174</v>
      </c>
      <c r="N3635" t="s">
        <v>121</v>
      </c>
      <c r="O3635" t="s">
        <v>1345</v>
      </c>
    </row>
    <row r="3636" spans="1:15" x14ac:dyDescent="0.3">
      <c r="A3636" s="130">
        <v>20675</v>
      </c>
      <c r="B3636" s="130">
        <v>30</v>
      </c>
      <c r="C3636" s="130" t="s">
        <v>5260</v>
      </c>
      <c r="D3636">
        <v>31255</v>
      </c>
      <c r="E3636" s="130">
        <v>3241423</v>
      </c>
      <c r="F3636" t="s">
        <v>87</v>
      </c>
      <c r="G3636">
        <v>76</v>
      </c>
      <c r="H3636" t="s">
        <v>8952</v>
      </c>
      <c r="I3636" s="130">
        <v>3</v>
      </c>
      <c r="J3636" t="s">
        <v>5260</v>
      </c>
      <c r="K3636" t="s">
        <v>108</v>
      </c>
      <c r="L3636" t="s">
        <v>111</v>
      </c>
      <c r="M3636" t="s">
        <v>103</v>
      </c>
      <c r="N3636" t="s">
        <v>98</v>
      </c>
      <c r="O3636" t="s">
        <v>1345</v>
      </c>
    </row>
    <row r="3637" spans="1:15" x14ac:dyDescent="0.3">
      <c r="A3637" s="130">
        <v>20685</v>
      </c>
      <c r="B3637" s="130">
        <v>30</v>
      </c>
      <c r="C3637" s="130" t="s">
        <v>5261</v>
      </c>
      <c r="D3637">
        <v>31262</v>
      </c>
      <c r="E3637" s="130">
        <v>41109336</v>
      </c>
      <c r="F3637" t="s">
        <v>87</v>
      </c>
      <c r="G3637">
        <v>76</v>
      </c>
      <c r="H3637" t="s">
        <v>8953</v>
      </c>
      <c r="I3637" s="130">
        <v>19</v>
      </c>
      <c r="J3637" t="s">
        <v>5261</v>
      </c>
      <c r="K3637" t="s">
        <v>108</v>
      </c>
      <c r="L3637" t="s">
        <v>146</v>
      </c>
      <c r="M3637" t="s">
        <v>103</v>
      </c>
      <c r="N3637" t="s">
        <v>98</v>
      </c>
      <c r="O3637" t="s">
        <v>116</v>
      </c>
    </row>
    <row r="3638" spans="1:15" x14ac:dyDescent="0.3">
      <c r="A3638" s="130">
        <v>20686</v>
      </c>
      <c r="B3638" s="130">
        <v>18</v>
      </c>
      <c r="C3638" s="130" t="s">
        <v>5262</v>
      </c>
      <c r="D3638">
        <v>31266</v>
      </c>
      <c r="E3638" s="131">
        <v>10736565</v>
      </c>
      <c r="F3638" t="s">
        <v>87</v>
      </c>
      <c r="G3638">
        <v>76</v>
      </c>
      <c r="H3638" t="s">
        <v>8951</v>
      </c>
      <c r="I3638" s="130">
        <v>9</v>
      </c>
      <c r="J3638" t="s">
        <v>5262</v>
      </c>
      <c r="K3638" t="s">
        <v>95</v>
      </c>
      <c r="L3638" t="s">
        <v>163</v>
      </c>
      <c r="M3638" t="s">
        <v>112</v>
      </c>
      <c r="N3638" t="s">
        <v>114</v>
      </c>
      <c r="O3638" t="s">
        <v>116</v>
      </c>
    </row>
    <row r="3639" spans="1:15" x14ac:dyDescent="0.3">
      <c r="A3639" s="130">
        <v>20699</v>
      </c>
      <c r="B3639" s="130">
        <v>-1</v>
      </c>
      <c r="C3639" s="130" t="s">
        <v>5263</v>
      </c>
      <c r="D3639">
        <v>31284</v>
      </c>
      <c r="E3639" s="130">
        <v>28525466</v>
      </c>
      <c r="F3639" t="s">
        <v>87</v>
      </c>
      <c r="G3639">
        <v>76</v>
      </c>
      <c r="H3639" t="s">
        <v>8952</v>
      </c>
      <c r="I3639" s="130">
        <v>26</v>
      </c>
      <c r="J3639" t="s">
        <v>5263</v>
      </c>
      <c r="K3639" t="s">
        <v>108</v>
      </c>
      <c r="L3639" t="s">
        <v>123</v>
      </c>
      <c r="M3639" t="s">
        <v>174</v>
      </c>
      <c r="N3639" t="s">
        <v>98</v>
      </c>
      <c r="O3639" t="s">
        <v>1345</v>
      </c>
    </row>
    <row r="3640" spans="1:15" x14ac:dyDescent="0.3">
      <c r="A3640" s="130">
        <v>20700</v>
      </c>
      <c r="B3640" s="130">
        <v>30</v>
      </c>
      <c r="C3640" s="130" t="s">
        <v>5264</v>
      </c>
      <c r="D3640">
        <v>31285</v>
      </c>
      <c r="E3640" s="130">
        <v>8726496</v>
      </c>
      <c r="F3640" t="s">
        <v>87</v>
      </c>
      <c r="G3640">
        <v>76</v>
      </c>
      <c r="H3640" t="s">
        <v>8953</v>
      </c>
      <c r="I3640" s="130">
        <v>18</v>
      </c>
      <c r="J3640" t="s">
        <v>5264</v>
      </c>
      <c r="K3640" t="s">
        <v>108</v>
      </c>
      <c r="L3640" t="s">
        <v>123</v>
      </c>
      <c r="M3640" t="s">
        <v>103</v>
      </c>
      <c r="N3640" t="s">
        <v>98</v>
      </c>
      <c r="O3640" t="s">
        <v>116</v>
      </c>
    </row>
    <row r="3641" spans="1:15" x14ac:dyDescent="0.3">
      <c r="A3641" s="130">
        <v>20702</v>
      </c>
      <c r="B3641" s="130">
        <v>21</v>
      </c>
      <c r="C3641" s="130" t="s">
        <v>5265</v>
      </c>
      <c r="D3641">
        <v>31293</v>
      </c>
      <c r="E3641" s="130">
        <v>2783217</v>
      </c>
      <c r="F3641" t="s">
        <v>87</v>
      </c>
      <c r="G3641">
        <v>76</v>
      </c>
      <c r="H3641" t="s">
        <v>8951</v>
      </c>
      <c r="I3641" s="131">
        <v>19</v>
      </c>
      <c r="J3641" t="s">
        <v>5265</v>
      </c>
      <c r="K3641" t="s">
        <v>108</v>
      </c>
      <c r="L3641" t="s">
        <v>146</v>
      </c>
      <c r="M3641" t="s">
        <v>137</v>
      </c>
      <c r="N3641" t="s">
        <v>169</v>
      </c>
      <c r="O3641" t="s">
        <v>1345</v>
      </c>
    </row>
    <row r="3642" spans="1:15" x14ac:dyDescent="0.3">
      <c r="A3642" s="130">
        <v>20707</v>
      </c>
      <c r="B3642" s="130">
        <v>30</v>
      </c>
      <c r="C3642" s="130" t="s">
        <v>5266</v>
      </c>
      <c r="D3642">
        <v>31299</v>
      </c>
      <c r="E3642" s="131">
        <v>24219445</v>
      </c>
      <c r="F3642" t="s">
        <v>87</v>
      </c>
      <c r="G3642">
        <v>76</v>
      </c>
      <c r="H3642" t="s">
        <v>8952</v>
      </c>
      <c r="I3642" s="131">
        <v>19</v>
      </c>
      <c r="J3642" t="s">
        <v>5266</v>
      </c>
      <c r="K3642" t="s">
        <v>108</v>
      </c>
      <c r="L3642" t="s">
        <v>146</v>
      </c>
      <c r="M3642" t="s">
        <v>103</v>
      </c>
      <c r="N3642" t="s">
        <v>101</v>
      </c>
      <c r="O3642" t="s">
        <v>1345</v>
      </c>
    </row>
    <row r="3643" spans="1:15" x14ac:dyDescent="0.3">
      <c r="A3643" s="130">
        <v>20718</v>
      </c>
      <c r="B3643" s="130">
        <v>30</v>
      </c>
      <c r="C3643" s="130" t="s">
        <v>5267</v>
      </c>
      <c r="D3643">
        <v>31318</v>
      </c>
      <c r="E3643" s="131">
        <v>51466860</v>
      </c>
      <c r="F3643" t="s">
        <v>87</v>
      </c>
      <c r="G3643">
        <v>76</v>
      </c>
      <c r="H3643" t="s">
        <v>8953</v>
      </c>
      <c r="I3643" s="131">
        <v>37</v>
      </c>
      <c r="J3643" t="s">
        <v>5267</v>
      </c>
      <c r="K3643" t="s">
        <v>95</v>
      </c>
      <c r="L3643" t="s">
        <v>144</v>
      </c>
      <c r="M3643" t="s">
        <v>103</v>
      </c>
      <c r="N3643" t="s">
        <v>141</v>
      </c>
      <c r="O3643" t="s">
        <v>1345</v>
      </c>
    </row>
    <row r="3644" spans="1:15" x14ac:dyDescent="0.3">
      <c r="A3644" s="130">
        <v>20719</v>
      </c>
      <c r="B3644" s="130">
        <v>28</v>
      </c>
      <c r="C3644" s="130" t="s">
        <v>5268</v>
      </c>
      <c r="D3644">
        <v>31320</v>
      </c>
      <c r="E3644" s="131">
        <v>37264837</v>
      </c>
      <c r="F3644" t="s">
        <v>87</v>
      </c>
      <c r="G3644">
        <v>76</v>
      </c>
      <c r="H3644" t="s">
        <v>8951</v>
      </c>
      <c r="I3644" s="130">
        <v>37</v>
      </c>
      <c r="J3644" t="s">
        <v>5268</v>
      </c>
      <c r="K3644" t="s">
        <v>95</v>
      </c>
      <c r="L3644" t="s">
        <v>138</v>
      </c>
      <c r="M3644" t="s">
        <v>130</v>
      </c>
      <c r="N3644" t="s">
        <v>150</v>
      </c>
      <c r="O3644" t="s">
        <v>1345</v>
      </c>
    </row>
    <row r="3645" spans="1:15" x14ac:dyDescent="0.3">
      <c r="A3645" s="130">
        <v>20720</v>
      </c>
      <c r="B3645" s="130">
        <v>0</v>
      </c>
      <c r="C3645" s="130" t="s">
        <v>5269</v>
      </c>
      <c r="D3645">
        <v>31321</v>
      </c>
      <c r="E3645" s="130">
        <v>51466860</v>
      </c>
      <c r="F3645" t="s">
        <v>87</v>
      </c>
      <c r="G3645">
        <v>76</v>
      </c>
      <c r="H3645" t="s">
        <v>8952</v>
      </c>
      <c r="I3645" s="131">
        <v>37</v>
      </c>
      <c r="J3645" t="s">
        <v>5269</v>
      </c>
      <c r="K3645" t="s">
        <v>108</v>
      </c>
      <c r="L3645" t="s">
        <v>144</v>
      </c>
      <c r="M3645" t="s">
        <v>100</v>
      </c>
      <c r="N3645" t="s">
        <v>141</v>
      </c>
      <c r="O3645" t="s">
        <v>1345</v>
      </c>
    </row>
    <row r="3646" spans="1:15" x14ac:dyDescent="0.3">
      <c r="A3646" s="130">
        <v>20727</v>
      </c>
      <c r="B3646" s="130">
        <v>30</v>
      </c>
      <c r="C3646" s="130" t="s">
        <v>5270</v>
      </c>
      <c r="D3646">
        <v>31331</v>
      </c>
      <c r="E3646" s="130">
        <v>37490799</v>
      </c>
      <c r="F3646" t="s">
        <v>87</v>
      </c>
      <c r="G3646">
        <v>76</v>
      </c>
      <c r="H3646" t="s">
        <v>8953</v>
      </c>
      <c r="I3646" s="131">
        <v>19</v>
      </c>
      <c r="J3646" t="s">
        <v>5270</v>
      </c>
      <c r="K3646" t="s">
        <v>95</v>
      </c>
      <c r="L3646" t="s">
        <v>146</v>
      </c>
      <c r="M3646" t="s">
        <v>103</v>
      </c>
      <c r="N3646" t="s">
        <v>98</v>
      </c>
      <c r="O3646" t="s">
        <v>1345</v>
      </c>
    </row>
    <row r="3647" spans="1:15" x14ac:dyDescent="0.3">
      <c r="A3647" s="130">
        <v>20746</v>
      </c>
      <c r="B3647" s="130">
        <v>-1</v>
      </c>
      <c r="C3647" s="130" t="s">
        <v>5271</v>
      </c>
      <c r="D3647">
        <v>31368</v>
      </c>
      <c r="E3647" s="130">
        <v>47208748</v>
      </c>
      <c r="F3647" t="s">
        <v>87</v>
      </c>
      <c r="G3647">
        <v>76</v>
      </c>
      <c r="H3647" t="s">
        <v>8951</v>
      </c>
      <c r="I3647" s="130">
        <v>38</v>
      </c>
      <c r="J3647" t="s">
        <v>5271</v>
      </c>
      <c r="K3647" t="s">
        <v>108</v>
      </c>
      <c r="L3647" t="s">
        <v>126</v>
      </c>
      <c r="M3647" t="s">
        <v>174</v>
      </c>
      <c r="N3647" t="s">
        <v>101</v>
      </c>
      <c r="O3647" t="s">
        <v>116</v>
      </c>
    </row>
    <row r="3648" spans="1:15" x14ac:dyDescent="0.3">
      <c r="A3648" s="130">
        <v>20755</v>
      </c>
      <c r="B3648" s="130">
        <v>30</v>
      </c>
      <c r="C3648" s="130" t="s">
        <v>5272</v>
      </c>
      <c r="D3648">
        <v>31387</v>
      </c>
      <c r="E3648" s="131">
        <v>17185786</v>
      </c>
      <c r="F3648" t="s">
        <v>87</v>
      </c>
      <c r="G3648">
        <v>358</v>
      </c>
      <c r="H3648" t="s">
        <v>8952</v>
      </c>
      <c r="I3648" s="131">
        <v>10</v>
      </c>
      <c r="J3648" t="s">
        <v>5272</v>
      </c>
      <c r="K3648" t="s">
        <v>95</v>
      </c>
      <c r="L3648" t="s">
        <v>109</v>
      </c>
      <c r="M3648" t="s">
        <v>103</v>
      </c>
      <c r="N3648" t="s">
        <v>98</v>
      </c>
      <c r="O3648" t="s">
        <v>116</v>
      </c>
    </row>
    <row r="3649" spans="1:15" x14ac:dyDescent="0.3">
      <c r="A3649" s="130">
        <v>20765</v>
      </c>
      <c r="B3649" s="130">
        <v>30</v>
      </c>
      <c r="C3649" s="130" t="s">
        <v>5273</v>
      </c>
      <c r="D3649">
        <v>31402</v>
      </c>
      <c r="E3649" s="130">
        <v>21658572</v>
      </c>
      <c r="F3649" t="s">
        <v>87</v>
      </c>
      <c r="G3649">
        <v>76</v>
      </c>
      <c r="H3649" t="s">
        <v>8953</v>
      </c>
      <c r="I3649" s="130">
        <v>19</v>
      </c>
      <c r="J3649" t="s">
        <v>5273</v>
      </c>
      <c r="K3649" t="s">
        <v>108</v>
      </c>
      <c r="L3649" t="s">
        <v>146</v>
      </c>
      <c r="M3649" t="s">
        <v>103</v>
      </c>
      <c r="N3649" t="s">
        <v>101</v>
      </c>
      <c r="O3649" t="s">
        <v>116</v>
      </c>
    </row>
    <row r="3650" spans="1:15" x14ac:dyDescent="0.3">
      <c r="A3650" s="130">
        <v>20774</v>
      </c>
      <c r="B3650" s="130">
        <v>10</v>
      </c>
      <c r="C3650" s="130" t="s">
        <v>5274</v>
      </c>
      <c r="D3650">
        <v>31371</v>
      </c>
      <c r="E3650" s="130">
        <v>7376851</v>
      </c>
      <c r="F3650" t="s">
        <v>87</v>
      </c>
      <c r="G3650">
        <v>76</v>
      </c>
      <c r="H3650" t="s">
        <v>8951</v>
      </c>
      <c r="I3650" s="131">
        <v>24</v>
      </c>
      <c r="J3650" t="s">
        <v>5274</v>
      </c>
      <c r="K3650" t="s">
        <v>108</v>
      </c>
      <c r="L3650" t="s">
        <v>240</v>
      </c>
      <c r="M3650" t="s">
        <v>133</v>
      </c>
      <c r="N3650" t="s">
        <v>98</v>
      </c>
      <c r="O3650" t="s">
        <v>116</v>
      </c>
    </row>
    <row r="3651" spans="1:15" x14ac:dyDescent="0.3">
      <c r="A3651" s="130">
        <v>20775</v>
      </c>
      <c r="B3651" s="130">
        <v>30</v>
      </c>
      <c r="C3651" s="130" t="s">
        <v>5275</v>
      </c>
      <c r="D3651">
        <v>31414</v>
      </c>
      <c r="E3651" s="131">
        <v>61940292</v>
      </c>
      <c r="F3651" t="s">
        <v>87</v>
      </c>
      <c r="G3651">
        <v>358</v>
      </c>
      <c r="H3651" t="s">
        <v>8952</v>
      </c>
      <c r="I3651" s="130">
        <v>18</v>
      </c>
      <c r="J3651" t="s">
        <v>5275</v>
      </c>
      <c r="K3651" t="s">
        <v>95</v>
      </c>
      <c r="L3651" t="s">
        <v>109</v>
      </c>
      <c r="M3651" t="s">
        <v>103</v>
      </c>
      <c r="N3651" t="s">
        <v>98</v>
      </c>
      <c r="O3651" t="s">
        <v>116</v>
      </c>
    </row>
    <row r="3652" spans="1:15" x14ac:dyDescent="0.3">
      <c r="A3652" s="130">
        <v>20776</v>
      </c>
      <c r="B3652" s="130">
        <v>10</v>
      </c>
      <c r="C3652" s="130" t="s">
        <v>5276</v>
      </c>
      <c r="D3652">
        <v>31344</v>
      </c>
      <c r="E3652" s="130">
        <v>37711734</v>
      </c>
      <c r="F3652" t="s">
        <v>113</v>
      </c>
      <c r="G3652">
        <v>358</v>
      </c>
      <c r="H3652" t="s">
        <v>8953</v>
      </c>
      <c r="I3652" s="130">
        <v>19</v>
      </c>
      <c r="J3652" t="s">
        <v>5276</v>
      </c>
      <c r="K3652" t="s">
        <v>108</v>
      </c>
      <c r="L3652" t="s">
        <v>109</v>
      </c>
      <c r="M3652" t="s">
        <v>133</v>
      </c>
      <c r="N3652" t="s">
        <v>98</v>
      </c>
      <c r="O3652" t="s">
        <v>1256</v>
      </c>
    </row>
    <row r="3653" spans="1:15" x14ac:dyDescent="0.3">
      <c r="A3653" s="130">
        <v>20779</v>
      </c>
      <c r="B3653" s="130">
        <v>30</v>
      </c>
      <c r="C3653" s="130" t="s">
        <v>5277</v>
      </c>
      <c r="D3653">
        <v>31423</v>
      </c>
      <c r="E3653" s="131">
        <v>2602726</v>
      </c>
      <c r="F3653" t="s">
        <v>87</v>
      </c>
      <c r="G3653">
        <v>76</v>
      </c>
      <c r="H3653" t="s">
        <v>8951</v>
      </c>
      <c r="I3653" s="130">
        <v>3</v>
      </c>
      <c r="J3653" t="s">
        <v>5277</v>
      </c>
      <c r="K3653" t="s">
        <v>108</v>
      </c>
      <c r="L3653" t="s">
        <v>111</v>
      </c>
      <c r="M3653" t="s">
        <v>103</v>
      </c>
      <c r="N3653" t="s">
        <v>98</v>
      </c>
      <c r="O3653" t="s">
        <v>116</v>
      </c>
    </row>
    <row r="3654" spans="1:15" x14ac:dyDescent="0.3">
      <c r="A3654" s="130">
        <v>20780</v>
      </c>
      <c r="B3654" s="130">
        <v>28</v>
      </c>
      <c r="C3654" s="130" t="s">
        <v>5278</v>
      </c>
      <c r="D3654">
        <v>31426</v>
      </c>
      <c r="E3654" s="130">
        <v>24013278</v>
      </c>
      <c r="F3654" t="s">
        <v>87</v>
      </c>
      <c r="G3654">
        <v>76</v>
      </c>
      <c r="H3654" t="s">
        <v>8952</v>
      </c>
      <c r="I3654" s="131">
        <v>43</v>
      </c>
      <c r="J3654" t="s">
        <v>5278</v>
      </c>
      <c r="K3654" t="s">
        <v>95</v>
      </c>
      <c r="L3654" t="s">
        <v>1241</v>
      </c>
      <c r="M3654" t="s">
        <v>130</v>
      </c>
      <c r="N3654" t="s">
        <v>98</v>
      </c>
      <c r="O3654" t="s">
        <v>1256</v>
      </c>
    </row>
    <row r="3655" spans="1:15" x14ac:dyDescent="0.3">
      <c r="A3655" s="130">
        <v>20781</v>
      </c>
      <c r="B3655" s="130">
        <v>30</v>
      </c>
      <c r="C3655" s="130" t="s">
        <v>5279</v>
      </c>
      <c r="D3655">
        <v>31428</v>
      </c>
      <c r="E3655" s="130">
        <v>49948167</v>
      </c>
      <c r="F3655" t="s">
        <v>87</v>
      </c>
      <c r="G3655">
        <v>76</v>
      </c>
      <c r="H3655" t="s">
        <v>8953</v>
      </c>
      <c r="I3655" s="131">
        <v>38</v>
      </c>
      <c r="J3655" t="s">
        <v>5279</v>
      </c>
      <c r="K3655" t="s">
        <v>108</v>
      </c>
      <c r="L3655" t="s">
        <v>126</v>
      </c>
      <c r="M3655" t="s">
        <v>103</v>
      </c>
      <c r="N3655" t="s">
        <v>101</v>
      </c>
      <c r="O3655" t="s">
        <v>116</v>
      </c>
    </row>
    <row r="3656" spans="1:15" x14ac:dyDescent="0.3">
      <c r="A3656" s="130">
        <v>20782</v>
      </c>
      <c r="B3656" s="130">
        <v>30</v>
      </c>
      <c r="C3656" s="130" t="s">
        <v>5280</v>
      </c>
      <c r="D3656">
        <v>31429</v>
      </c>
      <c r="E3656" s="131">
        <v>41759096</v>
      </c>
      <c r="F3656" t="s">
        <v>87</v>
      </c>
      <c r="G3656">
        <v>76</v>
      </c>
      <c r="H3656" t="s">
        <v>8951</v>
      </c>
      <c r="I3656" s="130">
        <v>43</v>
      </c>
      <c r="J3656" t="s">
        <v>5280</v>
      </c>
      <c r="K3656" t="s">
        <v>95</v>
      </c>
      <c r="L3656" t="s">
        <v>1368</v>
      </c>
      <c r="M3656" t="s">
        <v>103</v>
      </c>
      <c r="N3656" t="s">
        <v>101</v>
      </c>
      <c r="O3656" t="s">
        <v>116</v>
      </c>
    </row>
    <row r="3657" spans="1:15" x14ac:dyDescent="0.3">
      <c r="A3657" s="130">
        <v>20786</v>
      </c>
      <c r="B3657" s="130">
        <v>18</v>
      </c>
      <c r="C3657" s="130" t="s">
        <v>5281</v>
      </c>
      <c r="D3657">
        <v>31436</v>
      </c>
      <c r="E3657" s="130">
        <v>10736565</v>
      </c>
      <c r="F3657" t="s">
        <v>87</v>
      </c>
      <c r="G3657">
        <v>76</v>
      </c>
      <c r="H3657" t="s">
        <v>8952</v>
      </c>
      <c r="I3657" s="130">
        <v>9</v>
      </c>
      <c r="J3657" t="s">
        <v>5281</v>
      </c>
      <c r="K3657" t="s">
        <v>95</v>
      </c>
      <c r="L3657" t="s">
        <v>163</v>
      </c>
      <c r="M3657" t="s">
        <v>112</v>
      </c>
      <c r="N3657" t="s">
        <v>98</v>
      </c>
      <c r="O3657" t="s">
        <v>116</v>
      </c>
    </row>
    <row r="3658" spans="1:15" x14ac:dyDescent="0.3">
      <c r="A3658" s="130">
        <v>20788</v>
      </c>
      <c r="B3658" s="130">
        <v>30</v>
      </c>
      <c r="C3658" s="130" t="s">
        <v>5282</v>
      </c>
      <c r="D3658">
        <v>31439</v>
      </c>
      <c r="E3658" s="130">
        <v>33194200</v>
      </c>
      <c r="F3658" t="s">
        <v>87</v>
      </c>
      <c r="G3658">
        <v>76</v>
      </c>
      <c r="H3658" t="s">
        <v>8953</v>
      </c>
      <c r="I3658" s="130">
        <v>9</v>
      </c>
      <c r="J3658" t="s">
        <v>5282</v>
      </c>
      <c r="K3658" t="s">
        <v>108</v>
      </c>
      <c r="L3658" t="s">
        <v>163</v>
      </c>
      <c r="M3658" t="s">
        <v>103</v>
      </c>
      <c r="N3658" t="s">
        <v>98</v>
      </c>
      <c r="O3658" t="s">
        <v>116</v>
      </c>
    </row>
    <row r="3659" spans="1:15" x14ac:dyDescent="0.3">
      <c r="A3659" s="130">
        <v>20796</v>
      </c>
      <c r="B3659" s="130">
        <v>30</v>
      </c>
      <c r="C3659" s="130" t="s">
        <v>5283</v>
      </c>
      <c r="D3659">
        <v>31454</v>
      </c>
      <c r="E3659" s="131">
        <v>7522191</v>
      </c>
      <c r="F3659" t="s">
        <v>87</v>
      </c>
      <c r="G3659">
        <v>76</v>
      </c>
      <c r="H3659" t="s">
        <v>8951</v>
      </c>
      <c r="I3659" s="130">
        <v>18</v>
      </c>
      <c r="J3659" t="s">
        <v>5283</v>
      </c>
      <c r="K3659" t="s">
        <v>95</v>
      </c>
      <c r="L3659" t="s">
        <v>123</v>
      </c>
      <c r="M3659" t="s">
        <v>103</v>
      </c>
      <c r="N3659" t="s">
        <v>98</v>
      </c>
      <c r="O3659" t="s">
        <v>116</v>
      </c>
    </row>
    <row r="3660" spans="1:15" x14ac:dyDescent="0.3">
      <c r="A3660" s="130">
        <v>20799</v>
      </c>
      <c r="B3660" s="130">
        <v>-1</v>
      </c>
      <c r="C3660" s="130" t="s">
        <v>5284</v>
      </c>
      <c r="D3660">
        <v>31461</v>
      </c>
      <c r="E3660" s="131">
        <v>34325515</v>
      </c>
      <c r="F3660" t="s">
        <v>87</v>
      </c>
      <c r="G3660">
        <v>76</v>
      </c>
      <c r="H3660" t="s">
        <v>8952</v>
      </c>
      <c r="I3660" s="130">
        <v>3</v>
      </c>
      <c r="J3660" t="s">
        <v>5284</v>
      </c>
      <c r="K3660" t="s">
        <v>108</v>
      </c>
      <c r="L3660" t="s">
        <v>1293</v>
      </c>
      <c r="M3660" t="s">
        <v>174</v>
      </c>
      <c r="N3660" t="s">
        <v>98</v>
      </c>
      <c r="O3660" t="s">
        <v>1345</v>
      </c>
    </row>
    <row r="3661" spans="1:15" x14ac:dyDescent="0.3">
      <c r="A3661" s="130">
        <v>20802</v>
      </c>
      <c r="B3661" s="130">
        <v>30</v>
      </c>
      <c r="C3661" s="130" t="s">
        <v>5285</v>
      </c>
      <c r="D3661">
        <v>31465</v>
      </c>
      <c r="E3661" s="131">
        <v>7899139</v>
      </c>
      <c r="F3661" t="s">
        <v>87</v>
      </c>
      <c r="G3661">
        <v>358</v>
      </c>
      <c r="H3661" t="s">
        <v>8953</v>
      </c>
      <c r="I3661" s="130">
        <v>3</v>
      </c>
      <c r="J3661" t="s">
        <v>5285</v>
      </c>
      <c r="K3661" t="s">
        <v>108</v>
      </c>
      <c r="L3661" t="s">
        <v>111</v>
      </c>
      <c r="M3661" t="s">
        <v>103</v>
      </c>
      <c r="N3661" t="s">
        <v>101</v>
      </c>
      <c r="O3661" t="s">
        <v>116</v>
      </c>
    </row>
    <row r="3662" spans="1:15" x14ac:dyDescent="0.3">
      <c r="A3662" s="130">
        <v>20811</v>
      </c>
      <c r="B3662" s="130">
        <v>30</v>
      </c>
      <c r="C3662" s="130" t="s">
        <v>5286</v>
      </c>
      <c r="D3662">
        <v>31476</v>
      </c>
      <c r="E3662" s="130">
        <v>8726496</v>
      </c>
      <c r="F3662" t="s">
        <v>87</v>
      </c>
      <c r="G3662">
        <v>76</v>
      </c>
      <c r="H3662" t="s">
        <v>8951</v>
      </c>
      <c r="I3662" s="130">
        <v>3</v>
      </c>
      <c r="J3662" t="s">
        <v>5286</v>
      </c>
      <c r="K3662" t="s">
        <v>108</v>
      </c>
      <c r="L3662" t="s">
        <v>1293</v>
      </c>
      <c r="M3662" t="s">
        <v>103</v>
      </c>
      <c r="N3662" t="s">
        <v>98</v>
      </c>
      <c r="O3662" t="s">
        <v>116</v>
      </c>
    </row>
    <row r="3663" spans="1:15" x14ac:dyDescent="0.3">
      <c r="A3663" s="130">
        <v>20812</v>
      </c>
      <c r="B3663" s="130">
        <v>10</v>
      </c>
      <c r="C3663" s="130" t="s">
        <v>5287</v>
      </c>
      <c r="D3663">
        <v>31478</v>
      </c>
      <c r="E3663" s="130">
        <v>10571491</v>
      </c>
      <c r="F3663" t="s">
        <v>87</v>
      </c>
      <c r="G3663">
        <v>76</v>
      </c>
      <c r="H3663" t="s">
        <v>8952</v>
      </c>
      <c r="I3663" s="130">
        <v>10</v>
      </c>
      <c r="J3663" t="s">
        <v>5287</v>
      </c>
      <c r="K3663" t="s">
        <v>108</v>
      </c>
      <c r="L3663" t="s">
        <v>127</v>
      </c>
      <c r="M3663" t="s">
        <v>133</v>
      </c>
      <c r="N3663" t="s">
        <v>98</v>
      </c>
      <c r="O3663" t="s">
        <v>1345</v>
      </c>
    </row>
    <row r="3664" spans="1:15" x14ac:dyDescent="0.3">
      <c r="A3664" s="130">
        <v>20816</v>
      </c>
      <c r="B3664" s="130">
        <v>15</v>
      </c>
      <c r="C3664" s="130" t="s">
        <v>5288</v>
      </c>
      <c r="D3664">
        <v>31482</v>
      </c>
      <c r="E3664" s="130">
        <v>22357900</v>
      </c>
      <c r="F3664" t="s">
        <v>87</v>
      </c>
      <c r="G3664">
        <v>76</v>
      </c>
      <c r="H3664" t="s">
        <v>8953</v>
      </c>
      <c r="I3664" s="130">
        <v>3</v>
      </c>
      <c r="J3664" t="s">
        <v>5288</v>
      </c>
      <c r="K3664" t="s">
        <v>95</v>
      </c>
      <c r="L3664" t="s">
        <v>138</v>
      </c>
      <c r="M3664" t="s">
        <v>145</v>
      </c>
      <c r="N3664" t="s">
        <v>150</v>
      </c>
      <c r="O3664" t="s">
        <v>1256</v>
      </c>
    </row>
    <row r="3665" spans="1:15" x14ac:dyDescent="0.3">
      <c r="A3665" s="130">
        <v>20820</v>
      </c>
      <c r="B3665" s="130">
        <v>21</v>
      </c>
      <c r="C3665" s="130" t="s">
        <v>5289</v>
      </c>
      <c r="D3665">
        <v>31486</v>
      </c>
      <c r="E3665" s="131">
        <v>10691061</v>
      </c>
      <c r="F3665" t="s">
        <v>87</v>
      </c>
      <c r="G3665">
        <v>76</v>
      </c>
      <c r="H3665" t="s">
        <v>8951</v>
      </c>
      <c r="I3665" s="131">
        <v>19</v>
      </c>
      <c r="J3665" t="s">
        <v>5289</v>
      </c>
      <c r="K3665" t="s">
        <v>108</v>
      </c>
      <c r="L3665" t="s">
        <v>146</v>
      </c>
      <c r="M3665" t="s">
        <v>137</v>
      </c>
      <c r="N3665" t="s">
        <v>98</v>
      </c>
      <c r="O3665" t="s">
        <v>116</v>
      </c>
    </row>
    <row r="3666" spans="1:15" x14ac:dyDescent="0.3">
      <c r="A3666" s="130">
        <v>20834</v>
      </c>
      <c r="B3666" s="130">
        <v>28</v>
      </c>
      <c r="C3666" s="130" t="s">
        <v>5290</v>
      </c>
      <c r="D3666">
        <v>31519</v>
      </c>
      <c r="E3666" s="130">
        <v>34792633</v>
      </c>
      <c r="F3666" t="s">
        <v>87</v>
      </c>
      <c r="G3666">
        <v>76</v>
      </c>
      <c r="H3666" t="s">
        <v>8952</v>
      </c>
      <c r="I3666" s="131">
        <v>37</v>
      </c>
      <c r="J3666" t="s">
        <v>5290</v>
      </c>
      <c r="K3666" t="s">
        <v>95</v>
      </c>
      <c r="L3666" t="s">
        <v>138</v>
      </c>
      <c r="M3666" t="s">
        <v>130</v>
      </c>
      <c r="N3666" t="s">
        <v>150</v>
      </c>
      <c r="O3666" t="s">
        <v>1345</v>
      </c>
    </row>
    <row r="3667" spans="1:15" x14ac:dyDescent="0.3">
      <c r="A3667" s="130">
        <v>20835</v>
      </c>
      <c r="B3667" s="130">
        <v>0</v>
      </c>
      <c r="C3667" s="130" t="s">
        <v>5291</v>
      </c>
      <c r="D3667">
        <v>31520</v>
      </c>
      <c r="E3667" s="131">
        <v>17161464</v>
      </c>
      <c r="F3667" t="s">
        <v>87</v>
      </c>
      <c r="G3667">
        <v>76</v>
      </c>
      <c r="H3667" t="s">
        <v>8953</v>
      </c>
      <c r="I3667" s="130">
        <v>3</v>
      </c>
      <c r="J3667" t="s">
        <v>5291</v>
      </c>
      <c r="K3667" t="s">
        <v>108</v>
      </c>
      <c r="L3667" t="s">
        <v>153</v>
      </c>
      <c r="M3667" t="s">
        <v>100</v>
      </c>
      <c r="N3667" t="s">
        <v>98</v>
      </c>
      <c r="O3667" t="s">
        <v>1256</v>
      </c>
    </row>
    <row r="3668" spans="1:15" x14ac:dyDescent="0.3">
      <c r="A3668" s="130">
        <v>20840</v>
      </c>
      <c r="B3668" s="130">
        <v>30</v>
      </c>
      <c r="C3668" s="130" t="s">
        <v>5292</v>
      </c>
      <c r="D3668">
        <v>31531</v>
      </c>
      <c r="E3668" s="131">
        <v>10279488</v>
      </c>
      <c r="F3668" t="s">
        <v>87</v>
      </c>
      <c r="G3668">
        <v>77</v>
      </c>
      <c r="H3668" t="s">
        <v>8951</v>
      </c>
      <c r="I3668" s="131">
        <v>9</v>
      </c>
      <c r="J3668" t="s">
        <v>5292</v>
      </c>
      <c r="K3668" t="s">
        <v>95</v>
      </c>
      <c r="L3668" t="s">
        <v>149</v>
      </c>
      <c r="M3668" t="s">
        <v>103</v>
      </c>
      <c r="N3668" t="s">
        <v>98</v>
      </c>
      <c r="O3668" t="s">
        <v>116</v>
      </c>
    </row>
    <row r="3669" spans="1:15" x14ac:dyDescent="0.3">
      <c r="A3669" s="130">
        <v>20849</v>
      </c>
      <c r="B3669" s="130">
        <v>30</v>
      </c>
      <c r="C3669" s="130" t="s">
        <v>5293</v>
      </c>
      <c r="D3669">
        <v>31383</v>
      </c>
      <c r="E3669" s="131">
        <v>52080463</v>
      </c>
      <c r="F3669" t="s">
        <v>87</v>
      </c>
      <c r="G3669">
        <v>76</v>
      </c>
      <c r="H3669" t="s">
        <v>8952</v>
      </c>
      <c r="I3669" s="130">
        <v>24</v>
      </c>
      <c r="J3669" t="s">
        <v>5293</v>
      </c>
      <c r="K3669" t="s">
        <v>95</v>
      </c>
      <c r="L3669" t="s">
        <v>191</v>
      </c>
      <c r="M3669" t="s">
        <v>103</v>
      </c>
      <c r="N3669" t="s">
        <v>98</v>
      </c>
      <c r="O3669" t="s">
        <v>1345</v>
      </c>
    </row>
    <row r="3670" spans="1:15" x14ac:dyDescent="0.3">
      <c r="A3670" s="130">
        <v>20857</v>
      </c>
      <c r="B3670" s="130">
        <v>18</v>
      </c>
      <c r="C3670" s="130" t="s">
        <v>5294</v>
      </c>
      <c r="D3670">
        <v>31540</v>
      </c>
      <c r="E3670" s="131">
        <v>33028845</v>
      </c>
      <c r="F3670" t="s">
        <v>87</v>
      </c>
      <c r="G3670">
        <v>358</v>
      </c>
      <c r="H3670" t="s">
        <v>8953</v>
      </c>
      <c r="I3670" s="130">
        <v>9</v>
      </c>
      <c r="J3670" t="s">
        <v>5294</v>
      </c>
      <c r="K3670" t="s">
        <v>108</v>
      </c>
      <c r="L3670" t="s">
        <v>163</v>
      </c>
      <c r="M3670" t="s">
        <v>112</v>
      </c>
      <c r="N3670" t="s">
        <v>98</v>
      </c>
      <c r="O3670" t="s">
        <v>116</v>
      </c>
    </row>
    <row r="3671" spans="1:15" x14ac:dyDescent="0.3">
      <c r="A3671" s="130">
        <v>20860</v>
      </c>
      <c r="B3671" s="130">
        <v>30</v>
      </c>
      <c r="C3671" s="130" t="s">
        <v>5295</v>
      </c>
      <c r="D3671">
        <v>30776</v>
      </c>
      <c r="E3671" s="130">
        <v>41161348</v>
      </c>
      <c r="F3671" t="s">
        <v>87</v>
      </c>
      <c r="G3671">
        <v>77</v>
      </c>
      <c r="H3671" t="s">
        <v>8951</v>
      </c>
      <c r="I3671" s="131">
        <v>3</v>
      </c>
      <c r="J3671" t="s">
        <v>5295</v>
      </c>
      <c r="K3671" t="s">
        <v>95</v>
      </c>
      <c r="L3671" t="s">
        <v>256</v>
      </c>
      <c r="M3671" t="s">
        <v>103</v>
      </c>
      <c r="N3671" t="s">
        <v>98</v>
      </c>
      <c r="O3671" t="s">
        <v>116</v>
      </c>
    </row>
    <row r="3672" spans="1:15" x14ac:dyDescent="0.3">
      <c r="A3672" s="130">
        <v>20862</v>
      </c>
      <c r="B3672" s="130">
        <v>30</v>
      </c>
      <c r="C3672" s="130" t="s">
        <v>5296</v>
      </c>
      <c r="D3672">
        <v>31545</v>
      </c>
      <c r="E3672" s="130">
        <v>80527104</v>
      </c>
      <c r="F3672" t="s">
        <v>87</v>
      </c>
      <c r="G3672">
        <v>76</v>
      </c>
      <c r="H3672" t="s">
        <v>8952</v>
      </c>
      <c r="I3672" s="131">
        <v>38</v>
      </c>
      <c r="J3672" t="s">
        <v>5296</v>
      </c>
      <c r="K3672" t="s">
        <v>108</v>
      </c>
      <c r="L3672" t="s">
        <v>126</v>
      </c>
      <c r="M3672" t="s">
        <v>103</v>
      </c>
      <c r="N3672" t="s">
        <v>98</v>
      </c>
      <c r="O3672" t="s">
        <v>116</v>
      </c>
    </row>
    <row r="3673" spans="1:15" x14ac:dyDescent="0.3">
      <c r="A3673" s="130">
        <v>20863</v>
      </c>
      <c r="B3673" s="130">
        <v>0</v>
      </c>
      <c r="C3673" s="130" t="s">
        <v>5297</v>
      </c>
      <c r="D3673">
        <v>31546</v>
      </c>
      <c r="E3673" s="130">
        <v>37358420</v>
      </c>
      <c r="F3673" t="s">
        <v>87</v>
      </c>
      <c r="G3673">
        <v>76</v>
      </c>
      <c r="H3673" t="s">
        <v>8953</v>
      </c>
      <c r="I3673" s="130">
        <v>10</v>
      </c>
      <c r="J3673" t="s">
        <v>5297</v>
      </c>
      <c r="K3673" t="s">
        <v>95</v>
      </c>
      <c r="L3673" t="s">
        <v>105</v>
      </c>
      <c r="M3673" t="s">
        <v>100</v>
      </c>
      <c r="N3673" t="s">
        <v>122</v>
      </c>
      <c r="O3673" t="s">
        <v>116</v>
      </c>
    </row>
    <row r="3674" spans="1:15" x14ac:dyDescent="0.3">
      <c r="A3674" s="130">
        <v>20864</v>
      </c>
      <c r="B3674" s="130">
        <v>28</v>
      </c>
      <c r="C3674" s="130" t="s">
        <v>5298</v>
      </c>
      <c r="D3674">
        <v>31548</v>
      </c>
      <c r="E3674" s="131">
        <v>8355201</v>
      </c>
      <c r="F3674" t="s">
        <v>87</v>
      </c>
      <c r="G3674">
        <v>76</v>
      </c>
      <c r="H3674" t="s">
        <v>8951</v>
      </c>
      <c r="I3674" s="130">
        <v>37</v>
      </c>
      <c r="J3674" t="s">
        <v>5298</v>
      </c>
      <c r="K3674" t="s">
        <v>108</v>
      </c>
      <c r="L3674" t="s">
        <v>138</v>
      </c>
      <c r="M3674" t="s">
        <v>130</v>
      </c>
      <c r="N3674" t="s">
        <v>114</v>
      </c>
      <c r="O3674" t="s">
        <v>116</v>
      </c>
    </row>
    <row r="3675" spans="1:15" x14ac:dyDescent="0.3">
      <c r="A3675" s="130">
        <v>20872</v>
      </c>
      <c r="B3675" s="130">
        <v>30</v>
      </c>
      <c r="C3675" s="130" t="s">
        <v>5299</v>
      </c>
      <c r="D3675">
        <v>31294</v>
      </c>
      <c r="E3675" s="130">
        <v>17216052</v>
      </c>
      <c r="F3675" t="s">
        <v>87</v>
      </c>
      <c r="G3675">
        <v>76</v>
      </c>
      <c r="H3675" t="s">
        <v>8952</v>
      </c>
      <c r="I3675" s="130">
        <v>18</v>
      </c>
      <c r="J3675" t="s">
        <v>5299</v>
      </c>
      <c r="K3675" t="s">
        <v>95</v>
      </c>
      <c r="L3675" t="s">
        <v>123</v>
      </c>
      <c r="M3675" t="s">
        <v>103</v>
      </c>
      <c r="N3675" t="s">
        <v>98</v>
      </c>
      <c r="O3675" t="s">
        <v>116</v>
      </c>
    </row>
    <row r="3676" spans="1:15" x14ac:dyDescent="0.3">
      <c r="A3676" s="130">
        <v>20883</v>
      </c>
      <c r="B3676" s="130">
        <v>10</v>
      </c>
      <c r="C3676" s="130" t="s">
        <v>5300</v>
      </c>
      <c r="D3676">
        <v>31573</v>
      </c>
      <c r="E3676" s="130">
        <v>58619404</v>
      </c>
      <c r="F3676" t="s">
        <v>87</v>
      </c>
      <c r="G3676">
        <v>358</v>
      </c>
      <c r="H3676" t="s">
        <v>8953</v>
      </c>
      <c r="I3676" s="130">
        <v>26</v>
      </c>
      <c r="J3676" t="s">
        <v>5300</v>
      </c>
      <c r="K3676" t="s">
        <v>108</v>
      </c>
      <c r="L3676" t="s">
        <v>193</v>
      </c>
      <c r="M3676" t="s">
        <v>133</v>
      </c>
      <c r="N3676" t="s">
        <v>98</v>
      </c>
      <c r="O3676" t="s">
        <v>116</v>
      </c>
    </row>
    <row r="3677" spans="1:15" x14ac:dyDescent="0.3">
      <c r="A3677" s="130">
        <v>20887</v>
      </c>
      <c r="B3677" s="130">
        <v>30</v>
      </c>
      <c r="C3677" s="130" t="s">
        <v>5301</v>
      </c>
      <c r="D3677">
        <v>31585</v>
      </c>
      <c r="E3677" s="130">
        <v>5657234</v>
      </c>
      <c r="F3677" t="s">
        <v>87</v>
      </c>
      <c r="G3677">
        <v>76</v>
      </c>
      <c r="H3677" t="s">
        <v>8951</v>
      </c>
      <c r="I3677" s="131">
        <v>38</v>
      </c>
      <c r="J3677" t="s">
        <v>5301</v>
      </c>
      <c r="K3677" t="s">
        <v>108</v>
      </c>
      <c r="L3677" t="s">
        <v>126</v>
      </c>
      <c r="M3677" t="s">
        <v>103</v>
      </c>
      <c r="N3677" t="s">
        <v>121</v>
      </c>
      <c r="O3677" t="s">
        <v>1345</v>
      </c>
    </row>
    <row r="3678" spans="1:15" x14ac:dyDescent="0.3">
      <c r="A3678" s="130">
        <v>20904</v>
      </c>
      <c r="B3678" s="130">
        <v>90</v>
      </c>
      <c r="C3678" s="130" t="s">
        <v>5302</v>
      </c>
      <c r="D3678">
        <v>31608</v>
      </c>
      <c r="E3678" s="130">
        <v>655209</v>
      </c>
      <c r="F3678" t="s">
        <v>87</v>
      </c>
      <c r="G3678">
        <v>76</v>
      </c>
      <c r="H3678" t="s">
        <v>8952</v>
      </c>
      <c r="I3678" s="130">
        <v>9</v>
      </c>
      <c r="J3678" t="s">
        <v>5302</v>
      </c>
      <c r="K3678" t="s">
        <v>95</v>
      </c>
      <c r="L3678" t="s">
        <v>181</v>
      </c>
      <c r="M3678" t="s">
        <v>170</v>
      </c>
      <c r="N3678" t="s">
        <v>114</v>
      </c>
      <c r="O3678" t="s">
        <v>116</v>
      </c>
    </row>
    <row r="3679" spans="1:15" x14ac:dyDescent="0.3">
      <c r="A3679" s="130">
        <v>20907</v>
      </c>
      <c r="B3679" s="130">
        <v>20</v>
      </c>
      <c r="C3679" s="130" t="s">
        <v>5303</v>
      </c>
      <c r="D3679">
        <v>31615</v>
      </c>
      <c r="E3679" s="131">
        <v>740230</v>
      </c>
      <c r="F3679" t="s">
        <v>87</v>
      </c>
      <c r="G3679">
        <v>76</v>
      </c>
      <c r="H3679" t="s">
        <v>8953</v>
      </c>
      <c r="I3679" s="131">
        <v>24</v>
      </c>
      <c r="J3679" t="s">
        <v>5303</v>
      </c>
      <c r="K3679" t="s">
        <v>108</v>
      </c>
      <c r="L3679" t="s">
        <v>191</v>
      </c>
      <c r="M3679" t="s">
        <v>148</v>
      </c>
      <c r="N3679" t="s">
        <v>98</v>
      </c>
      <c r="O3679" t="s">
        <v>116</v>
      </c>
    </row>
    <row r="3680" spans="1:15" x14ac:dyDescent="0.3">
      <c r="A3680" s="130">
        <v>20912</v>
      </c>
      <c r="B3680" s="130">
        <v>10</v>
      </c>
      <c r="C3680" s="130" t="s">
        <v>5304</v>
      </c>
      <c r="D3680">
        <v>31628</v>
      </c>
      <c r="E3680" s="130">
        <v>40410159</v>
      </c>
      <c r="F3680" t="s">
        <v>87</v>
      </c>
      <c r="G3680">
        <v>76</v>
      </c>
      <c r="H3680" t="s">
        <v>8951</v>
      </c>
      <c r="I3680" s="130">
        <v>3</v>
      </c>
      <c r="J3680" t="s">
        <v>5304</v>
      </c>
      <c r="K3680" t="s">
        <v>108</v>
      </c>
      <c r="L3680" t="s">
        <v>153</v>
      </c>
      <c r="M3680" t="s">
        <v>133</v>
      </c>
      <c r="N3680" t="s">
        <v>98</v>
      </c>
      <c r="O3680" t="s">
        <v>116</v>
      </c>
    </row>
    <row r="3681" spans="1:15" x14ac:dyDescent="0.3">
      <c r="A3681" s="130">
        <v>20914</v>
      </c>
      <c r="B3681" s="130">
        <v>60</v>
      </c>
      <c r="C3681" s="130" t="s">
        <v>5305</v>
      </c>
      <c r="D3681">
        <v>31632</v>
      </c>
      <c r="E3681" s="130">
        <v>33592510</v>
      </c>
      <c r="F3681" t="s">
        <v>87</v>
      </c>
      <c r="G3681">
        <v>77</v>
      </c>
      <c r="H3681" t="s">
        <v>8952</v>
      </c>
      <c r="I3681" s="130">
        <v>3</v>
      </c>
      <c r="J3681" t="s">
        <v>5305</v>
      </c>
      <c r="K3681" t="s">
        <v>95</v>
      </c>
      <c r="L3681" t="s">
        <v>117</v>
      </c>
      <c r="M3681" t="s">
        <v>97</v>
      </c>
      <c r="N3681" t="s">
        <v>118</v>
      </c>
      <c r="O3681" t="s">
        <v>1256</v>
      </c>
    </row>
    <row r="3682" spans="1:15" x14ac:dyDescent="0.3">
      <c r="A3682" s="130">
        <v>20924</v>
      </c>
      <c r="B3682" s="130">
        <v>45</v>
      </c>
      <c r="C3682" s="130" t="s">
        <v>5306</v>
      </c>
      <c r="D3682">
        <v>31644</v>
      </c>
      <c r="E3682" s="130">
        <v>28789998</v>
      </c>
      <c r="F3682" t="s">
        <v>87</v>
      </c>
      <c r="G3682">
        <v>76</v>
      </c>
      <c r="H3682" t="s">
        <v>8953</v>
      </c>
      <c r="I3682" s="130">
        <v>18</v>
      </c>
      <c r="J3682" t="s">
        <v>5306</v>
      </c>
      <c r="K3682" t="s">
        <v>95</v>
      </c>
      <c r="L3682" t="s">
        <v>120</v>
      </c>
      <c r="M3682" t="s">
        <v>106</v>
      </c>
      <c r="N3682" t="s">
        <v>114</v>
      </c>
      <c r="O3682" t="s">
        <v>116</v>
      </c>
    </row>
    <row r="3683" spans="1:15" x14ac:dyDescent="0.3">
      <c r="A3683" s="130">
        <v>20927</v>
      </c>
      <c r="B3683" s="130" t="s">
        <v>175</v>
      </c>
      <c r="C3683" s="130" t="s">
        <v>5307</v>
      </c>
      <c r="D3683">
        <v>31650</v>
      </c>
      <c r="E3683" s="131">
        <v>44553754</v>
      </c>
      <c r="F3683" t="s">
        <v>87</v>
      </c>
      <c r="G3683">
        <v>76</v>
      </c>
      <c r="H3683" t="s">
        <v>8951</v>
      </c>
      <c r="I3683" s="130">
        <v>3</v>
      </c>
      <c r="J3683" t="s">
        <v>5307</v>
      </c>
      <c r="K3683" t="s">
        <v>95</v>
      </c>
      <c r="L3683" t="s">
        <v>1250</v>
      </c>
      <c r="M3683" t="s">
        <v>176</v>
      </c>
      <c r="N3683" t="s">
        <v>98</v>
      </c>
      <c r="O3683" t="s">
        <v>1256</v>
      </c>
    </row>
    <row r="3684" spans="1:15" x14ac:dyDescent="0.3">
      <c r="A3684" s="130">
        <v>20928</v>
      </c>
      <c r="B3684" s="130">
        <v>30</v>
      </c>
      <c r="C3684" s="130" t="s">
        <v>5308</v>
      </c>
      <c r="D3684">
        <v>31651</v>
      </c>
      <c r="E3684" s="131">
        <v>17159856</v>
      </c>
      <c r="F3684" t="s">
        <v>87</v>
      </c>
      <c r="G3684">
        <v>76</v>
      </c>
      <c r="H3684" t="s">
        <v>8952</v>
      </c>
      <c r="I3684" s="131">
        <v>3</v>
      </c>
      <c r="J3684" t="s">
        <v>5308</v>
      </c>
      <c r="K3684" t="s">
        <v>95</v>
      </c>
      <c r="L3684" t="s">
        <v>163</v>
      </c>
      <c r="M3684" t="s">
        <v>103</v>
      </c>
      <c r="N3684" t="s">
        <v>98</v>
      </c>
      <c r="O3684" t="s">
        <v>116</v>
      </c>
    </row>
    <row r="3685" spans="1:15" x14ac:dyDescent="0.3">
      <c r="A3685" s="130">
        <v>20929</v>
      </c>
      <c r="B3685" s="130">
        <v>10</v>
      </c>
      <c r="C3685" s="130" t="s">
        <v>5309</v>
      </c>
      <c r="D3685">
        <v>31653</v>
      </c>
      <c r="E3685" s="130">
        <v>17668852</v>
      </c>
      <c r="F3685" t="s">
        <v>87</v>
      </c>
      <c r="G3685">
        <v>76</v>
      </c>
      <c r="H3685" t="s">
        <v>8953</v>
      </c>
      <c r="I3685" s="131">
        <v>3</v>
      </c>
      <c r="J3685" t="s">
        <v>5309</v>
      </c>
      <c r="K3685" t="s">
        <v>108</v>
      </c>
      <c r="L3685" t="s">
        <v>1293</v>
      </c>
      <c r="M3685" t="s">
        <v>133</v>
      </c>
      <c r="N3685" t="s">
        <v>98</v>
      </c>
      <c r="O3685" t="s">
        <v>116</v>
      </c>
    </row>
    <row r="3686" spans="1:15" x14ac:dyDescent="0.3">
      <c r="A3686" s="130">
        <v>20931</v>
      </c>
      <c r="B3686" s="130">
        <v>30</v>
      </c>
      <c r="C3686" s="130" t="s">
        <v>5310</v>
      </c>
      <c r="D3686">
        <v>31655</v>
      </c>
      <c r="E3686" s="130">
        <v>48566784</v>
      </c>
      <c r="F3686" t="s">
        <v>87</v>
      </c>
      <c r="G3686">
        <v>76</v>
      </c>
      <c r="H3686" t="s">
        <v>8951</v>
      </c>
      <c r="I3686" s="130">
        <v>38</v>
      </c>
      <c r="J3686" t="s">
        <v>5310</v>
      </c>
      <c r="K3686" t="s">
        <v>108</v>
      </c>
      <c r="L3686" t="s">
        <v>126</v>
      </c>
      <c r="M3686" t="s">
        <v>103</v>
      </c>
      <c r="N3686" t="s">
        <v>101</v>
      </c>
      <c r="O3686" t="s">
        <v>116</v>
      </c>
    </row>
    <row r="3687" spans="1:15" x14ac:dyDescent="0.3">
      <c r="A3687" s="130">
        <v>20933</v>
      </c>
      <c r="B3687" s="130">
        <v>18</v>
      </c>
      <c r="C3687" s="130" t="s">
        <v>5311</v>
      </c>
      <c r="D3687">
        <v>31661</v>
      </c>
      <c r="E3687" s="130">
        <v>48417180</v>
      </c>
      <c r="F3687" t="s">
        <v>87</v>
      </c>
      <c r="G3687">
        <v>76</v>
      </c>
      <c r="H3687" t="s">
        <v>8952</v>
      </c>
      <c r="I3687" s="130">
        <v>26</v>
      </c>
      <c r="J3687" t="s">
        <v>5311</v>
      </c>
      <c r="K3687" t="s">
        <v>108</v>
      </c>
      <c r="L3687" t="s">
        <v>151</v>
      </c>
      <c r="M3687" t="s">
        <v>112</v>
      </c>
      <c r="N3687" t="s">
        <v>98</v>
      </c>
      <c r="O3687" t="s">
        <v>116</v>
      </c>
    </row>
    <row r="3688" spans="1:15" x14ac:dyDescent="0.3">
      <c r="A3688" s="130">
        <v>20936</v>
      </c>
      <c r="B3688" s="130">
        <v>30</v>
      </c>
      <c r="C3688" s="130" t="s">
        <v>5312</v>
      </c>
      <c r="D3688">
        <v>31667</v>
      </c>
      <c r="E3688" s="131">
        <v>8343492</v>
      </c>
      <c r="F3688" t="s">
        <v>87</v>
      </c>
      <c r="G3688">
        <v>76</v>
      </c>
      <c r="H3688" t="s">
        <v>8953</v>
      </c>
      <c r="I3688" s="130">
        <v>37</v>
      </c>
      <c r="J3688" t="s">
        <v>5312</v>
      </c>
      <c r="K3688" t="s">
        <v>95</v>
      </c>
      <c r="L3688" t="s">
        <v>138</v>
      </c>
      <c r="M3688" t="s">
        <v>103</v>
      </c>
      <c r="N3688" t="s">
        <v>150</v>
      </c>
      <c r="O3688" t="s">
        <v>116</v>
      </c>
    </row>
    <row r="3689" spans="1:15" x14ac:dyDescent="0.3">
      <c r="A3689" s="130">
        <v>20951</v>
      </c>
      <c r="B3689" s="130">
        <v>18</v>
      </c>
      <c r="C3689" s="130" t="s">
        <v>5313</v>
      </c>
      <c r="D3689">
        <v>31690</v>
      </c>
      <c r="E3689" s="130">
        <v>20858687</v>
      </c>
      <c r="F3689" t="s">
        <v>87</v>
      </c>
      <c r="G3689">
        <v>76</v>
      </c>
      <c r="H3689" t="s">
        <v>8951</v>
      </c>
      <c r="I3689" s="130">
        <v>9</v>
      </c>
      <c r="J3689" t="s">
        <v>5313</v>
      </c>
      <c r="K3689" t="s">
        <v>108</v>
      </c>
      <c r="L3689" t="s">
        <v>181</v>
      </c>
      <c r="M3689" t="s">
        <v>112</v>
      </c>
      <c r="N3689" t="s">
        <v>114</v>
      </c>
      <c r="O3689" t="s">
        <v>116</v>
      </c>
    </row>
    <row r="3690" spans="1:15" x14ac:dyDescent="0.3">
      <c r="A3690" s="130">
        <v>20953</v>
      </c>
      <c r="B3690" s="130">
        <v>30</v>
      </c>
      <c r="C3690" s="130" t="s">
        <v>5314</v>
      </c>
      <c r="D3690">
        <v>31694</v>
      </c>
      <c r="E3690" s="130">
        <v>58062365</v>
      </c>
      <c r="F3690" t="s">
        <v>87</v>
      </c>
      <c r="G3690">
        <v>358</v>
      </c>
      <c r="H3690" t="s">
        <v>8952</v>
      </c>
      <c r="I3690" s="130">
        <v>10</v>
      </c>
      <c r="J3690" t="s">
        <v>5314</v>
      </c>
      <c r="K3690" t="s">
        <v>108</v>
      </c>
      <c r="L3690" t="s">
        <v>109</v>
      </c>
      <c r="M3690" t="s">
        <v>103</v>
      </c>
      <c r="N3690" t="s">
        <v>98</v>
      </c>
      <c r="O3690" t="s">
        <v>116</v>
      </c>
    </row>
    <row r="3691" spans="1:15" x14ac:dyDescent="0.3">
      <c r="A3691" s="130">
        <v>20976</v>
      </c>
      <c r="B3691" s="130">
        <v>28</v>
      </c>
      <c r="C3691" s="130" t="s">
        <v>5315</v>
      </c>
      <c r="D3691">
        <v>31728</v>
      </c>
      <c r="E3691" s="130">
        <v>21471093</v>
      </c>
      <c r="F3691" t="s">
        <v>87</v>
      </c>
      <c r="G3691">
        <v>76</v>
      </c>
      <c r="H3691" t="s">
        <v>8953</v>
      </c>
      <c r="I3691" s="130">
        <v>43</v>
      </c>
      <c r="J3691" t="s">
        <v>5315</v>
      </c>
      <c r="K3691" t="s">
        <v>108</v>
      </c>
      <c r="L3691" t="s">
        <v>1368</v>
      </c>
      <c r="M3691" t="s">
        <v>130</v>
      </c>
      <c r="N3691" t="s">
        <v>98</v>
      </c>
      <c r="O3691" t="s">
        <v>116</v>
      </c>
    </row>
    <row r="3692" spans="1:15" x14ac:dyDescent="0.3">
      <c r="A3692" s="130">
        <v>20992</v>
      </c>
      <c r="B3692" s="130">
        <v>10</v>
      </c>
      <c r="C3692" s="130" t="s">
        <v>5316</v>
      </c>
      <c r="D3692">
        <v>31758</v>
      </c>
      <c r="E3692" s="130">
        <v>43200669</v>
      </c>
      <c r="F3692" t="s">
        <v>87</v>
      </c>
      <c r="G3692">
        <v>76</v>
      </c>
      <c r="H3692" t="s">
        <v>8951</v>
      </c>
      <c r="I3692" s="130">
        <v>10</v>
      </c>
      <c r="J3692" t="s">
        <v>5316</v>
      </c>
      <c r="K3692" t="s">
        <v>108</v>
      </c>
      <c r="L3692" t="s">
        <v>127</v>
      </c>
      <c r="M3692" t="s">
        <v>133</v>
      </c>
      <c r="N3692" t="s">
        <v>152</v>
      </c>
      <c r="O3692" t="s">
        <v>1345</v>
      </c>
    </row>
    <row r="3693" spans="1:15" x14ac:dyDescent="0.3">
      <c r="A3693" s="130">
        <v>20995</v>
      </c>
      <c r="B3693" s="130">
        <v>15</v>
      </c>
      <c r="C3693" s="130" t="s">
        <v>5317</v>
      </c>
      <c r="D3693">
        <v>31760</v>
      </c>
      <c r="E3693" s="131">
        <v>7680258</v>
      </c>
      <c r="F3693" t="s">
        <v>87</v>
      </c>
      <c r="G3693">
        <v>76</v>
      </c>
      <c r="H3693" t="s">
        <v>8952</v>
      </c>
      <c r="I3693" s="131">
        <v>24</v>
      </c>
      <c r="J3693" t="s">
        <v>5317</v>
      </c>
      <c r="K3693" t="s">
        <v>108</v>
      </c>
      <c r="L3693" t="s">
        <v>240</v>
      </c>
      <c r="M3693" t="s">
        <v>145</v>
      </c>
      <c r="N3693" t="s">
        <v>98</v>
      </c>
      <c r="O3693" t="s">
        <v>116</v>
      </c>
    </row>
    <row r="3694" spans="1:15" x14ac:dyDescent="0.3">
      <c r="A3694" s="130">
        <v>20999</v>
      </c>
      <c r="B3694" s="130">
        <v>-1</v>
      </c>
      <c r="C3694" s="130" t="s">
        <v>5318</v>
      </c>
      <c r="D3694">
        <v>31768</v>
      </c>
      <c r="E3694" s="131">
        <v>33039089</v>
      </c>
      <c r="F3694" t="s">
        <v>87</v>
      </c>
      <c r="G3694">
        <v>76</v>
      </c>
      <c r="H3694" t="s">
        <v>8953</v>
      </c>
      <c r="I3694" s="130">
        <v>43</v>
      </c>
      <c r="J3694" t="s">
        <v>5318</v>
      </c>
      <c r="K3694" t="s">
        <v>108</v>
      </c>
      <c r="L3694" t="s">
        <v>173</v>
      </c>
      <c r="M3694" t="s">
        <v>174</v>
      </c>
      <c r="N3694" t="s">
        <v>101</v>
      </c>
      <c r="O3694" t="s">
        <v>1345</v>
      </c>
    </row>
    <row r="3695" spans="1:15" x14ac:dyDescent="0.3">
      <c r="A3695" s="130">
        <v>21005</v>
      </c>
      <c r="B3695" s="130">
        <v>-1</v>
      </c>
      <c r="C3695" s="130" t="s">
        <v>5319</v>
      </c>
      <c r="D3695">
        <v>31775</v>
      </c>
      <c r="E3695" s="131">
        <v>51376993</v>
      </c>
      <c r="F3695" t="s">
        <v>87</v>
      </c>
      <c r="G3695">
        <v>76</v>
      </c>
      <c r="H3695" t="s">
        <v>8951</v>
      </c>
      <c r="I3695" s="131">
        <v>9</v>
      </c>
      <c r="J3695" t="s">
        <v>5319</v>
      </c>
      <c r="K3695" t="s">
        <v>108</v>
      </c>
      <c r="L3695" t="s">
        <v>163</v>
      </c>
      <c r="M3695" t="s">
        <v>174</v>
      </c>
      <c r="N3695" t="s">
        <v>101</v>
      </c>
      <c r="O3695" t="s">
        <v>116</v>
      </c>
    </row>
    <row r="3696" spans="1:15" x14ac:dyDescent="0.3">
      <c r="A3696" s="130">
        <v>21007</v>
      </c>
      <c r="B3696" s="130">
        <v>18</v>
      </c>
      <c r="C3696" s="130" t="s">
        <v>5320</v>
      </c>
      <c r="D3696">
        <v>31779</v>
      </c>
      <c r="E3696" s="130">
        <v>15486199</v>
      </c>
      <c r="F3696" t="s">
        <v>87</v>
      </c>
      <c r="G3696">
        <v>76</v>
      </c>
      <c r="H3696" t="s">
        <v>8952</v>
      </c>
      <c r="I3696" s="130">
        <v>10</v>
      </c>
      <c r="J3696" t="s">
        <v>5320</v>
      </c>
      <c r="K3696" t="s">
        <v>108</v>
      </c>
      <c r="L3696" t="s">
        <v>127</v>
      </c>
      <c r="M3696" t="s">
        <v>112</v>
      </c>
      <c r="N3696" t="s">
        <v>141</v>
      </c>
      <c r="O3696" t="s">
        <v>1345</v>
      </c>
    </row>
    <row r="3697" spans="1:15" x14ac:dyDescent="0.3">
      <c r="A3697" s="130">
        <v>21015</v>
      </c>
      <c r="B3697" s="130">
        <v>18</v>
      </c>
      <c r="C3697" s="130" t="s">
        <v>5321</v>
      </c>
      <c r="D3697">
        <v>31790</v>
      </c>
      <c r="E3697" s="131">
        <v>19289726</v>
      </c>
      <c r="F3697" t="s">
        <v>87</v>
      </c>
      <c r="G3697">
        <v>76</v>
      </c>
      <c r="H3697" t="s">
        <v>8953</v>
      </c>
      <c r="I3697" s="131">
        <v>26</v>
      </c>
      <c r="J3697" t="s">
        <v>5321</v>
      </c>
      <c r="K3697" t="s">
        <v>108</v>
      </c>
      <c r="L3697" t="s">
        <v>151</v>
      </c>
      <c r="M3697" t="s">
        <v>112</v>
      </c>
      <c r="N3697" t="s">
        <v>98</v>
      </c>
      <c r="O3697" t="s">
        <v>1345</v>
      </c>
    </row>
    <row r="3698" spans="1:15" x14ac:dyDescent="0.3">
      <c r="A3698" s="130">
        <v>21022</v>
      </c>
      <c r="B3698" s="130">
        <v>30</v>
      </c>
      <c r="C3698" s="130" t="s">
        <v>5322</v>
      </c>
      <c r="D3698">
        <v>31795</v>
      </c>
      <c r="E3698" s="131">
        <v>48696275</v>
      </c>
      <c r="F3698" t="s">
        <v>87</v>
      </c>
      <c r="G3698">
        <v>76</v>
      </c>
      <c r="H3698" t="s">
        <v>8951</v>
      </c>
      <c r="I3698" s="130">
        <v>38</v>
      </c>
      <c r="J3698" t="s">
        <v>5322</v>
      </c>
      <c r="K3698" t="s">
        <v>108</v>
      </c>
      <c r="L3698" t="s">
        <v>126</v>
      </c>
      <c r="M3698" t="s">
        <v>103</v>
      </c>
      <c r="N3698" t="s">
        <v>98</v>
      </c>
      <c r="O3698" t="s">
        <v>116</v>
      </c>
    </row>
    <row r="3699" spans="1:15" x14ac:dyDescent="0.3">
      <c r="A3699" s="130">
        <v>21023</v>
      </c>
      <c r="B3699" s="130">
        <v>30</v>
      </c>
      <c r="C3699" s="130" t="s">
        <v>5323</v>
      </c>
      <c r="D3699">
        <v>31782</v>
      </c>
      <c r="E3699" s="130">
        <v>24013278</v>
      </c>
      <c r="F3699" t="s">
        <v>87</v>
      </c>
      <c r="G3699">
        <v>76</v>
      </c>
      <c r="H3699" t="s">
        <v>8952</v>
      </c>
      <c r="I3699" s="131">
        <v>28</v>
      </c>
      <c r="J3699" t="s">
        <v>5323</v>
      </c>
      <c r="K3699" t="s">
        <v>95</v>
      </c>
      <c r="L3699" t="s">
        <v>102</v>
      </c>
      <c r="M3699" t="s">
        <v>103</v>
      </c>
      <c r="N3699" t="s">
        <v>98</v>
      </c>
      <c r="O3699" t="s">
        <v>116</v>
      </c>
    </row>
    <row r="3700" spans="1:15" x14ac:dyDescent="0.3">
      <c r="A3700" s="130">
        <v>21026</v>
      </c>
      <c r="B3700" s="130">
        <v>30</v>
      </c>
      <c r="C3700" s="130" t="s">
        <v>5324</v>
      </c>
      <c r="D3700">
        <v>31802</v>
      </c>
      <c r="E3700" s="130">
        <v>17159856</v>
      </c>
      <c r="F3700" t="s">
        <v>87</v>
      </c>
      <c r="G3700">
        <v>358</v>
      </c>
      <c r="H3700" t="s">
        <v>8953</v>
      </c>
      <c r="I3700" s="130">
        <v>3</v>
      </c>
      <c r="J3700" t="s">
        <v>5324</v>
      </c>
      <c r="K3700" t="s">
        <v>95</v>
      </c>
      <c r="L3700" t="s">
        <v>163</v>
      </c>
      <c r="M3700" t="s">
        <v>103</v>
      </c>
      <c r="N3700" t="s">
        <v>98</v>
      </c>
      <c r="O3700" t="s">
        <v>1256</v>
      </c>
    </row>
    <row r="3701" spans="1:15" x14ac:dyDescent="0.3">
      <c r="A3701" s="130">
        <v>21027</v>
      </c>
      <c r="B3701" s="130">
        <v>90</v>
      </c>
      <c r="C3701" s="130" t="s">
        <v>5325</v>
      </c>
      <c r="D3701">
        <v>31803</v>
      </c>
      <c r="E3701" s="130">
        <v>35234509</v>
      </c>
      <c r="F3701" t="s">
        <v>87</v>
      </c>
      <c r="G3701">
        <v>76</v>
      </c>
      <c r="H3701" t="s">
        <v>8951</v>
      </c>
      <c r="I3701" s="130">
        <v>18</v>
      </c>
      <c r="J3701" t="s">
        <v>5325</v>
      </c>
      <c r="K3701" t="s">
        <v>95</v>
      </c>
      <c r="L3701" t="s">
        <v>102</v>
      </c>
      <c r="M3701" t="s">
        <v>170</v>
      </c>
      <c r="N3701" t="s">
        <v>98</v>
      </c>
      <c r="O3701" t="s">
        <v>116</v>
      </c>
    </row>
    <row r="3702" spans="1:15" x14ac:dyDescent="0.3">
      <c r="A3702" s="130">
        <v>21028</v>
      </c>
      <c r="B3702" s="130">
        <v>30</v>
      </c>
      <c r="C3702" s="130" t="s">
        <v>5326</v>
      </c>
      <c r="D3702">
        <v>31804</v>
      </c>
      <c r="E3702" s="130">
        <v>24013278</v>
      </c>
      <c r="F3702" t="s">
        <v>87</v>
      </c>
      <c r="G3702">
        <v>76</v>
      </c>
      <c r="H3702" t="s">
        <v>8952</v>
      </c>
      <c r="I3702" s="130">
        <v>28</v>
      </c>
      <c r="J3702" t="s">
        <v>5326</v>
      </c>
      <c r="K3702" t="s">
        <v>95</v>
      </c>
      <c r="L3702" t="s">
        <v>102</v>
      </c>
      <c r="M3702" t="s">
        <v>103</v>
      </c>
      <c r="N3702" t="s">
        <v>98</v>
      </c>
      <c r="O3702" t="s">
        <v>116</v>
      </c>
    </row>
    <row r="3703" spans="1:15" x14ac:dyDescent="0.3">
      <c r="A3703" s="130">
        <v>21029</v>
      </c>
      <c r="B3703" s="130">
        <v>30</v>
      </c>
      <c r="C3703" s="130" t="s">
        <v>5327</v>
      </c>
      <c r="D3703">
        <v>31805</v>
      </c>
      <c r="E3703" s="131">
        <v>24013278</v>
      </c>
      <c r="F3703" t="s">
        <v>87</v>
      </c>
      <c r="G3703">
        <v>76</v>
      </c>
      <c r="H3703" t="s">
        <v>8953</v>
      </c>
      <c r="I3703" s="130">
        <v>28</v>
      </c>
      <c r="J3703" t="s">
        <v>5327</v>
      </c>
      <c r="K3703" t="s">
        <v>95</v>
      </c>
      <c r="L3703" t="s">
        <v>102</v>
      </c>
      <c r="M3703" t="s">
        <v>103</v>
      </c>
      <c r="N3703" t="s">
        <v>98</v>
      </c>
      <c r="O3703" t="s">
        <v>116</v>
      </c>
    </row>
    <row r="3704" spans="1:15" x14ac:dyDescent="0.3">
      <c r="A3704" s="130">
        <v>21037</v>
      </c>
      <c r="B3704" s="130">
        <v>90</v>
      </c>
      <c r="C3704" s="130" t="s">
        <v>5328</v>
      </c>
      <c r="D3704">
        <v>31825</v>
      </c>
      <c r="E3704" s="130">
        <v>35234509</v>
      </c>
      <c r="F3704" t="s">
        <v>87</v>
      </c>
      <c r="G3704">
        <v>76</v>
      </c>
      <c r="H3704" t="s">
        <v>8951</v>
      </c>
      <c r="I3704" s="130">
        <v>19</v>
      </c>
      <c r="J3704" t="s">
        <v>5328</v>
      </c>
      <c r="K3704" t="s">
        <v>95</v>
      </c>
      <c r="L3704" t="s">
        <v>102</v>
      </c>
      <c r="M3704" t="s">
        <v>170</v>
      </c>
      <c r="N3704" t="s">
        <v>98</v>
      </c>
      <c r="O3704" t="s">
        <v>116</v>
      </c>
    </row>
    <row r="3705" spans="1:15" x14ac:dyDescent="0.3">
      <c r="A3705" s="130">
        <v>21042</v>
      </c>
      <c r="B3705" s="130">
        <v>30</v>
      </c>
      <c r="C3705" s="130" t="s">
        <v>5329</v>
      </c>
      <c r="D3705">
        <v>31834</v>
      </c>
      <c r="E3705" s="130">
        <v>8726496</v>
      </c>
      <c r="F3705" t="s">
        <v>87</v>
      </c>
      <c r="G3705">
        <v>76</v>
      </c>
      <c r="H3705" t="s">
        <v>8952</v>
      </c>
      <c r="I3705" s="131">
        <v>18</v>
      </c>
      <c r="J3705" t="s">
        <v>5329</v>
      </c>
      <c r="K3705" t="s">
        <v>95</v>
      </c>
      <c r="L3705" t="s">
        <v>123</v>
      </c>
      <c r="M3705" t="s">
        <v>103</v>
      </c>
      <c r="N3705" t="s">
        <v>98</v>
      </c>
      <c r="O3705" t="s">
        <v>116</v>
      </c>
    </row>
    <row r="3706" spans="1:15" x14ac:dyDescent="0.3">
      <c r="A3706" s="130">
        <v>21046</v>
      </c>
      <c r="B3706" s="130" t="s">
        <v>156</v>
      </c>
      <c r="C3706" s="130" t="s">
        <v>5330</v>
      </c>
      <c r="D3706">
        <v>31841</v>
      </c>
      <c r="E3706" s="130">
        <v>2426640</v>
      </c>
      <c r="F3706" t="s">
        <v>87</v>
      </c>
      <c r="G3706">
        <v>76</v>
      </c>
      <c r="H3706" t="s">
        <v>8953</v>
      </c>
      <c r="I3706" s="130">
        <v>3</v>
      </c>
      <c r="J3706" t="s">
        <v>5330</v>
      </c>
      <c r="K3706" t="s">
        <v>108</v>
      </c>
      <c r="L3706" t="s">
        <v>1293</v>
      </c>
      <c r="M3706" t="s">
        <v>156</v>
      </c>
      <c r="N3706" t="s">
        <v>98</v>
      </c>
      <c r="O3706" t="s">
        <v>1345</v>
      </c>
    </row>
    <row r="3707" spans="1:15" x14ac:dyDescent="0.3">
      <c r="A3707" s="130">
        <v>21053</v>
      </c>
      <c r="B3707" s="131">
        <v>10</v>
      </c>
      <c r="C3707" s="130" t="s">
        <v>5331</v>
      </c>
      <c r="D3707">
        <v>31850</v>
      </c>
      <c r="E3707" s="130">
        <v>12096667</v>
      </c>
      <c r="F3707" t="s">
        <v>87</v>
      </c>
      <c r="G3707">
        <v>358</v>
      </c>
      <c r="H3707" t="s">
        <v>8951</v>
      </c>
      <c r="I3707" s="130">
        <v>3</v>
      </c>
      <c r="J3707" t="s">
        <v>5331</v>
      </c>
      <c r="K3707" t="s">
        <v>108</v>
      </c>
      <c r="L3707" t="s">
        <v>193</v>
      </c>
      <c r="M3707" t="s">
        <v>133</v>
      </c>
      <c r="N3707" t="s">
        <v>98</v>
      </c>
      <c r="O3707" t="s">
        <v>116</v>
      </c>
    </row>
    <row r="3708" spans="1:15" x14ac:dyDescent="0.3">
      <c r="A3708" s="130">
        <v>21062</v>
      </c>
      <c r="B3708" s="130">
        <v>30</v>
      </c>
      <c r="C3708" s="130" t="s">
        <v>5332</v>
      </c>
      <c r="D3708">
        <v>31862</v>
      </c>
      <c r="E3708" s="130">
        <v>17216052</v>
      </c>
      <c r="F3708" t="s">
        <v>87</v>
      </c>
      <c r="G3708">
        <v>76</v>
      </c>
      <c r="H3708" t="s">
        <v>8952</v>
      </c>
      <c r="I3708" s="130">
        <v>18</v>
      </c>
      <c r="J3708" t="s">
        <v>5332</v>
      </c>
      <c r="K3708" t="s">
        <v>95</v>
      </c>
      <c r="L3708" t="s">
        <v>123</v>
      </c>
      <c r="M3708" t="s">
        <v>103</v>
      </c>
      <c r="N3708" t="s">
        <v>98</v>
      </c>
      <c r="O3708" t="s">
        <v>116</v>
      </c>
    </row>
    <row r="3709" spans="1:15" x14ac:dyDescent="0.3">
      <c r="A3709" s="130">
        <v>21065</v>
      </c>
      <c r="B3709" s="130">
        <v>30</v>
      </c>
      <c r="C3709" s="130" t="s">
        <v>5333</v>
      </c>
      <c r="D3709">
        <v>31737</v>
      </c>
      <c r="E3709" s="130">
        <v>4824051</v>
      </c>
      <c r="F3709" t="s">
        <v>87</v>
      </c>
      <c r="G3709">
        <v>76</v>
      </c>
      <c r="H3709" t="s">
        <v>8953</v>
      </c>
      <c r="I3709" s="130">
        <v>18</v>
      </c>
      <c r="J3709" t="s">
        <v>5333</v>
      </c>
      <c r="K3709" t="s">
        <v>108</v>
      </c>
      <c r="L3709" t="s">
        <v>123</v>
      </c>
      <c r="M3709" t="s">
        <v>103</v>
      </c>
      <c r="N3709" t="s">
        <v>98</v>
      </c>
      <c r="O3709" t="s">
        <v>116</v>
      </c>
    </row>
    <row r="3710" spans="1:15" x14ac:dyDescent="0.3">
      <c r="A3710" s="130">
        <v>21069</v>
      </c>
      <c r="B3710" s="130">
        <v>0</v>
      </c>
      <c r="C3710" s="130" t="s">
        <v>5334</v>
      </c>
      <c r="D3710">
        <v>31820</v>
      </c>
      <c r="E3710" s="131">
        <v>24384054</v>
      </c>
      <c r="F3710" t="s">
        <v>87</v>
      </c>
      <c r="G3710">
        <v>358</v>
      </c>
      <c r="H3710" t="s">
        <v>8951</v>
      </c>
      <c r="I3710" s="131">
        <v>10</v>
      </c>
      <c r="J3710" t="s">
        <v>5334</v>
      </c>
      <c r="K3710" t="s">
        <v>108</v>
      </c>
      <c r="L3710" t="s">
        <v>109</v>
      </c>
      <c r="M3710" t="s">
        <v>100</v>
      </c>
      <c r="N3710" t="s">
        <v>98</v>
      </c>
      <c r="O3710" t="s">
        <v>116</v>
      </c>
    </row>
    <row r="3711" spans="1:15" x14ac:dyDescent="0.3">
      <c r="A3711" s="130">
        <v>21075</v>
      </c>
      <c r="B3711" s="130">
        <v>18</v>
      </c>
      <c r="C3711" s="130" t="s">
        <v>5335</v>
      </c>
      <c r="D3711">
        <v>31883</v>
      </c>
      <c r="E3711" s="130">
        <v>70597642834</v>
      </c>
      <c r="F3711" t="s">
        <v>87</v>
      </c>
      <c r="G3711">
        <v>76</v>
      </c>
      <c r="H3711" t="s">
        <v>8952</v>
      </c>
      <c r="I3711" s="130">
        <v>37</v>
      </c>
      <c r="J3711" t="s">
        <v>5335</v>
      </c>
      <c r="K3711" t="s">
        <v>108</v>
      </c>
      <c r="L3711" t="s">
        <v>138</v>
      </c>
      <c r="M3711" t="s">
        <v>112</v>
      </c>
      <c r="N3711" t="s">
        <v>110</v>
      </c>
      <c r="O3711" t="s">
        <v>1345</v>
      </c>
    </row>
    <row r="3712" spans="1:15" x14ac:dyDescent="0.3">
      <c r="A3712" s="130">
        <v>21077</v>
      </c>
      <c r="B3712" s="130">
        <v>30</v>
      </c>
      <c r="C3712" s="130" t="s">
        <v>5336</v>
      </c>
      <c r="D3712">
        <v>31886</v>
      </c>
      <c r="E3712" s="131">
        <v>12779308</v>
      </c>
      <c r="F3712" t="s">
        <v>87</v>
      </c>
      <c r="G3712">
        <v>76</v>
      </c>
      <c r="H3712" t="s">
        <v>8953</v>
      </c>
      <c r="I3712" s="130">
        <v>18</v>
      </c>
      <c r="J3712" t="s">
        <v>5336</v>
      </c>
      <c r="K3712" t="s">
        <v>108</v>
      </c>
      <c r="L3712" t="s">
        <v>123</v>
      </c>
      <c r="M3712" t="s">
        <v>103</v>
      </c>
      <c r="N3712" t="s">
        <v>98</v>
      </c>
      <c r="O3712" t="s">
        <v>116</v>
      </c>
    </row>
    <row r="3713" spans="1:15" x14ac:dyDescent="0.3">
      <c r="A3713" s="130">
        <v>21083</v>
      </c>
      <c r="B3713" s="130">
        <v>30</v>
      </c>
      <c r="C3713" s="130" t="s">
        <v>5337</v>
      </c>
      <c r="D3713">
        <v>31894</v>
      </c>
      <c r="E3713" s="130">
        <v>36541241</v>
      </c>
      <c r="F3713" t="s">
        <v>87</v>
      </c>
      <c r="G3713">
        <v>76</v>
      </c>
      <c r="H3713" t="s">
        <v>8951</v>
      </c>
      <c r="I3713" s="130">
        <v>18</v>
      </c>
      <c r="J3713" t="s">
        <v>5337</v>
      </c>
      <c r="K3713" t="s">
        <v>108</v>
      </c>
      <c r="L3713" t="s">
        <v>123</v>
      </c>
      <c r="M3713" t="s">
        <v>103</v>
      </c>
      <c r="N3713" t="s">
        <v>98</v>
      </c>
      <c r="O3713" t="s">
        <v>116</v>
      </c>
    </row>
    <row r="3714" spans="1:15" x14ac:dyDescent="0.3">
      <c r="A3714" s="130">
        <v>21084</v>
      </c>
      <c r="B3714" s="130">
        <v>10</v>
      </c>
      <c r="C3714" s="130" t="s">
        <v>5338</v>
      </c>
      <c r="D3714">
        <v>31898</v>
      </c>
      <c r="E3714" s="130">
        <v>67844183</v>
      </c>
      <c r="F3714" t="s">
        <v>87</v>
      </c>
      <c r="G3714">
        <v>358</v>
      </c>
      <c r="H3714" t="s">
        <v>8952</v>
      </c>
      <c r="I3714" s="131">
        <v>9</v>
      </c>
      <c r="J3714" t="s">
        <v>5338</v>
      </c>
      <c r="K3714" t="s">
        <v>95</v>
      </c>
      <c r="L3714" t="s">
        <v>1250</v>
      </c>
      <c r="M3714" t="s">
        <v>133</v>
      </c>
      <c r="N3714" t="s">
        <v>114</v>
      </c>
      <c r="O3714" t="s">
        <v>1256</v>
      </c>
    </row>
    <row r="3715" spans="1:15" x14ac:dyDescent="0.3">
      <c r="A3715" s="130">
        <v>21085</v>
      </c>
      <c r="B3715" s="130">
        <v>30</v>
      </c>
      <c r="C3715" s="130" t="s">
        <v>5339</v>
      </c>
      <c r="D3715">
        <v>31900</v>
      </c>
      <c r="E3715" s="130">
        <v>38460234</v>
      </c>
      <c r="F3715" t="s">
        <v>87</v>
      </c>
      <c r="G3715">
        <v>358</v>
      </c>
      <c r="H3715" t="s">
        <v>8953</v>
      </c>
      <c r="I3715" s="131">
        <v>3</v>
      </c>
      <c r="J3715" t="s">
        <v>5339</v>
      </c>
      <c r="K3715" t="s">
        <v>95</v>
      </c>
      <c r="L3715" t="s">
        <v>109</v>
      </c>
      <c r="M3715" t="s">
        <v>103</v>
      </c>
      <c r="N3715" t="s">
        <v>98</v>
      </c>
      <c r="O3715" t="s">
        <v>116</v>
      </c>
    </row>
    <row r="3716" spans="1:15" x14ac:dyDescent="0.3">
      <c r="A3716" s="130">
        <v>21097</v>
      </c>
      <c r="B3716" s="130">
        <v>18</v>
      </c>
      <c r="C3716" s="130" t="s">
        <v>5340</v>
      </c>
      <c r="D3716">
        <v>31921</v>
      </c>
      <c r="E3716" s="130">
        <v>34597906</v>
      </c>
      <c r="F3716" t="s">
        <v>87</v>
      </c>
      <c r="G3716">
        <v>76</v>
      </c>
      <c r="H3716" t="s">
        <v>8951</v>
      </c>
      <c r="I3716" s="130">
        <v>10</v>
      </c>
      <c r="J3716" t="s">
        <v>5340</v>
      </c>
      <c r="K3716" t="s">
        <v>108</v>
      </c>
      <c r="L3716" t="s">
        <v>127</v>
      </c>
      <c r="M3716" t="s">
        <v>112</v>
      </c>
      <c r="N3716" t="s">
        <v>118</v>
      </c>
      <c r="O3716" t="s">
        <v>116</v>
      </c>
    </row>
    <row r="3717" spans="1:15" x14ac:dyDescent="0.3">
      <c r="A3717" s="130">
        <v>21105</v>
      </c>
      <c r="B3717" s="130">
        <v>30</v>
      </c>
      <c r="C3717" s="130" t="s">
        <v>5341</v>
      </c>
      <c r="D3717">
        <v>31936</v>
      </c>
      <c r="E3717" s="131">
        <v>24013278</v>
      </c>
      <c r="F3717" t="s">
        <v>87</v>
      </c>
      <c r="G3717">
        <v>76</v>
      </c>
      <c r="H3717" t="s">
        <v>8952</v>
      </c>
      <c r="I3717" s="130">
        <v>9</v>
      </c>
      <c r="J3717" t="s">
        <v>5341</v>
      </c>
      <c r="K3717" t="s">
        <v>95</v>
      </c>
      <c r="L3717" t="s">
        <v>102</v>
      </c>
      <c r="M3717" t="s">
        <v>103</v>
      </c>
      <c r="N3717" t="s">
        <v>98</v>
      </c>
      <c r="O3717" t="s">
        <v>116</v>
      </c>
    </row>
    <row r="3718" spans="1:15" x14ac:dyDescent="0.3">
      <c r="A3718" s="130">
        <v>21110</v>
      </c>
      <c r="B3718" s="131">
        <v>30</v>
      </c>
      <c r="C3718" s="130" t="s">
        <v>5342</v>
      </c>
      <c r="D3718">
        <v>31941</v>
      </c>
      <c r="E3718" s="130">
        <v>82502196</v>
      </c>
      <c r="F3718" t="s">
        <v>87</v>
      </c>
      <c r="G3718">
        <v>76</v>
      </c>
      <c r="H3718" t="s">
        <v>8953</v>
      </c>
      <c r="I3718" s="131">
        <v>10</v>
      </c>
      <c r="J3718" t="s">
        <v>5342</v>
      </c>
      <c r="K3718" t="s">
        <v>95</v>
      </c>
      <c r="L3718" t="s">
        <v>127</v>
      </c>
      <c r="M3718" t="s">
        <v>103</v>
      </c>
      <c r="N3718" t="s">
        <v>118</v>
      </c>
      <c r="O3718" t="s">
        <v>116</v>
      </c>
    </row>
    <row r="3719" spans="1:15" x14ac:dyDescent="0.3">
      <c r="A3719" s="130">
        <v>21111</v>
      </c>
      <c r="B3719" s="130">
        <v>28</v>
      </c>
      <c r="C3719" s="130" t="s">
        <v>5343</v>
      </c>
      <c r="D3719">
        <v>31942</v>
      </c>
      <c r="E3719" s="131">
        <v>9625762</v>
      </c>
      <c r="F3719" t="s">
        <v>87</v>
      </c>
      <c r="G3719">
        <v>76</v>
      </c>
      <c r="H3719" t="s">
        <v>8951</v>
      </c>
      <c r="I3719" s="130">
        <v>43</v>
      </c>
      <c r="J3719" t="s">
        <v>5343</v>
      </c>
      <c r="K3719" t="s">
        <v>95</v>
      </c>
      <c r="L3719" t="s">
        <v>111</v>
      </c>
      <c r="M3719" t="s">
        <v>130</v>
      </c>
      <c r="N3719" t="s">
        <v>150</v>
      </c>
      <c r="O3719" t="s">
        <v>116</v>
      </c>
    </row>
    <row r="3720" spans="1:15" x14ac:dyDescent="0.3">
      <c r="A3720" s="130">
        <v>21129</v>
      </c>
      <c r="B3720" s="130">
        <v>60</v>
      </c>
      <c r="C3720" s="130" t="s">
        <v>5344</v>
      </c>
      <c r="D3720">
        <v>31963</v>
      </c>
      <c r="E3720" s="130">
        <v>532740</v>
      </c>
      <c r="F3720" t="s">
        <v>87</v>
      </c>
      <c r="G3720">
        <v>76</v>
      </c>
      <c r="H3720" t="s">
        <v>8952</v>
      </c>
      <c r="I3720" s="130">
        <v>10</v>
      </c>
      <c r="J3720" t="s">
        <v>5344</v>
      </c>
      <c r="K3720" t="s">
        <v>95</v>
      </c>
      <c r="L3720" t="s">
        <v>127</v>
      </c>
      <c r="M3720" t="s">
        <v>97</v>
      </c>
      <c r="N3720" t="s">
        <v>118</v>
      </c>
      <c r="O3720" t="s">
        <v>116</v>
      </c>
    </row>
    <row r="3721" spans="1:15" x14ac:dyDescent="0.3">
      <c r="A3721" s="130">
        <v>21138</v>
      </c>
      <c r="B3721" s="130">
        <v>30</v>
      </c>
      <c r="C3721" s="130" t="s">
        <v>5345</v>
      </c>
      <c r="D3721">
        <v>31975</v>
      </c>
      <c r="E3721" s="130">
        <v>35729655</v>
      </c>
      <c r="F3721" t="s">
        <v>87</v>
      </c>
      <c r="G3721">
        <v>77</v>
      </c>
      <c r="H3721" t="s">
        <v>8953</v>
      </c>
      <c r="I3721" s="131">
        <v>3</v>
      </c>
      <c r="J3721" t="s">
        <v>5345</v>
      </c>
      <c r="K3721" t="s">
        <v>95</v>
      </c>
      <c r="L3721" t="s">
        <v>256</v>
      </c>
      <c r="M3721" t="s">
        <v>103</v>
      </c>
      <c r="N3721" t="s">
        <v>98</v>
      </c>
      <c r="O3721" t="s">
        <v>116</v>
      </c>
    </row>
    <row r="3722" spans="1:15" x14ac:dyDescent="0.3">
      <c r="A3722" s="130">
        <v>21139</v>
      </c>
      <c r="B3722" s="130">
        <v>30</v>
      </c>
      <c r="C3722" s="130" t="s">
        <v>5346</v>
      </c>
      <c r="D3722">
        <v>31979</v>
      </c>
      <c r="E3722" s="130">
        <v>95865572</v>
      </c>
      <c r="F3722" t="s">
        <v>87</v>
      </c>
      <c r="G3722">
        <v>76</v>
      </c>
      <c r="H3722" t="s">
        <v>8951</v>
      </c>
      <c r="I3722" s="130">
        <v>9</v>
      </c>
      <c r="J3722" t="s">
        <v>5346</v>
      </c>
      <c r="K3722" t="s">
        <v>95</v>
      </c>
      <c r="L3722" t="s">
        <v>163</v>
      </c>
      <c r="M3722" t="s">
        <v>103</v>
      </c>
      <c r="N3722" t="s">
        <v>114</v>
      </c>
      <c r="O3722" t="s">
        <v>116</v>
      </c>
    </row>
    <row r="3723" spans="1:15" x14ac:dyDescent="0.3">
      <c r="A3723" s="130">
        <v>21141</v>
      </c>
      <c r="B3723" s="130">
        <v>30</v>
      </c>
      <c r="C3723" s="130" t="s">
        <v>5347</v>
      </c>
      <c r="D3723">
        <v>31982</v>
      </c>
      <c r="E3723" s="130">
        <v>5451102</v>
      </c>
      <c r="F3723" t="s">
        <v>87</v>
      </c>
      <c r="G3723">
        <v>76</v>
      </c>
      <c r="H3723" t="s">
        <v>8952</v>
      </c>
      <c r="I3723" s="130">
        <v>43</v>
      </c>
      <c r="J3723" t="s">
        <v>5347</v>
      </c>
      <c r="K3723" t="s">
        <v>95</v>
      </c>
      <c r="L3723" t="s">
        <v>252</v>
      </c>
      <c r="M3723" t="s">
        <v>103</v>
      </c>
      <c r="N3723" t="s">
        <v>118</v>
      </c>
      <c r="O3723" t="s">
        <v>1256</v>
      </c>
    </row>
    <row r="3724" spans="1:15" x14ac:dyDescent="0.3">
      <c r="A3724" s="130">
        <v>21142</v>
      </c>
      <c r="B3724" s="130">
        <v>10</v>
      </c>
      <c r="C3724" s="130" t="s">
        <v>5348</v>
      </c>
      <c r="D3724">
        <v>31985</v>
      </c>
      <c r="E3724" s="130">
        <v>18720938</v>
      </c>
      <c r="F3724" t="s">
        <v>87</v>
      </c>
      <c r="G3724">
        <v>77</v>
      </c>
      <c r="H3724" t="s">
        <v>8953</v>
      </c>
      <c r="I3724" s="130">
        <v>3</v>
      </c>
      <c r="J3724" t="s">
        <v>5348</v>
      </c>
      <c r="K3724" t="s">
        <v>108</v>
      </c>
      <c r="L3724" t="s">
        <v>120</v>
      </c>
      <c r="M3724" t="s">
        <v>133</v>
      </c>
      <c r="N3724" t="s">
        <v>131</v>
      </c>
      <c r="O3724" t="s">
        <v>116</v>
      </c>
    </row>
    <row r="3725" spans="1:15" x14ac:dyDescent="0.3">
      <c r="A3725" s="130">
        <v>21144</v>
      </c>
      <c r="B3725" s="130">
        <v>30</v>
      </c>
      <c r="C3725" s="130" t="s">
        <v>5349</v>
      </c>
      <c r="D3725">
        <v>31990</v>
      </c>
      <c r="E3725" s="130">
        <v>5402904</v>
      </c>
      <c r="F3725" t="s">
        <v>87</v>
      </c>
      <c r="G3725">
        <v>76</v>
      </c>
      <c r="H3725" t="s">
        <v>8951</v>
      </c>
      <c r="I3725" s="130">
        <v>9</v>
      </c>
      <c r="J3725" t="s">
        <v>5349</v>
      </c>
      <c r="K3725" t="s">
        <v>108</v>
      </c>
      <c r="L3725" t="s">
        <v>163</v>
      </c>
      <c r="M3725" t="s">
        <v>103</v>
      </c>
      <c r="N3725" t="s">
        <v>98</v>
      </c>
      <c r="O3725" t="s">
        <v>1345</v>
      </c>
    </row>
    <row r="3726" spans="1:15" x14ac:dyDescent="0.3">
      <c r="A3726" s="130">
        <v>21157</v>
      </c>
      <c r="B3726" s="130">
        <v>18</v>
      </c>
      <c r="C3726" s="130" t="s">
        <v>5350</v>
      </c>
      <c r="D3726">
        <v>32007</v>
      </c>
      <c r="E3726" s="130">
        <v>31893224</v>
      </c>
      <c r="F3726" t="s">
        <v>87</v>
      </c>
      <c r="G3726">
        <v>76</v>
      </c>
      <c r="H3726" t="s">
        <v>8952</v>
      </c>
      <c r="I3726" s="130">
        <v>9</v>
      </c>
      <c r="J3726" t="s">
        <v>5350</v>
      </c>
      <c r="K3726" t="s">
        <v>108</v>
      </c>
      <c r="L3726" t="s">
        <v>111</v>
      </c>
      <c r="M3726" t="s">
        <v>112</v>
      </c>
      <c r="N3726" t="s">
        <v>98</v>
      </c>
      <c r="O3726" t="s">
        <v>116</v>
      </c>
    </row>
    <row r="3727" spans="1:15" x14ac:dyDescent="0.3">
      <c r="A3727" s="130">
        <v>21163</v>
      </c>
      <c r="B3727" s="130">
        <v>18</v>
      </c>
      <c r="C3727" s="130" t="s">
        <v>5351</v>
      </c>
      <c r="D3727">
        <v>32018</v>
      </c>
      <c r="E3727" s="130">
        <v>31835974</v>
      </c>
      <c r="F3727" t="s">
        <v>87</v>
      </c>
      <c r="G3727">
        <v>76</v>
      </c>
      <c r="H3727" t="s">
        <v>8953</v>
      </c>
      <c r="I3727" s="130">
        <v>26</v>
      </c>
      <c r="J3727" t="s">
        <v>5351</v>
      </c>
      <c r="K3727" t="s">
        <v>108</v>
      </c>
      <c r="L3727" t="s">
        <v>151</v>
      </c>
      <c r="M3727" t="s">
        <v>112</v>
      </c>
      <c r="N3727" t="s">
        <v>98</v>
      </c>
      <c r="O3727" t="s">
        <v>116</v>
      </c>
    </row>
    <row r="3728" spans="1:15" x14ac:dyDescent="0.3">
      <c r="A3728" s="130">
        <v>21166</v>
      </c>
      <c r="B3728" s="130">
        <v>30</v>
      </c>
      <c r="C3728" s="130" t="s">
        <v>5352</v>
      </c>
      <c r="D3728">
        <v>32020</v>
      </c>
      <c r="E3728" s="131">
        <v>33435231</v>
      </c>
      <c r="F3728" t="s">
        <v>87</v>
      </c>
      <c r="G3728">
        <v>77</v>
      </c>
      <c r="H3728" t="s">
        <v>8951</v>
      </c>
      <c r="I3728" s="131">
        <v>18</v>
      </c>
      <c r="J3728" t="s">
        <v>5352</v>
      </c>
      <c r="K3728" t="s">
        <v>95</v>
      </c>
      <c r="L3728" t="s">
        <v>256</v>
      </c>
      <c r="M3728" t="s">
        <v>103</v>
      </c>
      <c r="N3728" t="s">
        <v>114</v>
      </c>
      <c r="O3728" t="s">
        <v>116</v>
      </c>
    </row>
    <row r="3729" spans="1:15" x14ac:dyDescent="0.3">
      <c r="A3729" s="130">
        <v>21170</v>
      </c>
      <c r="B3729" s="130">
        <v>30</v>
      </c>
      <c r="C3729" s="130" t="s">
        <v>5353</v>
      </c>
      <c r="D3729">
        <v>32024</v>
      </c>
      <c r="E3729" s="130">
        <v>31259449</v>
      </c>
      <c r="F3729" t="s">
        <v>87</v>
      </c>
      <c r="G3729">
        <v>76</v>
      </c>
      <c r="H3729" t="s">
        <v>8952</v>
      </c>
      <c r="I3729" s="131">
        <v>18</v>
      </c>
      <c r="J3729" t="s">
        <v>5353</v>
      </c>
      <c r="K3729" t="s">
        <v>95</v>
      </c>
      <c r="L3729" t="s">
        <v>123</v>
      </c>
      <c r="M3729" t="s">
        <v>103</v>
      </c>
      <c r="N3729" t="s">
        <v>98</v>
      </c>
      <c r="O3729" t="s">
        <v>116</v>
      </c>
    </row>
    <row r="3730" spans="1:15" x14ac:dyDescent="0.3">
      <c r="A3730" s="130">
        <v>21184</v>
      </c>
      <c r="B3730" s="130" t="s">
        <v>135</v>
      </c>
      <c r="C3730" s="130" t="s">
        <v>5354</v>
      </c>
      <c r="D3730">
        <v>32050</v>
      </c>
      <c r="E3730" s="130">
        <v>7277777</v>
      </c>
      <c r="F3730" t="s">
        <v>87</v>
      </c>
      <c r="G3730">
        <v>76</v>
      </c>
      <c r="H3730" t="s">
        <v>8953</v>
      </c>
      <c r="I3730" s="131">
        <v>26</v>
      </c>
      <c r="J3730" t="s">
        <v>5354</v>
      </c>
      <c r="K3730" t="s">
        <v>108</v>
      </c>
      <c r="L3730" t="s">
        <v>151</v>
      </c>
      <c r="M3730" t="s">
        <v>136</v>
      </c>
      <c r="N3730" t="s">
        <v>107</v>
      </c>
      <c r="O3730" t="s">
        <v>116</v>
      </c>
    </row>
    <row r="3731" spans="1:15" x14ac:dyDescent="0.3">
      <c r="A3731" s="130">
        <v>21186</v>
      </c>
      <c r="B3731" s="130">
        <v>30</v>
      </c>
      <c r="C3731" s="130" t="s">
        <v>5355</v>
      </c>
      <c r="D3731">
        <v>32046</v>
      </c>
      <c r="E3731" s="130">
        <v>92660604</v>
      </c>
      <c r="F3731" t="s">
        <v>87</v>
      </c>
      <c r="G3731">
        <v>77</v>
      </c>
      <c r="H3731" t="s">
        <v>8951</v>
      </c>
      <c r="I3731" s="130">
        <v>24</v>
      </c>
      <c r="J3731" t="s">
        <v>5355</v>
      </c>
      <c r="K3731" t="s">
        <v>95</v>
      </c>
      <c r="L3731" t="s">
        <v>117</v>
      </c>
      <c r="M3731" t="s">
        <v>103</v>
      </c>
      <c r="N3731" t="s">
        <v>114</v>
      </c>
      <c r="O3731" t="s">
        <v>116</v>
      </c>
    </row>
    <row r="3732" spans="1:15" x14ac:dyDescent="0.3">
      <c r="A3732" s="130">
        <v>21194</v>
      </c>
      <c r="B3732" s="130">
        <v>30</v>
      </c>
      <c r="C3732" s="130" t="s">
        <v>5356</v>
      </c>
      <c r="D3732">
        <v>32047</v>
      </c>
      <c r="E3732" s="130">
        <v>92660604</v>
      </c>
      <c r="F3732" t="s">
        <v>87</v>
      </c>
      <c r="G3732">
        <v>77</v>
      </c>
      <c r="H3732" t="s">
        <v>8952</v>
      </c>
      <c r="I3732" s="130">
        <v>24</v>
      </c>
      <c r="J3732" t="s">
        <v>5356</v>
      </c>
      <c r="K3732" t="s">
        <v>95</v>
      </c>
      <c r="L3732" t="s">
        <v>117</v>
      </c>
      <c r="M3732" t="s">
        <v>103</v>
      </c>
      <c r="N3732" t="s">
        <v>114</v>
      </c>
      <c r="O3732" t="s">
        <v>116</v>
      </c>
    </row>
    <row r="3733" spans="1:15" x14ac:dyDescent="0.3">
      <c r="A3733" s="130">
        <v>21195</v>
      </c>
      <c r="B3733" s="130">
        <v>60</v>
      </c>
      <c r="C3733" s="130" t="s">
        <v>5357</v>
      </c>
      <c r="D3733">
        <v>32048</v>
      </c>
      <c r="E3733" s="130">
        <v>92660604</v>
      </c>
      <c r="F3733" t="s">
        <v>87</v>
      </c>
      <c r="G3733">
        <v>77</v>
      </c>
      <c r="H3733" t="s">
        <v>8953</v>
      </c>
      <c r="I3733" s="130">
        <v>24</v>
      </c>
      <c r="J3733" t="s">
        <v>5357</v>
      </c>
      <c r="K3733" t="s">
        <v>95</v>
      </c>
      <c r="L3733" t="s">
        <v>117</v>
      </c>
      <c r="M3733" t="s">
        <v>97</v>
      </c>
      <c r="N3733" t="s">
        <v>114</v>
      </c>
      <c r="O3733" t="s">
        <v>116</v>
      </c>
    </row>
    <row r="3734" spans="1:15" x14ac:dyDescent="0.3">
      <c r="A3734" s="130">
        <v>21202</v>
      </c>
      <c r="B3734" s="130">
        <v>30</v>
      </c>
      <c r="C3734" s="130" t="s">
        <v>5358</v>
      </c>
      <c r="D3734">
        <v>32085</v>
      </c>
      <c r="E3734" s="130">
        <v>17069832</v>
      </c>
      <c r="F3734" t="s">
        <v>87</v>
      </c>
      <c r="G3734">
        <v>76</v>
      </c>
      <c r="H3734" t="s">
        <v>8951</v>
      </c>
      <c r="I3734" s="130">
        <v>24</v>
      </c>
      <c r="J3734" t="s">
        <v>5358</v>
      </c>
      <c r="K3734" t="s">
        <v>95</v>
      </c>
      <c r="L3734" t="s">
        <v>144</v>
      </c>
      <c r="M3734" t="s">
        <v>103</v>
      </c>
      <c r="N3734" t="s">
        <v>98</v>
      </c>
      <c r="O3734" t="s">
        <v>116</v>
      </c>
    </row>
    <row r="3735" spans="1:15" x14ac:dyDescent="0.3">
      <c r="A3735" s="130">
        <v>21203</v>
      </c>
      <c r="B3735" s="130">
        <v>30</v>
      </c>
      <c r="C3735" s="130" t="s">
        <v>5359</v>
      </c>
      <c r="D3735">
        <v>32086</v>
      </c>
      <c r="E3735" s="130">
        <v>52080463</v>
      </c>
      <c r="F3735" t="s">
        <v>87</v>
      </c>
      <c r="G3735">
        <v>76</v>
      </c>
      <c r="H3735" t="s">
        <v>8952</v>
      </c>
      <c r="I3735" s="130">
        <v>24</v>
      </c>
      <c r="J3735" t="s">
        <v>5359</v>
      </c>
      <c r="K3735" t="s">
        <v>95</v>
      </c>
      <c r="L3735" t="s">
        <v>191</v>
      </c>
      <c r="M3735" t="s">
        <v>103</v>
      </c>
      <c r="N3735" t="s">
        <v>98</v>
      </c>
      <c r="O3735" t="s">
        <v>1345</v>
      </c>
    </row>
    <row r="3736" spans="1:15" x14ac:dyDescent="0.3">
      <c r="A3736" s="130">
        <v>21205</v>
      </c>
      <c r="B3736" s="131">
        <v>10</v>
      </c>
      <c r="C3736" s="130" t="s">
        <v>5360</v>
      </c>
      <c r="D3736">
        <v>32081</v>
      </c>
      <c r="E3736" s="130">
        <v>16956443</v>
      </c>
      <c r="F3736" t="s">
        <v>87</v>
      </c>
      <c r="G3736">
        <v>76</v>
      </c>
      <c r="H3736" t="s">
        <v>8953</v>
      </c>
      <c r="I3736" s="131">
        <v>3</v>
      </c>
      <c r="J3736" t="s">
        <v>5360</v>
      </c>
      <c r="K3736" t="s">
        <v>108</v>
      </c>
      <c r="L3736" t="s">
        <v>153</v>
      </c>
      <c r="M3736" t="s">
        <v>133</v>
      </c>
      <c r="N3736" t="s">
        <v>98</v>
      </c>
      <c r="O3736" t="s">
        <v>116</v>
      </c>
    </row>
    <row r="3737" spans="1:15" x14ac:dyDescent="0.3">
      <c r="A3737" s="130">
        <v>21210</v>
      </c>
      <c r="B3737" s="130">
        <v>90</v>
      </c>
      <c r="C3737" s="130" t="s">
        <v>5361</v>
      </c>
      <c r="D3737">
        <v>32095</v>
      </c>
      <c r="E3737" s="130">
        <v>35234509</v>
      </c>
      <c r="F3737" t="s">
        <v>87</v>
      </c>
      <c r="G3737">
        <v>76</v>
      </c>
      <c r="H3737" t="s">
        <v>8951</v>
      </c>
      <c r="I3737" s="131">
        <v>19</v>
      </c>
      <c r="J3737" t="s">
        <v>5361</v>
      </c>
      <c r="K3737" t="s">
        <v>95</v>
      </c>
      <c r="L3737" t="s">
        <v>102</v>
      </c>
      <c r="M3737" t="s">
        <v>170</v>
      </c>
      <c r="N3737" t="s">
        <v>98</v>
      </c>
      <c r="O3737" t="s">
        <v>116</v>
      </c>
    </row>
    <row r="3738" spans="1:15" x14ac:dyDescent="0.3">
      <c r="A3738" s="130">
        <v>21212</v>
      </c>
      <c r="B3738" s="130">
        <v>30</v>
      </c>
      <c r="C3738" s="130" t="s">
        <v>5362</v>
      </c>
      <c r="D3738">
        <v>32097</v>
      </c>
      <c r="E3738" s="131">
        <v>69005858</v>
      </c>
      <c r="F3738" t="s">
        <v>87</v>
      </c>
      <c r="G3738">
        <v>76</v>
      </c>
      <c r="H3738" t="s">
        <v>8952</v>
      </c>
      <c r="I3738" s="131">
        <v>43</v>
      </c>
      <c r="J3738" t="s">
        <v>5362</v>
      </c>
      <c r="K3738" t="s">
        <v>95</v>
      </c>
      <c r="L3738" t="s">
        <v>252</v>
      </c>
      <c r="M3738" t="s">
        <v>103</v>
      </c>
      <c r="N3738" t="s">
        <v>124</v>
      </c>
      <c r="O3738" t="s">
        <v>1256</v>
      </c>
    </row>
    <row r="3739" spans="1:15" x14ac:dyDescent="0.3">
      <c r="A3739" s="130">
        <v>21213</v>
      </c>
      <c r="B3739" s="130">
        <v>30</v>
      </c>
      <c r="C3739" s="130" t="s">
        <v>5363</v>
      </c>
      <c r="D3739">
        <v>32100</v>
      </c>
      <c r="E3739" s="131">
        <v>17162983</v>
      </c>
      <c r="F3739" t="s">
        <v>87</v>
      </c>
      <c r="G3739">
        <v>358</v>
      </c>
      <c r="H3739" t="s">
        <v>8953</v>
      </c>
      <c r="I3739" s="130">
        <v>3</v>
      </c>
      <c r="J3739" t="s">
        <v>5363</v>
      </c>
      <c r="K3739" t="s">
        <v>95</v>
      </c>
      <c r="L3739" t="s">
        <v>105</v>
      </c>
      <c r="M3739" t="s">
        <v>103</v>
      </c>
      <c r="N3739" t="s">
        <v>98</v>
      </c>
      <c r="O3739" t="s">
        <v>116</v>
      </c>
    </row>
    <row r="3740" spans="1:15" x14ac:dyDescent="0.3">
      <c r="A3740" s="130">
        <v>21219</v>
      </c>
      <c r="B3740" s="130">
        <v>18</v>
      </c>
      <c r="C3740" s="130" t="s">
        <v>5364</v>
      </c>
      <c r="D3740">
        <v>32105</v>
      </c>
      <c r="E3740" s="131">
        <v>47238972</v>
      </c>
      <c r="F3740" t="s">
        <v>113</v>
      </c>
      <c r="G3740">
        <v>76</v>
      </c>
      <c r="H3740" t="s">
        <v>8951</v>
      </c>
      <c r="I3740" s="131">
        <v>9</v>
      </c>
      <c r="J3740" t="s">
        <v>5364</v>
      </c>
      <c r="K3740" t="s">
        <v>108</v>
      </c>
      <c r="L3740" t="s">
        <v>1298</v>
      </c>
      <c r="M3740" t="s">
        <v>112</v>
      </c>
      <c r="N3740" t="s">
        <v>98</v>
      </c>
      <c r="O3740" t="s">
        <v>1256</v>
      </c>
    </row>
    <row r="3741" spans="1:15" x14ac:dyDescent="0.3">
      <c r="A3741" s="130">
        <v>21222</v>
      </c>
      <c r="B3741" s="130">
        <v>-1</v>
      </c>
      <c r="C3741" s="130" t="s">
        <v>5365</v>
      </c>
      <c r="D3741">
        <v>32111</v>
      </c>
      <c r="E3741" s="130">
        <v>17467409</v>
      </c>
      <c r="F3741" t="s">
        <v>87</v>
      </c>
      <c r="G3741">
        <v>76</v>
      </c>
      <c r="H3741" t="s">
        <v>8952</v>
      </c>
      <c r="I3741" s="131">
        <v>10</v>
      </c>
      <c r="J3741" t="s">
        <v>5365</v>
      </c>
      <c r="K3741" t="s">
        <v>108</v>
      </c>
      <c r="L3741" t="s">
        <v>127</v>
      </c>
      <c r="M3741" t="s">
        <v>174</v>
      </c>
      <c r="N3741" t="s">
        <v>152</v>
      </c>
      <c r="O3741" t="s">
        <v>1345</v>
      </c>
    </row>
    <row r="3742" spans="1:15" x14ac:dyDescent="0.3">
      <c r="A3742" s="130">
        <v>21227</v>
      </c>
      <c r="B3742" s="130">
        <v>90</v>
      </c>
      <c r="C3742" s="130" t="s">
        <v>5366</v>
      </c>
      <c r="D3742">
        <v>32116</v>
      </c>
      <c r="E3742" s="131">
        <v>35234509</v>
      </c>
      <c r="F3742" t="s">
        <v>87</v>
      </c>
      <c r="G3742">
        <v>76</v>
      </c>
      <c r="H3742" t="s">
        <v>8953</v>
      </c>
      <c r="I3742" s="131">
        <v>18</v>
      </c>
      <c r="J3742" t="s">
        <v>5366</v>
      </c>
      <c r="K3742" t="s">
        <v>95</v>
      </c>
      <c r="L3742" t="s">
        <v>102</v>
      </c>
      <c r="M3742" t="s">
        <v>170</v>
      </c>
      <c r="N3742" t="s">
        <v>98</v>
      </c>
      <c r="O3742" t="s">
        <v>116</v>
      </c>
    </row>
    <row r="3743" spans="1:15" x14ac:dyDescent="0.3">
      <c r="A3743" s="130">
        <v>21235</v>
      </c>
      <c r="B3743" s="130" t="s">
        <v>156</v>
      </c>
      <c r="C3743" s="130" t="s">
        <v>5367</v>
      </c>
      <c r="D3743">
        <v>31026</v>
      </c>
      <c r="E3743" s="130">
        <v>15655289</v>
      </c>
      <c r="F3743" t="s">
        <v>87</v>
      </c>
      <c r="G3743">
        <v>76</v>
      </c>
      <c r="H3743" t="s">
        <v>8951</v>
      </c>
      <c r="I3743" s="130">
        <v>37</v>
      </c>
      <c r="J3743" t="s">
        <v>5367</v>
      </c>
      <c r="K3743" t="s">
        <v>108</v>
      </c>
      <c r="L3743" t="s">
        <v>120</v>
      </c>
      <c r="M3743" t="s">
        <v>156</v>
      </c>
      <c r="N3743" t="s">
        <v>101</v>
      </c>
      <c r="O3743" t="s">
        <v>116</v>
      </c>
    </row>
    <row r="3744" spans="1:15" x14ac:dyDescent="0.3">
      <c r="A3744" s="130">
        <v>21241</v>
      </c>
      <c r="B3744" s="130">
        <v>0</v>
      </c>
      <c r="C3744" s="130" t="s">
        <v>5368</v>
      </c>
      <c r="D3744">
        <v>32135</v>
      </c>
      <c r="E3744" s="130">
        <v>81205910700</v>
      </c>
      <c r="F3744" t="s">
        <v>87</v>
      </c>
      <c r="G3744">
        <v>76</v>
      </c>
      <c r="H3744" t="s">
        <v>8952</v>
      </c>
      <c r="I3744" s="130">
        <v>26</v>
      </c>
      <c r="J3744" t="s">
        <v>5368</v>
      </c>
      <c r="K3744" t="s">
        <v>108</v>
      </c>
      <c r="L3744" t="s">
        <v>151</v>
      </c>
      <c r="M3744" t="s">
        <v>100</v>
      </c>
      <c r="N3744" t="s">
        <v>101</v>
      </c>
      <c r="O3744" t="s">
        <v>1345</v>
      </c>
    </row>
    <row r="3745" spans="1:15" x14ac:dyDescent="0.3">
      <c r="A3745" s="130">
        <v>21257</v>
      </c>
      <c r="B3745" s="130">
        <v>30</v>
      </c>
      <c r="C3745" s="130" t="s">
        <v>5369</v>
      </c>
      <c r="D3745">
        <v>32168</v>
      </c>
      <c r="E3745" s="131">
        <v>48343981</v>
      </c>
      <c r="F3745" t="s">
        <v>87</v>
      </c>
      <c r="G3745">
        <v>76</v>
      </c>
      <c r="H3745" t="s">
        <v>8953</v>
      </c>
      <c r="I3745" s="131">
        <v>3</v>
      </c>
      <c r="J3745" t="s">
        <v>5369</v>
      </c>
      <c r="K3745" t="s">
        <v>95</v>
      </c>
      <c r="L3745" t="s">
        <v>111</v>
      </c>
      <c r="M3745" t="s">
        <v>103</v>
      </c>
      <c r="N3745" t="s">
        <v>98</v>
      </c>
      <c r="O3745" t="s">
        <v>116</v>
      </c>
    </row>
    <row r="3746" spans="1:15" x14ac:dyDescent="0.3">
      <c r="A3746" s="130">
        <v>21271</v>
      </c>
      <c r="B3746" s="130">
        <v>30</v>
      </c>
      <c r="C3746" s="130" t="s">
        <v>5370</v>
      </c>
      <c r="D3746">
        <v>32182</v>
      </c>
      <c r="E3746" s="131">
        <v>3165342</v>
      </c>
      <c r="F3746" t="s">
        <v>87</v>
      </c>
      <c r="G3746">
        <v>76</v>
      </c>
      <c r="H3746" t="s">
        <v>8951</v>
      </c>
      <c r="I3746" s="131">
        <v>18</v>
      </c>
      <c r="J3746" t="s">
        <v>5370</v>
      </c>
      <c r="K3746" t="s">
        <v>108</v>
      </c>
      <c r="L3746" t="s">
        <v>123</v>
      </c>
      <c r="M3746" t="s">
        <v>103</v>
      </c>
      <c r="N3746" t="s">
        <v>98</v>
      </c>
      <c r="O3746" t="s">
        <v>116</v>
      </c>
    </row>
    <row r="3747" spans="1:15" x14ac:dyDescent="0.3">
      <c r="A3747" s="130">
        <v>21272</v>
      </c>
      <c r="B3747" s="130">
        <v>18</v>
      </c>
      <c r="C3747" s="130" t="s">
        <v>5371</v>
      </c>
      <c r="D3747">
        <v>32192</v>
      </c>
      <c r="E3747" s="130">
        <v>40769920</v>
      </c>
      <c r="F3747" t="s">
        <v>87</v>
      </c>
      <c r="G3747">
        <v>76</v>
      </c>
      <c r="H3747" t="s">
        <v>8952</v>
      </c>
      <c r="I3747" s="131">
        <v>10</v>
      </c>
      <c r="J3747" t="s">
        <v>5371</v>
      </c>
      <c r="K3747" t="s">
        <v>95</v>
      </c>
      <c r="L3747" t="s">
        <v>127</v>
      </c>
      <c r="M3747" t="s">
        <v>112</v>
      </c>
      <c r="N3747" t="s">
        <v>118</v>
      </c>
      <c r="O3747" t="s">
        <v>116</v>
      </c>
    </row>
    <row r="3748" spans="1:15" x14ac:dyDescent="0.3">
      <c r="A3748" s="130">
        <v>21282</v>
      </c>
      <c r="B3748" s="130">
        <v>30</v>
      </c>
      <c r="C3748" s="130" t="s">
        <v>5372</v>
      </c>
      <c r="D3748">
        <v>32214</v>
      </c>
      <c r="E3748" s="130">
        <v>34562112</v>
      </c>
      <c r="F3748" t="s">
        <v>87</v>
      </c>
      <c r="G3748">
        <v>76</v>
      </c>
      <c r="H3748" t="s">
        <v>8953</v>
      </c>
      <c r="I3748" s="131">
        <v>24</v>
      </c>
      <c r="J3748" t="s">
        <v>5372</v>
      </c>
      <c r="K3748" t="s">
        <v>95</v>
      </c>
      <c r="L3748" t="s">
        <v>191</v>
      </c>
      <c r="M3748" t="s">
        <v>103</v>
      </c>
      <c r="N3748" t="s">
        <v>107</v>
      </c>
      <c r="O3748" t="s">
        <v>116</v>
      </c>
    </row>
    <row r="3749" spans="1:15" x14ac:dyDescent="0.3">
      <c r="A3749" s="130">
        <v>21285</v>
      </c>
      <c r="B3749" s="130">
        <v>30</v>
      </c>
      <c r="C3749" s="130" t="s">
        <v>5373</v>
      </c>
      <c r="D3749">
        <v>32215</v>
      </c>
      <c r="E3749" s="130">
        <v>61186888</v>
      </c>
      <c r="F3749" t="s">
        <v>87</v>
      </c>
      <c r="G3749">
        <v>76</v>
      </c>
      <c r="H3749" t="s">
        <v>8951</v>
      </c>
      <c r="I3749" s="130">
        <v>3</v>
      </c>
      <c r="J3749" t="s">
        <v>5373</v>
      </c>
      <c r="K3749" t="s">
        <v>108</v>
      </c>
      <c r="L3749" t="s">
        <v>111</v>
      </c>
      <c r="M3749" t="s">
        <v>103</v>
      </c>
      <c r="N3749" t="s">
        <v>101</v>
      </c>
      <c r="O3749" t="s">
        <v>116</v>
      </c>
    </row>
    <row r="3750" spans="1:15" x14ac:dyDescent="0.3">
      <c r="A3750" s="130">
        <v>21288</v>
      </c>
      <c r="B3750" s="130">
        <v>30</v>
      </c>
      <c r="C3750" s="130" t="s">
        <v>5374</v>
      </c>
      <c r="D3750">
        <v>32219</v>
      </c>
      <c r="E3750" s="130">
        <v>61584223</v>
      </c>
      <c r="F3750" t="s">
        <v>87</v>
      </c>
      <c r="G3750">
        <v>76</v>
      </c>
      <c r="H3750" t="s">
        <v>8952</v>
      </c>
      <c r="I3750" s="131">
        <v>3</v>
      </c>
      <c r="J3750" t="s">
        <v>5374</v>
      </c>
      <c r="K3750" t="s">
        <v>95</v>
      </c>
      <c r="L3750" t="s">
        <v>111</v>
      </c>
      <c r="M3750" t="s">
        <v>103</v>
      </c>
      <c r="N3750" t="s">
        <v>98</v>
      </c>
      <c r="O3750" t="s">
        <v>116</v>
      </c>
    </row>
    <row r="3751" spans="1:15" x14ac:dyDescent="0.3">
      <c r="A3751" s="130">
        <v>21289</v>
      </c>
      <c r="B3751" s="130">
        <v>30</v>
      </c>
      <c r="C3751" s="130" t="s">
        <v>5375</v>
      </c>
      <c r="D3751">
        <v>32220</v>
      </c>
      <c r="E3751" s="130">
        <v>14549864</v>
      </c>
      <c r="F3751" t="s">
        <v>87</v>
      </c>
      <c r="G3751">
        <v>358</v>
      </c>
      <c r="H3751" t="s">
        <v>8953</v>
      </c>
      <c r="I3751" s="130">
        <v>3</v>
      </c>
      <c r="J3751" t="s">
        <v>5375</v>
      </c>
      <c r="K3751" t="s">
        <v>108</v>
      </c>
      <c r="L3751" t="s">
        <v>111</v>
      </c>
      <c r="M3751" t="s">
        <v>103</v>
      </c>
      <c r="N3751" t="s">
        <v>98</v>
      </c>
      <c r="O3751" t="s">
        <v>116</v>
      </c>
    </row>
    <row r="3752" spans="1:15" x14ac:dyDescent="0.3">
      <c r="A3752" s="130">
        <v>21293</v>
      </c>
      <c r="B3752" s="130">
        <v>30</v>
      </c>
      <c r="C3752" s="130" t="s">
        <v>5376</v>
      </c>
      <c r="D3752">
        <v>32229</v>
      </c>
      <c r="E3752" s="131">
        <v>17193590</v>
      </c>
      <c r="F3752" t="s">
        <v>87</v>
      </c>
      <c r="G3752">
        <v>358</v>
      </c>
      <c r="H3752" t="s">
        <v>8951</v>
      </c>
      <c r="I3752" s="131">
        <v>10</v>
      </c>
      <c r="J3752" t="s">
        <v>5376</v>
      </c>
      <c r="K3752" t="s">
        <v>95</v>
      </c>
      <c r="L3752" t="s">
        <v>109</v>
      </c>
      <c r="M3752" t="s">
        <v>103</v>
      </c>
      <c r="N3752" t="s">
        <v>98</v>
      </c>
      <c r="O3752" t="s">
        <v>1345</v>
      </c>
    </row>
    <row r="3753" spans="1:15" x14ac:dyDescent="0.3">
      <c r="A3753" s="130">
        <v>21296</v>
      </c>
      <c r="B3753" s="130">
        <v>18</v>
      </c>
      <c r="C3753" s="130" t="s">
        <v>5377</v>
      </c>
      <c r="D3753">
        <v>32233</v>
      </c>
      <c r="E3753" s="131">
        <v>17367338</v>
      </c>
      <c r="F3753" t="s">
        <v>87</v>
      </c>
      <c r="G3753">
        <v>76</v>
      </c>
      <c r="H3753" t="s">
        <v>8952</v>
      </c>
      <c r="I3753" s="131">
        <v>26</v>
      </c>
      <c r="J3753" t="s">
        <v>5377</v>
      </c>
      <c r="K3753" t="s">
        <v>108</v>
      </c>
      <c r="L3753" t="s">
        <v>151</v>
      </c>
      <c r="M3753" t="s">
        <v>112</v>
      </c>
      <c r="N3753" t="s">
        <v>98</v>
      </c>
      <c r="O3753" t="s">
        <v>116</v>
      </c>
    </row>
    <row r="3754" spans="1:15" x14ac:dyDescent="0.3">
      <c r="A3754" s="130">
        <v>21297</v>
      </c>
      <c r="B3754" s="130">
        <v>30</v>
      </c>
      <c r="C3754" s="130" t="s">
        <v>5378</v>
      </c>
      <c r="D3754">
        <v>32236</v>
      </c>
      <c r="E3754" s="130">
        <v>29470692</v>
      </c>
      <c r="F3754" t="s">
        <v>87</v>
      </c>
      <c r="G3754">
        <v>358</v>
      </c>
      <c r="H3754" t="s">
        <v>8953</v>
      </c>
      <c r="I3754" s="130">
        <v>3</v>
      </c>
      <c r="J3754" t="s">
        <v>5378</v>
      </c>
      <c r="K3754" t="s">
        <v>108</v>
      </c>
      <c r="L3754" t="s">
        <v>111</v>
      </c>
      <c r="M3754" t="s">
        <v>103</v>
      </c>
      <c r="N3754" t="s">
        <v>98</v>
      </c>
      <c r="O3754" t="s">
        <v>1345</v>
      </c>
    </row>
    <row r="3755" spans="1:15" x14ac:dyDescent="0.3">
      <c r="A3755" s="130">
        <v>21300</v>
      </c>
      <c r="B3755" s="130">
        <v>-1</v>
      </c>
      <c r="C3755" s="130" t="s">
        <v>5379</v>
      </c>
      <c r="D3755">
        <v>32244</v>
      </c>
      <c r="E3755" s="130">
        <v>28722517</v>
      </c>
      <c r="F3755" t="s">
        <v>87</v>
      </c>
      <c r="G3755">
        <v>76</v>
      </c>
      <c r="H3755" t="s">
        <v>8951</v>
      </c>
      <c r="I3755" s="131">
        <v>10</v>
      </c>
      <c r="J3755" t="s">
        <v>5379</v>
      </c>
      <c r="K3755" t="s">
        <v>108</v>
      </c>
      <c r="L3755" t="s">
        <v>127</v>
      </c>
      <c r="M3755" t="s">
        <v>174</v>
      </c>
      <c r="N3755" t="s">
        <v>101</v>
      </c>
      <c r="O3755" t="s">
        <v>1345</v>
      </c>
    </row>
    <row r="3756" spans="1:15" x14ac:dyDescent="0.3">
      <c r="A3756" s="130">
        <v>21312</v>
      </c>
      <c r="B3756" s="130">
        <v>20</v>
      </c>
      <c r="C3756" s="130" t="s">
        <v>5380</v>
      </c>
      <c r="D3756">
        <v>32265</v>
      </c>
      <c r="E3756" s="130">
        <v>1934441</v>
      </c>
      <c r="F3756" t="s">
        <v>87</v>
      </c>
      <c r="G3756">
        <v>358</v>
      </c>
      <c r="H3756" t="s">
        <v>8952</v>
      </c>
      <c r="I3756" s="130">
        <v>3</v>
      </c>
      <c r="J3756" t="s">
        <v>5380</v>
      </c>
      <c r="K3756" t="s">
        <v>95</v>
      </c>
      <c r="L3756" t="s">
        <v>105</v>
      </c>
      <c r="M3756" t="s">
        <v>148</v>
      </c>
      <c r="N3756" t="s">
        <v>98</v>
      </c>
      <c r="O3756" t="s">
        <v>1345</v>
      </c>
    </row>
    <row r="3757" spans="1:15" x14ac:dyDescent="0.3">
      <c r="A3757" s="130">
        <v>21317</v>
      </c>
      <c r="B3757" s="130">
        <v>30</v>
      </c>
      <c r="C3757" s="130" t="s">
        <v>5381</v>
      </c>
      <c r="D3757">
        <v>32274</v>
      </c>
      <c r="E3757" s="130">
        <v>9257877</v>
      </c>
      <c r="F3757" t="s">
        <v>87</v>
      </c>
      <c r="G3757">
        <v>76</v>
      </c>
      <c r="H3757" t="s">
        <v>8953</v>
      </c>
      <c r="I3757" s="131">
        <v>9</v>
      </c>
      <c r="J3757" t="s">
        <v>5381</v>
      </c>
      <c r="K3757" t="s">
        <v>108</v>
      </c>
      <c r="L3757" t="s">
        <v>163</v>
      </c>
      <c r="M3757" t="s">
        <v>103</v>
      </c>
      <c r="N3757" t="s">
        <v>98</v>
      </c>
      <c r="O3757" t="s">
        <v>1256</v>
      </c>
    </row>
    <row r="3758" spans="1:15" x14ac:dyDescent="0.3">
      <c r="A3758" s="130">
        <v>21321</v>
      </c>
      <c r="B3758" s="130">
        <v>18</v>
      </c>
      <c r="C3758" s="130" t="s">
        <v>5382</v>
      </c>
      <c r="D3758">
        <v>32276</v>
      </c>
      <c r="E3758" s="130">
        <v>57991606</v>
      </c>
      <c r="F3758" t="s">
        <v>87</v>
      </c>
      <c r="G3758">
        <v>76</v>
      </c>
      <c r="H3758" t="s">
        <v>8951</v>
      </c>
      <c r="I3758" s="130">
        <v>37</v>
      </c>
      <c r="J3758" t="s">
        <v>5382</v>
      </c>
      <c r="K3758" t="s">
        <v>108</v>
      </c>
      <c r="L3758" t="s">
        <v>138</v>
      </c>
      <c r="M3758" t="s">
        <v>112</v>
      </c>
      <c r="N3758" t="s">
        <v>98</v>
      </c>
      <c r="O3758" t="s">
        <v>1345</v>
      </c>
    </row>
    <row r="3759" spans="1:15" x14ac:dyDescent="0.3">
      <c r="A3759" s="130">
        <v>21350</v>
      </c>
      <c r="B3759" s="130">
        <v>30</v>
      </c>
      <c r="C3759" s="130" t="s">
        <v>5383</v>
      </c>
      <c r="D3759">
        <v>32318</v>
      </c>
      <c r="E3759" s="130">
        <v>13536632</v>
      </c>
      <c r="F3759" t="s">
        <v>87</v>
      </c>
      <c r="G3759">
        <v>76</v>
      </c>
      <c r="H3759" t="s">
        <v>8952</v>
      </c>
      <c r="I3759" s="130">
        <v>19</v>
      </c>
      <c r="J3759" t="s">
        <v>5383</v>
      </c>
      <c r="K3759" t="s">
        <v>108</v>
      </c>
      <c r="L3759" t="s">
        <v>146</v>
      </c>
      <c r="M3759" t="s">
        <v>103</v>
      </c>
      <c r="N3759" t="s">
        <v>124</v>
      </c>
      <c r="O3759" t="s">
        <v>116</v>
      </c>
    </row>
    <row r="3760" spans="1:15" x14ac:dyDescent="0.3">
      <c r="A3760" s="130">
        <v>21354</v>
      </c>
      <c r="B3760" s="130">
        <v>18</v>
      </c>
      <c r="C3760" s="130" t="s">
        <v>5384</v>
      </c>
      <c r="D3760">
        <v>32328</v>
      </c>
      <c r="E3760" s="130">
        <v>38696365</v>
      </c>
      <c r="F3760" t="s">
        <v>87</v>
      </c>
      <c r="G3760">
        <v>358</v>
      </c>
      <c r="H3760" t="s">
        <v>8953</v>
      </c>
      <c r="I3760" s="130">
        <v>9</v>
      </c>
      <c r="J3760" t="s">
        <v>5384</v>
      </c>
      <c r="K3760" t="s">
        <v>95</v>
      </c>
      <c r="L3760" t="s">
        <v>105</v>
      </c>
      <c r="M3760" t="s">
        <v>112</v>
      </c>
      <c r="N3760" t="s">
        <v>98</v>
      </c>
      <c r="O3760" t="s">
        <v>116</v>
      </c>
    </row>
    <row r="3761" spans="1:15" x14ac:dyDescent="0.3">
      <c r="A3761" s="130">
        <v>21362</v>
      </c>
      <c r="B3761" s="130">
        <v>30</v>
      </c>
      <c r="C3761" s="130" t="s">
        <v>5385</v>
      </c>
      <c r="D3761">
        <v>32342</v>
      </c>
      <c r="E3761" s="130">
        <v>13623957</v>
      </c>
      <c r="F3761" t="s">
        <v>87</v>
      </c>
      <c r="G3761">
        <v>76</v>
      </c>
      <c r="H3761" t="s">
        <v>8951</v>
      </c>
      <c r="I3761" s="131">
        <v>18</v>
      </c>
      <c r="J3761" t="s">
        <v>5385</v>
      </c>
      <c r="K3761" t="s">
        <v>95</v>
      </c>
      <c r="L3761" t="s">
        <v>123</v>
      </c>
      <c r="M3761" t="s">
        <v>103</v>
      </c>
      <c r="N3761" t="s">
        <v>98</v>
      </c>
      <c r="O3761" t="s">
        <v>116</v>
      </c>
    </row>
    <row r="3762" spans="1:15" x14ac:dyDescent="0.3">
      <c r="A3762" s="130">
        <v>21365</v>
      </c>
      <c r="B3762" s="130">
        <v>30</v>
      </c>
      <c r="C3762" s="130" t="s">
        <v>5386</v>
      </c>
      <c r="D3762">
        <v>32345</v>
      </c>
      <c r="E3762" s="130">
        <v>7522191</v>
      </c>
      <c r="F3762" t="s">
        <v>87</v>
      </c>
      <c r="G3762">
        <v>76</v>
      </c>
      <c r="H3762" t="s">
        <v>8952</v>
      </c>
      <c r="I3762" s="130">
        <v>10</v>
      </c>
      <c r="J3762" t="s">
        <v>5386</v>
      </c>
      <c r="K3762" t="s">
        <v>95</v>
      </c>
      <c r="L3762" t="s">
        <v>127</v>
      </c>
      <c r="M3762" t="s">
        <v>103</v>
      </c>
      <c r="N3762" t="s">
        <v>118</v>
      </c>
      <c r="O3762" t="s">
        <v>116</v>
      </c>
    </row>
    <row r="3763" spans="1:15" x14ac:dyDescent="0.3">
      <c r="A3763" s="130">
        <v>21366</v>
      </c>
      <c r="B3763" s="130">
        <v>30</v>
      </c>
      <c r="C3763" s="130" t="s">
        <v>5387</v>
      </c>
      <c r="D3763">
        <v>32348</v>
      </c>
      <c r="E3763" s="130">
        <v>13623957</v>
      </c>
      <c r="F3763" t="s">
        <v>87</v>
      </c>
      <c r="G3763">
        <v>76</v>
      </c>
      <c r="H3763" t="s">
        <v>8953</v>
      </c>
      <c r="I3763" s="130">
        <v>18</v>
      </c>
      <c r="J3763" t="s">
        <v>5387</v>
      </c>
      <c r="K3763" t="s">
        <v>95</v>
      </c>
      <c r="L3763" t="s">
        <v>123</v>
      </c>
      <c r="M3763" t="s">
        <v>103</v>
      </c>
      <c r="N3763" t="s">
        <v>98</v>
      </c>
      <c r="O3763" t="s">
        <v>116</v>
      </c>
    </row>
    <row r="3764" spans="1:15" x14ac:dyDescent="0.3">
      <c r="A3764" s="130">
        <v>21369</v>
      </c>
      <c r="B3764" s="130">
        <v>30</v>
      </c>
      <c r="C3764" s="130" t="s">
        <v>5388</v>
      </c>
      <c r="D3764">
        <v>32354</v>
      </c>
      <c r="E3764" s="130">
        <v>46573143</v>
      </c>
      <c r="F3764" t="s">
        <v>87</v>
      </c>
      <c r="G3764">
        <v>76</v>
      </c>
      <c r="H3764" t="s">
        <v>8951</v>
      </c>
      <c r="I3764" s="131">
        <v>18</v>
      </c>
      <c r="J3764" t="s">
        <v>5388</v>
      </c>
      <c r="K3764" t="s">
        <v>108</v>
      </c>
      <c r="L3764" t="s">
        <v>123</v>
      </c>
      <c r="M3764" t="s">
        <v>103</v>
      </c>
      <c r="N3764" t="s">
        <v>98</v>
      </c>
      <c r="O3764" t="s">
        <v>1345</v>
      </c>
    </row>
    <row r="3765" spans="1:15" x14ac:dyDescent="0.3">
      <c r="A3765" s="130">
        <v>21370</v>
      </c>
      <c r="B3765" s="130">
        <v>30</v>
      </c>
      <c r="C3765" s="130" t="s">
        <v>5389</v>
      </c>
      <c r="D3765">
        <v>32356</v>
      </c>
      <c r="E3765" s="131">
        <v>36287039</v>
      </c>
      <c r="F3765" t="s">
        <v>87</v>
      </c>
      <c r="G3765">
        <v>358</v>
      </c>
      <c r="H3765" t="s">
        <v>8952</v>
      </c>
      <c r="I3765" s="131">
        <v>3</v>
      </c>
      <c r="J3765" t="s">
        <v>5389</v>
      </c>
      <c r="K3765" t="s">
        <v>95</v>
      </c>
      <c r="L3765" t="s">
        <v>105</v>
      </c>
      <c r="M3765" t="s">
        <v>103</v>
      </c>
      <c r="N3765" t="s">
        <v>98</v>
      </c>
      <c r="O3765" t="s">
        <v>1345</v>
      </c>
    </row>
    <row r="3766" spans="1:15" x14ac:dyDescent="0.3">
      <c r="A3766" s="130">
        <v>21371</v>
      </c>
      <c r="B3766" s="130">
        <v>30</v>
      </c>
      <c r="C3766" s="130" t="s">
        <v>5390</v>
      </c>
      <c r="D3766">
        <v>32359</v>
      </c>
      <c r="E3766" s="130">
        <v>3672857</v>
      </c>
      <c r="F3766" t="s">
        <v>87</v>
      </c>
      <c r="G3766">
        <v>76</v>
      </c>
      <c r="H3766" t="s">
        <v>8953</v>
      </c>
      <c r="I3766" s="130">
        <v>9</v>
      </c>
      <c r="J3766" t="s">
        <v>5390</v>
      </c>
      <c r="K3766" t="s">
        <v>108</v>
      </c>
      <c r="L3766" t="s">
        <v>1298</v>
      </c>
      <c r="M3766" t="s">
        <v>103</v>
      </c>
      <c r="N3766" t="s">
        <v>98</v>
      </c>
      <c r="O3766" t="s">
        <v>1256</v>
      </c>
    </row>
    <row r="3767" spans="1:15" x14ac:dyDescent="0.3">
      <c r="A3767" s="130">
        <v>21375</v>
      </c>
      <c r="B3767" s="130" t="s">
        <v>234</v>
      </c>
      <c r="C3767" s="130" t="s">
        <v>5391</v>
      </c>
      <c r="D3767">
        <v>32361</v>
      </c>
      <c r="E3767" s="131">
        <v>6232484</v>
      </c>
      <c r="F3767" t="s">
        <v>87</v>
      </c>
      <c r="G3767">
        <v>358</v>
      </c>
      <c r="H3767" t="s">
        <v>8951</v>
      </c>
      <c r="I3767" s="131">
        <v>19</v>
      </c>
      <c r="J3767" t="s">
        <v>5391</v>
      </c>
      <c r="K3767" t="s">
        <v>95</v>
      </c>
      <c r="L3767" t="s">
        <v>109</v>
      </c>
      <c r="M3767" t="s">
        <v>234</v>
      </c>
      <c r="N3767" t="s">
        <v>152</v>
      </c>
      <c r="O3767" t="s">
        <v>1345</v>
      </c>
    </row>
    <row r="3768" spans="1:15" x14ac:dyDescent="0.3">
      <c r="A3768" s="130">
        <v>21380</v>
      </c>
      <c r="B3768" s="130">
        <v>28</v>
      </c>
      <c r="C3768" s="130" t="s">
        <v>5392</v>
      </c>
      <c r="D3768">
        <v>32371</v>
      </c>
      <c r="E3768" s="130">
        <v>28336539</v>
      </c>
      <c r="F3768" t="s">
        <v>87</v>
      </c>
      <c r="G3768">
        <v>76</v>
      </c>
      <c r="H3768" t="s">
        <v>8952</v>
      </c>
      <c r="I3768" s="131">
        <v>43</v>
      </c>
      <c r="J3768" t="s">
        <v>5392</v>
      </c>
      <c r="K3768" t="s">
        <v>95</v>
      </c>
      <c r="L3768" t="s">
        <v>1368</v>
      </c>
      <c r="M3768" t="s">
        <v>130</v>
      </c>
      <c r="N3768" t="s">
        <v>114</v>
      </c>
      <c r="O3768" t="s">
        <v>116</v>
      </c>
    </row>
    <row r="3769" spans="1:15" x14ac:dyDescent="0.3">
      <c r="A3769" s="130">
        <v>21384</v>
      </c>
      <c r="B3769" s="130">
        <v>28</v>
      </c>
      <c r="C3769" s="130" t="s">
        <v>5393</v>
      </c>
      <c r="D3769">
        <v>32376</v>
      </c>
      <c r="E3769" s="130">
        <v>14549864</v>
      </c>
      <c r="F3769" t="s">
        <v>87</v>
      </c>
      <c r="G3769">
        <v>76</v>
      </c>
      <c r="H3769" t="s">
        <v>8953</v>
      </c>
      <c r="I3769" s="130">
        <v>3</v>
      </c>
      <c r="J3769" t="s">
        <v>5393</v>
      </c>
      <c r="K3769" t="s">
        <v>95</v>
      </c>
      <c r="L3769" t="s">
        <v>111</v>
      </c>
      <c r="M3769" t="s">
        <v>130</v>
      </c>
      <c r="N3769" t="s">
        <v>98</v>
      </c>
      <c r="O3769" t="s">
        <v>116</v>
      </c>
    </row>
    <row r="3770" spans="1:15" x14ac:dyDescent="0.3">
      <c r="A3770" s="130">
        <v>21397</v>
      </c>
      <c r="B3770" s="130">
        <v>30</v>
      </c>
      <c r="C3770" s="130" t="s">
        <v>5394</v>
      </c>
      <c r="D3770">
        <v>32408</v>
      </c>
      <c r="E3770" s="131">
        <v>25618133</v>
      </c>
      <c r="F3770" t="s">
        <v>87</v>
      </c>
      <c r="G3770">
        <v>358</v>
      </c>
      <c r="H3770" t="s">
        <v>8951</v>
      </c>
      <c r="I3770" s="130">
        <v>3</v>
      </c>
      <c r="J3770" t="s">
        <v>5394</v>
      </c>
      <c r="K3770" t="s">
        <v>95</v>
      </c>
      <c r="L3770" t="s">
        <v>111</v>
      </c>
      <c r="M3770" t="s">
        <v>103</v>
      </c>
      <c r="N3770" t="s">
        <v>98</v>
      </c>
      <c r="O3770" t="s">
        <v>116</v>
      </c>
    </row>
    <row r="3771" spans="1:15" x14ac:dyDescent="0.3">
      <c r="A3771" s="130">
        <v>21399</v>
      </c>
      <c r="B3771" s="130">
        <v>35</v>
      </c>
      <c r="C3771" s="130" t="s">
        <v>5395</v>
      </c>
      <c r="D3771">
        <v>32409</v>
      </c>
      <c r="E3771" s="131">
        <v>8343492</v>
      </c>
      <c r="F3771" t="s">
        <v>87</v>
      </c>
      <c r="G3771">
        <v>77</v>
      </c>
      <c r="H3771" t="s">
        <v>8952</v>
      </c>
      <c r="I3771" s="131">
        <v>18</v>
      </c>
      <c r="J3771" t="s">
        <v>5395</v>
      </c>
      <c r="K3771" t="s">
        <v>95</v>
      </c>
      <c r="L3771" t="s">
        <v>256</v>
      </c>
      <c r="M3771" t="s">
        <v>161</v>
      </c>
      <c r="N3771" t="s">
        <v>98</v>
      </c>
      <c r="O3771" t="s">
        <v>116</v>
      </c>
    </row>
    <row r="3772" spans="1:15" x14ac:dyDescent="0.3">
      <c r="A3772" s="130">
        <v>21403</v>
      </c>
      <c r="B3772" s="130">
        <v>18</v>
      </c>
      <c r="C3772" s="130" t="s">
        <v>5396</v>
      </c>
      <c r="D3772">
        <v>32412</v>
      </c>
      <c r="E3772" s="130">
        <v>34597906</v>
      </c>
      <c r="F3772" t="s">
        <v>87</v>
      </c>
      <c r="G3772">
        <v>76</v>
      </c>
      <c r="H3772" t="s">
        <v>8953</v>
      </c>
      <c r="I3772" s="130">
        <v>10</v>
      </c>
      <c r="J3772" t="s">
        <v>5396</v>
      </c>
      <c r="K3772" t="s">
        <v>108</v>
      </c>
      <c r="L3772" t="s">
        <v>127</v>
      </c>
      <c r="M3772" t="s">
        <v>112</v>
      </c>
      <c r="N3772" t="s">
        <v>118</v>
      </c>
      <c r="O3772" t="s">
        <v>116</v>
      </c>
    </row>
    <row r="3773" spans="1:15" x14ac:dyDescent="0.3">
      <c r="A3773" s="130">
        <v>21404</v>
      </c>
      <c r="B3773" s="130">
        <v>30</v>
      </c>
      <c r="C3773" s="130" t="s">
        <v>5397</v>
      </c>
      <c r="D3773">
        <v>32413</v>
      </c>
      <c r="E3773" s="130">
        <v>21062047</v>
      </c>
      <c r="F3773" t="s">
        <v>87</v>
      </c>
      <c r="G3773">
        <v>76</v>
      </c>
      <c r="H3773" t="s">
        <v>8951</v>
      </c>
      <c r="I3773" s="130">
        <v>3</v>
      </c>
      <c r="J3773" t="s">
        <v>5397</v>
      </c>
      <c r="K3773" t="s">
        <v>95</v>
      </c>
      <c r="L3773" t="s">
        <v>111</v>
      </c>
      <c r="M3773" t="s">
        <v>103</v>
      </c>
      <c r="N3773" t="s">
        <v>98</v>
      </c>
      <c r="O3773" t="s">
        <v>116</v>
      </c>
    </row>
    <row r="3774" spans="1:15" x14ac:dyDescent="0.3">
      <c r="A3774" s="130">
        <v>21415</v>
      </c>
      <c r="B3774" s="130">
        <v>30</v>
      </c>
      <c r="C3774" s="130" t="s">
        <v>5398</v>
      </c>
      <c r="D3774">
        <v>32429</v>
      </c>
      <c r="E3774" s="130">
        <v>35744715</v>
      </c>
      <c r="F3774" t="s">
        <v>87</v>
      </c>
      <c r="G3774">
        <v>76</v>
      </c>
      <c r="H3774" t="s">
        <v>8952</v>
      </c>
      <c r="I3774" s="130">
        <v>18</v>
      </c>
      <c r="J3774" t="s">
        <v>5398</v>
      </c>
      <c r="K3774" t="s">
        <v>95</v>
      </c>
      <c r="L3774" t="s">
        <v>123</v>
      </c>
      <c r="M3774" t="s">
        <v>103</v>
      </c>
      <c r="N3774" t="s">
        <v>98</v>
      </c>
      <c r="O3774" t="s">
        <v>116</v>
      </c>
    </row>
    <row r="3775" spans="1:15" x14ac:dyDescent="0.3">
      <c r="A3775" s="130">
        <v>21417</v>
      </c>
      <c r="B3775" s="130">
        <v>10</v>
      </c>
      <c r="C3775" s="130" t="s">
        <v>5399</v>
      </c>
      <c r="D3775">
        <v>32434</v>
      </c>
      <c r="E3775" s="130">
        <v>34562112</v>
      </c>
      <c r="F3775" t="s">
        <v>87</v>
      </c>
      <c r="G3775">
        <v>76</v>
      </c>
      <c r="H3775" t="s">
        <v>8953</v>
      </c>
      <c r="I3775" s="131">
        <v>24</v>
      </c>
      <c r="J3775" t="s">
        <v>5399</v>
      </c>
      <c r="K3775" t="s">
        <v>95</v>
      </c>
      <c r="L3775" t="s">
        <v>191</v>
      </c>
      <c r="M3775" t="s">
        <v>133</v>
      </c>
      <c r="N3775" t="s">
        <v>122</v>
      </c>
      <c r="O3775" t="s">
        <v>116</v>
      </c>
    </row>
    <row r="3776" spans="1:15" x14ac:dyDescent="0.3">
      <c r="A3776" s="130">
        <v>21419</v>
      </c>
      <c r="B3776" s="130">
        <v>30</v>
      </c>
      <c r="C3776" s="130" t="s">
        <v>5400</v>
      </c>
      <c r="D3776">
        <v>32438</v>
      </c>
      <c r="E3776" s="131">
        <v>33841727</v>
      </c>
      <c r="F3776" t="s">
        <v>87</v>
      </c>
      <c r="G3776">
        <v>76</v>
      </c>
      <c r="H3776" t="s">
        <v>8951</v>
      </c>
      <c r="I3776" s="131">
        <v>10</v>
      </c>
      <c r="J3776" t="s">
        <v>5400</v>
      </c>
      <c r="K3776" t="s">
        <v>95</v>
      </c>
      <c r="L3776" t="s">
        <v>127</v>
      </c>
      <c r="M3776" t="s">
        <v>103</v>
      </c>
      <c r="N3776" t="s">
        <v>118</v>
      </c>
      <c r="O3776" t="s">
        <v>116</v>
      </c>
    </row>
    <row r="3777" spans="1:15" x14ac:dyDescent="0.3">
      <c r="A3777" s="130">
        <v>21425</v>
      </c>
      <c r="B3777" s="130">
        <v>30</v>
      </c>
      <c r="C3777" s="130" t="s">
        <v>5401</v>
      </c>
      <c r="D3777">
        <v>32452</v>
      </c>
      <c r="E3777" s="130">
        <v>41109336</v>
      </c>
      <c r="F3777" t="s">
        <v>87</v>
      </c>
      <c r="G3777">
        <v>76</v>
      </c>
      <c r="H3777" t="s">
        <v>8952</v>
      </c>
      <c r="I3777" s="130">
        <v>19</v>
      </c>
      <c r="J3777" t="s">
        <v>5401</v>
      </c>
      <c r="K3777" t="s">
        <v>108</v>
      </c>
      <c r="L3777" t="s">
        <v>252</v>
      </c>
      <c r="M3777" t="s">
        <v>103</v>
      </c>
      <c r="N3777" t="s">
        <v>98</v>
      </c>
      <c r="O3777" t="s">
        <v>1345</v>
      </c>
    </row>
    <row r="3778" spans="1:15" x14ac:dyDescent="0.3">
      <c r="A3778" s="130">
        <v>21431</v>
      </c>
      <c r="B3778" s="130">
        <v>30</v>
      </c>
      <c r="C3778" s="130" t="s">
        <v>5402</v>
      </c>
      <c r="D3778">
        <v>32470</v>
      </c>
      <c r="E3778" s="130">
        <v>17185786</v>
      </c>
      <c r="F3778" t="s">
        <v>87</v>
      </c>
      <c r="G3778">
        <v>358</v>
      </c>
      <c r="H3778" t="s">
        <v>8953</v>
      </c>
      <c r="I3778" s="130">
        <v>3</v>
      </c>
      <c r="J3778" t="s">
        <v>5402</v>
      </c>
      <c r="K3778" t="s">
        <v>95</v>
      </c>
      <c r="L3778" t="s">
        <v>105</v>
      </c>
      <c r="M3778" t="s">
        <v>103</v>
      </c>
      <c r="N3778" t="s">
        <v>98</v>
      </c>
      <c r="O3778" t="s">
        <v>1345</v>
      </c>
    </row>
    <row r="3779" spans="1:15" x14ac:dyDescent="0.3">
      <c r="A3779" s="130">
        <v>21440</v>
      </c>
      <c r="B3779" s="130">
        <v>30</v>
      </c>
      <c r="C3779" s="130" t="s">
        <v>5403</v>
      </c>
      <c r="D3779">
        <v>32480</v>
      </c>
      <c r="E3779" s="130">
        <v>35588111</v>
      </c>
      <c r="F3779" t="s">
        <v>87</v>
      </c>
      <c r="G3779">
        <v>76</v>
      </c>
      <c r="H3779" t="s">
        <v>8951</v>
      </c>
      <c r="I3779" s="131">
        <v>3</v>
      </c>
      <c r="J3779" t="s">
        <v>5403</v>
      </c>
      <c r="K3779" t="s">
        <v>95</v>
      </c>
      <c r="L3779" t="s">
        <v>111</v>
      </c>
      <c r="M3779" t="s">
        <v>103</v>
      </c>
      <c r="N3779" t="s">
        <v>98</v>
      </c>
      <c r="O3779" t="s">
        <v>1345</v>
      </c>
    </row>
    <row r="3780" spans="1:15" x14ac:dyDescent="0.3">
      <c r="A3780" s="130">
        <v>21444</v>
      </c>
      <c r="B3780" s="130">
        <v>30</v>
      </c>
      <c r="C3780" s="130" t="s">
        <v>5404</v>
      </c>
      <c r="D3780">
        <v>32484</v>
      </c>
      <c r="E3780" s="130">
        <v>38460234</v>
      </c>
      <c r="F3780" t="s">
        <v>87</v>
      </c>
      <c r="G3780">
        <v>76</v>
      </c>
      <c r="H3780" t="s">
        <v>8952</v>
      </c>
      <c r="I3780" s="131">
        <v>3</v>
      </c>
      <c r="J3780" t="s">
        <v>5404</v>
      </c>
      <c r="K3780" t="s">
        <v>95</v>
      </c>
      <c r="L3780" t="s">
        <v>109</v>
      </c>
      <c r="M3780" t="s">
        <v>103</v>
      </c>
      <c r="N3780" t="s">
        <v>98</v>
      </c>
      <c r="O3780" t="s">
        <v>1345</v>
      </c>
    </row>
    <row r="3781" spans="1:15" x14ac:dyDescent="0.3">
      <c r="A3781" s="130">
        <v>21446</v>
      </c>
      <c r="B3781" s="130">
        <v>21</v>
      </c>
      <c r="C3781" s="130" t="s">
        <v>5405</v>
      </c>
      <c r="D3781">
        <v>32487</v>
      </c>
      <c r="E3781" s="130">
        <v>11860729</v>
      </c>
      <c r="F3781" t="s">
        <v>87</v>
      </c>
      <c r="G3781">
        <v>76</v>
      </c>
      <c r="H3781" t="s">
        <v>8953</v>
      </c>
      <c r="I3781" s="131">
        <v>10</v>
      </c>
      <c r="J3781" t="s">
        <v>5405</v>
      </c>
      <c r="K3781" t="s">
        <v>95</v>
      </c>
      <c r="L3781" t="s">
        <v>127</v>
      </c>
      <c r="M3781" t="s">
        <v>137</v>
      </c>
      <c r="N3781" t="s">
        <v>118</v>
      </c>
      <c r="O3781" t="s">
        <v>1345</v>
      </c>
    </row>
    <row r="3782" spans="1:15" x14ac:dyDescent="0.3">
      <c r="A3782" s="130">
        <v>21472</v>
      </c>
      <c r="B3782" s="130">
        <v>18</v>
      </c>
      <c r="C3782" s="130" t="s">
        <v>5406</v>
      </c>
      <c r="D3782">
        <v>32526</v>
      </c>
      <c r="E3782" s="130">
        <v>8056030</v>
      </c>
      <c r="F3782" t="s">
        <v>87</v>
      </c>
      <c r="G3782">
        <v>76</v>
      </c>
      <c r="H3782" t="s">
        <v>8951</v>
      </c>
      <c r="I3782" s="130">
        <v>26</v>
      </c>
      <c r="J3782" t="s">
        <v>5406</v>
      </c>
      <c r="K3782" t="s">
        <v>95</v>
      </c>
      <c r="L3782" t="s">
        <v>151</v>
      </c>
      <c r="M3782" t="s">
        <v>112</v>
      </c>
      <c r="N3782" t="s">
        <v>169</v>
      </c>
      <c r="O3782" t="s">
        <v>1345</v>
      </c>
    </row>
    <row r="3783" spans="1:15" x14ac:dyDescent="0.3">
      <c r="A3783" s="130">
        <v>21479</v>
      </c>
      <c r="B3783" s="130">
        <v>-1</v>
      </c>
      <c r="C3783" s="130" t="s">
        <v>5407</v>
      </c>
      <c r="D3783">
        <v>32537</v>
      </c>
      <c r="E3783" s="130">
        <v>12216526</v>
      </c>
      <c r="F3783" t="s">
        <v>87</v>
      </c>
      <c r="G3783">
        <v>76</v>
      </c>
      <c r="H3783" t="s">
        <v>8952</v>
      </c>
      <c r="I3783" s="130">
        <v>10</v>
      </c>
      <c r="J3783" t="s">
        <v>5407</v>
      </c>
      <c r="K3783" t="s">
        <v>95</v>
      </c>
      <c r="L3783" t="s">
        <v>127</v>
      </c>
      <c r="M3783" t="s">
        <v>174</v>
      </c>
      <c r="N3783" t="s">
        <v>98</v>
      </c>
      <c r="O3783" t="s">
        <v>1345</v>
      </c>
    </row>
    <row r="3784" spans="1:15" x14ac:dyDescent="0.3">
      <c r="A3784" s="130">
        <v>21487</v>
      </c>
      <c r="B3784" s="130">
        <v>18</v>
      </c>
      <c r="C3784" s="130" t="s">
        <v>5408</v>
      </c>
      <c r="D3784">
        <v>32547</v>
      </c>
      <c r="E3784" s="130">
        <v>43982296</v>
      </c>
      <c r="F3784" t="s">
        <v>87</v>
      </c>
      <c r="G3784">
        <v>76</v>
      </c>
      <c r="H3784" t="s">
        <v>8953</v>
      </c>
      <c r="I3784" s="130">
        <v>37</v>
      </c>
      <c r="J3784" t="s">
        <v>5408</v>
      </c>
      <c r="K3784" t="s">
        <v>108</v>
      </c>
      <c r="L3784" t="s">
        <v>138</v>
      </c>
      <c r="M3784" t="s">
        <v>112</v>
      </c>
      <c r="N3784" t="s">
        <v>114</v>
      </c>
      <c r="O3784" t="s">
        <v>116</v>
      </c>
    </row>
    <row r="3785" spans="1:15" x14ac:dyDescent="0.3">
      <c r="A3785" s="130">
        <v>21501</v>
      </c>
      <c r="B3785" s="130">
        <v>18</v>
      </c>
      <c r="C3785" s="130" t="s">
        <v>5409</v>
      </c>
      <c r="D3785">
        <v>32570</v>
      </c>
      <c r="E3785" s="130">
        <v>10385174</v>
      </c>
      <c r="F3785" t="s">
        <v>87</v>
      </c>
      <c r="G3785">
        <v>76</v>
      </c>
      <c r="H3785" t="s">
        <v>8951</v>
      </c>
      <c r="I3785" s="131">
        <v>37</v>
      </c>
      <c r="J3785" t="s">
        <v>5409</v>
      </c>
      <c r="K3785" t="s">
        <v>108</v>
      </c>
      <c r="L3785" t="s">
        <v>138</v>
      </c>
      <c r="M3785" t="s">
        <v>112</v>
      </c>
      <c r="N3785" t="s">
        <v>101</v>
      </c>
      <c r="O3785" t="s">
        <v>116</v>
      </c>
    </row>
    <row r="3786" spans="1:15" x14ac:dyDescent="0.3">
      <c r="A3786" s="130">
        <v>21503</v>
      </c>
      <c r="C3786" s="130" t="s">
        <v>5410</v>
      </c>
      <c r="D3786">
        <v>32573</v>
      </c>
      <c r="E3786" s="131">
        <v>40903866</v>
      </c>
      <c r="F3786" t="s">
        <v>113</v>
      </c>
      <c r="G3786">
        <v>76</v>
      </c>
      <c r="H3786" t="s">
        <v>8952</v>
      </c>
      <c r="I3786" s="130">
        <v>19</v>
      </c>
      <c r="J3786" t="s">
        <v>5410</v>
      </c>
      <c r="K3786" t="s">
        <v>108</v>
      </c>
      <c r="L3786" t="s">
        <v>252</v>
      </c>
      <c r="N3786" t="s">
        <v>98</v>
      </c>
      <c r="O3786" t="s">
        <v>1256</v>
      </c>
    </row>
    <row r="3787" spans="1:15" x14ac:dyDescent="0.3">
      <c r="A3787" s="130">
        <v>21506</v>
      </c>
      <c r="B3787" s="130">
        <v>30</v>
      </c>
      <c r="C3787" s="130" t="s">
        <v>5411</v>
      </c>
      <c r="D3787">
        <v>32586</v>
      </c>
      <c r="E3787" s="130">
        <v>34562112</v>
      </c>
      <c r="F3787" t="s">
        <v>87</v>
      </c>
      <c r="G3787">
        <v>76</v>
      </c>
      <c r="H3787" t="s">
        <v>8953</v>
      </c>
      <c r="I3787" s="130">
        <v>24</v>
      </c>
      <c r="J3787" t="s">
        <v>5411</v>
      </c>
      <c r="K3787" t="s">
        <v>95</v>
      </c>
      <c r="L3787" t="s">
        <v>191</v>
      </c>
      <c r="M3787" t="s">
        <v>103</v>
      </c>
      <c r="N3787" t="s">
        <v>107</v>
      </c>
      <c r="O3787" t="s">
        <v>116</v>
      </c>
    </row>
    <row r="3788" spans="1:15" x14ac:dyDescent="0.3">
      <c r="A3788" s="130">
        <v>21509</v>
      </c>
      <c r="B3788" s="130">
        <v>18</v>
      </c>
      <c r="C3788" s="130" t="s">
        <v>5412</v>
      </c>
      <c r="D3788">
        <v>32591</v>
      </c>
      <c r="E3788" s="130">
        <v>7797913</v>
      </c>
      <c r="F3788" t="s">
        <v>87</v>
      </c>
      <c r="G3788">
        <v>76</v>
      </c>
      <c r="H3788" t="s">
        <v>8951</v>
      </c>
      <c r="I3788" s="131">
        <v>37</v>
      </c>
      <c r="J3788" t="s">
        <v>5412</v>
      </c>
      <c r="K3788" t="s">
        <v>108</v>
      </c>
      <c r="L3788" t="s">
        <v>138</v>
      </c>
      <c r="M3788" t="s">
        <v>112</v>
      </c>
      <c r="N3788" t="s">
        <v>114</v>
      </c>
      <c r="O3788" t="s">
        <v>116</v>
      </c>
    </row>
    <row r="3789" spans="1:15" x14ac:dyDescent="0.3">
      <c r="A3789" s="130">
        <v>21513</v>
      </c>
      <c r="B3789" s="130">
        <v>28</v>
      </c>
      <c r="C3789" s="130" t="s">
        <v>5413</v>
      </c>
      <c r="D3789">
        <v>32596</v>
      </c>
      <c r="E3789" s="130">
        <v>36417724</v>
      </c>
      <c r="F3789" t="s">
        <v>87</v>
      </c>
      <c r="G3789">
        <v>76</v>
      </c>
      <c r="H3789" t="s">
        <v>8952</v>
      </c>
      <c r="I3789" s="131">
        <v>37</v>
      </c>
      <c r="J3789" t="s">
        <v>5413</v>
      </c>
      <c r="K3789" t="s">
        <v>95</v>
      </c>
      <c r="L3789" t="s">
        <v>138</v>
      </c>
      <c r="M3789" t="s">
        <v>130</v>
      </c>
      <c r="N3789" t="s">
        <v>150</v>
      </c>
      <c r="O3789" t="s">
        <v>1345</v>
      </c>
    </row>
    <row r="3790" spans="1:15" x14ac:dyDescent="0.3">
      <c r="A3790" s="130">
        <v>21516</v>
      </c>
      <c r="B3790" s="130">
        <v>30</v>
      </c>
      <c r="C3790" s="130" t="s">
        <v>5414</v>
      </c>
      <c r="D3790">
        <v>32601</v>
      </c>
      <c r="E3790" s="130">
        <v>8726496</v>
      </c>
      <c r="F3790" t="s">
        <v>87</v>
      </c>
      <c r="G3790">
        <v>76</v>
      </c>
      <c r="H3790" t="s">
        <v>8953</v>
      </c>
      <c r="I3790" s="130">
        <v>18</v>
      </c>
      <c r="J3790" t="s">
        <v>5414</v>
      </c>
      <c r="K3790" t="s">
        <v>95</v>
      </c>
      <c r="L3790" t="s">
        <v>123</v>
      </c>
      <c r="M3790" t="s">
        <v>103</v>
      </c>
      <c r="N3790" t="s">
        <v>98</v>
      </c>
      <c r="O3790" t="s">
        <v>116</v>
      </c>
    </row>
    <row r="3791" spans="1:15" x14ac:dyDescent="0.3">
      <c r="A3791" s="130">
        <v>21517</v>
      </c>
      <c r="B3791" s="130">
        <v>30</v>
      </c>
      <c r="C3791" s="130" t="s">
        <v>5415</v>
      </c>
      <c r="D3791">
        <v>32602</v>
      </c>
      <c r="E3791" s="131">
        <v>8726496</v>
      </c>
      <c r="F3791" t="s">
        <v>87</v>
      </c>
      <c r="G3791">
        <v>76</v>
      </c>
      <c r="H3791" t="s">
        <v>8951</v>
      </c>
      <c r="I3791" s="131">
        <v>18</v>
      </c>
      <c r="J3791" t="s">
        <v>5415</v>
      </c>
      <c r="K3791" t="s">
        <v>95</v>
      </c>
      <c r="L3791" t="s">
        <v>123</v>
      </c>
      <c r="M3791" t="s">
        <v>103</v>
      </c>
      <c r="N3791" t="s">
        <v>98</v>
      </c>
      <c r="O3791" t="s">
        <v>116</v>
      </c>
    </row>
    <row r="3792" spans="1:15" x14ac:dyDescent="0.3">
      <c r="A3792" s="130">
        <v>21519</v>
      </c>
      <c r="B3792" s="130">
        <v>30</v>
      </c>
      <c r="C3792" s="130" t="s">
        <v>5416</v>
      </c>
      <c r="D3792">
        <v>32608</v>
      </c>
      <c r="E3792" s="130">
        <v>22614681</v>
      </c>
      <c r="F3792" t="s">
        <v>87</v>
      </c>
      <c r="G3792">
        <v>76</v>
      </c>
      <c r="H3792" t="s">
        <v>8952</v>
      </c>
      <c r="I3792" s="130">
        <v>3</v>
      </c>
      <c r="J3792" t="s">
        <v>5416</v>
      </c>
      <c r="K3792" t="s">
        <v>108</v>
      </c>
      <c r="L3792" t="s">
        <v>111</v>
      </c>
      <c r="M3792" t="s">
        <v>103</v>
      </c>
      <c r="N3792" t="s">
        <v>98</v>
      </c>
      <c r="O3792" t="s">
        <v>116</v>
      </c>
    </row>
    <row r="3793" spans="1:15" x14ac:dyDescent="0.3">
      <c r="A3793" s="130">
        <v>21537</v>
      </c>
      <c r="B3793" s="130">
        <v>18</v>
      </c>
      <c r="C3793" s="130" t="s">
        <v>5417</v>
      </c>
      <c r="D3793">
        <v>32634</v>
      </c>
      <c r="E3793" s="130">
        <v>10970850</v>
      </c>
      <c r="F3793" t="s">
        <v>87</v>
      </c>
      <c r="G3793">
        <v>76</v>
      </c>
      <c r="H3793" t="s">
        <v>8953</v>
      </c>
      <c r="I3793" s="130">
        <v>26</v>
      </c>
      <c r="J3793" t="s">
        <v>5417</v>
      </c>
      <c r="K3793" t="s">
        <v>108</v>
      </c>
      <c r="L3793" t="s">
        <v>151</v>
      </c>
      <c r="M3793" t="s">
        <v>112</v>
      </c>
      <c r="N3793" t="s">
        <v>98</v>
      </c>
      <c r="O3793" t="s">
        <v>1345</v>
      </c>
    </row>
    <row r="3794" spans="1:15" x14ac:dyDescent="0.3">
      <c r="A3794" s="130">
        <v>21556</v>
      </c>
      <c r="B3794" s="130">
        <v>21</v>
      </c>
      <c r="C3794" s="130" t="s">
        <v>5418</v>
      </c>
      <c r="D3794">
        <v>32671</v>
      </c>
      <c r="E3794" s="130">
        <v>68104538</v>
      </c>
      <c r="F3794" t="s">
        <v>87</v>
      </c>
      <c r="G3794">
        <v>76</v>
      </c>
      <c r="H3794" t="s">
        <v>8951</v>
      </c>
      <c r="I3794" s="131">
        <v>24</v>
      </c>
      <c r="J3794" t="s">
        <v>5418</v>
      </c>
      <c r="K3794" t="s">
        <v>108</v>
      </c>
      <c r="L3794" t="s">
        <v>191</v>
      </c>
      <c r="M3794" t="s">
        <v>137</v>
      </c>
      <c r="N3794" t="s">
        <v>98</v>
      </c>
      <c r="O3794" t="s">
        <v>116</v>
      </c>
    </row>
    <row r="3795" spans="1:15" x14ac:dyDescent="0.3">
      <c r="A3795" s="130">
        <v>21575</v>
      </c>
      <c r="B3795" s="130">
        <v>30</v>
      </c>
      <c r="C3795" s="130" t="s">
        <v>5419</v>
      </c>
      <c r="D3795">
        <v>32702</v>
      </c>
      <c r="E3795" s="130">
        <v>42876135</v>
      </c>
      <c r="F3795" t="s">
        <v>87</v>
      </c>
      <c r="G3795">
        <v>76</v>
      </c>
      <c r="H3795" t="s">
        <v>8952</v>
      </c>
      <c r="I3795" s="131">
        <v>19</v>
      </c>
      <c r="J3795" t="s">
        <v>5419</v>
      </c>
      <c r="K3795" t="s">
        <v>108</v>
      </c>
      <c r="L3795" t="s">
        <v>252</v>
      </c>
      <c r="M3795" t="s">
        <v>103</v>
      </c>
      <c r="N3795" t="s">
        <v>98</v>
      </c>
      <c r="O3795" t="s">
        <v>1345</v>
      </c>
    </row>
    <row r="3796" spans="1:15" x14ac:dyDescent="0.3">
      <c r="A3796" s="130">
        <v>21581</v>
      </c>
      <c r="B3796" s="130">
        <v>30</v>
      </c>
      <c r="C3796" s="130" t="s">
        <v>5420</v>
      </c>
      <c r="D3796">
        <v>32708</v>
      </c>
      <c r="E3796" s="130">
        <v>46393484</v>
      </c>
      <c r="F3796" t="s">
        <v>87</v>
      </c>
      <c r="G3796">
        <v>76</v>
      </c>
      <c r="H3796" t="s">
        <v>8953</v>
      </c>
      <c r="I3796" s="130">
        <v>18</v>
      </c>
      <c r="J3796" t="s">
        <v>5420</v>
      </c>
      <c r="K3796" t="s">
        <v>108</v>
      </c>
      <c r="L3796" t="s">
        <v>123</v>
      </c>
      <c r="M3796" t="s">
        <v>103</v>
      </c>
      <c r="N3796" t="s">
        <v>98</v>
      </c>
      <c r="O3796" t="s">
        <v>116</v>
      </c>
    </row>
    <row r="3797" spans="1:15" x14ac:dyDescent="0.3">
      <c r="A3797" s="130">
        <v>21585</v>
      </c>
      <c r="B3797" s="130">
        <v>30</v>
      </c>
      <c r="C3797" s="130" t="s">
        <v>5421</v>
      </c>
      <c r="D3797">
        <v>32709</v>
      </c>
      <c r="E3797" s="130">
        <v>60498706</v>
      </c>
      <c r="F3797" t="s">
        <v>87</v>
      </c>
      <c r="G3797">
        <v>76</v>
      </c>
      <c r="H3797" t="s">
        <v>8951</v>
      </c>
      <c r="I3797" s="130">
        <v>38</v>
      </c>
      <c r="J3797" t="s">
        <v>5421</v>
      </c>
      <c r="K3797" t="s">
        <v>108</v>
      </c>
      <c r="L3797" t="s">
        <v>126</v>
      </c>
      <c r="M3797" t="s">
        <v>103</v>
      </c>
      <c r="N3797" t="s">
        <v>114</v>
      </c>
      <c r="O3797" t="s">
        <v>116</v>
      </c>
    </row>
    <row r="3798" spans="1:15" x14ac:dyDescent="0.3">
      <c r="A3798" s="130">
        <v>21591</v>
      </c>
      <c r="B3798" s="130">
        <v>30</v>
      </c>
      <c r="C3798" s="130" t="s">
        <v>5422</v>
      </c>
      <c r="D3798">
        <v>32718</v>
      </c>
      <c r="E3798" s="130">
        <v>7522191</v>
      </c>
      <c r="F3798" t="s">
        <v>87</v>
      </c>
      <c r="G3798">
        <v>76</v>
      </c>
      <c r="H3798" t="s">
        <v>8952</v>
      </c>
      <c r="I3798" s="130">
        <v>43</v>
      </c>
      <c r="J3798" t="s">
        <v>5422</v>
      </c>
      <c r="K3798" t="s">
        <v>95</v>
      </c>
      <c r="L3798" t="s">
        <v>111</v>
      </c>
      <c r="M3798" t="s">
        <v>103</v>
      </c>
      <c r="N3798" t="s">
        <v>98</v>
      </c>
      <c r="O3798" t="s">
        <v>116</v>
      </c>
    </row>
    <row r="3799" spans="1:15" x14ac:dyDescent="0.3">
      <c r="A3799" s="130">
        <v>21596</v>
      </c>
      <c r="B3799" s="130">
        <v>30</v>
      </c>
      <c r="C3799" s="130" t="s">
        <v>5423</v>
      </c>
      <c r="D3799">
        <v>32727</v>
      </c>
      <c r="E3799" s="130">
        <v>30031906</v>
      </c>
      <c r="F3799" t="s">
        <v>87</v>
      </c>
      <c r="G3799">
        <v>76</v>
      </c>
      <c r="H3799" t="s">
        <v>8953</v>
      </c>
      <c r="I3799" s="130">
        <v>3</v>
      </c>
      <c r="J3799" t="s">
        <v>5423</v>
      </c>
      <c r="K3799" t="s">
        <v>108</v>
      </c>
      <c r="L3799" t="s">
        <v>111</v>
      </c>
      <c r="M3799" t="s">
        <v>103</v>
      </c>
      <c r="N3799" t="s">
        <v>98</v>
      </c>
      <c r="O3799" t="s">
        <v>116</v>
      </c>
    </row>
    <row r="3800" spans="1:15" x14ac:dyDescent="0.3">
      <c r="A3800" s="130">
        <v>21600</v>
      </c>
      <c r="B3800" s="130">
        <v>28</v>
      </c>
      <c r="C3800" s="130" t="s">
        <v>5424</v>
      </c>
      <c r="D3800">
        <v>32733</v>
      </c>
      <c r="E3800" s="130">
        <v>32909546</v>
      </c>
      <c r="F3800" t="s">
        <v>87</v>
      </c>
      <c r="G3800">
        <v>76</v>
      </c>
      <c r="H3800" t="s">
        <v>8951</v>
      </c>
      <c r="I3800" s="130">
        <v>3</v>
      </c>
      <c r="J3800" t="s">
        <v>5424</v>
      </c>
      <c r="K3800" t="s">
        <v>95</v>
      </c>
      <c r="L3800" t="s">
        <v>111</v>
      </c>
      <c r="M3800" t="s">
        <v>130</v>
      </c>
      <c r="N3800" t="s">
        <v>98</v>
      </c>
      <c r="O3800" t="s">
        <v>116</v>
      </c>
    </row>
    <row r="3801" spans="1:15" x14ac:dyDescent="0.3">
      <c r="A3801" s="130">
        <v>21601</v>
      </c>
      <c r="B3801" s="130">
        <v>15</v>
      </c>
      <c r="C3801" s="130" t="s">
        <v>5425</v>
      </c>
      <c r="D3801">
        <v>32734</v>
      </c>
      <c r="E3801" s="130">
        <v>159291</v>
      </c>
      <c r="F3801" t="s">
        <v>87</v>
      </c>
      <c r="G3801">
        <v>76</v>
      </c>
      <c r="H3801" t="s">
        <v>8952</v>
      </c>
      <c r="I3801" s="130">
        <v>37</v>
      </c>
      <c r="J3801" t="s">
        <v>5425</v>
      </c>
      <c r="K3801" t="s">
        <v>108</v>
      </c>
      <c r="L3801" t="s">
        <v>138</v>
      </c>
      <c r="M3801" t="s">
        <v>145</v>
      </c>
      <c r="N3801" t="s">
        <v>114</v>
      </c>
      <c r="O3801" t="s">
        <v>116</v>
      </c>
    </row>
    <row r="3802" spans="1:15" x14ac:dyDescent="0.3">
      <c r="A3802" s="130">
        <v>21603</v>
      </c>
      <c r="B3802" s="130">
        <v>45</v>
      </c>
      <c r="C3802" s="130" t="s">
        <v>5426</v>
      </c>
      <c r="D3802">
        <v>32742</v>
      </c>
      <c r="E3802" s="131">
        <v>532740</v>
      </c>
      <c r="F3802" t="s">
        <v>87</v>
      </c>
      <c r="G3802">
        <v>76</v>
      </c>
      <c r="H3802" t="s">
        <v>8953</v>
      </c>
      <c r="I3802" s="130">
        <v>3</v>
      </c>
      <c r="J3802" t="s">
        <v>5426</v>
      </c>
      <c r="K3802" t="s">
        <v>95</v>
      </c>
      <c r="L3802" t="s">
        <v>111</v>
      </c>
      <c r="M3802" t="s">
        <v>106</v>
      </c>
      <c r="N3802" t="s">
        <v>98</v>
      </c>
      <c r="O3802" t="s">
        <v>116</v>
      </c>
    </row>
    <row r="3803" spans="1:15" x14ac:dyDescent="0.3">
      <c r="A3803" s="130">
        <v>21606</v>
      </c>
      <c r="B3803" s="130">
        <v>28</v>
      </c>
      <c r="C3803" s="130" t="s">
        <v>5427</v>
      </c>
      <c r="D3803">
        <v>31879</v>
      </c>
      <c r="E3803" s="131">
        <v>3644204</v>
      </c>
      <c r="F3803" t="s">
        <v>87</v>
      </c>
      <c r="G3803">
        <v>76</v>
      </c>
      <c r="H3803" t="s">
        <v>8951</v>
      </c>
      <c r="I3803" s="130">
        <v>43</v>
      </c>
      <c r="J3803" t="s">
        <v>5427</v>
      </c>
      <c r="K3803" t="s">
        <v>108</v>
      </c>
      <c r="L3803" t="s">
        <v>1241</v>
      </c>
      <c r="M3803" t="s">
        <v>130</v>
      </c>
      <c r="N3803" t="s">
        <v>98</v>
      </c>
      <c r="O3803" t="s">
        <v>1256</v>
      </c>
    </row>
    <row r="3804" spans="1:15" x14ac:dyDescent="0.3">
      <c r="A3804" s="130">
        <v>21608</v>
      </c>
      <c r="B3804" s="130" t="s">
        <v>246</v>
      </c>
      <c r="C3804" s="130" t="s">
        <v>5428</v>
      </c>
      <c r="D3804">
        <v>32746</v>
      </c>
      <c r="E3804" s="131">
        <v>62044151</v>
      </c>
      <c r="F3804" t="s">
        <v>87</v>
      </c>
      <c r="G3804">
        <v>76</v>
      </c>
      <c r="H3804" t="s">
        <v>8952</v>
      </c>
      <c r="I3804" s="130">
        <v>3</v>
      </c>
      <c r="J3804" t="s">
        <v>5428</v>
      </c>
      <c r="K3804" t="s">
        <v>95</v>
      </c>
      <c r="L3804" t="s">
        <v>102</v>
      </c>
      <c r="M3804" t="s">
        <v>246</v>
      </c>
      <c r="N3804" t="s">
        <v>152</v>
      </c>
      <c r="O3804" t="s">
        <v>116</v>
      </c>
    </row>
    <row r="3805" spans="1:15" x14ac:dyDescent="0.3">
      <c r="A3805" s="130">
        <v>21617</v>
      </c>
      <c r="B3805" s="130">
        <v>20</v>
      </c>
      <c r="C3805" s="130" t="s">
        <v>5429</v>
      </c>
      <c r="D3805">
        <v>32755</v>
      </c>
      <c r="E3805" s="130">
        <v>48549363</v>
      </c>
      <c r="F3805" t="s">
        <v>87</v>
      </c>
      <c r="G3805">
        <v>76</v>
      </c>
      <c r="H3805" t="s">
        <v>8953</v>
      </c>
      <c r="I3805" s="131">
        <v>19</v>
      </c>
      <c r="J3805" t="s">
        <v>5429</v>
      </c>
      <c r="K3805" t="s">
        <v>108</v>
      </c>
      <c r="L3805" t="s">
        <v>252</v>
      </c>
      <c r="M3805" t="s">
        <v>148</v>
      </c>
      <c r="N3805" t="s">
        <v>98</v>
      </c>
      <c r="O3805" t="s">
        <v>116</v>
      </c>
    </row>
    <row r="3806" spans="1:15" x14ac:dyDescent="0.3">
      <c r="A3806" s="130">
        <v>21622</v>
      </c>
      <c r="B3806" s="130">
        <v>28</v>
      </c>
      <c r="C3806" s="130" t="s">
        <v>5430</v>
      </c>
      <c r="D3806">
        <v>32763</v>
      </c>
      <c r="E3806" s="130">
        <v>7676464</v>
      </c>
      <c r="F3806" t="s">
        <v>113</v>
      </c>
      <c r="G3806">
        <v>76</v>
      </c>
      <c r="H3806" t="s">
        <v>8951</v>
      </c>
      <c r="I3806" s="130">
        <v>43</v>
      </c>
      <c r="J3806" t="s">
        <v>5430</v>
      </c>
      <c r="K3806" t="s">
        <v>108</v>
      </c>
      <c r="L3806" t="s">
        <v>1241</v>
      </c>
      <c r="M3806" t="s">
        <v>130</v>
      </c>
      <c r="N3806" t="s">
        <v>98</v>
      </c>
      <c r="O3806" t="s">
        <v>1256</v>
      </c>
    </row>
    <row r="3807" spans="1:15" x14ac:dyDescent="0.3">
      <c r="A3807" s="130">
        <v>21624</v>
      </c>
      <c r="B3807" s="130">
        <v>30</v>
      </c>
      <c r="C3807" s="130" t="s">
        <v>5431</v>
      </c>
      <c r="D3807">
        <v>32766</v>
      </c>
      <c r="E3807" s="130">
        <v>21084632</v>
      </c>
      <c r="F3807" t="s">
        <v>87</v>
      </c>
      <c r="G3807">
        <v>76</v>
      </c>
      <c r="H3807" t="s">
        <v>8952</v>
      </c>
      <c r="I3807" s="131">
        <v>19</v>
      </c>
      <c r="J3807" t="s">
        <v>5431</v>
      </c>
      <c r="K3807" t="s">
        <v>108</v>
      </c>
      <c r="L3807" t="s">
        <v>252</v>
      </c>
      <c r="M3807" t="s">
        <v>103</v>
      </c>
      <c r="N3807" t="s">
        <v>98</v>
      </c>
      <c r="O3807" t="s">
        <v>1256</v>
      </c>
    </row>
    <row r="3808" spans="1:15" x14ac:dyDescent="0.3">
      <c r="A3808" s="130">
        <v>21628</v>
      </c>
      <c r="B3808" s="130">
        <v>60</v>
      </c>
      <c r="C3808" s="130" t="s">
        <v>5432</v>
      </c>
      <c r="D3808">
        <v>32769</v>
      </c>
      <c r="E3808" s="130">
        <v>3176142</v>
      </c>
      <c r="F3808" t="s">
        <v>87</v>
      </c>
      <c r="G3808">
        <v>76</v>
      </c>
      <c r="H3808" t="s">
        <v>8953</v>
      </c>
      <c r="I3808" s="130">
        <v>3</v>
      </c>
      <c r="J3808" t="s">
        <v>5432</v>
      </c>
      <c r="K3808" t="s">
        <v>95</v>
      </c>
      <c r="L3808" t="s">
        <v>111</v>
      </c>
      <c r="M3808" t="s">
        <v>97</v>
      </c>
      <c r="N3808" t="s">
        <v>98</v>
      </c>
      <c r="O3808" t="s">
        <v>1345</v>
      </c>
    </row>
    <row r="3809" spans="1:15" x14ac:dyDescent="0.3">
      <c r="A3809" s="130">
        <v>21644</v>
      </c>
      <c r="B3809" s="130">
        <v>30</v>
      </c>
      <c r="C3809" s="130" t="s">
        <v>5433</v>
      </c>
      <c r="D3809">
        <v>32793</v>
      </c>
      <c r="E3809" s="130">
        <v>34209835</v>
      </c>
      <c r="F3809" t="s">
        <v>87</v>
      </c>
      <c r="G3809">
        <v>76</v>
      </c>
      <c r="H3809" t="s">
        <v>8951</v>
      </c>
      <c r="I3809" s="131">
        <v>3</v>
      </c>
      <c r="J3809" t="s">
        <v>5433</v>
      </c>
      <c r="K3809" t="s">
        <v>95</v>
      </c>
      <c r="L3809" t="s">
        <v>109</v>
      </c>
      <c r="M3809" t="s">
        <v>103</v>
      </c>
      <c r="N3809" t="s">
        <v>98</v>
      </c>
      <c r="O3809" t="s">
        <v>1345</v>
      </c>
    </row>
    <row r="3810" spans="1:15" x14ac:dyDescent="0.3">
      <c r="A3810" s="130">
        <v>21649</v>
      </c>
      <c r="B3810" s="130">
        <v>30</v>
      </c>
      <c r="C3810" s="130" t="s">
        <v>5434</v>
      </c>
      <c r="D3810">
        <v>32801</v>
      </c>
      <c r="E3810" s="130">
        <v>6880609</v>
      </c>
      <c r="F3810" t="s">
        <v>87</v>
      </c>
      <c r="G3810">
        <v>32947</v>
      </c>
      <c r="H3810" t="s">
        <v>8952</v>
      </c>
      <c r="I3810" s="130">
        <v>9</v>
      </c>
      <c r="J3810" t="s">
        <v>5434</v>
      </c>
      <c r="K3810" t="s">
        <v>95</v>
      </c>
      <c r="L3810" t="s">
        <v>163</v>
      </c>
      <c r="M3810" t="s">
        <v>103</v>
      </c>
      <c r="N3810" t="s">
        <v>98</v>
      </c>
      <c r="O3810" t="s">
        <v>116</v>
      </c>
    </row>
    <row r="3811" spans="1:15" x14ac:dyDescent="0.3">
      <c r="A3811" s="130">
        <v>21659</v>
      </c>
      <c r="B3811" s="130">
        <v>30</v>
      </c>
      <c r="C3811" s="130" t="s">
        <v>5435</v>
      </c>
      <c r="D3811">
        <v>32802</v>
      </c>
      <c r="E3811" s="130">
        <v>21694239</v>
      </c>
      <c r="F3811" t="s">
        <v>87</v>
      </c>
      <c r="G3811">
        <v>76</v>
      </c>
      <c r="H3811" t="s">
        <v>8953</v>
      </c>
      <c r="I3811" s="131">
        <v>3</v>
      </c>
      <c r="J3811" t="s">
        <v>5435</v>
      </c>
      <c r="K3811" t="s">
        <v>95</v>
      </c>
      <c r="L3811" t="s">
        <v>111</v>
      </c>
      <c r="M3811" t="s">
        <v>103</v>
      </c>
      <c r="N3811" t="s">
        <v>141</v>
      </c>
      <c r="O3811" t="s">
        <v>116</v>
      </c>
    </row>
    <row r="3812" spans="1:15" x14ac:dyDescent="0.3">
      <c r="A3812" s="130">
        <v>21662</v>
      </c>
      <c r="B3812" s="130">
        <v>20</v>
      </c>
      <c r="C3812" s="130" t="s">
        <v>5436</v>
      </c>
      <c r="D3812">
        <v>32821</v>
      </c>
      <c r="E3812" s="131">
        <v>2693750</v>
      </c>
      <c r="F3812" t="s">
        <v>87</v>
      </c>
      <c r="G3812">
        <v>76</v>
      </c>
      <c r="H3812" t="s">
        <v>8951</v>
      </c>
      <c r="I3812" s="130">
        <v>19</v>
      </c>
      <c r="J3812" t="s">
        <v>5436</v>
      </c>
      <c r="K3812" t="s">
        <v>108</v>
      </c>
      <c r="L3812" t="s">
        <v>252</v>
      </c>
      <c r="M3812" t="s">
        <v>148</v>
      </c>
      <c r="N3812" t="s">
        <v>98</v>
      </c>
      <c r="O3812" t="s">
        <v>1256</v>
      </c>
    </row>
    <row r="3813" spans="1:15" x14ac:dyDescent="0.3">
      <c r="A3813" s="130">
        <v>21673</v>
      </c>
      <c r="B3813" s="130">
        <v>30</v>
      </c>
      <c r="C3813" s="130" t="s">
        <v>5437</v>
      </c>
      <c r="D3813">
        <v>32841</v>
      </c>
      <c r="E3813" s="131">
        <v>34562112</v>
      </c>
      <c r="F3813" t="s">
        <v>87</v>
      </c>
      <c r="G3813">
        <v>76</v>
      </c>
      <c r="H3813" t="s">
        <v>8952</v>
      </c>
      <c r="I3813" s="130">
        <v>24</v>
      </c>
      <c r="J3813" t="s">
        <v>5437</v>
      </c>
      <c r="K3813" t="s">
        <v>95</v>
      </c>
      <c r="L3813" t="s">
        <v>191</v>
      </c>
      <c r="M3813" t="s">
        <v>103</v>
      </c>
      <c r="N3813" t="s">
        <v>107</v>
      </c>
      <c r="O3813" t="s">
        <v>116</v>
      </c>
    </row>
    <row r="3814" spans="1:15" x14ac:dyDescent="0.3">
      <c r="A3814" s="130">
        <v>21687</v>
      </c>
      <c r="C3814" s="130" t="s">
        <v>5438</v>
      </c>
      <c r="D3814">
        <v>32856</v>
      </c>
      <c r="E3814" s="130">
        <v>27753614</v>
      </c>
      <c r="F3814" t="s">
        <v>113</v>
      </c>
      <c r="G3814">
        <v>76</v>
      </c>
      <c r="H3814" t="s">
        <v>8953</v>
      </c>
      <c r="I3814" s="130">
        <v>37</v>
      </c>
      <c r="J3814" t="s">
        <v>5438</v>
      </c>
      <c r="K3814" t="s">
        <v>108</v>
      </c>
      <c r="L3814" t="s">
        <v>138</v>
      </c>
      <c r="N3814" t="s">
        <v>150</v>
      </c>
      <c r="O3814" t="s">
        <v>1256</v>
      </c>
    </row>
    <row r="3815" spans="1:15" x14ac:dyDescent="0.3">
      <c r="A3815" s="130">
        <v>21689</v>
      </c>
      <c r="B3815" s="130">
        <v>0</v>
      </c>
      <c r="C3815" s="130" t="s">
        <v>5439</v>
      </c>
      <c r="D3815">
        <v>32859</v>
      </c>
      <c r="E3815" s="131">
        <v>37960189</v>
      </c>
      <c r="F3815" t="s">
        <v>87</v>
      </c>
      <c r="G3815">
        <v>76</v>
      </c>
      <c r="H3815" t="s">
        <v>8951</v>
      </c>
      <c r="I3815" s="131">
        <v>24</v>
      </c>
      <c r="J3815" t="s">
        <v>5439</v>
      </c>
      <c r="K3815" t="s">
        <v>108</v>
      </c>
      <c r="L3815" t="s">
        <v>240</v>
      </c>
      <c r="M3815" t="s">
        <v>100</v>
      </c>
      <c r="N3815" t="s">
        <v>98</v>
      </c>
      <c r="O3815" t="s">
        <v>116</v>
      </c>
    </row>
    <row r="3816" spans="1:15" x14ac:dyDescent="0.3">
      <c r="A3816" s="130">
        <v>21690</v>
      </c>
      <c r="B3816" s="130">
        <v>30</v>
      </c>
      <c r="C3816" s="130" t="s">
        <v>5440</v>
      </c>
      <c r="D3816">
        <v>32736</v>
      </c>
      <c r="E3816" s="131">
        <v>28176998</v>
      </c>
      <c r="F3816" t="s">
        <v>87</v>
      </c>
      <c r="G3816">
        <v>76</v>
      </c>
      <c r="H3816" t="s">
        <v>8952</v>
      </c>
      <c r="I3816" s="131">
        <v>18</v>
      </c>
      <c r="J3816" t="s">
        <v>5440</v>
      </c>
      <c r="K3816" t="s">
        <v>108</v>
      </c>
      <c r="L3816" t="s">
        <v>120</v>
      </c>
      <c r="M3816" t="s">
        <v>103</v>
      </c>
      <c r="N3816" t="s">
        <v>131</v>
      </c>
      <c r="O3816" t="s">
        <v>1256</v>
      </c>
    </row>
    <row r="3817" spans="1:15" x14ac:dyDescent="0.3">
      <c r="A3817" s="130">
        <v>21693</v>
      </c>
      <c r="B3817" s="130">
        <v>30</v>
      </c>
      <c r="C3817" s="130" t="s">
        <v>5441</v>
      </c>
      <c r="D3817">
        <v>32864</v>
      </c>
      <c r="E3817" s="130">
        <v>33000167</v>
      </c>
      <c r="F3817" t="s">
        <v>87</v>
      </c>
      <c r="G3817">
        <v>76</v>
      </c>
      <c r="H3817" t="s">
        <v>8953</v>
      </c>
      <c r="I3817" s="131">
        <v>24</v>
      </c>
      <c r="J3817" t="s">
        <v>5441</v>
      </c>
      <c r="K3817" t="s">
        <v>95</v>
      </c>
      <c r="L3817" t="s">
        <v>102</v>
      </c>
      <c r="M3817" t="s">
        <v>103</v>
      </c>
      <c r="N3817" t="s">
        <v>114</v>
      </c>
      <c r="O3817" t="s">
        <v>116</v>
      </c>
    </row>
    <row r="3818" spans="1:15" x14ac:dyDescent="0.3">
      <c r="A3818" s="130">
        <v>21704</v>
      </c>
      <c r="B3818" s="130">
        <v>30</v>
      </c>
      <c r="C3818" s="130" t="s">
        <v>5442</v>
      </c>
      <c r="D3818">
        <v>32880</v>
      </c>
      <c r="E3818" s="131">
        <v>7522191</v>
      </c>
      <c r="F3818" t="s">
        <v>87</v>
      </c>
      <c r="G3818">
        <v>76</v>
      </c>
      <c r="H3818" t="s">
        <v>8951</v>
      </c>
      <c r="I3818" s="131">
        <v>3</v>
      </c>
      <c r="J3818" t="s">
        <v>5442</v>
      </c>
      <c r="K3818" t="s">
        <v>95</v>
      </c>
      <c r="L3818" t="s">
        <v>111</v>
      </c>
      <c r="M3818" t="s">
        <v>103</v>
      </c>
      <c r="N3818" t="s">
        <v>98</v>
      </c>
      <c r="O3818" t="s">
        <v>116</v>
      </c>
    </row>
    <row r="3819" spans="1:15" x14ac:dyDescent="0.3">
      <c r="A3819" s="130">
        <v>21731</v>
      </c>
      <c r="B3819" s="130">
        <v>28</v>
      </c>
      <c r="C3819" s="130" t="s">
        <v>5443</v>
      </c>
      <c r="D3819">
        <v>32927</v>
      </c>
      <c r="E3819" s="131">
        <v>8355201</v>
      </c>
      <c r="F3819" t="s">
        <v>87</v>
      </c>
      <c r="G3819">
        <v>76</v>
      </c>
      <c r="H3819" t="s">
        <v>8952</v>
      </c>
      <c r="I3819" s="130">
        <v>37</v>
      </c>
      <c r="J3819" t="s">
        <v>5443</v>
      </c>
      <c r="K3819" t="s">
        <v>108</v>
      </c>
      <c r="L3819" t="s">
        <v>138</v>
      </c>
      <c r="M3819" t="s">
        <v>130</v>
      </c>
      <c r="N3819" t="s">
        <v>114</v>
      </c>
      <c r="O3819" t="s">
        <v>116</v>
      </c>
    </row>
    <row r="3820" spans="1:15" x14ac:dyDescent="0.3">
      <c r="A3820" s="130">
        <v>21735</v>
      </c>
      <c r="B3820" s="130">
        <v>30</v>
      </c>
      <c r="C3820" s="130" t="s">
        <v>5444</v>
      </c>
      <c r="D3820">
        <v>25819</v>
      </c>
      <c r="E3820" s="130">
        <v>16628281</v>
      </c>
      <c r="F3820" t="s">
        <v>87</v>
      </c>
      <c r="G3820">
        <v>77</v>
      </c>
      <c r="H3820" t="s">
        <v>8953</v>
      </c>
      <c r="I3820" s="130">
        <v>3</v>
      </c>
      <c r="J3820" t="s">
        <v>5444</v>
      </c>
      <c r="K3820" t="s">
        <v>95</v>
      </c>
      <c r="L3820" t="s">
        <v>256</v>
      </c>
      <c r="M3820" t="s">
        <v>103</v>
      </c>
      <c r="N3820" t="s">
        <v>118</v>
      </c>
      <c r="O3820" t="s">
        <v>116</v>
      </c>
    </row>
    <row r="3821" spans="1:15" x14ac:dyDescent="0.3">
      <c r="A3821" s="130">
        <v>21738</v>
      </c>
      <c r="B3821" s="130">
        <v>18</v>
      </c>
      <c r="C3821" s="130" t="s">
        <v>5445</v>
      </c>
      <c r="D3821">
        <v>32937</v>
      </c>
      <c r="E3821" s="130">
        <v>5148615</v>
      </c>
      <c r="F3821" t="s">
        <v>87</v>
      </c>
      <c r="G3821">
        <v>76</v>
      </c>
      <c r="H3821" t="s">
        <v>8951</v>
      </c>
      <c r="I3821" s="130">
        <v>26</v>
      </c>
      <c r="J3821" t="s">
        <v>5445</v>
      </c>
      <c r="K3821" t="s">
        <v>108</v>
      </c>
      <c r="L3821" t="s">
        <v>151</v>
      </c>
      <c r="M3821" t="s">
        <v>112</v>
      </c>
      <c r="N3821" t="s">
        <v>98</v>
      </c>
      <c r="O3821" t="s">
        <v>116</v>
      </c>
    </row>
    <row r="3822" spans="1:15" x14ac:dyDescent="0.3">
      <c r="A3822" s="130">
        <v>21742</v>
      </c>
      <c r="B3822" s="130">
        <v>15</v>
      </c>
      <c r="C3822" s="130" t="s">
        <v>5446</v>
      </c>
      <c r="D3822">
        <v>32940</v>
      </c>
      <c r="E3822" s="130">
        <v>58853169</v>
      </c>
      <c r="F3822" t="s">
        <v>87</v>
      </c>
      <c r="G3822">
        <v>76</v>
      </c>
      <c r="H3822" t="s">
        <v>8952</v>
      </c>
      <c r="I3822" s="131">
        <v>24</v>
      </c>
      <c r="J3822" t="s">
        <v>5446</v>
      </c>
      <c r="K3822" t="s">
        <v>108</v>
      </c>
      <c r="L3822" t="s">
        <v>240</v>
      </c>
      <c r="M3822" t="s">
        <v>145</v>
      </c>
      <c r="N3822" t="s">
        <v>98</v>
      </c>
      <c r="O3822" t="s">
        <v>1345</v>
      </c>
    </row>
    <row r="3823" spans="1:15" x14ac:dyDescent="0.3">
      <c r="A3823" s="130">
        <v>21749</v>
      </c>
      <c r="B3823" s="130">
        <v>28</v>
      </c>
      <c r="C3823" s="130" t="s">
        <v>5447</v>
      </c>
      <c r="D3823">
        <v>32948</v>
      </c>
      <c r="E3823" s="131">
        <v>10505311</v>
      </c>
      <c r="F3823" t="s">
        <v>87</v>
      </c>
      <c r="G3823">
        <v>76</v>
      </c>
      <c r="H3823" t="s">
        <v>8953</v>
      </c>
      <c r="I3823" s="131">
        <v>43</v>
      </c>
      <c r="J3823" t="s">
        <v>5447</v>
      </c>
      <c r="K3823" t="s">
        <v>108</v>
      </c>
      <c r="L3823" t="s">
        <v>1241</v>
      </c>
      <c r="M3823" t="s">
        <v>130</v>
      </c>
      <c r="N3823" t="s">
        <v>98</v>
      </c>
      <c r="O3823" t="s">
        <v>1256</v>
      </c>
    </row>
    <row r="3824" spans="1:15" x14ac:dyDescent="0.3">
      <c r="A3824" s="130">
        <v>21761</v>
      </c>
      <c r="B3824" s="130">
        <v>90</v>
      </c>
      <c r="C3824" s="130" t="s">
        <v>5448</v>
      </c>
      <c r="D3824">
        <v>32966</v>
      </c>
      <c r="E3824" s="130">
        <v>35234509</v>
      </c>
      <c r="F3824" t="s">
        <v>87</v>
      </c>
      <c r="G3824">
        <v>76</v>
      </c>
      <c r="H3824" t="s">
        <v>8951</v>
      </c>
      <c r="I3824" s="130">
        <v>24</v>
      </c>
      <c r="J3824" t="s">
        <v>5448</v>
      </c>
      <c r="K3824" t="s">
        <v>95</v>
      </c>
      <c r="L3824" t="s">
        <v>102</v>
      </c>
      <c r="M3824" t="s">
        <v>170</v>
      </c>
      <c r="N3824" t="s">
        <v>98</v>
      </c>
      <c r="O3824" t="s">
        <v>116</v>
      </c>
    </row>
    <row r="3825" spans="1:15" x14ac:dyDescent="0.3">
      <c r="A3825" s="130">
        <v>21762</v>
      </c>
      <c r="B3825" s="130">
        <v>35</v>
      </c>
      <c r="C3825" s="130" t="s">
        <v>5449</v>
      </c>
      <c r="D3825">
        <v>32968</v>
      </c>
      <c r="E3825" s="131">
        <v>34692778</v>
      </c>
      <c r="F3825" t="s">
        <v>87</v>
      </c>
      <c r="G3825">
        <v>77</v>
      </c>
      <c r="H3825" t="s">
        <v>8952</v>
      </c>
      <c r="I3825" s="131">
        <v>18</v>
      </c>
      <c r="J3825" t="s">
        <v>5449</v>
      </c>
      <c r="K3825" t="s">
        <v>95</v>
      </c>
      <c r="L3825" t="s">
        <v>256</v>
      </c>
      <c r="M3825" t="s">
        <v>161</v>
      </c>
      <c r="N3825" t="s">
        <v>98</v>
      </c>
      <c r="O3825" t="s">
        <v>116</v>
      </c>
    </row>
    <row r="3826" spans="1:15" x14ac:dyDescent="0.3">
      <c r="A3826" s="130">
        <v>21765</v>
      </c>
      <c r="B3826" s="130">
        <v>90</v>
      </c>
      <c r="C3826" s="130" t="s">
        <v>5450</v>
      </c>
      <c r="D3826">
        <v>32972</v>
      </c>
      <c r="E3826" s="130">
        <v>35234509</v>
      </c>
      <c r="F3826" t="s">
        <v>87</v>
      </c>
      <c r="G3826">
        <v>76</v>
      </c>
      <c r="H3826" t="s">
        <v>8953</v>
      </c>
      <c r="I3826" s="130">
        <v>24</v>
      </c>
      <c r="J3826" t="s">
        <v>5450</v>
      </c>
      <c r="K3826" t="s">
        <v>95</v>
      </c>
      <c r="L3826" t="s">
        <v>102</v>
      </c>
      <c r="M3826" t="s">
        <v>170</v>
      </c>
      <c r="N3826" t="s">
        <v>98</v>
      </c>
      <c r="O3826" t="s">
        <v>116</v>
      </c>
    </row>
    <row r="3827" spans="1:15" x14ac:dyDescent="0.3">
      <c r="A3827" s="130">
        <v>21768</v>
      </c>
      <c r="B3827" s="130">
        <v>90</v>
      </c>
      <c r="C3827" s="130" t="s">
        <v>5451</v>
      </c>
      <c r="D3827">
        <v>32977</v>
      </c>
      <c r="E3827" s="130">
        <v>35234509</v>
      </c>
      <c r="F3827" t="s">
        <v>87</v>
      </c>
      <c r="G3827">
        <v>76</v>
      </c>
      <c r="H3827" t="s">
        <v>8951</v>
      </c>
      <c r="I3827" s="130">
        <v>24</v>
      </c>
      <c r="J3827" t="s">
        <v>5451</v>
      </c>
      <c r="K3827" t="s">
        <v>95</v>
      </c>
      <c r="L3827" t="s">
        <v>102</v>
      </c>
      <c r="M3827" t="s">
        <v>170</v>
      </c>
      <c r="N3827" t="s">
        <v>98</v>
      </c>
      <c r="O3827" t="s">
        <v>116</v>
      </c>
    </row>
    <row r="3828" spans="1:15" x14ac:dyDescent="0.3">
      <c r="A3828" s="130">
        <v>21776</v>
      </c>
      <c r="B3828" s="130">
        <v>30</v>
      </c>
      <c r="C3828" s="130" t="s">
        <v>5452</v>
      </c>
      <c r="D3828">
        <v>32986</v>
      </c>
      <c r="E3828" s="130">
        <v>61584223</v>
      </c>
      <c r="F3828" t="s">
        <v>87</v>
      </c>
      <c r="G3828">
        <v>76</v>
      </c>
      <c r="H3828" t="s">
        <v>8952</v>
      </c>
      <c r="I3828" s="130">
        <v>3</v>
      </c>
      <c r="J3828" t="s">
        <v>5452</v>
      </c>
      <c r="K3828" t="s">
        <v>95</v>
      </c>
      <c r="L3828" t="s">
        <v>111</v>
      </c>
      <c r="M3828" t="s">
        <v>103</v>
      </c>
      <c r="N3828" t="s">
        <v>98</v>
      </c>
      <c r="O3828" t="s">
        <v>116</v>
      </c>
    </row>
    <row r="3829" spans="1:15" x14ac:dyDescent="0.3">
      <c r="A3829" s="130">
        <v>21778</v>
      </c>
      <c r="B3829" s="130">
        <v>30</v>
      </c>
      <c r="C3829" s="130" t="s">
        <v>5453</v>
      </c>
      <c r="D3829">
        <v>32988</v>
      </c>
      <c r="E3829" s="130">
        <v>61584223</v>
      </c>
      <c r="F3829" t="s">
        <v>87</v>
      </c>
      <c r="G3829">
        <v>76</v>
      </c>
      <c r="H3829" t="s">
        <v>8953</v>
      </c>
      <c r="I3829" s="130">
        <v>3</v>
      </c>
      <c r="J3829" t="s">
        <v>5453</v>
      </c>
      <c r="K3829" t="s">
        <v>95</v>
      </c>
      <c r="L3829" t="s">
        <v>111</v>
      </c>
      <c r="M3829" t="s">
        <v>103</v>
      </c>
      <c r="N3829" t="s">
        <v>98</v>
      </c>
      <c r="O3829" t="s">
        <v>116</v>
      </c>
    </row>
    <row r="3830" spans="1:15" x14ac:dyDescent="0.3">
      <c r="A3830" s="130">
        <v>21781</v>
      </c>
      <c r="B3830" s="130">
        <v>0</v>
      </c>
      <c r="C3830" s="130" t="s">
        <v>5454</v>
      </c>
      <c r="D3830">
        <v>32991</v>
      </c>
      <c r="E3830" s="130">
        <v>36983421</v>
      </c>
      <c r="F3830" t="s">
        <v>87</v>
      </c>
      <c r="G3830">
        <v>76</v>
      </c>
      <c r="H3830" t="s">
        <v>8951</v>
      </c>
      <c r="I3830" s="130">
        <v>24</v>
      </c>
      <c r="J3830" t="s">
        <v>5454</v>
      </c>
      <c r="K3830" t="s">
        <v>108</v>
      </c>
      <c r="L3830" t="s">
        <v>240</v>
      </c>
      <c r="M3830" t="s">
        <v>100</v>
      </c>
      <c r="N3830" t="s">
        <v>101</v>
      </c>
      <c r="O3830" t="s">
        <v>1345</v>
      </c>
    </row>
    <row r="3831" spans="1:15" x14ac:dyDescent="0.3">
      <c r="A3831" s="130">
        <v>21782</v>
      </c>
      <c r="B3831" s="130">
        <v>18</v>
      </c>
      <c r="C3831" s="130" t="s">
        <v>5455</v>
      </c>
      <c r="D3831">
        <v>32993</v>
      </c>
      <c r="E3831" s="131">
        <v>41857780</v>
      </c>
      <c r="F3831" t="s">
        <v>87</v>
      </c>
      <c r="G3831">
        <v>76</v>
      </c>
      <c r="H3831" t="s">
        <v>8952</v>
      </c>
      <c r="I3831" s="131">
        <v>9</v>
      </c>
      <c r="J3831" t="s">
        <v>5455</v>
      </c>
      <c r="K3831" t="s">
        <v>108</v>
      </c>
      <c r="L3831" t="s">
        <v>163</v>
      </c>
      <c r="M3831" t="s">
        <v>112</v>
      </c>
      <c r="N3831" t="s">
        <v>107</v>
      </c>
      <c r="O3831" t="s">
        <v>116</v>
      </c>
    </row>
    <row r="3832" spans="1:15" x14ac:dyDescent="0.3">
      <c r="A3832" s="130">
        <v>21784</v>
      </c>
      <c r="B3832" s="130">
        <v>20</v>
      </c>
      <c r="C3832" s="130" t="s">
        <v>5456</v>
      </c>
      <c r="D3832">
        <v>32995</v>
      </c>
      <c r="E3832" s="130">
        <v>5345258</v>
      </c>
      <c r="F3832" t="s">
        <v>87</v>
      </c>
      <c r="G3832">
        <v>76</v>
      </c>
      <c r="H3832" t="s">
        <v>8953</v>
      </c>
      <c r="I3832" s="130">
        <v>19</v>
      </c>
      <c r="J3832" t="s">
        <v>5456</v>
      </c>
      <c r="K3832" t="s">
        <v>108</v>
      </c>
      <c r="L3832" t="s">
        <v>252</v>
      </c>
      <c r="M3832" t="s">
        <v>148</v>
      </c>
      <c r="N3832" t="s">
        <v>98</v>
      </c>
      <c r="O3832" t="s">
        <v>116</v>
      </c>
    </row>
    <row r="3833" spans="1:15" x14ac:dyDescent="0.3">
      <c r="A3833" s="130">
        <v>21788</v>
      </c>
      <c r="B3833" s="130">
        <v>18</v>
      </c>
      <c r="C3833" s="130" t="s">
        <v>5457</v>
      </c>
      <c r="D3833">
        <v>32999</v>
      </c>
      <c r="E3833" s="131">
        <v>40801303</v>
      </c>
      <c r="F3833" t="s">
        <v>87</v>
      </c>
      <c r="G3833">
        <v>76</v>
      </c>
      <c r="H3833" t="s">
        <v>8951</v>
      </c>
      <c r="I3833" s="130">
        <v>37</v>
      </c>
      <c r="J3833" t="s">
        <v>5457</v>
      </c>
      <c r="K3833" t="s">
        <v>108</v>
      </c>
      <c r="L3833" t="s">
        <v>138</v>
      </c>
      <c r="M3833" t="s">
        <v>112</v>
      </c>
      <c r="N3833" t="s">
        <v>150</v>
      </c>
      <c r="O3833" t="s">
        <v>1345</v>
      </c>
    </row>
    <row r="3834" spans="1:15" x14ac:dyDescent="0.3">
      <c r="A3834" s="130">
        <v>21789</v>
      </c>
      <c r="B3834" s="130">
        <v>21</v>
      </c>
      <c r="C3834" s="130" t="s">
        <v>5458</v>
      </c>
      <c r="D3834">
        <v>32997</v>
      </c>
      <c r="E3834" s="130">
        <v>94480480</v>
      </c>
      <c r="F3834" t="s">
        <v>87</v>
      </c>
      <c r="G3834">
        <v>76</v>
      </c>
      <c r="H3834" t="s">
        <v>8952</v>
      </c>
      <c r="I3834" s="130">
        <v>24</v>
      </c>
      <c r="J3834" t="s">
        <v>5458</v>
      </c>
      <c r="K3834" t="s">
        <v>95</v>
      </c>
      <c r="L3834" t="s">
        <v>191</v>
      </c>
      <c r="M3834" t="s">
        <v>137</v>
      </c>
      <c r="N3834" t="s">
        <v>98</v>
      </c>
      <c r="O3834" t="s">
        <v>116</v>
      </c>
    </row>
    <row r="3835" spans="1:15" x14ac:dyDescent="0.3">
      <c r="A3835" s="130">
        <v>21791</v>
      </c>
      <c r="C3835" s="130" t="s">
        <v>5459</v>
      </c>
      <c r="D3835">
        <v>33005</v>
      </c>
      <c r="E3835" s="130">
        <v>9276767</v>
      </c>
      <c r="F3835" t="s">
        <v>113</v>
      </c>
      <c r="G3835">
        <v>76</v>
      </c>
      <c r="H3835" t="s">
        <v>8953</v>
      </c>
      <c r="I3835" s="130">
        <v>19</v>
      </c>
      <c r="J3835" t="s">
        <v>5459</v>
      </c>
      <c r="K3835" t="s">
        <v>108</v>
      </c>
      <c r="L3835" t="s">
        <v>252</v>
      </c>
      <c r="N3835" t="s">
        <v>98</v>
      </c>
      <c r="O3835" t="s">
        <v>1256</v>
      </c>
    </row>
    <row r="3836" spans="1:15" x14ac:dyDescent="0.3">
      <c r="A3836" s="130">
        <v>21806</v>
      </c>
      <c r="B3836" s="130" t="s">
        <v>135</v>
      </c>
      <c r="C3836" s="130" t="s">
        <v>5460</v>
      </c>
      <c r="D3836">
        <v>33022</v>
      </c>
      <c r="E3836" s="130">
        <v>83646547</v>
      </c>
      <c r="F3836" t="s">
        <v>87</v>
      </c>
      <c r="G3836">
        <v>32947</v>
      </c>
      <c r="H3836" t="s">
        <v>8951</v>
      </c>
      <c r="I3836" s="130">
        <v>10</v>
      </c>
      <c r="J3836" t="s">
        <v>5460</v>
      </c>
      <c r="K3836" t="s">
        <v>95</v>
      </c>
      <c r="L3836" t="s">
        <v>105</v>
      </c>
      <c r="M3836" t="s">
        <v>136</v>
      </c>
      <c r="N3836" t="s">
        <v>98</v>
      </c>
      <c r="O3836" t="s">
        <v>116</v>
      </c>
    </row>
    <row r="3837" spans="1:15" x14ac:dyDescent="0.3">
      <c r="A3837" s="130">
        <v>21810</v>
      </c>
      <c r="B3837" s="130">
        <v>30</v>
      </c>
      <c r="C3837" s="130" t="s">
        <v>5461</v>
      </c>
      <c r="D3837">
        <v>33025</v>
      </c>
      <c r="E3837" s="130">
        <v>33412883</v>
      </c>
      <c r="F3837" t="s">
        <v>87</v>
      </c>
      <c r="G3837">
        <v>76</v>
      </c>
      <c r="H3837" t="s">
        <v>8952</v>
      </c>
      <c r="I3837" s="130">
        <v>18</v>
      </c>
      <c r="J3837" t="s">
        <v>5461</v>
      </c>
      <c r="K3837" t="s">
        <v>108</v>
      </c>
      <c r="L3837" t="s">
        <v>253</v>
      </c>
      <c r="M3837" t="s">
        <v>103</v>
      </c>
      <c r="N3837" t="s">
        <v>98</v>
      </c>
      <c r="O3837" t="s">
        <v>1256</v>
      </c>
    </row>
    <row r="3838" spans="1:15" x14ac:dyDescent="0.3">
      <c r="A3838" s="130">
        <v>21826</v>
      </c>
      <c r="B3838" s="130">
        <v>30</v>
      </c>
      <c r="C3838" s="130" t="s">
        <v>5462</v>
      </c>
      <c r="D3838">
        <v>33050</v>
      </c>
      <c r="E3838" s="130">
        <v>8726496</v>
      </c>
      <c r="F3838" t="s">
        <v>87</v>
      </c>
      <c r="G3838">
        <v>76</v>
      </c>
      <c r="H3838" t="s">
        <v>8953</v>
      </c>
      <c r="I3838" s="130">
        <v>18</v>
      </c>
      <c r="J3838" t="s">
        <v>5462</v>
      </c>
      <c r="K3838" t="s">
        <v>108</v>
      </c>
      <c r="L3838" t="s">
        <v>123</v>
      </c>
      <c r="M3838" t="s">
        <v>103</v>
      </c>
      <c r="N3838" t="s">
        <v>98</v>
      </c>
      <c r="O3838" t="s">
        <v>1345</v>
      </c>
    </row>
    <row r="3839" spans="1:15" x14ac:dyDescent="0.3">
      <c r="A3839" s="130">
        <v>21829</v>
      </c>
      <c r="B3839" s="184">
        <v>30</v>
      </c>
      <c r="C3839" s="130" t="s">
        <v>5463</v>
      </c>
      <c r="D3839">
        <v>33054</v>
      </c>
      <c r="E3839" s="130">
        <v>7522191</v>
      </c>
      <c r="F3839" t="s">
        <v>87</v>
      </c>
      <c r="G3839">
        <v>76</v>
      </c>
      <c r="H3839" t="s">
        <v>8951</v>
      </c>
      <c r="I3839" s="131">
        <v>10</v>
      </c>
      <c r="J3839" t="s">
        <v>5463</v>
      </c>
      <c r="K3839" t="s">
        <v>95</v>
      </c>
      <c r="L3839" t="s">
        <v>127</v>
      </c>
      <c r="M3839" t="s">
        <v>103</v>
      </c>
      <c r="N3839" t="s">
        <v>118</v>
      </c>
      <c r="O3839" t="s">
        <v>116</v>
      </c>
    </row>
    <row r="3840" spans="1:15" x14ac:dyDescent="0.3">
      <c r="A3840" s="130">
        <v>21830</v>
      </c>
      <c r="B3840" s="130">
        <v>90</v>
      </c>
      <c r="C3840" s="130" t="s">
        <v>5464</v>
      </c>
      <c r="D3840">
        <v>33055</v>
      </c>
      <c r="E3840" s="130">
        <v>35234509</v>
      </c>
      <c r="F3840" t="s">
        <v>87</v>
      </c>
      <c r="G3840">
        <v>76</v>
      </c>
      <c r="H3840" t="s">
        <v>8952</v>
      </c>
      <c r="I3840" s="131">
        <v>24</v>
      </c>
      <c r="J3840" t="s">
        <v>5464</v>
      </c>
      <c r="K3840" t="s">
        <v>95</v>
      </c>
      <c r="L3840" t="s">
        <v>102</v>
      </c>
      <c r="M3840" t="s">
        <v>170</v>
      </c>
      <c r="N3840" t="s">
        <v>98</v>
      </c>
      <c r="O3840" t="s">
        <v>116</v>
      </c>
    </row>
    <row r="3841" spans="1:15" x14ac:dyDescent="0.3">
      <c r="A3841" s="130">
        <v>21831</v>
      </c>
      <c r="B3841" s="130">
        <v>90</v>
      </c>
      <c r="C3841" s="130" t="s">
        <v>5465</v>
      </c>
      <c r="D3841">
        <v>33056</v>
      </c>
      <c r="E3841" s="130">
        <v>35234509</v>
      </c>
      <c r="F3841" t="s">
        <v>87</v>
      </c>
      <c r="G3841">
        <v>76</v>
      </c>
      <c r="H3841" t="s">
        <v>8953</v>
      </c>
      <c r="I3841" s="131">
        <v>24</v>
      </c>
      <c r="J3841" t="s">
        <v>5465</v>
      </c>
      <c r="K3841" t="s">
        <v>95</v>
      </c>
      <c r="L3841" t="s">
        <v>102</v>
      </c>
      <c r="M3841" t="s">
        <v>170</v>
      </c>
      <c r="N3841" t="s">
        <v>98</v>
      </c>
      <c r="O3841" t="s">
        <v>116</v>
      </c>
    </row>
    <row r="3842" spans="1:15" x14ac:dyDescent="0.3">
      <c r="A3842" s="130">
        <v>21832</v>
      </c>
      <c r="B3842" s="130">
        <v>90</v>
      </c>
      <c r="C3842" s="130" t="s">
        <v>5466</v>
      </c>
      <c r="D3842">
        <v>33057</v>
      </c>
      <c r="E3842" s="131">
        <v>35234509</v>
      </c>
      <c r="F3842" t="s">
        <v>87</v>
      </c>
      <c r="G3842">
        <v>76</v>
      </c>
      <c r="H3842" t="s">
        <v>8951</v>
      </c>
      <c r="I3842" s="130">
        <v>24</v>
      </c>
      <c r="J3842" t="s">
        <v>5466</v>
      </c>
      <c r="K3842" t="s">
        <v>95</v>
      </c>
      <c r="L3842" t="s">
        <v>102</v>
      </c>
      <c r="M3842" t="s">
        <v>170</v>
      </c>
      <c r="N3842" t="s">
        <v>98</v>
      </c>
      <c r="O3842" t="s">
        <v>116</v>
      </c>
    </row>
    <row r="3843" spans="1:15" x14ac:dyDescent="0.3">
      <c r="A3843" s="130">
        <v>21833</v>
      </c>
      <c r="B3843" s="131">
        <v>90</v>
      </c>
      <c r="C3843" s="130" t="s">
        <v>5467</v>
      </c>
      <c r="D3843">
        <v>33058</v>
      </c>
      <c r="E3843" s="131">
        <v>35234509</v>
      </c>
      <c r="F3843" t="s">
        <v>87</v>
      </c>
      <c r="G3843">
        <v>76</v>
      </c>
      <c r="H3843" t="s">
        <v>8952</v>
      </c>
      <c r="I3843" s="130">
        <v>24</v>
      </c>
      <c r="J3843" t="s">
        <v>5467</v>
      </c>
      <c r="K3843" t="s">
        <v>95</v>
      </c>
      <c r="L3843" t="s">
        <v>102</v>
      </c>
      <c r="M3843" t="s">
        <v>170</v>
      </c>
      <c r="N3843" t="s">
        <v>98</v>
      </c>
      <c r="O3843" t="s">
        <v>116</v>
      </c>
    </row>
    <row r="3844" spans="1:15" x14ac:dyDescent="0.3">
      <c r="A3844" s="130">
        <v>21846</v>
      </c>
      <c r="B3844" s="130">
        <v>90</v>
      </c>
      <c r="C3844" s="130" t="s">
        <v>5468</v>
      </c>
      <c r="D3844">
        <v>33076</v>
      </c>
      <c r="E3844" s="130">
        <v>655209</v>
      </c>
      <c r="F3844" t="s">
        <v>87</v>
      </c>
      <c r="G3844">
        <v>76</v>
      </c>
      <c r="H3844" t="s">
        <v>8953</v>
      </c>
      <c r="I3844" s="131">
        <v>9</v>
      </c>
      <c r="J3844" t="s">
        <v>5468</v>
      </c>
      <c r="K3844" t="s">
        <v>95</v>
      </c>
      <c r="L3844" t="s">
        <v>181</v>
      </c>
      <c r="M3844" t="s">
        <v>170</v>
      </c>
      <c r="N3844" t="s">
        <v>114</v>
      </c>
      <c r="O3844" t="s">
        <v>116</v>
      </c>
    </row>
    <row r="3845" spans="1:15" x14ac:dyDescent="0.3">
      <c r="A3845" s="130">
        <v>21848</v>
      </c>
      <c r="B3845" s="130">
        <v>30</v>
      </c>
      <c r="C3845" s="130" t="s">
        <v>5469</v>
      </c>
      <c r="D3845">
        <v>33078</v>
      </c>
      <c r="E3845" s="130">
        <v>48343981</v>
      </c>
      <c r="F3845" t="s">
        <v>87</v>
      </c>
      <c r="G3845">
        <v>76</v>
      </c>
      <c r="H3845" t="s">
        <v>8951</v>
      </c>
      <c r="I3845" s="131">
        <v>3</v>
      </c>
      <c r="J3845" t="s">
        <v>5469</v>
      </c>
      <c r="K3845" t="s">
        <v>95</v>
      </c>
      <c r="L3845" t="s">
        <v>111</v>
      </c>
      <c r="M3845" t="s">
        <v>103</v>
      </c>
      <c r="N3845" t="s">
        <v>98</v>
      </c>
      <c r="O3845" t="s">
        <v>116</v>
      </c>
    </row>
    <row r="3846" spans="1:15" x14ac:dyDescent="0.3">
      <c r="A3846" s="130">
        <v>21850</v>
      </c>
      <c r="B3846" s="130">
        <v>28</v>
      </c>
      <c r="C3846" s="130" t="s">
        <v>5470</v>
      </c>
      <c r="D3846">
        <v>33080</v>
      </c>
      <c r="E3846" s="130">
        <v>1294551</v>
      </c>
      <c r="F3846" t="s">
        <v>87</v>
      </c>
      <c r="G3846">
        <v>76</v>
      </c>
      <c r="H3846" t="s">
        <v>8952</v>
      </c>
      <c r="I3846" s="131">
        <v>43</v>
      </c>
      <c r="J3846" t="s">
        <v>5470</v>
      </c>
      <c r="K3846" t="s">
        <v>108</v>
      </c>
      <c r="L3846" t="s">
        <v>1241</v>
      </c>
      <c r="M3846" t="s">
        <v>130</v>
      </c>
      <c r="N3846" t="s">
        <v>114</v>
      </c>
      <c r="O3846" t="s">
        <v>1256</v>
      </c>
    </row>
    <row r="3847" spans="1:15" x14ac:dyDescent="0.3">
      <c r="A3847" s="130">
        <v>21853</v>
      </c>
      <c r="B3847" s="130">
        <v>90</v>
      </c>
      <c r="C3847" s="130" t="s">
        <v>5471</v>
      </c>
      <c r="D3847">
        <v>33083</v>
      </c>
      <c r="E3847" s="130">
        <v>655209</v>
      </c>
      <c r="F3847" t="s">
        <v>87</v>
      </c>
      <c r="G3847">
        <v>76</v>
      </c>
      <c r="H3847" t="s">
        <v>8953</v>
      </c>
      <c r="I3847" s="130">
        <v>9</v>
      </c>
      <c r="J3847" t="s">
        <v>5471</v>
      </c>
      <c r="K3847" t="s">
        <v>95</v>
      </c>
      <c r="L3847" t="s">
        <v>181</v>
      </c>
      <c r="M3847" t="s">
        <v>170</v>
      </c>
      <c r="N3847" t="s">
        <v>114</v>
      </c>
      <c r="O3847" t="s">
        <v>116</v>
      </c>
    </row>
    <row r="3848" spans="1:15" x14ac:dyDescent="0.3">
      <c r="A3848" s="130">
        <v>21854</v>
      </c>
      <c r="B3848" s="130">
        <v>30</v>
      </c>
      <c r="C3848" s="130" t="s">
        <v>5472</v>
      </c>
      <c r="D3848">
        <v>33081</v>
      </c>
      <c r="E3848" s="130">
        <v>88309620</v>
      </c>
      <c r="F3848" t="s">
        <v>87</v>
      </c>
      <c r="G3848">
        <v>76</v>
      </c>
      <c r="H3848" t="s">
        <v>8951</v>
      </c>
      <c r="I3848" s="130">
        <v>24</v>
      </c>
      <c r="J3848" t="s">
        <v>5472</v>
      </c>
      <c r="K3848" t="s">
        <v>108</v>
      </c>
      <c r="L3848" t="s">
        <v>191</v>
      </c>
      <c r="M3848" t="s">
        <v>103</v>
      </c>
      <c r="N3848" t="s">
        <v>114</v>
      </c>
      <c r="O3848" t="s">
        <v>116</v>
      </c>
    </row>
    <row r="3849" spans="1:15" x14ac:dyDescent="0.3">
      <c r="A3849" s="130">
        <v>21855</v>
      </c>
      <c r="B3849" s="130">
        <v>30</v>
      </c>
      <c r="C3849" s="130" t="s">
        <v>5473</v>
      </c>
      <c r="D3849">
        <v>33087</v>
      </c>
      <c r="E3849" s="130">
        <v>51466860</v>
      </c>
      <c r="F3849" t="s">
        <v>87</v>
      </c>
      <c r="G3849">
        <v>76</v>
      </c>
      <c r="H3849" t="s">
        <v>8952</v>
      </c>
      <c r="I3849" s="130">
        <v>37</v>
      </c>
      <c r="J3849" t="s">
        <v>5473</v>
      </c>
      <c r="K3849" t="s">
        <v>108</v>
      </c>
      <c r="L3849" t="s">
        <v>144</v>
      </c>
      <c r="M3849" t="s">
        <v>103</v>
      </c>
      <c r="N3849" t="s">
        <v>141</v>
      </c>
      <c r="O3849" t="s">
        <v>1256</v>
      </c>
    </row>
    <row r="3850" spans="1:15" x14ac:dyDescent="0.3">
      <c r="A3850" s="130">
        <v>21859</v>
      </c>
      <c r="B3850" s="130">
        <v>30</v>
      </c>
      <c r="C3850" s="130" t="s">
        <v>5474</v>
      </c>
      <c r="D3850">
        <v>33099</v>
      </c>
      <c r="E3850" s="130">
        <v>45456117</v>
      </c>
      <c r="F3850" t="s">
        <v>87</v>
      </c>
      <c r="G3850">
        <v>76</v>
      </c>
      <c r="H3850" t="s">
        <v>8953</v>
      </c>
      <c r="I3850" s="130">
        <v>19</v>
      </c>
      <c r="J3850" t="s">
        <v>5474</v>
      </c>
      <c r="K3850" t="s">
        <v>95</v>
      </c>
      <c r="L3850" t="s">
        <v>146</v>
      </c>
      <c r="M3850" t="s">
        <v>103</v>
      </c>
      <c r="N3850" t="s">
        <v>124</v>
      </c>
      <c r="O3850" t="s">
        <v>116</v>
      </c>
    </row>
    <row r="3851" spans="1:15" x14ac:dyDescent="0.3">
      <c r="A3851" s="130">
        <v>21860</v>
      </c>
      <c r="B3851" s="131">
        <v>10</v>
      </c>
      <c r="C3851" s="130" t="s">
        <v>5475</v>
      </c>
      <c r="D3851">
        <v>33100</v>
      </c>
      <c r="E3851" s="131">
        <v>10630328</v>
      </c>
      <c r="F3851" t="s">
        <v>87</v>
      </c>
      <c r="G3851">
        <v>358</v>
      </c>
      <c r="H3851" t="s">
        <v>8951</v>
      </c>
      <c r="I3851" s="131">
        <v>3</v>
      </c>
      <c r="J3851" t="s">
        <v>5475</v>
      </c>
      <c r="K3851" t="s">
        <v>95</v>
      </c>
      <c r="L3851" t="s">
        <v>109</v>
      </c>
      <c r="M3851" t="s">
        <v>133</v>
      </c>
      <c r="N3851" t="s">
        <v>98</v>
      </c>
      <c r="O3851" t="s">
        <v>1345</v>
      </c>
    </row>
    <row r="3852" spans="1:15" x14ac:dyDescent="0.3">
      <c r="A3852" s="130">
        <v>21864</v>
      </c>
      <c r="B3852" s="130">
        <v>28</v>
      </c>
      <c r="C3852" s="130" t="s">
        <v>5476</v>
      </c>
      <c r="D3852">
        <v>33106</v>
      </c>
      <c r="E3852" s="131">
        <v>13213664</v>
      </c>
      <c r="F3852" t="s">
        <v>113</v>
      </c>
      <c r="G3852">
        <v>76</v>
      </c>
      <c r="H3852" t="s">
        <v>8952</v>
      </c>
      <c r="I3852" s="131">
        <v>43</v>
      </c>
      <c r="J3852" t="s">
        <v>5476</v>
      </c>
      <c r="K3852" t="s">
        <v>108</v>
      </c>
      <c r="L3852" t="s">
        <v>1241</v>
      </c>
      <c r="M3852" t="s">
        <v>130</v>
      </c>
      <c r="N3852" t="s">
        <v>101</v>
      </c>
      <c r="O3852" t="s">
        <v>1256</v>
      </c>
    </row>
    <row r="3853" spans="1:15" x14ac:dyDescent="0.3">
      <c r="A3853" s="130">
        <v>21867</v>
      </c>
      <c r="B3853" s="130">
        <v>60</v>
      </c>
      <c r="C3853" s="130" t="s">
        <v>5477</v>
      </c>
      <c r="D3853">
        <v>33113</v>
      </c>
      <c r="E3853" s="130">
        <v>33592510</v>
      </c>
      <c r="F3853" t="s">
        <v>87</v>
      </c>
      <c r="G3853">
        <v>77</v>
      </c>
      <c r="H3853" t="s">
        <v>8953</v>
      </c>
      <c r="I3853" s="130">
        <v>41</v>
      </c>
      <c r="J3853" t="s">
        <v>5477</v>
      </c>
      <c r="K3853" t="s">
        <v>95</v>
      </c>
      <c r="L3853" t="s">
        <v>235</v>
      </c>
      <c r="M3853" t="s">
        <v>97</v>
      </c>
      <c r="N3853" t="s">
        <v>118</v>
      </c>
      <c r="O3853" t="s">
        <v>1256</v>
      </c>
    </row>
    <row r="3854" spans="1:15" x14ac:dyDescent="0.3">
      <c r="A3854" s="130">
        <v>21872</v>
      </c>
      <c r="B3854" s="130">
        <v>30</v>
      </c>
      <c r="C3854" s="130" t="s">
        <v>5478</v>
      </c>
      <c r="D3854">
        <v>33121</v>
      </c>
      <c r="E3854" s="130">
        <v>11105698</v>
      </c>
      <c r="F3854" t="s">
        <v>87</v>
      </c>
      <c r="G3854">
        <v>76</v>
      </c>
      <c r="H3854" t="s">
        <v>8951</v>
      </c>
      <c r="I3854" s="131">
        <v>38</v>
      </c>
      <c r="J3854" t="s">
        <v>5478</v>
      </c>
      <c r="K3854" t="s">
        <v>108</v>
      </c>
      <c r="L3854" t="s">
        <v>126</v>
      </c>
      <c r="M3854" t="s">
        <v>103</v>
      </c>
      <c r="N3854" t="s">
        <v>98</v>
      </c>
      <c r="O3854" t="s">
        <v>1345</v>
      </c>
    </row>
    <row r="3855" spans="1:15" x14ac:dyDescent="0.3">
      <c r="A3855" s="130">
        <v>21885</v>
      </c>
      <c r="B3855" s="130">
        <v>30</v>
      </c>
      <c r="C3855" s="130" t="s">
        <v>5479</v>
      </c>
      <c r="D3855">
        <v>33138</v>
      </c>
      <c r="E3855" s="130">
        <v>16628281</v>
      </c>
      <c r="F3855" t="s">
        <v>87</v>
      </c>
      <c r="G3855">
        <v>77</v>
      </c>
      <c r="H3855" t="s">
        <v>8952</v>
      </c>
      <c r="I3855" s="130">
        <v>26</v>
      </c>
      <c r="J3855" t="s">
        <v>5479</v>
      </c>
      <c r="K3855" t="s">
        <v>95</v>
      </c>
      <c r="L3855" t="s">
        <v>256</v>
      </c>
      <c r="M3855" t="s">
        <v>103</v>
      </c>
      <c r="N3855" t="s">
        <v>118</v>
      </c>
      <c r="O3855" t="s">
        <v>116</v>
      </c>
    </row>
    <row r="3856" spans="1:15" x14ac:dyDescent="0.3">
      <c r="A3856" s="130">
        <v>21897</v>
      </c>
      <c r="B3856" s="130">
        <v>90</v>
      </c>
      <c r="C3856" s="130" t="s">
        <v>5480</v>
      </c>
      <c r="D3856">
        <v>33164</v>
      </c>
      <c r="E3856" s="130">
        <v>35234509</v>
      </c>
      <c r="F3856" t="s">
        <v>87</v>
      </c>
      <c r="G3856">
        <v>76</v>
      </c>
      <c r="H3856" t="s">
        <v>8953</v>
      </c>
      <c r="I3856" s="131">
        <v>24</v>
      </c>
      <c r="J3856" t="s">
        <v>5480</v>
      </c>
      <c r="K3856" t="s">
        <v>95</v>
      </c>
      <c r="L3856" t="s">
        <v>102</v>
      </c>
      <c r="M3856" t="s">
        <v>170</v>
      </c>
      <c r="N3856" t="s">
        <v>98</v>
      </c>
      <c r="O3856" t="s">
        <v>116</v>
      </c>
    </row>
    <row r="3857" spans="1:15" x14ac:dyDescent="0.3">
      <c r="A3857" s="130">
        <v>21898</v>
      </c>
      <c r="B3857" s="130">
        <v>18</v>
      </c>
      <c r="C3857" s="130" t="s">
        <v>5481</v>
      </c>
      <c r="D3857">
        <v>33166</v>
      </c>
      <c r="E3857" s="130">
        <v>38612738</v>
      </c>
      <c r="F3857" t="s">
        <v>87</v>
      </c>
      <c r="G3857">
        <v>76</v>
      </c>
      <c r="H3857" t="s">
        <v>8951</v>
      </c>
      <c r="I3857" s="130">
        <v>10</v>
      </c>
      <c r="J3857" t="s">
        <v>5481</v>
      </c>
      <c r="K3857" t="s">
        <v>108</v>
      </c>
      <c r="L3857" t="s">
        <v>127</v>
      </c>
      <c r="M3857" t="s">
        <v>112</v>
      </c>
      <c r="N3857" t="s">
        <v>118</v>
      </c>
      <c r="O3857" t="s">
        <v>116</v>
      </c>
    </row>
    <row r="3858" spans="1:15" x14ac:dyDescent="0.3">
      <c r="A3858" s="130">
        <v>21901</v>
      </c>
      <c r="B3858" s="130">
        <v>28</v>
      </c>
      <c r="C3858" s="130" t="s">
        <v>5482</v>
      </c>
      <c r="D3858">
        <v>33168</v>
      </c>
      <c r="E3858" s="130">
        <v>44912043</v>
      </c>
      <c r="F3858" t="s">
        <v>87</v>
      </c>
      <c r="G3858">
        <v>76</v>
      </c>
      <c r="H3858" t="s">
        <v>8952</v>
      </c>
      <c r="I3858" s="131">
        <v>37</v>
      </c>
      <c r="J3858" t="s">
        <v>5482</v>
      </c>
      <c r="K3858" t="s">
        <v>95</v>
      </c>
      <c r="L3858" t="s">
        <v>138</v>
      </c>
      <c r="M3858" t="s">
        <v>130</v>
      </c>
      <c r="N3858" t="s">
        <v>150</v>
      </c>
      <c r="O3858" t="s">
        <v>116</v>
      </c>
    </row>
    <row r="3859" spans="1:15" x14ac:dyDescent="0.3">
      <c r="A3859" s="130">
        <v>21909</v>
      </c>
      <c r="B3859" s="130">
        <v>30</v>
      </c>
      <c r="C3859" s="130" t="s">
        <v>5483</v>
      </c>
      <c r="D3859">
        <v>33109</v>
      </c>
      <c r="E3859" s="130">
        <v>45736131</v>
      </c>
      <c r="F3859" t="s">
        <v>87</v>
      </c>
      <c r="G3859">
        <v>76</v>
      </c>
      <c r="H3859" t="s">
        <v>8953</v>
      </c>
      <c r="I3859" s="131">
        <v>18</v>
      </c>
      <c r="J3859" t="s">
        <v>5483</v>
      </c>
      <c r="K3859" t="s">
        <v>95</v>
      </c>
      <c r="L3859" t="s">
        <v>123</v>
      </c>
      <c r="M3859" t="s">
        <v>103</v>
      </c>
      <c r="N3859" t="s">
        <v>98</v>
      </c>
      <c r="O3859" t="s">
        <v>116</v>
      </c>
    </row>
    <row r="3860" spans="1:15" x14ac:dyDescent="0.3">
      <c r="A3860" s="130">
        <v>21914</v>
      </c>
      <c r="B3860" s="130">
        <v>30</v>
      </c>
      <c r="C3860" s="130" t="s">
        <v>5484</v>
      </c>
      <c r="D3860">
        <v>33190</v>
      </c>
      <c r="E3860" s="130">
        <v>92779503</v>
      </c>
      <c r="F3860" t="s">
        <v>87</v>
      </c>
      <c r="G3860">
        <v>76</v>
      </c>
      <c r="H3860" t="s">
        <v>8951</v>
      </c>
      <c r="I3860" s="131">
        <v>37</v>
      </c>
      <c r="J3860" t="s">
        <v>5484</v>
      </c>
      <c r="K3860" t="s">
        <v>108</v>
      </c>
      <c r="L3860" t="s">
        <v>144</v>
      </c>
      <c r="M3860" t="s">
        <v>103</v>
      </c>
      <c r="N3860" t="s">
        <v>98</v>
      </c>
      <c r="O3860" t="s">
        <v>1345</v>
      </c>
    </row>
    <row r="3861" spans="1:15" x14ac:dyDescent="0.3">
      <c r="A3861" s="130">
        <v>21916</v>
      </c>
      <c r="B3861" s="130">
        <v>30</v>
      </c>
      <c r="C3861" s="130" t="s">
        <v>5485</v>
      </c>
      <c r="D3861">
        <v>33192</v>
      </c>
      <c r="E3861" s="131">
        <v>9247075</v>
      </c>
      <c r="F3861" t="s">
        <v>87</v>
      </c>
      <c r="G3861">
        <v>76</v>
      </c>
      <c r="H3861" t="s">
        <v>8952</v>
      </c>
      <c r="I3861" s="131">
        <v>38</v>
      </c>
      <c r="J3861" t="s">
        <v>5485</v>
      </c>
      <c r="K3861" t="s">
        <v>108</v>
      </c>
      <c r="L3861" t="s">
        <v>126</v>
      </c>
      <c r="M3861" t="s">
        <v>103</v>
      </c>
      <c r="N3861" t="s">
        <v>98</v>
      </c>
      <c r="O3861" t="s">
        <v>116</v>
      </c>
    </row>
    <row r="3862" spans="1:15" x14ac:dyDescent="0.3">
      <c r="A3862" s="130">
        <v>21921</v>
      </c>
      <c r="C3862" s="130" t="s">
        <v>5486</v>
      </c>
      <c r="D3862">
        <v>33199</v>
      </c>
      <c r="E3862" s="130">
        <v>52639322</v>
      </c>
      <c r="F3862" t="s">
        <v>113</v>
      </c>
      <c r="G3862">
        <v>32947</v>
      </c>
      <c r="H3862" t="s">
        <v>8953</v>
      </c>
      <c r="I3862" s="130">
        <v>3</v>
      </c>
      <c r="J3862" t="s">
        <v>5486</v>
      </c>
      <c r="K3862" t="s">
        <v>108</v>
      </c>
      <c r="L3862" t="s">
        <v>1250</v>
      </c>
      <c r="N3862" t="s">
        <v>98</v>
      </c>
      <c r="O3862" t="s">
        <v>1256</v>
      </c>
    </row>
    <row r="3863" spans="1:15" x14ac:dyDescent="0.3">
      <c r="A3863" s="130">
        <v>21924</v>
      </c>
      <c r="B3863" s="130">
        <v>28</v>
      </c>
      <c r="C3863" s="130" t="s">
        <v>5487</v>
      </c>
      <c r="D3863">
        <v>33202</v>
      </c>
      <c r="E3863" s="130">
        <v>9625762</v>
      </c>
      <c r="F3863" t="s">
        <v>87</v>
      </c>
      <c r="G3863">
        <v>76</v>
      </c>
      <c r="H3863" t="s">
        <v>8951</v>
      </c>
      <c r="I3863" s="131">
        <v>19</v>
      </c>
      <c r="J3863" t="s">
        <v>5487</v>
      </c>
      <c r="K3863" t="s">
        <v>95</v>
      </c>
      <c r="L3863" t="s">
        <v>111</v>
      </c>
      <c r="M3863" t="s">
        <v>130</v>
      </c>
      <c r="N3863" t="s">
        <v>150</v>
      </c>
      <c r="O3863" t="s">
        <v>116</v>
      </c>
    </row>
    <row r="3864" spans="1:15" x14ac:dyDescent="0.3">
      <c r="A3864" s="130">
        <v>21925</v>
      </c>
      <c r="B3864" s="130">
        <v>10</v>
      </c>
      <c r="C3864" s="130" t="s">
        <v>5488</v>
      </c>
      <c r="D3864">
        <v>33203</v>
      </c>
      <c r="E3864" s="130">
        <v>19713902</v>
      </c>
      <c r="F3864" t="s">
        <v>87</v>
      </c>
      <c r="G3864">
        <v>76</v>
      </c>
      <c r="H3864" t="s">
        <v>8952</v>
      </c>
      <c r="I3864" s="130">
        <v>24</v>
      </c>
      <c r="J3864" t="s">
        <v>5488</v>
      </c>
      <c r="K3864" t="s">
        <v>108</v>
      </c>
      <c r="L3864" t="s">
        <v>191</v>
      </c>
      <c r="M3864" t="s">
        <v>133</v>
      </c>
      <c r="N3864" t="s">
        <v>98</v>
      </c>
      <c r="O3864" t="s">
        <v>1345</v>
      </c>
    </row>
    <row r="3865" spans="1:15" x14ac:dyDescent="0.3">
      <c r="A3865" s="130">
        <v>21927</v>
      </c>
      <c r="B3865" s="130">
        <v>10</v>
      </c>
      <c r="C3865" s="130" t="s">
        <v>5489</v>
      </c>
      <c r="D3865">
        <v>33205</v>
      </c>
      <c r="E3865" s="130">
        <v>18055578</v>
      </c>
      <c r="F3865" t="s">
        <v>87</v>
      </c>
      <c r="G3865">
        <v>76</v>
      </c>
      <c r="H3865" t="s">
        <v>8953</v>
      </c>
      <c r="I3865" s="130">
        <v>10</v>
      </c>
      <c r="J3865" t="s">
        <v>5489</v>
      </c>
      <c r="K3865" t="s">
        <v>108</v>
      </c>
      <c r="L3865" t="s">
        <v>127</v>
      </c>
      <c r="M3865" t="s">
        <v>133</v>
      </c>
      <c r="N3865" t="s">
        <v>118</v>
      </c>
      <c r="O3865" t="s">
        <v>116</v>
      </c>
    </row>
    <row r="3866" spans="1:15" x14ac:dyDescent="0.3">
      <c r="A3866" s="130">
        <v>21929</v>
      </c>
      <c r="B3866" s="130">
        <v>30</v>
      </c>
      <c r="C3866" s="130" t="s">
        <v>5490</v>
      </c>
      <c r="D3866">
        <v>33209</v>
      </c>
      <c r="E3866" s="130">
        <v>21694239</v>
      </c>
      <c r="F3866" t="s">
        <v>87</v>
      </c>
      <c r="G3866">
        <v>76</v>
      </c>
      <c r="H3866" t="s">
        <v>8951</v>
      </c>
      <c r="I3866" s="130">
        <v>3</v>
      </c>
      <c r="J3866" t="s">
        <v>5490</v>
      </c>
      <c r="K3866" t="s">
        <v>95</v>
      </c>
      <c r="L3866" t="s">
        <v>111</v>
      </c>
      <c r="M3866" t="s">
        <v>103</v>
      </c>
      <c r="N3866" t="s">
        <v>141</v>
      </c>
      <c r="O3866" t="s">
        <v>1345</v>
      </c>
    </row>
    <row r="3867" spans="1:15" x14ac:dyDescent="0.3">
      <c r="A3867" s="130">
        <v>21930</v>
      </c>
      <c r="B3867" s="130">
        <v>30</v>
      </c>
      <c r="C3867" s="130" t="s">
        <v>5491</v>
      </c>
      <c r="D3867">
        <v>33213</v>
      </c>
      <c r="E3867" s="131">
        <v>52749283</v>
      </c>
      <c r="F3867" t="s">
        <v>87</v>
      </c>
      <c r="G3867">
        <v>77</v>
      </c>
      <c r="H3867" t="s">
        <v>8952</v>
      </c>
      <c r="I3867" s="130">
        <v>10</v>
      </c>
      <c r="J3867" t="s">
        <v>5491</v>
      </c>
      <c r="K3867" t="s">
        <v>95</v>
      </c>
      <c r="L3867" t="s">
        <v>235</v>
      </c>
      <c r="M3867" t="s">
        <v>103</v>
      </c>
      <c r="N3867" t="s">
        <v>118</v>
      </c>
      <c r="O3867" t="s">
        <v>116</v>
      </c>
    </row>
    <row r="3868" spans="1:15" x14ac:dyDescent="0.3">
      <c r="A3868" s="130">
        <v>21933</v>
      </c>
      <c r="B3868" s="130">
        <v>0</v>
      </c>
      <c r="C3868" s="130" t="s">
        <v>5492</v>
      </c>
      <c r="D3868">
        <v>33217</v>
      </c>
      <c r="E3868" s="131">
        <v>45698342</v>
      </c>
      <c r="F3868" t="s">
        <v>87</v>
      </c>
      <c r="G3868">
        <v>32947</v>
      </c>
      <c r="H3868" t="s">
        <v>8953</v>
      </c>
      <c r="I3868" s="131">
        <v>18</v>
      </c>
      <c r="J3868" t="s">
        <v>5492</v>
      </c>
      <c r="K3868" t="s">
        <v>108</v>
      </c>
      <c r="L3868" t="s">
        <v>193</v>
      </c>
      <c r="M3868" t="s">
        <v>100</v>
      </c>
      <c r="N3868" t="s">
        <v>98</v>
      </c>
      <c r="O3868" t="s">
        <v>116</v>
      </c>
    </row>
    <row r="3869" spans="1:15" x14ac:dyDescent="0.3">
      <c r="A3869" s="130">
        <v>21934</v>
      </c>
      <c r="B3869" s="130">
        <v>10</v>
      </c>
      <c r="C3869" s="130" t="s">
        <v>5493</v>
      </c>
      <c r="D3869">
        <v>33222</v>
      </c>
      <c r="E3869" s="131">
        <v>7376851</v>
      </c>
      <c r="F3869" t="s">
        <v>87</v>
      </c>
      <c r="G3869">
        <v>76</v>
      </c>
      <c r="H3869" t="s">
        <v>8951</v>
      </c>
      <c r="I3869" s="131">
        <v>24</v>
      </c>
      <c r="J3869" t="s">
        <v>5493</v>
      </c>
      <c r="K3869" t="s">
        <v>108</v>
      </c>
      <c r="L3869" t="s">
        <v>240</v>
      </c>
      <c r="M3869" t="s">
        <v>133</v>
      </c>
      <c r="N3869" t="s">
        <v>98</v>
      </c>
      <c r="O3869" t="s">
        <v>116</v>
      </c>
    </row>
    <row r="3870" spans="1:15" x14ac:dyDescent="0.3">
      <c r="A3870" s="130">
        <v>21935</v>
      </c>
      <c r="B3870" s="130">
        <v>10</v>
      </c>
      <c r="C3870" s="130" t="s">
        <v>5494</v>
      </c>
      <c r="D3870">
        <v>33224</v>
      </c>
      <c r="E3870" s="131">
        <v>7376851</v>
      </c>
      <c r="F3870" t="s">
        <v>87</v>
      </c>
      <c r="G3870">
        <v>76</v>
      </c>
      <c r="H3870" t="s">
        <v>8952</v>
      </c>
      <c r="I3870" s="130">
        <v>24</v>
      </c>
      <c r="J3870" t="s">
        <v>5494</v>
      </c>
      <c r="K3870" t="s">
        <v>108</v>
      </c>
      <c r="L3870" t="s">
        <v>240</v>
      </c>
      <c r="M3870" t="s">
        <v>133</v>
      </c>
      <c r="N3870" t="s">
        <v>98</v>
      </c>
      <c r="O3870" t="s">
        <v>1345</v>
      </c>
    </row>
    <row r="3871" spans="1:15" x14ac:dyDescent="0.3">
      <c r="A3871" s="130">
        <v>21940</v>
      </c>
      <c r="B3871" s="130">
        <v>28</v>
      </c>
      <c r="C3871" s="130" t="s">
        <v>5495</v>
      </c>
      <c r="D3871">
        <v>33223</v>
      </c>
      <c r="E3871" s="130">
        <v>37264837</v>
      </c>
      <c r="F3871" t="s">
        <v>87</v>
      </c>
      <c r="G3871">
        <v>76</v>
      </c>
      <c r="H3871" t="s">
        <v>8953</v>
      </c>
      <c r="I3871" s="130">
        <v>37</v>
      </c>
      <c r="J3871" t="s">
        <v>5495</v>
      </c>
      <c r="K3871" t="s">
        <v>95</v>
      </c>
      <c r="L3871" t="s">
        <v>138</v>
      </c>
      <c r="M3871" t="s">
        <v>130</v>
      </c>
      <c r="N3871" t="s">
        <v>150</v>
      </c>
      <c r="O3871" t="s">
        <v>116</v>
      </c>
    </row>
    <row r="3872" spans="1:15" x14ac:dyDescent="0.3">
      <c r="A3872" s="130">
        <v>21950</v>
      </c>
      <c r="B3872" s="130">
        <v>0</v>
      </c>
      <c r="C3872" s="130" t="s">
        <v>5496</v>
      </c>
      <c r="D3872">
        <v>33249</v>
      </c>
      <c r="E3872" s="130">
        <v>48265082</v>
      </c>
      <c r="F3872" t="s">
        <v>87</v>
      </c>
      <c r="G3872">
        <v>76</v>
      </c>
      <c r="H3872" t="s">
        <v>8951</v>
      </c>
      <c r="I3872" s="130">
        <v>43</v>
      </c>
      <c r="J3872" t="s">
        <v>5496</v>
      </c>
      <c r="K3872" t="s">
        <v>108</v>
      </c>
      <c r="L3872" t="s">
        <v>252</v>
      </c>
      <c r="M3872" t="s">
        <v>100</v>
      </c>
      <c r="N3872" t="s">
        <v>101</v>
      </c>
      <c r="O3872" t="s">
        <v>116</v>
      </c>
    </row>
    <row r="3873" spans="1:15" x14ac:dyDescent="0.3">
      <c r="A3873" s="130">
        <v>21953</v>
      </c>
      <c r="B3873" s="130">
        <v>18</v>
      </c>
      <c r="C3873" s="130" t="s">
        <v>5497</v>
      </c>
      <c r="D3873">
        <v>33259</v>
      </c>
      <c r="E3873" s="131">
        <v>3892047</v>
      </c>
      <c r="F3873" t="s">
        <v>87</v>
      </c>
      <c r="G3873">
        <v>76</v>
      </c>
      <c r="H3873" t="s">
        <v>8952</v>
      </c>
      <c r="I3873" s="131">
        <v>10</v>
      </c>
      <c r="J3873" t="s">
        <v>5497</v>
      </c>
      <c r="K3873" t="s">
        <v>108</v>
      </c>
      <c r="L3873" t="s">
        <v>127</v>
      </c>
      <c r="M3873" t="s">
        <v>112</v>
      </c>
      <c r="N3873" t="s">
        <v>98</v>
      </c>
      <c r="O3873" t="s">
        <v>116</v>
      </c>
    </row>
    <row r="3874" spans="1:15" x14ac:dyDescent="0.3">
      <c r="A3874" s="130">
        <v>21966</v>
      </c>
      <c r="B3874" s="130">
        <v>28</v>
      </c>
      <c r="C3874" s="130" t="s">
        <v>5498</v>
      </c>
      <c r="D3874">
        <v>33277</v>
      </c>
      <c r="E3874" s="130">
        <v>21580655</v>
      </c>
      <c r="F3874" t="s">
        <v>113</v>
      </c>
      <c r="G3874">
        <v>76</v>
      </c>
      <c r="H3874" t="s">
        <v>8953</v>
      </c>
      <c r="I3874" s="130">
        <v>43</v>
      </c>
      <c r="J3874" t="s">
        <v>5498</v>
      </c>
      <c r="K3874" t="s">
        <v>108</v>
      </c>
      <c r="L3874" t="s">
        <v>1241</v>
      </c>
      <c r="M3874" t="s">
        <v>130</v>
      </c>
      <c r="N3874" t="s">
        <v>98</v>
      </c>
      <c r="O3874" t="s">
        <v>1256</v>
      </c>
    </row>
    <row r="3875" spans="1:15" x14ac:dyDescent="0.3">
      <c r="A3875" s="130">
        <v>21975</v>
      </c>
      <c r="B3875" s="130">
        <v>20</v>
      </c>
      <c r="C3875" s="130" t="s">
        <v>5499</v>
      </c>
      <c r="D3875">
        <v>33288</v>
      </c>
      <c r="E3875" s="131">
        <v>1206756</v>
      </c>
      <c r="F3875" t="s">
        <v>87</v>
      </c>
      <c r="G3875">
        <v>76</v>
      </c>
      <c r="H3875" t="s">
        <v>8951</v>
      </c>
      <c r="I3875" s="130">
        <v>19</v>
      </c>
      <c r="J3875" t="s">
        <v>5499</v>
      </c>
      <c r="K3875" t="s">
        <v>108</v>
      </c>
      <c r="L3875" t="s">
        <v>252</v>
      </c>
      <c r="M3875" t="s">
        <v>148</v>
      </c>
      <c r="N3875" t="s">
        <v>98</v>
      </c>
      <c r="O3875" t="s">
        <v>116</v>
      </c>
    </row>
    <row r="3876" spans="1:15" x14ac:dyDescent="0.3">
      <c r="A3876" s="130">
        <v>21976</v>
      </c>
      <c r="B3876" s="130">
        <v>45</v>
      </c>
      <c r="C3876" s="130" t="s">
        <v>5500</v>
      </c>
      <c r="D3876">
        <v>33292</v>
      </c>
      <c r="E3876" s="131">
        <v>13812133</v>
      </c>
      <c r="F3876" t="s">
        <v>87</v>
      </c>
      <c r="G3876">
        <v>76</v>
      </c>
      <c r="H3876" t="s">
        <v>8952</v>
      </c>
      <c r="I3876" s="131">
        <v>26</v>
      </c>
      <c r="J3876" t="s">
        <v>5500</v>
      </c>
      <c r="K3876" t="s">
        <v>108</v>
      </c>
      <c r="L3876" t="s">
        <v>193</v>
      </c>
      <c r="M3876" t="s">
        <v>106</v>
      </c>
      <c r="N3876" t="s">
        <v>169</v>
      </c>
      <c r="O3876" t="s">
        <v>116</v>
      </c>
    </row>
    <row r="3877" spans="1:15" x14ac:dyDescent="0.3">
      <c r="A3877" s="130">
        <v>21977</v>
      </c>
      <c r="B3877" s="130">
        <v>10</v>
      </c>
      <c r="C3877" s="130" t="s">
        <v>5501</v>
      </c>
      <c r="D3877">
        <v>33293</v>
      </c>
      <c r="E3877" s="131">
        <v>41570356</v>
      </c>
      <c r="F3877" t="s">
        <v>87</v>
      </c>
      <c r="G3877">
        <v>76</v>
      </c>
      <c r="H3877" t="s">
        <v>8953</v>
      </c>
      <c r="I3877" s="130">
        <v>3</v>
      </c>
      <c r="J3877" t="s">
        <v>5501</v>
      </c>
      <c r="K3877" t="s">
        <v>108</v>
      </c>
      <c r="L3877" t="s">
        <v>1293</v>
      </c>
      <c r="M3877" t="s">
        <v>133</v>
      </c>
      <c r="N3877" t="s">
        <v>98</v>
      </c>
      <c r="O3877" t="s">
        <v>116</v>
      </c>
    </row>
    <row r="3878" spans="1:15" x14ac:dyDescent="0.3">
      <c r="A3878" s="130">
        <v>21986</v>
      </c>
      <c r="B3878" s="130">
        <v>30</v>
      </c>
      <c r="C3878" s="130" t="s">
        <v>5502</v>
      </c>
      <c r="D3878">
        <v>33326</v>
      </c>
      <c r="E3878" s="130">
        <v>25566035</v>
      </c>
      <c r="F3878" t="s">
        <v>87</v>
      </c>
      <c r="G3878">
        <v>358</v>
      </c>
      <c r="H3878" t="s">
        <v>8951</v>
      </c>
      <c r="I3878" s="130">
        <v>10</v>
      </c>
      <c r="J3878" t="s">
        <v>5502</v>
      </c>
      <c r="K3878" t="s">
        <v>95</v>
      </c>
      <c r="L3878" t="s">
        <v>105</v>
      </c>
      <c r="M3878" t="s">
        <v>103</v>
      </c>
      <c r="N3878" t="s">
        <v>98</v>
      </c>
      <c r="O3878" t="s">
        <v>116</v>
      </c>
    </row>
    <row r="3879" spans="1:15" x14ac:dyDescent="0.3">
      <c r="A3879" s="130">
        <v>21988</v>
      </c>
      <c r="B3879" s="130">
        <v>30</v>
      </c>
      <c r="C3879" s="130" t="s">
        <v>5503</v>
      </c>
      <c r="D3879">
        <v>33328</v>
      </c>
      <c r="E3879" s="130">
        <v>60701521</v>
      </c>
      <c r="F3879" t="s">
        <v>87</v>
      </c>
      <c r="G3879">
        <v>76</v>
      </c>
      <c r="H3879" t="s">
        <v>8952</v>
      </c>
      <c r="I3879" s="130">
        <v>37</v>
      </c>
      <c r="J3879" t="s">
        <v>5503</v>
      </c>
      <c r="K3879" t="s">
        <v>95</v>
      </c>
      <c r="L3879" t="s">
        <v>138</v>
      </c>
      <c r="M3879" t="s">
        <v>103</v>
      </c>
      <c r="N3879" t="s">
        <v>162</v>
      </c>
      <c r="O3879" t="s">
        <v>116</v>
      </c>
    </row>
    <row r="3880" spans="1:15" x14ac:dyDescent="0.3">
      <c r="A3880" s="130">
        <v>21996</v>
      </c>
      <c r="B3880" s="130">
        <v>30</v>
      </c>
      <c r="C3880" s="130" t="s">
        <v>5504</v>
      </c>
      <c r="D3880">
        <v>33350</v>
      </c>
      <c r="E3880" s="130">
        <v>31259648</v>
      </c>
      <c r="F3880" t="s">
        <v>87</v>
      </c>
      <c r="G3880">
        <v>76</v>
      </c>
      <c r="H3880" t="s">
        <v>8953</v>
      </c>
      <c r="I3880" s="130">
        <v>18</v>
      </c>
      <c r="J3880" t="s">
        <v>5504</v>
      </c>
      <c r="K3880" t="s">
        <v>95</v>
      </c>
      <c r="L3880" t="s">
        <v>123</v>
      </c>
      <c r="M3880" t="s">
        <v>103</v>
      </c>
      <c r="N3880" t="s">
        <v>98</v>
      </c>
      <c r="O3880" t="s">
        <v>116</v>
      </c>
    </row>
    <row r="3881" spans="1:15" x14ac:dyDescent="0.3">
      <c r="A3881" s="130">
        <v>21999</v>
      </c>
      <c r="B3881" s="130">
        <v>30</v>
      </c>
      <c r="C3881" s="130" t="s">
        <v>5505</v>
      </c>
      <c r="D3881">
        <v>33356</v>
      </c>
      <c r="E3881" s="131">
        <v>10279488</v>
      </c>
      <c r="F3881" t="s">
        <v>87</v>
      </c>
      <c r="G3881">
        <v>76</v>
      </c>
      <c r="H3881" t="s">
        <v>8951</v>
      </c>
      <c r="I3881" s="130">
        <v>9</v>
      </c>
      <c r="J3881" t="s">
        <v>5505</v>
      </c>
      <c r="K3881" t="s">
        <v>95</v>
      </c>
      <c r="L3881" t="s">
        <v>102</v>
      </c>
      <c r="M3881" t="s">
        <v>103</v>
      </c>
      <c r="N3881" t="s">
        <v>114</v>
      </c>
      <c r="O3881" t="s">
        <v>116</v>
      </c>
    </row>
    <row r="3882" spans="1:15" x14ac:dyDescent="0.3">
      <c r="A3882" s="130">
        <v>22001</v>
      </c>
      <c r="B3882" s="130">
        <v>0</v>
      </c>
      <c r="C3882" s="130" t="s">
        <v>5506</v>
      </c>
      <c r="D3882">
        <v>33236</v>
      </c>
      <c r="E3882" s="130">
        <v>50158291</v>
      </c>
      <c r="F3882" t="s">
        <v>113</v>
      </c>
      <c r="G3882">
        <v>76</v>
      </c>
      <c r="H3882" t="s">
        <v>8952</v>
      </c>
      <c r="I3882" s="130">
        <v>37</v>
      </c>
      <c r="J3882" t="s">
        <v>5506</v>
      </c>
      <c r="K3882" t="s">
        <v>95</v>
      </c>
      <c r="L3882" t="s">
        <v>138</v>
      </c>
      <c r="M3882" t="s">
        <v>100</v>
      </c>
      <c r="N3882" t="s">
        <v>141</v>
      </c>
      <c r="O3882" t="s">
        <v>1256</v>
      </c>
    </row>
    <row r="3883" spans="1:15" x14ac:dyDescent="0.3">
      <c r="A3883" s="130">
        <v>22004</v>
      </c>
      <c r="B3883" s="130">
        <v>30</v>
      </c>
      <c r="C3883" s="130" t="s">
        <v>5507</v>
      </c>
      <c r="D3883">
        <v>33214</v>
      </c>
      <c r="E3883" s="131">
        <v>11681696</v>
      </c>
      <c r="F3883" t="s">
        <v>113</v>
      </c>
      <c r="G3883">
        <v>76</v>
      </c>
      <c r="H3883" t="s">
        <v>8953</v>
      </c>
      <c r="I3883" s="130">
        <v>43</v>
      </c>
      <c r="J3883" t="s">
        <v>5507</v>
      </c>
      <c r="K3883" t="s">
        <v>95</v>
      </c>
      <c r="L3883" t="s">
        <v>252</v>
      </c>
      <c r="M3883" t="s">
        <v>103</v>
      </c>
      <c r="N3883" t="s">
        <v>124</v>
      </c>
      <c r="O3883" t="s">
        <v>1256</v>
      </c>
    </row>
    <row r="3884" spans="1:15" x14ac:dyDescent="0.3">
      <c r="A3884" s="130">
        <v>22005</v>
      </c>
      <c r="B3884" s="130">
        <v>30</v>
      </c>
      <c r="C3884" s="130" t="s">
        <v>5508</v>
      </c>
      <c r="D3884">
        <v>33367</v>
      </c>
      <c r="E3884" s="130">
        <v>82502196</v>
      </c>
      <c r="F3884" t="s">
        <v>87</v>
      </c>
      <c r="G3884">
        <v>76</v>
      </c>
      <c r="H3884" t="s">
        <v>8951</v>
      </c>
      <c r="I3884" s="131">
        <v>3</v>
      </c>
      <c r="J3884" t="s">
        <v>5508</v>
      </c>
      <c r="K3884" t="s">
        <v>95</v>
      </c>
      <c r="L3884" t="s">
        <v>144</v>
      </c>
      <c r="M3884" t="s">
        <v>103</v>
      </c>
      <c r="N3884" t="s">
        <v>98</v>
      </c>
      <c r="O3884" t="s">
        <v>1256</v>
      </c>
    </row>
    <row r="3885" spans="1:15" x14ac:dyDescent="0.3">
      <c r="A3885" s="130">
        <v>22006</v>
      </c>
      <c r="B3885" s="130">
        <v>28</v>
      </c>
      <c r="C3885" s="130" t="s">
        <v>5509</v>
      </c>
      <c r="D3885">
        <v>33368</v>
      </c>
      <c r="E3885" s="130">
        <v>32909546</v>
      </c>
      <c r="F3885" t="s">
        <v>87</v>
      </c>
      <c r="G3885">
        <v>76</v>
      </c>
      <c r="H3885" t="s">
        <v>8952</v>
      </c>
      <c r="I3885" s="130">
        <v>3</v>
      </c>
      <c r="J3885" t="s">
        <v>5509</v>
      </c>
      <c r="K3885" t="s">
        <v>95</v>
      </c>
      <c r="L3885" t="s">
        <v>111</v>
      </c>
      <c r="M3885" t="s">
        <v>130</v>
      </c>
      <c r="N3885" t="s">
        <v>98</v>
      </c>
      <c r="O3885" t="s">
        <v>116</v>
      </c>
    </row>
    <row r="3886" spans="1:15" x14ac:dyDescent="0.3">
      <c r="A3886" s="130">
        <v>22009</v>
      </c>
      <c r="B3886" s="130">
        <v>10</v>
      </c>
      <c r="C3886" s="130" t="s">
        <v>5510</v>
      </c>
      <c r="D3886">
        <v>33373</v>
      </c>
      <c r="E3886" s="130">
        <v>32065250</v>
      </c>
      <c r="F3886" t="s">
        <v>87</v>
      </c>
      <c r="G3886">
        <v>76</v>
      </c>
      <c r="H3886" t="s">
        <v>8953</v>
      </c>
      <c r="I3886" s="130">
        <v>37</v>
      </c>
      <c r="J3886" t="s">
        <v>5510</v>
      </c>
      <c r="K3886" t="s">
        <v>108</v>
      </c>
      <c r="L3886" t="s">
        <v>138</v>
      </c>
      <c r="M3886" t="s">
        <v>133</v>
      </c>
      <c r="N3886" t="s">
        <v>114</v>
      </c>
      <c r="O3886" t="s">
        <v>116</v>
      </c>
    </row>
    <row r="3887" spans="1:15" x14ac:dyDescent="0.3">
      <c r="A3887" s="130">
        <v>22010</v>
      </c>
      <c r="B3887" s="130">
        <v>30</v>
      </c>
      <c r="C3887" s="130" t="s">
        <v>5511</v>
      </c>
      <c r="D3887">
        <v>32284</v>
      </c>
      <c r="E3887" s="130">
        <v>8807676</v>
      </c>
      <c r="F3887" t="s">
        <v>87</v>
      </c>
      <c r="G3887">
        <v>77</v>
      </c>
      <c r="H3887" t="s">
        <v>8951</v>
      </c>
      <c r="I3887" s="130">
        <v>26</v>
      </c>
      <c r="J3887" t="s">
        <v>5511</v>
      </c>
      <c r="K3887" t="s">
        <v>95</v>
      </c>
      <c r="L3887" t="s">
        <v>1252</v>
      </c>
      <c r="M3887" t="s">
        <v>103</v>
      </c>
      <c r="N3887" t="s">
        <v>122</v>
      </c>
      <c r="O3887" t="s">
        <v>116</v>
      </c>
    </row>
    <row r="3888" spans="1:15" x14ac:dyDescent="0.3">
      <c r="A3888" s="130">
        <v>22011</v>
      </c>
      <c r="B3888" s="130">
        <v>20</v>
      </c>
      <c r="C3888" s="130" t="s">
        <v>5512</v>
      </c>
      <c r="D3888">
        <v>33380</v>
      </c>
      <c r="E3888" s="130">
        <v>27702723</v>
      </c>
      <c r="F3888" t="s">
        <v>87</v>
      </c>
      <c r="G3888">
        <v>76</v>
      </c>
      <c r="H3888" t="s">
        <v>8952</v>
      </c>
      <c r="I3888" s="130">
        <v>19</v>
      </c>
      <c r="J3888" t="s">
        <v>5512</v>
      </c>
      <c r="K3888" t="s">
        <v>108</v>
      </c>
      <c r="L3888" t="s">
        <v>252</v>
      </c>
      <c r="M3888" t="s">
        <v>148</v>
      </c>
      <c r="N3888" t="s">
        <v>98</v>
      </c>
      <c r="O3888" t="s">
        <v>116</v>
      </c>
    </row>
    <row r="3889" spans="1:15" x14ac:dyDescent="0.3">
      <c r="A3889" s="130">
        <v>22018</v>
      </c>
      <c r="B3889" s="130">
        <v>10</v>
      </c>
      <c r="C3889" s="130" t="s">
        <v>5513</v>
      </c>
      <c r="D3889">
        <v>33389</v>
      </c>
      <c r="E3889" s="130">
        <v>10714060</v>
      </c>
      <c r="F3889" t="s">
        <v>87</v>
      </c>
      <c r="G3889">
        <v>76</v>
      </c>
      <c r="H3889" t="s">
        <v>8953</v>
      </c>
      <c r="I3889" s="131">
        <v>9</v>
      </c>
      <c r="J3889" t="s">
        <v>5513</v>
      </c>
      <c r="K3889" t="s">
        <v>108</v>
      </c>
      <c r="L3889" t="s">
        <v>1298</v>
      </c>
      <c r="M3889" t="s">
        <v>133</v>
      </c>
      <c r="N3889" t="s">
        <v>98</v>
      </c>
      <c r="O3889" t="s">
        <v>1256</v>
      </c>
    </row>
    <row r="3890" spans="1:15" x14ac:dyDescent="0.3">
      <c r="A3890" s="130">
        <v>22023</v>
      </c>
      <c r="B3890" s="130">
        <v>30</v>
      </c>
      <c r="C3890" s="130" t="s">
        <v>5514</v>
      </c>
      <c r="D3890">
        <v>33393</v>
      </c>
      <c r="E3890" s="130">
        <v>25566035</v>
      </c>
      <c r="F3890" t="s">
        <v>87</v>
      </c>
      <c r="G3890">
        <v>76</v>
      </c>
      <c r="H3890" t="s">
        <v>8951</v>
      </c>
      <c r="I3890" s="130">
        <v>10</v>
      </c>
      <c r="J3890" t="s">
        <v>5514</v>
      </c>
      <c r="K3890" t="s">
        <v>95</v>
      </c>
      <c r="L3890" t="s">
        <v>111</v>
      </c>
      <c r="M3890" t="s">
        <v>103</v>
      </c>
      <c r="N3890" t="s">
        <v>98</v>
      </c>
      <c r="O3890" t="s">
        <v>116</v>
      </c>
    </row>
    <row r="3891" spans="1:15" x14ac:dyDescent="0.3">
      <c r="A3891" s="130">
        <v>22028</v>
      </c>
      <c r="B3891" s="130">
        <v>18</v>
      </c>
      <c r="C3891" s="130" t="s">
        <v>5515</v>
      </c>
      <c r="D3891">
        <v>33397</v>
      </c>
      <c r="E3891" s="131">
        <v>34597906</v>
      </c>
      <c r="F3891" t="s">
        <v>87</v>
      </c>
      <c r="G3891">
        <v>76</v>
      </c>
      <c r="H3891" t="s">
        <v>8952</v>
      </c>
      <c r="I3891" s="130">
        <v>10</v>
      </c>
      <c r="J3891" t="s">
        <v>5515</v>
      </c>
      <c r="K3891" t="s">
        <v>108</v>
      </c>
      <c r="L3891" t="s">
        <v>127</v>
      </c>
      <c r="M3891" t="s">
        <v>112</v>
      </c>
      <c r="N3891" t="s">
        <v>118</v>
      </c>
      <c r="O3891" t="s">
        <v>116</v>
      </c>
    </row>
    <row r="3892" spans="1:15" x14ac:dyDescent="0.3">
      <c r="A3892" s="130">
        <v>22038</v>
      </c>
      <c r="B3892" s="130">
        <v>18</v>
      </c>
      <c r="C3892" s="130" t="s">
        <v>5516</v>
      </c>
      <c r="D3892">
        <v>33413</v>
      </c>
      <c r="E3892" s="130">
        <v>21394675</v>
      </c>
      <c r="F3892" t="s">
        <v>87</v>
      </c>
      <c r="G3892">
        <v>76</v>
      </c>
      <c r="H3892" t="s">
        <v>8953</v>
      </c>
      <c r="I3892" s="130">
        <v>9</v>
      </c>
      <c r="J3892" t="s">
        <v>5516</v>
      </c>
      <c r="K3892" t="s">
        <v>95</v>
      </c>
      <c r="L3892" t="s">
        <v>163</v>
      </c>
      <c r="M3892" t="s">
        <v>112</v>
      </c>
      <c r="N3892" t="s">
        <v>98</v>
      </c>
      <c r="O3892" t="s">
        <v>116</v>
      </c>
    </row>
    <row r="3893" spans="1:15" x14ac:dyDescent="0.3">
      <c r="A3893" s="130">
        <v>22039</v>
      </c>
      <c r="B3893" s="130">
        <v>30</v>
      </c>
      <c r="C3893" s="130" t="s">
        <v>5517</v>
      </c>
      <c r="D3893">
        <v>33414</v>
      </c>
      <c r="E3893" s="130">
        <v>81732042</v>
      </c>
      <c r="F3893" t="s">
        <v>87</v>
      </c>
      <c r="G3893">
        <v>76</v>
      </c>
      <c r="H3893" t="s">
        <v>8951</v>
      </c>
      <c r="I3893" s="131">
        <v>38</v>
      </c>
      <c r="J3893" t="s">
        <v>5517</v>
      </c>
      <c r="K3893" t="s">
        <v>108</v>
      </c>
      <c r="L3893" t="s">
        <v>126</v>
      </c>
      <c r="M3893" t="s">
        <v>103</v>
      </c>
      <c r="N3893" t="s">
        <v>98</v>
      </c>
      <c r="O3893" t="s">
        <v>116</v>
      </c>
    </row>
    <row r="3894" spans="1:15" x14ac:dyDescent="0.3">
      <c r="A3894" s="130">
        <v>22044</v>
      </c>
      <c r="B3894" s="130">
        <v>18</v>
      </c>
      <c r="C3894" s="130" t="s">
        <v>5518</v>
      </c>
      <c r="D3894">
        <v>33423</v>
      </c>
      <c r="E3894" s="130">
        <v>34597906</v>
      </c>
      <c r="F3894" t="s">
        <v>87</v>
      </c>
      <c r="G3894">
        <v>76</v>
      </c>
      <c r="H3894" t="s">
        <v>8952</v>
      </c>
      <c r="I3894" s="130">
        <v>10</v>
      </c>
      <c r="J3894" t="s">
        <v>5518</v>
      </c>
      <c r="K3894" t="s">
        <v>108</v>
      </c>
      <c r="L3894" t="s">
        <v>127</v>
      </c>
      <c r="M3894" t="s">
        <v>112</v>
      </c>
      <c r="N3894" t="s">
        <v>118</v>
      </c>
      <c r="O3894" t="s">
        <v>116</v>
      </c>
    </row>
    <row r="3895" spans="1:15" x14ac:dyDescent="0.3">
      <c r="A3895" s="130">
        <v>22047</v>
      </c>
      <c r="B3895" s="130">
        <v>-1</v>
      </c>
      <c r="C3895" s="130" t="s">
        <v>5519</v>
      </c>
      <c r="D3895">
        <v>33428</v>
      </c>
      <c r="E3895" s="130">
        <v>13496710</v>
      </c>
      <c r="F3895" t="s">
        <v>87</v>
      </c>
      <c r="G3895">
        <v>76</v>
      </c>
      <c r="H3895" t="s">
        <v>8953</v>
      </c>
      <c r="I3895" s="130">
        <v>38</v>
      </c>
      <c r="J3895" t="s">
        <v>5519</v>
      </c>
      <c r="K3895" t="s">
        <v>108</v>
      </c>
      <c r="L3895" t="s">
        <v>126</v>
      </c>
      <c r="M3895" t="s">
        <v>174</v>
      </c>
      <c r="N3895" t="s">
        <v>122</v>
      </c>
      <c r="O3895" t="s">
        <v>116</v>
      </c>
    </row>
    <row r="3896" spans="1:15" x14ac:dyDescent="0.3">
      <c r="A3896" s="130">
        <v>22058</v>
      </c>
      <c r="B3896" s="130">
        <v>30</v>
      </c>
      <c r="C3896" s="130" t="s">
        <v>5520</v>
      </c>
      <c r="D3896">
        <v>33442</v>
      </c>
      <c r="E3896" s="130">
        <v>52749283</v>
      </c>
      <c r="F3896" t="s">
        <v>87</v>
      </c>
      <c r="G3896">
        <v>77</v>
      </c>
      <c r="H3896" t="s">
        <v>8951</v>
      </c>
      <c r="I3896" s="130">
        <v>10</v>
      </c>
      <c r="J3896" t="s">
        <v>5520</v>
      </c>
      <c r="K3896" t="s">
        <v>95</v>
      </c>
      <c r="L3896" t="s">
        <v>235</v>
      </c>
      <c r="M3896" t="s">
        <v>103</v>
      </c>
      <c r="N3896" t="s">
        <v>118</v>
      </c>
      <c r="O3896" t="s">
        <v>116</v>
      </c>
    </row>
    <row r="3897" spans="1:15" x14ac:dyDescent="0.3">
      <c r="A3897" s="130">
        <v>22060</v>
      </c>
      <c r="B3897" s="130">
        <v>18</v>
      </c>
      <c r="C3897" s="130" t="s">
        <v>5521</v>
      </c>
      <c r="D3897">
        <v>33444</v>
      </c>
      <c r="E3897" s="130">
        <v>4000710</v>
      </c>
      <c r="F3897" t="s">
        <v>87</v>
      </c>
      <c r="G3897">
        <v>76</v>
      </c>
      <c r="H3897" t="s">
        <v>8952</v>
      </c>
      <c r="I3897" s="131">
        <v>10</v>
      </c>
      <c r="J3897" t="s">
        <v>5521</v>
      </c>
      <c r="K3897" t="s">
        <v>108</v>
      </c>
      <c r="L3897" t="s">
        <v>127</v>
      </c>
      <c r="M3897" t="s">
        <v>112</v>
      </c>
      <c r="N3897" t="s">
        <v>98</v>
      </c>
      <c r="O3897" t="s">
        <v>116</v>
      </c>
    </row>
    <row r="3898" spans="1:15" x14ac:dyDescent="0.3">
      <c r="A3898" s="130">
        <v>22061</v>
      </c>
      <c r="B3898" s="130">
        <v>30</v>
      </c>
      <c r="C3898" s="130" t="s">
        <v>5522</v>
      </c>
      <c r="D3898">
        <v>33448</v>
      </c>
      <c r="E3898" s="130">
        <v>7522191</v>
      </c>
      <c r="F3898" t="s">
        <v>87</v>
      </c>
      <c r="G3898">
        <v>76</v>
      </c>
      <c r="H3898" t="s">
        <v>8953</v>
      </c>
      <c r="I3898" s="130">
        <v>24</v>
      </c>
      <c r="J3898" t="s">
        <v>5522</v>
      </c>
      <c r="K3898" t="s">
        <v>95</v>
      </c>
      <c r="L3898" t="s">
        <v>111</v>
      </c>
      <c r="M3898" t="s">
        <v>103</v>
      </c>
      <c r="N3898" t="s">
        <v>98</v>
      </c>
      <c r="O3898" t="s">
        <v>116</v>
      </c>
    </row>
    <row r="3899" spans="1:15" x14ac:dyDescent="0.3">
      <c r="A3899" s="130">
        <v>22062</v>
      </c>
      <c r="B3899" s="130">
        <v>30</v>
      </c>
      <c r="C3899" s="130" t="s">
        <v>5523</v>
      </c>
      <c r="D3899">
        <v>33447</v>
      </c>
      <c r="E3899" s="130">
        <v>13623957</v>
      </c>
      <c r="F3899" t="s">
        <v>87</v>
      </c>
      <c r="G3899">
        <v>76</v>
      </c>
      <c r="H3899" t="s">
        <v>8951</v>
      </c>
      <c r="I3899" s="130">
        <v>18</v>
      </c>
      <c r="J3899" t="s">
        <v>5523</v>
      </c>
      <c r="K3899" t="s">
        <v>95</v>
      </c>
      <c r="L3899" t="s">
        <v>123</v>
      </c>
      <c r="M3899" t="s">
        <v>103</v>
      </c>
      <c r="N3899" t="s">
        <v>98</v>
      </c>
      <c r="O3899" t="s">
        <v>116</v>
      </c>
    </row>
    <row r="3900" spans="1:15" x14ac:dyDescent="0.3">
      <c r="A3900" s="130">
        <v>22064</v>
      </c>
      <c r="B3900" s="130">
        <v>30</v>
      </c>
      <c r="C3900" s="130" t="s">
        <v>5524</v>
      </c>
      <c r="D3900">
        <v>33450</v>
      </c>
      <c r="E3900" s="130">
        <v>7522191</v>
      </c>
      <c r="F3900" t="s">
        <v>87</v>
      </c>
      <c r="G3900">
        <v>76</v>
      </c>
      <c r="H3900" t="s">
        <v>8952</v>
      </c>
      <c r="I3900" s="130">
        <v>18</v>
      </c>
      <c r="J3900" t="s">
        <v>5524</v>
      </c>
      <c r="K3900" t="s">
        <v>95</v>
      </c>
      <c r="L3900" t="s">
        <v>111</v>
      </c>
      <c r="M3900" t="s">
        <v>103</v>
      </c>
      <c r="N3900" t="s">
        <v>98</v>
      </c>
      <c r="O3900" t="s">
        <v>116</v>
      </c>
    </row>
    <row r="3901" spans="1:15" x14ac:dyDescent="0.3">
      <c r="A3901" s="130">
        <v>22066</v>
      </c>
      <c r="B3901" s="130">
        <v>30</v>
      </c>
      <c r="C3901" s="130" t="s">
        <v>5525</v>
      </c>
      <c r="D3901">
        <v>33452</v>
      </c>
      <c r="E3901" s="131">
        <v>3998869</v>
      </c>
      <c r="F3901" t="s">
        <v>87</v>
      </c>
      <c r="G3901">
        <v>76</v>
      </c>
      <c r="H3901" t="s">
        <v>8953</v>
      </c>
      <c r="I3901" s="130">
        <v>24</v>
      </c>
      <c r="J3901" t="s">
        <v>5525</v>
      </c>
      <c r="K3901" t="s">
        <v>95</v>
      </c>
      <c r="L3901" t="s">
        <v>191</v>
      </c>
      <c r="M3901" t="s">
        <v>103</v>
      </c>
      <c r="N3901" t="s">
        <v>98</v>
      </c>
      <c r="O3901" t="s">
        <v>116</v>
      </c>
    </row>
    <row r="3902" spans="1:15" x14ac:dyDescent="0.3">
      <c r="A3902" s="130">
        <v>22067</v>
      </c>
      <c r="B3902" s="130">
        <v>30</v>
      </c>
      <c r="C3902" s="130" t="s">
        <v>5526</v>
      </c>
      <c r="D3902">
        <v>33453</v>
      </c>
      <c r="E3902" s="130">
        <v>8259544</v>
      </c>
      <c r="F3902" t="s">
        <v>87</v>
      </c>
      <c r="G3902">
        <v>76</v>
      </c>
      <c r="H3902" t="s">
        <v>8951</v>
      </c>
      <c r="I3902" s="130">
        <v>18</v>
      </c>
      <c r="J3902" t="s">
        <v>5526</v>
      </c>
      <c r="K3902" t="s">
        <v>108</v>
      </c>
      <c r="L3902" t="s">
        <v>123</v>
      </c>
      <c r="M3902" t="s">
        <v>103</v>
      </c>
      <c r="N3902" t="s">
        <v>114</v>
      </c>
      <c r="O3902" t="s">
        <v>116</v>
      </c>
    </row>
    <row r="3903" spans="1:15" x14ac:dyDescent="0.3">
      <c r="A3903" s="130">
        <v>22068</v>
      </c>
      <c r="B3903" s="130">
        <v>28</v>
      </c>
      <c r="C3903" s="130" t="s">
        <v>5527</v>
      </c>
      <c r="D3903">
        <v>33454</v>
      </c>
      <c r="E3903" s="131">
        <v>10659547</v>
      </c>
      <c r="F3903" t="s">
        <v>113</v>
      </c>
      <c r="G3903">
        <v>76</v>
      </c>
      <c r="H3903" t="s">
        <v>8952</v>
      </c>
      <c r="I3903" s="130">
        <v>43</v>
      </c>
      <c r="J3903" t="s">
        <v>5527</v>
      </c>
      <c r="K3903" t="s">
        <v>108</v>
      </c>
      <c r="L3903" t="s">
        <v>1241</v>
      </c>
      <c r="M3903" t="s">
        <v>130</v>
      </c>
      <c r="N3903" t="s">
        <v>98</v>
      </c>
      <c r="O3903" t="s">
        <v>1256</v>
      </c>
    </row>
    <row r="3904" spans="1:15" x14ac:dyDescent="0.3">
      <c r="A3904" s="130">
        <v>22071</v>
      </c>
      <c r="B3904" s="130">
        <v>28</v>
      </c>
      <c r="C3904" s="130" t="s">
        <v>5528</v>
      </c>
      <c r="D3904">
        <v>33461</v>
      </c>
      <c r="E3904" s="131">
        <v>31000770</v>
      </c>
      <c r="F3904" t="s">
        <v>113</v>
      </c>
      <c r="G3904">
        <v>76</v>
      </c>
      <c r="H3904" t="s">
        <v>8953</v>
      </c>
      <c r="I3904" s="130">
        <v>43</v>
      </c>
      <c r="J3904" t="s">
        <v>5528</v>
      </c>
      <c r="K3904" t="s">
        <v>108</v>
      </c>
      <c r="L3904" t="s">
        <v>1241</v>
      </c>
      <c r="M3904" t="s">
        <v>130</v>
      </c>
      <c r="N3904" t="s">
        <v>101</v>
      </c>
      <c r="O3904" t="s">
        <v>1256</v>
      </c>
    </row>
    <row r="3905" spans="1:15" x14ac:dyDescent="0.3">
      <c r="A3905" s="130">
        <v>22078</v>
      </c>
      <c r="B3905" s="130">
        <v>18</v>
      </c>
      <c r="C3905" s="130" t="s">
        <v>5529</v>
      </c>
      <c r="D3905">
        <v>33474</v>
      </c>
      <c r="E3905" s="130">
        <v>9625762</v>
      </c>
      <c r="F3905" t="s">
        <v>87</v>
      </c>
      <c r="G3905">
        <v>76</v>
      </c>
      <c r="H3905" t="s">
        <v>8951</v>
      </c>
      <c r="I3905" s="130">
        <v>19</v>
      </c>
      <c r="J3905" t="s">
        <v>5529</v>
      </c>
      <c r="K3905" t="s">
        <v>95</v>
      </c>
      <c r="L3905" t="s">
        <v>1368</v>
      </c>
      <c r="M3905" t="s">
        <v>112</v>
      </c>
      <c r="N3905" t="s">
        <v>150</v>
      </c>
      <c r="O3905" t="s">
        <v>116</v>
      </c>
    </row>
    <row r="3906" spans="1:15" x14ac:dyDescent="0.3">
      <c r="A3906" s="130">
        <v>22086</v>
      </c>
      <c r="B3906" s="130">
        <v>45</v>
      </c>
      <c r="C3906" s="130" t="s">
        <v>5530</v>
      </c>
      <c r="D3906">
        <v>33491</v>
      </c>
      <c r="E3906" s="130">
        <v>33193996</v>
      </c>
      <c r="F3906" t="s">
        <v>87</v>
      </c>
      <c r="G3906">
        <v>76</v>
      </c>
      <c r="H3906" t="s">
        <v>8952</v>
      </c>
      <c r="I3906" s="130">
        <v>3</v>
      </c>
      <c r="J3906" t="s">
        <v>5530</v>
      </c>
      <c r="K3906" t="s">
        <v>95</v>
      </c>
      <c r="L3906" t="s">
        <v>111</v>
      </c>
      <c r="M3906" t="s">
        <v>106</v>
      </c>
      <c r="N3906" t="s">
        <v>98</v>
      </c>
      <c r="O3906" t="s">
        <v>116</v>
      </c>
    </row>
    <row r="3907" spans="1:15" x14ac:dyDescent="0.3">
      <c r="A3907" s="130">
        <v>22088</v>
      </c>
      <c r="B3907" s="130">
        <v>30</v>
      </c>
      <c r="C3907" s="130" t="s">
        <v>5531</v>
      </c>
      <c r="D3907">
        <v>33494</v>
      </c>
      <c r="E3907" s="130">
        <v>32690668</v>
      </c>
      <c r="F3907" t="s">
        <v>87</v>
      </c>
      <c r="G3907">
        <v>76</v>
      </c>
      <c r="H3907" t="s">
        <v>8953</v>
      </c>
      <c r="I3907" s="130">
        <v>26</v>
      </c>
      <c r="J3907" t="s">
        <v>5531</v>
      </c>
      <c r="K3907" t="s">
        <v>95</v>
      </c>
      <c r="L3907" t="s">
        <v>151</v>
      </c>
      <c r="M3907" t="s">
        <v>103</v>
      </c>
      <c r="N3907" t="s">
        <v>131</v>
      </c>
      <c r="O3907" t="s">
        <v>1256</v>
      </c>
    </row>
    <row r="3908" spans="1:15" x14ac:dyDescent="0.3">
      <c r="A3908" s="130">
        <v>22101</v>
      </c>
      <c r="B3908" s="130">
        <v>30</v>
      </c>
      <c r="C3908" s="130" t="s">
        <v>5532</v>
      </c>
      <c r="D3908">
        <v>33519</v>
      </c>
      <c r="E3908" s="130">
        <v>17651318</v>
      </c>
      <c r="F3908" t="s">
        <v>87</v>
      </c>
      <c r="G3908">
        <v>76</v>
      </c>
      <c r="H3908" t="s">
        <v>8951</v>
      </c>
      <c r="I3908" s="130">
        <v>37</v>
      </c>
      <c r="J3908" t="s">
        <v>5532</v>
      </c>
      <c r="K3908" t="s">
        <v>108</v>
      </c>
      <c r="L3908" t="s">
        <v>144</v>
      </c>
      <c r="M3908" t="s">
        <v>103</v>
      </c>
      <c r="N3908" t="s">
        <v>98</v>
      </c>
      <c r="O3908" t="s">
        <v>116</v>
      </c>
    </row>
    <row r="3909" spans="1:15" x14ac:dyDescent="0.3">
      <c r="A3909" s="130">
        <v>22102</v>
      </c>
      <c r="B3909" s="130">
        <v>18</v>
      </c>
      <c r="C3909" s="130" t="s">
        <v>5533</v>
      </c>
      <c r="D3909">
        <v>33521</v>
      </c>
      <c r="E3909" s="130">
        <v>11155874</v>
      </c>
      <c r="F3909" t="s">
        <v>87</v>
      </c>
      <c r="G3909">
        <v>76</v>
      </c>
      <c r="H3909" t="s">
        <v>8952</v>
      </c>
      <c r="I3909" s="130">
        <v>26</v>
      </c>
      <c r="J3909" t="s">
        <v>5533</v>
      </c>
      <c r="K3909" t="s">
        <v>108</v>
      </c>
      <c r="L3909" t="s">
        <v>151</v>
      </c>
      <c r="M3909" t="s">
        <v>112</v>
      </c>
      <c r="N3909" t="s">
        <v>98</v>
      </c>
      <c r="O3909" t="s">
        <v>1345</v>
      </c>
    </row>
    <row r="3910" spans="1:15" x14ac:dyDescent="0.3">
      <c r="A3910" s="130">
        <v>22105</v>
      </c>
      <c r="B3910" s="130">
        <v>90</v>
      </c>
      <c r="C3910" s="130" t="s">
        <v>5534</v>
      </c>
      <c r="D3910">
        <v>33525</v>
      </c>
      <c r="E3910" s="130">
        <v>655209</v>
      </c>
      <c r="F3910" t="s">
        <v>87</v>
      </c>
      <c r="G3910">
        <v>76</v>
      </c>
      <c r="H3910" t="s">
        <v>8953</v>
      </c>
      <c r="I3910" s="131">
        <v>9</v>
      </c>
      <c r="J3910" t="s">
        <v>5534</v>
      </c>
      <c r="K3910" t="s">
        <v>95</v>
      </c>
      <c r="L3910" t="s">
        <v>181</v>
      </c>
      <c r="M3910" t="s">
        <v>170</v>
      </c>
      <c r="N3910" t="s">
        <v>114</v>
      </c>
      <c r="O3910" t="s">
        <v>116</v>
      </c>
    </row>
    <row r="3911" spans="1:15" x14ac:dyDescent="0.3">
      <c r="A3911" s="130">
        <v>22106</v>
      </c>
      <c r="B3911" s="130">
        <v>10</v>
      </c>
      <c r="C3911" s="130" t="s">
        <v>5535</v>
      </c>
      <c r="D3911">
        <v>33529</v>
      </c>
      <c r="E3911" s="130">
        <v>10016341</v>
      </c>
      <c r="F3911" t="s">
        <v>87</v>
      </c>
      <c r="G3911">
        <v>76</v>
      </c>
      <c r="H3911" t="s">
        <v>8951</v>
      </c>
      <c r="I3911" s="130">
        <v>3</v>
      </c>
      <c r="J3911" t="s">
        <v>5535</v>
      </c>
      <c r="K3911" t="s">
        <v>108</v>
      </c>
      <c r="L3911" t="s">
        <v>1293</v>
      </c>
      <c r="M3911" t="s">
        <v>133</v>
      </c>
      <c r="N3911" t="s">
        <v>98</v>
      </c>
      <c r="O3911" t="s">
        <v>116</v>
      </c>
    </row>
    <row r="3912" spans="1:15" x14ac:dyDescent="0.3">
      <c r="A3912" s="130">
        <v>22110</v>
      </c>
      <c r="B3912" s="130">
        <v>10</v>
      </c>
      <c r="C3912" s="130" t="s">
        <v>5536</v>
      </c>
      <c r="D3912">
        <v>33532</v>
      </c>
      <c r="E3912" s="131">
        <v>49738424</v>
      </c>
      <c r="F3912" t="s">
        <v>87</v>
      </c>
      <c r="G3912">
        <v>76</v>
      </c>
      <c r="H3912" t="s">
        <v>8952</v>
      </c>
      <c r="I3912" s="130">
        <v>3</v>
      </c>
      <c r="J3912" t="s">
        <v>5536</v>
      </c>
      <c r="K3912" t="s">
        <v>108</v>
      </c>
      <c r="L3912" t="s">
        <v>1293</v>
      </c>
      <c r="M3912" t="s">
        <v>133</v>
      </c>
      <c r="N3912" t="s">
        <v>101</v>
      </c>
      <c r="O3912" t="s">
        <v>1345</v>
      </c>
    </row>
    <row r="3913" spans="1:15" x14ac:dyDescent="0.3">
      <c r="A3913" s="130">
        <v>22118</v>
      </c>
      <c r="B3913" s="130">
        <v>30</v>
      </c>
      <c r="C3913" s="130" t="s">
        <v>5537</v>
      </c>
      <c r="D3913">
        <v>33540</v>
      </c>
      <c r="E3913" s="130">
        <v>34562112</v>
      </c>
      <c r="F3913" t="s">
        <v>87</v>
      </c>
      <c r="G3913">
        <v>76</v>
      </c>
      <c r="H3913" t="s">
        <v>8953</v>
      </c>
      <c r="I3913" s="131">
        <v>24</v>
      </c>
      <c r="J3913" t="s">
        <v>5537</v>
      </c>
      <c r="K3913" t="s">
        <v>95</v>
      </c>
      <c r="L3913" t="s">
        <v>191</v>
      </c>
      <c r="M3913" t="s">
        <v>103</v>
      </c>
      <c r="N3913" t="s">
        <v>107</v>
      </c>
      <c r="O3913" t="s">
        <v>116</v>
      </c>
    </row>
    <row r="3914" spans="1:15" x14ac:dyDescent="0.3">
      <c r="A3914" s="130">
        <v>22124</v>
      </c>
      <c r="B3914" s="130">
        <v>30</v>
      </c>
      <c r="C3914" s="130" t="s">
        <v>5538</v>
      </c>
      <c r="D3914">
        <v>33554</v>
      </c>
      <c r="E3914" s="130">
        <v>35234509</v>
      </c>
      <c r="F3914" t="s">
        <v>87</v>
      </c>
      <c r="G3914">
        <v>76</v>
      </c>
      <c r="H3914" t="s">
        <v>8951</v>
      </c>
      <c r="I3914" s="130">
        <v>24</v>
      </c>
      <c r="J3914" t="s">
        <v>5538</v>
      </c>
      <c r="K3914" t="s">
        <v>95</v>
      </c>
      <c r="L3914" t="s">
        <v>102</v>
      </c>
      <c r="M3914" t="s">
        <v>103</v>
      </c>
      <c r="N3914" t="s">
        <v>98</v>
      </c>
      <c r="O3914" t="s">
        <v>1256</v>
      </c>
    </row>
    <row r="3915" spans="1:15" x14ac:dyDescent="0.3">
      <c r="A3915" s="130">
        <v>22129</v>
      </c>
      <c r="B3915" s="130">
        <v>30</v>
      </c>
      <c r="C3915" s="130" t="s">
        <v>5539</v>
      </c>
      <c r="D3915">
        <v>33562</v>
      </c>
      <c r="E3915" s="130">
        <v>15010167</v>
      </c>
      <c r="F3915" t="s">
        <v>87</v>
      </c>
      <c r="G3915">
        <v>76</v>
      </c>
      <c r="H3915" t="s">
        <v>8952</v>
      </c>
      <c r="I3915" s="131">
        <v>38</v>
      </c>
      <c r="J3915" t="s">
        <v>5539</v>
      </c>
      <c r="K3915" t="s">
        <v>108</v>
      </c>
      <c r="L3915" t="s">
        <v>126</v>
      </c>
      <c r="M3915" t="s">
        <v>103</v>
      </c>
      <c r="N3915" t="s">
        <v>101</v>
      </c>
      <c r="O3915" t="s">
        <v>116</v>
      </c>
    </row>
    <row r="3916" spans="1:15" x14ac:dyDescent="0.3">
      <c r="A3916" s="130">
        <v>22145</v>
      </c>
      <c r="B3916" s="130">
        <v>20</v>
      </c>
      <c r="C3916" s="130" t="s">
        <v>5540</v>
      </c>
      <c r="D3916">
        <v>33595</v>
      </c>
      <c r="E3916" s="131">
        <v>19314966</v>
      </c>
      <c r="F3916" t="s">
        <v>87</v>
      </c>
      <c r="G3916">
        <v>76</v>
      </c>
      <c r="H3916" t="s">
        <v>8953</v>
      </c>
      <c r="I3916" s="130">
        <v>19</v>
      </c>
      <c r="J3916" t="s">
        <v>5540</v>
      </c>
      <c r="K3916" t="s">
        <v>108</v>
      </c>
      <c r="L3916" t="s">
        <v>252</v>
      </c>
      <c r="M3916" t="s">
        <v>148</v>
      </c>
      <c r="N3916" t="s">
        <v>98</v>
      </c>
      <c r="O3916" t="s">
        <v>1345</v>
      </c>
    </row>
    <row r="3917" spans="1:15" x14ac:dyDescent="0.3">
      <c r="A3917" s="130">
        <v>22147</v>
      </c>
      <c r="B3917" s="130">
        <v>10</v>
      </c>
      <c r="C3917" s="130" t="s">
        <v>5541</v>
      </c>
      <c r="D3917">
        <v>33598</v>
      </c>
      <c r="E3917" s="130">
        <v>26389015</v>
      </c>
      <c r="F3917" t="s">
        <v>87</v>
      </c>
      <c r="G3917">
        <v>76</v>
      </c>
      <c r="H3917" t="s">
        <v>8951</v>
      </c>
      <c r="I3917" s="131">
        <v>3</v>
      </c>
      <c r="J3917" t="s">
        <v>5541</v>
      </c>
      <c r="K3917" t="s">
        <v>108</v>
      </c>
      <c r="L3917" t="s">
        <v>1293</v>
      </c>
      <c r="M3917" t="s">
        <v>133</v>
      </c>
      <c r="N3917" t="s">
        <v>98</v>
      </c>
      <c r="O3917" t="s">
        <v>116</v>
      </c>
    </row>
    <row r="3918" spans="1:15" x14ac:dyDescent="0.3">
      <c r="A3918" s="130">
        <v>22165</v>
      </c>
      <c r="B3918" s="130">
        <v>-1</v>
      </c>
      <c r="C3918" s="130" t="s">
        <v>5542</v>
      </c>
      <c r="D3918">
        <v>33625</v>
      </c>
      <c r="E3918" s="130">
        <v>40728379</v>
      </c>
      <c r="F3918" t="s">
        <v>87</v>
      </c>
      <c r="G3918">
        <v>76</v>
      </c>
      <c r="H3918" t="s">
        <v>8952</v>
      </c>
      <c r="I3918" s="130">
        <v>9</v>
      </c>
      <c r="J3918" t="s">
        <v>5542</v>
      </c>
      <c r="K3918" t="s">
        <v>108</v>
      </c>
      <c r="L3918" t="s">
        <v>163</v>
      </c>
      <c r="M3918" t="s">
        <v>174</v>
      </c>
      <c r="N3918" t="s">
        <v>141</v>
      </c>
      <c r="O3918" t="s">
        <v>116</v>
      </c>
    </row>
    <row r="3919" spans="1:15" x14ac:dyDescent="0.3">
      <c r="A3919" s="130">
        <v>22169</v>
      </c>
      <c r="B3919" s="130">
        <v>-1</v>
      </c>
      <c r="C3919" s="130" t="s">
        <v>5543</v>
      </c>
      <c r="D3919">
        <v>33631</v>
      </c>
      <c r="E3919" s="131">
        <v>11727356</v>
      </c>
      <c r="F3919" t="s">
        <v>87</v>
      </c>
      <c r="G3919">
        <v>76</v>
      </c>
      <c r="H3919" t="s">
        <v>8953</v>
      </c>
      <c r="I3919" s="131">
        <v>3</v>
      </c>
      <c r="J3919" t="s">
        <v>5543</v>
      </c>
      <c r="K3919" t="s">
        <v>108</v>
      </c>
      <c r="L3919" t="s">
        <v>111</v>
      </c>
      <c r="M3919" t="s">
        <v>174</v>
      </c>
      <c r="N3919" t="s">
        <v>152</v>
      </c>
      <c r="O3919" t="s">
        <v>1345</v>
      </c>
    </row>
    <row r="3920" spans="1:15" x14ac:dyDescent="0.3">
      <c r="A3920" s="130">
        <v>22179</v>
      </c>
      <c r="B3920" s="130">
        <v>30</v>
      </c>
      <c r="C3920" s="130" t="s">
        <v>5544</v>
      </c>
      <c r="D3920">
        <v>33653</v>
      </c>
      <c r="E3920" s="130">
        <v>51466860</v>
      </c>
      <c r="F3920" t="s">
        <v>87</v>
      </c>
      <c r="G3920">
        <v>76</v>
      </c>
      <c r="H3920" t="s">
        <v>8951</v>
      </c>
      <c r="I3920" s="130">
        <v>37</v>
      </c>
      <c r="J3920" t="s">
        <v>5544</v>
      </c>
      <c r="K3920" t="s">
        <v>95</v>
      </c>
      <c r="L3920" t="s">
        <v>144</v>
      </c>
      <c r="M3920" t="s">
        <v>103</v>
      </c>
      <c r="N3920" t="s">
        <v>141</v>
      </c>
      <c r="O3920" t="s">
        <v>116</v>
      </c>
    </row>
    <row r="3921" spans="1:15" x14ac:dyDescent="0.3">
      <c r="A3921" s="130">
        <v>22197</v>
      </c>
      <c r="B3921" s="130">
        <v>21</v>
      </c>
      <c r="C3921" s="130" t="s">
        <v>5545</v>
      </c>
      <c r="D3921">
        <v>33679</v>
      </c>
      <c r="E3921" s="130">
        <v>22811775</v>
      </c>
      <c r="F3921" t="s">
        <v>87</v>
      </c>
      <c r="G3921">
        <v>76</v>
      </c>
      <c r="H3921" t="s">
        <v>8952</v>
      </c>
      <c r="I3921" s="131">
        <v>24</v>
      </c>
      <c r="J3921" t="s">
        <v>5545</v>
      </c>
      <c r="K3921" t="s">
        <v>108</v>
      </c>
      <c r="L3921" t="s">
        <v>240</v>
      </c>
      <c r="M3921" t="s">
        <v>137</v>
      </c>
      <c r="N3921" t="s">
        <v>101</v>
      </c>
      <c r="O3921" t="s">
        <v>116</v>
      </c>
    </row>
    <row r="3922" spans="1:15" x14ac:dyDescent="0.3">
      <c r="A3922" s="130">
        <v>22203</v>
      </c>
      <c r="B3922" s="130">
        <v>30</v>
      </c>
      <c r="C3922" s="130" t="s">
        <v>5546</v>
      </c>
      <c r="D3922">
        <v>33614</v>
      </c>
      <c r="E3922" s="130">
        <v>1595865</v>
      </c>
      <c r="F3922" t="s">
        <v>87</v>
      </c>
      <c r="G3922">
        <v>76</v>
      </c>
      <c r="H3922" t="s">
        <v>8953</v>
      </c>
      <c r="I3922" s="130">
        <v>18</v>
      </c>
      <c r="J3922" t="s">
        <v>5546</v>
      </c>
      <c r="K3922" t="s">
        <v>95</v>
      </c>
      <c r="L3922" t="s">
        <v>123</v>
      </c>
      <c r="M3922" t="s">
        <v>103</v>
      </c>
      <c r="N3922" t="s">
        <v>98</v>
      </c>
      <c r="O3922" t="s">
        <v>116</v>
      </c>
    </row>
    <row r="3923" spans="1:15" x14ac:dyDescent="0.3">
      <c r="A3923" s="130">
        <v>22217</v>
      </c>
      <c r="B3923" s="130">
        <v>30</v>
      </c>
      <c r="C3923" s="130" t="s">
        <v>5547</v>
      </c>
      <c r="D3923">
        <v>33708</v>
      </c>
      <c r="E3923" s="131">
        <v>29316596</v>
      </c>
      <c r="F3923" t="s">
        <v>87</v>
      </c>
      <c r="G3923">
        <v>358</v>
      </c>
      <c r="H3923" t="s">
        <v>8951</v>
      </c>
      <c r="I3923" s="131">
        <v>9</v>
      </c>
      <c r="J3923" t="s">
        <v>5547</v>
      </c>
      <c r="K3923" t="s">
        <v>95</v>
      </c>
      <c r="L3923" t="s">
        <v>109</v>
      </c>
      <c r="M3923" t="s">
        <v>103</v>
      </c>
      <c r="N3923" t="s">
        <v>98</v>
      </c>
      <c r="O3923" t="s">
        <v>116</v>
      </c>
    </row>
    <row r="3924" spans="1:15" x14ac:dyDescent="0.3">
      <c r="A3924" s="130">
        <v>22219</v>
      </c>
      <c r="B3924" s="130">
        <v>20</v>
      </c>
      <c r="C3924" s="130" t="s">
        <v>5548</v>
      </c>
      <c r="D3924">
        <v>33714</v>
      </c>
      <c r="E3924" s="130">
        <v>10670301</v>
      </c>
      <c r="F3924" t="s">
        <v>87</v>
      </c>
      <c r="G3924">
        <v>76</v>
      </c>
      <c r="H3924" t="s">
        <v>8952</v>
      </c>
      <c r="I3924" s="130">
        <v>19</v>
      </c>
      <c r="J3924" t="s">
        <v>5548</v>
      </c>
      <c r="K3924" t="s">
        <v>108</v>
      </c>
      <c r="L3924" t="s">
        <v>252</v>
      </c>
      <c r="M3924" t="s">
        <v>148</v>
      </c>
      <c r="N3924" t="s">
        <v>150</v>
      </c>
      <c r="O3924" t="s">
        <v>116</v>
      </c>
    </row>
    <row r="3925" spans="1:15" x14ac:dyDescent="0.3">
      <c r="A3925" s="130">
        <v>22222</v>
      </c>
      <c r="B3925" s="130">
        <v>18</v>
      </c>
      <c r="C3925" s="130" t="s">
        <v>5549</v>
      </c>
      <c r="D3925">
        <v>33723</v>
      </c>
      <c r="E3925" s="130">
        <v>89033914115</v>
      </c>
      <c r="F3925" t="s">
        <v>87</v>
      </c>
      <c r="G3925">
        <v>76</v>
      </c>
      <c r="H3925" t="s">
        <v>8953</v>
      </c>
      <c r="I3925" s="130">
        <v>37</v>
      </c>
      <c r="J3925" t="s">
        <v>5549</v>
      </c>
      <c r="K3925" t="s">
        <v>108</v>
      </c>
      <c r="L3925" t="s">
        <v>138</v>
      </c>
      <c r="M3925" t="s">
        <v>112</v>
      </c>
      <c r="N3925" t="s">
        <v>110</v>
      </c>
      <c r="O3925" t="s">
        <v>116</v>
      </c>
    </row>
    <row r="3926" spans="1:15" x14ac:dyDescent="0.3">
      <c r="A3926" s="130">
        <v>22226</v>
      </c>
      <c r="B3926" s="130" t="s">
        <v>1375</v>
      </c>
      <c r="C3926" s="130" t="s">
        <v>5550</v>
      </c>
      <c r="D3926">
        <v>33733</v>
      </c>
      <c r="E3926" s="130">
        <v>54883194</v>
      </c>
      <c r="F3926" t="s">
        <v>87</v>
      </c>
      <c r="G3926">
        <v>76</v>
      </c>
      <c r="H3926" t="s">
        <v>8951</v>
      </c>
      <c r="I3926" s="130">
        <v>10</v>
      </c>
      <c r="J3926" t="s">
        <v>5550</v>
      </c>
      <c r="K3926" t="s">
        <v>95</v>
      </c>
      <c r="L3926" t="s">
        <v>127</v>
      </c>
      <c r="M3926" t="s">
        <v>1375</v>
      </c>
      <c r="N3926" t="s">
        <v>98</v>
      </c>
      <c r="O3926" t="s">
        <v>1345</v>
      </c>
    </row>
    <row r="3927" spans="1:15" x14ac:dyDescent="0.3">
      <c r="A3927" s="130">
        <v>22227</v>
      </c>
      <c r="B3927" s="130">
        <v>28</v>
      </c>
      <c r="C3927" s="130" t="s">
        <v>5551</v>
      </c>
      <c r="D3927">
        <v>33734</v>
      </c>
      <c r="E3927" s="130">
        <v>117842</v>
      </c>
      <c r="F3927" t="s">
        <v>87</v>
      </c>
      <c r="G3927">
        <v>76</v>
      </c>
      <c r="H3927" t="s">
        <v>8952</v>
      </c>
      <c r="I3927" s="131">
        <v>43</v>
      </c>
      <c r="J3927" t="s">
        <v>5551</v>
      </c>
      <c r="K3927" t="s">
        <v>95</v>
      </c>
      <c r="L3927" t="s">
        <v>1241</v>
      </c>
      <c r="M3927" t="s">
        <v>130</v>
      </c>
      <c r="N3927" t="s">
        <v>141</v>
      </c>
      <c r="O3927" t="s">
        <v>1256</v>
      </c>
    </row>
    <row r="3928" spans="1:15" x14ac:dyDescent="0.3">
      <c r="A3928" s="130">
        <v>22228</v>
      </c>
      <c r="B3928" s="130">
        <v>60</v>
      </c>
      <c r="C3928" s="130" t="s">
        <v>5552</v>
      </c>
      <c r="D3928">
        <v>33721</v>
      </c>
      <c r="E3928" s="131">
        <v>924429</v>
      </c>
      <c r="F3928" t="s">
        <v>87</v>
      </c>
      <c r="G3928">
        <v>77</v>
      </c>
      <c r="H3928" t="s">
        <v>8953</v>
      </c>
      <c r="I3928" s="130">
        <v>3</v>
      </c>
      <c r="J3928" t="s">
        <v>5552</v>
      </c>
      <c r="K3928" t="s">
        <v>95</v>
      </c>
      <c r="L3928" t="s">
        <v>235</v>
      </c>
      <c r="M3928" t="s">
        <v>97</v>
      </c>
      <c r="N3928" t="s">
        <v>122</v>
      </c>
      <c r="O3928" t="s">
        <v>116</v>
      </c>
    </row>
    <row r="3929" spans="1:15" x14ac:dyDescent="0.3">
      <c r="A3929" s="130">
        <v>22229</v>
      </c>
      <c r="B3929" s="130">
        <v>60</v>
      </c>
      <c r="C3929" s="130" t="s">
        <v>5553</v>
      </c>
      <c r="D3929">
        <v>33722</v>
      </c>
      <c r="E3929" s="130">
        <v>924429</v>
      </c>
      <c r="F3929" t="s">
        <v>87</v>
      </c>
      <c r="G3929">
        <v>77</v>
      </c>
      <c r="H3929" t="s">
        <v>8951</v>
      </c>
      <c r="I3929" s="131">
        <v>3</v>
      </c>
      <c r="J3929" t="s">
        <v>5553</v>
      </c>
      <c r="K3929" t="s">
        <v>95</v>
      </c>
      <c r="L3929" t="s">
        <v>235</v>
      </c>
      <c r="M3929" t="s">
        <v>97</v>
      </c>
      <c r="N3929" t="s">
        <v>122</v>
      </c>
      <c r="O3929" t="s">
        <v>116</v>
      </c>
    </row>
    <row r="3930" spans="1:15" x14ac:dyDescent="0.3">
      <c r="A3930" s="130">
        <v>22230</v>
      </c>
      <c r="B3930" s="130">
        <v>60</v>
      </c>
      <c r="C3930" s="130" t="s">
        <v>5554</v>
      </c>
      <c r="D3930">
        <v>33728</v>
      </c>
      <c r="E3930" s="131">
        <v>924429</v>
      </c>
      <c r="F3930" t="s">
        <v>87</v>
      </c>
      <c r="G3930">
        <v>77</v>
      </c>
      <c r="H3930" t="s">
        <v>8952</v>
      </c>
      <c r="I3930" s="131">
        <v>3</v>
      </c>
      <c r="J3930" t="s">
        <v>5554</v>
      </c>
      <c r="K3930" t="s">
        <v>95</v>
      </c>
      <c r="L3930" t="s">
        <v>235</v>
      </c>
      <c r="M3930" t="s">
        <v>97</v>
      </c>
      <c r="N3930" t="s">
        <v>122</v>
      </c>
      <c r="O3930" t="s">
        <v>116</v>
      </c>
    </row>
    <row r="3931" spans="1:15" x14ac:dyDescent="0.3">
      <c r="A3931" s="130">
        <v>22231</v>
      </c>
      <c r="B3931" s="130">
        <v>18</v>
      </c>
      <c r="C3931" s="130" t="s">
        <v>5555</v>
      </c>
      <c r="D3931">
        <v>33736</v>
      </c>
      <c r="E3931" s="130">
        <v>10571491</v>
      </c>
      <c r="F3931" t="s">
        <v>87</v>
      </c>
      <c r="G3931">
        <v>76</v>
      </c>
      <c r="H3931" t="s">
        <v>8953</v>
      </c>
      <c r="I3931" s="131">
        <v>10</v>
      </c>
      <c r="J3931" t="s">
        <v>5555</v>
      </c>
      <c r="K3931" t="s">
        <v>95</v>
      </c>
      <c r="L3931" t="s">
        <v>127</v>
      </c>
      <c r="M3931" t="s">
        <v>112</v>
      </c>
      <c r="N3931" t="s">
        <v>98</v>
      </c>
      <c r="O3931" t="s">
        <v>1345</v>
      </c>
    </row>
    <row r="3932" spans="1:15" x14ac:dyDescent="0.3">
      <c r="A3932" s="130">
        <v>22232</v>
      </c>
      <c r="B3932" s="130">
        <v>60</v>
      </c>
      <c r="C3932" s="130" t="s">
        <v>5556</v>
      </c>
      <c r="D3932">
        <v>33727</v>
      </c>
      <c r="E3932" s="130">
        <v>924429</v>
      </c>
      <c r="F3932" t="s">
        <v>87</v>
      </c>
      <c r="G3932">
        <v>77</v>
      </c>
      <c r="H3932" t="s">
        <v>8951</v>
      </c>
      <c r="I3932" s="131">
        <v>3</v>
      </c>
      <c r="J3932" t="s">
        <v>5556</v>
      </c>
      <c r="K3932" t="s">
        <v>95</v>
      </c>
      <c r="L3932" t="s">
        <v>235</v>
      </c>
      <c r="M3932" t="s">
        <v>97</v>
      </c>
      <c r="N3932" t="s">
        <v>122</v>
      </c>
      <c r="O3932" t="s">
        <v>116</v>
      </c>
    </row>
    <row r="3933" spans="1:15" x14ac:dyDescent="0.3">
      <c r="A3933" s="130">
        <v>22233</v>
      </c>
      <c r="B3933" s="130">
        <v>60</v>
      </c>
      <c r="C3933" s="130" t="s">
        <v>5557</v>
      </c>
      <c r="D3933">
        <v>33729</v>
      </c>
      <c r="E3933" s="131">
        <v>924429</v>
      </c>
      <c r="F3933" t="s">
        <v>87</v>
      </c>
      <c r="G3933">
        <v>77</v>
      </c>
      <c r="H3933" t="s">
        <v>8952</v>
      </c>
      <c r="I3933" s="131">
        <v>3</v>
      </c>
      <c r="J3933" t="s">
        <v>5557</v>
      </c>
      <c r="K3933" t="s">
        <v>95</v>
      </c>
      <c r="L3933" t="s">
        <v>235</v>
      </c>
      <c r="M3933" t="s">
        <v>97</v>
      </c>
      <c r="N3933" t="s">
        <v>122</v>
      </c>
      <c r="O3933" t="s">
        <v>116</v>
      </c>
    </row>
    <row r="3934" spans="1:15" x14ac:dyDescent="0.3">
      <c r="A3934" s="130">
        <v>22235</v>
      </c>
      <c r="B3934" s="130">
        <v>60</v>
      </c>
      <c r="C3934" s="130" t="s">
        <v>5558</v>
      </c>
      <c r="D3934">
        <v>33732</v>
      </c>
      <c r="E3934" s="130">
        <v>9257877</v>
      </c>
      <c r="F3934" t="s">
        <v>87</v>
      </c>
      <c r="G3934">
        <v>77</v>
      </c>
      <c r="H3934" t="s">
        <v>8953</v>
      </c>
      <c r="I3934" s="130">
        <v>3</v>
      </c>
      <c r="J3934" t="s">
        <v>5558</v>
      </c>
      <c r="K3934" t="s">
        <v>95</v>
      </c>
      <c r="L3934" t="s">
        <v>235</v>
      </c>
      <c r="M3934" t="s">
        <v>97</v>
      </c>
      <c r="N3934" t="s">
        <v>122</v>
      </c>
      <c r="O3934" t="s">
        <v>116</v>
      </c>
    </row>
    <row r="3935" spans="1:15" x14ac:dyDescent="0.3">
      <c r="A3935" s="130">
        <v>22236</v>
      </c>
      <c r="B3935" s="130">
        <v>60</v>
      </c>
      <c r="C3935" s="130" t="s">
        <v>5559</v>
      </c>
      <c r="D3935">
        <v>33725</v>
      </c>
      <c r="E3935" s="130">
        <v>924429</v>
      </c>
      <c r="F3935" t="s">
        <v>87</v>
      </c>
      <c r="G3935">
        <v>77</v>
      </c>
      <c r="H3935" t="s">
        <v>8951</v>
      </c>
      <c r="I3935" s="130">
        <v>3</v>
      </c>
      <c r="J3935" t="s">
        <v>5559</v>
      </c>
      <c r="K3935" t="s">
        <v>95</v>
      </c>
      <c r="L3935" t="s">
        <v>235</v>
      </c>
      <c r="M3935" t="s">
        <v>97</v>
      </c>
      <c r="N3935" t="s">
        <v>122</v>
      </c>
      <c r="O3935" t="s">
        <v>116</v>
      </c>
    </row>
    <row r="3936" spans="1:15" x14ac:dyDescent="0.3">
      <c r="A3936" s="130">
        <v>22237</v>
      </c>
      <c r="B3936" s="130">
        <v>60</v>
      </c>
      <c r="C3936" s="130" t="s">
        <v>5560</v>
      </c>
      <c r="D3936">
        <v>33726</v>
      </c>
      <c r="E3936" s="131">
        <v>924429</v>
      </c>
      <c r="F3936" t="s">
        <v>87</v>
      </c>
      <c r="G3936">
        <v>77</v>
      </c>
      <c r="H3936" t="s">
        <v>8952</v>
      </c>
      <c r="I3936" s="130">
        <v>3</v>
      </c>
      <c r="J3936" t="s">
        <v>5560</v>
      </c>
      <c r="K3936" t="s">
        <v>95</v>
      </c>
      <c r="L3936" t="s">
        <v>235</v>
      </c>
      <c r="M3936" t="s">
        <v>97</v>
      </c>
      <c r="N3936" t="s">
        <v>122</v>
      </c>
      <c r="O3936" t="s">
        <v>116</v>
      </c>
    </row>
    <row r="3937" spans="1:15" x14ac:dyDescent="0.3">
      <c r="A3937" s="130">
        <v>22239</v>
      </c>
      <c r="B3937" s="130">
        <v>60</v>
      </c>
      <c r="C3937" s="130" t="s">
        <v>5561</v>
      </c>
      <c r="D3937">
        <v>33716</v>
      </c>
      <c r="E3937" s="131">
        <v>924429</v>
      </c>
      <c r="F3937" t="s">
        <v>87</v>
      </c>
      <c r="G3937">
        <v>77</v>
      </c>
      <c r="H3937" t="s">
        <v>8953</v>
      </c>
      <c r="I3937" s="131">
        <v>3</v>
      </c>
      <c r="J3937" t="s">
        <v>5561</v>
      </c>
      <c r="K3937" t="s">
        <v>95</v>
      </c>
      <c r="L3937" t="s">
        <v>235</v>
      </c>
      <c r="M3937" t="s">
        <v>97</v>
      </c>
      <c r="N3937" t="s">
        <v>122</v>
      </c>
      <c r="O3937" t="s">
        <v>116</v>
      </c>
    </row>
    <row r="3938" spans="1:15" x14ac:dyDescent="0.3">
      <c r="A3938" s="130">
        <v>22240</v>
      </c>
      <c r="B3938" s="130">
        <v>60</v>
      </c>
      <c r="C3938" s="130" t="s">
        <v>5562</v>
      </c>
      <c r="D3938">
        <v>33730</v>
      </c>
      <c r="E3938" s="130">
        <v>924429</v>
      </c>
      <c r="F3938" t="s">
        <v>87</v>
      </c>
      <c r="G3938">
        <v>77</v>
      </c>
      <c r="H3938" t="s">
        <v>8951</v>
      </c>
      <c r="I3938" s="131">
        <v>3</v>
      </c>
      <c r="J3938" t="s">
        <v>5562</v>
      </c>
      <c r="K3938" t="s">
        <v>95</v>
      </c>
      <c r="L3938" t="s">
        <v>117</v>
      </c>
      <c r="M3938" t="s">
        <v>97</v>
      </c>
      <c r="N3938" t="s">
        <v>122</v>
      </c>
      <c r="O3938" t="s">
        <v>116</v>
      </c>
    </row>
    <row r="3939" spans="1:15" x14ac:dyDescent="0.3">
      <c r="A3939" s="130">
        <v>22242</v>
      </c>
      <c r="B3939" s="130">
        <v>28</v>
      </c>
      <c r="C3939" s="130" t="s">
        <v>5563</v>
      </c>
      <c r="D3939">
        <v>33742</v>
      </c>
      <c r="E3939" s="130">
        <v>51466860</v>
      </c>
      <c r="F3939" t="s">
        <v>87</v>
      </c>
      <c r="G3939">
        <v>76</v>
      </c>
      <c r="H3939" t="s">
        <v>8952</v>
      </c>
      <c r="I3939" s="131">
        <v>37</v>
      </c>
      <c r="J3939" t="s">
        <v>5563</v>
      </c>
      <c r="K3939" t="s">
        <v>95</v>
      </c>
      <c r="L3939" t="s">
        <v>144</v>
      </c>
      <c r="M3939" t="s">
        <v>130</v>
      </c>
      <c r="N3939" t="s">
        <v>141</v>
      </c>
      <c r="O3939" t="s">
        <v>116</v>
      </c>
    </row>
    <row r="3940" spans="1:15" x14ac:dyDescent="0.3">
      <c r="A3940" s="130">
        <v>22250</v>
      </c>
      <c r="B3940" s="130">
        <v>30</v>
      </c>
      <c r="C3940" s="130" t="s">
        <v>5564</v>
      </c>
      <c r="D3940">
        <v>33750</v>
      </c>
      <c r="E3940" s="131">
        <v>77591402</v>
      </c>
      <c r="F3940" t="s">
        <v>87</v>
      </c>
      <c r="G3940">
        <v>76</v>
      </c>
      <c r="H3940" t="s">
        <v>8953</v>
      </c>
      <c r="I3940" s="130">
        <v>10</v>
      </c>
      <c r="J3940" t="s">
        <v>5564</v>
      </c>
      <c r="K3940" t="s">
        <v>108</v>
      </c>
      <c r="L3940" t="s">
        <v>111</v>
      </c>
      <c r="M3940" t="s">
        <v>103</v>
      </c>
      <c r="N3940" t="s">
        <v>98</v>
      </c>
      <c r="O3940" t="s">
        <v>116</v>
      </c>
    </row>
    <row r="3941" spans="1:15" x14ac:dyDescent="0.3">
      <c r="A3941" s="130">
        <v>22254</v>
      </c>
      <c r="B3941" s="130">
        <v>60</v>
      </c>
      <c r="C3941" s="130" t="s">
        <v>5565</v>
      </c>
      <c r="D3941">
        <v>33754</v>
      </c>
      <c r="E3941" s="131">
        <v>33592510</v>
      </c>
      <c r="F3941" t="s">
        <v>87</v>
      </c>
      <c r="G3941">
        <v>77</v>
      </c>
      <c r="H3941" t="s">
        <v>8951</v>
      </c>
      <c r="I3941" s="130">
        <v>26</v>
      </c>
      <c r="J3941" t="s">
        <v>5565</v>
      </c>
      <c r="K3941" t="s">
        <v>95</v>
      </c>
      <c r="L3941" t="s">
        <v>256</v>
      </c>
      <c r="M3941" t="s">
        <v>97</v>
      </c>
      <c r="N3941" t="s">
        <v>118</v>
      </c>
      <c r="O3941" t="s">
        <v>116</v>
      </c>
    </row>
    <row r="3942" spans="1:15" x14ac:dyDescent="0.3">
      <c r="A3942" s="130">
        <v>22255</v>
      </c>
      <c r="B3942" s="130">
        <v>15</v>
      </c>
      <c r="C3942" s="130" t="s">
        <v>5566</v>
      </c>
      <c r="D3942">
        <v>33755</v>
      </c>
      <c r="E3942" s="131">
        <v>61584223</v>
      </c>
      <c r="F3942" t="s">
        <v>87</v>
      </c>
      <c r="G3942">
        <v>76</v>
      </c>
      <c r="H3942" t="s">
        <v>8952</v>
      </c>
      <c r="I3942" s="130">
        <v>3</v>
      </c>
      <c r="J3942" t="s">
        <v>5566</v>
      </c>
      <c r="K3942" t="s">
        <v>95</v>
      </c>
      <c r="L3942" t="s">
        <v>102</v>
      </c>
      <c r="M3942" t="s">
        <v>145</v>
      </c>
      <c r="N3942" t="s">
        <v>98</v>
      </c>
      <c r="O3942" t="s">
        <v>1345</v>
      </c>
    </row>
    <row r="3943" spans="1:15" x14ac:dyDescent="0.3">
      <c r="A3943" s="130">
        <v>22268</v>
      </c>
      <c r="B3943" s="130">
        <v>30</v>
      </c>
      <c r="C3943" s="130" t="s">
        <v>5567</v>
      </c>
      <c r="D3943">
        <v>33715</v>
      </c>
      <c r="E3943" s="131">
        <v>393826</v>
      </c>
      <c r="F3943" t="s">
        <v>87</v>
      </c>
      <c r="G3943">
        <v>76</v>
      </c>
      <c r="H3943" t="s">
        <v>8953</v>
      </c>
      <c r="I3943" s="131">
        <v>18</v>
      </c>
      <c r="J3943" t="s">
        <v>5567</v>
      </c>
      <c r="K3943" t="s">
        <v>108</v>
      </c>
      <c r="L3943" t="s">
        <v>253</v>
      </c>
      <c r="M3943" t="s">
        <v>103</v>
      </c>
      <c r="N3943" t="s">
        <v>98</v>
      </c>
      <c r="O3943" t="s">
        <v>1256</v>
      </c>
    </row>
    <row r="3944" spans="1:15" x14ac:dyDescent="0.3">
      <c r="A3944" s="130">
        <v>22270</v>
      </c>
      <c r="B3944" s="130" t="s">
        <v>255</v>
      </c>
      <c r="C3944" s="130" t="s">
        <v>5568</v>
      </c>
      <c r="D3944">
        <v>33781</v>
      </c>
      <c r="E3944" s="130">
        <v>43939204</v>
      </c>
      <c r="F3944" t="s">
        <v>87</v>
      </c>
      <c r="G3944">
        <v>76</v>
      </c>
      <c r="H3944" t="s">
        <v>8951</v>
      </c>
      <c r="I3944" s="131">
        <v>18</v>
      </c>
      <c r="J3944" t="s">
        <v>5568</v>
      </c>
      <c r="K3944" t="s">
        <v>95</v>
      </c>
      <c r="L3944" t="s">
        <v>123</v>
      </c>
      <c r="M3944" t="s">
        <v>255</v>
      </c>
      <c r="N3944" t="s">
        <v>98</v>
      </c>
      <c r="O3944" t="s">
        <v>116</v>
      </c>
    </row>
    <row r="3945" spans="1:15" x14ac:dyDescent="0.3">
      <c r="A3945" s="130">
        <v>22284</v>
      </c>
      <c r="B3945" s="130">
        <v>10</v>
      </c>
      <c r="C3945" s="130" t="s">
        <v>5569</v>
      </c>
      <c r="D3945">
        <v>33801</v>
      </c>
      <c r="E3945" s="130">
        <v>71351019</v>
      </c>
      <c r="F3945" t="s">
        <v>87</v>
      </c>
      <c r="G3945">
        <v>76</v>
      </c>
      <c r="H3945" t="s">
        <v>8952</v>
      </c>
      <c r="I3945" s="130">
        <v>3</v>
      </c>
      <c r="J3945" t="s">
        <v>5569</v>
      </c>
      <c r="K3945" t="s">
        <v>108</v>
      </c>
      <c r="L3945" t="s">
        <v>153</v>
      </c>
      <c r="M3945" t="s">
        <v>133</v>
      </c>
      <c r="N3945" t="s">
        <v>98</v>
      </c>
      <c r="O3945" t="s">
        <v>116</v>
      </c>
    </row>
    <row r="3946" spans="1:15" x14ac:dyDescent="0.3">
      <c r="A3946" s="130">
        <v>22285</v>
      </c>
      <c r="B3946" s="130">
        <v>18</v>
      </c>
      <c r="C3946" s="130" t="s">
        <v>5570</v>
      </c>
      <c r="D3946">
        <v>33788</v>
      </c>
      <c r="E3946" s="130">
        <v>10314959</v>
      </c>
      <c r="F3946" t="s">
        <v>87</v>
      </c>
      <c r="G3946">
        <v>76</v>
      </c>
      <c r="H3946" t="s">
        <v>8953</v>
      </c>
      <c r="I3946" s="131">
        <v>18</v>
      </c>
      <c r="J3946" t="s">
        <v>5570</v>
      </c>
      <c r="K3946" t="s">
        <v>108</v>
      </c>
      <c r="L3946" t="s">
        <v>253</v>
      </c>
      <c r="M3946" t="s">
        <v>112</v>
      </c>
      <c r="N3946" t="s">
        <v>98</v>
      </c>
      <c r="O3946" t="s">
        <v>1256</v>
      </c>
    </row>
    <row r="3947" spans="1:15" x14ac:dyDescent="0.3">
      <c r="A3947" s="130">
        <v>22289</v>
      </c>
      <c r="B3947" s="130">
        <v>18</v>
      </c>
      <c r="C3947" s="130" t="s">
        <v>5571</v>
      </c>
      <c r="D3947">
        <v>33809</v>
      </c>
      <c r="E3947" s="130">
        <v>17216052</v>
      </c>
      <c r="F3947" t="s">
        <v>87</v>
      </c>
      <c r="G3947">
        <v>358</v>
      </c>
      <c r="H3947" t="s">
        <v>8951</v>
      </c>
      <c r="I3947" s="130">
        <v>3</v>
      </c>
      <c r="J3947" t="s">
        <v>5571</v>
      </c>
      <c r="K3947" t="s">
        <v>95</v>
      </c>
      <c r="L3947" t="s">
        <v>105</v>
      </c>
      <c r="M3947" t="s">
        <v>112</v>
      </c>
      <c r="N3947" t="s">
        <v>98</v>
      </c>
      <c r="O3947" t="s">
        <v>116</v>
      </c>
    </row>
    <row r="3948" spans="1:15" x14ac:dyDescent="0.3">
      <c r="A3948" s="130">
        <v>22290</v>
      </c>
      <c r="B3948" s="130">
        <v>18</v>
      </c>
      <c r="C3948" s="130" t="s">
        <v>5572</v>
      </c>
      <c r="D3948">
        <v>33807</v>
      </c>
      <c r="E3948" s="131">
        <v>39740084</v>
      </c>
      <c r="F3948" t="s">
        <v>87</v>
      </c>
      <c r="G3948">
        <v>76</v>
      </c>
      <c r="H3948" t="s">
        <v>8952</v>
      </c>
      <c r="I3948" s="131">
        <v>26</v>
      </c>
      <c r="J3948" t="s">
        <v>5572</v>
      </c>
      <c r="K3948" t="s">
        <v>108</v>
      </c>
      <c r="L3948" t="s">
        <v>151</v>
      </c>
      <c r="M3948" t="s">
        <v>112</v>
      </c>
      <c r="N3948" t="s">
        <v>98</v>
      </c>
      <c r="O3948" t="s">
        <v>1345</v>
      </c>
    </row>
    <row r="3949" spans="1:15" x14ac:dyDescent="0.3">
      <c r="A3949" s="130">
        <v>22292</v>
      </c>
      <c r="B3949" s="130">
        <v>-1</v>
      </c>
      <c r="C3949" s="130" t="s">
        <v>5573</v>
      </c>
      <c r="D3949">
        <v>33817</v>
      </c>
      <c r="E3949" s="130">
        <v>13668556</v>
      </c>
      <c r="F3949" t="s">
        <v>87</v>
      </c>
      <c r="G3949">
        <v>76</v>
      </c>
      <c r="H3949" t="s">
        <v>8953</v>
      </c>
      <c r="I3949" s="131">
        <v>3</v>
      </c>
      <c r="J3949" t="s">
        <v>5573</v>
      </c>
      <c r="K3949" t="s">
        <v>108</v>
      </c>
      <c r="L3949" t="s">
        <v>1293</v>
      </c>
      <c r="M3949" t="s">
        <v>174</v>
      </c>
      <c r="N3949" t="s">
        <v>152</v>
      </c>
      <c r="O3949" t="s">
        <v>1345</v>
      </c>
    </row>
    <row r="3950" spans="1:15" x14ac:dyDescent="0.3">
      <c r="A3950" s="130">
        <v>22296</v>
      </c>
      <c r="B3950" s="130">
        <v>45</v>
      </c>
      <c r="C3950" s="130" t="s">
        <v>5574</v>
      </c>
      <c r="D3950">
        <v>33822</v>
      </c>
      <c r="E3950" s="130">
        <v>2502844</v>
      </c>
      <c r="F3950" t="s">
        <v>87</v>
      </c>
      <c r="G3950">
        <v>76</v>
      </c>
      <c r="H3950" t="s">
        <v>8951</v>
      </c>
      <c r="I3950" s="131">
        <v>24</v>
      </c>
      <c r="J3950" t="s">
        <v>5574</v>
      </c>
      <c r="K3950" t="s">
        <v>108</v>
      </c>
      <c r="L3950" t="s">
        <v>191</v>
      </c>
      <c r="M3950" t="s">
        <v>106</v>
      </c>
      <c r="N3950" t="s">
        <v>122</v>
      </c>
      <c r="O3950" t="s">
        <v>116</v>
      </c>
    </row>
    <row r="3951" spans="1:15" x14ac:dyDescent="0.3">
      <c r="A3951" s="130">
        <v>22298</v>
      </c>
      <c r="B3951" s="130">
        <v>30</v>
      </c>
      <c r="C3951" s="130" t="s">
        <v>5575</v>
      </c>
      <c r="D3951">
        <v>33827</v>
      </c>
      <c r="E3951" s="130">
        <v>16956443</v>
      </c>
      <c r="F3951" t="s">
        <v>87</v>
      </c>
      <c r="G3951">
        <v>76</v>
      </c>
      <c r="H3951" t="s">
        <v>8952</v>
      </c>
      <c r="I3951" s="131">
        <v>3</v>
      </c>
      <c r="J3951" t="s">
        <v>5575</v>
      </c>
      <c r="K3951" t="s">
        <v>95</v>
      </c>
      <c r="L3951" t="s">
        <v>111</v>
      </c>
      <c r="M3951" t="s">
        <v>103</v>
      </c>
      <c r="N3951" t="s">
        <v>98</v>
      </c>
      <c r="O3951" t="s">
        <v>116</v>
      </c>
    </row>
    <row r="3952" spans="1:15" x14ac:dyDescent="0.3">
      <c r="A3952" s="130">
        <v>22299</v>
      </c>
      <c r="B3952" s="130">
        <v>30</v>
      </c>
      <c r="C3952" s="130" t="s">
        <v>5576</v>
      </c>
      <c r="D3952">
        <v>33830</v>
      </c>
      <c r="E3952" s="130">
        <v>60701521</v>
      </c>
      <c r="F3952" t="s">
        <v>87</v>
      </c>
      <c r="G3952">
        <v>76</v>
      </c>
      <c r="H3952" t="s">
        <v>8953</v>
      </c>
      <c r="I3952" s="131">
        <v>43</v>
      </c>
      <c r="J3952" t="s">
        <v>5576</v>
      </c>
      <c r="K3952" t="s">
        <v>95</v>
      </c>
      <c r="L3952" t="s">
        <v>138</v>
      </c>
      <c r="M3952" t="s">
        <v>103</v>
      </c>
      <c r="N3952" t="s">
        <v>162</v>
      </c>
      <c r="O3952" t="s">
        <v>116</v>
      </c>
    </row>
    <row r="3953" spans="1:15" x14ac:dyDescent="0.3">
      <c r="A3953" s="130">
        <v>22302</v>
      </c>
      <c r="B3953" s="130">
        <v>30</v>
      </c>
      <c r="C3953" s="130" t="s">
        <v>5577</v>
      </c>
      <c r="D3953">
        <v>33838</v>
      </c>
      <c r="E3953" s="130">
        <v>60701521</v>
      </c>
      <c r="F3953" t="s">
        <v>87</v>
      </c>
      <c r="G3953">
        <v>76</v>
      </c>
      <c r="H3953" t="s">
        <v>8951</v>
      </c>
      <c r="I3953" s="130">
        <v>3</v>
      </c>
      <c r="J3953" t="s">
        <v>5577</v>
      </c>
      <c r="K3953" t="s">
        <v>95</v>
      </c>
      <c r="L3953" t="s">
        <v>138</v>
      </c>
      <c r="M3953" t="s">
        <v>103</v>
      </c>
      <c r="N3953" t="s">
        <v>162</v>
      </c>
      <c r="O3953" t="s">
        <v>116</v>
      </c>
    </row>
    <row r="3954" spans="1:15" x14ac:dyDescent="0.3">
      <c r="A3954" s="130">
        <v>22303</v>
      </c>
      <c r="B3954" s="130">
        <v>10</v>
      </c>
      <c r="C3954" s="130" t="s">
        <v>5578</v>
      </c>
      <c r="D3954">
        <v>33840</v>
      </c>
      <c r="E3954" s="130">
        <v>26745556</v>
      </c>
      <c r="F3954" t="s">
        <v>87</v>
      </c>
      <c r="G3954">
        <v>76</v>
      </c>
      <c r="H3954" t="s">
        <v>8952</v>
      </c>
      <c r="I3954" s="131">
        <v>24</v>
      </c>
      <c r="J3954" t="s">
        <v>5578</v>
      </c>
      <c r="K3954" t="s">
        <v>108</v>
      </c>
      <c r="L3954" t="s">
        <v>120</v>
      </c>
      <c r="M3954" t="s">
        <v>133</v>
      </c>
      <c r="N3954" t="s">
        <v>98</v>
      </c>
      <c r="O3954" t="s">
        <v>116</v>
      </c>
    </row>
    <row r="3955" spans="1:15" x14ac:dyDescent="0.3">
      <c r="A3955" s="130">
        <v>22317</v>
      </c>
      <c r="B3955" s="130">
        <v>10</v>
      </c>
      <c r="C3955" s="130" t="s">
        <v>5579</v>
      </c>
      <c r="D3955">
        <v>33854</v>
      </c>
      <c r="E3955" s="130">
        <v>17668852</v>
      </c>
      <c r="F3955" t="s">
        <v>87</v>
      </c>
      <c r="G3955">
        <v>76</v>
      </c>
      <c r="H3955" t="s">
        <v>8953</v>
      </c>
      <c r="I3955" s="130">
        <v>18</v>
      </c>
      <c r="J3955" t="s">
        <v>5579</v>
      </c>
      <c r="K3955" t="s">
        <v>108</v>
      </c>
      <c r="L3955" t="s">
        <v>1293</v>
      </c>
      <c r="M3955" t="s">
        <v>133</v>
      </c>
      <c r="N3955" t="s">
        <v>98</v>
      </c>
      <c r="O3955" t="s">
        <v>116</v>
      </c>
    </row>
    <row r="3956" spans="1:15" x14ac:dyDescent="0.3">
      <c r="A3956" s="130">
        <v>22333</v>
      </c>
      <c r="B3956" s="130">
        <v>30</v>
      </c>
      <c r="C3956" s="130" t="s">
        <v>5580</v>
      </c>
      <c r="D3956">
        <v>33872</v>
      </c>
      <c r="E3956" s="131">
        <v>31036200</v>
      </c>
      <c r="F3956" t="s">
        <v>87</v>
      </c>
      <c r="G3956">
        <v>76</v>
      </c>
      <c r="H3956" t="s">
        <v>8951</v>
      </c>
      <c r="I3956" s="131">
        <v>10</v>
      </c>
      <c r="J3956" t="s">
        <v>5580</v>
      </c>
      <c r="K3956" t="s">
        <v>108</v>
      </c>
      <c r="L3956" t="s">
        <v>127</v>
      </c>
      <c r="M3956" t="s">
        <v>103</v>
      </c>
      <c r="N3956" t="s">
        <v>98</v>
      </c>
      <c r="O3956" t="s">
        <v>116</v>
      </c>
    </row>
    <row r="3957" spans="1:15" x14ac:dyDescent="0.3">
      <c r="A3957" s="130">
        <v>22335</v>
      </c>
      <c r="B3957" s="130">
        <v>30</v>
      </c>
      <c r="C3957" s="130" t="s">
        <v>5581</v>
      </c>
      <c r="D3957">
        <v>33874</v>
      </c>
      <c r="E3957" s="130">
        <v>31036200</v>
      </c>
      <c r="F3957" t="s">
        <v>87</v>
      </c>
      <c r="G3957">
        <v>76</v>
      </c>
      <c r="H3957" t="s">
        <v>8952</v>
      </c>
      <c r="I3957" s="131">
        <v>10</v>
      </c>
      <c r="J3957" t="s">
        <v>5581</v>
      </c>
      <c r="K3957" t="s">
        <v>95</v>
      </c>
      <c r="L3957" t="s">
        <v>127</v>
      </c>
      <c r="M3957" t="s">
        <v>103</v>
      </c>
      <c r="N3957" t="s">
        <v>98</v>
      </c>
      <c r="O3957" t="s">
        <v>116</v>
      </c>
    </row>
    <row r="3958" spans="1:15" x14ac:dyDescent="0.3">
      <c r="A3958" s="130">
        <v>22338</v>
      </c>
      <c r="B3958" s="130">
        <v>30</v>
      </c>
      <c r="C3958" s="130" t="s">
        <v>5582</v>
      </c>
      <c r="D3958">
        <v>33881</v>
      </c>
      <c r="E3958" s="130">
        <v>183256</v>
      </c>
      <c r="F3958" t="s">
        <v>87</v>
      </c>
      <c r="G3958">
        <v>32947</v>
      </c>
      <c r="H3958" t="s">
        <v>8953</v>
      </c>
      <c r="I3958" s="130">
        <v>9</v>
      </c>
      <c r="J3958" t="s">
        <v>5582</v>
      </c>
      <c r="K3958" t="s">
        <v>95</v>
      </c>
      <c r="L3958" t="s">
        <v>109</v>
      </c>
      <c r="M3958" t="s">
        <v>103</v>
      </c>
      <c r="N3958" t="s">
        <v>98</v>
      </c>
      <c r="O3958" t="s">
        <v>116</v>
      </c>
    </row>
    <row r="3959" spans="1:15" x14ac:dyDescent="0.3">
      <c r="A3959" s="130">
        <v>22356</v>
      </c>
      <c r="B3959" s="130">
        <v>30</v>
      </c>
      <c r="C3959" s="130" t="s">
        <v>5583</v>
      </c>
      <c r="D3959">
        <v>33917</v>
      </c>
      <c r="E3959" s="130">
        <v>36178464</v>
      </c>
      <c r="F3959" t="s">
        <v>87</v>
      </c>
      <c r="G3959">
        <v>76</v>
      </c>
      <c r="H3959" t="s">
        <v>8951</v>
      </c>
      <c r="I3959" s="131">
        <v>37</v>
      </c>
      <c r="J3959" t="s">
        <v>5583</v>
      </c>
      <c r="K3959" t="s">
        <v>95</v>
      </c>
      <c r="L3959" t="s">
        <v>138</v>
      </c>
      <c r="M3959" t="s">
        <v>103</v>
      </c>
      <c r="N3959" t="s">
        <v>150</v>
      </c>
      <c r="O3959" t="s">
        <v>1345</v>
      </c>
    </row>
    <row r="3960" spans="1:15" x14ac:dyDescent="0.3">
      <c r="A3960" s="130">
        <v>22365</v>
      </c>
      <c r="B3960" s="130">
        <v>0</v>
      </c>
      <c r="C3960" s="130" t="s">
        <v>5584</v>
      </c>
      <c r="D3960">
        <v>33928</v>
      </c>
      <c r="E3960" s="131">
        <v>30816989</v>
      </c>
      <c r="F3960" t="s">
        <v>87</v>
      </c>
      <c r="G3960">
        <v>76</v>
      </c>
      <c r="H3960" t="s">
        <v>8952</v>
      </c>
      <c r="I3960" s="131">
        <v>24</v>
      </c>
      <c r="J3960" t="s">
        <v>5584</v>
      </c>
      <c r="K3960" t="s">
        <v>108</v>
      </c>
      <c r="L3960" t="s">
        <v>191</v>
      </c>
      <c r="M3960" t="s">
        <v>100</v>
      </c>
      <c r="N3960" t="s">
        <v>98</v>
      </c>
      <c r="O3960" t="s">
        <v>116</v>
      </c>
    </row>
    <row r="3961" spans="1:15" x14ac:dyDescent="0.3">
      <c r="A3961" s="130">
        <v>22382</v>
      </c>
      <c r="B3961" s="130">
        <v>30</v>
      </c>
      <c r="C3961" s="130" t="s">
        <v>5585</v>
      </c>
      <c r="D3961">
        <v>33950</v>
      </c>
      <c r="E3961" s="131">
        <v>68119866</v>
      </c>
      <c r="F3961" t="s">
        <v>87</v>
      </c>
      <c r="G3961">
        <v>76</v>
      </c>
      <c r="H3961" t="s">
        <v>8953</v>
      </c>
      <c r="I3961" s="131">
        <v>24</v>
      </c>
      <c r="J3961" t="s">
        <v>5585</v>
      </c>
      <c r="K3961" t="s">
        <v>95</v>
      </c>
      <c r="L3961" t="s">
        <v>191</v>
      </c>
      <c r="M3961" t="s">
        <v>103</v>
      </c>
      <c r="N3961" t="s">
        <v>98</v>
      </c>
      <c r="O3961" t="s">
        <v>116</v>
      </c>
    </row>
    <row r="3962" spans="1:15" x14ac:dyDescent="0.3">
      <c r="A3962" s="130">
        <v>22384</v>
      </c>
      <c r="B3962" s="130">
        <v>18</v>
      </c>
      <c r="C3962" s="130" t="s">
        <v>5586</v>
      </c>
      <c r="D3962">
        <v>33952</v>
      </c>
      <c r="E3962" s="130">
        <v>17828802</v>
      </c>
      <c r="F3962" t="s">
        <v>87</v>
      </c>
      <c r="G3962">
        <v>76</v>
      </c>
      <c r="H3962" t="s">
        <v>8951</v>
      </c>
      <c r="I3962" s="130">
        <v>37</v>
      </c>
      <c r="J3962" t="s">
        <v>5586</v>
      </c>
      <c r="K3962" t="s">
        <v>108</v>
      </c>
      <c r="L3962" t="s">
        <v>138</v>
      </c>
      <c r="M3962" t="s">
        <v>112</v>
      </c>
      <c r="N3962" t="s">
        <v>124</v>
      </c>
      <c r="O3962" t="s">
        <v>1345</v>
      </c>
    </row>
    <row r="3963" spans="1:15" x14ac:dyDescent="0.3">
      <c r="A3963" s="130">
        <v>22386</v>
      </c>
      <c r="B3963" s="130">
        <v>90</v>
      </c>
      <c r="C3963" s="130" t="s">
        <v>5587</v>
      </c>
      <c r="D3963">
        <v>33960</v>
      </c>
      <c r="E3963" s="130">
        <v>35234509</v>
      </c>
      <c r="F3963" t="s">
        <v>87</v>
      </c>
      <c r="G3963">
        <v>76</v>
      </c>
      <c r="H3963" t="s">
        <v>8952</v>
      </c>
      <c r="I3963" s="130">
        <v>24</v>
      </c>
      <c r="J3963" t="s">
        <v>5587</v>
      </c>
      <c r="K3963" t="s">
        <v>95</v>
      </c>
      <c r="L3963" t="s">
        <v>102</v>
      </c>
      <c r="M3963" t="s">
        <v>170</v>
      </c>
      <c r="N3963" t="s">
        <v>98</v>
      </c>
      <c r="O3963" t="s">
        <v>116</v>
      </c>
    </row>
    <row r="3964" spans="1:15" x14ac:dyDescent="0.3">
      <c r="A3964" s="130">
        <v>22400</v>
      </c>
      <c r="B3964" s="130">
        <v>10</v>
      </c>
      <c r="C3964" s="130" t="s">
        <v>5588</v>
      </c>
      <c r="D3964">
        <v>33965</v>
      </c>
      <c r="E3964" s="130">
        <v>10630328</v>
      </c>
      <c r="F3964" t="s">
        <v>87</v>
      </c>
      <c r="G3964">
        <v>358</v>
      </c>
      <c r="H3964" t="s">
        <v>8953</v>
      </c>
      <c r="I3964" s="130">
        <v>3</v>
      </c>
      <c r="J3964" t="s">
        <v>5588</v>
      </c>
      <c r="K3964" t="s">
        <v>95</v>
      </c>
      <c r="L3964" t="s">
        <v>109</v>
      </c>
      <c r="M3964" t="s">
        <v>133</v>
      </c>
      <c r="N3964" t="s">
        <v>98</v>
      </c>
      <c r="O3964" t="s">
        <v>116</v>
      </c>
    </row>
    <row r="3965" spans="1:15" x14ac:dyDescent="0.3">
      <c r="A3965" s="130">
        <v>22401</v>
      </c>
      <c r="B3965" s="130">
        <v>30</v>
      </c>
      <c r="C3965" s="130" t="s">
        <v>5589</v>
      </c>
      <c r="D3965">
        <v>33967</v>
      </c>
      <c r="E3965" s="131">
        <v>24013278</v>
      </c>
      <c r="F3965" t="s">
        <v>87</v>
      </c>
      <c r="G3965">
        <v>76</v>
      </c>
      <c r="H3965" t="s">
        <v>8951</v>
      </c>
      <c r="I3965" s="130">
        <v>28</v>
      </c>
      <c r="J3965" t="s">
        <v>5589</v>
      </c>
      <c r="K3965" t="s">
        <v>95</v>
      </c>
      <c r="L3965" t="s">
        <v>102</v>
      </c>
      <c r="M3965" t="s">
        <v>103</v>
      </c>
      <c r="N3965" t="s">
        <v>98</v>
      </c>
      <c r="O3965" t="s">
        <v>116</v>
      </c>
    </row>
    <row r="3966" spans="1:15" x14ac:dyDescent="0.3">
      <c r="A3966" s="130">
        <v>22402</v>
      </c>
      <c r="B3966" s="130">
        <v>28</v>
      </c>
      <c r="C3966" s="130" t="s">
        <v>5590</v>
      </c>
      <c r="D3966">
        <v>33927</v>
      </c>
      <c r="E3966" s="131">
        <v>1476404</v>
      </c>
      <c r="F3966" t="s">
        <v>113</v>
      </c>
      <c r="G3966">
        <v>76</v>
      </c>
      <c r="H3966" t="s">
        <v>8952</v>
      </c>
      <c r="I3966" s="131">
        <v>18</v>
      </c>
      <c r="J3966" t="s">
        <v>5590</v>
      </c>
      <c r="K3966" t="s">
        <v>108</v>
      </c>
      <c r="L3966" t="s">
        <v>253</v>
      </c>
      <c r="M3966" t="s">
        <v>130</v>
      </c>
      <c r="N3966" t="s">
        <v>131</v>
      </c>
      <c r="O3966" t="s">
        <v>1256</v>
      </c>
    </row>
    <row r="3967" spans="1:15" x14ac:dyDescent="0.3">
      <c r="A3967" s="130">
        <v>22404</v>
      </c>
      <c r="B3967" s="130">
        <v>60</v>
      </c>
      <c r="C3967" s="130" t="s">
        <v>5591</v>
      </c>
      <c r="D3967">
        <v>33973</v>
      </c>
      <c r="E3967" s="130">
        <v>33592510</v>
      </c>
      <c r="F3967" t="s">
        <v>87</v>
      </c>
      <c r="G3967">
        <v>77</v>
      </c>
      <c r="H3967" t="s">
        <v>8953</v>
      </c>
      <c r="I3967" s="131">
        <v>54</v>
      </c>
      <c r="J3967" t="s">
        <v>5591</v>
      </c>
      <c r="K3967" t="s">
        <v>95</v>
      </c>
      <c r="L3967" t="s">
        <v>235</v>
      </c>
      <c r="M3967" t="s">
        <v>97</v>
      </c>
      <c r="N3967" t="s">
        <v>118</v>
      </c>
      <c r="O3967" t="s">
        <v>116</v>
      </c>
    </row>
    <row r="3968" spans="1:15" x14ac:dyDescent="0.3">
      <c r="A3968" s="130">
        <v>22405</v>
      </c>
      <c r="B3968" s="130">
        <v>30</v>
      </c>
      <c r="C3968" s="130" t="s">
        <v>5592</v>
      </c>
      <c r="D3968">
        <v>33974</v>
      </c>
      <c r="E3968" s="130">
        <v>14309248</v>
      </c>
      <c r="F3968" t="s">
        <v>87</v>
      </c>
      <c r="G3968">
        <v>32947</v>
      </c>
      <c r="H3968" t="s">
        <v>8951</v>
      </c>
      <c r="I3968" s="130">
        <v>3</v>
      </c>
      <c r="J3968" t="s">
        <v>5592</v>
      </c>
      <c r="K3968" t="s">
        <v>108</v>
      </c>
      <c r="L3968" t="s">
        <v>109</v>
      </c>
      <c r="M3968" t="s">
        <v>103</v>
      </c>
      <c r="N3968" t="s">
        <v>98</v>
      </c>
      <c r="O3968" t="s">
        <v>116</v>
      </c>
    </row>
    <row r="3969" spans="1:15" x14ac:dyDescent="0.3">
      <c r="A3969" s="130">
        <v>22407</v>
      </c>
      <c r="B3969" s="130">
        <v>0</v>
      </c>
      <c r="C3969" s="130" t="s">
        <v>5593</v>
      </c>
      <c r="D3969">
        <v>33977</v>
      </c>
      <c r="E3969" s="131">
        <v>7319674</v>
      </c>
      <c r="F3969" t="s">
        <v>87</v>
      </c>
      <c r="G3969">
        <v>76</v>
      </c>
      <c r="H3969" t="s">
        <v>8952</v>
      </c>
      <c r="I3969" s="131">
        <v>26</v>
      </c>
      <c r="J3969" t="s">
        <v>5593</v>
      </c>
      <c r="K3969" t="s">
        <v>108</v>
      </c>
      <c r="L3969" t="s">
        <v>151</v>
      </c>
      <c r="M3969" t="s">
        <v>100</v>
      </c>
      <c r="N3969" t="s">
        <v>98</v>
      </c>
      <c r="O3969" t="s">
        <v>1345</v>
      </c>
    </row>
    <row r="3970" spans="1:15" x14ac:dyDescent="0.3">
      <c r="A3970" s="130">
        <v>22408</v>
      </c>
      <c r="B3970" s="130">
        <v>30</v>
      </c>
      <c r="C3970" s="130" t="s">
        <v>5594</v>
      </c>
      <c r="D3970">
        <v>33979</v>
      </c>
      <c r="E3970" s="131">
        <v>33193996</v>
      </c>
      <c r="F3970" t="s">
        <v>87</v>
      </c>
      <c r="G3970">
        <v>76</v>
      </c>
      <c r="H3970" t="s">
        <v>8953</v>
      </c>
      <c r="I3970" s="130">
        <v>10</v>
      </c>
      <c r="J3970" t="s">
        <v>5594</v>
      </c>
      <c r="K3970" t="s">
        <v>95</v>
      </c>
      <c r="L3970" t="s">
        <v>127</v>
      </c>
      <c r="M3970" t="s">
        <v>103</v>
      </c>
      <c r="N3970" t="s">
        <v>118</v>
      </c>
      <c r="O3970" t="s">
        <v>116</v>
      </c>
    </row>
    <row r="3971" spans="1:15" x14ac:dyDescent="0.3">
      <c r="A3971" s="130">
        <v>22415</v>
      </c>
      <c r="B3971" s="130">
        <v>90</v>
      </c>
      <c r="C3971" s="130" t="s">
        <v>5595</v>
      </c>
      <c r="D3971">
        <v>33987</v>
      </c>
      <c r="E3971" s="130">
        <v>35234509</v>
      </c>
      <c r="F3971" t="s">
        <v>87</v>
      </c>
      <c r="G3971">
        <v>76</v>
      </c>
      <c r="H3971" t="s">
        <v>8951</v>
      </c>
      <c r="I3971" s="130">
        <v>24</v>
      </c>
      <c r="J3971" t="s">
        <v>5595</v>
      </c>
      <c r="K3971" t="s">
        <v>95</v>
      </c>
      <c r="L3971" t="s">
        <v>102</v>
      </c>
      <c r="M3971" t="s">
        <v>170</v>
      </c>
      <c r="N3971" t="s">
        <v>98</v>
      </c>
      <c r="O3971" t="s">
        <v>116</v>
      </c>
    </row>
    <row r="3972" spans="1:15" x14ac:dyDescent="0.3">
      <c r="A3972" s="130">
        <v>22418</v>
      </c>
      <c r="B3972" s="130">
        <v>28</v>
      </c>
      <c r="C3972" s="130" t="s">
        <v>5596</v>
      </c>
      <c r="D3972">
        <v>33989</v>
      </c>
      <c r="E3972" s="131">
        <v>10637819</v>
      </c>
      <c r="F3972" t="s">
        <v>113</v>
      </c>
      <c r="G3972">
        <v>76</v>
      </c>
      <c r="H3972" t="s">
        <v>8952</v>
      </c>
      <c r="I3972" s="130">
        <v>43</v>
      </c>
      <c r="J3972" t="s">
        <v>5596</v>
      </c>
      <c r="K3972" t="s">
        <v>95</v>
      </c>
      <c r="L3972" t="s">
        <v>1241</v>
      </c>
      <c r="M3972" t="s">
        <v>130</v>
      </c>
      <c r="N3972" t="s">
        <v>101</v>
      </c>
      <c r="O3972" t="s">
        <v>1256</v>
      </c>
    </row>
    <row r="3973" spans="1:15" x14ac:dyDescent="0.3">
      <c r="A3973" s="130">
        <v>22422</v>
      </c>
      <c r="B3973" s="130">
        <v>30</v>
      </c>
      <c r="C3973" s="130" t="s">
        <v>5597</v>
      </c>
      <c r="D3973">
        <v>33999</v>
      </c>
      <c r="E3973" s="130">
        <v>41757442</v>
      </c>
      <c r="F3973" t="s">
        <v>87</v>
      </c>
      <c r="G3973">
        <v>76</v>
      </c>
      <c r="H3973" t="s">
        <v>8953</v>
      </c>
      <c r="I3973" s="130">
        <v>37</v>
      </c>
      <c r="J3973" t="s">
        <v>5597</v>
      </c>
      <c r="K3973" t="s">
        <v>108</v>
      </c>
      <c r="L3973" t="s">
        <v>144</v>
      </c>
      <c r="M3973" t="s">
        <v>103</v>
      </c>
      <c r="N3973" t="s">
        <v>98</v>
      </c>
      <c r="O3973" t="s">
        <v>116</v>
      </c>
    </row>
    <row r="3974" spans="1:15" x14ac:dyDescent="0.3">
      <c r="A3974" s="130">
        <v>22424</v>
      </c>
      <c r="B3974" s="130">
        <v>30</v>
      </c>
      <c r="C3974" s="130" t="s">
        <v>5598</v>
      </c>
      <c r="D3974">
        <v>34002</v>
      </c>
      <c r="E3974" s="130">
        <v>4618010</v>
      </c>
      <c r="F3974" t="s">
        <v>87</v>
      </c>
      <c r="G3974">
        <v>76</v>
      </c>
      <c r="H3974" t="s">
        <v>8951</v>
      </c>
      <c r="I3974" s="131">
        <v>24</v>
      </c>
      <c r="J3974" t="s">
        <v>5598</v>
      </c>
      <c r="K3974" t="s">
        <v>108</v>
      </c>
      <c r="L3974" t="s">
        <v>240</v>
      </c>
      <c r="M3974" t="s">
        <v>103</v>
      </c>
      <c r="N3974" t="s">
        <v>98</v>
      </c>
      <c r="O3974" t="s">
        <v>116</v>
      </c>
    </row>
    <row r="3975" spans="1:15" x14ac:dyDescent="0.3">
      <c r="A3975" s="130">
        <v>22429</v>
      </c>
      <c r="B3975" s="130">
        <v>18</v>
      </c>
      <c r="C3975" s="130" t="s">
        <v>5599</v>
      </c>
      <c r="D3975">
        <v>34010</v>
      </c>
      <c r="E3975" s="130">
        <v>15402673</v>
      </c>
      <c r="F3975" t="s">
        <v>113</v>
      </c>
      <c r="G3975">
        <v>76</v>
      </c>
      <c r="H3975" t="s">
        <v>8952</v>
      </c>
      <c r="I3975" s="130">
        <v>18</v>
      </c>
      <c r="J3975" t="s">
        <v>5599</v>
      </c>
      <c r="K3975" t="s">
        <v>108</v>
      </c>
      <c r="L3975" t="s">
        <v>253</v>
      </c>
      <c r="M3975" t="s">
        <v>112</v>
      </c>
      <c r="N3975" t="s">
        <v>98</v>
      </c>
      <c r="O3975" t="s">
        <v>1256</v>
      </c>
    </row>
    <row r="3976" spans="1:15" x14ac:dyDescent="0.3">
      <c r="A3976" s="130">
        <v>22431</v>
      </c>
      <c r="B3976" s="130">
        <v>28</v>
      </c>
      <c r="C3976" s="130" t="s">
        <v>5600</v>
      </c>
      <c r="D3976">
        <v>33969</v>
      </c>
      <c r="E3976" s="131">
        <v>21268307</v>
      </c>
      <c r="F3976" t="s">
        <v>87</v>
      </c>
      <c r="G3976">
        <v>76</v>
      </c>
      <c r="H3976" t="s">
        <v>8953</v>
      </c>
      <c r="I3976" s="131">
        <v>18</v>
      </c>
      <c r="J3976" t="s">
        <v>5600</v>
      </c>
      <c r="K3976" t="s">
        <v>108</v>
      </c>
      <c r="L3976" t="s">
        <v>253</v>
      </c>
      <c r="M3976" t="s">
        <v>130</v>
      </c>
      <c r="N3976" t="s">
        <v>114</v>
      </c>
      <c r="O3976" t="s">
        <v>1256</v>
      </c>
    </row>
    <row r="3977" spans="1:15" x14ac:dyDescent="0.3">
      <c r="A3977" s="130">
        <v>22432</v>
      </c>
      <c r="B3977" s="130">
        <v>28</v>
      </c>
      <c r="C3977" s="130" t="s">
        <v>5601</v>
      </c>
      <c r="D3977">
        <v>34022</v>
      </c>
      <c r="E3977" s="131">
        <v>9625762</v>
      </c>
      <c r="F3977" t="s">
        <v>87</v>
      </c>
      <c r="G3977">
        <v>76</v>
      </c>
      <c r="H3977" t="s">
        <v>8951</v>
      </c>
      <c r="I3977" s="131">
        <v>43</v>
      </c>
      <c r="J3977" t="s">
        <v>5601</v>
      </c>
      <c r="K3977" t="s">
        <v>95</v>
      </c>
      <c r="L3977" t="s">
        <v>1241</v>
      </c>
      <c r="M3977" t="s">
        <v>130</v>
      </c>
      <c r="N3977" t="s">
        <v>150</v>
      </c>
      <c r="O3977" t="s">
        <v>1256</v>
      </c>
    </row>
    <row r="3978" spans="1:15" x14ac:dyDescent="0.3">
      <c r="A3978" s="130">
        <v>22435</v>
      </c>
      <c r="B3978" s="130">
        <v>7</v>
      </c>
      <c r="C3978" s="130" t="s">
        <v>5602</v>
      </c>
      <c r="D3978">
        <v>34027</v>
      </c>
      <c r="E3978" s="130">
        <v>11102435</v>
      </c>
      <c r="F3978" t="s">
        <v>87</v>
      </c>
      <c r="G3978">
        <v>76</v>
      </c>
      <c r="H3978" t="s">
        <v>8952</v>
      </c>
      <c r="I3978" s="131">
        <v>37</v>
      </c>
      <c r="J3978" t="s">
        <v>5602</v>
      </c>
      <c r="K3978" t="s">
        <v>108</v>
      </c>
      <c r="L3978" t="s">
        <v>138</v>
      </c>
      <c r="M3978" t="s">
        <v>197</v>
      </c>
      <c r="N3978" t="s">
        <v>150</v>
      </c>
      <c r="O3978" t="s">
        <v>116</v>
      </c>
    </row>
    <row r="3979" spans="1:15" x14ac:dyDescent="0.3">
      <c r="A3979" s="130">
        <v>22437</v>
      </c>
      <c r="B3979" s="130">
        <v>28</v>
      </c>
      <c r="C3979" s="130" t="s">
        <v>5603</v>
      </c>
      <c r="D3979">
        <v>34029</v>
      </c>
      <c r="E3979" s="131">
        <v>32909546</v>
      </c>
      <c r="F3979" t="s">
        <v>87</v>
      </c>
      <c r="G3979">
        <v>76</v>
      </c>
      <c r="H3979" t="s">
        <v>8953</v>
      </c>
      <c r="I3979" s="130">
        <v>24</v>
      </c>
      <c r="J3979" t="s">
        <v>5603</v>
      </c>
      <c r="K3979" t="s">
        <v>95</v>
      </c>
      <c r="L3979" t="s">
        <v>111</v>
      </c>
      <c r="M3979" t="s">
        <v>130</v>
      </c>
      <c r="N3979" t="s">
        <v>98</v>
      </c>
      <c r="O3979" t="s">
        <v>116</v>
      </c>
    </row>
    <row r="3980" spans="1:15" x14ac:dyDescent="0.3">
      <c r="A3980" s="130">
        <v>22438</v>
      </c>
      <c r="B3980" s="130">
        <v>28</v>
      </c>
      <c r="C3980" s="130" t="s">
        <v>5604</v>
      </c>
      <c r="D3980">
        <v>34030</v>
      </c>
      <c r="E3980" s="130">
        <v>32909546</v>
      </c>
      <c r="F3980" t="s">
        <v>87</v>
      </c>
      <c r="G3980">
        <v>76</v>
      </c>
      <c r="H3980" t="s">
        <v>8951</v>
      </c>
      <c r="I3980" s="130">
        <v>18</v>
      </c>
      <c r="J3980" t="s">
        <v>5604</v>
      </c>
      <c r="K3980" t="s">
        <v>95</v>
      </c>
      <c r="L3980" t="s">
        <v>111</v>
      </c>
      <c r="M3980" t="s">
        <v>130</v>
      </c>
      <c r="N3980" t="s">
        <v>98</v>
      </c>
      <c r="O3980" t="s">
        <v>116</v>
      </c>
    </row>
    <row r="3981" spans="1:15" x14ac:dyDescent="0.3">
      <c r="A3981" s="130">
        <v>22439</v>
      </c>
      <c r="B3981" s="130">
        <v>28</v>
      </c>
      <c r="C3981" s="130" t="s">
        <v>5605</v>
      </c>
      <c r="D3981">
        <v>34032</v>
      </c>
      <c r="E3981" s="130">
        <v>32909546</v>
      </c>
      <c r="F3981" t="s">
        <v>87</v>
      </c>
      <c r="G3981">
        <v>76</v>
      </c>
      <c r="H3981" t="s">
        <v>8952</v>
      </c>
      <c r="I3981" s="131">
        <v>26</v>
      </c>
      <c r="J3981" t="s">
        <v>5605</v>
      </c>
      <c r="K3981" t="s">
        <v>95</v>
      </c>
      <c r="L3981" t="s">
        <v>111</v>
      </c>
      <c r="M3981" t="s">
        <v>130</v>
      </c>
      <c r="N3981" t="s">
        <v>98</v>
      </c>
      <c r="O3981" t="s">
        <v>116</v>
      </c>
    </row>
    <row r="3982" spans="1:15" x14ac:dyDescent="0.3">
      <c r="A3982" s="130">
        <v>22441</v>
      </c>
      <c r="B3982" s="130">
        <v>28</v>
      </c>
      <c r="C3982" s="130" t="s">
        <v>5606</v>
      </c>
      <c r="D3982">
        <v>34035</v>
      </c>
      <c r="E3982" s="130">
        <v>8811226</v>
      </c>
      <c r="F3982" t="s">
        <v>87</v>
      </c>
      <c r="G3982">
        <v>76</v>
      </c>
      <c r="H3982" t="s">
        <v>8953</v>
      </c>
      <c r="I3982" s="130">
        <v>43</v>
      </c>
      <c r="J3982" t="s">
        <v>5606</v>
      </c>
      <c r="K3982" t="s">
        <v>95</v>
      </c>
      <c r="L3982" t="s">
        <v>111</v>
      </c>
      <c r="M3982" t="s">
        <v>130</v>
      </c>
      <c r="N3982" t="s">
        <v>98</v>
      </c>
      <c r="O3982" t="s">
        <v>116</v>
      </c>
    </row>
    <row r="3983" spans="1:15" x14ac:dyDescent="0.3">
      <c r="A3983" s="130">
        <v>22449</v>
      </c>
      <c r="B3983" s="130">
        <v>30</v>
      </c>
      <c r="C3983" s="130" t="s">
        <v>5607</v>
      </c>
      <c r="D3983">
        <v>34046</v>
      </c>
      <c r="E3983" s="130">
        <v>19942283</v>
      </c>
      <c r="F3983" t="s">
        <v>87</v>
      </c>
      <c r="G3983">
        <v>76</v>
      </c>
      <c r="H3983" t="s">
        <v>8951</v>
      </c>
      <c r="I3983" s="130">
        <v>3</v>
      </c>
      <c r="J3983" t="s">
        <v>5607</v>
      </c>
      <c r="K3983" t="s">
        <v>95</v>
      </c>
      <c r="L3983" t="s">
        <v>111</v>
      </c>
      <c r="M3983" t="s">
        <v>103</v>
      </c>
      <c r="N3983" t="s">
        <v>98</v>
      </c>
      <c r="O3983" t="s">
        <v>1345</v>
      </c>
    </row>
    <row r="3984" spans="1:15" x14ac:dyDescent="0.3">
      <c r="A3984" s="130">
        <v>22450</v>
      </c>
      <c r="B3984" s="130">
        <v>10</v>
      </c>
      <c r="C3984" s="130" t="s">
        <v>5608</v>
      </c>
      <c r="D3984">
        <v>34048</v>
      </c>
      <c r="E3984" s="130">
        <v>14214776</v>
      </c>
      <c r="F3984" t="s">
        <v>87</v>
      </c>
      <c r="G3984">
        <v>76</v>
      </c>
      <c r="H3984" t="s">
        <v>8952</v>
      </c>
      <c r="I3984" s="131">
        <v>9</v>
      </c>
      <c r="J3984" t="s">
        <v>5608</v>
      </c>
      <c r="K3984" t="s">
        <v>108</v>
      </c>
      <c r="L3984" t="s">
        <v>163</v>
      </c>
      <c r="M3984" t="s">
        <v>133</v>
      </c>
      <c r="N3984" t="s">
        <v>98</v>
      </c>
      <c r="O3984" t="s">
        <v>116</v>
      </c>
    </row>
    <row r="3985" spans="1:15" x14ac:dyDescent="0.3">
      <c r="A3985" s="130">
        <v>22468</v>
      </c>
      <c r="B3985" s="130">
        <v>30</v>
      </c>
      <c r="C3985" s="130" t="s">
        <v>5609</v>
      </c>
      <c r="D3985">
        <v>34080</v>
      </c>
      <c r="E3985" s="130">
        <v>7563796</v>
      </c>
      <c r="F3985" t="s">
        <v>87</v>
      </c>
      <c r="G3985">
        <v>32947</v>
      </c>
      <c r="H3985" t="s">
        <v>8953</v>
      </c>
      <c r="I3985" s="130">
        <v>3</v>
      </c>
      <c r="J3985" t="s">
        <v>5609</v>
      </c>
      <c r="K3985" t="s">
        <v>108</v>
      </c>
      <c r="L3985" t="s">
        <v>109</v>
      </c>
      <c r="M3985" t="s">
        <v>103</v>
      </c>
      <c r="N3985" t="s">
        <v>150</v>
      </c>
      <c r="O3985" t="s">
        <v>116</v>
      </c>
    </row>
    <row r="3986" spans="1:15" x14ac:dyDescent="0.3">
      <c r="A3986" s="130">
        <v>22473</v>
      </c>
      <c r="B3986" s="130">
        <v>30</v>
      </c>
      <c r="C3986" s="130" t="s">
        <v>5610</v>
      </c>
      <c r="D3986">
        <v>34086</v>
      </c>
      <c r="E3986" s="130">
        <v>15063096</v>
      </c>
      <c r="F3986" t="s">
        <v>87</v>
      </c>
      <c r="G3986">
        <v>76</v>
      </c>
      <c r="H3986" t="s">
        <v>8951</v>
      </c>
      <c r="I3986" s="131">
        <v>10</v>
      </c>
      <c r="J3986" t="s">
        <v>5610</v>
      </c>
      <c r="K3986" t="s">
        <v>95</v>
      </c>
      <c r="L3986" t="s">
        <v>127</v>
      </c>
      <c r="M3986" t="s">
        <v>103</v>
      </c>
      <c r="N3986" t="s">
        <v>118</v>
      </c>
      <c r="O3986" t="s">
        <v>116</v>
      </c>
    </row>
    <row r="3987" spans="1:15" x14ac:dyDescent="0.3">
      <c r="A3987" s="130">
        <v>22480</v>
      </c>
      <c r="B3987" s="130">
        <v>10</v>
      </c>
      <c r="C3987" s="130" t="s">
        <v>5611</v>
      </c>
      <c r="D3987">
        <v>34093</v>
      </c>
      <c r="E3987" s="131">
        <v>19215318</v>
      </c>
      <c r="F3987" t="s">
        <v>87</v>
      </c>
      <c r="G3987">
        <v>76</v>
      </c>
      <c r="H3987" t="s">
        <v>8952</v>
      </c>
      <c r="I3987" s="131">
        <v>3</v>
      </c>
      <c r="J3987" t="s">
        <v>5611</v>
      </c>
      <c r="K3987" t="s">
        <v>108</v>
      </c>
      <c r="L3987" t="s">
        <v>153</v>
      </c>
      <c r="M3987" t="s">
        <v>133</v>
      </c>
      <c r="N3987" t="s">
        <v>150</v>
      </c>
      <c r="O3987" t="s">
        <v>116</v>
      </c>
    </row>
    <row r="3988" spans="1:15" x14ac:dyDescent="0.3">
      <c r="A3988" s="130">
        <v>22483</v>
      </c>
      <c r="B3988" s="130">
        <v>10</v>
      </c>
      <c r="C3988" s="130" t="s">
        <v>5612</v>
      </c>
      <c r="D3988">
        <v>34097</v>
      </c>
      <c r="E3988" s="130">
        <v>3971102</v>
      </c>
      <c r="F3988" t="s">
        <v>113</v>
      </c>
      <c r="G3988">
        <v>76</v>
      </c>
      <c r="H3988" t="s">
        <v>8953</v>
      </c>
      <c r="I3988" s="130">
        <v>3</v>
      </c>
      <c r="J3988" t="s">
        <v>5612</v>
      </c>
      <c r="K3988" t="s">
        <v>108</v>
      </c>
      <c r="L3988" t="s">
        <v>153</v>
      </c>
      <c r="M3988" t="s">
        <v>133</v>
      </c>
      <c r="N3988" t="s">
        <v>98</v>
      </c>
      <c r="O3988" t="s">
        <v>1256</v>
      </c>
    </row>
    <row r="3989" spans="1:15" x14ac:dyDescent="0.3">
      <c r="A3989" s="130">
        <v>22484</v>
      </c>
      <c r="B3989" s="130">
        <v>18</v>
      </c>
      <c r="C3989" s="130" t="s">
        <v>5613</v>
      </c>
      <c r="D3989">
        <v>34098</v>
      </c>
      <c r="E3989" s="131">
        <v>20611180</v>
      </c>
      <c r="F3989" t="s">
        <v>87</v>
      </c>
      <c r="G3989">
        <v>76</v>
      </c>
      <c r="H3989" t="s">
        <v>8951</v>
      </c>
      <c r="I3989" s="130">
        <v>10</v>
      </c>
      <c r="J3989" t="s">
        <v>5613</v>
      </c>
      <c r="K3989" t="s">
        <v>108</v>
      </c>
      <c r="L3989" t="s">
        <v>127</v>
      </c>
      <c r="M3989" t="s">
        <v>112</v>
      </c>
      <c r="N3989" t="s">
        <v>101</v>
      </c>
      <c r="O3989" t="s">
        <v>1345</v>
      </c>
    </row>
    <row r="3990" spans="1:15" x14ac:dyDescent="0.3">
      <c r="A3990" s="130">
        <v>22485</v>
      </c>
      <c r="B3990" s="130">
        <v>30</v>
      </c>
      <c r="C3990" s="130" t="s">
        <v>5614</v>
      </c>
      <c r="D3990">
        <v>34103</v>
      </c>
      <c r="E3990" s="131">
        <v>9586433</v>
      </c>
      <c r="F3990" t="s">
        <v>87</v>
      </c>
      <c r="G3990">
        <v>76</v>
      </c>
      <c r="H3990" t="s">
        <v>8952</v>
      </c>
      <c r="I3990" s="130">
        <v>18</v>
      </c>
      <c r="J3990" t="s">
        <v>5614</v>
      </c>
      <c r="K3990" t="s">
        <v>108</v>
      </c>
      <c r="L3990" t="s">
        <v>253</v>
      </c>
      <c r="M3990" t="s">
        <v>103</v>
      </c>
      <c r="N3990" t="s">
        <v>114</v>
      </c>
      <c r="O3990" t="s">
        <v>1256</v>
      </c>
    </row>
    <row r="3991" spans="1:15" x14ac:dyDescent="0.3">
      <c r="A3991" s="130">
        <v>22490</v>
      </c>
      <c r="B3991" s="130">
        <v>0</v>
      </c>
      <c r="C3991" s="130" t="s">
        <v>5615</v>
      </c>
      <c r="D3991">
        <v>33877</v>
      </c>
      <c r="E3991" s="130">
        <v>18677057</v>
      </c>
      <c r="F3991" t="s">
        <v>113</v>
      </c>
      <c r="G3991">
        <v>76</v>
      </c>
      <c r="H3991" t="s">
        <v>8953</v>
      </c>
      <c r="I3991" s="130">
        <v>9</v>
      </c>
      <c r="J3991" t="s">
        <v>5615</v>
      </c>
      <c r="K3991" t="s">
        <v>108</v>
      </c>
      <c r="L3991" t="s">
        <v>1298</v>
      </c>
      <c r="M3991" t="s">
        <v>100</v>
      </c>
      <c r="N3991" t="s">
        <v>98</v>
      </c>
      <c r="O3991" t="s">
        <v>1256</v>
      </c>
    </row>
    <row r="3992" spans="1:15" x14ac:dyDescent="0.3">
      <c r="A3992" s="130">
        <v>22492</v>
      </c>
      <c r="C3992" s="130" t="s">
        <v>5616</v>
      </c>
      <c r="D3992">
        <v>34013</v>
      </c>
      <c r="E3992" s="131">
        <v>56898935</v>
      </c>
      <c r="F3992" t="s">
        <v>113</v>
      </c>
      <c r="G3992">
        <v>76</v>
      </c>
      <c r="H3992" t="s">
        <v>8951</v>
      </c>
      <c r="I3992" s="130">
        <v>18</v>
      </c>
      <c r="J3992" t="s">
        <v>5616</v>
      </c>
      <c r="K3992" t="s">
        <v>95</v>
      </c>
      <c r="L3992" t="s">
        <v>253</v>
      </c>
      <c r="N3992" t="s">
        <v>98</v>
      </c>
      <c r="O3992" t="s">
        <v>1256</v>
      </c>
    </row>
    <row r="3993" spans="1:15" x14ac:dyDescent="0.3">
      <c r="A3993" s="130">
        <v>22494</v>
      </c>
      <c r="B3993" s="130">
        <v>28</v>
      </c>
      <c r="C3993" s="130" t="s">
        <v>5617</v>
      </c>
      <c r="D3993">
        <v>34117</v>
      </c>
      <c r="E3993" s="130">
        <v>60625829</v>
      </c>
      <c r="F3993" t="s">
        <v>87</v>
      </c>
      <c r="G3993">
        <v>76</v>
      </c>
      <c r="H3993" t="s">
        <v>8952</v>
      </c>
      <c r="I3993" s="130">
        <v>18</v>
      </c>
      <c r="J3993" t="s">
        <v>5617</v>
      </c>
      <c r="K3993" t="s">
        <v>108</v>
      </c>
      <c r="L3993" t="s">
        <v>120</v>
      </c>
      <c r="M3993" t="s">
        <v>130</v>
      </c>
      <c r="N3993" t="s">
        <v>98</v>
      </c>
      <c r="O3993" t="s">
        <v>1345</v>
      </c>
    </row>
    <row r="3994" spans="1:15" x14ac:dyDescent="0.3">
      <c r="A3994" s="130">
        <v>22496</v>
      </c>
      <c r="B3994" s="130">
        <v>30</v>
      </c>
      <c r="C3994" s="130" t="s">
        <v>5618</v>
      </c>
      <c r="D3994">
        <v>34122</v>
      </c>
      <c r="E3994" s="131">
        <v>4618010</v>
      </c>
      <c r="F3994" t="s">
        <v>87</v>
      </c>
      <c r="G3994">
        <v>76</v>
      </c>
      <c r="H3994" t="s">
        <v>8953</v>
      </c>
      <c r="I3994" s="130">
        <v>24</v>
      </c>
      <c r="J3994" t="s">
        <v>5618</v>
      </c>
      <c r="K3994" t="s">
        <v>108</v>
      </c>
      <c r="L3994" t="s">
        <v>240</v>
      </c>
      <c r="M3994" t="s">
        <v>103</v>
      </c>
      <c r="N3994" t="s">
        <v>98</v>
      </c>
      <c r="O3994" t="s">
        <v>116</v>
      </c>
    </row>
    <row r="3995" spans="1:15" x14ac:dyDescent="0.3">
      <c r="A3995" s="130">
        <v>22498</v>
      </c>
      <c r="B3995" s="130">
        <v>30</v>
      </c>
      <c r="C3995" s="130" t="s">
        <v>5619</v>
      </c>
      <c r="D3995">
        <v>34129</v>
      </c>
      <c r="E3995" s="130">
        <v>42926272</v>
      </c>
      <c r="F3995" t="s">
        <v>87</v>
      </c>
      <c r="G3995">
        <v>77</v>
      </c>
      <c r="H3995" t="s">
        <v>8951</v>
      </c>
      <c r="I3995" s="130">
        <v>3</v>
      </c>
      <c r="J3995" t="s">
        <v>5619</v>
      </c>
      <c r="K3995" t="s">
        <v>95</v>
      </c>
      <c r="L3995" t="s">
        <v>256</v>
      </c>
      <c r="M3995" t="s">
        <v>103</v>
      </c>
      <c r="N3995" t="s">
        <v>98</v>
      </c>
      <c r="O3995" t="s">
        <v>116</v>
      </c>
    </row>
    <row r="3996" spans="1:15" x14ac:dyDescent="0.3">
      <c r="A3996" s="130">
        <v>22501</v>
      </c>
      <c r="B3996" s="130">
        <v>0</v>
      </c>
      <c r="C3996" s="130" t="s">
        <v>5620</v>
      </c>
      <c r="D3996">
        <v>34133</v>
      </c>
      <c r="E3996" s="130">
        <v>42156906</v>
      </c>
      <c r="F3996" t="s">
        <v>87</v>
      </c>
      <c r="G3996">
        <v>76</v>
      </c>
      <c r="H3996" t="s">
        <v>8952</v>
      </c>
      <c r="I3996" s="130">
        <v>19</v>
      </c>
      <c r="J3996" t="s">
        <v>5620</v>
      </c>
      <c r="K3996" t="s">
        <v>108</v>
      </c>
      <c r="L3996" t="s">
        <v>252</v>
      </c>
      <c r="M3996" t="s">
        <v>100</v>
      </c>
      <c r="N3996" t="s">
        <v>150</v>
      </c>
      <c r="O3996" t="s">
        <v>116</v>
      </c>
    </row>
    <row r="3997" spans="1:15" x14ac:dyDescent="0.3">
      <c r="A3997" s="130">
        <v>22502</v>
      </c>
      <c r="B3997" s="130">
        <v>0</v>
      </c>
      <c r="C3997" s="130" t="s">
        <v>5621</v>
      </c>
      <c r="D3997">
        <v>34026</v>
      </c>
      <c r="E3997" s="131">
        <v>10787589</v>
      </c>
      <c r="F3997" t="s">
        <v>87</v>
      </c>
      <c r="G3997">
        <v>76</v>
      </c>
      <c r="H3997" t="s">
        <v>8953</v>
      </c>
      <c r="I3997" s="131">
        <v>19</v>
      </c>
      <c r="J3997" t="s">
        <v>5621</v>
      </c>
      <c r="K3997" t="s">
        <v>108</v>
      </c>
      <c r="L3997" t="s">
        <v>123</v>
      </c>
      <c r="M3997" t="s">
        <v>100</v>
      </c>
      <c r="N3997" t="s">
        <v>98</v>
      </c>
      <c r="O3997" t="s">
        <v>1256</v>
      </c>
    </row>
    <row r="3998" spans="1:15" x14ac:dyDescent="0.3">
      <c r="A3998" s="130">
        <v>22520</v>
      </c>
      <c r="C3998" s="130" t="s">
        <v>5622</v>
      </c>
      <c r="D3998">
        <v>34161</v>
      </c>
      <c r="E3998" s="130">
        <v>10782645</v>
      </c>
      <c r="F3998" t="s">
        <v>113</v>
      </c>
      <c r="G3998">
        <v>76</v>
      </c>
      <c r="H3998" t="s">
        <v>8951</v>
      </c>
      <c r="I3998" s="130">
        <v>19</v>
      </c>
      <c r="J3998" t="s">
        <v>5622</v>
      </c>
      <c r="K3998" t="s">
        <v>108</v>
      </c>
      <c r="L3998" t="s">
        <v>252</v>
      </c>
      <c r="N3998" t="s">
        <v>98</v>
      </c>
      <c r="O3998" t="s">
        <v>1256</v>
      </c>
    </row>
    <row r="3999" spans="1:15" x14ac:dyDescent="0.3">
      <c r="A3999" s="130">
        <v>22522</v>
      </c>
      <c r="B3999" s="130">
        <v>28</v>
      </c>
      <c r="C3999" s="130" t="s">
        <v>5623</v>
      </c>
      <c r="D3999">
        <v>34142</v>
      </c>
      <c r="E3999" s="130">
        <v>9170100</v>
      </c>
      <c r="F3999" t="s">
        <v>87</v>
      </c>
      <c r="G3999">
        <v>76</v>
      </c>
      <c r="H3999" t="s">
        <v>8952</v>
      </c>
      <c r="I3999" s="131">
        <v>26</v>
      </c>
      <c r="J3999" t="s">
        <v>5623</v>
      </c>
      <c r="K3999" t="s">
        <v>108</v>
      </c>
      <c r="L3999" t="s">
        <v>253</v>
      </c>
      <c r="M3999" t="s">
        <v>130</v>
      </c>
      <c r="N3999" t="s">
        <v>98</v>
      </c>
      <c r="O3999" t="s">
        <v>1256</v>
      </c>
    </row>
    <row r="4000" spans="1:15" x14ac:dyDescent="0.3">
      <c r="A4000" s="130">
        <v>22523</v>
      </c>
      <c r="B4000" s="130">
        <v>10</v>
      </c>
      <c r="C4000" s="130" t="s">
        <v>5624</v>
      </c>
      <c r="D4000">
        <v>34162</v>
      </c>
      <c r="E4000" s="131">
        <v>34562112</v>
      </c>
      <c r="F4000" t="s">
        <v>87</v>
      </c>
      <c r="G4000">
        <v>76</v>
      </c>
      <c r="H4000" t="s">
        <v>8953</v>
      </c>
      <c r="I4000" s="131">
        <v>24</v>
      </c>
      <c r="J4000" t="s">
        <v>5624</v>
      </c>
      <c r="K4000" t="s">
        <v>108</v>
      </c>
      <c r="L4000" t="s">
        <v>191</v>
      </c>
      <c r="M4000" t="s">
        <v>133</v>
      </c>
      <c r="N4000" t="s">
        <v>98</v>
      </c>
      <c r="O4000" t="s">
        <v>1345</v>
      </c>
    </row>
    <row r="4001" spans="1:15" x14ac:dyDescent="0.3">
      <c r="A4001" s="130">
        <v>22530</v>
      </c>
      <c r="B4001" s="130">
        <v>10</v>
      </c>
      <c r="C4001" s="130" t="s">
        <v>5625</v>
      </c>
      <c r="D4001">
        <v>34175</v>
      </c>
      <c r="E4001" s="130">
        <v>2502844</v>
      </c>
      <c r="F4001" t="s">
        <v>87</v>
      </c>
      <c r="G4001">
        <v>76</v>
      </c>
      <c r="H4001" t="s">
        <v>8951</v>
      </c>
      <c r="I4001" s="130">
        <v>24</v>
      </c>
      <c r="J4001" t="s">
        <v>5625</v>
      </c>
      <c r="K4001" t="s">
        <v>108</v>
      </c>
      <c r="L4001" t="s">
        <v>191</v>
      </c>
      <c r="M4001" t="s">
        <v>133</v>
      </c>
      <c r="N4001" t="s">
        <v>98</v>
      </c>
      <c r="O4001" t="s">
        <v>116</v>
      </c>
    </row>
    <row r="4002" spans="1:15" x14ac:dyDescent="0.3">
      <c r="A4002" s="130">
        <v>22536</v>
      </c>
      <c r="B4002" s="130">
        <v>90</v>
      </c>
      <c r="C4002" s="130" t="s">
        <v>5626</v>
      </c>
      <c r="D4002">
        <v>34186</v>
      </c>
      <c r="E4002" s="131">
        <v>35234509</v>
      </c>
      <c r="F4002" t="s">
        <v>87</v>
      </c>
      <c r="G4002">
        <v>76</v>
      </c>
      <c r="H4002" t="s">
        <v>8952</v>
      </c>
      <c r="I4002" s="130">
        <v>18</v>
      </c>
      <c r="J4002" t="s">
        <v>5626</v>
      </c>
      <c r="K4002" t="s">
        <v>95</v>
      </c>
      <c r="L4002" t="s">
        <v>102</v>
      </c>
      <c r="M4002" t="s">
        <v>170</v>
      </c>
      <c r="N4002" t="s">
        <v>98</v>
      </c>
      <c r="O4002" t="s">
        <v>116</v>
      </c>
    </row>
    <row r="4003" spans="1:15" x14ac:dyDescent="0.3">
      <c r="A4003" s="130">
        <v>22538</v>
      </c>
      <c r="B4003" s="130">
        <v>10</v>
      </c>
      <c r="C4003" s="130" t="s">
        <v>5627</v>
      </c>
      <c r="D4003">
        <v>34190</v>
      </c>
      <c r="E4003" s="130">
        <v>3561456</v>
      </c>
      <c r="F4003" t="s">
        <v>87</v>
      </c>
      <c r="G4003">
        <v>76</v>
      </c>
      <c r="H4003" t="s">
        <v>8953</v>
      </c>
      <c r="I4003" s="130">
        <v>9</v>
      </c>
      <c r="J4003" t="s">
        <v>5627</v>
      </c>
      <c r="K4003" t="s">
        <v>108</v>
      </c>
      <c r="L4003" t="s">
        <v>163</v>
      </c>
      <c r="M4003" t="s">
        <v>133</v>
      </c>
      <c r="N4003" t="s">
        <v>98</v>
      </c>
      <c r="O4003" t="s">
        <v>1345</v>
      </c>
    </row>
    <row r="4004" spans="1:15" x14ac:dyDescent="0.3">
      <c r="A4004" s="130">
        <v>22539</v>
      </c>
      <c r="B4004" s="130">
        <v>30</v>
      </c>
      <c r="C4004" s="130" t="s">
        <v>5628</v>
      </c>
      <c r="D4004">
        <v>28035</v>
      </c>
      <c r="E4004" s="130">
        <v>5848387</v>
      </c>
      <c r="F4004" t="s">
        <v>87</v>
      </c>
      <c r="G4004">
        <v>77</v>
      </c>
      <c r="H4004" t="s">
        <v>8951</v>
      </c>
      <c r="I4004" s="131">
        <v>10</v>
      </c>
      <c r="J4004" t="s">
        <v>5628</v>
      </c>
      <c r="K4004" t="s">
        <v>95</v>
      </c>
      <c r="L4004" t="s">
        <v>235</v>
      </c>
      <c r="M4004" t="s">
        <v>103</v>
      </c>
      <c r="N4004" t="s">
        <v>118</v>
      </c>
      <c r="O4004" t="s">
        <v>1256</v>
      </c>
    </row>
    <row r="4005" spans="1:15" x14ac:dyDescent="0.3">
      <c r="A4005" s="130">
        <v>22540</v>
      </c>
      <c r="B4005" s="130">
        <v>35</v>
      </c>
      <c r="C4005" s="130" t="s">
        <v>5629</v>
      </c>
      <c r="D4005">
        <v>34192</v>
      </c>
      <c r="E4005" s="130">
        <v>34692778</v>
      </c>
      <c r="F4005" t="s">
        <v>87</v>
      </c>
      <c r="G4005">
        <v>77</v>
      </c>
      <c r="H4005" t="s">
        <v>8952</v>
      </c>
      <c r="I4005" s="130">
        <v>18</v>
      </c>
      <c r="J4005" t="s">
        <v>5629</v>
      </c>
      <c r="K4005" t="s">
        <v>95</v>
      </c>
      <c r="L4005" t="s">
        <v>256</v>
      </c>
      <c r="M4005" t="s">
        <v>161</v>
      </c>
      <c r="N4005" t="s">
        <v>98</v>
      </c>
      <c r="O4005" t="s">
        <v>116</v>
      </c>
    </row>
    <row r="4006" spans="1:15" x14ac:dyDescent="0.3">
      <c r="A4006" s="130">
        <v>22552</v>
      </c>
      <c r="B4006" s="130">
        <v>0</v>
      </c>
      <c r="C4006" s="130" t="s">
        <v>5630</v>
      </c>
      <c r="D4006">
        <v>33443</v>
      </c>
      <c r="E4006" s="130">
        <v>23294509</v>
      </c>
      <c r="F4006" t="s">
        <v>87</v>
      </c>
      <c r="G4006">
        <v>76</v>
      </c>
      <c r="H4006" t="s">
        <v>8953</v>
      </c>
      <c r="I4006" s="130">
        <v>9</v>
      </c>
      <c r="J4006" t="s">
        <v>5630</v>
      </c>
      <c r="K4006" t="s">
        <v>108</v>
      </c>
      <c r="L4006" t="s">
        <v>1298</v>
      </c>
      <c r="M4006" t="s">
        <v>100</v>
      </c>
      <c r="N4006" t="s">
        <v>124</v>
      </c>
      <c r="O4006" t="s">
        <v>1256</v>
      </c>
    </row>
    <row r="4007" spans="1:15" x14ac:dyDescent="0.3">
      <c r="A4007" s="130">
        <v>22553</v>
      </c>
      <c r="B4007" s="130">
        <v>30</v>
      </c>
      <c r="C4007" s="130" t="s">
        <v>5631</v>
      </c>
      <c r="D4007">
        <v>34211</v>
      </c>
      <c r="E4007" s="131">
        <v>34562112</v>
      </c>
      <c r="F4007" t="s">
        <v>87</v>
      </c>
      <c r="G4007">
        <v>76</v>
      </c>
      <c r="H4007" t="s">
        <v>8951</v>
      </c>
      <c r="I4007" s="130">
        <v>24</v>
      </c>
      <c r="J4007" t="s">
        <v>5631</v>
      </c>
      <c r="K4007" t="s">
        <v>95</v>
      </c>
      <c r="L4007" t="s">
        <v>191</v>
      </c>
      <c r="M4007" t="s">
        <v>103</v>
      </c>
      <c r="N4007" t="s">
        <v>107</v>
      </c>
      <c r="O4007" t="s">
        <v>116</v>
      </c>
    </row>
    <row r="4008" spans="1:15" x14ac:dyDescent="0.3">
      <c r="A4008" s="130">
        <v>22559</v>
      </c>
      <c r="B4008" s="130">
        <v>30</v>
      </c>
      <c r="C4008" s="130" t="s">
        <v>5632</v>
      </c>
      <c r="D4008">
        <v>34217</v>
      </c>
      <c r="E4008" s="131">
        <v>51257196</v>
      </c>
      <c r="F4008" t="s">
        <v>113</v>
      </c>
      <c r="G4008">
        <v>76</v>
      </c>
      <c r="H4008" t="s">
        <v>8952</v>
      </c>
      <c r="I4008" s="130">
        <v>43</v>
      </c>
      <c r="J4008" t="s">
        <v>5632</v>
      </c>
      <c r="K4008" t="s">
        <v>108</v>
      </c>
      <c r="L4008" t="s">
        <v>1241</v>
      </c>
      <c r="M4008" t="s">
        <v>103</v>
      </c>
      <c r="N4008" t="s">
        <v>98</v>
      </c>
      <c r="O4008" t="s">
        <v>1256</v>
      </c>
    </row>
    <row r="4009" spans="1:15" x14ac:dyDescent="0.3">
      <c r="A4009" s="130">
        <v>22564</v>
      </c>
      <c r="B4009" s="130">
        <v>30</v>
      </c>
      <c r="C4009" s="130" t="s">
        <v>5633</v>
      </c>
      <c r="D4009">
        <v>34226</v>
      </c>
      <c r="E4009" s="131">
        <v>10248815</v>
      </c>
      <c r="F4009" t="s">
        <v>87</v>
      </c>
      <c r="G4009">
        <v>76</v>
      </c>
      <c r="H4009" t="s">
        <v>8953</v>
      </c>
      <c r="I4009" s="130">
        <v>10</v>
      </c>
      <c r="J4009" t="s">
        <v>5633</v>
      </c>
      <c r="K4009" t="s">
        <v>108</v>
      </c>
      <c r="L4009" t="s">
        <v>127</v>
      </c>
      <c r="M4009" t="s">
        <v>103</v>
      </c>
      <c r="N4009" t="s">
        <v>118</v>
      </c>
      <c r="O4009" t="s">
        <v>1345</v>
      </c>
    </row>
    <row r="4010" spans="1:15" x14ac:dyDescent="0.3">
      <c r="A4010" s="130">
        <v>22573</v>
      </c>
      <c r="B4010" s="130">
        <v>90</v>
      </c>
      <c r="C4010" s="130" t="s">
        <v>5634</v>
      </c>
      <c r="D4010">
        <v>34248</v>
      </c>
      <c r="E4010" s="130">
        <v>655209</v>
      </c>
      <c r="F4010" t="s">
        <v>87</v>
      </c>
      <c r="G4010">
        <v>76</v>
      </c>
      <c r="H4010" t="s">
        <v>8951</v>
      </c>
      <c r="I4010" s="131">
        <v>9</v>
      </c>
      <c r="J4010" t="s">
        <v>5634</v>
      </c>
      <c r="K4010" t="s">
        <v>95</v>
      </c>
      <c r="L4010" t="s">
        <v>1298</v>
      </c>
      <c r="M4010" t="s">
        <v>170</v>
      </c>
      <c r="N4010" t="s">
        <v>114</v>
      </c>
      <c r="O4010" t="s">
        <v>244</v>
      </c>
    </row>
    <row r="4011" spans="1:15" x14ac:dyDescent="0.3">
      <c r="A4011" s="130">
        <v>22574</v>
      </c>
      <c r="B4011" s="130">
        <v>30</v>
      </c>
      <c r="C4011" s="130" t="s">
        <v>5635</v>
      </c>
      <c r="D4011">
        <v>34249</v>
      </c>
      <c r="E4011" s="130">
        <v>9247075</v>
      </c>
      <c r="F4011" t="s">
        <v>87</v>
      </c>
      <c r="G4011">
        <v>76</v>
      </c>
      <c r="H4011" t="s">
        <v>8952</v>
      </c>
      <c r="I4011" s="131">
        <v>38</v>
      </c>
      <c r="J4011" t="s">
        <v>5635</v>
      </c>
      <c r="K4011" t="s">
        <v>108</v>
      </c>
      <c r="L4011" t="s">
        <v>126</v>
      </c>
      <c r="M4011" t="s">
        <v>103</v>
      </c>
      <c r="N4011" t="s">
        <v>98</v>
      </c>
      <c r="O4011" t="s">
        <v>116</v>
      </c>
    </row>
    <row r="4012" spans="1:15" x14ac:dyDescent="0.3">
      <c r="A4012" s="130">
        <v>22580</v>
      </c>
      <c r="B4012" s="130">
        <v>35</v>
      </c>
      <c r="C4012" s="130" t="s">
        <v>5636</v>
      </c>
      <c r="D4012">
        <v>34266</v>
      </c>
      <c r="E4012" s="130">
        <v>34692778</v>
      </c>
      <c r="F4012" t="s">
        <v>87</v>
      </c>
      <c r="G4012">
        <v>77</v>
      </c>
      <c r="H4012" t="s">
        <v>8953</v>
      </c>
      <c r="I4012" s="131">
        <v>18</v>
      </c>
      <c r="J4012" t="s">
        <v>5636</v>
      </c>
      <c r="K4012" t="s">
        <v>95</v>
      </c>
      <c r="L4012" t="s">
        <v>256</v>
      </c>
      <c r="M4012" t="s">
        <v>161</v>
      </c>
      <c r="N4012" t="s">
        <v>98</v>
      </c>
      <c r="O4012" t="s">
        <v>116</v>
      </c>
    </row>
    <row r="4013" spans="1:15" x14ac:dyDescent="0.3">
      <c r="A4013" s="130">
        <v>22597</v>
      </c>
      <c r="B4013" s="130">
        <v>30</v>
      </c>
      <c r="C4013" s="130" t="s">
        <v>5637</v>
      </c>
      <c r="D4013">
        <v>34293</v>
      </c>
      <c r="E4013" s="130">
        <v>60701521</v>
      </c>
      <c r="F4013" t="s">
        <v>87</v>
      </c>
      <c r="G4013">
        <v>76</v>
      </c>
      <c r="H4013" t="s">
        <v>8951</v>
      </c>
      <c r="I4013" s="130">
        <v>24</v>
      </c>
      <c r="J4013" t="s">
        <v>5637</v>
      </c>
      <c r="K4013" t="s">
        <v>95</v>
      </c>
      <c r="L4013" t="s">
        <v>138</v>
      </c>
      <c r="M4013" t="s">
        <v>103</v>
      </c>
      <c r="N4013" t="s">
        <v>162</v>
      </c>
      <c r="O4013" t="s">
        <v>116</v>
      </c>
    </row>
    <row r="4014" spans="1:15" x14ac:dyDescent="0.3">
      <c r="A4014" s="130">
        <v>22610</v>
      </c>
      <c r="B4014" s="130">
        <v>30</v>
      </c>
      <c r="C4014" s="130" t="s">
        <v>5638</v>
      </c>
      <c r="D4014">
        <v>34315</v>
      </c>
      <c r="E4014" s="131">
        <v>42077717</v>
      </c>
      <c r="F4014" t="s">
        <v>87</v>
      </c>
      <c r="G4014">
        <v>76</v>
      </c>
      <c r="H4014" t="s">
        <v>8952</v>
      </c>
      <c r="I4014" s="130">
        <v>18</v>
      </c>
      <c r="J4014" t="s">
        <v>5638</v>
      </c>
      <c r="K4014" t="s">
        <v>108</v>
      </c>
      <c r="L4014" t="s">
        <v>123</v>
      </c>
      <c r="M4014" t="s">
        <v>103</v>
      </c>
      <c r="N4014" t="s">
        <v>98</v>
      </c>
      <c r="O4014" t="s">
        <v>116</v>
      </c>
    </row>
    <row r="4015" spans="1:15" x14ac:dyDescent="0.3">
      <c r="A4015" s="130">
        <v>22614</v>
      </c>
      <c r="B4015" s="130">
        <v>20</v>
      </c>
      <c r="C4015" s="130" t="s">
        <v>5639</v>
      </c>
      <c r="D4015">
        <v>34320</v>
      </c>
      <c r="E4015" s="130">
        <v>9578064</v>
      </c>
      <c r="F4015" t="s">
        <v>87</v>
      </c>
      <c r="G4015">
        <v>76</v>
      </c>
      <c r="H4015" t="s">
        <v>8953</v>
      </c>
      <c r="I4015" s="130">
        <v>19</v>
      </c>
      <c r="J4015" t="s">
        <v>5639</v>
      </c>
      <c r="K4015" t="s">
        <v>108</v>
      </c>
      <c r="L4015" t="s">
        <v>252</v>
      </c>
      <c r="M4015" t="s">
        <v>148</v>
      </c>
      <c r="N4015" t="s">
        <v>98</v>
      </c>
      <c r="O4015" t="s">
        <v>116</v>
      </c>
    </row>
    <row r="4016" spans="1:15" x14ac:dyDescent="0.3">
      <c r="A4016" s="130">
        <v>22626</v>
      </c>
      <c r="B4016" s="130">
        <v>28</v>
      </c>
      <c r="C4016" s="130" t="s">
        <v>5640</v>
      </c>
      <c r="D4016">
        <v>34338</v>
      </c>
      <c r="E4016" s="130">
        <v>34375501</v>
      </c>
      <c r="F4016" t="s">
        <v>87</v>
      </c>
      <c r="G4016">
        <v>76</v>
      </c>
      <c r="H4016" t="s">
        <v>8951</v>
      </c>
      <c r="I4016" s="130">
        <v>43</v>
      </c>
      <c r="J4016" t="s">
        <v>5640</v>
      </c>
      <c r="K4016" t="s">
        <v>108</v>
      </c>
      <c r="L4016" t="s">
        <v>111</v>
      </c>
      <c r="M4016" t="s">
        <v>130</v>
      </c>
      <c r="N4016" t="s">
        <v>98</v>
      </c>
      <c r="O4016" t="s">
        <v>1345</v>
      </c>
    </row>
    <row r="4017" spans="1:15" x14ac:dyDescent="0.3">
      <c r="A4017" s="130">
        <v>22629</v>
      </c>
      <c r="B4017" s="130">
        <v>20</v>
      </c>
      <c r="C4017" s="130" t="s">
        <v>5641</v>
      </c>
      <c r="D4017">
        <v>34341</v>
      </c>
      <c r="E4017" s="130">
        <v>37245993</v>
      </c>
      <c r="F4017" t="s">
        <v>87</v>
      </c>
      <c r="G4017">
        <v>76</v>
      </c>
      <c r="H4017" t="s">
        <v>8952</v>
      </c>
      <c r="I4017" s="130">
        <v>19</v>
      </c>
      <c r="J4017" t="s">
        <v>5641</v>
      </c>
      <c r="K4017" t="s">
        <v>108</v>
      </c>
      <c r="L4017" t="s">
        <v>252</v>
      </c>
      <c r="M4017" t="s">
        <v>148</v>
      </c>
      <c r="N4017" t="s">
        <v>98</v>
      </c>
      <c r="O4017" t="s">
        <v>244</v>
      </c>
    </row>
    <row r="4018" spans="1:15" x14ac:dyDescent="0.3">
      <c r="A4018" s="130">
        <v>22635</v>
      </c>
      <c r="B4018" s="130">
        <v>10</v>
      </c>
      <c r="C4018" s="130" t="s">
        <v>5642</v>
      </c>
      <c r="D4018">
        <v>34350</v>
      </c>
      <c r="E4018" s="130">
        <v>14549864</v>
      </c>
      <c r="F4018" t="s">
        <v>87</v>
      </c>
      <c r="G4018">
        <v>358</v>
      </c>
      <c r="H4018" t="s">
        <v>8953</v>
      </c>
      <c r="I4018" s="130">
        <v>3</v>
      </c>
      <c r="J4018" t="s">
        <v>5642</v>
      </c>
      <c r="K4018" t="s">
        <v>108</v>
      </c>
      <c r="L4018" t="s">
        <v>193</v>
      </c>
      <c r="M4018" t="s">
        <v>133</v>
      </c>
      <c r="N4018" t="s">
        <v>98</v>
      </c>
      <c r="O4018" t="s">
        <v>116</v>
      </c>
    </row>
    <row r="4019" spans="1:15" x14ac:dyDescent="0.3">
      <c r="A4019" s="130">
        <v>22637</v>
      </c>
      <c r="B4019" s="130">
        <v>18</v>
      </c>
      <c r="C4019" s="130" t="s">
        <v>5643</v>
      </c>
      <c r="D4019">
        <v>34351</v>
      </c>
      <c r="E4019" s="131">
        <v>48271058</v>
      </c>
      <c r="F4019" t="s">
        <v>87</v>
      </c>
      <c r="G4019">
        <v>76</v>
      </c>
      <c r="H4019" t="s">
        <v>8951</v>
      </c>
      <c r="I4019" s="130">
        <v>26</v>
      </c>
      <c r="J4019" t="s">
        <v>5643</v>
      </c>
      <c r="K4019" t="s">
        <v>108</v>
      </c>
      <c r="L4019" t="s">
        <v>151</v>
      </c>
      <c r="M4019" t="s">
        <v>112</v>
      </c>
      <c r="N4019" t="s">
        <v>98</v>
      </c>
      <c r="O4019" t="s">
        <v>116</v>
      </c>
    </row>
    <row r="4020" spans="1:15" x14ac:dyDescent="0.3">
      <c r="A4020" s="130">
        <v>22642</v>
      </c>
      <c r="B4020" s="130">
        <v>30</v>
      </c>
      <c r="C4020" s="130" t="s">
        <v>5644</v>
      </c>
      <c r="D4020">
        <v>34359</v>
      </c>
      <c r="E4020" s="130">
        <v>33514083</v>
      </c>
      <c r="F4020" t="s">
        <v>87</v>
      </c>
      <c r="G4020">
        <v>76</v>
      </c>
      <c r="H4020" t="s">
        <v>8952</v>
      </c>
      <c r="I4020" s="130">
        <v>37</v>
      </c>
      <c r="J4020" t="s">
        <v>5644</v>
      </c>
      <c r="K4020" t="s">
        <v>108</v>
      </c>
      <c r="L4020" t="s">
        <v>138</v>
      </c>
      <c r="M4020" t="s">
        <v>103</v>
      </c>
      <c r="N4020" t="s">
        <v>114</v>
      </c>
      <c r="O4020" t="s">
        <v>116</v>
      </c>
    </row>
    <row r="4021" spans="1:15" x14ac:dyDescent="0.3">
      <c r="A4021" s="130">
        <v>22647</v>
      </c>
      <c r="B4021" s="130">
        <v>45</v>
      </c>
      <c r="C4021" s="130" t="s">
        <v>5645</v>
      </c>
      <c r="D4021">
        <v>34369</v>
      </c>
      <c r="E4021" s="130">
        <v>16956443</v>
      </c>
      <c r="F4021" t="s">
        <v>87</v>
      </c>
      <c r="G4021">
        <v>358</v>
      </c>
      <c r="H4021" t="s">
        <v>8953</v>
      </c>
      <c r="I4021" s="130">
        <v>3</v>
      </c>
      <c r="J4021" t="s">
        <v>5645</v>
      </c>
      <c r="K4021" t="s">
        <v>95</v>
      </c>
      <c r="L4021" t="s">
        <v>105</v>
      </c>
      <c r="M4021" t="s">
        <v>106</v>
      </c>
      <c r="N4021" t="s">
        <v>98</v>
      </c>
      <c r="O4021" t="s">
        <v>116</v>
      </c>
    </row>
    <row r="4022" spans="1:15" x14ac:dyDescent="0.3">
      <c r="A4022" s="130">
        <v>22651</v>
      </c>
      <c r="C4022" s="130" t="s">
        <v>5646</v>
      </c>
      <c r="D4022">
        <v>34196</v>
      </c>
      <c r="E4022" s="130">
        <v>28981888</v>
      </c>
      <c r="F4022" t="s">
        <v>113</v>
      </c>
      <c r="G4022">
        <v>76</v>
      </c>
      <c r="H4022" t="s">
        <v>8951</v>
      </c>
      <c r="I4022" s="130">
        <v>14</v>
      </c>
      <c r="J4022" t="s">
        <v>5646</v>
      </c>
      <c r="K4022" t="s">
        <v>108</v>
      </c>
      <c r="L4022" t="s">
        <v>120</v>
      </c>
      <c r="N4022" t="s">
        <v>101</v>
      </c>
      <c r="O4022" t="s">
        <v>1256</v>
      </c>
    </row>
    <row r="4023" spans="1:15" x14ac:dyDescent="0.3">
      <c r="A4023" s="130">
        <v>22656</v>
      </c>
      <c r="B4023" s="130">
        <v>28</v>
      </c>
      <c r="C4023" s="130" t="s">
        <v>5647</v>
      </c>
      <c r="D4023">
        <v>34387</v>
      </c>
      <c r="E4023" s="130">
        <v>31625963</v>
      </c>
      <c r="F4023" t="s">
        <v>87</v>
      </c>
      <c r="G4023">
        <v>76</v>
      </c>
      <c r="H4023" t="s">
        <v>8952</v>
      </c>
      <c r="I4023" s="130">
        <v>18</v>
      </c>
      <c r="J4023" t="s">
        <v>5647</v>
      </c>
      <c r="K4023" t="s">
        <v>108</v>
      </c>
      <c r="L4023" t="s">
        <v>253</v>
      </c>
      <c r="M4023" t="s">
        <v>130</v>
      </c>
      <c r="N4023" t="s">
        <v>104</v>
      </c>
      <c r="O4023" t="s">
        <v>116</v>
      </c>
    </row>
    <row r="4024" spans="1:15" x14ac:dyDescent="0.3">
      <c r="A4024" s="130">
        <v>22662</v>
      </c>
      <c r="B4024" s="130">
        <v>10</v>
      </c>
      <c r="C4024" s="130" t="s">
        <v>5648</v>
      </c>
      <c r="D4024">
        <v>34399</v>
      </c>
      <c r="E4024" s="130">
        <v>95865572</v>
      </c>
      <c r="F4024" t="s">
        <v>87</v>
      </c>
      <c r="G4024">
        <v>76</v>
      </c>
      <c r="H4024" t="s">
        <v>8953</v>
      </c>
      <c r="I4024" s="131">
        <v>9</v>
      </c>
      <c r="J4024" t="s">
        <v>5648</v>
      </c>
      <c r="K4024" t="s">
        <v>95</v>
      </c>
      <c r="L4024" t="s">
        <v>163</v>
      </c>
      <c r="M4024" t="s">
        <v>133</v>
      </c>
      <c r="N4024" t="s">
        <v>114</v>
      </c>
      <c r="O4024" t="s">
        <v>116</v>
      </c>
    </row>
    <row r="4025" spans="1:15" x14ac:dyDescent="0.3">
      <c r="A4025" s="130">
        <v>22666</v>
      </c>
      <c r="B4025" s="130">
        <v>18</v>
      </c>
      <c r="C4025" s="130" t="s">
        <v>5649</v>
      </c>
      <c r="D4025">
        <v>34407</v>
      </c>
      <c r="E4025" s="130">
        <v>21107364</v>
      </c>
      <c r="F4025" t="s">
        <v>87</v>
      </c>
      <c r="G4025">
        <v>76</v>
      </c>
      <c r="H4025" t="s">
        <v>8951</v>
      </c>
      <c r="I4025" s="131">
        <v>26</v>
      </c>
      <c r="J4025" t="s">
        <v>5649</v>
      </c>
      <c r="K4025" t="s">
        <v>108</v>
      </c>
      <c r="L4025" t="s">
        <v>151</v>
      </c>
      <c r="M4025" t="s">
        <v>112</v>
      </c>
      <c r="N4025" t="s">
        <v>169</v>
      </c>
      <c r="O4025" t="s">
        <v>116</v>
      </c>
    </row>
    <row r="4026" spans="1:15" x14ac:dyDescent="0.3">
      <c r="A4026" s="130">
        <v>22679</v>
      </c>
      <c r="B4026" s="130">
        <v>21</v>
      </c>
      <c r="C4026" s="130" t="s">
        <v>5650</v>
      </c>
      <c r="D4026">
        <v>34440</v>
      </c>
      <c r="E4026" s="130">
        <v>12141623</v>
      </c>
      <c r="F4026" t="s">
        <v>87</v>
      </c>
      <c r="G4026">
        <v>76</v>
      </c>
      <c r="H4026" t="s">
        <v>8952</v>
      </c>
      <c r="I4026" s="131">
        <v>24</v>
      </c>
      <c r="J4026" t="s">
        <v>5650</v>
      </c>
      <c r="K4026" t="s">
        <v>108</v>
      </c>
      <c r="L4026" t="s">
        <v>240</v>
      </c>
      <c r="M4026" t="s">
        <v>137</v>
      </c>
      <c r="N4026" t="s">
        <v>98</v>
      </c>
      <c r="O4026" t="s">
        <v>116</v>
      </c>
    </row>
    <row r="4027" spans="1:15" x14ac:dyDescent="0.3">
      <c r="A4027" s="130">
        <v>22680</v>
      </c>
      <c r="B4027" s="130">
        <v>30</v>
      </c>
      <c r="C4027" s="130" t="s">
        <v>5651</v>
      </c>
      <c r="D4027">
        <v>34442</v>
      </c>
      <c r="E4027" s="130">
        <v>42107017</v>
      </c>
      <c r="F4027" t="s">
        <v>87</v>
      </c>
      <c r="G4027">
        <v>76</v>
      </c>
      <c r="H4027" t="s">
        <v>8953</v>
      </c>
      <c r="I4027" s="130">
        <v>37</v>
      </c>
      <c r="J4027" t="s">
        <v>5651</v>
      </c>
      <c r="K4027" t="s">
        <v>108</v>
      </c>
      <c r="L4027" t="s">
        <v>144</v>
      </c>
      <c r="M4027" t="s">
        <v>103</v>
      </c>
      <c r="N4027" t="s">
        <v>98</v>
      </c>
      <c r="O4027" t="s">
        <v>116</v>
      </c>
    </row>
    <row r="4028" spans="1:15" x14ac:dyDescent="0.3">
      <c r="A4028" s="130">
        <v>22681</v>
      </c>
      <c r="B4028" s="130">
        <v>30</v>
      </c>
      <c r="C4028" s="130" t="s">
        <v>5652</v>
      </c>
      <c r="D4028">
        <v>34444</v>
      </c>
      <c r="E4028" s="130">
        <v>42107017</v>
      </c>
      <c r="F4028" t="s">
        <v>87</v>
      </c>
      <c r="G4028">
        <v>76</v>
      </c>
      <c r="H4028" t="s">
        <v>8951</v>
      </c>
      <c r="I4028" s="131">
        <v>24</v>
      </c>
      <c r="J4028" t="s">
        <v>5652</v>
      </c>
      <c r="K4028" t="s">
        <v>108</v>
      </c>
      <c r="L4028" t="s">
        <v>144</v>
      </c>
      <c r="M4028" t="s">
        <v>103</v>
      </c>
      <c r="N4028" t="s">
        <v>98</v>
      </c>
      <c r="O4028" t="s">
        <v>116</v>
      </c>
    </row>
    <row r="4029" spans="1:15" x14ac:dyDescent="0.3">
      <c r="A4029" s="130">
        <v>22686</v>
      </c>
      <c r="B4029" s="130">
        <v>18</v>
      </c>
      <c r="C4029" s="130" t="s">
        <v>5653</v>
      </c>
      <c r="D4029">
        <v>34454</v>
      </c>
      <c r="E4029" s="130">
        <v>21107364</v>
      </c>
      <c r="F4029" t="s">
        <v>87</v>
      </c>
      <c r="G4029">
        <v>76</v>
      </c>
      <c r="H4029" t="s">
        <v>8952</v>
      </c>
      <c r="I4029" s="131">
        <v>26</v>
      </c>
      <c r="J4029" t="s">
        <v>5653</v>
      </c>
      <c r="K4029" t="s">
        <v>108</v>
      </c>
      <c r="L4029" t="s">
        <v>151</v>
      </c>
      <c r="M4029" t="s">
        <v>112</v>
      </c>
      <c r="N4029" t="s">
        <v>124</v>
      </c>
      <c r="O4029" t="s">
        <v>116</v>
      </c>
    </row>
    <row r="4030" spans="1:15" x14ac:dyDescent="0.3">
      <c r="A4030" s="130">
        <v>22688</v>
      </c>
      <c r="B4030" s="130">
        <v>28</v>
      </c>
      <c r="C4030" s="130" t="s">
        <v>5654</v>
      </c>
      <c r="D4030">
        <v>34456</v>
      </c>
      <c r="E4030" s="130">
        <v>8726496</v>
      </c>
      <c r="F4030" t="s">
        <v>87</v>
      </c>
      <c r="G4030">
        <v>76</v>
      </c>
      <c r="H4030" t="s">
        <v>8953</v>
      </c>
      <c r="I4030" s="130">
        <v>18</v>
      </c>
      <c r="J4030" t="s">
        <v>5654</v>
      </c>
      <c r="K4030" t="s">
        <v>108</v>
      </c>
      <c r="L4030" t="s">
        <v>253</v>
      </c>
      <c r="M4030" t="s">
        <v>130</v>
      </c>
      <c r="N4030" t="s">
        <v>98</v>
      </c>
      <c r="O4030" t="s">
        <v>1256</v>
      </c>
    </row>
    <row r="4031" spans="1:15" x14ac:dyDescent="0.3">
      <c r="A4031" s="130">
        <v>22691</v>
      </c>
      <c r="B4031" s="130">
        <v>30</v>
      </c>
      <c r="C4031" s="130" t="s">
        <v>5655</v>
      </c>
      <c r="D4031">
        <v>34466</v>
      </c>
      <c r="E4031" s="131">
        <v>65088700</v>
      </c>
      <c r="F4031" t="s">
        <v>87</v>
      </c>
      <c r="G4031">
        <v>76</v>
      </c>
      <c r="H4031" t="s">
        <v>8951</v>
      </c>
      <c r="I4031" s="130">
        <v>3</v>
      </c>
      <c r="J4031" t="s">
        <v>5655</v>
      </c>
      <c r="K4031" t="s">
        <v>108</v>
      </c>
      <c r="L4031" t="s">
        <v>1293</v>
      </c>
      <c r="M4031" t="s">
        <v>103</v>
      </c>
      <c r="N4031" t="s">
        <v>98</v>
      </c>
      <c r="O4031" t="s">
        <v>116</v>
      </c>
    </row>
    <row r="4032" spans="1:15" x14ac:dyDescent="0.3">
      <c r="A4032" s="130">
        <v>22693</v>
      </c>
      <c r="B4032" s="130">
        <v>0</v>
      </c>
      <c r="C4032" s="130" t="s">
        <v>5656</v>
      </c>
      <c r="D4032">
        <v>34469</v>
      </c>
      <c r="E4032" s="131">
        <v>6194660</v>
      </c>
      <c r="F4032" t="s">
        <v>87</v>
      </c>
      <c r="G4032">
        <v>76</v>
      </c>
      <c r="H4032" t="s">
        <v>8952</v>
      </c>
      <c r="I4032" s="130">
        <v>9</v>
      </c>
      <c r="J4032" t="s">
        <v>5656</v>
      </c>
      <c r="K4032" t="s">
        <v>108</v>
      </c>
      <c r="L4032" t="s">
        <v>1298</v>
      </c>
      <c r="M4032" t="s">
        <v>100</v>
      </c>
      <c r="N4032" t="s">
        <v>98</v>
      </c>
      <c r="O4032" t="s">
        <v>1256</v>
      </c>
    </row>
    <row r="4033" spans="1:15" x14ac:dyDescent="0.3">
      <c r="A4033" s="130">
        <v>22697</v>
      </c>
      <c r="B4033" s="130">
        <v>18</v>
      </c>
      <c r="C4033" s="130" t="s">
        <v>5657</v>
      </c>
      <c r="D4033">
        <v>34474</v>
      </c>
      <c r="E4033" s="130">
        <v>13091553</v>
      </c>
      <c r="F4033" t="s">
        <v>87</v>
      </c>
      <c r="G4033">
        <v>76</v>
      </c>
      <c r="H4033" t="s">
        <v>8953</v>
      </c>
      <c r="I4033" s="131">
        <v>26</v>
      </c>
      <c r="J4033" t="s">
        <v>5657</v>
      </c>
      <c r="K4033" t="s">
        <v>108</v>
      </c>
      <c r="L4033" t="s">
        <v>151</v>
      </c>
      <c r="M4033" t="s">
        <v>112</v>
      </c>
      <c r="N4033" t="s">
        <v>98</v>
      </c>
      <c r="O4033" t="s">
        <v>1345</v>
      </c>
    </row>
    <row r="4034" spans="1:15" x14ac:dyDescent="0.3">
      <c r="A4034" s="130">
        <v>22703</v>
      </c>
      <c r="B4034" s="130">
        <v>0</v>
      </c>
      <c r="C4034" s="130" t="s">
        <v>5658</v>
      </c>
      <c r="D4034">
        <v>34482</v>
      </c>
      <c r="E4034" s="130">
        <v>34574976</v>
      </c>
      <c r="F4034" t="s">
        <v>87</v>
      </c>
      <c r="G4034">
        <v>76</v>
      </c>
      <c r="H4034" t="s">
        <v>8951</v>
      </c>
      <c r="I4034" s="130">
        <v>19</v>
      </c>
      <c r="J4034" t="s">
        <v>5658</v>
      </c>
      <c r="K4034" t="s">
        <v>108</v>
      </c>
      <c r="L4034" t="s">
        <v>252</v>
      </c>
      <c r="M4034" t="s">
        <v>100</v>
      </c>
      <c r="N4034" t="s">
        <v>152</v>
      </c>
      <c r="O4034" t="s">
        <v>1345</v>
      </c>
    </row>
    <row r="4035" spans="1:15" x14ac:dyDescent="0.3">
      <c r="A4035" s="130">
        <v>22707</v>
      </c>
      <c r="B4035" s="130">
        <v>30</v>
      </c>
      <c r="C4035" s="130" t="s">
        <v>5659</v>
      </c>
      <c r="D4035">
        <v>34487</v>
      </c>
      <c r="E4035" s="130">
        <v>16921603</v>
      </c>
      <c r="F4035" t="s">
        <v>87</v>
      </c>
      <c r="G4035">
        <v>76</v>
      </c>
      <c r="H4035" t="s">
        <v>8952</v>
      </c>
      <c r="I4035" s="131">
        <v>3</v>
      </c>
      <c r="J4035" t="s">
        <v>5659</v>
      </c>
      <c r="K4035" t="s">
        <v>108</v>
      </c>
      <c r="L4035" t="s">
        <v>1293</v>
      </c>
      <c r="M4035" t="s">
        <v>103</v>
      </c>
      <c r="N4035" t="s">
        <v>98</v>
      </c>
      <c r="O4035" t="s">
        <v>116</v>
      </c>
    </row>
    <row r="4036" spans="1:15" x14ac:dyDescent="0.3">
      <c r="A4036" s="130">
        <v>22711</v>
      </c>
      <c r="B4036" s="130">
        <v>10</v>
      </c>
      <c r="C4036" s="130" t="s">
        <v>5660</v>
      </c>
      <c r="D4036">
        <v>34496</v>
      </c>
      <c r="E4036" s="130">
        <v>29084348</v>
      </c>
      <c r="F4036" t="s">
        <v>87</v>
      </c>
      <c r="G4036">
        <v>76</v>
      </c>
      <c r="H4036" t="s">
        <v>8953</v>
      </c>
      <c r="I4036" s="131">
        <v>3</v>
      </c>
      <c r="J4036" t="s">
        <v>5660</v>
      </c>
      <c r="K4036" t="s">
        <v>108</v>
      </c>
      <c r="L4036" t="s">
        <v>153</v>
      </c>
      <c r="M4036" t="s">
        <v>133</v>
      </c>
      <c r="N4036" t="s">
        <v>98</v>
      </c>
      <c r="O4036" t="s">
        <v>1256</v>
      </c>
    </row>
    <row r="4037" spans="1:15" x14ac:dyDescent="0.3">
      <c r="A4037" s="130">
        <v>22716</v>
      </c>
      <c r="B4037" s="130">
        <v>20</v>
      </c>
      <c r="C4037" s="130" t="s">
        <v>5661</v>
      </c>
      <c r="D4037">
        <v>34507</v>
      </c>
      <c r="E4037" s="130">
        <v>15151317</v>
      </c>
      <c r="F4037" t="s">
        <v>87</v>
      </c>
      <c r="G4037">
        <v>76</v>
      </c>
      <c r="H4037" t="s">
        <v>8951</v>
      </c>
      <c r="I4037" s="130">
        <v>19</v>
      </c>
      <c r="J4037" t="s">
        <v>5661</v>
      </c>
      <c r="K4037" t="s">
        <v>108</v>
      </c>
      <c r="L4037" t="s">
        <v>252</v>
      </c>
      <c r="M4037" t="s">
        <v>148</v>
      </c>
      <c r="N4037" t="s">
        <v>98</v>
      </c>
      <c r="O4037" t="s">
        <v>116</v>
      </c>
    </row>
    <row r="4038" spans="1:15" x14ac:dyDescent="0.3">
      <c r="A4038" s="130">
        <v>22724</v>
      </c>
      <c r="B4038" s="130">
        <v>18</v>
      </c>
      <c r="C4038" s="130" t="s">
        <v>5662</v>
      </c>
      <c r="D4038">
        <v>34511</v>
      </c>
      <c r="E4038" s="130">
        <v>17069832</v>
      </c>
      <c r="F4038" t="s">
        <v>87</v>
      </c>
      <c r="G4038">
        <v>76</v>
      </c>
      <c r="H4038" t="s">
        <v>8952</v>
      </c>
      <c r="I4038" s="130">
        <v>3</v>
      </c>
      <c r="J4038" t="s">
        <v>5662</v>
      </c>
      <c r="K4038" t="s">
        <v>108</v>
      </c>
      <c r="L4038" t="s">
        <v>153</v>
      </c>
      <c r="M4038" t="s">
        <v>112</v>
      </c>
      <c r="N4038" t="s">
        <v>98</v>
      </c>
      <c r="O4038" t="s">
        <v>116</v>
      </c>
    </row>
    <row r="4039" spans="1:15" x14ac:dyDescent="0.3">
      <c r="A4039" s="130">
        <v>22729</v>
      </c>
      <c r="B4039" s="130">
        <v>0</v>
      </c>
      <c r="C4039" s="130" t="s">
        <v>5663</v>
      </c>
      <c r="D4039">
        <v>34521</v>
      </c>
      <c r="E4039" s="130">
        <v>4155096</v>
      </c>
      <c r="F4039" t="s">
        <v>113</v>
      </c>
      <c r="G4039">
        <v>76</v>
      </c>
      <c r="H4039" t="s">
        <v>8953</v>
      </c>
      <c r="I4039" s="130">
        <v>9</v>
      </c>
      <c r="J4039" t="s">
        <v>5663</v>
      </c>
      <c r="K4039" t="s">
        <v>108</v>
      </c>
      <c r="L4039" t="s">
        <v>1298</v>
      </c>
      <c r="M4039" t="s">
        <v>100</v>
      </c>
      <c r="N4039" t="s">
        <v>101</v>
      </c>
      <c r="O4039" t="s">
        <v>1256</v>
      </c>
    </row>
    <row r="4040" spans="1:15" x14ac:dyDescent="0.3">
      <c r="A4040" s="130">
        <v>22730</v>
      </c>
      <c r="B4040" s="130">
        <v>30</v>
      </c>
      <c r="C4040" s="130" t="s">
        <v>5664</v>
      </c>
      <c r="D4040">
        <v>34523</v>
      </c>
      <c r="E4040" s="130">
        <v>4478726</v>
      </c>
      <c r="F4040" t="s">
        <v>87</v>
      </c>
      <c r="G4040">
        <v>76</v>
      </c>
      <c r="H4040" t="s">
        <v>8951</v>
      </c>
      <c r="I4040" s="131">
        <v>3</v>
      </c>
      <c r="J4040" t="s">
        <v>5664</v>
      </c>
      <c r="K4040" t="s">
        <v>108</v>
      </c>
      <c r="L4040" t="s">
        <v>1293</v>
      </c>
      <c r="M4040" t="s">
        <v>103</v>
      </c>
      <c r="N4040" t="s">
        <v>98</v>
      </c>
      <c r="O4040" t="s">
        <v>116</v>
      </c>
    </row>
    <row r="4041" spans="1:15" x14ac:dyDescent="0.3">
      <c r="A4041" s="130">
        <v>22735</v>
      </c>
      <c r="B4041" s="130">
        <v>18</v>
      </c>
      <c r="C4041" s="130" t="s">
        <v>5665</v>
      </c>
      <c r="D4041">
        <v>34527</v>
      </c>
      <c r="E4041" s="131">
        <v>10630328</v>
      </c>
      <c r="F4041" t="s">
        <v>87</v>
      </c>
      <c r="G4041">
        <v>32947</v>
      </c>
      <c r="H4041" t="s">
        <v>8952</v>
      </c>
      <c r="I4041" s="130">
        <v>3</v>
      </c>
      <c r="J4041" t="s">
        <v>5665</v>
      </c>
      <c r="K4041" t="s">
        <v>95</v>
      </c>
      <c r="L4041" t="s">
        <v>109</v>
      </c>
      <c r="M4041" t="s">
        <v>112</v>
      </c>
      <c r="N4041" t="s">
        <v>98</v>
      </c>
      <c r="O4041" t="s">
        <v>116</v>
      </c>
    </row>
    <row r="4042" spans="1:15" x14ac:dyDescent="0.3">
      <c r="A4042" s="130">
        <v>22740</v>
      </c>
      <c r="B4042" s="130">
        <v>30</v>
      </c>
      <c r="C4042" s="130" t="s">
        <v>5666</v>
      </c>
      <c r="D4042">
        <v>34536</v>
      </c>
      <c r="E4042" s="130">
        <v>41713147</v>
      </c>
      <c r="F4042" t="s">
        <v>87</v>
      </c>
      <c r="G4042">
        <v>76</v>
      </c>
      <c r="H4042" t="s">
        <v>8953</v>
      </c>
      <c r="I4042" s="130">
        <v>3</v>
      </c>
      <c r="J4042" t="s">
        <v>5666</v>
      </c>
      <c r="K4042" s="200" t="s">
        <v>108</v>
      </c>
      <c r="L4042" t="s">
        <v>153</v>
      </c>
      <c r="M4042" t="s">
        <v>103</v>
      </c>
      <c r="N4042" t="s">
        <v>101</v>
      </c>
      <c r="O4042" t="s">
        <v>116</v>
      </c>
    </row>
    <row r="4043" spans="1:15" x14ac:dyDescent="0.3">
      <c r="A4043" s="130">
        <v>22743</v>
      </c>
      <c r="B4043" s="130">
        <v>10</v>
      </c>
      <c r="C4043" s="130" t="s">
        <v>5667</v>
      </c>
      <c r="D4043">
        <v>34532</v>
      </c>
      <c r="E4043" s="130">
        <v>22939754</v>
      </c>
      <c r="F4043" t="s">
        <v>87</v>
      </c>
      <c r="G4043">
        <v>32947</v>
      </c>
      <c r="H4043" t="s">
        <v>8951</v>
      </c>
      <c r="I4043" s="130">
        <v>43</v>
      </c>
      <c r="J4043" t="s">
        <v>5667</v>
      </c>
      <c r="K4043" t="s">
        <v>108</v>
      </c>
      <c r="L4043" t="s">
        <v>1241</v>
      </c>
      <c r="M4043" t="s">
        <v>133</v>
      </c>
      <c r="N4043" t="s">
        <v>98</v>
      </c>
      <c r="O4043" t="s">
        <v>1256</v>
      </c>
    </row>
    <row r="4044" spans="1:15" x14ac:dyDescent="0.3">
      <c r="A4044" s="130">
        <v>22744</v>
      </c>
      <c r="B4044" s="130">
        <v>30</v>
      </c>
      <c r="C4044" s="130" t="s">
        <v>5668</v>
      </c>
      <c r="D4044">
        <v>34540</v>
      </c>
      <c r="E4044" s="130">
        <v>33958695</v>
      </c>
      <c r="F4044" t="s">
        <v>87</v>
      </c>
      <c r="G4044">
        <v>76</v>
      </c>
      <c r="H4044" t="s">
        <v>8952</v>
      </c>
      <c r="I4044" s="130">
        <v>24</v>
      </c>
      <c r="J4044" t="s">
        <v>5668</v>
      </c>
      <c r="K4044" t="s">
        <v>95</v>
      </c>
      <c r="L4044" t="s">
        <v>240</v>
      </c>
      <c r="M4044" t="s">
        <v>103</v>
      </c>
      <c r="N4044" t="s">
        <v>98</v>
      </c>
      <c r="O4044" t="s">
        <v>116</v>
      </c>
    </row>
    <row r="4045" spans="1:15" x14ac:dyDescent="0.3">
      <c r="A4045" s="130">
        <v>22748</v>
      </c>
      <c r="B4045" s="130">
        <v>30</v>
      </c>
      <c r="C4045" s="130" t="s">
        <v>5669</v>
      </c>
      <c r="D4045">
        <v>34543</v>
      </c>
      <c r="E4045" s="130">
        <v>24013278</v>
      </c>
      <c r="F4045" t="s">
        <v>87</v>
      </c>
      <c r="G4045">
        <v>76</v>
      </c>
      <c r="H4045" t="s">
        <v>8953</v>
      </c>
      <c r="I4045" s="131">
        <v>28</v>
      </c>
      <c r="J4045" t="s">
        <v>5669</v>
      </c>
      <c r="K4045" t="s">
        <v>95</v>
      </c>
      <c r="L4045" t="s">
        <v>102</v>
      </c>
      <c r="M4045" t="s">
        <v>103</v>
      </c>
      <c r="N4045" t="s">
        <v>98</v>
      </c>
      <c r="O4045" t="s">
        <v>116</v>
      </c>
    </row>
    <row r="4046" spans="1:15" x14ac:dyDescent="0.3">
      <c r="A4046" s="130">
        <v>22751</v>
      </c>
      <c r="B4046" s="130">
        <v>30</v>
      </c>
      <c r="C4046" s="130" t="s">
        <v>5670</v>
      </c>
      <c r="D4046">
        <v>34544</v>
      </c>
      <c r="E4046" s="130">
        <v>7522191</v>
      </c>
      <c r="F4046" t="s">
        <v>87</v>
      </c>
      <c r="G4046">
        <v>358</v>
      </c>
      <c r="H4046" t="s">
        <v>8951</v>
      </c>
      <c r="I4046" s="131">
        <v>3</v>
      </c>
      <c r="J4046" t="s">
        <v>5670</v>
      </c>
      <c r="K4046" t="s">
        <v>95</v>
      </c>
      <c r="L4046" t="s">
        <v>109</v>
      </c>
      <c r="M4046" t="s">
        <v>103</v>
      </c>
      <c r="N4046" t="s">
        <v>98</v>
      </c>
      <c r="O4046" t="s">
        <v>1345</v>
      </c>
    </row>
    <row r="4047" spans="1:15" x14ac:dyDescent="0.3">
      <c r="A4047" s="130">
        <v>22753</v>
      </c>
      <c r="B4047" s="130">
        <v>30</v>
      </c>
      <c r="C4047" s="130" t="s">
        <v>5671</v>
      </c>
      <c r="D4047">
        <v>34548</v>
      </c>
      <c r="E4047" s="130">
        <v>7522191</v>
      </c>
      <c r="F4047" t="s">
        <v>87</v>
      </c>
      <c r="G4047">
        <v>32947</v>
      </c>
      <c r="H4047" t="s">
        <v>8952</v>
      </c>
      <c r="I4047" s="130">
        <v>3</v>
      </c>
      <c r="J4047" t="s">
        <v>5671</v>
      </c>
      <c r="K4047" t="s">
        <v>95</v>
      </c>
      <c r="L4047" t="s">
        <v>109</v>
      </c>
      <c r="M4047" t="s">
        <v>103</v>
      </c>
      <c r="N4047" t="s">
        <v>98</v>
      </c>
      <c r="O4047" t="s">
        <v>116</v>
      </c>
    </row>
    <row r="4048" spans="1:15" x14ac:dyDescent="0.3">
      <c r="A4048" s="130">
        <v>22754</v>
      </c>
      <c r="B4048" s="130">
        <v>30</v>
      </c>
      <c r="C4048" s="130" t="s">
        <v>5672</v>
      </c>
      <c r="D4048">
        <v>34550</v>
      </c>
      <c r="E4048" s="130">
        <v>34209835</v>
      </c>
      <c r="F4048" t="s">
        <v>87</v>
      </c>
      <c r="G4048">
        <v>77</v>
      </c>
      <c r="H4048" t="s">
        <v>8953</v>
      </c>
      <c r="I4048" s="130">
        <v>10</v>
      </c>
      <c r="J4048" t="s">
        <v>5672</v>
      </c>
      <c r="K4048" t="s">
        <v>95</v>
      </c>
      <c r="L4048" t="s">
        <v>235</v>
      </c>
      <c r="M4048" t="s">
        <v>103</v>
      </c>
      <c r="N4048" t="s">
        <v>118</v>
      </c>
      <c r="O4048" t="s">
        <v>116</v>
      </c>
    </row>
    <row r="4049" spans="1:15" x14ac:dyDescent="0.3">
      <c r="A4049" s="130">
        <v>22755</v>
      </c>
      <c r="B4049" s="130">
        <v>30</v>
      </c>
      <c r="C4049" s="130" t="s">
        <v>5673</v>
      </c>
      <c r="D4049">
        <v>34551</v>
      </c>
      <c r="E4049" s="131">
        <v>42077717</v>
      </c>
      <c r="F4049" t="s">
        <v>87</v>
      </c>
      <c r="G4049">
        <v>76</v>
      </c>
      <c r="H4049" t="s">
        <v>8951</v>
      </c>
      <c r="I4049" s="130">
        <v>18</v>
      </c>
      <c r="J4049" t="s">
        <v>5673</v>
      </c>
      <c r="K4049" t="s">
        <v>108</v>
      </c>
      <c r="L4049" t="s">
        <v>123</v>
      </c>
      <c r="M4049" t="s">
        <v>103</v>
      </c>
      <c r="N4049" t="s">
        <v>98</v>
      </c>
      <c r="O4049" t="s">
        <v>116</v>
      </c>
    </row>
    <row r="4050" spans="1:15" x14ac:dyDescent="0.3">
      <c r="A4050" s="130">
        <v>22756</v>
      </c>
      <c r="B4050" s="130">
        <v>30</v>
      </c>
      <c r="C4050" s="130" t="s">
        <v>5674</v>
      </c>
      <c r="D4050">
        <v>34552</v>
      </c>
      <c r="E4050" s="130">
        <v>41159173</v>
      </c>
      <c r="F4050" t="s">
        <v>87</v>
      </c>
      <c r="G4050">
        <v>77</v>
      </c>
      <c r="H4050" t="s">
        <v>8952</v>
      </c>
      <c r="I4050" s="131">
        <v>3</v>
      </c>
      <c r="J4050" t="s">
        <v>5674</v>
      </c>
      <c r="K4050" t="s">
        <v>95</v>
      </c>
      <c r="L4050" t="s">
        <v>256</v>
      </c>
      <c r="M4050" t="s">
        <v>103</v>
      </c>
      <c r="N4050" t="s">
        <v>98</v>
      </c>
      <c r="O4050" t="s">
        <v>116</v>
      </c>
    </row>
    <row r="4051" spans="1:15" x14ac:dyDescent="0.3">
      <c r="A4051" s="130">
        <v>22757</v>
      </c>
      <c r="B4051" s="130">
        <v>30</v>
      </c>
      <c r="C4051" s="130" t="s">
        <v>5675</v>
      </c>
      <c r="D4051">
        <v>34553</v>
      </c>
      <c r="E4051" s="131">
        <v>7522191</v>
      </c>
      <c r="F4051" t="s">
        <v>87</v>
      </c>
      <c r="G4051">
        <v>358</v>
      </c>
      <c r="H4051" t="s">
        <v>8953</v>
      </c>
      <c r="I4051" s="131">
        <v>3</v>
      </c>
      <c r="J4051" t="s">
        <v>5675</v>
      </c>
      <c r="K4051" t="s">
        <v>95</v>
      </c>
      <c r="L4051" t="s">
        <v>109</v>
      </c>
      <c r="M4051" t="s">
        <v>103</v>
      </c>
      <c r="N4051" t="s">
        <v>98</v>
      </c>
      <c r="O4051" t="s">
        <v>116</v>
      </c>
    </row>
    <row r="4052" spans="1:15" x14ac:dyDescent="0.3">
      <c r="A4052" s="130">
        <v>22759</v>
      </c>
      <c r="B4052" s="130">
        <v>30</v>
      </c>
      <c r="C4052" s="130" t="s">
        <v>5676</v>
      </c>
      <c r="D4052">
        <v>34558</v>
      </c>
      <c r="E4052" s="130">
        <v>13623957</v>
      </c>
      <c r="F4052" t="s">
        <v>87</v>
      </c>
      <c r="G4052">
        <v>76</v>
      </c>
      <c r="H4052" t="s">
        <v>8951</v>
      </c>
      <c r="I4052" s="130">
        <v>18</v>
      </c>
      <c r="J4052" t="s">
        <v>5676</v>
      </c>
      <c r="K4052" t="s">
        <v>95</v>
      </c>
      <c r="L4052" t="s">
        <v>123</v>
      </c>
      <c r="M4052" t="s">
        <v>103</v>
      </c>
      <c r="N4052" t="s">
        <v>98</v>
      </c>
      <c r="O4052" t="s">
        <v>1256</v>
      </c>
    </row>
    <row r="4053" spans="1:15" x14ac:dyDescent="0.3">
      <c r="A4053" s="130">
        <v>22765</v>
      </c>
      <c r="B4053" s="130">
        <v>30</v>
      </c>
      <c r="C4053" s="130" t="s">
        <v>5677</v>
      </c>
      <c r="D4053">
        <v>34564</v>
      </c>
      <c r="E4053" s="130">
        <v>32280935</v>
      </c>
      <c r="F4053" t="s">
        <v>87</v>
      </c>
      <c r="G4053">
        <v>76</v>
      </c>
      <c r="H4053" t="s">
        <v>8952</v>
      </c>
      <c r="I4053" s="130">
        <v>18</v>
      </c>
      <c r="J4053" t="s">
        <v>5677</v>
      </c>
      <c r="K4053" t="s">
        <v>108</v>
      </c>
      <c r="L4053" t="s">
        <v>123</v>
      </c>
      <c r="M4053" t="s">
        <v>103</v>
      </c>
      <c r="N4053" t="s">
        <v>101</v>
      </c>
      <c r="O4053" t="s">
        <v>116</v>
      </c>
    </row>
    <row r="4054" spans="1:15" x14ac:dyDescent="0.3">
      <c r="A4054" s="130">
        <v>22769</v>
      </c>
      <c r="B4054" s="130">
        <v>18</v>
      </c>
      <c r="C4054" s="130" t="s">
        <v>5678</v>
      </c>
      <c r="D4054">
        <v>34570</v>
      </c>
      <c r="E4054" s="130">
        <v>156880</v>
      </c>
      <c r="F4054" t="s">
        <v>87</v>
      </c>
      <c r="G4054">
        <v>76</v>
      </c>
      <c r="H4054" t="s">
        <v>8953</v>
      </c>
      <c r="I4054" s="130">
        <v>26</v>
      </c>
      <c r="J4054" t="s">
        <v>5678</v>
      </c>
      <c r="K4054" t="s">
        <v>108</v>
      </c>
      <c r="L4054" t="s">
        <v>151</v>
      </c>
      <c r="M4054" t="s">
        <v>112</v>
      </c>
      <c r="N4054" t="s">
        <v>124</v>
      </c>
      <c r="O4054" t="s">
        <v>116</v>
      </c>
    </row>
    <row r="4055" spans="1:15" x14ac:dyDescent="0.3">
      <c r="A4055" s="130">
        <v>22771</v>
      </c>
      <c r="B4055" s="130">
        <v>30</v>
      </c>
      <c r="C4055" s="130" t="s">
        <v>5679</v>
      </c>
      <c r="D4055">
        <v>34571</v>
      </c>
      <c r="E4055" s="130">
        <v>17281106</v>
      </c>
      <c r="F4055" t="s">
        <v>87</v>
      </c>
      <c r="G4055">
        <v>76</v>
      </c>
      <c r="H4055" t="s">
        <v>8951</v>
      </c>
      <c r="I4055" s="130">
        <v>28</v>
      </c>
      <c r="J4055" t="s">
        <v>5679</v>
      </c>
      <c r="K4055" t="s">
        <v>95</v>
      </c>
      <c r="L4055" t="s">
        <v>251</v>
      </c>
      <c r="M4055" t="s">
        <v>103</v>
      </c>
      <c r="N4055" t="s">
        <v>131</v>
      </c>
      <c r="O4055" t="s">
        <v>116</v>
      </c>
    </row>
    <row r="4056" spans="1:15" x14ac:dyDescent="0.3">
      <c r="A4056" s="130">
        <v>22773</v>
      </c>
      <c r="B4056" s="130">
        <v>60</v>
      </c>
      <c r="C4056" s="130" t="s">
        <v>5680</v>
      </c>
      <c r="D4056">
        <v>34573</v>
      </c>
      <c r="E4056" s="131">
        <v>3870455</v>
      </c>
      <c r="F4056" t="s">
        <v>87</v>
      </c>
      <c r="G4056">
        <v>76</v>
      </c>
      <c r="H4056" t="s">
        <v>8952</v>
      </c>
      <c r="I4056" s="130">
        <v>3</v>
      </c>
      <c r="J4056" t="s">
        <v>5680</v>
      </c>
      <c r="K4056" t="s">
        <v>108</v>
      </c>
      <c r="L4056" t="s">
        <v>120</v>
      </c>
      <c r="M4056" t="s">
        <v>97</v>
      </c>
      <c r="N4056" t="s">
        <v>216</v>
      </c>
      <c r="O4056" t="s">
        <v>116</v>
      </c>
    </row>
    <row r="4057" spans="1:15" x14ac:dyDescent="0.3">
      <c r="A4057" s="130">
        <v>22776</v>
      </c>
      <c r="B4057" s="130">
        <v>30</v>
      </c>
      <c r="C4057" s="130" t="s">
        <v>5681</v>
      </c>
      <c r="D4057">
        <v>34580</v>
      </c>
      <c r="E4057" s="131">
        <v>17162983</v>
      </c>
      <c r="F4057" t="s">
        <v>87</v>
      </c>
      <c r="G4057">
        <v>358</v>
      </c>
      <c r="H4057" t="s">
        <v>8953</v>
      </c>
      <c r="I4057" s="130">
        <v>3</v>
      </c>
      <c r="J4057" t="s">
        <v>5681</v>
      </c>
      <c r="K4057" t="s">
        <v>95</v>
      </c>
      <c r="L4057" t="s">
        <v>105</v>
      </c>
      <c r="M4057" t="s">
        <v>103</v>
      </c>
      <c r="N4057" t="s">
        <v>98</v>
      </c>
      <c r="O4057" t="s">
        <v>116</v>
      </c>
    </row>
    <row r="4058" spans="1:15" x14ac:dyDescent="0.3">
      <c r="A4058" s="130">
        <v>22778</v>
      </c>
      <c r="B4058" s="130">
        <v>28</v>
      </c>
      <c r="C4058" s="130" t="s">
        <v>5682</v>
      </c>
      <c r="D4058">
        <v>34500</v>
      </c>
      <c r="E4058" s="130">
        <v>17309157</v>
      </c>
      <c r="F4058" t="s">
        <v>113</v>
      </c>
      <c r="G4058">
        <v>76</v>
      </c>
      <c r="H4058" t="s">
        <v>8951</v>
      </c>
      <c r="I4058" s="130">
        <v>18</v>
      </c>
      <c r="J4058" t="s">
        <v>5682</v>
      </c>
      <c r="K4058" t="s">
        <v>95</v>
      </c>
      <c r="L4058" t="s">
        <v>253</v>
      </c>
      <c r="M4058" t="s">
        <v>130</v>
      </c>
      <c r="N4058" t="s">
        <v>98</v>
      </c>
      <c r="O4058" t="s">
        <v>1256</v>
      </c>
    </row>
    <row r="4059" spans="1:15" x14ac:dyDescent="0.3">
      <c r="A4059" s="130">
        <v>22787</v>
      </c>
      <c r="B4059" s="130" t="s">
        <v>135</v>
      </c>
      <c r="C4059" s="130" t="s">
        <v>5683</v>
      </c>
      <c r="D4059">
        <v>34589</v>
      </c>
      <c r="E4059" s="130">
        <v>83646547</v>
      </c>
      <c r="F4059" t="s">
        <v>87</v>
      </c>
      <c r="G4059">
        <v>32947</v>
      </c>
      <c r="H4059" t="s">
        <v>8952</v>
      </c>
      <c r="I4059" s="130">
        <v>10</v>
      </c>
      <c r="J4059" t="s">
        <v>5683</v>
      </c>
      <c r="K4059" t="s">
        <v>95</v>
      </c>
      <c r="L4059" t="s">
        <v>105</v>
      </c>
      <c r="M4059" t="s">
        <v>136</v>
      </c>
      <c r="N4059" t="s">
        <v>114</v>
      </c>
      <c r="O4059" t="s">
        <v>116</v>
      </c>
    </row>
    <row r="4060" spans="1:15" x14ac:dyDescent="0.3">
      <c r="A4060" s="130">
        <v>22788</v>
      </c>
      <c r="B4060" s="130">
        <v>28</v>
      </c>
      <c r="C4060" s="130" t="s">
        <v>5684</v>
      </c>
      <c r="D4060">
        <v>34590</v>
      </c>
      <c r="E4060" s="131">
        <v>50549444</v>
      </c>
      <c r="F4060" t="s">
        <v>87</v>
      </c>
      <c r="G4060">
        <v>76</v>
      </c>
      <c r="H4060" t="s">
        <v>8953</v>
      </c>
      <c r="I4060" s="130">
        <v>37</v>
      </c>
      <c r="J4060" t="s">
        <v>5684</v>
      </c>
      <c r="K4060" t="s">
        <v>95</v>
      </c>
      <c r="L4060" t="s">
        <v>138</v>
      </c>
      <c r="M4060" t="s">
        <v>130</v>
      </c>
      <c r="N4060" t="s">
        <v>150</v>
      </c>
      <c r="O4060" t="s">
        <v>116</v>
      </c>
    </row>
    <row r="4061" spans="1:15" x14ac:dyDescent="0.3">
      <c r="A4061" s="130">
        <v>22789</v>
      </c>
      <c r="B4061" s="130">
        <v>30</v>
      </c>
      <c r="C4061" s="130" t="s">
        <v>5685</v>
      </c>
      <c r="D4061">
        <v>34265</v>
      </c>
      <c r="E4061" s="130">
        <v>49625869</v>
      </c>
      <c r="F4061" t="s">
        <v>113</v>
      </c>
      <c r="G4061">
        <v>76</v>
      </c>
      <c r="H4061" t="s">
        <v>8951</v>
      </c>
      <c r="I4061" s="130">
        <v>43</v>
      </c>
      <c r="J4061" t="s">
        <v>5685</v>
      </c>
      <c r="K4061" t="s">
        <v>95</v>
      </c>
      <c r="L4061" t="s">
        <v>252</v>
      </c>
      <c r="M4061" t="s">
        <v>103</v>
      </c>
      <c r="N4061" t="s">
        <v>141</v>
      </c>
      <c r="O4061" t="s">
        <v>1256</v>
      </c>
    </row>
    <row r="4062" spans="1:15" x14ac:dyDescent="0.3">
      <c r="A4062" s="130">
        <v>22801</v>
      </c>
      <c r="B4062" s="130">
        <v>0</v>
      </c>
      <c r="C4062" s="130" t="s">
        <v>5686</v>
      </c>
      <c r="D4062">
        <v>34608</v>
      </c>
      <c r="E4062" s="130">
        <v>17332857</v>
      </c>
      <c r="F4062" t="s">
        <v>87</v>
      </c>
      <c r="G4062">
        <v>76</v>
      </c>
      <c r="H4062" t="s">
        <v>8952</v>
      </c>
      <c r="I4062" s="130">
        <v>9</v>
      </c>
      <c r="J4062" t="s">
        <v>5686</v>
      </c>
      <c r="K4062" t="s">
        <v>108</v>
      </c>
      <c r="L4062" t="s">
        <v>1298</v>
      </c>
      <c r="M4062" t="s">
        <v>100</v>
      </c>
      <c r="N4062" t="s">
        <v>132</v>
      </c>
      <c r="O4062" t="s">
        <v>1256</v>
      </c>
    </row>
    <row r="4063" spans="1:15" x14ac:dyDescent="0.3">
      <c r="A4063" s="130">
        <v>22809</v>
      </c>
      <c r="B4063" s="130">
        <v>10</v>
      </c>
      <c r="C4063" s="130" t="s">
        <v>5687</v>
      </c>
      <c r="D4063">
        <v>34623</v>
      </c>
      <c r="E4063" s="130">
        <v>20286415</v>
      </c>
      <c r="F4063" t="s">
        <v>87</v>
      </c>
      <c r="G4063">
        <v>76</v>
      </c>
      <c r="H4063" t="s">
        <v>8953</v>
      </c>
      <c r="I4063" s="130">
        <v>3</v>
      </c>
      <c r="J4063" t="s">
        <v>5687</v>
      </c>
      <c r="K4063" t="s">
        <v>108</v>
      </c>
      <c r="L4063" t="s">
        <v>153</v>
      </c>
      <c r="M4063" t="s">
        <v>133</v>
      </c>
      <c r="N4063" t="s">
        <v>98</v>
      </c>
      <c r="O4063" t="s">
        <v>116</v>
      </c>
    </row>
    <row r="4064" spans="1:15" x14ac:dyDescent="0.3">
      <c r="A4064" s="130">
        <v>22811</v>
      </c>
      <c r="B4064" s="130">
        <v>10</v>
      </c>
      <c r="C4064" s="130" t="s">
        <v>5688</v>
      </c>
      <c r="D4064">
        <v>34626</v>
      </c>
      <c r="E4064" s="130">
        <v>50956104</v>
      </c>
      <c r="F4064" t="s">
        <v>87</v>
      </c>
      <c r="G4064">
        <v>32947</v>
      </c>
      <c r="H4064" t="s">
        <v>8951</v>
      </c>
      <c r="I4064" s="131">
        <v>3</v>
      </c>
      <c r="J4064" t="s">
        <v>5688</v>
      </c>
      <c r="K4064" t="s">
        <v>108</v>
      </c>
      <c r="L4064" t="s">
        <v>109</v>
      </c>
      <c r="M4064" t="s">
        <v>133</v>
      </c>
      <c r="N4064" t="s">
        <v>98</v>
      </c>
      <c r="O4064" t="s">
        <v>116</v>
      </c>
    </row>
    <row r="4065" spans="1:15" x14ac:dyDescent="0.3">
      <c r="A4065" s="130">
        <v>22815</v>
      </c>
      <c r="B4065" s="130">
        <v>30</v>
      </c>
      <c r="C4065" s="130" t="s">
        <v>5689</v>
      </c>
      <c r="D4065">
        <v>34598</v>
      </c>
      <c r="E4065" s="130">
        <v>28559363</v>
      </c>
      <c r="F4065" t="s">
        <v>87</v>
      </c>
      <c r="G4065">
        <v>33359</v>
      </c>
      <c r="H4065" t="s">
        <v>8952</v>
      </c>
      <c r="I4065" s="130">
        <v>10</v>
      </c>
      <c r="J4065" t="s">
        <v>5689</v>
      </c>
      <c r="K4065" t="s">
        <v>95</v>
      </c>
      <c r="L4065" t="s">
        <v>120</v>
      </c>
      <c r="M4065" t="s">
        <v>103</v>
      </c>
      <c r="N4065" t="s">
        <v>131</v>
      </c>
      <c r="O4065" t="s">
        <v>116</v>
      </c>
    </row>
    <row r="4066" spans="1:15" x14ac:dyDescent="0.3">
      <c r="A4066" s="130">
        <v>22816</v>
      </c>
      <c r="B4066" s="130">
        <v>28</v>
      </c>
      <c r="C4066" s="130" t="s">
        <v>5690</v>
      </c>
      <c r="D4066">
        <v>34594</v>
      </c>
      <c r="E4066" s="130">
        <v>7879027</v>
      </c>
      <c r="F4066" t="s">
        <v>113</v>
      </c>
      <c r="G4066">
        <v>76</v>
      </c>
      <c r="H4066" t="s">
        <v>8953</v>
      </c>
      <c r="I4066" s="130">
        <v>18</v>
      </c>
      <c r="J4066" t="s">
        <v>5690</v>
      </c>
      <c r="K4066" t="s">
        <v>108</v>
      </c>
      <c r="L4066" t="s">
        <v>253</v>
      </c>
      <c r="M4066" t="s">
        <v>130</v>
      </c>
      <c r="N4066" t="s">
        <v>98</v>
      </c>
      <c r="O4066" t="s">
        <v>1256</v>
      </c>
    </row>
    <row r="4067" spans="1:15" x14ac:dyDescent="0.3">
      <c r="A4067" s="130">
        <v>22818</v>
      </c>
      <c r="B4067" s="130">
        <v>28</v>
      </c>
      <c r="C4067" s="130" t="s">
        <v>5691</v>
      </c>
      <c r="D4067">
        <v>34635</v>
      </c>
      <c r="E4067" s="130">
        <v>37264837</v>
      </c>
      <c r="F4067" t="s">
        <v>87</v>
      </c>
      <c r="G4067">
        <v>76</v>
      </c>
      <c r="H4067" t="s">
        <v>8951</v>
      </c>
      <c r="I4067" s="131">
        <v>37</v>
      </c>
      <c r="J4067" t="s">
        <v>5691</v>
      </c>
      <c r="K4067" t="s">
        <v>95</v>
      </c>
      <c r="L4067" t="s">
        <v>138</v>
      </c>
      <c r="M4067" t="s">
        <v>130</v>
      </c>
      <c r="N4067" t="s">
        <v>150</v>
      </c>
      <c r="O4067" t="s">
        <v>116</v>
      </c>
    </row>
    <row r="4068" spans="1:15" x14ac:dyDescent="0.3">
      <c r="A4068" s="130">
        <v>22822</v>
      </c>
      <c r="B4068" s="130">
        <v>10</v>
      </c>
      <c r="C4068" s="130" t="s">
        <v>5692</v>
      </c>
      <c r="D4068">
        <v>34653</v>
      </c>
      <c r="E4068" s="130">
        <v>26389015</v>
      </c>
      <c r="F4068" t="s">
        <v>87</v>
      </c>
      <c r="G4068">
        <v>76</v>
      </c>
      <c r="H4068" t="s">
        <v>8952</v>
      </c>
      <c r="I4068" s="130">
        <v>3</v>
      </c>
      <c r="J4068" t="s">
        <v>5692</v>
      </c>
      <c r="K4068" t="s">
        <v>108</v>
      </c>
      <c r="L4068" t="s">
        <v>1293</v>
      </c>
      <c r="M4068" t="s">
        <v>133</v>
      </c>
      <c r="N4068" t="s">
        <v>98</v>
      </c>
      <c r="O4068" t="s">
        <v>116</v>
      </c>
    </row>
    <row r="4069" spans="1:15" x14ac:dyDescent="0.3">
      <c r="A4069" s="130">
        <v>22828</v>
      </c>
      <c r="B4069" s="130">
        <v>90</v>
      </c>
      <c r="C4069" s="130" t="s">
        <v>5693</v>
      </c>
      <c r="D4069">
        <v>34675</v>
      </c>
      <c r="E4069" s="131">
        <v>655209</v>
      </c>
      <c r="F4069" t="s">
        <v>87</v>
      </c>
      <c r="G4069">
        <v>76</v>
      </c>
      <c r="H4069" t="s">
        <v>8953</v>
      </c>
      <c r="I4069" s="131">
        <v>9</v>
      </c>
      <c r="J4069" t="s">
        <v>5693</v>
      </c>
      <c r="K4069" t="s">
        <v>95</v>
      </c>
      <c r="L4069" t="s">
        <v>181</v>
      </c>
      <c r="M4069" t="s">
        <v>170</v>
      </c>
      <c r="N4069" t="s">
        <v>118</v>
      </c>
      <c r="O4069" t="s">
        <v>116</v>
      </c>
    </row>
    <row r="4070" spans="1:15" x14ac:dyDescent="0.3">
      <c r="A4070" s="130">
        <v>22831</v>
      </c>
      <c r="B4070" s="130">
        <v>0</v>
      </c>
      <c r="C4070" s="130" t="s">
        <v>5694</v>
      </c>
      <c r="D4070">
        <v>34645</v>
      </c>
      <c r="E4070" s="131">
        <v>85630063715</v>
      </c>
      <c r="F4070" t="s">
        <v>113</v>
      </c>
      <c r="G4070">
        <v>76</v>
      </c>
      <c r="H4070" t="s">
        <v>8951</v>
      </c>
      <c r="I4070" s="130">
        <v>14</v>
      </c>
      <c r="J4070" t="s">
        <v>5694</v>
      </c>
      <c r="K4070" t="s">
        <v>108</v>
      </c>
      <c r="L4070" t="s">
        <v>253</v>
      </c>
      <c r="M4070" t="s">
        <v>154</v>
      </c>
      <c r="N4070" t="s">
        <v>110</v>
      </c>
      <c r="O4070" t="s">
        <v>1256</v>
      </c>
    </row>
    <row r="4071" spans="1:15" x14ac:dyDescent="0.3">
      <c r="A4071" s="130">
        <v>22846</v>
      </c>
      <c r="B4071" s="130">
        <v>18</v>
      </c>
      <c r="C4071" s="130" t="s">
        <v>5695</v>
      </c>
      <c r="D4071">
        <v>34701</v>
      </c>
      <c r="E4071" s="130">
        <v>2059753</v>
      </c>
      <c r="F4071" t="s">
        <v>87</v>
      </c>
      <c r="G4071">
        <v>76</v>
      </c>
      <c r="H4071" t="s">
        <v>8952</v>
      </c>
      <c r="I4071" s="130">
        <v>43</v>
      </c>
      <c r="J4071" t="s">
        <v>5695</v>
      </c>
      <c r="K4071" t="s">
        <v>95</v>
      </c>
      <c r="L4071" t="s">
        <v>111</v>
      </c>
      <c r="M4071" t="s">
        <v>112</v>
      </c>
      <c r="N4071" t="s">
        <v>118</v>
      </c>
      <c r="O4071" t="s">
        <v>116</v>
      </c>
    </row>
    <row r="4072" spans="1:15" x14ac:dyDescent="0.3">
      <c r="A4072" s="130">
        <v>22850</v>
      </c>
      <c r="B4072" s="130">
        <v>28</v>
      </c>
      <c r="C4072" s="130" t="s">
        <v>5696</v>
      </c>
      <c r="D4072">
        <v>34706</v>
      </c>
      <c r="E4072" s="130">
        <v>72030927</v>
      </c>
      <c r="F4072" t="s">
        <v>87</v>
      </c>
      <c r="G4072">
        <v>76</v>
      </c>
      <c r="H4072" t="s">
        <v>8953</v>
      </c>
      <c r="I4072" s="130">
        <v>18</v>
      </c>
      <c r="J4072" t="s">
        <v>5696</v>
      </c>
      <c r="K4072" t="s">
        <v>108</v>
      </c>
      <c r="L4072" t="s">
        <v>253</v>
      </c>
      <c r="M4072" t="s">
        <v>130</v>
      </c>
      <c r="N4072" t="s">
        <v>98</v>
      </c>
      <c r="O4072" t="s">
        <v>1256</v>
      </c>
    </row>
    <row r="4073" spans="1:15" x14ac:dyDescent="0.3">
      <c r="A4073" s="130">
        <v>22854</v>
      </c>
      <c r="B4073" s="130">
        <v>20</v>
      </c>
      <c r="C4073" s="130" t="s">
        <v>5697</v>
      </c>
      <c r="D4073">
        <v>34727</v>
      </c>
      <c r="E4073" s="130">
        <v>1206756</v>
      </c>
      <c r="F4073" t="s">
        <v>87</v>
      </c>
      <c r="G4073">
        <v>76</v>
      </c>
      <c r="H4073" t="s">
        <v>8951</v>
      </c>
      <c r="I4073" s="130">
        <v>19</v>
      </c>
      <c r="J4073" t="s">
        <v>5697</v>
      </c>
      <c r="K4073" t="s">
        <v>108</v>
      </c>
      <c r="L4073" t="s">
        <v>252</v>
      </c>
      <c r="M4073" t="s">
        <v>148</v>
      </c>
      <c r="N4073" t="s">
        <v>98</v>
      </c>
      <c r="O4073" t="s">
        <v>116</v>
      </c>
    </row>
    <row r="4074" spans="1:15" x14ac:dyDescent="0.3">
      <c r="A4074" s="130">
        <v>22855</v>
      </c>
      <c r="B4074" s="130">
        <v>30</v>
      </c>
      <c r="C4074" s="130" t="s">
        <v>5698</v>
      </c>
      <c r="D4074">
        <v>34728</v>
      </c>
      <c r="E4074" s="130">
        <v>34562112</v>
      </c>
      <c r="F4074" t="s">
        <v>87</v>
      </c>
      <c r="G4074">
        <v>76</v>
      </c>
      <c r="H4074" t="s">
        <v>8952</v>
      </c>
      <c r="I4074" s="131">
        <v>24</v>
      </c>
      <c r="J4074" t="s">
        <v>5698</v>
      </c>
      <c r="K4074" t="s">
        <v>95</v>
      </c>
      <c r="L4074" t="s">
        <v>191</v>
      </c>
      <c r="M4074" t="s">
        <v>103</v>
      </c>
      <c r="N4074" t="s">
        <v>107</v>
      </c>
      <c r="O4074" t="s">
        <v>116</v>
      </c>
    </row>
    <row r="4075" spans="1:15" x14ac:dyDescent="0.3">
      <c r="A4075" s="130">
        <v>22856</v>
      </c>
      <c r="B4075" s="130">
        <v>30</v>
      </c>
      <c r="C4075" s="130" t="s">
        <v>5699</v>
      </c>
      <c r="D4075">
        <v>34730</v>
      </c>
      <c r="E4075" s="131">
        <v>51466860</v>
      </c>
      <c r="F4075" t="s">
        <v>87</v>
      </c>
      <c r="G4075">
        <v>76</v>
      </c>
      <c r="H4075" t="s">
        <v>8953</v>
      </c>
      <c r="I4075" s="130">
        <v>37</v>
      </c>
      <c r="J4075" t="s">
        <v>5699</v>
      </c>
      <c r="K4075" t="s">
        <v>95</v>
      </c>
      <c r="L4075" t="s">
        <v>144</v>
      </c>
      <c r="M4075" t="s">
        <v>103</v>
      </c>
      <c r="N4075" t="s">
        <v>141</v>
      </c>
      <c r="O4075" t="s">
        <v>1256</v>
      </c>
    </row>
    <row r="4076" spans="1:15" x14ac:dyDescent="0.3">
      <c r="A4076" s="130">
        <v>22863</v>
      </c>
      <c r="B4076" s="130">
        <v>30</v>
      </c>
      <c r="C4076" s="130" t="s">
        <v>5700</v>
      </c>
      <c r="D4076">
        <v>34738</v>
      </c>
      <c r="E4076" s="131">
        <v>38380278</v>
      </c>
      <c r="F4076" t="s">
        <v>87</v>
      </c>
      <c r="G4076">
        <v>358</v>
      </c>
      <c r="H4076" t="s">
        <v>8951</v>
      </c>
      <c r="I4076" s="130">
        <v>3</v>
      </c>
      <c r="J4076" t="s">
        <v>5700</v>
      </c>
      <c r="K4076" t="s">
        <v>95</v>
      </c>
      <c r="L4076" t="s">
        <v>105</v>
      </c>
      <c r="M4076" t="s">
        <v>103</v>
      </c>
      <c r="N4076" t="s">
        <v>98</v>
      </c>
      <c r="O4076" t="s">
        <v>116</v>
      </c>
    </row>
    <row r="4077" spans="1:15" x14ac:dyDescent="0.3">
      <c r="A4077" s="130">
        <v>22865</v>
      </c>
      <c r="B4077" s="130">
        <v>30</v>
      </c>
      <c r="C4077" s="130" t="s">
        <v>5701</v>
      </c>
      <c r="D4077">
        <v>34744</v>
      </c>
      <c r="E4077" s="130">
        <v>37490799</v>
      </c>
      <c r="F4077" t="s">
        <v>87</v>
      </c>
      <c r="G4077">
        <v>76</v>
      </c>
      <c r="H4077" t="s">
        <v>8952</v>
      </c>
      <c r="I4077" s="131">
        <v>19</v>
      </c>
      <c r="J4077" t="s">
        <v>5701</v>
      </c>
      <c r="K4077" t="s">
        <v>108</v>
      </c>
      <c r="L4077" t="s">
        <v>252</v>
      </c>
      <c r="M4077" t="s">
        <v>103</v>
      </c>
      <c r="N4077" t="s">
        <v>98</v>
      </c>
      <c r="O4077" t="s">
        <v>116</v>
      </c>
    </row>
    <row r="4078" spans="1:15" x14ac:dyDescent="0.3">
      <c r="A4078" s="130">
        <v>22866</v>
      </c>
      <c r="B4078" s="130">
        <v>20</v>
      </c>
      <c r="C4078" s="130" t="s">
        <v>5702</v>
      </c>
      <c r="D4078">
        <v>34740</v>
      </c>
      <c r="E4078" s="130">
        <v>15736596</v>
      </c>
      <c r="F4078" t="s">
        <v>87</v>
      </c>
      <c r="G4078">
        <v>76</v>
      </c>
      <c r="H4078" t="s">
        <v>8953</v>
      </c>
      <c r="I4078" s="130">
        <v>19</v>
      </c>
      <c r="J4078" t="s">
        <v>5702</v>
      </c>
      <c r="K4078" t="s">
        <v>108</v>
      </c>
      <c r="L4078" t="s">
        <v>252</v>
      </c>
      <c r="M4078" t="s">
        <v>148</v>
      </c>
      <c r="N4078" t="s">
        <v>98</v>
      </c>
      <c r="O4078" t="s">
        <v>116</v>
      </c>
    </row>
    <row r="4079" spans="1:15" x14ac:dyDescent="0.3">
      <c r="A4079" s="130">
        <v>22867</v>
      </c>
      <c r="B4079" s="130">
        <v>18</v>
      </c>
      <c r="C4079" s="130" t="s">
        <v>5703</v>
      </c>
      <c r="D4079">
        <v>34749</v>
      </c>
      <c r="E4079" s="131">
        <v>30111642</v>
      </c>
      <c r="F4079" t="s">
        <v>87</v>
      </c>
      <c r="G4079">
        <v>76</v>
      </c>
      <c r="H4079" t="s">
        <v>8951</v>
      </c>
      <c r="I4079" s="130">
        <v>26</v>
      </c>
      <c r="J4079" t="s">
        <v>5703</v>
      </c>
      <c r="K4079" t="s">
        <v>108</v>
      </c>
      <c r="L4079" t="s">
        <v>151</v>
      </c>
      <c r="M4079" t="s">
        <v>112</v>
      </c>
      <c r="N4079" t="s">
        <v>122</v>
      </c>
      <c r="O4079" t="s">
        <v>116</v>
      </c>
    </row>
    <row r="4080" spans="1:15" x14ac:dyDescent="0.3">
      <c r="A4080" s="130">
        <v>22869</v>
      </c>
      <c r="B4080" s="130">
        <v>30</v>
      </c>
      <c r="C4080" s="130" t="s">
        <v>5704</v>
      </c>
      <c r="D4080">
        <v>34754</v>
      </c>
      <c r="E4080" s="130">
        <v>7522191</v>
      </c>
      <c r="F4080" t="s">
        <v>87</v>
      </c>
      <c r="G4080">
        <v>76</v>
      </c>
      <c r="H4080" t="s">
        <v>8952</v>
      </c>
      <c r="I4080" s="130">
        <v>3</v>
      </c>
      <c r="J4080" t="s">
        <v>5704</v>
      </c>
      <c r="K4080" t="s">
        <v>95</v>
      </c>
      <c r="L4080" t="s">
        <v>111</v>
      </c>
      <c r="M4080" t="s">
        <v>103</v>
      </c>
      <c r="N4080" t="s">
        <v>98</v>
      </c>
      <c r="O4080" t="s">
        <v>1345</v>
      </c>
    </row>
    <row r="4081" spans="1:15" x14ac:dyDescent="0.3">
      <c r="A4081" s="130">
        <v>22870</v>
      </c>
      <c r="B4081" s="130">
        <v>30</v>
      </c>
      <c r="C4081" s="130" t="s">
        <v>5705</v>
      </c>
      <c r="D4081">
        <v>34755</v>
      </c>
      <c r="E4081" s="130">
        <v>7522191</v>
      </c>
      <c r="F4081" t="s">
        <v>87</v>
      </c>
      <c r="G4081">
        <v>76</v>
      </c>
      <c r="H4081" t="s">
        <v>8953</v>
      </c>
      <c r="I4081" s="130">
        <v>3</v>
      </c>
      <c r="J4081" t="s">
        <v>5705</v>
      </c>
      <c r="K4081" t="s">
        <v>95</v>
      </c>
      <c r="L4081" t="s">
        <v>111</v>
      </c>
      <c r="M4081" t="s">
        <v>103</v>
      </c>
      <c r="N4081" t="s">
        <v>98</v>
      </c>
      <c r="O4081" t="s">
        <v>1345</v>
      </c>
    </row>
    <row r="4082" spans="1:15" x14ac:dyDescent="0.3">
      <c r="A4082" s="130">
        <v>22872</v>
      </c>
      <c r="B4082" s="130">
        <v>30</v>
      </c>
      <c r="C4082" s="130" t="s">
        <v>5706</v>
      </c>
      <c r="D4082">
        <v>34757</v>
      </c>
      <c r="E4082" s="131">
        <v>16614075</v>
      </c>
      <c r="F4082" t="s">
        <v>87</v>
      </c>
      <c r="G4082">
        <v>77</v>
      </c>
      <c r="H4082" t="s">
        <v>8951</v>
      </c>
      <c r="I4082" s="130">
        <v>3</v>
      </c>
      <c r="J4082" t="s">
        <v>5706</v>
      </c>
      <c r="K4082" t="s">
        <v>95</v>
      </c>
      <c r="L4082" t="s">
        <v>256</v>
      </c>
      <c r="M4082" t="s">
        <v>103</v>
      </c>
      <c r="N4082" t="s">
        <v>98</v>
      </c>
      <c r="O4082" t="s">
        <v>116</v>
      </c>
    </row>
    <row r="4083" spans="1:15" x14ac:dyDescent="0.3">
      <c r="A4083" s="130">
        <v>22876</v>
      </c>
      <c r="B4083" s="130">
        <v>30</v>
      </c>
      <c r="C4083" s="130" t="s">
        <v>5707</v>
      </c>
      <c r="D4083">
        <v>34761</v>
      </c>
      <c r="E4083" s="130">
        <v>38460234</v>
      </c>
      <c r="F4083" t="s">
        <v>87</v>
      </c>
      <c r="G4083">
        <v>32947</v>
      </c>
      <c r="H4083" t="s">
        <v>8952</v>
      </c>
      <c r="I4083" s="130">
        <v>3</v>
      </c>
      <c r="J4083" t="s">
        <v>5707</v>
      </c>
      <c r="K4083" t="s">
        <v>95</v>
      </c>
      <c r="L4083" t="s">
        <v>109</v>
      </c>
      <c r="M4083" t="s">
        <v>103</v>
      </c>
      <c r="N4083" t="s">
        <v>98</v>
      </c>
      <c r="O4083" t="s">
        <v>116</v>
      </c>
    </row>
    <row r="4084" spans="1:15" x14ac:dyDescent="0.3">
      <c r="A4084" s="130">
        <v>22878</v>
      </c>
      <c r="B4084" s="130">
        <v>28</v>
      </c>
      <c r="C4084" s="130" t="s">
        <v>5708</v>
      </c>
      <c r="D4084">
        <v>34759</v>
      </c>
      <c r="E4084" s="130">
        <v>7147444</v>
      </c>
      <c r="F4084" t="s">
        <v>87</v>
      </c>
      <c r="G4084">
        <v>76</v>
      </c>
      <c r="H4084" t="s">
        <v>8953</v>
      </c>
      <c r="I4084" s="130">
        <v>18</v>
      </c>
      <c r="J4084" t="s">
        <v>5708</v>
      </c>
      <c r="K4084" t="s">
        <v>108</v>
      </c>
      <c r="L4084" t="s">
        <v>253</v>
      </c>
      <c r="M4084" t="s">
        <v>130</v>
      </c>
      <c r="N4084" t="s">
        <v>98</v>
      </c>
      <c r="O4084" t="s">
        <v>116</v>
      </c>
    </row>
    <row r="4085" spans="1:15" x14ac:dyDescent="0.3">
      <c r="A4085" s="130">
        <v>22879</v>
      </c>
      <c r="B4085" s="130">
        <v>18</v>
      </c>
      <c r="C4085" s="130" t="s">
        <v>5709</v>
      </c>
      <c r="D4085">
        <v>34763</v>
      </c>
      <c r="E4085" s="130">
        <v>17069832</v>
      </c>
      <c r="F4085" t="s">
        <v>87</v>
      </c>
      <c r="G4085">
        <v>76</v>
      </c>
      <c r="H4085" t="s">
        <v>8951</v>
      </c>
      <c r="I4085" s="130">
        <v>3</v>
      </c>
      <c r="J4085" t="s">
        <v>5709</v>
      </c>
      <c r="K4085" t="s">
        <v>108</v>
      </c>
      <c r="L4085" t="s">
        <v>1293</v>
      </c>
      <c r="M4085" t="s">
        <v>112</v>
      </c>
      <c r="N4085" t="s">
        <v>98</v>
      </c>
      <c r="O4085" t="s">
        <v>1345</v>
      </c>
    </row>
    <row r="4086" spans="1:15" x14ac:dyDescent="0.3">
      <c r="A4086" s="130">
        <v>22880</v>
      </c>
      <c r="B4086" s="130">
        <v>18</v>
      </c>
      <c r="C4086" s="130" t="s">
        <v>5710</v>
      </c>
      <c r="D4086">
        <v>34764</v>
      </c>
      <c r="E4086" s="130">
        <v>17069832</v>
      </c>
      <c r="F4086" t="s">
        <v>87</v>
      </c>
      <c r="G4086">
        <v>76</v>
      </c>
      <c r="H4086" t="s">
        <v>8952</v>
      </c>
      <c r="I4086" s="130">
        <v>3</v>
      </c>
      <c r="J4086" t="s">
        <v>5710</v>
      </c>
      <c r="K4086" t="s">
        <v>108</v>
      </c>
      <c r="L4086" t="s">
        <v>153</v>
      </c>
      <c r="M4086" t="s">
        <v>112</v>
      </c>
      <c r="N4086" t="s">
        <v>98</v>
      </c>
      <c r="O4086" t="s">
        <v>116</v>
      </c>
    </row>
    <row r="4087" spans="1:15" x14ac:dyDescent="0.3">
      <c r="A4087" s="130">
        <v>22881</v>
      </c>
      <c r="B4087" s="130">
        <v>30</v>
      </c>
      <c r="C4087" s="130" t="s">
        <v>5711</v>
      </c>
      <c r="D4087">
        <v>34765</v>
      </c>
      <c r="E4087" s="130">
        <v>38460234</v>
      </c>
      <c r="F4087" t="s">
        <v>87</v>
      </c>
      <c r="G4087">
        <v>32947</v>
      </c>
      <c r="H4087" t="s">
        <v>8953</v>
      </c>
      <c r="I4087" s="130">
        <v>3</v>
      </c>
      <c r="J4087" t="s">
        <v>5711</v>
      </c>
      <c r="K4087" t="s">
        <v>108</v>
      </c>
      <c r="L4087" t="s">
        <v>109</v>
      </c>
      <c r="M4087" t="s">
        <v>103</v>
      </c>
      <c r="N4087" t="s">
        <v>98</v>
      </c>
      <c r="O4087" t="s">
        <v>116</v>
      </c>
    </row>
    <row r="4088" spans="1:15" x14ac:dyDescent="0.3">
      <c r="A4088" s="130">
        <v>22886</v>
      </c>
      <c r="B4088" s="130">
        <v>60</v>
      </c>
      <c r="C4088" s="130" t="s">
        <v>5712</v>
      </c>
      <c r="D4088">
        <v>34769</v>
      </c>
      <c r="E4088" s="130">
        <v>49074412</v>
      </c>
      <c r="F4088" t="s">
        <v>87</v>
      </c>
      <c r="G4088">
        <v>76</v>
      </c>
      <c r="H4088" t="s">
        <v>8951</v>
      </c>
      <c r="I4088" s="130">
        <v>9</v>
      </c>
      <c r="J4088" t="s">
        <v>5712</v>
      </c>
      <c r="K4088" t="s">
        <v>108</v>
      </c>
      <c r="L4088" t="s">
        <v>163</v>
      </c>
      <c r="M4088" t="s">
        <v>97</v>
      </c>
      <c r="N4088" t="s">
        <v>101</v>
      </c>
      <c r="O4088" t="s">
        <v>116</v>
      </c>
    </row>
    <row r="4089" spans="1:15" x14ac:dyDescent="0.3">
      <c r="A4089" s="130">
        <v>22888</v>
      </c>
      <c r="B4089" s="130">
        <v>0</v>
      </c>
      <c r="C4089" s="130" t="s">
        <v>5713</v>
      </c>
      <c r="D4089">
        <v>34771</v>
      </c>
      <c r="E4089" s="130">
        <v>28462985</v>
      </c>
      <c r="F4089" t="s">
        <v>87</v>
      </c>
      <c r="G4089">
        <v>76</v>
      </c>
      <c r="H4089" t="s">
        <v>8952</v>
      </c>
      <c r="I4089" s="130">
        <v>24</v>
      </c>
      <c r="J4089" t="s">
        <v>5713</v>
      </c>
      <c r="K4089" t="s">
        <v>108</v>
      </c>
      <c r="L4089" t="s">
        <v>191</v>
      </c>
      <c r="M4089" t="s">
        <v>100</v>
      </c>
      <c r="N4089" t="s">
        <v>98</v>
      </c>
      <c r="O4089" t="s">
        <v>1345</v>
      </c>
    </row>
    <row r="4090" spans="1:15" x14ac:dyDescent="0.3">
      <c r="A4090" s="130">
        <v>22891</v>
      </c>
      <c r="B4090" s="130">
        <v>30</v>
      </c>
      <c r="C4090" s="130" t="s">
        <v>5714</v>
      </c>
      <c r="D4090">
        <v>34773</v>
      </c>
      <c r="E4090" s="130">
        <v>1313486</v>
      </c>
      <c r="F4090" t="s">
        <v>87</v>
      </c>
      <c r="G4090">
        <v>76</v>
      </c>
      <c r="H4090" t="s">
        <v>8953</v>
      </c>
      <c r="I4090" s="130">
        <v>10</v>
      </c>
      <c r="J4090" t="s">
        <v>5714</v>
      </c>
      <c r="K4090" t="s">
        <v>108</v>
      </c>
      <c r="L4090" t="s">
        <v>127</v>
      </c>
      <c r="M4090" t="s">
        <v>103</v>
      </c>
      <c r="N4090" t="s">
        <v>118</v>
      </c>
      <c r="O4090" t="s">
        <v>116</v>
      </c>
    </row>
    <row r="4091" spans="1:15" x14ac:dyDescent="0.3">
      <c r="A4091" s="130">
        <v>22894</v>
      </c>
      <c r="B4091" s="130">
        <v>10</v>
      </c>
      <c r="C4091" s="130" t="s">
        <v>5715</v>
      </c>
      <c r="D4091">
        <v>34783</v>
      </c>
      <c r="E4091" s="130">
        <v>19066090</v>
      </c>
      <c r="F4091" t="s">
        <v>87</v>
      </c>
      <c r="G4091">
        <v>76</v>
      </c>
      <c r="H4091" t="s">
        <v>8951</v>
      </c>
      <c r="I4091" s="130">
        <v>3</v>
      </c>
      <c r="J4091" t="s">
        <v>5715</v>
      </c>
      <c r="K4091" t="s">
        <v>108</v>
      </c>
      <c r="L4091" t="s">
        <v>1293</v>
      </c>
      <c r="M4091" t="s">
        <v>133</v>
      </c>
      <c r="N4091" t="s">
        <v>98</v>
      </c>
      <c r="O4091" t="s">
        <v>116</v>
      </c>
    </row>
    <row r="4092" spans="1:15" x14ac:dyDescent="0.3">
      <c r="A4092" s="130">
        <v>22896</v>
      </c>
      <c r="B4092" s="130">
        <v>18</v>
      </c>
      <c r="C4092" s="130" t="s">
        <v>5716</v>
      </c>
      <c r="D4092">
        <v>34774</v>
      </c>
      <c r="E4092" s="131">
        <v>86826443</v>
      </c>
      <c r="F4092" t="s">
        <v>87</v>
      </c>
      <c r="G4092">
        <v>76</v>
      </c>
      <c r="H4092" t="s">
        <v>8952</v>
      </c>
      <c r="I4092" s="130">
        <v>9</v>
      </c>
      <c r="J4092" t="s">
        <v>5716</v>
      </c>
      <c r="K4092" t="s">
        <v>108</v>
      </c>
      <c r="L4092" t="s">
        <v>1298</v>
      </c>
      <c r="M4092" t="s">
        <v>112</v>
      </c>
      <c r="N4092" t="s">
        <v>124</v>
      </c>
      <c r="O4092" t="s">
        <v>1256</v>
      </c>
    </row>
    <row r="4093" spans="1:15" x14ac:dyDescent="0.3">
      <c r="A4093" s="130">
        <v>22897</v>
      </c>
      <c r="B4093" s="130">
        <v>18</v>
      </c>
      <c r="C4093" s="130" t="s">
        <v>5717</v>
      </c>
      <c r="D4093">
        <v>34788</v>
      </c>
      <c r="E4093" s="130">
        <v>31840814</v>
      </c>
      <c r="F4093" t="s">
        <v>87</v>
      </c>
      <c r="G4093">
        <v>76</v>
      </c>
      <c r="H4093" t="s">
        <v>8953</v>
      </c>
      <c r="I4093" s="130">
        <v>26</v>
      </c>
      <c r="J4093" t="s">
        <v>5717</v>
      </c>
      <c r="K4093" t="s">
        <v>108</v>
      </c>
      <c r="L4093" t="s">
        <v>151</v>
      </c>
      <c r="M4093" t="s">
        <v>112</v>
      </c>
      <c r="N4093" t="s">
        <v>98</v>
      </c>
      <c r="O4093" t="s">
        <v>1345</v>
      </c>
    </row>
    <row r="4094" spans="1:15" x14ac:dyDescent="0.3">
      <c r="A4094" s="130">
        <v>22905</v>
      </c>
      <c r="B4094" s="130">
        <v>10</v>
      </c>
      <c r="C4094" s="130" t="s">
        <v>5718</v>
      </c>
      <c r="D4094">
        <v>34803</v>
      </c>
      <c r="E4094" s="131">
        <v>71218598</v>
      </c>
      <c r="F4094" t="s">
        <v>87</v>
      </c>
      <c r="G4094">
        <v>76</v>
      </c>
      <c r="H4094" t="s">
        <v>8951</v>
      </c>
      <c r="I4094" s="131">
        <v>3</v>
      </c>
      <c r="J4094" t="s">
        <v>5718</v>
      </c>
      <c r="K4094" t="s">
        <v>108</v>
      </c>
      <c r="L4094" t="s">
        <v>120</v>
      </c>
      <c r="M4094" t="s">
        <v>133</v>
      </c>
      <c r="N4094" t="s">
        <v>98</v>
      </c>
      <c r="O4094" t="s">
        <v>1345</v>
      </c>
    </row>
    <row r="4095" spans="1:15" x14ac:dyDescent="0.3">
      <c r="A4095" s="130">
        <v>22919</v>
      </c>
      <c r="B4095" s="130">
        <v>18</v>
      </c>
      <c r="C4095" s="130" t="s">
        <v>5719</v>
      </c>
      <c r="D4095">
        <v>34826</v>
      </c>
      <c r="E4095" s="131">
        <v>4892580</v>
      </c>
      <c r="F4095" t="s">
        <v>87</v>
      </c>
      <c r="G4095">
        <v>76</v>
      </c>
      <c r="H4095" t="s">
        <v>8952</v>
      </c>
      <c r="I4095" s="130">
        <v>9</v>
      </c>
      <c r="J4095" t="s">
        <v>5719</v>
      </c>
      <c r="K4095" t="s">
        <v>108</v>
      </c>
      <c r="L4095" t="s">
        <v>1298</v>
      </c>
      <c r="M4095" t="s">
        <v>112</v>
      </c>
      <c r="N4095" t="s">
        <v>114</v>
      </c>
      <c r="O4095" t="s">
        <v>1256</v>
      </c>
    </row>
    <row r="4096" spans="1:15" x14ac:dyDescent="0.3">
      <c r="A4096" s="130">
        <v>22923</v>
      </c>
      <c r="B4096" s="130">
        <v>30</v>
      </c>
      <c r="C4096" s="130" t="s">
        <v>5720</v>
      </c>
      <c r="D4096">
        <v>34833</v>
      </c>
      <c r="E4096" s="130">
        <v>5515245</v>
      </c>
      <c r="F4096" t="s">
        <v>87</v>
      </c>
      <c r="G4096">
        <v>76</v>
      </c>
      <c r="H4096" t="s">
        <v>8953</v>
      </c>
      <c r="I4096" s="130">
        <v>19</v>
      </c>
      <c r="J4096" t="s">
        <v>5720</v>
      </c>
      <c r="K4096" t="s">
        <v>95</v>
      </c>
      <c r="L4096" t="s">
        <v>111</v>
      </c>
      <c r="M4096" t="s">
        <v>103</v>
      </c>
      <c r="N4096" t="s">
        <v>98</v>
      </c>
      <c r="O4096" t="s">
        <v>116</v>
      </c>
    </row>
    <row r="4097" spans="1:15" x14ac:dyDescent="0.3">
      <c r="A4097" s="130">
        <v>22925</v>
      </c>
      <c r="B4097" s="130">
        <v>18</v>
      </c>
      <c r="C4097" s="130" t="s">
        <v>5721</v>
      </c>
      <c r="D4097">
        <v>34834</v>
      </c>
      <c r="E4097" s="130">
        <v>34375501</v>
      </c>
      <c r="F4097" t="s">
        <v>87</v>
      </c>
      <c r="G4097">
        <v>76</v>
      </c>
      <c r="H4097" t="s">
        <v>8951</v>
      </c>
      <c r="I4097" s="131">
        <v>26</v>
      </c>
      <c r="J4097" t="s">
        <v>5721</v>
      </c>
      <c r="K4097" t="s">
        <v>108</v>
      </c>
      <c r="L4097" t="s">
        <v>151</v>
      </c>
      <c r="M4097" t="s">
        <v>112</v>
      </c>
      <c r="N4097" t="s">
        <v>98</v>
      </c>
      <c r="O4097" t="s">
        <v>116</v>
      </c>
    </row>
    <row r="4098" spans="1:15" x14ac:dyDescent="0.3">
      <c r="A4098" s="130">
        <v>22931</v>
      </c>
      <c r="B4098" s="130">
        <v>10</v>
      </c>
      <c r="C4098" s="130" t="s">
        <v>5722</v>
      </c>
      <c r="D4098">
        <v>34846</v>
      </c>
      <c r="E4098" s="131">
        <v>472355</v>
      </c>
      <c r="F4098" t="s">
        <v>87</v>
      </c>
      <c r="G4098">
        <v>32947</v>
      </c>
      <c r="H4098" t="s">
        <v>8952</v>
      </c>
      <c r="I4098" s="130">
        <v>9</v>
      </c>
      <c r="J4098" t="s">
        <v>5722</v>
      </c>
      <c r="K4098" t="s">
        <v>108</v>
      </c>
      <c r="L4098" t="s">
        <v>163</v>
      </c>
      <c r="M4098" t="s">
        <v>133</v>
      </c>
      <c r="N4098" t="s">
        <v>98</v>
      </c>
      <c r="O4098" t="s">
        <v>116</v>
      </c>
    </row>
    <row r="4099" spans="1:15" x14ac:dyDescent="0.3">
      <c r="A4099" s="130">
        <v>22936</v>
      </c>
      <c r="B4099" s="130">
        <v>28</v>
      </c>
      <c r="C4099" s="130" t="s">
        <v>5723</v>
      </c>
      <c r="D4099">
        <v>34852</v>
      </c>
      <c r="E4099" s="130">
        <v>6291846</v>
      </c>
      <c r="F4099" t="s">
        <v>87</v>
      </c>
      <c r="G4099">
        <v>76</v>
      </c>
      <c r="H4099" t="s">
        <v>8953</v>
      </c>
      <c r="I4099" s="131">
        <v>37</v>
      </c>
      <c r="J4099" t="s">
        <v>5723</v>
      </c>
      <c r="K4099" t="s">
        <v>95</v>
      </c>
      <c r="L4099" t="s">
        <v>138</v>
      </c>
      <c r="M4099" t="s">
        <v>130</v>
      </c>
      <c r="N4099" t="s">
        <v>114</v>
      </c>
      <c r="O4099" t="s">
        <v>116</v>
      </c>
    </row>
    <row r="4100" spans="1:15" x14ac:dyDescent="0.3">
      <c r="A4100" s="130">
        <v>22939</v>
      </c>
      <c r="B4100" s="130">
        <v>10</v>
      </c>
      <c r="C4100" s="130" t="s">
        <v>5724</v>
      </c>
      <c r="D4100">
        <v>34856</v>
      </c>
      <c r="E4100" s="130">
        <v>48767547</v>
      </c>
      <c r="F4100" t="s">
        <v>87</v>
      </c>
      <c r="G4100">
        <v>76</v>
      </c>
      <c r="H4100" t="s">
        <v>8951</v>
      </c>
      <c r="I4100" s="130">
        <v>24</v>
      </c>
      <c r="J4100" t="s">
        <v>5724</v>
      </c>
      <c r="K4100" t="s">
        <v>108</v>
      </c>
      <c r="L4100" t="s">
        <v>240</v>
      </c>
      <c r="M4100" t="s">
        <v>133</v>
      </c>
      <c r="N4100" t="s">
        <v>98</v>
      </c>
      <c r="O4100" t="s">
        <v>116</v>
      </c>
    </row>
    <row r="4101" spans="1:15" x14ac:dyDescent="0.3">
      <c r="A4101" s="130">
        <v>22941</v>
      </c>
      <c r="B4101" s="130">
        <v>30</v>
      </c>
      <c r="C4101" s="130" t="s">
        <v>5725</v>
      </c>
      <c r="D4101">
        <v>34858</v>
      </c>
      <c r="E4101" s="130">
        <v>60863404</v>
      </c>
      <c r="F4101" t="s">
        <v>87</v>
      </c>
      <c r="G4101">
        <v>76</v>
      </c>
      <c r="H4101" t="s">
        <v>8952</v>
      </c>
      <c r="I4101" s="130">
        <v>24</v>
      </c>
      <c r="J4101" t="s">
        <v>5725</v>
      </c>
      <c r="K4101" t="s">
        <v>108</v>
      </c>
      <c r="L4101" t="s">
        <v>191</v>
      </c>
      <c r="M4101" t="s">
        <v>103</v>
      </c>
      <c r="N4101" t="s">
        <v>114</v>
      </c>
      <c r="O4101" t="s">
        <v>1345</v>
      </c>
    </row>
    <row r="4102" spans="1:15" x14ac:dyDescent="0.3">
      <c r="A4102" s="130">
        <v>22943</v>
      </c>
      <c r="B4102" s="130">
        <v>-1</v>
      </c>
      <c r="C4102" s="130" t="s">
        <v>5726</v>
      </c>
      <c r="D4102">
        <v>34861</v>
      </c>
      <c r="E4102" s="130">
        <v>70082227</v>
      </c>
      <c r="F4102" t="s">
        <v>87</v>
      </c>
      <c r="G4102">
        <v>76</v>
      </c>
      <c r="H4102" t="s">
        <v>8953</v>
      </c>
      <c r="I4102" s="130">
        <v>19</v>
      </c>
      <c r="J4102" t="s">
        <v>5726</v>
      </c>
      <c r="K4102" t="s">
        <v>108</v>
      </c>
      <c r="L4102" t="s">
        <v>146</v>
      </c>
      <c r="M4102" t="s">
        <v>174</v>
      </c>
      <c r="N4102" t="s">
        <v>98</v>
      </c>
      <c r="O4102" t="s">
        <v>1345</v>
      </c>
    </row>
    <row r="4103" spans="1:15" x14ac:dyDescent="0.3">
      <c r="A4103" s="130">
        <v>22946</v>
      </c>
      <c r="B4103" s="131">
        <v>28</v>
      </c>
      <c r="C4103" s="130" t="s">
        <v>5727</v>
      </c>
      <c r="D4103">
        <v>33266</v>
      </c>
      <c r="E4103" s="130">
        <v>8726496</v>
      </c>
      <c r="F4103" t="s">
        <v>87</v>
      </c>
      <c r="G4103">
        <v>76</v>
      </c>
      <c r="H4103" t="s">
        <v>8951</v>
      </c>
      <c r="I4103" s="130">
        <v>18</v>
      </c>
      <c r="J4103" t="s">
        <v>5727</v>
      </c>
      <c r="K4103" t="s">
        <v>108</v>
      </c>
      <c r="L4103" t="s">
        <v>253</v>
      </c>
      <c r="M4103" t="s">
        <v>130</v>
      </c>
      <c r="N4103" t="s">
        <v>98</v>
      </c>
      <c r="O4103" t="s">
        <v>1256</v>
      </c>
    </row>
    <row r="4104" spans="1:15" x14ac:dyDescent="0.3">
      <c r="A4104" s="130">
        <v>22959</v>
      </c>
      <c r="B4104" s="130">
        <v>10</v>
      </c>
      <c r="C4104" s="130" t="s">
        <v>5728</v>
      </c>
      <c r="D4104">
        <v>34889</v>
      </c>
      <c r="E4104" s="131">
        <v>23374794</v>
      </c>
      <c r="F4104" t="s">
        <v>87</v>
      </c>
      <c r="G4104">
        <v>32947</v>
      </c>
      <c r="H4104" t="s">
        <v>8952</v>
      </c>
      <c r="I4104" s="130">
        <v>3</v>
      </c>
      <c r="J4104" t="s">
        <v>5728</v>
      </c>
      <c r="K4104" t="s">
        <v>95</v>
      </c>
      <c r="L4104" t="s">
        <v>193</v>
      </c>
      <c r="M4104" t="s">
        <v>133</v>
      </c>
      <c r="N4104" t="s">
        <v>98</v>
      </c>
      <c r="O4104" t="s">
        <v>116</v>
      </c>
    </row>
    <row r="4105" spans="1:15" x14ac:dyDescent="0.3">
      <c r="A4105" s="130">
        <v>22961</v>
      </c>
      <c r="B4105" s="130">
        <v>10</v>
      </c>
      <c r="C4105" s="130" t="s">
        <v>5729</v>
      </c>
      <c r="D4105">
        <v>34893</v>
      </c>
      <c r="E4105" s="130">
        <v>40345292</v>
      </c>
      <c r="F4105" t="s">
        <v>87</v>
      </c>
      <c r="G4105">
        <v>76</v>
      </c>
      <c r="H4105" t="s">
        <v>8953</v>
      </c>
      <c r="I4105" s="130">
        <v>24</v>
      </c>
      <c r="J4105" t="s">
        <v>5729</v>
      </c>
      <c r="K4105" t="s">
        <v>108</v>
      </c>
      <c r="L4105" t="s">
        <v>191</v>
      </c>
      <c r="M4105" t="s">
        <v>133</v>
      </c>
      <c r="N4105" t="s">
        <v>152</v>
      </c>
      <c r="O4105" t="s">
        <v>116</v>
      </c>
    </row>
    <row r="4106" spans="1:15" x14ac:dyDescent="0.3">
      <c r="A4106" s="130">
        <v>22965</v>
      </c>
      <c r="B4106" s="130">
        <v>30</v>
      </c>
      <c r="C4106" s="130" t="s">
        <v>5730</v>
      </c>
      <c r="D4106">
        <v>34897</v>
      </c>
      <c r="E4106" s="131">
        <v>532740</v>
      </c>
      <c r="F4106" t="s">
        <v>87</v>
      </c>
      <c r="G4106">
        <v>358</v>
      </c>
      <c r="H4106" t="s">
        <v>8951</v>
      </c>
      <c r="I4106" s="130">
        <v>9</v>
      </c>
      <c r="J4106" t="s">
        <v>5730</v>
      </c>
      <c r="K4106" t="s">
        <v>95</v>
      </c>
      <c r="L4106" t="s">
        <v>105</v>
      </c>
      <c r="M4106" t="s">
        <v>103</v>
      </c>
      <c r="N4106" t="s">
        <v>98</v>
      </c>
      <c r="O4106" t="s">
        <v>116</v>
      </c>
    </row>
    <row r="4107" spans="1:15" x14ac:dyDescent="0.3">
      <c r="A4107" s="130">
        <v>22970</v>
      </c>
      <c r="B4107" s="130">
        <v>30</v>
      </c>
      <c r="C4107" s="130" t="s">
        <v>5731</v>
      </c>
      <c r="D4107">
        <v>34911</v>
      </c>
      <c r="E4107" s="130">
        <v>21062047</v>
      </c>
      <c r="F4107" t="s">
        <v>87</v>
      </c>
      <c r="G4107">
        <v>358</v>
      </c>
      <c r="H4107" t="s">
        <v>8952</v>
      </c>
      <c r="I4107" s="130">
        <v>3</v>
      </c>
      <c r="J4107" t="s">
        <v>5731</v>
      </c>
      <c r="K4107" t="s">
        <v>95</v>
      </c>
      <c r="L4107" t="s">
        <v>109</v>
      </c>
      <c r="M4107" t="s">
        <v>103</v>
      </c>
      <c r="N4107" t="s">
        <v>98</v>
      </c>
      <c r="O4107" t="s">
        <v>116</v>
      </c>
    </row>
    <row r="4108" spans="1:15" x14ac:dyDescent="0.3">
      <c r="A4108" s="130">
        <v>22977</v>
      </c>
      <c r="B4108" s="130">
        <v>28</v>
      </c>
      <c r="C4108" s="130" t="s">
        <v>5732</v>
      </c>
      <c r="D4108">
        <v>34892</v>
      </c>
      <c r="E4108" s="130">
        <v>10220039</v>
      </c>
      <c r="F4108" t="s">
        <v>87</v>
      </c>
      <c r="G4108">
        <v>76</v>
      </c>
      <c r="H4108" t="s">
        <v>8953</v>
      </c>
      <c r="I4108" s="131">
        <v>18</v>
      </c>
      <c r="J4108" t="s">
        <v>5732</v>
      </c>
      <c r="K4108" t="s">
        <v>95</v>
      </c>
      <c r="L4108" t="s">
        <v>253</v>
      </c>
      <c r="M4108" t="s">
        <v>130</v>
      </c>
      <c r="N4108" t="s">
        <v>98</v>
      </c>
      <c r="O4108" t="s">
        <v>116</v>
      </c>
    </row>
    <row r="4109" spans="1:15" x14ac:dyDescent="0.3">
      <c r="A4109" s="130">
        <v>22980</v>
      </c>
      <c r="B4109" s="130">
        <v>30</v>
      </c>
      <c r="C4109" s="130" t="s">
        <v>5733</v>
      </c>
      <c r="D4109">
        <v>34931</v>
      </c>
      <c r="E4109" s="130">
        <v>52608047</v>
      </c>
      <c r="F4109" t="s">
        <v>87</v>
      </c>
      <c r="G4109">
        <v>76</v>
      </c>
      <c r="H4109" t="s">
        <v>8951</v>
      </c>
      <c r="I4109" s="130">
        <v>3</v>
      </c>
      <c r="J4109" t="s">
        <v>5733</v>
      </c>
      <c r="K4109" t="s">
        <v>95</v>
      </c>
      <c r="L4109" t="s">
        <v>146</v>
      </c>
      <c r="M4109" t="s">
        <v>103</v>
      </c>
      <c r="N4109" t="s">
        <v>124</v>
      </c>
      <c r="O4109" t="s">
        <v>116</v>
      </c>
    </row>
    <row r="4110" spans="1:15" x14ac:dyDescent="0.3">
      <c r="A4110" s="130">
        <v>22982</v>
      </c>
      <c r="B4110" s="130">
        <v>10</v>
      </c>
      <c r="C4110" s="130" t="s">
        <v>5734</v>
      </c>
      <c r="D4110">
        <v>34928</v>
      </c>
      <c r="E4110" s="130">
        <v>28834970</v>
      </c>
      <c r="F4110" t="s">
        <v>113</v>
      </c>
      <c r="G4110">
        <v>76</v>
      </c>
      <c r="H4110" t="s">
        <v>8952</v>
      </c>
      <c r="I4110" s="131">
        <v>9</v>
      </c>
      <c r="J4110" t="s">
        <v>5734</v>
      </c>
      <c r="K4110" t="s">
        <v>108</v>
      </c>
      <c r="L4110" t="s">
        <v>163</v>
      </c>
      <c r="M4110" t="s">
        <v>133</v>
      </c>
      <c r="N4110" t="s">
        <v>98</v>
      </c>
      <c r="O4110" t="s">
        <v>1256</v>
      </c>
    </row>
    <row r="4111" spans="1:15" x14ac:dyDescent="0.3">
      <c r="A4111" s="130">
        <v>23005</v>
      </c>
      <c r="B4111" s="130">
        <v>30</v>
      </c>
      <c r="C4111" s="130" t="s">
        <v>5735</v>
      </c>
      <c r="D4111">
        <v>34969</v>
      </c>
      <c r="E4111" s="131">
        <v>34562112</v>
      </c>
      <c r="F4111" t="s">
        <v>87</v>
      </c>
      <c r="G4111">
        <v>76</v>
      </c>
      <c r="H4111" t="s">
        <v>8953</v>
      </c>
      <c r="I4111" s="131">
        <v>24</v>
      </c>
      <c r="J4111" t="s">
        <v>5735</v>
      </c>
      <c r="K4111" t="s">
        <v>95</v>
      </c>
      <c r="L4111" t="s">
        <v>191</v>
      </c>
      <c r="M4111" t="s">
        <v>103</v>
      </c>
      <c r="N4111" t="s">
        <v>107</v>
      </c>
      <c r="O4111" t="s">
        <v>116</v>
      </c>
    </row>
    <row r="4112" spans="1:15" x14ac:dyDescent="0.3">
      <c r="A4112" s="130">
        <v>23008</v>
      </c>
      <c r="B4112" s="130">
        <v>18</v>
      </c>
      <c r="C4112" s="130" t="s">
        <v>5736</v>
      </c>
      <c r="D4112">
        <v>34973</v>
      </c>
      <c r="E4112" s="130">
        <v>9080623</v>
      </c>
      <c r="F4112" t="s">
        <v>87</v>
      </c>
      <c r="G4112">
        <v>76</v>
      </c>
      <c r="H4112" t="s">
        <v>8951</v>
      </c>
      <c r="I4112" s="130">
        <v>9</v>
      </c>
      <c r="J4112" t="s">
        <v>5736</v>
      </c>
      <c r="K4112" t="s">
        <v>108</v>
      </c>
      <c r="L4112" t="s">
        <v>1298</v>
      </c>
      <c r="M4112" t="s">
        <v>112</v>
      </c>
      <c r="N4112" t="s">
        <v>98</v>
      </c>
      <c r="O4112" t="s">
        <v>1256</v>
      </c>
    </row>
    <row r="4113" spans="1:15" x14ac:dyDescent="0.3">
      <c r="A4113" s="130">
        <v>23021</v>
      </c>
      <c r="B4113" s="130">
        <v>30</v>
      </c>
      <c r="C4113" s="130" t="s">
        <v>5737</v>
      </c>
      <c r="D4113">
        <v>35008</v>
      </c>
      <c r="E4113" s="131">
        <v>4517241</v>
      </c>
      <c r="F4113" t="s">
        <v>87</v>
      </c>
      <c r="G4113">
        <v>76</v>
      </c>
      <c r="H4113" t="s">
        <v>8952</v>
      </c>
      <c r="I4113" s="130">
        <v>3</v>
      </c>
      <c r="J4113" t="s">
        <v>5737</v>
      </c>
      <c r="K4113" t="s">
        <v>95</v>
      </c>
      <c r="L4113" t="s">
        <v>111</v>
      </c>
      <c r="M4113" t="s">
        <v>103</v>
      </c>
      <c r="N4113" t="s">
        <v>132</v>
      </c>
      <c r="O4113" t="s">
        <v>116</v>
      </c>
    </row>
    <row r="4114" spans="1:15" x14ac:dyDescent="0.3">
      <c r="A4114" s="130">
        <v>23022</v>
      </c>
      <c r="B4114" s="130">
        <v>30</v>
      </c>
      <c r="C4114" s="130" t="s">
        <v>5738</v>
      </c>
      <c r="D4114">
        <v>34997</v>
      </c>
      <c r="E4114" s="130">
        <v>37198707</v>
      </c>
      <c r="F4114" t="s">
        <v>87</v>
      </c>
      <c r="G4114">
        <v>76</v>
      </c>
      <c r="H4114" t="s">
        <v>8953</v>
      </c>
      <c r="I4114" s="130">
        <v>43</v>
      </c>
      <c r="J4114" t="s">
        <v>5738</v>
      </c>
      <c r="K4114" t="s">
        <v>108</v>
      </c>
      <c r="L4114" t="s">
        <v>111</v>
      </c>
      <c r="M4114" t="s">
        <v>103</v>
      </c>
      <c r="N4114" t="s">
        <v>122</v>
      </c>
      <c r="O4114" t="s">
        <v>1345</v>
      </c>
    </row>
    <row r="4115" spans="1:15" x14ac:dyDescent="0.3">
      <c r="A4115" s="130">
        <v>23036</v>
      </c>
      <c r="B4115" s="130">
        <v>30</v>
      </c>
      <c r="C4115" s="130" t="s">
        <v>5739</v>
      </c>
      <c r="D4115">
        <v>35036</v>
      </c>
      <c r="E4115" s="130">
        <v>8726496</v>
      </c>
      <c r="F4115" t="s">
        <v>87</v>
      </c>
      <c r="G4115">
        <v>76</v>
      </c>
      <c r="H4115" t="s">
        <v>8951</v>
      </c>
      <c r="I4115" s="130">
        <v>10</v>
      </c>
      <c r="J4115" t="s">
        <v>5739</v>
      </c>
      <c r="K4115" t="s">
        <v>108</v>
      </c>
      <c r="L4115" t="s">
        <v>127</v>
      </c>
      <c r="M4115" t="s">
        <v>103</v>
      </c>
      <c r="N4115" t="s">
        <v>124</v>
      </c>
      <c r="O4115" t="s">
        <v>116</v>
      </c>
    </row>
    <row r="4116" spans="1:15" x14ac:dyDescent="0.3">
      <c r="A4116" s="130">
        <v>23046</v>
      </c>
      <c r="B4116" s="130">
        <v>30</v>
      </c>
      <c r="C4116" s="130" t="s">
        <v>5740</v>
      </c>
      <c r="D4116">
        <v>35049</v>
      </c>
      <c r="E4116" s="130">
        <v>9625762</v>
      </c>
      <c r="F4116" t="s">
        <v>87</v>
      </c>
      <c r="G4116">
        <v>76</v>
      </c>
      <c r="H4116" t="s">
        <v>8952</v>
      </c>
      <c r="I4116" s="130">
        <v>43</v>
      </c>
      <c r="J4116" t="s">
        <v>5740</v>
      </c>
      <c r="K4116" t="s">
        <v>95</v>
      </c>
      <c r="L4116" t="s">
        <v>111</v>
      </c>
      <c r="M4116" t="s">
        <v>103</v>
      </c>
      <c r="N4116" t="s">
        <v>114</v>
      </c>
      <c r="O4116" t="s">
        <v>116</v>
      </c>
    </row>
    <row r="4117" spans="1:15" x14ac:dyDescent="0.3">
      <c r="A4117" s="130">
        <v>23050</v>
      </c>
      <c r="B4117" s="130">
        <v>-1</v>
      </c>
      <c r="C4117" s="130" t="s">
        <v>5741</v>
      </c>
      <c r="D4117">
        <v>35059</v>
      </c>
      <c r="E4117" s="131">
        <v>48080921</v>
      </c>
      <c r="F4117" t="s">
        <v>87</v>
      </c>
      <c r="G4117">
        <v>76</v>
      </c>
      <c r="H4117" t="s">
        <v>8953</v>
      </c>
      <c r="I4117" s="130">
        <v>43</v>
      </c>
      <c r="J4117" t="s">
        <v>5741</v>
      </c>
      <c r="K4117" t="s">
        <v>108</v>
      </c>
      <c r="L4117" t="s">
        <v>111</v>
      </c>
      <c r="M4117" t="s">
        <v>174</v>
      </c>
      <c r="N4117" t="s">
        <v>114</v>
      </c>
      <c r="O4117" t="s">
        <v>116</v>
      </c>
    </row>
    <row r="4118" spans="1:15" x14ac:dyDescent="0.3">
      <c r="A4118" s="130">
        <v>23055</v>
      </c>
      <c r="C4118" s="130" t="s">
        <v>5742</v>
      </c>
      <c r="D4118">
        <v>34614</v>
      </c>
      <c r="E4118" s="130">
        <v>13216407</v>
      </c>
      <c r="F4118" t="s">
        <v>113</v>
      </c>
      <c r="G4118">
        <v>76</v>
      </c>
      <c r="H4118" t="s">
        <v>8951</v>
      </c>
      <c r="I4118" s="130">
        <v>3</v>
      </c>
      <c r="J4118" t="s">
        <v>5742</v>
      </c>
      <c r="K4118" t="s">
        <v>108</v>
      </c>
      <c r="L4118" t="s">
        <v>153</v>
      </c>
      <c r="N4118" t="s">
        <v>98</v>
      </c>
      <c r="O4118" t="s">
        <v>1256</v>
      </c>
    </row>
    <row r="4119" spans="1:15" x14ac:dyDescent="0.3">
      <c r="A4119" s="130">
        <v>23056</v>
      </c>
      <c r="B4119" s="130">
        <v>28</v>
      </c>
      <c r="C4119" s="130" t="s">
        <v>5743</v>
      </c>
      <c r="D4119">
        <v>35067</v>
      </c>
      <c r="E4119" s="131">
        <v>17161936</v>
      </c>
      <c r="F4119" t="s">
        <v>87</v>
      </c>
      <c r="G4119">
        <v>32947</v>
      </c>
      <c r="H4119" t="s">
        <v>8952</v>
      </c>
      <c r="I4119" s="130">
        <v>3</v>
      </c>
      <c r="J4119" t="s">
        <v>5743</v>
      </c>
      <c r="K4119" t="s">
        <v>95</v>
      </c>
      <c r="L4119" t="s">
        <v>109</v>
      </c>
      <c r="M4119" t="s">
        <v>130</v>
      </c>
      <c r="N4119" t="s">
        <v>98</v>
      </c>
      <c r="O4119" t="s">
        <v>1345</v>
      </c>
    </row>
    <row r="4120" spans="1:15" x14ac:dyDescent="0.3">
      <c r="A4120" s="130">
        <v>23066</v>
      </c>
      <c r="B4120" s="130">
        <v>28</v>
      </c>
      <c r="C4120" s="130" t="s">
        <v>5744</v>
      </c>
      <c r="D4120">
        <v>35081</v>
      </c>
      <c r="E4120" s="130">
        <v>7147444</v>
      </c>
      <c r="F4120" t="s">
        <v>87</v>
      </c>
      <c r="G4120">
        <v>76</v>
      </c>
      <c r="H4120" t="s">
        <v>8953</v>
      </c>
      <c r="I4120" s="130">
        <v>18</v>
      </c>
      <c r="J4120" t="s">
        <v>5744</v>
      </c>
      <c r="K4120" t="s">
        <v>108</v>
      </c>
      <c r="L4120" t="s">
        <v>253</v>
      </c>
      <c r="M4120" t="s">
        <v>130</v>
      </c>
      <c r="N4120" t="s">
        <v>98</v>
      </c>
      <c r="O4120" t="s">
        <v>116</v>
      </c>
    </row>
    <row r="4121" spans="1:15" x14ac:dyDescent="0.3">
      <c r="A4121" s="130">
        <v>23069</v>
      </c>
      <c r="B4121" s="130">
        <v>15</v>
      </c>
      <c r="C4121" s="130" t="s">
        <v>5745</v>
      </c>
      <c r="D4121">
        <v>35083</v>
      </c>
      <c r="E4121" s="130">
        <v>29419365</v>
      </c>
      <c r="F4121" t="s">
        <v>87</v>
      </c>
      <c r="G4121">
        <v>76</v>
      </c>
      <c r="H4121" t="s">
        <v>8951</v>
      </c>
      <c r="I4121" s="130">
        <v>24</v>
      </c>
      <c r="J4121" t="s">
        <v>5745</v>
      </c>
      <c r="K4121" t="s">
        <v>108</v>
      </c>
      <c r="L4121" t="s">
        <v>240</v>
      </c>
      <c r="M4121" t="s">
        <v>145</v>
      </c>
      <c r="N4121" t="s">
        <v>98</v>
      </c>
      <c r="O4121" t="s">
        <v>116</v>
      </c>
    </row>
    <row r="4122" spans="1:15" x14ac:dyDescent="0.3">
      <c r="A4122" s="130">
        <v>23072</v>
      </c>
      <c r="B4122" s="130">
        <v>30</v>
      </c>
      <c r="C4122" s="130" t="s">
        <v>5746</v>
      </c>
      <c r="D4122">
        <v>34996</v>
      </c>
      <c r="E4122" s="130">
        <v>33342023</v>
      </c>
      <c r="F4122" t="s">
        <v>113</v>
      </c>
      <c r="G4122">
        <v>76</v>
      </c>
      <c r="H4122" t="s">
        <v>8952</v>
      </c>
      <c r="I4122" s="130">
        <v>18</v>
      </c>
      <c r="J4122" t="s">
        <v>5746</v>
      </c>
      <c r="K4122" t="s">
        <v>108</v>
      </c>
      <c r="L4122" t="s">
        <v>253</v>
      </c>
      <c r="M4122" t="s">
        <v>103</v>
      </c>
      <c r="N4122" t="s">
        <v>98</v>
      </c>
      <c r="O4122" t="s">
        <v>1256</v>
      </c>
    </row>
    <row r="4123" spans="1:15" x14ac:dyDescent="0.3">
      <c r="A4123" s="130">
        <v>23074</v>
      </c>
      <c r="B4123" s="130">
        <v>30</v>
      </c>
      <c r="C4123" s="130" t="s">
        <v>5747</v>
      </c>
      <c r="D4123">
        <v>35037</v>
      </c>
      <c r="E4123" s="130">
        <v>8726496</v>
      </c>
      <c r="F4123" t="s">
        <v>87</v>
      </c>
      <c r="G4123">
        <v>76</v>
      </c>
      <c r="H4123" t="s">
        <v>8953</v>
      </c>
      <c r="I4123" s="130">
        <v>10</v>
      </c>
      <c r="J4123" t="s">
        <v>5747</v>
      </c>
      <c r="K4123" t="s">
        <v>108</v>
      </c>
      <c r="L4123" t="s">
        <v>127</v>
      </c>
      <c r="M4123" t="s">
        <v>103</v>
      </c>
      <c r="N4123" t="s">
        <v>118</v>
      </c>
      <c r="O4123" t="s">
        <v>116</v>
      </c>
    </row>
    <row r="4124" spans="1:15" x14ac:dyDescent="0.3">
      <c r="A4124" s="130">
        <v>23078</v>
      </c>
      <c r="B4124" s="130">
        <v>20</v>
      </c>
      <c r="C4124" s="130" t="s">
        <v>5748</v>
      </c>
      <c r="D4124">
        <v>35108</v>
      </c>
      <c r="E4124" s="130">
        <v>14237285</v>
      </c>
      <c r="F4124" t="s">
        <v>87</v>
      </c>
      <c r="G4124">
        <v>76</v>
      </c>
      <c r="H4124" t="s">
        <v>8951</v>
      </c>
      <c r="I4124" s="131">
        <v>19</v>
      </c>
      <c r="J4124" t="s">
        <v>5748</v>
      </c>
      <c r="K4124" t="s">
        <v>108</v>
      </c>
      <c r="L4124" t="s">
        <v>252</v>
      </c>
      <c r="M4124" t="s">
        <v>148</v>
      </c>
      <c r="N4124" t="s">
        <v>114</v>
      </c>
      <c r="O4124" t="s">
        <v>116</v>
      </c>
    </row>
    <row r="4125" spans="1:15" x14ac:dyDescent="0.3">
      <c r="A4125" s="130">
        <v>23099</v>
      </c>
      <c r="B4125" s="130">
        <v>30</v>
      </c>
      <c r="C4125" s="130" t="s">
        <v>5749</v>
      </c>
      <c r="D4125">
        <v>35134</v>
      </c>
      <c r="E4125" s="130">
        <v>34562112</v>
      </c>
      <c r="F4125" t="s">
        <v>87</v>
      </c>
      <c r="G4125">
        <v>76</v>
      </c>
      <c r="H4125" t="s">
        <v>8952</v>
      </c>
      <c r="I4125" s="130">
        <v>24</v>
      </c>
      <c r="J4125" t="s">
        <v>5749</v>
      </c>
      <c r="K4125" t="s">
        <v>95</v>
      </c>
      <c r="L4125" t="s">
        <v>191</v>
      </c>
      <c r="M4125" t="s">
        <v>103</v>
      </c>
      <c r="N4125" t="s">
        <v>107</v>
      </c>
      <c r="O4125" t="s">
        <v>116</v>
      </c>
    </row>
    <row r="4126" spans="1:15" x14ac:dyDescent="0.3">
      <c r="A4126" s="130">
        <v>23103</v>
      </c>
      <c r="B4126" s="130">
        <v>30</v>
      </c>
      <c r="C4126" s="130" t="s">
        <v>5750</v>
      </c>
      <c r="D4126">
        <v>35146</v>
      </c>
      <c r="E4126" s="130">
        <v>19235340</v>
      </c>
      <c r="F4126" t="s">
        <v>87</v>
      </c>
      <c r="G4126">
        <v>358</v>
      </c>
      <c r="H4126" t="s">
        <v>8953</v>
      </c>
      <c r="I4126" s="130">
        <v>9</v>
      </c>
      <c r="J4126" t="s">
        <v>5750</v>
      </c>
      <c r="K4126" t="s">
        <v>95</v>
      </c>
      <c r="L4126" t="s">
        <v>105</v>
      </c>
      <c r="M4126" t="s">
        <v>103</v>
      </c>
      <c r="N4126" t="s">
        <v>98</v>
      </c>
      <c r="O4126" t="s">
        <v>116</v>
      </c>
    </row>
    <row r="4127" spans="1:15" x14ac:dyDescent="0.3">
      <c r="A4127" s="130">
        <v>23109</v>
      </c>
      <c r="B4127" s="130">
        <v>28</v>
      </c>
      <c r="C4127" s="130" t="s">
        <v>5751</v>
      </c>
      <c r="D4127">
        <v>34457</v>
      </c>
      <c r="E4127" s="130">
        <v>8726496</v>
      </c>
      <c r="F4127" t="s">
        <v>87</v>
      </c>
      <c r="G4127">
        <v>76</v>
      </c>
      <c r="H4127" t="s">
        <v>8951</v>
      </c>
      <c r="I4127" s="130">
        <v>18</v>
      </c>
      <c r="J4127" t="s">
        <v>5751</v>
      </c>
      <c r="K4127" t="s">
        <v>108</v>
      </c>
      <c r="L4127" t="s">
        <v>253</v>
      </c>
      <c r="M4127" t="s">
        <v>130</v>
      </c>
      <c r="N4127" t="s">
        <v>98</v>
      </c>
      <c r="O4127" t="s">
        <v>1256</v>
      </c>
    </row>
    <row r="4128" spans="1:15" x14ac:dyDescent="0.3">
      <c r="A4128" s="130">
        <v>23110</v>
      </c>
      <c r="B4128" s="130">
        <v>20</v>
      </c>
      <c r="C4128" s="130" t="s">
        <v>5752</v>
      </c>
      <c r="D4128">
        <v>35163</v>
      </c>
      <c r="E4128" s="130">
        <v>48432762</v>
      </c>
      <c r="F4128" t="s">
        <v>113</v>
      </c>
      <c r="G4128">
        <v>76</v>
      </c>
      <c r="H4128" t="s">
        <v>8952</v>
      </c>
      <c r="I4128" s="130">
        <v>19</v>
      </c>
      <c r="J4128" t="s">
        <v>5752</v>
      </c>
      <c r="K4128" t="s">
        <v>95</v>
      </c>
      <c r="L4128" t="s">
        <v>252</v>
      </c>
      <c r="M4128" t="s">
        <v>148</v>
      </c>
      <c r="N4128" t="s">
        <v>98</v>
      </c>
      <c r="O4128" t="s">
        <v>1256</v>
      </c>
    </row>
    <row r="4129" spans="1:15" x14ac:dyDescent="0.3">
      <c r="A4129" s="130">
        <v>23112</v>
      </c>
      <c r="B4129" s="130">
        <v>28</v>
      </c>
      <c r="C4129" s="130" t="s">
        <v>5753</v>
      </c>
      <c r="D4129">
        <v>35171</v>
      </c>
      <c r="E4129" s="131">
        <v>51447607</v>
      </c>
      <c r="F4129" t="s">
        <v>87</v>
      </c>
      <c r="G4129">
        <v>76</v>
      </c>
      <c r="H4129" t="s">
        <v>8953</v>
      </c>
      <c r="I4129" s="131">
        <v>37</v>
      </c>
      <c r="J4129" t="s">
        <v>5753</v>
      </c>
      <c r="K4129" t="s">
        <v>95</v>
      </c>
      <c r="L4129" t="s">
        <v>144</v>
      </c>
      <c r="M4129" t="s">
        <v>130</v>
      </c>
      <c r="N4129" t="s">
        <v>169</v>
      </c>
      <c r="O4129" t="s">
        <v>116</v>
      </c>
    </row>
    <row r="4130" spans="1:15" x14ac:dyDescent="0.3">
      <c r="A4130" s="130">
        <v>23122</v>
      </c>
      <c r="B4130" s="130">
        <v>30</v>
      </c>
      <c r="C4130" s="130" t="s">
        <v>5754</v>
      </c>
      <c r="D4130">
        <v>35187</v>
      </c>
      <c r="E4130" s="130">
        <v>13623957</v>
      </c>
      <c r="F4130" t="s">
        <v>87</v>
      </c>
      <c r="G4130">
        <v>76</v>
      </c>
      <c r="H4130" t="s">
        <v>8951</v>
      </c>
      <c r="I4130" s="131">
        <v>18</v>
      </c>
      <c r="J4130" t="s">
        <v>5754</v>
      </c>
      <c r="K4130" t="s">
        <v>95</v>
      </c>
      <c r="L4130" t="s">
        <v>123</v>
      </c>
      <c r="M4130" t="s">
        <v>103</v>
      </c>
      <c r="N4130" t="s">
        <v>98</v>
      </c>
      <c r="O4130" t="s">
        <v>116</v>
      </c>
    </row>
    <row r="4131" spans="1:15" x14ac:dyDescent="0.3">
      <c r="A4131" s="130">
        <v>23123</v>
      </c>
      <c r="B4131" s="130">
        <v>30</v>
      </c>
      <c r="C4131" s="130" t="s">
        <v>5755</v>
      </c>
      <c r="D4131">
        <v>35195</v>
      </c>
      <c r="E4131" s="131">
        <v>41159030</v>
      </c>
      <c r="F4131" t="s">
        <v>87</v>
      </c>
      <c r="G4131">
        <v>77</v>
      </c>
      <c r="H4131" t="s">
        <v>8952</v>
      </c>
      <c r="I4131" s="131">
        <v>3</v>
      </c>
      <c r="J4131" t="s">
        <v>5755</v>
      </c>
      <c r="K4131" t="s">
        <v>95</v>
      </c>
      <c r="L4131" t="s">
        <v>256</v>
      </c>
      <c r="M4131" t="s">
        <v>103</v>
      </c>
      <c r="N4131" t="s">
        <v>98</v>
      </c>
      <c r="O4131" t="s">
        <v>116</v>
      </c>
    </row>
    <row r="4132" spans="1:15" x14ac:dyDescent="0.3">
      <c r="A4132" s="130">
        <v>23130</v>
      </c>
      <c r="B4132" s="130">
        <v>60</v>
      </c>
      <c r="C4132" s="130" t="s">
        <v>5756</v>
      </c>
      <c r="D4132">
        <v>35206</v>
      </c>
      <c r="E4132" s="130">
        <v>92660604</v>
      </c>
      <c r="F4132" t="s">
        <v>87</v>
      </c>
      <c r="G4132">
        <v>77</v>
      </c>
      <c r="H4132" t="s">
        <v>8953</v>
      </c>
      <c r="I4132" s="131">
        <v>24</v>
      </c>
      <c r="J4132" t="s">
        <v>5756</v>
      </c>
      <c r="K4132" t="s">
        <v>95</v>
      </c>
      <c r="L4132" t="s">
        <v>117</v>
      </c>
      <c r="M4132" t="s">
        <v>97</v>
      </c>
      <c r="N4132" t="s">
        <v>114</v>
      </c>
      <c r="O4132" t="s">
        <v>116</v>
      </c>
    </row>
    <row r="4133" spans="1:15" x14ac:dyDescent="0.3">
      <c r="A4133" s="130">
        <v>23134</v>
      </c>
      <c r="B4133" s="130">
        <v>30</v>
      </c>
      <c r="C4133" s="130" t="s">
        <v>5757</v>
      </c>
      <c r="D4133">
        <v>35209</v>
      </c>
      <c r="E4133" s="130">
        <v>13623957</v>
      </c>
      <c r="F4133" t="s">
        <v>87</v>
      </c>
      <c r="G4133">
        <v>76</v>
      </c>
      <c r="H4133" t="s">
        <v>8951</v>
      </c>
      <c r="I4133" s="130">
        <v>18</v>
      </c>
      <c r="J4133" t="s">
        <v>5757</v>
      </c>
      <c r="K4133" t="s">
        <v>95</v>
      </c>
      <c r="L4133" t="s">
        <v>123</v>
      </c>
      <c r="M4133" t="s">
        <v>103</v>
      </c>
      <c r="N4133" t="s">
        <v>98</v>
      </c>
      <c r="O4133" t="s">
        <v>116</v>
      </c>
    </row>
    <row r="4134" spans="1:15" x14ac:dyDescent="0.3">
      <c r="A4134" s="130">
        <v>23140</v>
      </c>
      <c r="B4134" s="130">
        <v>28</v>
      </c>
      <c r="C4134" s="130" t="s">
        <v>5758</v>
      </c>
      <c r="D4134">
        <v>35173</v>
      </c>
      <c r="E4134" s="130">
        <v>39835419</v>
      </c>
      <c r="F4134" t="s">
        <v>113</v>
      </c>
      <c r="G4134">
        <v>76</v>
      </c>
      <c r="H4134" t="s">
        <v>8952</v>
      </c>
      <c r="I4134" s="131">
        <v>18</v>
      </c>
      <c r="J4134" t="s">
        <v>5758</v>
      </c>
      <c r="K4134" t="s">
        <v>108</v>
      </c>
      <c r="L4134" t="s">
        <v>253</v>
      </c>
      <c r="M4134" t="s">
        <v>130</v>
      </c>
      <c r="N4134" t="s">
        <v>98</v>
      </c>
      <c r="O4134" t="s">
        <v>1256</v>
      </c>
    </row>
    <row r="4135" spans="1:15" x14ac:dyDescent="0.3">
      <c r="A4135" s="130">
        <v>23144</v>
      </c>
      <c r="B4135" s="130">
        <v>30</v>
      </c>
      <c r="C4135" s="130" t="s">
        <v>5759</v>
      </c>
      <c r="D4135">
        <v>35226</v>
      </c>
      <c r="E4135" s="130">
        <v>34747259</v>
      </c>
      <c r="F4135" t="s">
        <v>87</v>
      </c>
      <c r="G4135">
        <v>76</v>
      </c>
      <c r="H4135" t="s">
        <v>8953</v>
      </c>
      <c r="I4135" s="130">
        <v>37</v>
      </c>
      <c r="J4135" t="s">
        <v>5759</v>
      </c>
      <c r="K4135" t="s">
        <v>108</v>
      </c>
      <c r="L4135" t="s">
        <v>138</v>
      </c>
      <c r="M4135" t="s">
        <v>103</v>
      </c>
      <c r="N4135" t="s">
        <v>150</v>
      </c>
      <c r="O4135" t="s">
        <v>116</v>
      </c>
    </row>
    <row r="4136" spans="1:15" x14ac:dyDescent="0.3">
      <c r="A4136" s="130">
        <v>23153</v>
      </c>
      <c r="B4136" s="130">
        <v>21</v>
      </c>
      <c r="C4136" s="130" t="s">
        <v>5760</v>
      </c>
      <c r="D4136">
        <v>35237</v>
      </c>
      <c r="E4136" s="130">
        <v>61037537</v>
      </c>
      <c r="F4136" t="s">
        <v>87</v>
      </c>
      <c r="G4136">
        <v>76</v>
      </c>
      <c r="H4136" t="s">
        <v>8951</v>
      </c>
      <c r="I4136" s="131">
        <v>24</v>
      </c>
      <c r="J4136" t="s">
        <v>5760</v>
      </c>
      <c r="K4136" t="s">
        <v>108</v>
      </c>
      <c r="L4136" t="s">
        <v>240</v>
      </c>
      <c r="M4136" t="s">
        <v>137</v>
      </c>
      <c r="N4136" t="s">
        <v>98</v>
      </c>
      <c r="O4136" t="s">
        <v>1256</v>
      </c>
    </row>
    <row r="4137" spans="1:15" x14ac:dyDescent="0.3">
      <c r="A4137" s="130">
        <v>23160</v>
      </c>
      <c r="B4137" s="130">
        <v>10</v>
      </c>
      <c r="C4137" s="130" t="s">
        <v>5761</v>
      </c>
      <c r="D4137">
        <v>35249</v>
      </c>
      <c r="E4137" s="130">
        <v>86183449</v>
      </c>
      <c r="F4137" t="s">
        <v>87</v>
      </c>
      <c r="G4137">
        <v>76</v>
      </c>
      <c r="H4137" t="s">
        <v>8952</v>
      </c>
      <c r="I4137" s="131">
        <v>3</v>
      </c>
      <c r="J4137" t="s">
        <v>5761</v>
      </c>
      <c r="K4137" t="s">
        <v>108</v>
      </c>
      <c r="L4137" t="s">
        <v>1293</v>
      </c>
      <c r="M4137" t="s">
        <v>133</v>
      </c>
      <c r="N4137" t="s">
        <v>98</v>
      </c>
      <c r="O4137" t="s">
        <v>116</v>
      </c>
    </row>
    <row r="4138" spans="1:15" x14ac:dyDescent="0.3">
      <c r="A4138" s="130">
        <v>23167</v>
      </c>
      <c r="B4138" s="130">
        <v>28</v>
      </c>
      <c r="C4138" s="130" t="s">
        <v>5762</v>
      </c>
      <c r="D4138">
        <v>35261</v>
      </c>
      <c r="E4138" s="130">
        <v>47238972</v>
      </c>
      <c r="F4138" t="s">
        <v>113</v>
      </c>
      <c r="G4138">
        <v>76</v>
      </c>
      <c r="H4138" t="s">
        <v>8953</v>
      </c>
      <c r="I4138" s="130">
        <v>43</v>
      </c>
      <c r="J4138" t="s">
        <v>5762</v>
      </c>
      <c r="K4138" t="s">
        <v>108</v>
      </c>
      <c r="L4138" t="s">
        <v>1241</v>
      </c>
      <c r="M4138" t="s">
        <v>130</v>
      </c>
      <c r="N4138" t="s">
        <v>141</v>
      </c>
      <c r="O4138" t="s">
        <v>1256</v>
      </c>
    </row>
    <row r="4139" spans="1:15" x14ac:dyDescent="0.3">
      <c r="A4139" s="130">
        <v>23177</v>
      </c>
      <c r="B4139" s="130">
        <v>-1</v>
      </c>
      <c r="C4139" s="130" t="s">
        <v>5763</v>
      </c>
      <c r="D4139">
        <v>35277</v>
      </c>
      <c r="E4139" s="131">
        <v>1458529</v>
      </c>
      <c r="F4139" t="s">
        <v>87</v>
      </c>
      <c r="G4139">
        <v>76</v>
      </c>
      <c r="H4139" t="s">
        <v>8951</v>
      </c>
      <c r="I4139" s="130">
        <v>19</v>
      </c>
      <c r="J4139" t="s">
        <v>5763</v>
      </c>
      <c r="K4139" t="s">
        <v>108</v>
      </c>
      <c r="L4139" t="s">
        <v>252</v>
      </c>
      <c r="M4139" t="s">
        <v>174</v>
      </c>
      <c r="N4139" t="s">
        <v>114</v>
      </c>
      <c r="O4139" t="s">
        <v>1345</v>
      </c>
    </row>
    <row r="4140" spans="1:15" x14ac:dyDescent="0.3">
      <c r="A4140" s="130">
        <v>23189</v>
      </c>
      <c r="B4140" s="130">
        <v>60</v>
      </c>
      <c r="C4140" s="130" t="s">
        <v>5764</v>
      </c>
      <c r="D4140">
        <v>35301</v>
      </c>
      <c r="E4140" s="131">
        <v>3176142</v>
      </c>
      <c r="F4140" t="s">
        <v>87</v>
      </c>
      <c r="G4140">
        <v>76</v>
      </c>
      <c r="H4140" t="s">
        <v>8952</v>
      </c>
      <c r="I4140" s="130">
        <v>9</v>
      </c>
      <c r="J4140" t="s">
        <v>5764</v>
      </c>
      <c r="K4140" t="s">
        <v>108</v>
      </c>
      <c r="L4140" t="s">
        <v>163</v>
      </c>
      <c r="M4140" t="s">
        <v>97</v>
      </c>
      <c r="N4140" t="s">
        <v>114</v>
      </c>
      <c r="O4140" t="s">
        <v>116</v>
      </c>
    </row>
    <row r="4141" spans="1:15" x14ac:dyDescent="0.3">
      <c r="A4141" s="130">
        <v>23191</v>
      </c>
      <c r="B4141" s="130">
        <v>18</v>
      </c>
      <c r="C4141" s="130" t="s">
        <v>5765</v>
      </c>
      <c r="D4141">
        <v>35304</v>
      </c>
      <c r="E4141" s="130">
        <v>59609123</v>
      </c>
      <c r="F4141" t="s">
        <v>87</v>
      </c>
      <c r="G4141">
        <v>76</v>
      </c>
      <c r="H4141" t="s">
        <v>8953</v>
      </c>
      <c r="I4141" s="131">
        <v>10</v>
      </c>
      <c r="J4141" t="s">
        <v>5765</v>
      </c>
      <c r="K4141" t="s">
        <v>108</v>
      </c>
      <c r="L4141" t="s">
        <v>127</v>
      </c>
      <c r="M4141" t="s">
        <v>112</v>
      </c>
      <c r="N4141" t="s">
        <v>118</v>
      </c>
      <c r="O4141" t="s">
        <v>116</v>
      </c>
    </row>
    <row r="4142" spans="1:15" x14ac:dyDescent="0.3">
      <c r="A4142" s="130">
        <v>23192</v>
      </c>
      <c r="B4142" s="130">
        <v>30</v>
      </c>
      <c r="C4142" s="130" t="s">
        <v>5766</v>
      </c>
      <c r="D4142">
        <v>35307</v>
      </c>
      <c r="E4142" s="131">
        <v>2617158</v>
      </c>
      <c r="F4142" t="s">
        <v>87</v>
      </c>
      <c r="G4142">
        <v>76</v>
      </c>
      <c r="H4142" t="s">
        <v>8951</v>
      </c>
      <c r="I4142" s="131">
        <v>3</v>
      </c>
      <c r="J4142" t="s">
        <v>5766</v>
      </c>
      <c r="K4142" t="s">
        <v>95</v>
      </c>
      <c r="L4142" t="s">
        <v>111</v>
      </c>
      <c r="M4142" t="s">
        <v>103</v>
      </c>
      <c r="N4142" t="s">
        <v>98</v>
      </c>
      <c r="O4142" t="s">
        <v>1345</v>
      </c>
    </row>
    <row r="4143" spans="1:15" x14ac:dyDescent="0.3">
      <c r="A4143" s="130">
        <v>23194</v>
      </c>
      <c r="B4143" s="130">
        <v>60</v>
      </c>
      <c r="C4143" s="130" t="s">
        <v>5767</v>
      </c>
      <c r="D4143">
        <v>35314</v>
      </c>
      <c r="E4143" s="130">
        <v>8902291</v>
      </c>
      <c r="F4143" t="s">
        <v>87</v>
      </c>
      <c r="G4143">
        <v>77</v>
      </c>
      <c r="H4143" t="s">
        <v>8952</v>
      </c>
      <c r="I4143" s="130">
        <v>3</v>
      </c>
      <c r="J4143" t="s">
        <v>5767</v>
      </c>
      <c r="K4143" t="s">
        <v>95</v>
      </c>
      <c r="L4143" t="s">
        <v>256</v>
      </c>
      <c r="M4143" t="s">
        <v>97</v>
      </c>
      <c r="N4143" t="s">
        <v>118</v>
      </c>
      <c r="O4143" t="s">
        <v>1345</v>
      </c>
    </row>
    <row r="4144" spans="1:15" x14ac:dyDescent="0.3">
      <c r="A4144" s="130">
        <v>23199</v>
      </c>
      <c r="B4144" s="130">
        <v>30</v>
      </c>
      <c r="C4144" s="130" t="s">
        <v>5768</v>
      </c>
      <c r="D4144">
        <v>35318</v>
      </c>
      <c r="E4144" s="131">
        <v>28426989</v>
      </c>
      <c r="F4144" t="s">
        <v>87</v>
      </c>
      <c r="G4144">
        <v>32947</v>
      </c>
      <c r="H4144" t="s">
        <v>8953</v>
      </c>
      <c r="I4144" s="130">
        <v>3</v>
      </c>
      <c r="J4144" t="s">
        <v>5768</v>
      </c>
      <c r="K4144" t="s">
        <v>95</v>
      </c>
      <c r="L4144" t="s">
        <v>193</v>
      </c>
      <c r="M4144" t="s">
        <v>103</v>
      </c>
      <c r="N4144" t="s">
        <v>124</v>
      </c>
      <c r="O4144" t="s">
        <v>116</v>
      </c>
    </row>
    <row r="4145" spans="1:15" x14ac:dyDescent="0.3">
      <c r="A4145" s="130">
        <v>23201</v>
      </c>
      <c r="B4145" s="130">
        <v>30</v>
      </c>
      <c r="C4145" s="130" t="s">
        <v>5769</v>
      </c>
      <c r="D4145">
        <v>35326</v>
      </c>
      <c r="E4145" s="131">
        <v>60701521</v>
      </c>
      <c r="F4145" t="s">
        <v>87</v>
      </c>
      <c r="G4145">
        <v>76</v>
      </c>
      <c r="H4145" t="s">
        <v>8951</v>
      </c>
      <c r="I4145" s="130">
        <v>37</v>
      </c>
      <c r="J4145" t="s">
        <v>5769</v>
      </c>
      <c r="K4145" t="s">
        <v>95</v>
      </c>
      <c r="L4145" t="s">
        <v>138</v>
      </c>
      <c r="M4145" t="s">
        <v>103</v>
      </c>
      <c r="N4145" t="s">
        <v>162</v>
      </c>
      <c r="O4145" t="s">
        <v>116</v>
      </c>
    </row>
    <row r="4146" spans="1:15" x14ac:dyDescent="0.3">
      <c r="A4146" s="130">
        <v>23209</v>
      </c>
      <c r="C4146" s="130" t="s">
        <v>5770</v>
      </c>
      <c r="D4146">
        <v>34302</v>
      </c>
      <c r="E4146" s="131">
        <v>11124629</v>
      </c>
      <c r="F4146" t="s">
        <v>113</v>
      </c>
      <c r="G4146">
        <v>76</v>
      </c>
      <c r="H4146" t="s">
        <v>8952</v>
      </c>
      <c r="I4146" s="130">
        <v>43</v>
      </c>
      <c r="J4146" t="s">
        <v>5770</v>
      </c>
      <c r="K4146" t="s">
        <v>108</v>
      </c>
      <c r="L4146" t="s">
        <v>1241</v>
      </c>
      <c r="N4146" t="s">
        <v>101</v>
      </c>
      <c r="O4146" t="s">
        <v>1256</v>
      </c>
    </row>
    <row r="4147" spans="1:15" x14ac:dyDescent="0.3">
      <c r="A4147" s="130">
        <v>23210</v>
      </c>
      <c r="C4147" s="130" t="s">
        <v>5771</v>
      </c>
      <c r="D4147">
        <v>35341</v>
      </c>
      <c r="E4147" s="130">
        <v>37092175</v>
      </c>
      <c r="F4147" t="s">
        <v>113</v>
      </c>
      <c r="G4147">
        <v>32947</v>
      </c>
      <c r="H4147" t="s">
        <v>8953</v>
      </c>
      <c r="I4147" s="130">
        <v>9</v>
      </c>
      <c r="J4147" t="s">
        <v>5771</v>
      </c>
      <c r="K4147" t="s">
        <v>108</v>
      </c>
      <c r="N4147" t="s">
        <v>110</v>
      </c>
      <c r="O4147" t="s">
        <v>1256</v>
      </c>
    </row>
    <row r="4148" spans="1:15" x14ac:dyDescent="0.3">
      <c r="A4148" s="130">
        <v>23213</v>
      </c>
      <c r="B4148" s="130">
        <v>10</v>
      </c>
      <c r="C4148" s="130" t="s">
        <v>5772</v>
      </c>
      <c r="D4148">
        <v>35350</v>
      </c>
      <c r="E4148" s="131">
        <v>6020141</v>
      </c>
      <c r="F4148" t="s">
        <v>87</v>
      </c>
      <c r="G4148">
        <v>76</v>
      </c>
      <c r="H4148" t="s">
        <v>8951</v>
      </c>
      <c r="I4148" s="131">
        <v>3</v>
      </c>
      <c r="J4148" t="s">
        <v>5772</v>
      </c>
      <c r="K4148" t="s">
        <v>108</v>
      </c>
      <c r="L4148" t="s">
        <v>1293</v>
      </c>
      <c r="M4148" t="s">
        <v>133</v>
      </c>
      <c r="N4148" t="s">
        <v>98</v>
      </c>
      <c r="O4148" t="s">
        <v>116</v>
      </c>
    </row>
    <row r="4149" spans="1:15" x14ac:dyDescent="0.3">
      <c r="A4149" s="130">
        <v>23215</v>
      </c>
      <c r="B4149" s="130">
        <v>10</v>
      </c>
      <c r="C4149" s="130" t="s">
        <v>5773</v>
      </c>
      <c r="D4149">
        <v>35354</v>
      </c>
      <c r="E4149" s="130">
        <v>23878457</v>
      </c>
      <c r="F4149" t="s">
        <v>87</v>
      </c>
      <c r="G4149">
        <v>76</v>
      </c>
      <c r="H4149" t="s">
        <v>8952</v>
      </c>
      <c r="I4149" s="131">
        <v>3</v>
      </c>
      <c r="J4149" t="s">
        <v>5773</v>
      </c>
      <c r="K4149" t="s">
        <v>108</v>
      </c>
      <c r="L4149" t="s">
        <v>153</v>
      </c>
      <c r="M4149" t="s">
        <v>133</v>
      </c>
      <c r="N4149" t="s">
        <v>98</v>
      </c>
      <c r="O4149" t="s">
        <v>1256</v>
      </c>
    </row>
    <row r="4150" spans="1:15" x14ac:dyDescent="0.3">
      <c r="A4150" s="130">
        <v>23227</v>
      </c>
      <c r="B4150" s="130">
        <v>10</v>
      </c>
      <c r="C4150" s="130" t="s">
        <v>5774</v>
      </c>
      <c r="D4150">
        <v>35368</v>
      </c>
      <c r="E4150" s="131">
        <v>52031718</v>
      </c>
      <c r="F4150" t="s">
        <v>87</v>
      </c>
      <c r="G4150">
        <v>76</v>
      </c>
      <c r="H4150" t="s">
        <v>8953</v>
      </c>
      <c r="I4150" s="130">
        <v>3</v>
      </c>
      <c r="J4150" t="s">
        <v>5774</v>
      </c>
      <c r="K4150" t="s">
        <v>108</v>
      </c>
      <c r="L4150" t="s">
        <v>1293</v>
      </c>
      <c r="M4150" t="s">
        <v>133</v>
      </c>
      <c r="N4150" t="s">
        <v>98</v>
      </c>
      <c r="O4150" t="s">
        <v>1345</v>
      </c>
    </row>
    <row r="4151" spans="1:15" x14ac:dyDescent="0.3">
      <c r="A4151" s="130">
        <v>23228</v>
      </c>
      <c r="B4151" s="130">
        <v>30</v>
      </c>
      <c r="C4151" s="130" t="s">
        <v>5775</v>
      </c>
      <c r="D4151">
        <v>35371</v>
      </c>
      <c r="E4151" s="130">
        <v>32088888</v>
      </c>
      <c r="F4151" t="s">
        <v>87</v>
      </c>
      <c r="G4151">
        <v>76</v>
      </c>
      <c r="H4151" t="s">
        <v>8951</v>
      </c>
      <c r="I4151" s="131">
        <v>38</v>
      </c>
      <c r="J4151" t="s">
        <v>5775</v>
      </c>
      <c r="K4151" t="s">
        <v>108</v>
      </c>
      <c r="L4151" t="s">
        <v>126</v>
      </c>
      <c r="M4151" t="s">
        <v>103</v>
      </c>
      <c r="N4151" t="s">
        <v>98</v>
      </c>
      <c r="O4151" t="s">
        <v>116</v>
      </c>
    </row>
    <row r="4152" spans="1:15" x14ac:dyDescent="0.3">
      <c r="A4152" s="130">
        <v>23232</v>
      </c>
      <c r="B4152" s="130">
        <v>30</v>
      </c>
      <c r="C4152" s="130" t="s">
        <v>5776</v>
      </c>
      <c r="D4152">
        <v>35372</v>
      </c>
      <c r="E4152" s="130">
        <v>10323120</v>
      </c>
      <c r="F4152" t="s">
        <v>87</v>
      </c>
      <c r="G4152">
        <v>76</v>
      </c>
      <c r="H4152" t="s">
        <v>8952</v>
      </c>
      <c r="I4152" s="130">
        <v>37</v>
      </c>
      <c r="J4152" t="s">
        <v>5776</v>
      </c>
      <c r="K4152" t="s">
        <v>108</v>
      </c>
      <c r="L4152" t="s">
        <v>144</v>
      </c>
      <c r="M4152" t="s">
        <v>103</v>
      </c>
      <c r="N4152" t="s">
        <v>124</v>
      </c>
      <c r="O4152" t="s">
        <v>116</v>
      </c>
    </row>
    <row r="4153" spans="1:15" x14ac:dyDescent="0.3">
      <c r="A4153" s="130">
        <v>23235</v>
      </c>
      <c r="B4153" s="130">
        <v>30</v>
      </c>
      <c r="C4153" s="130" t="s">
        <v>5777</v>
      </c>
      <c r="D4153">
        <v>35377</v>
      </c>
      <c r="E4153" s="130">
        <v>33193996</v>
      </c>
      <c r="F4153" t="s">
        <v>87</v>
      </c>
      <c r="G4153">
        <v>76</v>
      </c>
      <c r="H4153" t="s">
        <v>8953</v>
      </c>
      <c r="I4153" s="130">
        <v>10</v>
      </c>
      <c r="J4153" t="s">
        <v>5777</v>
      </c>
      <c r="K4153" t="s">
        <v>95</v>
      </c>
      <c r="L4153" t="s">
        <v>127</v>
      </c>
      <c r="M4153" t="s">
        <v>103</v>
      </c>
      <c r="N4153" t="s">
        <v>118</v>
      </c>
      <c r="O4153" t="s">
        <v>116</v>
      </c>
    </row>
    <row r="4154" spans="1:15" x14ac:dyDescent="0.3">
      <c r="A4154" s="130">
        <v>23238</v>
      </c>
      <c r="B4154" s="131">
        <v>10</v>
      </c>
      <c r="C4154" s="130" t="s">
        <v>5778</v>
      </c>
      <c r="D4154">
        <v>35379</v>
      </c>
      <c r="E4154" s="130">
        <v>22216196</v>
      </c>
      <c r="F4154" t="s">
        <v>87</v>
      </c>
      <c r="G4154">
        <v>76</v>
      </c>
      <c r="H4154" t="s">
        <v>8951</v>
      </c>
      <c r="I4154" s="131">
        <v>3</v>
      </c>
      <c r="J4154" t="s">
        <v>5778</v>
      </c>
      <c r="K4154" t="s">
        <v>108</v>
      </c>
      <c r="L4154" t="s">
        <v>1293</v>
      </c>
      <c r="M4154" t="s">
        <v>133</v>
      </c>
      <c r="N4154" t="s">
        <v>98</v>
      </c>
      <c r="O4154" t="s">
        <v>1345</v>
      </c>
    </row>
    <row r="4155" spans="1:15" x14ac:dyDescent="0.3">
      <c r="A4155" s="130">
        <v>23239</v>
      </c>
      <c r="B4155" s="130">
        <v>0</v>
      </c>
      <c r="C4155" s="130" t="s">
        <v>5779</v>
      </c>
      <c r="D4155">
        <v>35380</v>
      </c>
      <c r="E4155" s="130">
        <v>132114</v>
      </c>
      <c r="F4155" t="s">
        <v>87</v>
      </c>
      <c r="G4155">
        <v>76</v>
      </c>
      <c r="H4155" t="s">
        <v>8952</v>
      </c>
      <c r="I4155" s="131">
        <v>37</v>
      </c>
      <c r="J4155" t="s">
        <v>5779</v>
      </c>
      <c r="K4155" t="s">
        <v>108</v>
      </c>
      <c r="L4155" t="s">
        <v>138</v>
      </c>
      <c r="M4155" t="s">
        <v>100</v>
      </c>
      <c r="N4155" t="s">
        <v>114</v>
      </c>
      <c r="O4155" t="s">
        <v>1256</v>
      </c>
    </row>
    <row r="4156" spans="1:15" x14ac:dyDescent="0.3">
      <c r="A4156" s="130">
        <v>23243</v>
      </c>
      <c r="B4156" s="130">
        <v>20</v>
      </c>
      <c r="C4156" s="130" t="s">
        <v>5780</v>
      </c>
      <c r="D4156">
        <v>35387</v>
      </c>
      <c r="E4156" s="130">
        <v>813467</v>
      </c>
      <c r="F4156" t="s">
        <v>87</v>
      </c>
      <c r="G4156">
        <v>76</v>
      </c>
      <c r="H4156" t="s">
        <v>8953</v>
      </c>
      <c r="I4156" s="130">
        <v>19</v>
      </c>
      <c r="J4156" t="s">
        <v>5780</v>
      </c>
      <c r="K4156" t="s">
        <v>108</v>
      </c>
      <c r="L4156" t="s">
        <v>252</v>
      </c>
      <c r="M4156" t="s">
        <v>148</v>
      </c>
      <c r="N4156" t="s">
        <v>98</v>
      </c>
      <c r="O4156" t="s">
        <v>116</v>
      </c>
    </row>
    <row r="4157" spans="1:15" x14ac:dyDescent="0.3">
      <c r="A4157" s="130">
        <v>23248</v>
      </c>
      <c r="B4157" s="130">
        <v>10</v>
      </c>
      <c r="C4157" s="130" t="s">
        <v>5781</v>
      </c>
      <c r="D4157">
        <v>35400</v>
      </c>
      <c r="E4157" s="130">
        <v>65088700</v>
      </c>
      <c r="F4157" t="s">
        <v>87</v>
      </c>
      <c r="G4157">
        <v>76</v>
      </c>
      <c r="H4157" t="s">
        <v>8951</v>
      </c>
      <c r="I4157" s="131">
        <v>3</v>
      </c>
      <c r="J4157" t="s">
        <v>5781</v>
      </c>
      <c r="K4157" t="s">
        <v>108</v>
      </c>
      <c r="L4157" t="s">
        <v>1293</v>
      </c>
      <c r="M4157" t="s">
        <v>133</v>
      </c>
      <c r="N4157" t="s">
        <v>98</v>
      </c>
      <c r="O4157" t="s">
        <v>116</v>
      </c>
    </row>
    <row r="4158" spans="1:15" x14ac:dyDescent="0.3">
      <c r="A4158" s="130">
        <v>23265</v>
      </c>
      <c r="B4158" s="130">
        <v>30</v>
      </c>
      <c r="C4158" s="130" t="s">
        <v>5782</v>
      </c>
      <c r="D4158">
        <v>35412</v>
      </c>
      <c r="E4158" s="130">
        <v>16622284</v>
      </c>
      <c r="F4158" t="s">
        <v>87</v>
      </c>
      <c r="G4158">
        <v>76</v>
      </c>
      <c r="H4158" t="s">
        <v>8952</v>
      </c>
      <c r="I4158" s="131">
        <v>10</v>
      </c>
      <c r="J4158" t="s">
        <v>5782</v>
      </c>
      <c r="K4158" t="s">
        <v>95</v>
      </c>
      <c r="L4158" t="s">
        <v>111</v>
      </c>
      <c r="M4158" t="s">
        <v>103</v>
      </c>
      <c r="N4158" t="s">
        <v>114</v>
      </c>
      <c r="O4158" t="s">
        <v>1345</v>
      </c>
    </row>
    <row r="4159" spans="1:15" x14ac:dyDescent="0.3">
      <c r="A4159" s="130">
        <v>23268</v>
      </c>
      <c r="B4159" s="130">
        <v>30</v>
      </c>
      <c r="C4159" s="130" t="s">
        <v>5783</v>
      </c>
      <c r="D4159">
        <v>35417</v>
      </c>
      <c r="E4159" s="131">
        <v>3644204</v>
      </c>
      <c r="F4159" t="s">
        <v>87</v>
      </c>
      <c r="G4159">
        <v>76</v>
      </c>
      <c r="H4159" t="s">
        <v>8953</v>
      </c>
      <c r="I4159" s="131">
        <v>43</v>
      </c>
      <c r="J4159" t="s">
        <v>5783</v>
      </c>
      <c r="K4159" t="s">
        <v>95</v>
      </c>
      <c r="L4159" t="s">
        <v>111</v>
      </c>
      <c r="M4159" t="s">
        <v>103</v>
      </c>
      <c r="N4159" t="s">
        <v>98</v>
      </c>
      <c r="O4159" t="s">
        <v>116</v>
      </c>
    </row>
    <row r="4160" spans="1:15" x14ac:dyDescent="0.3">
      <c r="A4160" s="130">
        <v>23274</v>
      </c>
      <c r="B4160" s="130">
        <v>30</v>
      </c>
      <c r="C4160" s="130" t="s">
        <v>5784</v>
      </c>
      <c r="D4160">
        <v>35442</v>
      </c>
      <c r="E4160" s="130">
        <v>41757442</v>
      </c>
      <c r="F4160" t="s">
        <v>87</v>
      </c>
      <c r="G4160">
        <v>76</v>
      </c>
      <c r="H4160" t="s">
        <v>8951</v>
      </c>
      <c r="I4160" s="131">
        <v>37</v>
      </c>
      <c r="J4160" t="s">
        <v>5784</v>
      </c>
      <c r="K4160" t="s">
        <v>108</v>
      </c>
      <c r="L4160" t="s">
        <v>144</v>
      </c>
      <c r="M4160" t="s">
        <v>103</v>
      </c>
      <c r="N4160" t="s">
        <v>141</v>
      </c>
      <c r="O4160" t="s">
        <v>116</v>
      </c>
    </row>
    <row r="4161" spans="1:15" x14ac:dyDescent="0.3">
      <c r="A4161" s="130">
        <v>23279</v>
      </c>
      <c r="B4161" s="130">
        <v>60</v>
      </c>
      <c r="C4161" s="130" t="s">
        <v>5785</v>
      </c>
      <c r="D4161">
        <v>35446</v>
      </c>
      <c r="E4161" s="130">
        <v>43821266</v>
      </c>
      <c r="F4161" t="s">
        <v>87</v>
      </c>
      <c r="G4161">
        <v>77</v>
      </c>
      <c r="H4161" t="s">
        <v>8952</v>
      </c>
      <c r="I4161" s="130">
        <v>9</v>
      </c>
      <c r="J4161" t="s">
        <v>5785</v>
      </c>
      <c r="K4161" t="s">
        <v>95</v>
      </c>
      <c r="L4161" t="s">
        <v>117</v>
      </c>
      <c r="M4161" t="s">
        <v>97</v>
      </c>
      <c r="N4161" t="s">
        <v>98</v>
      </c>
      <c r="O4161" t="s">
        <v>116</v>
      </c>
    </row>
    <row r="4162" spans="1:15" x14ac:dyDescent="0.3">
      <c r="A4162" s="130">
        <v>23280</v>
      </c>
      <c r="B4162" s="130">
        <v>0</v>
      </c>
      <c r="C4162" s="130" t="s">
        <v>5786</v>
      </c>
      <c r="D4162">
        <v>34998</v>
      </c>
      <c r="E4162" s="130">
        <v>43635526</v>
      </c>
      <c r="F4162" t="s">
        <v>87</v>
      </c>
      <c r="G4162">
        <v>76</v>
      </c>
      <c r="H4162" t="s">
        <v>8953</v>
      </c>
      <c r="I4162" s="131">
        <v>9</v>
      </c>
      <c r="J4162" t="s">
        <v>5786</v>
      </c>
      <c r="K4162" t="s">
        <v>108</v>
      </c>
      <c r="L4162" t="s">
        <v>1298</v>
      </c>
      <c r="M4162" t="s">
        <v>100</v>
      </c>
      <c r="N4162" t="s">
        <v>118</v>
      </c>
      <c r="O4162" t="s">
        <v>1256</v>
      </c>
    </row>
    <row r="4163" spans="1:15" x14ac:dyDescent="0.3">
      <c r="A4163" s="130">
        <v>23282</v>
      </c>
      <c r="B4163" s="130">
        <v>60</v>
      </c>
      <c r="C4163" s="130" t="s">
        <v>5787</v>
      </c>
      <c r="D4163">
        <v>35449</v>
      </c>
      <c r="E4163" s="131">
        <v>46722660</v>
      </c>
      <c r="F4163" t="s">
        <v>87</v>
      </c>
      <c r="G4163">
        <v>32947</v>
      </c>
      <c r="H4163" t="s">
        <v>8951</v>
      </c>
      <c r="I4163" s="130">
        <v>10</v>
      </c>
      <c r="J4163" t="s">
        <v>5787</v>
      </c>
      <c r="K4163" t="s">
        <v>108</v>
      </c>
      <c r="L4163" t="s">
        <v>111</v>
      </c>
      <c r="M4163" t="s">
        <v>97</v>
      </c>
      <c r="N4163" t="s">
        <v>101</v>
      </c>
      <c r="O4163" t="s">
        <v>1345</v>
      </c>
    </row>
    <row r="4164" spans="1:15" x14ac:dyDescent="0.3">
      <c r="A4164" s="130">
        <v>23283</v>
      </c>
      <c r="B4164" s="130">
        <v>0</v>
      </c>
      <c r="C4164" s="130" t="s">
        <v>5788</v>
      </c>
      <c r="D4164">
        <v>35451</v>
      </c>
      <c r="E4164" s="130">
        <v>49748023</v>
      </c>
      <c r="F4164" t="s">
        <v>87</v>
      </c>
      <c r="G4164">
        <v>76</v>
      </c>
      <c r="H4164" t="s">
        <v>8952</v>
      </c>
      <c r="I4164" s="131">
        <v>37</v>
      </c>
      <c r="J4164" t="s">
        <v>5788</v>
      </c>
      <c r="K4164" t="s">
        <v>108</v>
      </c>
      <c r="L4164" t="s">
        <v>138</v>
      </c>
      <c r="M4164" t="s">
        <v>100</v>
      </c>
      <c r="N4164" t="s">
        <v>98</v>
      </c>
      <c r="O4164" t="s">
        <v>1256</v>
      </c>
    </row>
    <row r="4165" spans="1:15" x14ac:dyDescent="0.3">
      <c r="A4165" s="130">
        <v>23289</v>
      </c>
      <c r="B4165" s="130">
        <v>30</v>
      </c>
      <c r="C4165" s="130" t="s">
        <v>5789</v>
      </c>
      <c r="D4165">
        <v>35463</v>
      </c>
      <c r="E4165" s="130">
        <v>17185786</v>
      </c>
      <c r="F4165" t="s">
        <v>87</v>
      </c>
      <c r="G4165">
        <v>358</v>
      </c>
      <c r="H4165" t="s">
        <v>8953</v>
      </c>
      <c r="I4165" s="131">
        <v>3</v>
      </c>
      <c r="J4165" t="s">
        <v>5789</v>
      </c>
      <c r="K4165" t="s">
        <v>95</v>
      </c>
      <c r="L4165" t="s">
        <v>105</v>
      </c>
      <c r="M4165" t="s">
        <v>103</v>
      </c>
      <c r="N4165" t="s">
        <v>98</v>
      </c>
      <c r="O4165" t="s">
        <v>116</v>
      </c>
    </row>
    <row r="4166" spans="1:15" x14ac:dyDescent="0.3">
      <c r="A4166" s="130">
        <v>23291</v>
      </c>
      <c r="B4166" s="130">
        <v>20</v>
      </c>
      <c r="C4166" s="130" t="s">
        <v>5790</v>
      </c>
      <c r="D4166">
        <v>35465</v>
      </c>
      <c r="E4166" s="130">
        <v>5427215</v>
      </c>
      <c r="F4166" t="s">
        <v>87</v>
      </c>
      <c r="G4166">
        <v>76</v>
      </c>
      <c r="H4166" t="s">
        <v>8951</v>
      </c>
      <c r="I4166" s="131">
        <v>19</v>
      </c>
      <c r="J4166" t="s">
        <v>5790</v>
      </c>
      <c r="K4166" t="s">
        <v>108</v>
      </c>
      <c r="L4166" t="s">
        <v>252</v>
      </c>
      <c r="M4166" t="s">
        <v>148</v>
      </c>
      <c r="N4166" t="s">
        <v>98</v>
      </c>
      <c r="O4166" t="s">
        <v>116</v>
      </c>
    </row>
    <row r="4167" spans="1:15" x14ac:dyDescent="0.3">
      <c r="A4167" s="130">
        <v>23292</v>
      </c>
      <c r="B4167" s="130">
        <v>30</v>
      </c>
      <c r="C4167" s="130" t="s">
        <v>5791</v>
      </c>
      <c r="D4167">
        <v>35467</v>
      </c>
      <c r="E4167" s="131">
        <v>91894774</v>
      </c>
      <c r="F4167" t="s">
        <v>87</v>
      </c>
      <c r="G4167">
        <v>77</v>
      </c>
      <c r="H4167" t="s">
        <v>8952</v>
      </c>
      <c r="I4167" s="131">
        <v>24</v>
      </c>
      <c r="J4167" t="s">
        <v>5791</v>
      </c>
      <c r="K4167" t="s">
        <v>95</v>
      </c>
      <c r="L4167" t="s">
        <v>117</v>
      </c>
      <c r="M4167" t="s">
        <v>103</v>
      </c>
      <c r="N4167" t="s">
        <v>98</v>
      </c>
      <c r="O4167" t="s">
        <v>116</v>
      </c>
    </row>
    <row r="4168" spans="1:15" x14ac:dyDescent="0.3">
      <c r="A4168" s="130">
        <v>23294</v>
      </c>
      <c r="B4168" s="130">
        <v>30</v>
      </c>
      <c r="C4168" s="130" t="s">
        <v>5792</v>
      </c>
      <c r="D4168">
        <v>35474</v>
      </c>
      <c r="E4168" s="131">
        <v>60701521</v>
      </c>
      <c r="F4168" t="s">
        <v>87</v>
      </c>
      <c r="G4168">
        <v>76</v>
      </c>
      <c r="H4168" t="s">
        <v>8953</v>
      </c>
      <c r="I4168" s="130">
        <v>24</v>
      </c>
      <c r="J4168" t="s">
        <v>5792</v>
      </c>
      <c r="K4168" t="s">
        <v>95</v>
      </c>
      <c r="L4168" t="s">
        <v>138</v>
      </c>
      <c r="M4168" t="s">
        <v>103</v>
      </c>
      <c r="N4168" t="s">
        <v>162</v>
      </c>
      <c r="O4168" t="s">
        <v>116</v>
      </c>
    </row>
    <row r="4169" spans="1:15" x14ac:dyDescent="0.3">
      <c r="A4169" s="130">
        <v>23295</v>
      </c>
      <c r="B4169" s="130">
        <v>30</v>
      </c>
      <c r="C4169" s="130" t="s">
        <v>5793</v>
      </c>
      <c r="D4169">
        <v>35475</v>
      </c>
      <c r="E4169" s="131">
        <v>20936189</v>
      </c>
      <c r="F4169" t="s">
        <v>87</v>
      </c>
      <c r="G4169">
        <v>32947</v>
      </c>
      <c r="H4169" t="s">
        <v>8951</v>
      </c>
      <c r="I4169" s="131">
        <v>43</v>
      </c>
      <c r="J4169" t="s">
        <v>5793</v>
      </c>
      <c r="K4169" t="s">
        <v>108</v>
      </c>
      <c r="L4169" t="s">
        <v>111</v>
      </c>
      <c r="M4169" t="s">
        <v>103</v>
      </c>
      <c r="N4169" t="s">
        <v>98</v>
      </c>
      <c r="O4169" t="s">
        <v>116</v>
      </c>
    </row>
    <row r="4170" spans="1:15" x14ac:dyDescent="0.3">
      <c r="A4170" s="130">
        <v>23304</v>
      </c>
      <c r="B4170" s="130">
        <v>21</v>
      </c>
      <c r="C4170" s="130" t="s">
        <v>5794</v>
      </c>
      <c r="D4170">
        <v>35485</v>
      </c>
      <c r="E4170" s="130">
        <v>26896005</v>
      </c>
      <c r="F4170" t="s">
        <v>87</v>
      </c>
      <c r="G4170">
        <v>32947</v>
      </c>
      <c r="H4170" t="s">
        <v>8952</v>
      </c>
      <c r="I4170" s="131">
        <v>19</v>
      </c>
      <c r="J4170" t="s">
        <v>5794</v>
      </c>
      <c r="K4170" t="s">
        <v>108</v>
      </c>
      <c r="L4170" t="s">
        <v>111</v>
      </c>
      <c r="M4170" t="s">
        <v>137</v>
      </c>
      <c r="N4170" t="s">
        <v>124</v>
      </c>
      <c r="O4170" t="s">
        <v>116</v>
      </c>
    </row>
    <row r="4171" spans="1:15" x14ac:dyDescent="0.3">
      <c r="A4171" s="130">
        <v>23308</v>
      </c>
      <c r="B4171" s="130">
        <v>30</v>
      </c>
      <c r="C4171" s="130" t="s">
        <v>5795</v>
      </c>
      <c r="D4171">
        <v>35490</v>
      </c>
      <c r="E4171" s="130">
        <v>21062047</v>
      </c>
      <c r="F4171" t="s">
        <v>87</v>
      </c>
      <c r="G4171">
        <v>32947</v>
      </c>
      <c r="H4171" t="s">
        <v>8953</v>
      </c>
      <c r="I4171" s="131">
        <v>3</v>
      </c>
      <c r="J4171" t="s">
        <v>5795</v>
      </c>
      <c r="K4171" t="s">
        <v>95</v>
      </c>
      <c r="L4171" t="s">
        <v>193</v>
      </c>
      <c r="M4171" t="s">
        <v>103</v>
      </c>
      <c r="N4171" t="s">
        <v>98</v>
      </c>
      <c r="O4171" t="s">
        <v>116</v>
      </c>
    </row>
    <row r="4172" spans="1:15" x14ac:dyDescent="0.3">
      <c r="A4172" s="130">
        <v>23309</v>
      </c>
      <c r="B4172" s="130">
        <v>20</v>
      </c>
      <c r="C4172" s="130" t="s">
        <v>5796</v>
      </c>
      <c r="D4172">
        <v>35491</v>
      </c>
      <c r="E4172" s="131">
        <v>59225698</v>
      </c>
      <c r="F4172" t="s">
        <v>87</v>
      </c>
      <c r="G4172">
        <v>76</v>
      </c>
      <c r="H4172" t="s">
        <v>8951</v>
      </c>
      <c r="I4172" s="131">
        <v>19</v>
      </c>
      <c r="J4172" t="s">
        <v>5796</v>
      </c>
      <c r="K4172" t="s">
        <v>108</v>
      </c>
      <c r="L4172" t="s">
        <v>252</v>
      </c>
      <c r="M4172" t="s">
        <v>148</v>
      </c>
      <c r="N4172" t="s">
        <v>98</v>
      </c>
      <c r="O4172" t="s">
        <v>244</v>
      </c>
    </row>
    <row r="4173" spans="1:15" x14ac:dyDescent="0.3">
      <c r="A4173" s="130">
        <v>23313</v>
      </c>
      <c r="B4173" s="130">
        <v>0</v>
      </c>
      <c r="C4173" s="130" t="s">
        <v>5797</v>
      </c>
      <c r="D4173">
        <v>35500</v>
      </c>
      <c r="E4173" s="130">
        <v>10505311</v>
      </c>
      <c r="F4173" t="s">
        <v>87</v>
      </c>
      <c r="G4173">
        <v>32947</v>
      </c>
      <c r="H4173" t="s">
        <v>8952</v>
      </c>
      <c r="I4173" s="130">
        <v>43</v>
      </c>
      <c r="J4173" t="s">
        <v>5797</v>
      </c>
      <c r="K4173" t="s">
        <v>108</v>
      </c>
      <c r="M4173" t="s">
        <v>100</v>
      </c>
      <c r="N4173" t="s">
        <v>98</v>
      </c>
      <c r="O4173" t="s">
        <v>1256</v>
      </c>
    </row>
    <row r="4174" spans="1:15" x14ac:dyDescent="0.3">
      <c r="A4174" s="130">
        <v>23317</v>
      </c>
      <c r="B4174" s="130">
        <v>30</v>
      </c>
      <c r="C4174" s="130" t="s">
        <v>5798</v>
      </c>
      <c r="D4174">
        <v>35506</v>
      </c>
      <c r="E4174" s="131">
        <v>7522191</v>
      </c>
      <c r="F4174" t="s">
        <v>87</v>
      </c>
      <c r="G4174">
        <v>76</v>
      </c>
      <c r="H4174" t="s">
        <v>8953</v>
      </c>
      <c r="I4174" s="131">
        <v>18</v>
      </c>
      <c r="J4174" t="s">
        <v>5798</v>
      </c>
      <c r="K4174" t="s">
        <v>95</v>
      </c>
      <c r="L4174" t="s">
        <v>123</v>
      </c>
      <c r="M4174" t="s">
        <v>103</v>
      </c>
      <c r="N4174" t="s">
        <v>98</v>
      </c>
      <c r="O4174" t="s">
        <v>1256</v>
      </c>
    </row>
    <row r="4175" spans="1:15" x14ac:dyDescent="0.3">
      <c r="A4175" s="130">
        <v>23324</v>
      </c>
      <c r="B4175" s="130">
        <v>20</v>
      </c>
      <c r="C4175" s="130" t="s">
        <v>5799</v>
      </c>
      <c r="D4175">
        <v>35514</v>
      </c>
      <c r="E4175" s="130">
        <v>48262739</v>
      </c>
      <c r="F4175" t="s">
        <v>113</v>
      </c>
      <c r="G4175">
        <v>76</v>
      </c>
      <c r="H4175" t="s">
        <v>8951</v>
      </c>
      <c r="I4175" s="130">
        <v>19</v>
      </c>
      <c r="J4175" t="s">
        <v>5799</v>
      </c>
      <c r="K4175" t="s">
        <v>108</v>
      </c>
      <c r="L4175" t="s">
        <v>252</v>
      </c>
      <c r="M4175" t="s">
        <v>148</v>
      </c>
      <c r="N4175" t="s">
        <v>98</v>
      </c>
      <c r="O4175" t="s">
        <v>1256</v>
      </c>
    </row>
    <row r="4176" spans="1:15" x14ac:dyDescent="0.3">
      <c r="A4176" s="130">
        <v>23328</v>
      </c>
      <c r="B4176" s="130">
        <v>20</v>
      </c>
      <c r="C4176" s="130" t="s">
        <v>5800</v>
      </c>
      <c r="D4176">
        <v>35522</v>
      </c>
      <c r="E4176" s="130">
        <v>48486408</v>
      </c>
      <c r="F4176" t="s">
        <v>113</v>
      </c>
      <c r="G4176">
        <v>76</v>
      </c>
      <c r="H4176" t="s">
        <v>8952</v>
      </c>
      <c r="I4176" s="131">
        <v>19</v>
      </c>
      <c r="J4176" t="s">
        <v>5800</v>
      </c>
      <c r="K4176" t="s">
        <v>108</v>
      </c>
      <c r="L4176" t="s">
        <v>252</v>
      </c>
      <c r="M4176" t="s">
        <v>148</v>
      </c>
      <c r="N4176" t="s">
        <v>98</v>
      </c>
      <c r="O4176" t="s">
        <v>1256</v>
      </c>
    </row>
    <row r="4177" spans="1:15" x14ac:dyDescent="0.3">
      <c r="A4177" s="130">
        <v>23330</v>
      </c>
      <c r="B4177" s="130">
        <v>30</v>
      </c>
      <c r="C4177" s="130" t="s">
        <v>5801</v>
      </c>
      <c r="D4177">
        <v>35527</v>
      </c>
      <c r="E4177" s="130">
        <v>60882628</v>
      </c>
      <c r="F4177" t="s">
        <v>87</v>
      </c>
      <c r="G4177">
        <v>77</v>
      </c>
      <c r="H4177" t="s">
        <v>8953</v>
      </c>
      <c r="I4177" s="131">
        <v>24</v>
      </c>
      <c r="J4177" t="s">
        <v>5801</v>
      </c>
      <c r="K4177" t="s">
        <v>95</v>
      </c>
      <c r="L4177" t="s">
        <v>256</v>
      </c>
      <c r="M4177" t="s">
        <v>103</v>
      </c>
      <c r="N4177" t="s">
        <v>114</v>
      </c>
      <c r="O4177" t="s">
        <v>116</v>
      </c>
    </row>
    <row r="4178" spans="1:15" x14ac:dyDescent="0.3">
      <c r="A4178" s="130">
        <v>23340</v>
      </c>
      <c r="B4178" s="130">
        <v>-1</v>
      </c>
      <c r="C4178" s="130" t="s">
        <v>5802</v>
      </c>
      <c r="D4178">
        <v>35548</v>
      </c>
      <c r="E4178" s="130">
        <v>18127274</v>
      </c>
      <c r="F4178" t="s">
        <v>87</v>
      </c>
      <c r="G4178">
        <v>76</v>
      </c>
      <c r="H4178" t="s">
        <v>8951</v>
      </c>
      <c r="I4178" s="131">
        <v>3</v>
      </c>
      <c r="J4178" t="s">
        <v>5802</v>
      </c>
      <c r="K4178" t="s">
        <v>95</v>
      </c>
      <c r="L4178" t="s">
        <v>102</v>
      </c>
      <c r="M4178" t="s">
        <v>174</v>
      </c>
      <c r="N4178" t="s">
        <v>152</v>
      </c>
      <c r="O4178" t="s">
        <v>1345</v>
      </c>
    </row>
    <row r="4179" spans="1:15" x14ac:dyDescent="0.3">
      <c r="A4179" s="130">
        <v>23353</v>
      </c>
      <c r="B4179" s="130">
        <v>30</v>
      </c>
      <c r="C4179" s="130" t="s">
        <v>5803</v>
      </c>
      <c r="D4179">
        <v>35526</v>
      </c>
      <c r="E4179" s="130">
        <v>10787589</v>
      </c>
      <c r="F4179" t="s">
        <v>87</v>
      </c>
      <c r="G4179">
        <v>76</v>
      </c>
      <c r="H4179" t="s">
        <v>8952</v>
      </c>
      <c r="I4179" s="131">
        <v>19</v>
      </c>
      <c r="J4179" t="s">
        <v>5803</v>
      </c>
      <c r="K4179" t="s">
        <v>108</v>
      </c>
      <c r="L4179" t="s">
        <v>146</v>
      </c>
      <c r="M4179" t="s">
        <v>103</v>
      </c>
      <c r="N4179" t="s">
        <v>98</v>
      </c>
      <c r="O4179" t="s">
        <v>116</v>
      </c>
    </row>
    <row r="4180" spans="1:15" x14ac:dyDescent="0.3">
      <c r="A4180" s="130">
        <v>23364</v>
      </c>
      <c r="B4180" s="130">
        <v>45</v>
      </c>
      <c r="C4180" s="130" t="s">
        <v>5804</v>
      </c>
      <c r="D4180">
        <v>35585</v>
      </c>
      <c r="E4180" s="130">
        <v>2390435</v>
      </c>
      <c r="F4180" t="s">
        <v>87</v>
      </c>
      <c r="G4180">
        <v>76</v>
      </c>
      <c r="H4180" t="s">
        <v>8953</v>
      </c>
      <c r="I4180" s="130">
        <v>24</v>
      </c>
      <c r="J4180" t="s">
        <v>5804</v>
      </c>
      <c r="K4180" t="s">
        <v>108</v>
      </c>
      <c r="L4180" t="s">
        <v>240</v>
      </c>
      <c r="M4180" t="s">
        <v>106</v>
      </c>
      <c r="N4180" t="s">
        <v>122</v>
      </c>
      <c r="O4180" t="s">
        <v>1256</v>
      </c>
    </row>
    <row r="4181" spans="1:15" x14ac:dyDescent="0.3">
      <c r="A4181" s="130">
        <v>23369</v>
      </c>
      <c r="B4181" s="130">
        <v>10</v>
      </c>
      <c r="C4181" s="130" t="s">
        <v>5805</v>
      </c>
      <c r="D4181">
        <v>35591</v>
      </c>
      <c r="E4181" s="131">
        <v>45613581</v>
      </c>
      <c r="F4181" t="s">
        <v>87</v>
      </c>
      <c r="G4181">
        <v>32947</v>
      </c>
      <c r="H4181" t="s">
        <v>8951</v>
      </c>
      <c r="I4181" s="131">
        <v>3</v>
      </c>
      <c r="J4181" t="s">
        <v>5805</v>
      </c>
      <c r="K4181" t="s">
        <v>108</v>
      </c>
      <c r="L4181" t="s">
        <v>1293</v>
      </c>
      <c r="M4181" t="s">
        <v>133</v>
      </c>
      <c r="N4181" t="s">
        <v>150</v>
      </c>
      <c r="O4181" t="s">
        <v>116</v>
      </c>
    </row>
    <row r="4182" spans="1:15" x14ac:dyDescent="0.3">
      <c r="A4182" s="130">
        <v>23376</v>
      </c>
      <c r="B4182" s="130">
        <v>20</v>
      </c>
      <c r="C4182" s="130" t="s">
        <v>5806</v>
      </c>
      <c r="D4182">
        <v>35603</v>
      </c>
      <c r="E4182" s="130">
        <v>12307620</v>
      </c>
      <c r="F4182" t="s">
        <v>87</v>
      </c>
      <c r="G4182">
        <v>76</v>
      </c>
      <c r="H4182" t="s">
        <v>8952</v>
      </c>
      <c r="I4182" s="131">
        <v>19</v>
      </c>
      <c r="J4182" t="s">
        <v>5806</v>
      </c>
      <c r="K4182" t="s">
        <v>108</v>
      </c>
      <c r="L4182" t="s">
        <v>252</v>
      </c>
      <c r="M4182" t="s">
        <v>148</v>
      </c>
      <c r="N4182" t="s">
        <v>98</v>
      </c>
      <c r="O4182" t="s">
        <v>1256</v>
      </c>
    </row>
    <row r="4183" spans="1:15" x14ac:dyDescent="0.3">
      <c r="A4183" s="130">
        <v>23380</v>
      </c>
      <c r="B4183" s="130">
        <v>0</v>
      </c>
      <c r="C4183" s="130" t="s">
        <v>5807</v>
      </c>
      <c r="D4183">
        <v>35613</v>
      </c>
      <c r="E4183" s="131">
        <v>61584223</v>
      </c>
      <c r="F4183" t="s">
        <v>87</v>
      </c>
      <c r="G4183">
        <v>76</v>
      </c>
      <c r="H4183" t="s">
        <v>8953</v>
      </c>
      <c r="I4183" s="130">
        <v>28</v>
      </c>
      <c r="J4183" t="s">
        <v>5807</v>
      </c>
      <c r="K4183" t="s">
        <v>95</v>
      </c>
      <c r="L4183" t="s">
        <v>102</v>
      </c>
      <c r="M4183" t="s">
        <v>154</v>
      </c>
      <c r="N4183" t="s">
        <v>98</v>
      </c>
      <c r="O4183" t="s">
        <v>1345</v>
      </c>
    </row>
    <row r="4184" spans="1:15" x14ac:dyDescent="0.3">
      <c r="A4184" s="130">
        <v>23384</v>
      </c>
      <c r="B4184" s="130">
        <v>10</v>
      </c>
      <c r="C4184" s="130" t="s">
        <v>5808</v>
      </c>
      <c r="D4184">
        <v>35602</v>
      </c>
      <c r="E4184" s="130">
        <v>32227070</v>
      </c>
      <c r="F4184" t="s">
        <v>87</v>
      </c>
      <c r="G4184">
        <v>76</v>
      </c>
      <c r="H4184" t="s">
        <v>8951</v>
      </c>
      <c r="I4184" s="130">
        <v>3</v>
      </c>
      <c r="J4184" t="s">
        <v>5808</v>
      </c>
      <c r="K4184" t="s">
        <v>108</v>
      </c>
      <c r="L4184" t="s">
        <v>120</v>
      </c>
      <c r="M4184" t="s">
        <v>133</v>
      </c>
      <c r="N4184" t="s">
        <v>98</v>
      </c>
      <c r="O4184" t="s">
        <v>116</v>
      </c>
    </row>
    <row r="4185" spans="1:15" x14ac:dyDescent="0.3">
      <c r="A4185" s="130">
        <v>23399</v>
      </c>
      <c r="B4185" s="130">
        <v>0</v>
      </c>
      <c r="C4185" s="130" t="s">
        <v>5809</v>
      </c>
      <c r="D4185">
        <v>35650</v>
      </c>
      <c r="E4185" s="130">
        <v>28966749</v>
      </c>
      <c r="F4185" t="s">
        <v>113</v>
      </c>
      <c r="G4185">
        <v>76</v>
      </c>
      <c r="H4185" t="s">
        <v>8952</v>
      </c>
      <c r="I4185" s="130">
        <v>9</v>
      </c>
      <c r="J4185" t="s">
        <v>5809</v>
      </c>
      <c r="K4185" t="s">
        <v>108</v>
      </c>
      <c r="L4185" t="s">
        <v>1298</v>
      </c>
      <c r="M4185" t="s">
        <v>100</v>
      </c>
      <c r="N4185" t="s">
        <v>114</v>
      </c>
      <c r="O4185" t="s">
        <v>1256</v>
      </c>
    </row>
    <row r="4186" spans="1:15" x14ac:dyDescent="0.3">
      <c r="A4186" s="130">
        <v>23414</v>
      </c>
      <c r="B4186" s="130">
        <v>60</v>
      </c>
      <c r="C4186" s="130" t="s">
        <v>5810</v>
      </c>
      <c r="D4186">
        <v>35682</v>
      </c>
      <c r="E4186" s="130">
        <v>60744463</v>
      </c>
      <c r="F4186" t="s">
        <v>87</v>
      </c>
      <c r="G4186">
        <v>76</v>
      </c>
      <c r="H4186" t="s">
        <v>8953</v>
      </c>
      <c r="I4186" s="131">
        <v>24</v>
      </c>
      <c r="J4186" t="s">
        <v>5810</v>
      </c>
      <c r="K4186" t="s">
        <v>95</v>
      </c>
      <c r="L4186" t="s">
        <v>191</v>
      </c>
      <c r="M4186" t="s">
        <v>97</v>
      </c>
      <c r="N4186" t="s">
        <v>141</v>
      </c>
      <c r="O4186" t="s">
        <v>1256</v>
      </c>
    </row>
    <row r="4187" spans="1:15" x14ac:dyDescent="0.3">
      <c r="A4187" s="130">
        <v>23415</v>
      </c>
      <c r="B4187" s="130">
        <v>21</v>
      </c>
      <c r="C4187" s="130" t="s">
        <v>5811</v>
      </c>
      <c r="D4187">
        <v>35684</v>
      </c>
      <c r="E4187" s="130">
        <v>29390958</v>
      </c>
      <c r="F4187" t="s">
        <v>113</v>
      </c>
      <c r="G4187">
        <v>76</v>
      </c>
      <c r="H4187" t="s">
        <v>8951</v>
      </c>
      <c r="I4187" s="131">
        <v>24</v>
      </c>
      <c r="J4187" t="s">
        <v>5811</v>
      </c>
      <c r="K4187" t="s">
        <v>108</v>
      </c>
      <c r="L4187" t="s">
        <v>191</v>
      </c>
      <c r="M4187" t="s">
        <v>137</v>
      </c>
      <c r="N4187" t="s">
        <v>114</v>
      </c>
      <c r="O4187" t="s">
        <v>1256</v>
      </c>
    </row>
    <row r="4188" spans="1:15" x14ac:dyDescent="0.3">
      <c r="A4188" s="130">
        <v>23416</v>
      </c>
      <c r="B4188" s="130">
        <v>21</v>
      </c>
      <c r="C4188" s="130" t="s">
        <v>5812</v>
      </c>
      <c r="D4188">
        <v>35685</v>
      </c>
      <c r="E4188" s="131">
        <v>29390958</v>
      </c>
      <c r="F4188" t="s">
        <v>113</v>
      </c>
      <c r="G4188">
        <v>76</v>
      </c>
      <c r="H4188" t="s">
        <v>8952</v>
      </c>
      <c r="I4188" s="130">
        <v>24</v>
      </c>
      <c r="J4188" t="s">
        <v>5812</v>
      </c>
      <c r="K4188" t="s">
        <v>108</v>
      </c>
      <c r="L4188" t="s">
        <v>191</v>
      </c>
      <c r="M4188" t="s">
        <v>137</v>
      </c>
      <c r="N4188" t="s">
        <v>114</v>
      </c>
      <c r="O4188" t="s">
        <v>1256</v>
      </c>
    </row>
    <row r="4189" spans="1:15" x14ac:dyDescent="0.3">
      <c r="A4189" s="130">
        <v>23421</v>
      </c>
      <c r="B4189" s="130">
        <v>45</v>
      </c>
      <c r="C4189" s="130" t="s">
        <v>5813</v>
      </c>
      <c r="D4189">
        <v>35688</v>
      </c>
      <c r="E4189" s="131">
        <v>18238980</v>
      </c>
      <c r="F4189" t="s">
        <v>87</v>
      </c>
      <c r="G4189">
        <v>76</v>
      </c>
      <c r="H4189" t="s">
        <v>8953</v>
      </c>
      <c r="I4189" s="131">
        <v>24</v>
      </c>
      <c r="J4189" t="s">
        <v>5813</v>
      </c>
      <c r="K4189" t="s">
        <v>95</v>
      </c>
      <c r="L4189" t="s">
        <v>191</v>
      </c>
      <c r="M4189" t="s">
        <v>106</v>
      </c>
      <c r="N4189" t="s">
        <v>124</v>
      </c>
      <c r="O4189" t="s">
        <v>116</v>
      </c>
    </row>
    <row r="4190" spans="1:15" x14ac:dyDescent="0.3">
      <c r="A4190" s="130">
        <v>23427</v>
      </c>
      <c r="B4190" s="130">
        <v>18</v>
      </c>
      <c r="C4190" s="130" t="s">
        <v>5814</v>
      </c>
      <c r="D4190">
        <v>35703</v>
      </c>
      <c r="E4190" s="130">
        <v>11342709</v>
      </c>
      <c r="F4190" t="s">
        <v>87</v>
      </c>
      <c r="G4190">
        <v>76</v>
      </c>
      <c r="H4190" t="s">
        <v>8951</v>
      </c>
      <c r="I4190" s="130">
        <v>10</v>
      </c>
      <c r="J4190" t="s">
        <v>5814</v>
      </c>
      <c r="K4190" t="s">
        <v>108</v>
      </c>
      <c r="L4190" t="s">
        <v>127</v>
      </c>
      <c r="M4190" t="s">
        <v>112</v>
      </c>
      <c r="N4190" t="s">
        <v>118</v>
      </c>
      <c r="O4190" t="s">
        <v>116</v>
      </c>
    </row>
    <row r="4191" spans="1:15" x14ac:dyDescent="0.3">
      <c r="A4191" s="130">
        <v>23430</v>
      </c>
      <c r="B4191" s="130">
        <v>10</v>
      </c>
      <c r="C4191" s="130" t="s">
        <v>5815</v>
      </c>
      <c r="D4191">
        <v>35708</v>
      </c>
      <c r="E4191" s="130">
        <v>60863404</v>
      </c>
      <c r="F4191" t="s">
        <v>87</v>
      </c>
      <c r="G4191">
        <v>76</v>
      </c>
      <c r="H4191" t="s">
        <v>8952</v>
      </c>
      <c r="I4191" s="130">
        <v>3</v>
      </c>
      <c r="J4191" t="s">
        <v>5815</v>
      </c>
      <c r="K4191" t="s">
        <v>108</v>
      </c>
      <c r="L4191" t="s">
        <v>153</v>
      </c>
      <c r="M4191" t="s">
        <v>133</v>
      </c>
      <c r="N4191" t="s">
        <v>98</v>
      </c>
      <c r="O4191" t="s">
        <v>1345</v>
      </c>
    </row>
    <row r="4192" spans="1:15" x14ac:dyDescent="0.3">
      <c r="A4192" s="130">
        <v>23433</v>
      </c>
      <c r="B4192" s="130">
        <v>30</v>
      </c>
      <c r="C4192" s="130" t="s">
        <v>5816</v>
      </c>
      <c r="D4192">
        <v>35713</v>
      </c>
      <c r="E4192" s="130">
        <v>38696365</v>
      </c>
      <c r="F4192" t="s">
        <v>87</v>
      </c>
      <c r="G4192">
        <v>32947</v>
      </c>
      <c r="H4192" t="s">
        <v>8953</v>
      </c>
      <c r="I4192" s="131">
        <v>18</v>
      </c>
      <c r="J4192" t="s">
        <v>5816</v>
      </c>
      <c r="K4192" t="s">
        <v>108</v>
      </c>
      <c r="L4192" t="s">
        <v>193</v>
      </c>
      <c r="M4192" t="s">
        <v>103</v>
      </c>
      <c r="N4192" t="s">
        <v>98</v>
      </c>
      <c r="O4192" t="s">
        <v>116</v>
      </c>
    </row>
    <row r="4193" spans="1:15" x14ac:dyDescent="0.3">
      <c r="A4193" s="130">
        <v>23434</v>
      </c>
      <c r="B4193" s="130">
        <v>30</v>
      </c>
      <c r="C4193" s="130" t="s">
        <v>5817</v>
      </c>
      <c r="D4193">
        <v>35714</v>
      </c>
      <c r="E4193" s="130">
        <v>44265587</v>
      </c>
      <c r="F4193" t="s">
        <v>87</v>
      </c>
      <c r="G4193">
        <v>77</v>
      </c>
      <c r="H4193" t="s">
        <v>8951</v>
      </c>
      <c r="I4193" s="130">
        <v>3</v>
      </c>
      <c r="J4193" t="s">
        <v>5817</v>
      </c>
      <c r="K4193" t="s">
        <v>95</v>
      </c>
      <c r="L4193" t="s">
        <v>256</v>
      </c>
      <c r="M4193" t="s">
        <v>103</v>
      </c>
      <c r="N4193" t="s">
        <v>98</v>
      </c>
      <c r="O4193" t="s">
        <v>116</v>
      </c>
    </row>
    <row r="4194" spans="1:15" x14ac:dyDescent="0.3">
      <c r="A4194" s="130">
        <v>23437</v>
      </c>
      <c r="B4194" s="130">
        <v>30</v>
      </c>
      <c r="C4194" s="130" t="s">
        <v>5818</v>
      </c>
      <c r="D4194">
        <v>35721</v>
      </c>
      <c r="E4194" s="131">
        <v>27799059</v>
      </c>
      <c r="F4194" t="s">
        <v>87</v>
      </c>
      <c r="G4194">
        <v>76</v>
      </c>
      <c r="H4194" t="s">
        <v>8952</v>
      </c>
      <c r="I4194" s="130">
        <v>38</v>
      </c>
      <c r="J4194" t="s">
        <v>5818</v>
      </c>
      <c r="K4194" t="s">
        <v>108</v>
      </c>
      <c r="L4194" t="s">
        <v>126</v>
      </c>
      <c r="M4194" t="s">
        <v>103</v>
      </c>
      <c r="N4194" t="s">
        <v>98</v>
      </c>
      <c r="O4194" t="s">
        <v>1345</v>
      </c>
    </row>
    <row r="4195" spans="1:15" x14ac:dyDescent="0.3">
      <c r="A4195" s="130">
        <v>23438</v>
      </c>
      <c r="B4195" s="130" t="s">
        <v>175</v>
      </c>
      <c r="C4195" s="130" t="s">
        <v>5819</v>
      </c>
      <c r="D4195">
        <v>35722</v>
      </c>
      <c r="E4195" s="131">
        <v>38209271</v>
      </c>
      <c r="F4195" t="s">
        <v>87</v>
      </c>
      <c r="G4195">
        <v>32947</v>
      </c>
      <c r="H4195" t="s">
        <v>8953</v>
      </c>
      <c r="I4195" s="130">
        <v>43</v>
      </c>
      <c r="J4195" t="s">
        <v>5819</v>
      </c>
      <c r="K4195" t="s">
        <v>95</v>
      </c>
      <c r="L4195" t="s">
        <v>111</v>
      </c>
      <c r="M4195" t="s">
        <v>176</v>
      </c>
      <c r="N4195" t="s">
        <v>150</v>
      </c>
      <c r="O4195" t="s">
        <v>116</v>
      </c>
    </row>
    <row r="4196" spans="1:15" x14ac:dyDescent="0.3">
      <c r="A4196" s="130">
        <v>23446</v>
      </c>
      <c r="B4196" s="130" t="s">
        <v>135</v>
      </c>
      <c r="C4196" s="130" t="s">
        <v>5820</v>
      </c>
      <c r="D4196">
        <v>35730</v>
      </c>
      <c r="E4196" s="130">
        <v>83646547</v>
      </c>
      <c r="F4196" t="s">
        <v>87</v>
      </c>
      <c r="G4196">
        <v>358</v>
      </c>
      <c r="H4196" t="s">
        <v>8951</v>
      </c>
      <c r="I4196" s="130">
        <v>10</v>
      </c>
      <c r="J4196" t="s">
        <v>5820</v>
      </c>
      <c r="K4196" t="s">
        <v>95</v>
      </c>
      <c r="L4196" t="s">
        <v>111</v>
      </c>
      <c r="M4196" t="s">
        <v>136</v>
      </c>
      <c r="N4196" t="s">
        <v>98</v>
      </c>
      <c r="O4196" t="s">
        <v>116</v>
      </c>
    </row>
    <row r="4197" spans="1:15" x14ac:dyDescent="0.3">
      <c r="A4197" s="130">
        <v>23448</v>
      </c>
      <c r="B4197" s="130">
        <v>-1</v>
      </c>
      <c r="C4197" s="130" t="s">
        <v>5821</v>
      </c>
      <c r="D4197">
        <v>35732</v>
      </c>
      <c r="E4197" s="130">
        <v>1162410</v>
      </c>
      <c r="F4197" t="s">
        <v>87</v>
      </c>
      <c r="G4197">
        <v>76</v>
      </c>
      <c r="H4197" t="s">
        <v>8952</v>
      </c>
      <c r="I4197" s="130">
        <v>3</v>
      </c>
      <c r="J4197" t="s">
        <v>5821</v>
      </c>
      <c r="K4197" t="s">
        <v>108</v>
      </c>
      <c r="L4197" t="s">
        <v>153</v>
      </c>
      <c r="M4197" t="s">
        <v>174</v>
      </c>
      <c r="N4197" t="s">
        <v>152</v>
      </c>
      <c r="O4197" t="s">
        <v>1256</v>
      </c>
    </row>
    <row r="4198" spans="1:15" x14ac:dyDescent="0.3">
      <c r="A4198" s="130">
        <v>23455</v>
      </c>
      <c r="B4198" s="130">
        <v>21</v>
      </c>
      <c r="C4198" s="130" t="s">
        <v>5822</v>
      </c>
      <c r="D4198">
        <v>35751</v>
      </c>
      <c r="E4198" s="130">
        <v>9143441</v>
      </c>
      <c r="F4198" t="s">
        <v>87</v>
      </c>
      <c r="G4198">
        <v>76</v>
      </c>
      <c r="H4198" t="s">
        <v>8953</v>
      </c>
      <c r="I4198" s="131">
        <v>24</v>
      </c>
      <c r="J4198" t="s">
        <v>5822</v>
      </c>
      <c r="K4198" t="s">
        <v>108</v>
      </c>
      <c r="L4198" t="s">
        <v>191</v>
      </c>
      <c r="M4198" t="s">
        <v>137</v>
      </c>
      <c r="N4198" t="s">
        <v>98</v>
      </c>
      <c r="O4198" t="s">
        <v>116</v>
      </c>
    </row>
    <row r="4199" spans="1:15" x14ac:dyDescent="0.3">
      <c r="A4199" s="130">
        <v>23458</v>
      </c>
      <c r="B4199" s="130" t="s">
        <v>175</v>
      </c>
      <c r="C4199" s="130" t="s">
        <v>5823</v>
      </c>
      <c r="D4199">
        <v>35771</v>
      </c>
      <c r="E4199" s="130">
        <v>38209271</v>
      </c>
      <c r="F4199" t="s">
        <v>87</v>
      </c>
      <c r="G4199">
        <v>76</v>
      </c>
      <c r="H4199" t="s">
        <v>8951</v>
      </c>
      <c r="I4199" s="130">
        <v>43</v>
      </c>
      <c r="J4199" t="s">
        <v>5823</v>
      </c>
      <c r="K4199" t="s">
        <v>108</v>
      </c>
      <c r="L4199" t="s">
        <v>159</v>
      </c>
      <c r="M4199" t="s">
        <v>176</v>
      </c>
      <c r="N4199" t="s">
        <v>150</v>
      </c>
      <c r="O4199" t="s">
        <v>1256</v>
      </c>
    </row>
    <row r="4200" spans="1:15" x14ac:dyDescent="0.3">
      <c r="A4200" s="130">
        <v>23460</v>
      </c>
      <c r="B4200" s="130">
        <v>21</v>
      </c>
      <c r="C4200" s="130" t="s">
        <v>5824</v>
      </c>
      <c r="D4200">
        <v>35773</v>
      </c>
      <c r="E4200" s="130">
        <v>2390435</v>
      </c>
      <c r="F4200" t="s">
        <v>87</v>
      </c>
      <c r="G4200">
        <v>76</v>
      </c>
      <c r="H4200" t="s">
        <v>8952</v>
      </c>
      <c r="I4200" s="130">
        <v>24</v>
      </c>
      <c r="J4200" t="s">
        <v>5824</v>
      </c>
      <c r="K4200" t="s">
        <v>108</v>
      </c>
      <c r="L4200" t="s">
        <v>240</v>
      </c>
      <c r="M4200" t="s">
        <v>137</v>
      </c>
      <c r="N4200" t="s">
        <v>122</v>
      </c>
      <c r="O4200" t="s">
        <v>116</v>
      </c>
    </row>
    <row r="4201" spans="1:15" x14ac:dyDescent="0.3">
      <c r="A4201" s="130">
        <v>23483</v>
      </c>
      <c r="B4201" s="130">
        <v>0</v>
      </c>
      <c r="C4201" s="130" t="s">
        <v>5825</v>
      </c>
      <c r="D4201">
        <v>35813</v>
      </c>
      <c r="E4201" s="130">
        <v>46134373</v>
      </c>
      <c r="F4201" t="s">
        <v>87</v>
      </c>
      <c r="G4201">
        <v>76</v>
      </c>
      <c r="H4201" t="s">
        <v>8953</v>
      </c>
      <c r="I4201" s="131">
        <v>37</v>
      </c>
      <c r="J4201" t="s">
        <v>5825</v>
      </c>
      <c r="K4201" t="s">
        <v>108</v>
      </c>
      <c r="L4201" t="s">
        <v>138</v>
      </c>
      <c r="M4201" t="s">
        <v>100</v>
      </c>
      <c r="N4201" t="s">
        <v>152</v>
      </c>
      <c r="O4201" t="s">
        <v>1345</v>
      </c>
    </row>
    <row r="4202" spans="1:15" x14ac:dyDescent="0.3">
      <c r="A4202" s="130">
        <v>23485</v>
      </c>
      <c r="B4202" s="130">
        <v>45</v>
      </c>
      <c r="C4202" s="130" t="s">
        <v>5826</v>
      </c>
      <c r="D4202">
        <v>35814</v>
      </c>
      <c r="E4202" s="131">
        <v>10736565</v>
      </c>
      <c r="F4202" t="s">
        <v>87</v>
      </c>
      <c r="G4202">
        <v>76</v>
      </c>
      <c r="H4202" t="s">
        <v>8951</v>
      </c>
      <c r="I4202" s="131">
        <v>9</v>
      </c>
      <c r="J4202" t="s">
        <v>5826</v>
      </c>
      <c r="K4202" t="s">
        <v>95</v>
      </c>
      <c r="L4202" t="s">
        <v>163</v>
      </c>
      <c r="M4202" t="s">
        <v>106</v>
      </c>
      <c r="N4202" t="s">
        <v>114</v>
      </c>
      <c r="O4202" t="s">
        <v>116</v>
      </c>
    </row>
    <row r="4203" spans="1:15" x14ac:dyDescent="0.3">
      <c r="A4203" s="130">
        <v>23490</v>
      </c>
      <c r="B4203" s="130">
        <v>0</v>
      </c>
      <c r="C4203" s="130" t="s">
        <v>5827</v>
      </c>
      <c r="D4203">
        <v>35823</v>
      </c>
      <c r="E4203" s="130">
        <v>23921007</v>
      </c>
      <c r="F4203" t="s">
        <v>87</v>
      </c>
      <c r="G4203">
        <v>76</v>
      </c>
      <c r="H4203" t="s">
        <v>8952</v>
      </c>
      <c r="I4203" s="130">
        <v>3</v>
      </c>
      <c r="J4203" t="s">
        <v>5827</v>
      </c>
      <c r="K4203" t="s">
        <v>108</v>
      </c>
      <c r="L4203" t="s">
        <v>153</v>
      </c>
      <c r="M4203" t="s">
        <v>100</v>
      </c>
      <c r="N4203" t="s">
        <v>98</v>
      </c>
      <c r="O4203" t="s">
        <v>1256</v>
      </c>
    </row>
    <row r="4204" spans="1:15" x14ac:dyDescent="0.3">
      <c r="A4204" s="130">
        <v>23491</v>
      </c>
      <c r="B4204" s="130">
        <v>10</v>
      </c>
      <c r="C4204" s="130" t="s">
        <v>5828</v>
      </c>
      <c r="D4204">
        <v>35824</v>
      </c>
      <c r="E4204" s="130">
        <v>26424009</v>
      </c>
      <c r="F4204" t="s">
        <v>87</v>
      </c>
      <c r="G4204">
        <v>76</v>
      </c>
      <c r="H4204" t="s">
        <v>8953</v>
      </c>
      <c r="I4204" s="130">
        <v>3</v>
      </c>
      <c r="J4204" t="s">
        <v>5828</v>
      </c>
      <c r="K4204" t="s">
        <v>108</v>
      </c>
      <c r="L4204" t="s">
        <v>111</v>
      </c>
      <c r="M4204" t="s">
        <v>133</v>
      </c>
      <c r="N4204" t="s">
        <v>98</v>
      </c>
      <c r="O4204" t="s">
        <v>116</v>
      </c>
    </row>
    <row r="4205" spans="1:15" x14ac:dyDescent="0.3">
      <c r="A4205" s="130">
        <v>23495</v>
      </c>
      <c r="B4205" s="130">
        <v>10</v>
      </c>
      <c r="C4205" s="130" t="s">
        <v>5829</v>
      </c>
      <c r="D4205">
        <v>35697</v>
      </c>
      <c r="E4205" s="130">
        <v>886257</v>
      </c>
      <c r="F4205" t="s">
        <v>87</v>
      </c>
      <c r="G4205">
        <v>76</v>
      </c>
      <c r="H4205" t="s">
        <v>8951</v>
      </c>
      <c r="I4205" s="130">
        <v>3</v>
      </c>
      <c r="J4205" t="s">
        <v>5829</v>
      </c>
      <c r="K4205" t="s">
        <v>108</v>
      </c>
      <c r="L4205" t="s">
        <v>109</v>
      </c>
      <c r="M4205" t="s">
        <v>133</v>
      </c>
      <c r="N4205" t="s">
        <v>114</v>
      </c>
      <c r="O4205" t="s">
        <v>116</v>
      </c>
    </row>
    <row r="4206" spans="1:15" x14ac:dyDescent="0.3">
      <c r="A4206" s="130">
        <v>23496</v>
      </c>
      <c r="B4206" s="130">
        <v>28</v>
      </c>
      <c r="C4206" s="130" t="s">
        <v>5830</v>
      </c>
      <c r="D4206">
        <v>35786</v>
      </c>
      <c r="E4206" s="130">
        <v>33841727</v>
      </c>
      <c r="F4206" t="s">
        <v>87</v>
      </c>
      <c r="G4206">
        <v>76</v>
      </c>
      <c r="H4206" t="s">
        <v>8952</v>
      </c>
      <c r="I4206" s="130">
        <v>18</v>
      </c>
      <c r="J4206" t="s">
        <v>5830</v>
      </c>
      <c r="K4206" t="s">
        <v>108</v>
      </c>
      <c r="L4206" t="s">
        <v>253</v>
      </c>
      <c r="M4206" t="s">
        <v>130</v>
      </c>
      <c r="N4206" t="s">
        <v>98</v>
      </c>
      <c r="O4206" t="s">
        <v>1256</v>
      </c>
    </row>
    <row r="4207" spans="1:15" x14ac:dyDescent="0.3">
      <c r="A4207" s="130">
        <v>23506</v>
      </c>
      <c r="B4207" s="130">
        <v>28</v>
      </c>
      <c r="C4207" s="130" t="s">
        <v>5831</v>
      </c>
      <c r="D4207">
        <v>35845</v>
      </c>
      <c r="E4207" s="130">
        <v>35002300</v>
      </c>
      <c r="F4207" t="s">
        <v>87</v>
      </c>
      <c r="G4207">
        <v>76</v>
      </c>
      <c r="H4207" t="s">
        <v>8953</v>
      </c>
      <c r="I4207" s="130">
        <v>37</v>
      </c>
      <c r="J4207" t="s">
        <v>5831</v>
      </c>
      <c r="K4207" t="s">
        <v>95</v>
      </c>
      <c r="L4207" t="s">
        <v>138</v>
      </c>
      <c r="M4207" t="s">
        <v>130</v>
      </c>
      <c r="N4207" t="s">
        <v>150</v>
      </c>
      <c r="O4207" t="s">
        <v>116</v>
      </c>
    </row>
    <row r="4208" spans="1:15" x14ac:dyDescent="0.3">
      <c r="A4208" s="130">
        <v>23514</v>
      </c>
      <c r="B4208" s="130">
        <v>10</v>
      </c>
      <c r="C4208" s="130" t="s">
        <v>5832</v>
      </c>
      <c r="D4208">
        <v>35863</v>
      </c>
      <c r="E4208" s="130">
        <v>5802590</v>
      </c>
      <c r="F4208" t="s">
        <v>87</v>
      </c>
      <c r="G4208">
        <v>76</v>
      </c>
      <c r="H4208" t="s">
        <v>8951</v>
      </c>
      <c r="I4208" s="131">
        <v>9</v>
      </c>
      <c r="J4208" t="s">
        <v>5832</v>
      </c>
      <c r="K4208" t="s">
        <v>95</v>
      </c>
      <c r="L4208" t="s">
        <v>163</v>
      </c>
      <c r="M4208" t="s">
        <v>133</v>
      </c>
      <c r="N4208" t="s">
        <v>98</v>
      </c>
      <c r="O4208" t="s">
        <v>116</v>
      </c>
    </row>
    <row r="4209" spans="1:15" x14ac:dyDescent="0.3">
      <c r="A4209" s="130">
        <v>23517</v>
      </c>
      <c r="B4209" s="130">
        <v>30</v>
      </c>
      <c r="C4209" s="130" t="s">
        <v>5833</v>
      </c>
      <c r="D4209">
        <v>35870</v>
      </c>
      <c r="E4209" s="131">
        <v>3672857</v>
      </c>
      <c r="F4209" t="s">
        <v>87</v>
      </c>
      <c r="G4209">
        <v>76</v>
      </c>
      <c r="H4209" t="s">
        <v>8952</v>
      </c>
      <c r="I4209" s="131">
        <v>9</v>
      </c>
      <c r="J4209" t="s">
        <v>5833</v>
      </c>
      <c r="K4209" t="s">
        <v>108</v>
      </c>
      <c r="L4209" t="s">
        <v>181</v>
      </c>
      <c r="M4209" t="s">
        <v>103</v>
      </c>
      <c r="N4209" t="s">
        <v>98</v>
      </c>
      <c r="O4209" t="s">
        <v>116</v>
      </c>
    </row>
    <row r="4210" spans="1:15" x14ac:dyDescent="0.3">
      <c r="A4210" s="130">
        <v>23518</v>
      </c>
      <c r="B4210" s="130">
        <v>7</v>
      </c>
      <c r="C4210" s="130" t="s">
        <v>5834</v>
      </c>
      <c r="D4210">
        <v>35873</v>
      </c>
      <c r="E4210" s="130">
        <v>11102435</v>
      </c>
      <c r="F4210" t="s">
        <v>87</v>
      </c>
      <c r="G4210">
        <v>76</v>
      </c>
      <c r="H4210" t="s">
        <v>8953</v>
      </c>
      <c r="I4210" s="130">
        <v>37</v>
      </c>
      <c r="J4210" t="s">
        <v>5834</v>
      </c>
      <c r="K4210" t="s">
        <v>108</v>
      </c>
      <c r="L4210" t="s">
        <v>138</v>
      </c>
      <c r="M4210" t="s">
        <v>197</v>
      </c>
      <c r="N4210" t="s">
        <v>150</v>
      </c>
      <c r="O4210" t="s">
        <v>1345</v>
      </c>
    </row>
    <row r="4211" spans="1:15" x14ac:dyDescent="0.3">
      <c r="A4211" s="130">
        <v>23526</v>
      </c>
      <c r="B4211" s="130">
        <v>10</v>
      </c>
      <c r="C4211" s="130" t="s">
        <v>5835</v>
      </c>
      <c r="D4211">
        <v>35896</v>
      </c>
      <c r="E4211" s="130">
        <v>7994158</v>
      </c>
      <c r="F4211" t="s">
        <v>87</v>
      </c>
      <c r="G4211">
        <v>358</v>
      </c>
      <c r="H4211" t="s">
        <v>8951</v>
      </c>
      <c r="I4211" s="130">
        <v>9</v>
      </c>
      <c r="J4211" t="s">
        <v>5835</v>
      </c>
      <c r="K4211" t="s">
        <v>95</v>
      </c>
      <c r="L4211" t="s">
        <v>105</v>
      </c>
      <c r="M4211" t="s">
        <v>133</v>
      </c>
      <c r="N4211" t="s">
        <v>98</v>
      </c>
      <c r="O4211" t="s">
        <v>116</v>
      </c>
    </row>
    <row r="4212" spans="1:15" x14ac:dyDescent="0.3">
      <c r="A4212" s="130">
        <v>23528</v>
      </c>
      <c r="B4212" s="130">
        <v>30</v>
      </c>
      <c r="C4212" s="130" t="s">
        <v>5836</v>
      </c>
      <c r="D4212">
        <v>35901</v>
      </c>
      <c r="E4212" s="131">
        <v>16622284</v>
      </c>
      <c r="F4212" t="s">
        <v>87</v>
      </c>
      <c r="G4212">
        <v>76</v>
      </c>
      <c r="H4212" t="s">
        <v>8952</v>
      </c>
      <c r="I4212" s="130">
        <v>10</v>
      </c>
      <c r="J4212" t="s">
        <v>5836</v>
      </c>
      <c r="K4212" t="s">
        <v>95</v>
      </c>
      <c r="L4212" t="s">
        <v>111</v>
      </c>
      <c r="M4212" t="s">
        <v>103</v>
      </c>
      <c r="N4212" t="s">
        <v>114</v>
      </c>
      <c r="O4212" t="s">
        <v>1345</v>
      </c>
    </row>
    <row r="4213" spans="1:15" x14ac:dyDescent="0.3">
      <c r="A4213" s="130">
        <v>23529</v>
      </c>
      <c r="B4213" s="130">
        <v>30</v>
      </c>
      <c r="C4213" s="130" t="s">
        <v>5837</v>
      </c>
      <c r="D4213">
        <v>35905</v>
      </c>
      <c r="E4213" s="130">
        <v>34359912</v>
      </c>
      <c r="F4213" t="s">
        <v>87</v>
      </c>
      <c r="G4213">
        <v>76</v>
      </c>
      <c r="H4213" t="s">
        <v>8953</v>
      </c>
      <c r="I4213" s="130">
        <v>38</v>
      </c>
      <c r="J4213" t="s">
        <v>5837</v>
      </c>
      <c r="K4213" t="s">
        <v>108</v>
      </c>
      <c r="L4213" t="s">
        <v>126</v>
      </c>
      <c r="M4213" t="s">
        <v>103</v>
      </c>
      <c r="N4213" t="s">
        <v>98</v>
      </c>
      <c r="O4213" t="s">
        <v>116</v>
      </c>
    </row>
    <row r="4214" spans="1:15" x14ac:dyDescent="0.3">
      <c r="A4214" s="130">
        <v>23536</v>
      </c>
      <c r="B4214" s="130">
        <v>30</v>
      </c>
      <c r="C4214" s="130" t="s">
        <v>5838</v>
      </c>
      <c r="D4214">
        <v>35914</v>
      </c>
      <c r="E4214" s="130">
        <v>7336695</v>
      </c>
      <c r="F4214" t="s">
        <v>87</v>
      </c>
      <c r="G4214">
        <v>358</v>
      </c>
      <c r="H4214" t="s">
        <v>8951</v>
      </c>
      <c r="I4214" s="131">
        <v>10</v>
      </c>
      <c r="J4214" t="s">
        <v>5838</v>
      </c>
      <c r="K4214" t="s">
        <v>95</v>
      </c>
      <c r="L4214" t="s">
        <v>105</v>
      </c>
      <c r="M4214" t="s">
        <v>103</v>
      </c>
      <c r="N4214" t="s">
        <v>98</v>
      </c>
      <c r="O4214" t="s">
        <v>116</v>
      </c>
    </row>
    <row r="4215" spans="1:15" x14ac:dyDescent="0.3">
      <c r="A4215" s="130">
        <v>23538</v>
      </c>
      <c r="B4215" s="130">
        <v>-1</v>
      </c>
      <c r="C4215" s="130" t="s">
        <v>5839</v>
      </c>
      <c r="D4215">
        <v>35917</v>
      </c>
      <c r="E4215" s="130">
        <v>39315569</v>
      </c>
      <c r="F4215" t="s">
        <v>87</v>
      </c>
      <c r="G4215">
        <v>76</v>
      </c>
      <c r="H4215" t="s">
        <v>8952</v>
      </c>
      <c r="I4215" s="130">
        <v>26</v>
      </c>
      <c r="J4215" t="s">
        <v>5839</v>
      </c>
      <c r="K4215" t="s">
        <v>108</v>
      </c>
      <c r="L4215" t="s">
        <v>151</v>
      </c>
      <c r="M4215" t="s">
        <v>174</v>
      </c>
      <c r="N4215" t="s">
        <v>98</v>
      </c>
      <c r="O4215" t="s">
        <v>1345</v>
      </c>
    </row>
    <row r="4216" spans="1:15" x14ac:dyDescent="0.3">
      <c r="A4216" s="130">
        <v>23539</v>
      </c>
      <c r="B4216" s="130">
        <v>30</v>
      </c>
      <c r="C4216" s="130" t="s">
        <v>5840</v>
      </c>
      <c r="D4216">
        <v>35916</v>
      </c>
      <c r="E4216" s="131">
        <v>13623957</v>
      </c>
      <c r="F4216" t="s">
        <v>87</v>
      </c>
      <c r="G4216">
        <v>76</v>
      </c>
      <c r="H4216" t="s">
        <v>8953</v>
      </c>
      <c r="I4216" s="130">
        <v>3</v>
      </c>
      <c r="J4216" t="s">
        <v>5840</v>
      </c>
      <c r="K4216" t="s">
        <v>95</v>
      </c>
      <c r="L4216" t="s">
        <v>123</v>
      </c>
      <c r="M4216" t="s">
        <v>103</v>
      </c>
      <c r="N4216" t="s">
        <v>98</v>
      </c>
      <c r="O4216" t="s">
        <v>116</v>
      </c>
    </row>
    <row r="4217" spans="1:15" x14ac:dyDescent="0.3">
      <c r="A4217" s="130">
        <v>23550</v>
      </c>
      <c r="B4217" s="130">
        <v>10</v>
      </c>
      <c r="C4217" s="130" t="s">
        <v>5841</v>
      </c>
      <c r="D4217">
        <v>35924</v>
      </c>
      <c r="E4217" s="130">
        <v>331788</v>
      </c>
      <c r="F4217" t="s">
        <v>87</v>
      </c>
      <c r="G4217">
        <v>76</v>
      </c>
      <c r="H4217" t="s">
        <v>8951</v>
      </c>
      <c r="I4217" s="130">
        <v>3</v>
      </c>
      <c r="J4217" t="s">
        <v>5841</v>
      </c>
      <c r="K4217" t="s">
        <v>108</v>
      </c>
      <c r="L4217" t="s">
        <v>925</v>
      </c>
      <c r="M4217" t="s">
        <v>133</v>
      </c>
      <c r="N4217" t="s">
        <v>114</v>
      </c>
      <c r="O4217" t="s">
        <v>1256</v>
      </c>
    </row>
    <row r="4218" spans="1:15" x14ac:dyDescent="0.3">
      <c r="A4218" s="130">
        <v>23563</v>
      </c>
      <c r="B4218" s="130">
        <v>30</v>
      </c>
      <c r="C4218" s="130" t="s">
        <v>5842</v>
      </c>
      <c r="D4218">
        <v>35950</v>
      </c>
      <c r="E4218" s="130">
        <v>67844183</v>
      </c>
      <c r="F4218" t="s">
        <v>87</v>
      </c>
      <c r="G4218">
        <v>76</v>
      </c>
      <c r="H4218" t="s">
        <v>8952</v>
      </c>
      <c r="I4218" s="130">
        <v>19</v>
      </c>
      <c r="J4218" t="s">
        <v>5842</v>
      </c>
      <c r="K4218" t="s">
        <v>95</v>
      </c>
      <c r="L4218" t="s">
        <v>252</v>
      </c>
      <c r="M4218" t="s">
        <v>103</v>
      </c>
      <c r="N4218" t="s">
        <v>98</v>
      </c>
      <c r="O4218" t="s">
        <v>116</v>
      </c>
    </row>
    <row r="4219" spans="1:15" x14ac:dyDescent="0.3">
      <c r="A4219" s="130">
        <v>23575</v>
      </c>
      <c r="B4219" s="130">
        <v>30</v>
      </c>
      <c r="C4219" s="130" t="s">
        <v>5843</v>
      </c>
      <c r="D4219">
        <v>35968</v>
      </c>
      <c r="E4219" s="130">
        <v>532740</v>
      </c>
      <c r="F4219" t="s">
        <v>87</v>
      </c>
      <c r="G4219">
        <v>76</v>
      </c>
      <c r="H4219" t="s">
        <v>8953</v>
      </c>
      <c r="I4219" s="130">
        <v>3</v>
      </c>
      <c r="J4219" t="s">
        <v>5843</v>
      </c>
      <c r="K4219" t="s">
        <v>95</v>
      </c>
      <c r="L4219" t="s">
        <v>111</v>
      </c>
      <c r="M4219" t="s">
        <v>103</v>
      </c>
      <c r="N4219" t="s">
        <v>98</v>
      </c>
      <c r="O4219" t="s">
        <v>1345</v>
      </c>
    </row>
    <row r="4220" spans="1:15" x14ac:dyDescent="0.3">
      <c r="A4220" s="130">
        <v>23582</v>
      </c>
      <c r="B4220" s="130">
        <v>10</v>
      </c>
      <c r="C4220" s="130" t="s">
        <v>5844</v>
      </c>
      <c r="D4220">
        <v>35946</v>
      </c>
      <c r="E4220" s="130">
        <v>24371374</v>
      </c>
      <c r="F4220" t="s">
        <v>113</v>
      </c>
      <c r="G4220">
        <v>76</v>
      </c>
      <c r="H4220" t="s">
        <v>8951</v>
      </c>
      <c r="I4220" s="131">
        <v>3</v>
      </c>
      <c r="J4220" t="s">
        <v>5844</v>
      </c>
      <c r="K4220" t="s">
        <v>108</v>
      </c>
      <c r="L4220" t="s">
        <v>925</v>
      </c>
      <c r="M4220" t="s">
        <v>133</v>
      </c>
      <c r="N4220" t="s">
        <v>98</v>
      </c>
      <c r="O4220" t="s">
        <v>1256</v>
      </c>
    </row>
    <row r="4221" spans="1:15" x14ac:dyDescent="0.3">
      <c r="A4221" s="130">
        <v>23584</v>
      </c>
      <c r="B4221" s="131">
        <v>20</v>
      </c>
      <c r="C4221" s="130" t="s">
        <v>5845</v>
      </c>
      <c r="D4221">
        <v>35991</v>
      </c>
      <c r="E4221" s="131">
        <v>11969639</v>
      </c>
      <c r="F4221" t="s">
        <v>87</v>
      </c>
      <c r="G4221">
        <v>76</v>
      </c>
      <c r="H4221" t="s">
        <v>8952</v>
      </c>
      <c r="I4221" s="130">
        <v>19</v>
      </c>
      <c r="J4221" t="s">
        <v>5845</v>
      </c>
      <c r="K4221" t="s">
        <v>108</v>
      </c>
      <c r="L4221" t="s">
        <v>252</v>
      </c>
      <c r="M4221" t="s">
        <v>148</v>
      </c>
      <c r="N4221" t="s">
        <v>98</v>
      </c>
      <c r="O4221" t="s">
        <v>244</v>
      </c>
    </row>
    <row r="4222" spans="1:15" x14ac:dyDescent="0.3">
      <c r="A4222" s="130">
        <v>23585</v>
      </c>
      <c r="B4222" s="130">
        <v>10</v>
      </c>
      <c r="C4222" s="130" t="s">
        <v>5846</v>
      </c>
      <c r="D4222">
        <v>35992</v>
      </c>
      <c r="E4222" s="130">
        <v>71218598</v>
      </c>
      <c r="F4222" t="s">
        <v>87</v>
      </c>
      <c r="G4222">
        <v>76</v>
      </c>
      <c r="H4222" t="s">
        <v>8953</v>
      </c>
      <c r="I4222" s="131">
        <v>3</v>
      </c>
      <c r="J4222" t="s">
        <v>5846</v>
      </c>
      <c r="K4222" t="s">
        <v>108</v>
      </c>
      <c r="L4222" t="s">
        <v>120</v>
      </c>
      <c r="M4222" t="s">
        <v>133</v>
      </c>
      <c r="N4222" t="s">
        <v>98</v>
      </c>
      <c r="O4222" t="s">
        <v>1345</v>
      </c>
    </row>
    <row r="4223" spans="1:15" x14ac:dyDescent="0.3">
      <c r="A4223" s="130">
        <v>23586</v>
      </c>
      <c r="B4223" s="130">
        <v>20</v>
      </c>
      <c r="C4223" s="130" t="s">
        <v>5847</v>
      </c>
      <c r="D4223">
        <v>35993</v>
      </c>
      <c r="E4223" s="130">
        <v>32243883</v>
      </c>
      <c r="F4223" t="s">
        <v>113</v>
      </c>
      <c r="G4223">
        <v>76</v>
      </c>
      <c r="H4223" t="s">
        <v>8951</v>
      </c>
      <c r="I4223" s="130">
        <v>19</v>
      </c>
      <c r="J4223" t="s">
        <v>5847</v>
      </c>
      <c r="K4223" t="s">
        <v>108</v>
      </c>
      <c r="L4223" t="s">
        <v>252</v>
      </c>
      <c r="M4223" t="s">
        <v>148</v>
      </c>
      <c r="N4223" t="s">
        <v>98</v>
      </c>
      <c r="O4223" t="s">
        <v>1256</v>
      </c>
    </row>
    <row r="4224" spans="1:15" x14ac:dyDescent="0.3">
      <c r="A4224" s="130">
        <v>23587</v>
      </c>
      <c r="B4224" s="130">
        <v>10</v>
      </c>
      <c r="C4224" s="130" t="s">
        <v>5848</v>
      </c>
      <c r="D4224">
        <v>35994</v>
      </c>
      <c r="E4224" s="130">
        <v>34325515</v>
      </c>
      <c r="F4224" t="s">
        <v>87</v>
      </c>
      <c r="G4224">
        <v>32947</v>
      </c>
      <c r="H4224" t="s">
        <v>8952</v>
      </c>
      <c r="I4224" s="131">
        <v>3</v>
      </c>
      <c r="J4224" t="s">
        <v>5848</v>
      </c>
      <c r="K4224" t="s">
        <v>108</v>
      </c>
      <c r="L4224" t="s">
        <v>1293</v>
      </c>
      <c r="M4224" t="s">
        <v>133</v>
      </c>
      <c r="N4224" t="s">
        <v>98</v>
      </c>
      <c r="O4224" t="s">
        <v>116</v>
      </c>
    </row>
    <row r="4225" spans="1:15" x14ac:dyDescent="0.3">
      <c r="A4225" s="130">
        <v>23590</v>
      </c>
      <c r="B4225" s="130">
        <v>20</v>
      </c>
      <c r="C4225" s="130" t="s">
        <v>5849</v>
      </c>
      <c r="D4225">
        <v>35997</v>
      </c>
      <c r="E4225" s="130">
        <v>27702723</v>
      </c>
      <c r="F4225" t="s">
        <v>87</v>
      </c>
      <c r="G4225">
        <v>76</v>
      </c>
      <c r="H4225" t="s">
        <v>8953</v>
      </c>
      <c r="I4225" s="130">
        <v>19</v>
      </c>
      <c r="J4225" t="s">
        <v>5849</v>
      </c>
      <c r="K4225" t="s">
        <v>108</v>
      </c>
      <c r="L4225" t="s">
        <v>252</v>
      </c>
      <c r="M4225" t="s">
        <v>148</v>
      </c>
      <c r="N4225" t="s">
        <v>98</v>
      </c>
      <c r="O4225" t="s">
        <v>116</v>
      </c>
    </row>
    <row r="4226" spans="1:15" x14ac:dyDescent="0.3">
      <c r="A4226" s="130">
        <v>23591</v>
      </c>
      <c r="C4226" s="130" t="s">
        <v>5850</v>
      </c>
      <c r="D4226">
        <v>35998</v>
      </c>
      <c r="E4226" s="130">
        <v>28163588</v>
      </c>
      <c r="F4226" t="s">
        <v>113</v>
      </c>
      <c r="G4226">
        <v>32947</v>
      </c>
      <c r="H4226" t="s">
        <v>8951</v>
      </c>
      <c r="I4226" s="131">
        <v>9</v>
      </c>
      <c r="J4226" t="s">
        <v>5850</v>
      </c>
      <c r="K4226" t="s">
        <v>108</v>
      </c>
      <c r="L4226" t="s">
        <v>163</v>
      </c>
      <c r="N4226" t="s">
        <v>124</v>
      </c>
      <c r="O4226" t="s">
        <v>1256</v>
      </c>
    </row>
    <row r="4227" spans="1:15" x14ac:dyDescent="0.3">
      <c r="A4227" s="130">
        <v>23594</v>
      </c>
      <c r="B4227" s="130">
        <v>-1</v>
      </c>
      <c r="C4227" s="130" t="s">
        <v>5851</v>
      </c>
      <c r="D4227">
        <v>36011</v>
      </c>
      <c r="E4227" s="130">
        <v>37482126</v>
      </c>
      <c r="F4227" t="s">
        <v>87</v>
      </c>
      <c r="G4227">
        <v>76</v>
      </c>
      <c r="H4227" t="s">
        <v>8952</v>
      </c>
      <c r="I4227" s="130">
        <v>9</v>
      </c>
      <c r="J4227" t="s">
        <v>5851</v>
      </c>
      <c r="K4227" t="s">
        <v>108</v>
      </c>
      <c r="L4227" t="s">
        <v>181</v>
      </c>
      <c r="M4227" t="s">
        <v>174</v>
      </c>
      <c r="N4227" t="s">
        <v>152</v>
      </c>
      <c r="O4227" t="s">
        <v>1256</v>
      </c>
    </row>
    <row r="4228" spans="1:15" x14ac:dyDescent="0.3">
      <c r="A4228" s="130">
        <v>23605</v>
      </c>
      <c r="B4228" s="130">
        <v>20</v>
      </c>
      <c r="C4228" s="130" t="s">
        <v>5852</v>
      </c>
      <c r="D4228">
        <v>36022</v>
      </c>
      <c r="E4228" s="131">
        <v>15504989</v>
      </c>
      <c r="F4228" t="s">
        <v>87</v>
      </c>
      <c r="G4228">
        <v>76</v>
      </c>
      <c r="H4228" t="s">
        <v>8953</v>
      </c>
      <c r="I4228" s="130">
        <v>19</v>
      </c>
      <c r="J4228" t="s">
        <v>5852</v>
      </c>
      <c r="K4228" t="s">
        <v>108</v>
      </c>
      <c r="L4228" t="s">
        <v>252</v>
      </c>
      <c r="M4228" t="s">
        <v>148</v>
      </c>
      <c r="N4228" t="s">
        <v>98</v>
      </c>
      <c r="O4228" t="s">
        <v>1256</v>
      </c>
    </row>
    <row r="4229" spans="1:15" x14ac:dyDescent="0.3">
      <c r="A4229" s="130">
        <v>23606</v>
      </c>
      <c r="B4229" s="130">
        <v>28</v>
      </c>
      <c r="C4229" s="130" t="s">
        <v>5853</v>
      </c>
      <c r="D4229">
        <v>36024</v>
      </c>
      <c r="E4229" s="131">
        <v>1157555</v>
      </c>
      <c r="F4229" t="s">
        <v>87</v>
      </c>
      <c r="G4229">
        <v>76</v>
      </c>
      <c r="H4229" t="s">
        <v>8951</v>
      </c>
      <c r="I4229" s="131">
        <v>24</v>
      </c>
      <c r="J4229" t="s">
        <v>5853</v>
      </c>
      <c r="K4229" t="s">
        <v>108</v>
      </c>
      <c r="L4229" t="s">
        <v>240</v>
      </c>
      <c r="M4229" t="s">
        <v>130</v>
      </c>
      <c r="N4229" t="s">
        <v>101</v>
      </c>
      <c r="O4229" t="s">
        <v>116</v>
      </c>
    </row>
    <row r="4230" spans="1:15" x14ac:dyDescent="0.3">
      <c r="A4230" s="130">
        <v>23616</v>
      </c>
      <c r="B4230" s="130">
        <v>30</v>
      </c>
      <c r="C4230" s="130" t="s">
        <v>5854</v>
      </c>
      <c r="D4230">
        <v>36048</v>
      </c>
      <c r="E4230" s="130">
        <v>33193996</v>
      </c>
      <c r="F4230" t="s">
        <v>87</v>
      </c>
      <c r="G4230">
        <v>76</v>
      </c>
      <c r="H4230" t="s">
        <v>8952</v>
      </c>
      <c r="I4230" s="130">
        <v>10</v>
      </c>
      <c r="J4230" t="s">
        <v>5854</v>
      </c>
      <c r="K4230" t="s">
        <v>95</v>
      </c>
      <c r="L4230" t="s">
        <v>111</v>
      </c>
      <c r="M4230" t="s">
        <v>103</v>
      </c>
      <c r="N4230" t="s">
        <v>98</v>
      </c>
      <c r="O4230" t="s">
        <v>116</v>
      </c>
    </row>
    <row r="4231" spans="1:15" x14ac:dyDescent="0.3">
      <c r="A4231" s="130">
        <v>23618</v>
      </c>
      <c r="B4231" s="130">
        <v>45</v>
      </c>
      <c r="C4231" s="130" t="s">
        <v>5855</v>
      </c>
      <c r="D4231">
        <v>36052</v>
      </c>
      <c r="E4231" s="130">
        <v>18459628</v>
      </c>
      <c r="F4231" t="s">
        <v>87</v>
      </c>
      <c r="G4231">
        <v>76</v>
      </c>
      <c r="H4231" t="s">
        <v>8953</v>
      </c>
      <c r="I4231" s="130">
        <v>18</v>
      </c>
      <c r="J4231" t="s">
        <v>5855</v>
      </c>
      <c r="K4231" t="s">
        <v>95</v>
      </c>
      <c r="L4231" t="s">
        <v>123</v>
      </c>
      <c r="M4231" t="s">
        <v>106</v>
      </c>
      <c r="N4231" t="s">
        <v>114</v>
      </c>
      <c r="O4231" t="s">
        <v>1345</v>
      </c>
    </row>
    <row r="4232" spans="1:15" x14ac:dyDescent="0.3">
      <c r="A4232" s="130">
        <v>23619</v>
      </c>
      <c r="B4232" s="130">
        <v>18</v>
      </c>
      <c r="C4232" s="130" t="s">
        <v>5856</v>
      </c>
      <c r="D4232">
        <v>36054</v>
      </c>
      <c r="E4232" s="130">
        <v>61150751</v>
      </c>
      <c r="F4232" t="s">
        <v>87</v>
      </c>
      <c r="G4232">
        <v>76</v>
      </c>
      <c r="H4232" t="s">
        <v>8951</v>
      </c>
      <c r="I4232" s="131">
        <v>26</v>
      </c>
      <c r="J4232" t="s">
        <v>5856</v>
      </c>
      <c r="K4232" t="s">
        <v>108</v>
      </c>
      <c r="L4232" t="s">
        <v>151</v>
      </c>
      <c r="M4232" t="s">
        <v>112</v>
      </c>
      <c r="N4232" t="s">
        <v>98</v>
      </c>
      <c r="O4232" t="s">
        <v>1345</v>
      </c>
    </row>
    <row r="4233" spans="1:15" x14ac:dyDescent="0.3">
      <c r="A4233" s="130">
        <v>23625</v>
      </c>
      <c r="B4233" s="130">
        <v>30</v>
      </c>
      <c r="C4233" s="130" t="s">
        <v>5857</v>
      </c>
      <c r="D4233">
        <v>36064</v>
      </c>
      <c r="E4233" s="130">
        <v>29060647</v>
      </c>
      <c r="F4233" t="s">
        <v>87</v>
      </c>
      <c r="G4233">
        <v>76</v>
      </c>
      <c r="H4233" t="s">
        <v>8952</v>
      </c>
      <c r="I4233" s="131">
        <v>18</v>
      </c>
      <c r="J4233" t="s">
        <v>5857</v>
      </c>
      <c r="K4233" t="s">
        <v>95</v>
      </c>
      <c r="L4233" t="s">
        <v>123</v>
      </c>
      <c r="M4233" t="s">
        <v>103</v>
      </c>
      <c r="N4233" t="s">
        <v>98</v>
      </c>
      <c r="O4233" t="s">
        <v>116</v>
      </c>
    </row>
    <row r="4234" spans="1:15" x14ac:dyDescent="0.3">
      <c r="A4234" s="130">
        <v>23626</v>
      </c>
      <c r="B4234" s="130">
        <v>15</v>
      </c>
      <c r="C4234" s="130" t="s">
        <v>5858</v>
      </c>
      <c r="D4234">
        <v>36069</v>
      </c>
      <c r="E4234" s="130">
        <v>4353533</v>
      </c>
      <c r="F4234" t="s">
        <v>87</v>
      </c>
      <c r="G4234">
        <v>76</v>
      </c>
      <c r="H4234" t="s">
        <v>8953</v>
      </c>
      <c r="I4234" s="130">
        <v>24</v>
      </c>
      <c r="J4234" t="s">
        <v>5858</v>
      </c>
      <c r="K4234" t="s">
        <v>108</v>
      </c>
      <c r="L4234" t="s">
        <v>240</v>
      </c>
      <c r="M4234" t="s">
        <v>145</v>
      </c>
      <c r="N4234" t="s">
        <v>98</v>
      </c>
      <c r="O4234" t="s">
        <v>116</v>
      </c>
    </row>
    <row r="4235" spans="1:15" x14ac:dyDescent="0.3">
      <c r="A4235" s="130">
        <v>23627</v>
      </c>
      <c r="B4235" s="130">
        <v>20</v>
      </c>
      <c r="C4235" s="130" t="s">
        <v>5859</v>
      </c>
      <c r="D4235">
        <v>36071</v>
      </c>
      <c r="E4235" s="130">
        <v>9572298</v>
      </c>
      <c r="F4235" t="s">
        <v>87</v>
      </c>
      <c r="G4235">
        <v>76</v>
      </c>
      <c r="H4235" t="s">
        <v>8951</v>
      </c>
      <c r="I4235" s="130">
        <v>19</v>
      </c>
      <c r="J4235" t="s">
        <v>5859</v>
      </c>
      <c r="K4235" t="s">
        <v>108</v>
      </c>
      <c r="L4235" t="s">
        <v>252</v>
      </c>
      <c r="M4235" t="s">
        <v>148</v>
      </c>
      <c r="N4235" t="s">
        <v>98</v>
      </c>
      <c r="O4235" t="s">
        <v>1256</v>
      </c>
    </row>
    <row r="4236" spans="1:15" x14ac:dyDescent="0.3">
      <c r="A4236" s="130">
        <v>23631</v>
      </c>
      <c r="B4236" s="130">
        <v>10</v>
      </c>
      <c r="C4236" s="130" t="s">
        <v>5860</v>
      </c>
      <c r="D4236">
        <v>36078</v>
      </c>
      <c r="E4236" s="130">
        <v>17069832</v>
      </c>
      <c r="F4236" t="s">
        <v>87</v>
      </c>
      <c r="G4236">
        <v>76</v>
      </c>
      <c r="H4236" t="s">
        <v>8952</v>
      </c>
      <c r="I4236" s="130">
        <v>3</v>
      </c>
      <c r="J4236" t="s">
        <v>5860</v>
      </c>
      <c r="K4236" t="s">
        <v>108</v>
      </c>
      <c r="L4236" t="s">
        <v>925</v>
      </c>
      <c r="M4236" t="s">
        <v>133</v>
      </c>
      <c r="N4236" t="s">
        <v>98</v>
      </c>
      <c r="O4236" t="s">
        <v>1256</v>
      </c>
    </row>
    <row r="4237" spans="1:15" x14ac:dyDescent="0.3">
      <c r="A4237" s="130">
        <v>23632</v>
      </c>
      <c r="B4237" s="130" t="s">
        <v>1497</v>
      </c>
      <c r="C4237" s="130" t="s">
        <v>5861</v>
      </c>
      <c r="D4237">
        <v>36082</v>
      </c>
      <c r="E4237" s="130">
        <v>17399602</v>
      </c>
      <c r="F4237" t="s">
        <v>87</v>
      </c>
      <c r="G4237">
        <v>76</v>
      </c>
      <c r="H4237" t="s">
        <v>8953</v>
      </c>
      <c r="I4237" s="131">
        <v>10</v>
      </c>
      <c r="J4237" t="s">
        <v>5861</v>
      </c>
      <c r="K4237" t="s">
        <v>95</v>
      </c>
      <c r="L4237" t="s">
        <v>127</v>
      </c>
      <c r="M4237" t="s">
        <v>1498</v>
      </c>
      <c r="N4237" t="s">
        <v>118</v>
      </c>
      <c r="O4237" t="s">
        <v>116</v>
      </c>
    </row>
    <row r="4238" spans="1:15" x14ac:dyDescent="0.3">
      <c r="A4238" s="130">
        <v>23635</v>
      </c>
      <c r="B4238" s="130">
        <v>18</v>
      </c>
      <c r="C4238" s="130" t="s">
        <v>5862</v>
      </c>
      <c r="D4238">
        <v>36092</v>
      </c>
      <c r="E4238" s="131">
        <v>132114</v>
      </c>
      <c r="F4238" t="s">
        <v>87</v>
      </c>
      <c r="G4238">
        <v>76</v>
      </c>
      <c r="H4238" t="s">
        <v>8951</v>
      </c>
      <c r="I4238" s="130">
        <v>3</v>
      </c>
      <c r="J4238" t="s">
        <v>5862</v>
      </c>
      <c r="K4238" t="s">
        <v>108</v>
      </c>
      <c r="L4238" t="s">
        <v>925</v>
      </c>
      <c r="M4238" t="s">
        <v>112</v>
      </c>
      <c r="N4238" t="s">
        <v>98</v>
      </c>
      <c r="O4238" t="s">
        <v>1256</v>
      </c>
    </row>
    <row r="4239" spans="1:15" x14ac:dyDescent="0.3">
      <c r="A4239" s="130">
        <v>23638</v>
      </c>
      <c r="B4239" s="130">
        <v>30</v>
      </c>
      <c r="C4239" s="130" t="s">
        <v>5863</v>
      </c>
      <c r="D4239">
        <v>36099</v>
      </c>
      <c r="E4239" s="130">
        <v>43421138</v>
      </c>
      <c r="F4239" t="s">
        <v>87</v>
      </c>
      <c r="G4239">
        <v>76</v>
      </c>
      <c r="H4239" t="s">
        <v>8952</v>
      </c>
      <c r="I4239" s="131">
        <v>43</v>
      </c>
      <c r="J4239" t="s">
        <v>5863</v>
      </c>
      <c r="K4239" t="s">
        <v>95</v>
      </c>
      <c r="L4239" t="s">
        <v>111</v>
      </c>
      <c r="M4239" t="s">
        <v>103</v>
      </c>
      <c r="N4239" t="s">
        <v>98</v>
      </c>
      <c r="O4239" t="s">
        <v>116</v>
      </c>
    </row>
    <row r="4240" spans="1:15" x14ac:dyDescent="0.3">
      <c r="A4240" s="130">
        <v>23643</v>
      </c>
      <c r="B4240" s="130">
        <v>30</v>
      </c>
      <c r="C4240" s="130" t="s">
        <v>5864</v>
      </c>
      <c r="D4240">
        <v>36110</v>
      </c>
      <c r="E4240" s="130">
        <v>17185786</v>
      </c>
      <c r="F4240" t="s">
        <v>87</v>
      </c>
      <c r="G4240">
        <v>358</v>
      </c>
      <c r="H4240" t="s">
        <v>8953</v>
      </c>
      <c r="I4240" s="130">
        <v>3</v>
      </c>
      <c r="J4240" t="s">
        <v>5864</v>
      </c>
      <c r="K4240" t="s">
        <v>95</v>
      </c>
      <c r="L4240" t="s">
        <v>105</v>
      </c>
      <c r="M4240" t="s">
        <v>103</v>
      </c>
      <c r="N4240" t="s">
        <v>98</v>
      </c>
      <c r="O4240" t="s">
        <v>116</v>
      </c>
    </row>
    <row r="4241" spans="1:15" x14ac:dyDescent="0.3">
      <c r="A4241" s="130">
        <v>23650</v>
      </c>
      <c r="B4241" s="130">
        <v>30</v>
      </c>
      <c r="C4241" s="130" t="s">
        <v>5865</v>
      </c>
      <c r="D4241">
        <v>36114</v>
      </c>
      <c r="E4241" s="130">
        <v>1667477692</v>
      </c>
      <c r="F4241" t="s">
        <v>87</v>
      </c>
      <c r="G4241">
        <v>32947</v>
      </c>
      <c r="H4241" t="s">
        <v>8951</v>
      </c>
      <c r="I4241" s="130">
        <v>3</v>
      </c>
      <c r="J4241" t="s">
        <v>5865</v>
      </c>
      <c r="K4241" t="s">
        <v>108</v>
      </c>
      <c r="L4241" t="s">
        <v>111</v>
      </c>
      <c r="M4241" t="s">
        <v>103</v>
      </c>
      <c r="N4241" t="s">
        <v>110</v>
      </c>
      <c r="O4241" t="s">
        <v>116</v>
      </c>
    </row>
    <row r="4242" spans="1:15" x14ac:dyDescent="0.3">
      <c r="A4242" s="130">
        <v>23654</v>
      </c>
      <c r="C4242" s="130" t="s">
        <v>5866</v>
      </c>
      <c r="D4242">
        <v>36129</v>
      </c>
      <c r="E4242" s="131">
        <v>46993423</v>
      </c>
      <c r="F4242" t="s">
        <v>113</v>
      </c>
      <c r="G4242">
        <v>32947</v>
      </c>
      <c r="H4242" t="s">
        <v>8952</v>
      </c>
      <c r="I4242" s="131">
        <v>37</v>
      </c>
      <c r="J4242" t="s">
        <v>5866</v>
      </c>
      <c r="K4242" t="s">
        <v>108</v>
      </c>
      <c r="N4242" t="s">
        <v>101</v>
      </c>
      <c r="O4242" t="s">
        <v>1256</v>
      </c>
    </row>
    <row r="4243" spans="1:15" x14ac:dyDescent="0.3">
      <c r="A4243" s="130">
        <v>23657</v>
      </c>
      <c r="B4243" s="130">
        <v>30</v>
      </c>
      <c r="C4243" s="130" t="s">
        <v>5867</v>
      </c>
      <c r="D4243">
        <v>36132</v>
      </c>
      <c r="E4243" s="130">
        <v>45507471</v>
      </c>
      <c r="F4243" t="s">
        <v>87</v>
      </c>
      <c r="G4243">
        <v>358</v>
      </c>
      <c r="H4243" t="s">
        <v>8953</v>
      </c>
      <c r="I4243" s="130">
        <v>3</v>
      </c>
      <c r="J4243" t="s">
        <v>5867</v>
      </c>
      <c r="K4243" t="s">
        <v>95</v>
      </c>
      <c r="L4243" t="s">
        <v>925</v>
      </c>
      <c r="M4243" t="s">
        <v>103</v>
      </c>
      <c r="N4243" t="s">
        <v>98</v>
      </c>
      <c r="O4243" t="s">
        <v>116</v>
      </c>
    </row>
    <row r="4244" spans="1:15" x14ac:dyDescent="0.3">
      <c r="A4244" s="130">
        <v>23660</v>
      </c>
      <c r="B4244" s="130">
        <v>30</v>
      </c>
      <c r="C4244" s="130" t="s">
        <v>5868</v>
      </c>
      <c r="D4244">
        <v>36139</v>
      </c>
      <c r="E4244" s="130">
        <v>2120261</v>
      </c>
      <c r="F4244" t="s">
        <v>87</v>
      </c>
      <c r="G4244">
        <v>76</v>
      </c>
      <c r="H4244" t="s">
        <v>8951</v>
      </c>
      <c r="I4244" s="131">
        <v>37</v>
      </c>
      <c r="J4244" t="s">
        <v>5868</v>
      </c>
      <c r="K4244" t="s">
        <v>108</v>
      </c>
      <c r="L4244" t="s">
        <v>144</v>
      </c>
      <c r="M4244" t="s">
        <v>103</v>
      </c>
      <c r="N4244" t="s">
        <v>98</v>
      </c>
      <c r="O4244" t="s">
        <v>116</v>
      </c>
    </row>
    <row r="4245" spans="1:15" x14ac:dyDescent="0.3">
      <c r="A4245" s="130">
        <v>23663</v>
      </c>
      <c r="B4245" s="130">
        <v>18</v>
      </c>
      <c r="C4245" s="130" t="s">
        <v>5869</v>
      </c>
      <c r="D4245">
        <v>36143</v>
      </c>
      <c r="E4245" s="130">
        <v>43049327</v>
      </c>
      <c r="F4245" t="s">
        <v>113</v>
      </c>
      <c r="G4245">
        <v>76</v>
      </c>
      <c r="H4245" t="s">
        <v>8952</v>
      </c>
      <c r="I4245" s="131">
        <v>9</v>
      </c>
      <c r="J4245" t="s">
        <v>5869</v>
      </c>
      <c r="K4245" t="s">
        <v>108</v>
      </c>
      <c r="L4245" t="s">
        <v>1298</v>
      </c>
      <c r="M4245" t="s">
        <v>112</v>
      </c>
      <c r="N4245" t="s">
        <v>101</v>
      </c>
      <c r="O4245" t="s">
        <v>1256</v>
      </c>
    </row>
    <row r="4246" spans="1:15" x14ac:dyDescent="0.3">
      <c r="A4246" s="130">
        <v>23672</v>
      </c>
      <c r="B4246" s="130">
        <v>18</v>
      </c>
      <c r="C4246" s="130" t="s">
        <v>5870</v>
      </c>
      <c r="D4246">
        <v>36152</v>
      </c>
      <c r="E4246" s="130">
        <v>13812133</v>
      </c>
      <c r="F4246" t="s">
        <v>87</v>
      </c>
      <c r="G4246">
        <v>76</v>
      </c>
      <c r="H4246" t="s">
        <v>8953</v>
      </c>
      <c r="I4246" s="131">
        <v>26</v>
      </c>
      <c r="J4246" t="s">
        <v>5870</v>
      </c>
      <c r="K4246" t="s">
        <v>108</v>
      </c>
      <c r="L4246" t="s">
        <v>151</v>
      </c>
      <c r="M4246" t="s">
        <v>112</v>
      </c>
      <c r="N4246" t="s">
        <v>169</v>
      </c>
      <c r="O4246" t="s">
        <v>116</v>
      </c>
    </row>
    <row r="4247" spans="1:15" x14ac:dyDescent="0.3">
      <c r="A4247" s="130">
        <v>23675</v>
      </c>
      <c r="B4247" s="130">
        <v>20</v>
      </c>
      <c r="C4247" s="130" t="s">
        <v>5871</v>
      </c>
      <c r="D4247">
        <v>36155</v>
      </c>
      <c r="E4247" s="130">
        <v>25142132</v>
      </c>
      <c r="F4247" t="s">
        <v>87</v>
      </c>
      <c r="G4247">
        <v>76</v>
      </c>
      <c r="H4247" t="s">
        <v>8951</v>
      </c>
      <c r="I4247" s="130">
        <v>19</v>
      </c>
      <c r="J4247" t="s">
        <v>5871</v>
      </c>
      <c r="K4247" t="s">
        <v>108</v>
      </c>
      <c r="L4247" t="s">
        <v>252</v>
      </c>
      <c r="M4247" t="s">
        <v>148</v>
      </c>
      <c r="N4247" t="s">
        <v>98</v>
      </c>
      <c r="O4247" t="s">
        <v>116</v>
      </c>
    </row>
    <row r="4248" spans="1:15" x14ac:dyDescent="0.3">
      <c r="A4248" s="130">
        <v>23676</v>
      </c>
      <c r="B4248" s="130">
        <v>10</v>
      </c>
      <c r="C4248" s="130" t="s">
        <v>5872</v>
      </c>
      <c r="D4248">
        <v>36156</v>
      </c>
      <c r="E4248" s="130">
        <v>472355</v>
      </c>
      <c r="F4248" t="s">
        <v>87</v>
      </c>
      <c r="G4248">
        <v>76</v>
      </c>
      <c r="H4248" t="s">
        <v>8952</v>
      </c>
      <c r="I4248" s="130">
        <v>9</v>
      </c>
      <c r="J4248" t="s">
        <v>5872</v>
      </c>
      <c r="K4248" t="s">
        <v>95</v>
      </c>
      <c r="L4248" t="s">
        <v>163</v>
      </c>
      <c r="M4248" t="s">
        <v>133</v>
      </c>
      <c r="N4248" t="s">
        <v>98</v>
      </c>
      <c r="O4248" t="s">
        <v>116</v>
      </c>
    </row>
    <row r="4249" spans="1:15" x14ac:dyDescent="0.3">
      <c r="A4249" s="130">
        <v>23681</v>
      </c>
      <c r="B4249" s="130">
        <v>30</v>
      </c>
      <c r="C4249" s="130" t="s">
        <v>5873</v>
      </c>
      <c r="D4249">
        <v>36161</v>
      </c>
      <c r="E4249" s="130">
        <v>44013159</v>
      </c>
      <c r="F4249" t="s">
        <v>87</v>
      </c>
      <c r="G4249">
        <v>76</v>
      </c>
      <c r="H4249" t="s">
        <v>8953</v>
      </c>
      <c r="I4249" s="130">
        <v>26</v>
      </c>
      <c r="J4249" t="s">
        <v>5873</v>
      </c>
      <c r="K4249" t="s">
        <v>95</v>
      </c>
      <c r="L4249" t="s">
        <v>151</v>
      </c>
      <c r="M4249" t="s">
        <v>103</v>
      </c>
      <c r="N4249" t="s">
        <v>114</v>
      </c>
      <c r="O4249" t="s">
        <v>116</v>
      </c>
    </row>
    <row r="4250" spans="1:15" x14ac:dyDescent="0.3">
      <c r="A4250" s="130">
        <v>23684</v>
      </c>
      <c r="B4250" s="130">
        <v>30</v>
      </c>
      <c r="C4250" s="130" t="s">
        <v>5874</v>
      </c>
      <c r="D4250">
        <v>36167</v>
      </c>
      <c r="E4250" s="130">
        <v>351702</v>
      </c>
      <c r="F4250" t="s">
        <v>87</v>
      </c>
      <c r="G4250">
        <v>32947</v>
      </c>
      <c r="H4250" t="s">
        <v>8951</v>
      </c>
      <c r="I4250" s="130">
        <v>3</v>
      </c>
      <c r="J4250" t="s">
        <v>5874</v>
      </c>
      <c r="K4250" t="s">
        <v>108</v>
      </c>
      <c r="L4250" t="s">
        <v>111</v>
      </c>
      <c r="M4250" t="s">
        <v>103</v>
      </c>
      <c r="N4250" t="s">
        <v>101</v>
      </c>
      <c r="O4250" t="s">
        <v>116</v>
      </c>
    </row>
    <row r="4251" spans="1:15" x14ac:dyDescent="0.3">
      <c r="A4251" s="130">
        <v>23685</v>
      </c>
      <c r="B4251" s="130">
        <v>10</v>
      </c>
      <c r="C4251" s="130" t="s">
        <v>5875</v>
      </c>
      <c r="D4251">
        <v>36067</v>
      </c>
      <c r="E4251" s="131">
        <v>33558012</v>
      </c>
      <c r="F4251" t="s">
        <v>113</v>
      </c>
      <c r="G4251">
        <v>76</v>
      </c>
      <c r="H4251" t="s">
        <v>8952</v>
      </c>
      <c r="I4251" s="131">
        <v>3</v>
      </c>
      <c r="J4251" t="s">
        <v>5875</v>
      </c>
      <c r="K4251" t="s">
        <v>108</v>
      </c>
      <c r="L4251" t="s">
        <v>925</v>
      </c>
      <c r="M4251" t="s">
        <v>133</v>
      </c>
      <c r="N4251" t="s">
        <v>98</v>
      </c>
      <c r="O4251" t="s">
        <v>1256</v>
      </c>
    </row>
    <row r="4252" spans="1:15" x14ac:dyDescent="0.3">
      <c r="A4252" s="130">
        <v>23696</v>
      </c>
      <c r="B4252" s="131">
        <v>30</v>
      </c>
      <c r="C4252" s="130" t="s">
        <v>5876</v>
      </c>
      <c r="D4252">
        <v>36183</v>
      </c>
      <c r="E4252" s="130">
        <v>10630328</v>
      </c>
      <c r="F4252" t="s">
        <v>87</v>
      </c>
      <c r="G4252">
        <v>32947</v>
      </c>
      <c r="H4252" t="s">
        <v>8953</v>
      </c>
      <c r="I4252" s="130">
        <v>3</v>
      </c>
      <c r="J4252" t="s">
        <v>5876</v>
      </c>
      <c r="K4252" t="s">
        <v>95</v>
      </c>
      <c r="L4252" t="s">
        <v>193</v>
      </c>
      <c r="M4252" t="s">
        <v>103</v>
      </c>
      <c r="N4252" t="s">
        <v>98</v>
      </c>
      <c r="O4252" t="s">
        <v>116</v>
      </c>
    </row>
    <row r="4253" spans="1:15" x14ac:dyDescent="0.3">
      <c r="A4253" s="130">
        <v>23697</v>
      </c>
      <c r="B4253" s="130">
        <v>30</v>
      </c>
      <c r="C4253" s="130" t="s">
        <v>5877</v>
      </c>
      <c r="D4253">
        <v>36186</v>
      </c>
      <c r="E4253" s="131">
        <v>24681212</v>
      </c>
      <c r="F4253" t="s">
        <v>87</v>
      </c>
      <c r="G4253">
        <v>76</v>
      </c>
      <c r="H4253" t="s">
        <v>8951</v>
      </c>
      <c r="I4253" s="131">
        <v>18</v>
      </c>
      <c r="J4253" t="s">
        <v>5877</v>
      </c>
      <c r="K4253" t="s">
        <v>108</v>
      </c>
      <c r="L4253" t="s">
        <v>123</v>
      </c>
      <c r="M4253" t="s">
        <v>103</v>
      </c>
      <c r="N4253" t="s">
        <v>98</v>
      </c>
      <c r="O4253" t="s">
        <v>244</v>
      </c>
    </row>
    <row r="4254" spans="1:15" x14ac:dyDescent="0.3">
      <c r="A4254" s="130">
        <v>23698</v>
      </c>
      <c r="B4254" s="130">
        <v>60</v>
      </c>
      <c r="C4254" s="130" t="s">
        <v>5878</v>
      </c>
      <c r="D4254">
        <v>36185</v>
      </c>
      <c r="E4254" s="130">
        <v>92660604</v>
      </c>
      <c r="F4254" t="s">
        <v>87</v>
      </c>
      <c r="G4254">
        <v>77</v>
      </c>
      <c r="H4254" t="s">
        <v>8952</v>
      </c>
      <c r="I4254" s="130">
        <v>24</v>
      </c>
      <c r="J4254" t="s">
        <v>5878</v>
      </c>
      <c r="K4254" t="s">
        <v>95</v>
      </c>
      <c r="L4254" t="s">
        <v>117</v>
      </c>
      <c r="M4254" t="s">
        <v>97</v>
      </c>
      <c r="N4254" t="s">
        <v>114</v>
      </c>
      <c r="O4254" t="s">
        <v>116</v>
      </c>
    </row>
    <row r="4255" spans="1:15" x14ac:dyDescent="0.3">
      <c r="A4255" s="130">
        <v>23699</v>
      </c>
      <c r="B4255" s="130">
        <v>60</v>
      </c>
      <c r="C4255" s="130" t="s">
        <v>5879</v>
      </c>
      <c r="D4255">
        <v>36182</v>
      </c>
      <c r="E4255" s="131">
        <v>92660604</v>
      </c>
      <c r="F4255" t="s">
        <v>87</v>
      </c>
      <c r="G4255">
        <v>77</v>
      </c>
      <c r="H4255" t="s">
        <v>8953</v>
      </c>
      <c r="I4255" s="131">
        <v>24</v>
      </c>
      <c r="J4255" t="s">
        <v>5879</v>
      </c>
      <c r="K4255" t="s">
        <v>95</v>
      </c>
      <c r="L4255" t="s">
        <v>117</v>
      </c>
      <c r="M4255" t="s">
        <v>97</v>
      </c>
      <c r="N4255" t="s">
        <v>114</v>
      </c>
      <c r="O4255" t="s">
        <v>116</v>
      </c>
    </row>
    <row r="4256" spans="1:15" x14ac:dyDescent="0.3">
      <c r="A4256" s="130">
        <v>23701</v>
      </c>
      <c r="B4256" s="130">
        <v>10</v>
      </c>
      <c r="C4256" s="130" t="s">
        <v>5880</v>
      </c>
      <c r="D4256">
        <v>36191</v>
      </c>
      <c r="E4256" s="130">
        <v>22192546</v>
      </c>
      <c r="F4256" t="s">
        <v>87</v>
      </c>
      <c r="G4256">
        <v>76</v>
      </c>
      <c r="H4256" t="s">
        <v>8951</v>
      </c>
      <c r="I4256" s="131">
        <v>3</v>
      </c>
      <c r="J4256" t="s">
        <v>5880</v>
      </c>
      <c r="K4256" t="s">
        <v>108</v>
      </c>
      <c r="L4256" t="s">
        <v>925</v>
      </c>
      <c r="M4256" t="s">
        <v>133</v>
      </c>
      <c r="N4256" t="s">
        <v>98</v>
      </c>
      <c r="O4256" t="s">
        <v>1256</v>
      </c>
    </row>
    <row r="4257" spans="1:15" x14ac:dyDescent="0.3">
      <c r="A4257" s="130">
        <v>23703</v>
      </c>
      <c r="B4257" s="130">
        <v>10</v>
      </c>
      <c r="C4257" s="130" t="s">
        <v>5881</v>
      </c>
      <c r="D4257">
        <v>36197</v>
      </c>
      <c r="E4257" s="130">
        <v>1631484</v>
      </c>
      <c r="F4257" t="s">
        <v>113</v>
      </c>
      <c r="G4257">
        <v>76</v>
      </c>
      <c r="H4257" t="s">
        <v>8952</v>
      </c>
      <c r="I4257" s="131">
        <v>3</v>
      </c>
      <c r="J4257" t="s">
        <v>5881</v>
      </c>
      <c r="K4257" t="s">
        <v>108</v>
      </c>
      <c r="L4257" t="s">
        <v>925</v>
      </c>
      <c r="M4257" t="s">
        <v>133</v>
      </c>
      <c r="N4257" t="s">
        <v>98</v>
      </c>
      <c r="O4257" t="s">
        <v>1256</v>
      </c>
    </row>
    <row r="4258" spans="1:15" x14ac:dyDescent="0.3">
      <c r="A4258" s="130">
        <v>23707</v>
      </c>
      <c r="B4258" s="130">
        <v>18</v>
      </c>
      <c r="C4258" s="130" t="s">
        <v>5882</v>
      </c>
      <c r="D4258">
        <v>36207</v>
      </c>
      <c r="E4258" s="130">
        <v>8054995</v>
      </c>
      <c r="F4258" t="s">
        <v>87</v>
      </c>
      <c r="G4258">
        <v>32947</v>
      </c>
      <c r="H4258" t="s">
        <v>8953</v>
      </c>
      <c r="I4258" s="130">
        <v>10</v>
      </c>
      <c r="J4258" t="s">
        <v>5882</v>
      </c>
      <c r="K4258" t="s">
        <v>108</v>
      </c>
      <c r="L4258" t="s">
        <v>111</v>
      </c>
      <c r="M4258" t="s">
        <v>112</v>
      </c>
      <c r="N4258" t="s">
        <v>98</v>
      </c>
      <c r="O4258" t="s">
        <v>1345</v>
      </c>
    </row>
    <row r="4259" spans="1:15" x14ac:dyDescent="0.3">
      <c r="A4259" s="130">
        <v>23715</v>
      </c>
      <c r="B4259" s="130">
        <v>30</v>
      </c>
      <c r="C4259" s="130" t="s">
        <v>5883</v>
      </c>
      <c r="D4259">
        <v>36224</v>
      </c>
      <c r="E4259" s="131">
        <v>1313486</v>
      </c>
      <c r="F4259" t="s">
        <v>87</v>
      </c>
      <c r="G4259">
        <v>76</v>
      </c>
      <c r="H4259" t="s">
        <v>8951</v>
      </c>
      <c r="I4259" s="131">
        <v>10</v>
      </c>
      <c r="J4259" t="s">
        <v>5883</v>
      </c>
      <c r="K4259" t="s">
        <v>95</v>
      </c>
      <c r="L4259" t="s">
        <v>111</v>
      </c>
      <c r="M4259" t="s">
        <v>103</v>
      </c>
      <c r="N4259" t="s">
        <v>98</v>
      </c>
      <c r="O4259" t="s">
        <v>116</v>
      </c>
    </row>
    <row r="4260" spans="1:15" x14ac:dyDescent="0.3">
      <c r="A4260" s="130">
        <v>23716</v>
      </c>
      <c r="B4260" s="130">
        <v>18</v>
      </c>
      <c r="C4260" s="130" t="s">
        <v>5884</v>
      </c>
      <c r="D4260">
        <v>36225</v>
      </c>
      <c r="E4260" s="130">
        <v>43619832</v>
      </c>
      <c r="F4260" t="s">
        <v>87</v>
      </c>
      <c r="G4260">
        <v>76</v>
      </c>
      <c r="H4260" t="s">
        <v>8952</v>
      </c>
      <c r="I4260" s="131">
        <v>37</v>
      </c>
      <c r="J4260" t="s">
        <v>5884</v>
      </c>
      <c r="K4260" t="s">
        <v>108</v>
      </c>
      <c r="L4260" t="s">
        <v>138</v>
      </c>
      <c r="M4260" t="s">
        <v>112</v>
      </c>
      <c r="N4260" t="s">
        <v>141</v>
      </c>
      <c r="O4260" t="s">
        <v>1345</v>
      </c>
    </row>
    <row r="4261" spans="1:15" x14ac:dyDescent="0.3">
      <c r="A4261" s="130">
        <v>23720</v>
      </c>
      <c r="B4261" s="130">
        <v>21</v>
      </c>
      <c r="C4261" s="130" t="s">
        <v>5885</v>
      </c>
      <c r="D4261">
        <v>36006</v>
      </c>
      <c r="E4261" s="130">
        <v>27451582</v>
      </c>
      <c r="F4261" t="s">
        <v>87</v>
      </c>
      <c r="G4261">
        <v>76</v>
      </c>
      <c r="H4261" t="s">
        <v>8953</v>
      </c>
      <c r="I4261" s="131">
        <v>24</v>
      </c>
      <c r="J4261" t="s">
        <v>5885</v>
      </c>
      <c r="K4261" t="s">
        <v>108</v>
      </c>
      <c r="L4261" t="s">
        <v>240</v>
      </c>
      <c r="M4261" t="s">
        <v>137</v>
      </c>
      <c r="N4261" t="s">
        <v>118</v>
      </c>
      <c r="O4261" t="s">
        <v>1256</v>
      </c>
    </row>
    <row r="4262" spans="1:15" x14ac:dyDescent="0.3">
      <c r="A4262" s="130">
        <v>23721</v>
      </c>
      <c r="B4262" s="130">
        <v>21</v>
      </c>
      <c r="C4262" s="130" t="s">
        <v>5886</v>
      </c>
      <c r="D4262">
        <v>36009</v>
      </c>
      <c r="E4262" s="130">
        <v>27451582</v>
      </c>
      <c r="F4262" t="s">
        <v>87</v>
      </c>
      <c r="G4262">
        <v>76</v>
      </c>
      <c r="H4262" t="s">
        <v>8951</v>
      </c>
      <c r="I4262" s="131">
        <v>24</v>
      </c>
      <c r="J4262" t="s">
        <v>5886</v>
      </c>
      <c r="K4262" t="s">
        <v>108</v>
      </c>
      <c r="L4262" t="s">
        <v>240</v>
      </c>
      <c r="M4262" t="s">
        <v>137</v>
      </c>
      <c r="N4262" t="s">
        <v>118</v>
      </c>
      <c r="O4262" t="s">
        <v>1256</v>
      </c>
    </row>
    <row r="4263" spans="1:15" x14ac:dyDescent="0.3">
      <c r="A4263" s="130">
        <v>23722</v>
      </c>
      <c r="B4263" s="130">
        <v>21</v>
      </c>
      <c r="C4263" s="130" t="s">
        <v>5887</v>
      </c>
      <c r="D4263">
        <v>36008</v>
      </c>
      <c r="E4263" s="131">
        <v>27451582</v>
      </c>
      <c r="F4263" t="s">
        <v>87</v>
      </c>
      <c r="G4263">
        <v>76</v>
      </c>
      <c r="H4263" t="s">
        <v>8952</v>
      </c>
      <c r="I4263" s="130">
        <v>24</v>
      </c>
      <c r="J4263" t="s">
        <v>5887</v>
      </c>
      <c r="K4263" t="s">
        <v>108</v>
      </c>
      <c r="L4263" t="s">
        <v>240</v>
      </c>
      <c r="M4263" t="s">
        <v>137</v>
      </c>
      <c r="N4263" t="s">
        <v>118</v>
      </c>
      <c r="O4263" t="s">
        <v>1256</v>
      </c>
    </row>
    <row r="4264" spans="1:15" x14ac:dyDescent="0.3">
      <c r="A4264" s="130">
        <v>23723</v>
      </c>
      <c r="B4264" s="130">
        <v>21</v>
      </c>
      <c r="C4264" s="130" t="s">
        <v>5888</v>
      </c>
      <c r="D4264">
        <v>36015</v>
      </c>
      <c r="E4264" s="131">
        <v>27451582</v>
      </c>
      <c r="F4264" t="s">
        <v>87</v>
      </c>
      <c r="G4264">
        <v>76</v>
      </c>
      <c r="H4264" t="s">
        <v>8953</v>
      </c>
      <c r="I4264" s="130">
        <v>24</v>
      </c>
      <c r="J4264" t="s">
        <v>5888</v>
      </c>
      <c r="K4264" t="s">
        <v>108</v>
      </c>
      <c r="L4264" t="s">
        <v>240</v>
      </c>
      <c r="M4264" t="s">
        <v>137</v>
      </c>
      <c r="N4264" t="s">
        <v>118</v>
      </c>
      <c r="O4264" t="s">
        <v>1256</v>
      </c>
    </row>
    <row r="4265" spans="1:15" x14ac:dyDescent="0.3">
      <c r="A4265" s="130">
        <v>23724</v>
      </c>
      <c r="B4265" s="130">
        <v>21</v>
      </c>
      <c r="C4265" s="130" t="s">
        <v>5889</v>
      </c>
      <c r="D4265">
        <v>36005</v>
      </c>
      <c r="E4265" s="130">
        <v>27451582</v>
      </c>
      <c r="F4265" t="s">
        <v>87</v>
      </c>
      <c r="G4265">
        <v>76</v>
      </c>
      <c r="H4265" t="s">
        <v>8951</v>
      </c>
      <c r="I4265" s="131">
        <v>24</v>
      </c>
      <c r="J4265" t="s">
        <v>5889</v>
      </c>
      <c r="K4265" t="s">
        <v>108</v>
      </c>
      <c r="L4265" t="s">
        <v>240</v>
      </c>
      <c r="M4265" t="s">
        <v>137</v>
      </c>
      <c r="N4265" t="s">
        <v>118</v>
      </c>
      <c r="O4265" t="s">
        <v>1256</v>
      </c>
    </row>
    <row r="4266" spans="1:15" x14ac:dyDescent="0.3">
      <c r="A4266" s="130">
        <v>23725</v>
      </c>
      <c r="B4266" s="130">
        <v>21</v>
      </c>
      <c r="C4266" s="130" t="s">
        <v>5890</v>
      </c>
      <c r="D4266">
        <v>36000</v>
      </c>
      <c r="E4266" s="130">
        <v>27451582</v>
      </c>
      <c r="F4266" t="s">
        <v>87</v>
      </c>
      <c r="G4266">
        <v>76</v>
      </c>
      <c r="H4266" t="s">
        <v>8952</v>
      </c>
      <c r="I4266" s="130">
        <v>24</v>
      </c>
      <c r="J4266" t="s">
        <v>5890</v>
      </c>
      <c r="K4266" t="s">
        <v>108</v>
      </c>
      <c r="L4266" t="s">
        <v>240</v>
      </c>
      <c r="M4266" t="s">
        <v>137</v>
      </c>
      <c r="N4266" t="s">
        <v>118</v>
      </c>
      <c r="O4266" t="s">
        <v>1256</v>
      </c>
    </row>
    <row r="4267" spans="1:15" x14ac:dyDescent="0.3">
      <c r="A4267" s="130">
        <v>23730</v>
      </c>
      <c r="B4267" s="130">
        <v>30</v>
      </c>
      <c r="C4267" s="130" t="s">
        <v>5891</v>
      </c>
      <c r="D4267">
        <v>36235</v>
      </c>
      <c r="E4267" s="131">
        <v>92779503</v>
      </c>
      <c r="F4267" t="s">
        <v>87</v>
      </c>
      <c r="G4267">
        <v>76</v>
      </c>
      <c r="H4267" t="s">
        <v>8953</v>
      </c>
      <c r="I4267" s="131">
        <v>37</v>
      </c>
      <c r="J4267" t="s">
        <v>5891</v>
      </c>
      <c r="K4267" t="s">
        <v>95</v>
      </c>
      <c r="L4267" t="s">
        <v>144</v>
      </c>
      <c r="M4267" t="s">
        <v>103</v>
      </c>
      <c r="N4267" t="s">
        <v>98</v>
      </c>
      <c r="O4267" t="s">
        <v>1345</v>
      </c>
    </row>
    <row r="4268" spans="1:15" x14ac:dyDescent="0.3">
      <c r="A4268" s="130">
        <v>23741</v>
      </c>
      <c r="B4268" s="130">
        <v>10</v>
      </c>
      <c r="C4268" s="130" t="s">
        <v>5892</v>
      </c>
      <c r="D4268">
        <v>36050</v>
      </c>
      <c r="E4268" s="130">
        <v>33558012</v>
      </c>
      <c r="F4268" t="s">
        <v>113</v>
      </c>
      <c r="G4268">
        <v>76</v>
      </c>
      <c r="H4268" t="s">
        <v>8951</v>
      </c>
      <c r="I4268" s="130">
        <v>3</v>
      </c>
      <c r="J4268" t="s">
        <v>5892</v>
      </c>
      <c r="K4268" t="s">
        <v>95</v>
      </c>
      <c r="L4268" t="s">
        <v>925</v>
      </c>
      <c r="M4268" t="s">
        <v>133</v>
      </c>
      <c r="N4268" t="s">
        <v>98</v>
      </c>
      <c r="O4268" t="s">
        <v>1256</v>
      </c>
    </row>
    <row r="4269" spans="1:15" x14ac:dyDescent="0.3">
      <c r="A4269" s="130">
        <v>23742</v>
      </c>
      <c r="B4269" s="130">
        <v>10</v>
      </c>
      <c r="C4269" s="130" t="s">
        <v>5893</v>
      </c>
      <c r="D4269">
        <v>36252</v>
      </c>
      <c r="E4269" s="130">
        <v>15192588</v>
      </c>
      <c r="F4269" t="s">
        <v>87</v>
      </c>
      <c r="G4269">
        <v>76</v>
      </c>
      <c r="H4269" t="s">
        <v>8952</v>
      </c>
      <c r="I4269" s="130">
        <v>3</v>
      </c>
      <c r="J4269" t="s">
        <v>5893</v>
      </c>
      <c r="K4269" t="s">
        <v>108</v>
      </c>
      <c r="L4269" t="s">
        <v>193</v>
      </c>
      <c r="M4269" t="s">
        <v>133</v>
      </c>
      <c r="N4269" t="s">
        <v>98</v>
      </c>
      <c r="O4269" t="s">
        <v>116</v>
      </c>
    </row>
    <row r="4270" spans="1:15" x14ac:dyDescent="0.3">
      <c r="A4270" s="130">
        <v>23747</v>
      </c>
      <c r="B4270" s="130">
        <v>10</v>
      </c>
      <c r="C4270" s="130" t="s">
        <v>5894</v>
      </c>
      <c r="D4270">
        <v>36265</v>
      </c>
      <c r="E4270" s="130">
        <v>1631484</v>
      </c>
      <c r="F4270" t="s">
        <v>113</v>
      </c>
      <c r="G4270">
        <v>76</v>
      </c>
      <c r="H4270" t="s">
        <v>8953</v>
      </c>
      <c r="I4270" s="130">
        <v>3</v>
      </c>
      <c r="J4270" t="s">
        <v>5894</v>
      </c>
      <c r="K4270" t="s">
        <v>108</v>
      </c>
      <c r="L4270" t="s">
        <v>925</v>
      </c>
      <c r="M4270" t="s">
        <v>133</v>
      </c>
      <c r="N4270" t="s">
        <v>98</v>
      </c>
      <c r="O4270" t="s">
        <v>1256</v>
      </c>
    </row>
    <row r="4271" spans="1:15" x14ac:dyDescent="0.3">
      <c r="A4271" s="130">
        <v>23750</v>
      </c>
      <c r="B4271" s="130">
        <v>18</v>
      </c>
      <c r="C4271" s="130" t="s">
        <v>5895</v>
      </c>
      <c r="D4271">
        <v>36269</v>
      </c>
      <c r="E4271" s="130">
        <v>472355</v>
      </c>
      <c r="F4271" t="s">
        <v>87</v>
      </c>
      <c r="G4271">
        <v>76</v>
      </c>
      <c r="H4271" t="s">
        <v>8951</v>
      </c>
      <c r="I4271" s="131">
        <v>9</v>
      </c>
      <c r="J4271" t="s">
        <v>5895</v>
      </c>
      <c r="K4271" t="s">
        <v>95</v>
      </c>
      <c r="L4271" t="s">
        <v>163</v>
      </c>
      <c r="M4271" t="s">
        <v>112</v>
      </c>
      <c r="N4271" t="s">
        <v>98</v>
      </c>
      <c r="O4271" t="s">
        <v>116</v>
      </c>
    </row>
    <row r="4272" spans="1:15" x14ac:dyDescent="0.3">
      <c r="A4272" s="130">
        <v>23753</v>
      </c>
      <c r="B4272" s="130">
        <v>30</v>
      </c>
      <c r="C4272" s="130" t="s">
        <v>5896</v>
      </c>
      <c r="D4272">
        <v>36271</v>
      </c>
      <c r="E4272" s="131">
        <v>7522191</v>
      </c>
      <c r="F4272" t="s">
        <v>87</v>
      </c>
      <c r="G4272">
        <v>76</v>
      </c>
      <c r="H4272" t="s">
        <v>8952</v>
      </c>
      <c r="I4272" s="130">
        <v>9</v>
      </c>
      <c r="J4272" t="s">
        <v>5896</v>
      </c>
      <c r="K4272" t="s">
        <v>95</v>
      </c>
      <c r="L4272" t="s">
        <v>163</v>
      </c>
      <c r="M4272" t="s">
        <v>103</v>
      </c>
      <c r="N4272" t="s">
        <v>98</v>
      </c>
      <c r="O4272" t="s">
        <v>116</v>
      </c>
    </row>
    <row r="4273" spans="1:15" x14ac:dyDescent="0.3">
      <c r="A4273" s="130">
        <v>23754</v>
      </c>
      <c r="B4273" s="130">
        <v>30</v>
      </c>
      <c r="C4273" s="130" t="s">
        <v>5897</v>
      </c>
      <c r="D4273">
        <v>36274</v>
      </c>
      <c r="E4273" s="130">
        <v>29296671</v>
      </c>
      <c r="F4273" t="s">
        <v>87</v>
      </c>
      <c r="G4273">
        <v>32947</v>
      </c>
      <c r="H4273" t="s">
        <v>8953</v>
      </c>
      <c r="I4273" s="130">
        <v>10</v>
      </c>
      <c r="J4273" t="s">
        <v>5897</v>
      </c>
      <c r="K4273" s="200" t="s">
        <v>108</v>
      </c>
      <c r="L4273" t="s">
        <v>111</v>
      </c>
      <c r="M4273" t="s">
        <v>103</v>
      </c>
      <c r="N4273" t="s">
        <v>98</v>
      </c>
      <c r="O4273" t="s">
        <v>116</v>
      </c>
    </row>
    <row r="4274" spans="1:15" x14ac:dyDescent="0.3">
      <c r="A4274" s="130">
        <v>23759</v>
      </c>
      <c r="B4274" s="130">
        <v>30</v>
      </c>
      <c r="C4274" s="130" t="s">
        <v>5898</v>
      </c>
      <c r="D4274">
        <v>36286</v>
      </c>
      <c r="E4274" s="130">
        <v>7533543</v>
      </c>
      <c r="F4274" t="s">
        <v>87</v>
      </c>
      <c r="G4274">
        <v>76</v>
      </c>
      <c r="H4274" t="s">
        <v>8951</v>
      </c>
      <c r="I4274" s="131">
        <v>3</v>
      </c>
      <c r="J4274" t="s">
        <v>5898</v>
      </c>
      <c r="K4274" t="s">
        <v>108</v>
      </c>
      <c r="L4274" t="s">
        <v>109</v>
      </c>
      <c r="M4274" t="s">
        <v>103</v>
      </c>
      <c r="N4274" t="s">
        <v>98</v>
      </c>
      <c r="O4274" t="s">
        <v>244</v>
      </c>
    </row>
    <row r="4275" spans="1:15" x14ac:dyDescent="0.3">
      <c r="A4275" s="130">
        <v>23764</v>
      </c>
      <c r="B4275" s="130">
        <v>10</v>
      </c>
      <c r="C4275" s="130" t="s">
        <v>5899</v>
      </c>
      <c r="D4275">
        <v>36289</v>
      </c>
      <c r="E4275" s="130">
        <v>4295026</v>
      </c>
      <c r="F4275" t="s">
        <v>87</v>
      </c>
      <c r="G4275">
        <v>76</v>
      </c>
      <c r="H4275" t="s">
        <v>8952</v>
      </c>
      <c r="I4275" s="130">
        <v>3</v>
      </c>
      <c r="J4275" t="s">
        <v>5899</v>
      </c>
      <c r="K4275" t="s">
        <v>108</v>
      </c>
      <c r="L4275" t="s">
        <v>925</v>
      </c>
      <c r="M4275" t="s">
        <v>133</v>
      </c>
      <c r="N4275" t="s">
        <v>98</v>
      </c>
      <c r="O4275" t="s">
        <v>1256</v>
      </c>
    </row>
    <row r="4276" spans="1:15" x14ac:dyDescent="0.3">
      <c r="A4276" s="130">
        <v>23769</v>
      </c>
      <c r="B4276" s="130">
        <v>10</v>
      </c>
      <c r="C4276" s="130" t="s">
        <v>5900</v>
      </c>
      <c r="D4276">
        <v>36303</v>
      </c>
      <c r="E4276" s="130">
        <v>23374794</v>
      </c>
      <c r="F4276" t="s">
        <v>87</v>
      </c>
      <c r="G4276">
        <v>76</v>
      </c>
      <c r="H4276" t="s">
        <v>8953</v>
      </c>
      <c r="I4276" s="131">
        <v>3</v>
      </c>
      <c r="J4276" t="s">
        <v>5900</v>
      </c>
      <c r="K4276" t="s">
        <v>108</v>
      </c>
      <c r="L4276" t="s">
        <v>925</v>
      </c>
      <c r="M4276" t="s">
        <v>133</v>
      </c>
      <c r="N4276" t="s">
        <v>98</v>
      </c>
      <c r="O4276" t="s">
        <v>1256</v>
      </c>
    </row>
    <row r="4277" spans="1:15" x14ac:dyDescent="0.3">
      <c r="A4277" s="130">
        <v>23774</v>
      </c>
      <c r="B4277" s="130">
        <v>30</v>
      </c>
      <c r="C4277" s="130" t="s">
        <v>5901</v>
      </c>
      <c r="D4277">
        <v>36310</v>
      </c>
      <c r="E4277" s="130">
        <v>1472377</v>
      </c>
      <c r="F4277" t="s">
        <v>87</v>
      </c>
      <c r="G4277">
        <v>76</v>
      </c>
      <c r="H4277" t="s">
        <v>8951</v>
      </c>
      <c r="I4277" s="130">
        <v>10</v>
      </c>
      <c r="J4277" t="s">
        <v>5901</v>
      </c>
      <c r="K4277" t="s">
        <v>108</v>
      </c>
      <c r="L4277" t="s">
        <v>111</v>
      </c>
      <c r="M4277" t="s">
        <v>103</v>
      </c>
      <c r="N4277" t="s">
        <v>101</v>
      </c>
      <c r="O4277" t="s">
        <v>116</v>
      </c>
    </row>
    <row r="4278" spans="1:15" x14ac:dyDescent="0.3">
      <c r="A4278" s="130">
        <v>23775</v>
      </c>
      <c r="B4278" s="130">
        <v>0</v>
      </c>
      <c r="C4278" s="130" t="s">
        <v>5902</v>
      </c>
      <c r="D4278">
        <v>36311</v>
      </c>
      <c r="E4278" s="131">
        <v>24013278</v>
      </c>
      <c r="F4278" t="s">
        <v>87</v>
      </c>
      <c r="G4278">
        <v>387</v>
      </c>
      <c r="H4278" t="s">
        <v>8952</v>
      </c>
      <c r="I4278" s="131">
        <v>49</v>
      </c>
      <c r="J4278" t="s">
        <v>5902</v>
      </c>
      <c r="K4278" t="s">
        <v>95</v>
      </c>
      <c r="L4278" t="s">
        <v>927</v>
      </c>
      <c r="M4278" t="s">
        <v>154</v>
      </c>
      <c r="N4278" t="s">
        <v>101</v>
      </c>
      <c r="O4278" t="s">
        <v>116</v>
      </c>
    </row>
    <row r="4279" spans="1:15" x14ac:dyDescent="0.3">
      <c r="A4279" s="130">
        <v>23779</v>
      </c>
      <c r="B4279" s="130">
        <v>30</v>
      </c>
      <c r="C4279" s="130" t="s">
        <v>5903</v>
      </c>
      <c r="D4279">
        <v>36319</v>
      </c>
      <c r="E4279" s="130">
        <v>34209835</v>
      </c>
      <c r="F4279" t="s">
        <v>87</v>
      </c>
      <c r="G4279">
        <v>387</v>
      </c>
      <c r="H4279" t="s">
        <v>8953</v>
      </c>
      <c r="I4279" s="131">
        <v>49</v>
      </c>
      <c r="J4279" t="s">
        <v>5903</v>
      </c>
      <c r="K4279" t="s">
        <v>95</v>
      </c>
      <c r="L4279" t="s">
        <v>927</v>
      </c>
      <c r="M4279" t="s">
        <v>180</v>
      </c>
      <c r="N4279" t="s">
        <v>98</v>
      </c>
      <c r="O4279" t="s">
        <v>116</v>
      </c>
    </row>
    <row r="4280" spans="1:15" x14ac:dyDescent="0.3">
      <c r="A4280" s="130">
        <v>23780</v>
      </c>
      <c r="B4280" s="130">
        <v>0</v>
      </c>
      <c r="C4280" s="130" t="s">
        <v>5904</v>
      </c>
      <c r="D4280">
        <v>36320</v>
      </c>
      <c r="E4280" s="131">
        <v>10279488</v>
      </c>
      <c r="F4280" t="s">
        <v>87</v>
      </c>
      <c r="G4280">
        <v>387</v>
      </c>
      <c r="H4280" t="s">
        <v>8951</v>
      </c>
      <c r="I4280" s="131">
        <v>49</v>
      </c>
      <c r="J4280" t="s">
        <v>5904</v>
      </c>
      <c r="K4280" t="s">
        <v>95</v>
      </c>
      <c r="L4280" t="s">
        <v>927</v>
      </c>
      <c r="M4280" t="s">
        <v>154</v>
      </c>
      <c r="N4280" t="s">
        <v>114</v>
      </c>
      <c r="O4280" t="s">
        <v>116</v>
      </c>
    </row>
    <row r="4281" spans="1:15" x14ac:dyDescent="0.3">
      <c r="A4281" s="130">
        <v>23782</v>
      </c>
      <c r="B4281" s="130">
        <v>30</v>
      </c>
      <c r="C4281" s="130" t="s">
        <v>5905</v>
      </c>
      <c r="D4281">
        <v>36323</v>
      </c>
      <c r="E4281" s="130">
        <v>3698620</v>
      </c>
      <c r="F4281" t="s">
        <v>87</v>
      </c>
      <c r="G4281">
        <v>387</v>
      </c>
      <c r="H4281" t="s">
        <v>8952</v>
      </c>
      <c r="I4281" s="130">
        <v>49</v>
      </c>
      <c r="J4281" t="s">
        <v>5905</v>
      </c>
      <c r="K4281" t="s">
        <v>95</v>
      </c>
      <c r="L4281" t="s">
        <v>927</v>
      </c>
      <c r="M4281" t="s">
        <v>180</v>
      </c>
      <c r="N4281" t="s">
        <v>107</v>
      </c>
      <c r="O4281" t="s">
        <v>116</v>
      </c>
    </row>
    <row r="4282" spans="1:15" x14ac:dyDescent="0.3">
      <c r="A4282" s="130">
        <v>23783</v>
      </c>
      <c r="B4282" s="130">
        <v>5</v>
      </c>
      <c r="C4282" s="130" t="s">
        <v>5906</v>
      </c>
      <c r="D4282">
        <v>36325</v>
      </c>
      <c r="E4282" s="130">
        <v>7181152</v>
      </c>
      <c r="F4282" t="s">
        <v>87</v>
      </c>
      <c r="G4282">
        <v>387</v>
      </c>
      <c r="H4282" t="s">
        <v>8953</v>
      </c>
      <c r="I4282" s="130">
        <v>49</v>
      </c>
      <c r="J4282" t="s">
        <v>5906</v>
      </c>
      <c r="K4282" t="s">
        <v>95</v>
      </c>
      <c r="L4282" t="s">
        <v>927</v>
      </c>
      <c r="M4282" t="s">
        <v>129</v>
      </c>
      <c r="N4282" t="s">
        <v>107</v>
      </c>
      <c r="O4282" t="s">
        <v>116</v>
      </c>
    </row>
    <row r="4283" spans="1:15" x14ac:dyDescent="0.3">
      <c r="A4283" s="130">
        <v>23784</v>
      </c>
      <c r="B4283" s="130">
        <v>0</v>
      </c>
      <c r="C4283" s="130" t="s">
        <v>5907</v>
      </c>
      <c r="D4283">
        <v>36327</v>
      </c>
      <c r="E4283" s="131">
        <v>54183587</v>
      </c>
      <c r="F4283" t="s">
        <v>87</v>
      </c>
      <c r="G4283">
        <v>32947</v>
      </c>
      <c r="H4283" t="s">
        <v>8951</v>
      </c>
      <c r="I4283" s="131">
        <v>9</v>
      </c>
      <c r="J4283" t="s">
        <v>5907</v>
      </c>
      <c r="K4283" t="s">
        <v>95</v>
      </c>
      <c r="M4283" t="s">
        <v>100</v>
      </c>
      <c r="N4283" t="s">
        <v>124</v>
      </c>
      <c r="O4283" t="s">
        <v>1256</v>
      </c>
    </row>
    <row r="4284" spans="1:15" x14ac:dyDescent="0.3">
      <c r="A4284" s="130">
        <v>23785</v>
      </c>
      <c r="C4284" s="130" t="s">
        <v>5908</v>
      </c>
      <c r="D4284">
        <v>36328</v>
      </c>
      <c r="E4284" s="131">
        <v>18252862</v>
      </c>
      <c r="F4284" t="s">
        <v>87</v>
      </c>
      <c r="G4284">
        <v>32947</v>
      </c>
      <c r="H4284" t="s">
        <v>8952</v>
      </c>
      <c r="I4284" s="131">
        <v>9</v>
      </c>
      <c r="J4284" t="s">
        <v>5908</v>
      </c>
      <c r="K4284" t="s">
        <v>95</v>
      </c>
      <c r="L4284" t="s">
        <v>252</v>
      </c>
      <c r="N4284" t="s">
        <v>124</v>
      </c>
      <c r="O4284" t="s">
        <v>1256</v>
      </c>
    </row>
    <row r="4285" spans="1:15" x14ac:dyDescent="0.3">
      <c r="A4285" s="130">
        <v>23787</v>
      </c>
      <c r="B4285" s="130">
        <v>60</v>
      </c>
      <c r="C4285" s="130" t="s">
        <v>5909</v>
      </c>
      <c r="D4285">
        <v>36329</v>
      </c>
      <c r="E4285" s="131">
        <v>10917143</v>
      </c>
      <c r="F4285" t="s">
        <v>87</v>
      </c>
      <c r="G4285">
        <v>387</v>
      </c>
      <c r="H4285" t="s">
        <v>8953</v>
      </c>
      <c r="I4285" s="131">
        <v>49</v>
      </c>
      <c r="J4285" t="s">
        <v>5909</v>
      </c>
      <c r="K4285" t="s">
        <v>95</v>
      </c>
      <c r="L4285" t="s">
        <v>927</v>
      </c>
      <c r="M4285" t="s">
        <v>97</v>
      </c>
      <c r="N4285" t="s">
        <v>150</v>
      </c>
      <c r="O4285" t="s">
        <v>116</v>
      </c>
    </row>
    <row r="4286" spans="1:15" x14ac:dyDescent="0.3">
      <c r="A4286" s="130">
        <v>23793</v>
      </c>
      <c r="B4286" s="130">
        <v>10</v>
      </c>
      <c r="C4286" s="130" t="s">
        <v>5910</v>
      </c>
      <c r="D4286">
        <v>36343</v>
      </c>
      <c r="E4286" s="130">
        <v>1428254</v>
      </c>
      <c r="F4286" t="s">
        <v>87</v>
      </c>
      <c r="G4286">
        <v>76</v>
      </c>
      <c r="H4286" t="s">
        <v>8951</v>
      </c>
      <c r="I4286" s="131">
        <v>3</v>
      </c>
      <c r="J4286" t="s">
        <v>5910</v>
      </c>
      <c r="K4286" t="s">
        <v>108</v>
      </c>
      <c r="L4286" t="s">
        <v>1293</v>
      </c>
      <c r="M4286" t="s">
        <v>133</v>
      </c>
      <c r="N4286" t="s">
        <v>98</v>
      </c>
      <c r="O4286" t="s">
        <v>1345</v>
      </c>
    </row>
    <row r="4287" spans="1:15" x14ac:dyDescent="0.3">
      <c r="A4287" s="130">
        <v>23797</v>
      </c>
      <c r="B4287" s="130">
        <v>10</v>
      </c>
      <c r="C4287" s="130" t="s">
        <v>5911</v>
      </c>
      <c r="D4287">
        <v>36349</v>
      </c>
      <c r="E4287" s="130">
        <v>50222171</v>
      </c>
      <c r="F4287" t="s">
        <v>113</v>
      </c>
      <c r="G4287">
        <v>76</v>
      </c>
      <c r="H4287" t="s">
        <v>8952</v>
      </c>
      <c r="I4287" s="131">
        <v>3</v>
      </c>
      <c r="J4287" t="s">
        <v>5911</v>
      </c>
      <c r="K4287" t="s">
        <v>108</v>
      </c>
      <c r="L4287" t="s">
        <v>925</v>
      </c>
      <c r="M4287" t="s">
        <v>133</v>
      </c>
      <c r="N4287" t="s">
        <v>98</v>
      </c>
      <c r="O4287" t="s">
        <v>1256</v>
      </c>
    </row>
    <row r="4288" spans="1:15" x14ac:dyDescent="0.3">
      <c r="A4288" s="130">
        <v>23799</v>
      </c>
      <c r="B4288" s="130">
        <v>10</v>
      </c>
      <c r="C4288" s="130" t="s">
        <v>5912</v>
      </c>
      <c r="D4288">
        <v>36313</v>
      </c>
      <c r="E4288" s="130">
        <v>7634590</v>
      </c>
      <c r="F4288" t="s">
        <v>87</v>
      </c>
      <c r="G4288">
        <v>76</v>
      </c>
      <c r="H4288" t="s">
        <v>8953</v>
      </c>
      <c r="I4288" s="130">
        <v>9</v>
      </c>
      <c r="J4288" t="s">
        <v>5912</v>
      </c>
      <c r="K4288" t="s">
        <v>95</v>
      </c>
      <c r="L4288" t="s">
        <v>163</v>
      </c>
      <c r="M4288" t="s">
        <v>133</v>
      </c>
      <c r="N4288" t="s">
        <v>141</v>
      </c>
      <c r="O4288" t="s">
        <v>116</v>
      </c>
    </row>
    <row r="4289" spans="1:15" x14ac:dyDescent="0.3">
      <c r="A4289" s="130">
        <v>23801</v>
      </c>
      <c r="B4289" s="130">
        <v>10</v>
      </c>
      <c r="C4289" s="130" t="s">
        <v>5913</v>
      </c>
      <c r="D4289">
        <v>36345</v>
      </c>
      <c r="E4289" s="130">
        <v>1294551</v>
      </c>
      <c r="F4289" t="s">
        <v>87</v>
      </c>
      <c r="G4289">
        <v>76</v>
      </c>
      <c r="H4289" t="s">
        <v>8951</v>
      </c>
      <c r="I4289" s="130">
        <v>9</v>
      </c>
      <c r="J4289" t="s">
        <v>5913</v>
      </c>
      <c r="K4289" t="s">
        <v>108</v>
      </c>
      <c r="L4289" t="s">
        <v>163</v>
      </c>
      <c r="M4289" t="s">
        <v>133</v>
      </c>
      <c r="N4289" t="s">
        <v>114</v>
      </c>
      <c r="O4289" t="s">
        <v>1256</v>
      </c>
    </row>
    <row r="4290" spans="1:15" x14ac:dyDescent="0.3">
      <c r="A4290" s="130">
        <v>23804</v>
      </c>
      <c r="B4290" s="130">
        <v>30</v>
      </c>
      <c r="C4290" s="130" t="s">
        <v>5914</v>
      </c>
      <c r="D4290">
        <v>36354</v>
      </c>
      <c r="E4290" s="131">
        <v>29060647</v>
      </c>
      <c r="F4290" t="s">
        <v>87</v>
      </c>
      <c r="G4290">
        <v>76</v>
      </c>
      <c r="H4290" t="s">
        <v>8952</v>
      </c>
      <c r="I4290" s="130">
        <v>18</v>
      </c>
      <c r="J4290" t="s">
        <v>5914</v>
      </c>
      <c r="K4290" t="s">
        <v>95</v>
      </c>
      <c r="L4290" t="s">
        <v>123</v>
      </c>
      <c r="M4290" t="s">
        <v>103</v>
      </c>
      <c r="N4290" t="s">
        <v>98</v>
      </c>
      <c r="O4290" t="s">
        <v>116</v>
      </c>
    </row>
    <row r="4291" spans="1:15" x14ac:dyDescent="0.3">
      <c r="A4291" s="130">
        <v>23807</v>
      </c>
      <c r="B4291" s="130">
        <v>20</v>
      </c>
      <c r="C4291" s="130" t="s">
        <v>5915</v>
      </c>
      <c r="D4291">
        <v>36357</v>
      </c>
      <c r="E4291" s="130">
        <v>3102401</v>
      </c>
      <c r="F4291" t="s">
        <v>87</v>
      </c>
      <c r="G4291">
        <v>76</v>
      </c>
      <c r="H4291" t="s">
        <v>8953</v>
      </c>
      <c r="I4291" s="130">
        <v>19</v>
      </c>
      <c r="J4291" t="s">
        <v>5915</v>
      </c>
      <c r="K4291" t="s">
        <v>108</v>
      </c>
      <c r="L4291" t="s">
        <v>252</v>
      </c>
      <c r="M4291" t="s">
        <v>148</v>
      </c>
      <c r="N4291" t="s">
        <v>98</v>
      </c>
      <c r="O4291" t="s">
        <v>1256</v>
      </c>
    </row>
    <row r="4292" spans="1:15" x14ac:dyDescent="0.3">
      <c r="A4292" s="130">
        <v>23808</v>
      </c>
      <c r="B4292" s="130">
        <v>10</v>
      </c>
      <c r="C4292" s="130" t="s">
        <v>5916</v>
      </c>
      <c r="D4292">
        <v>36358</v>
      </c>
      <c r="E4292" s="130">
        <v>20772025</v>
      </c>
      <c r="F4292" t="s">
        <v>113</v>
      </c>
      <c r="G4292">
        <v>76</v>
      </c>
      <c r="H4292" t="s">
        <v>8951</v>
      </c>
      <c r="I4292" s="130">
        <v>3</v>
      </c>
      <c r="J4292" t="s">
        <v>5916</v>
      </c>
      <c r="K4292" t="s">
        <v>108</v>
      </c>
      <c r="L4292" t="s">
        <v>925</v>
      </c>
      <c r="M4292" t="s">
        <v>133</v>
      </c>
      <c r="N4292" t="s">
        <v>98</v>
      </c>
      <c r="O4292" t="s">
        <v>1256</v>
      </c>
    </row>
    <row r="4293" spans="1:15" x14ac:dyDescent="0.3">
      <c r="A4293" s="130">
        <v>23813</v>
      </c>
      <c r="B4293" s="130">
        <v>10</v>
      </c>
      <c r="C4293" s="130" t="s">
        <v>5917</v>
      </c>
      <c r="D4293">
        <v>36368</v>
      </c>
      <c r="E4293" s="130">
        <v>50317525</v>
      </c>
      <c r="F4293" t="s">
        <v>113</v>
      </c>
      <c r="G4293">
        <v>76</v>
      </c>
      <c r="H4293" t="s">
        <v>8952</v>
      </c>
      <c r="I4293" s="130">
        <v>3</v>
      </c>
      <c r="J4293" t="s">
        <v>5917</v>
      </c>
      <c r="K4293" t="s">
        <v>108</v>
      </c>
      <c r="L4293" t="s">
        <v>925</v>
      </c>
      <c r="M4293" t="s">
        <v>133</v>
      </c>
      <c r="N4293" t="s">
        <v>98</v>
      </c>
      <c r="O4293" t="s">
        <v>1256</v>
      </c>
    </row>
    <row r="4294" spans="1:15" x14ac:dyDescent="0.3">
      <c r="A4294" s="130">
        <v>23814</v>
      </c>
      <c r="B4294" s="130">
        <v>90</v>
      </c>
      <c r="C4294" s="130" t="s">
        <v>5918</v>
      </c>
      <c r="D4294">
        <v>36371</v>
      </c>
      <c r="E4294" s="130">
        <v>35234509</v>
      </c>
      <c r="F4294" t="s">
        <v>87</v>
      </c>
      <c r="G4294">
        <v>32947</v>
      </c>
      <c r="H4294" t="s">
        <v>8953</v>
      </c>
      <c r="I4294" s="130">
        <v>24</v>
      </c>
      <c r="J4294" t="s">
        <v>5918</v>
      </c>
      <c r="K4294" t="s">
        <v>108</v>
      </c>
      <c r="L4294" t="s">
        <v>102</v>
      </c>
      <c r="M4294" t="s">
        <v>170</v>
      </c>
      <c r="N4294" t="s">
        <v>101</v>
      </c>
      <c r="O4294" t="s">
        <v>116</v>
      </c>
    </row>
    <row r="4295" spans="1:15" x14ac:dyDescent="0.3">
      <c r="A4295" s="130">
        <v>23818</v>
      </c>
      <c r="B4295" s="130">
        <v>10</v>
      </c>
      <c r="C4295" s="130" t="s">
        <v>5919</v>
      </c>
      <c r="D4295">
        <v>36379</v>
      </c>
      <c r="E4295" s="130">
        <v>61584223</v>
      </c>
      <c r="F4295" t="s">
        <v>87</v>
      </c>
      <c r="G4295">
        <v>76</v>
      </c>
      <c r="H4295" t="s">
        <v>8951</v>
      </c>
      <c r="I4295" s="130">
        <v>3</v>
      </c>
      <c r="J4295" t="s">
        <v>5919</v>
      </c>
      <c r="K4295" t="s">
        <v>108</v>
      </c>
      <c r="L4295" t="s">
        <v>925</v>
      </c>
      <c r="M4295" t="s">
        <v>133</v>
      </c>
      <c r="N4295" t="s">
        <v>98</v>
      </c>
      <c r="O4295" t="s">
        <v>1256</v>
      </c>
    </row>
    <row r="4296" spans="1:15" x14ac:dyDescent="0.3">
      <c r="A4296" s="130">
        <v>23832</v>
      </c>
      <c r="B4296" s="130">
        <v>30</v>
      </c>
      <c r="C4296" s="130" t="s">
        <v>5920</v>
      </c>
      <c r="D4296">
        <v>36392</v>
      </c>
      <c r="E4296" s="130">
        <v>19235340</v>
      </c>
      <c r="F4296" t="s">
        <v>87</v>
      </c>
      <c r="G4296">
        <v>32947</v>
      </c>
      <c r="H4296" t="s">
        <v>8952</v>
      </c>
      <c r="I4296" s="130">
        <v>9</v>
      </c>
      <c r="J4296" t="s">
        <v>5920</v>
      </c>
      <c r="K4296" t="s">
        <v>108</v>
      </c>
      <c r="L4296" t="s">
        <v>111</v>
      </c>
      <c r="M4296" t="s">
        <v>103</v>
      </c>
      <c r="N4296" t="s">
        <v>98</v>
      </c>
      <c r="O4296" t="s">
        <v>116</v>
      </c>
    </row>
    <row r="4297" spans="1:15" x14ac:dyDescent="0.3">
      <c r="A4297" s="130">
        <v>23833</v>
      </c>
      <c r="B4297" s="130">
        <v>10</v>
      </c>
      <c r="C4297" s="130" t="s">
        <v>5921</v>
      </c>
      <c r="D4297">
        <v>36395</v>
      </c>
      <c r="E4297" s="130">
        <v>5346072</v>
      </c>
      <c r="F4297" t="s">
        <v>87</v>
      </c>
      <c r="G4297">
        <v>76</v>
      </c>
      <c r="H4297" t="s">
        <v>8953</v>
      </c>
      <c r="I4297" s="130">
        <v>3</v>
      </c>
      <c r="J4297" t="s">
        <v>5921</v>
      </c>
      <c r="K4297" t="s">
        <v>108</v>
      </c>
      <c r="L4297" t="s">
        <v>925</v>
      </c>
      <c r="M4297" t="s">
        <v>133</v>
      </c>
      <c r="N4297" t="s">
        <v>98</v>
      </c>
      <c r="O4297" t="s">
        <v>1256</v>
      </c>
    </row>
    <row r="4298" spans="1:15" x14ac:dyDescent="0.3">
      <c r="A4298" s="130">
        <v>23839</v>
      </c>
      <c r="B4298" s="130">
        <v>18</v>
      </c>
      <c r="C4298" s="130" t="s">
        <v>5922</v>
      </c>
      <c r="D4298">
        <v>36403</v>
      </c>
      <c r="E4298" s="130">
        <v>17367338</v>
      </c>
      <c r="F4298" t="s">
        <v>87</v>
      </c>
      <c r="G4298">
        <v>76</v>
      </c>
      <c r="H4298" t="s">
        <v>8951</v>
      </c>
      <c r="I4298" s="130">
        <v>26</v>
      </c>
      <c r="J4298" t="s">
        <v>5922</v>
      </c>
      <c r="K4298" t="s">
        <v>108</v>
      </c>
      <c r="L4298" t="s">
        <v>193</v>
      </c>
      <c r="M4298" t="s">
        <v>112</v>
      </c>
      <c r="N4298" t="s">
        <v>98</v>
      </c>
      <c r="O4298" t="s">
        <v>116</v>
      </c>
    </row>
    <row r="4299" spans="1:15" x14ac:dyDescent="0.3">
      <c r="A4299" s="130">
        <v>23848</v>
      </c>
      <c r="B4299" s="130">
        <v>-1</v>
      </c>
      <c r="C4299" s="130" t="s">
        <v>5923</v>
      </c>
      <c r="D4299">
        <v>36413</v>
      </c>
      <c r="E4299" s="130">
        <v>6842052629</v>
      </c>
      <c r="F4299" t="s">
        <v>87</v>
      </c>
      <c r="G4299">
        <v>76</v>
      </c>
      <c r="H4299" t="s">
        <v>8952</v>
      </c>
      <c r="I4299" s="131">
        <v>3</v>
      </c>
      <c r="J4299" t="s">
        <v>5923</v>
      </c>
      <c r="K4299" t="s">
        <v>108</v>
      </c>
      <c r="L4299" t="s">
        <v>153</v>
      </c>
      <c r="M4299" t="s">
        <v>174</v>
      </c>
      <c r="N4299" t="s">
        <v>98</v>
      </c>
      <c r="O4299" t="s">
        <v>116</v>
      </c>
    </row>
    <row r="4300" spans="1:15" x14ac:dyDescent="0.3">
      <c r="A4300" s="130">
        <v>23852</v>
      </c>
      <c r="B4300" s="130">
        <v>30</v>
      </c>
      <c r="C4300" s="130" t="s">
        <v>5924</v>
      </c>
      <c r="D4300">
        <v>36429</v>
      </c>
      <c r="E4300" s="130">
        <v>7522191</v>
      </c>
      <c r="F4300" t="s">
        <v>87</v>
      </c>
      <c r="G4300">
        <v>76</v>
      </c>
      <c r="H4300" t="s">
        <v>8953</v>
      </c>
      <c r="I4300" s="130">
        <v>9</v>
      </c>
      <c r="J4300" t="s">
        <v>5924</v>
      </c>
      <c r="K4300" t="s">
        <v>95</v>
      </c>
      <c r="L4300" t="s">
        <v>163</v>
      </c>
      <c r="M4300" t="s">
        <v>103</v>
      </c>
      <c r="N4300" t="s">
        <v>98</v>
      </c>
      <c r="O4300" t="s">
        <v>116</v>
      </c>
    </row>
    <row r="4301" spans="1:15" x14ac:dyDescent="0.3">
      <c r="A4301" s="130">
        <v>23853</v>
      </c>
      <c r="B4301" s="130">
        <v>30</v>
      </c>
      <c r="C4301" s="130" t="s">
        <v>5925</v>
      </c>
      <c r="D4301">
        <v>36430</v>
      </c>
      <c r="E4301" s="131">
        <v>17069832</v>
      </c>
      <c r="F4301" t="s">
        <v>87</v>
      </c>
      <c r="G4301">
        <v>76</v>
      </c>
      <c r="H4301" t="s">
        <v>8951</v>
      </c>
      <c r="I4301" s="130">
        <v>37</v>
      </c>
      <c r="J4301" t="s">
        <v>5925</v>
      </c>
      <c r="K4301" t="s">
        <v>95</v>
      </c>
      <c r="L4301" t="s">
        <v>144</v>
      </c>
      <c r="M4301" t="s">
        <v>103</v>
      </c>
      <c r="N4301" t="s">
        <v>98</v>
      </c>
      <c r="O4301" t="s">
        <v>116</v>
      </c>
    </row>
    <row r="4302" spans="1:15" x14ac:dyDescent="0.3">
      <c r="A4302" s="130">
        <v>23855</v>
      </c>
      <c r="B4302" s="130">
        <v>10</v>
      </c>
      <c r="C4302" s="130" t="s">
        <v>5926</v>
      </c>
      <c r="D4302">
        <v>36432</v>
      </c>
      <c r="E4302" s="131">
        <v>20468310</v>
      </c>
      <c r="F4302" t="s">
        <v>87</v>
      </c>
      <c r="G4302">
        <v>76</v>
      </c>
      <c r="H4302" t="s">
        <v>8952</v>
      </c>
      <c r="I4302" s="131">
        <v>3</v>
      </c>
      <c r="J4302" t="s">
        <v>5926</v>
      </c>
      <c r="K4302" t="s">
        <v>108</v>
      </c>
      <c r="L4302" t="s">
        <v>925</v>
      </c>
      <c r="M4302" t="s">
        <v>133</v>
      </c>
      <c r="N4302" t="s">
        <v>122</v>
      </c>
      <c r="O4302" t="s">
        <v>1256</v>
      </c>
    </row>
    <row r="4303" spans="1:15" x14ac:dyDescent="0.3">
      <c r="A4303" s="130">
        <v>23856</v>
      </c>
      <c r="B4303" s="130">
        <v>30</v>
      </c>
      <c r="C4303" s="130" t="s">
        <v>5927</v>
      </c>
      <c r="D4303">
        <v>36433</v>
      </c>
      <c r="E4303" s="130">
        <v>83693366</v>
      </c>
      <c r="F4303" t="s">
        <v>87</v>
      </c>
      <c r="G4303">
        <v>32947</v>
      </c>
      <c r="H4303" t="s">
        <v>8953</v>
      </c>
      <c r="I4303" s="130">
        <v>43</v>
      </c>
      <c r="J4303" t="s">
        <v>5927</v>
      </c>
      <c r="K4303" t="s">
        <v>108</v>
      </c>
      <c r="L4303" t="s">
        <v>111</v>
      </c>
      <c r="M4303" t="s">
        <v>103</v>
      </c>
      <c r="N4303" t="s">
        <v>98</v>
      </c>
      <c r="O4303" t="s">
        <v>116</v>
      </c>
    </row>
    <row r="4304" spans="1:15" x14ac:dyDescent="0.3">
      <c r="A4304" s="130">
        <v>23859</v>
      </c>
      <c r="B4304" s="130">
        <v>20</v>
      </c>
      <c r="C4304" s="130" t="s">
        <v>5928</v>
      </c>
      <c r="D4304">
        <v>36435</v>
      </c>
      <c r="E4304" s="130">
        <v>12049631</v>
      </c>
      <c r="F4304" t="s">
        <v>87</v>
      </c>
      <c r="G4304">
        <v>76</v>
      </c>
      <c r="H4304" t="s">
        <v>8951</v>
      </c>
      <c r="I4304" s="131">
        <v>19</v>
      </c>
      <c r="J4304" t="s">
        <v>5928</v>
      </c>
      <c r="K4304" t="s">
        <v>108</v>
      </c>
      <c r="L4304" t="s">
        <v>252</v>
      </c>
      <c r="M4304" t="s">
        <v>148</v>
      </c>
      <c r="N4304" t="s">
        <v>98</v>
      </c>
      <c r="O4304" t="s">
        <v>116</v>
      </c>
    </row>
    <row r="4305" spans="1:15" x14ac:dyDescent="0.3">
      <c r="A4305" s="130">
        <v>23860</v>
      </c>
      <c r="B4305" s="130">
        <v>30</v>
      </c>
      <c r="C4305" s="130" t="s">
        <v>5929</v>
      </c>
      <c r="D4305">
        <v>36437</v>
      </c>
      <c r="E4305" s="130">
        <v>17159856</v>
      </c>
      <c r="F4305" t="s">
        <v>87</v>
      </c>
      <c r="G4305">
        <v>76</v>
      </c>
      <c r="H4305" t="s">
        <v>8952</v>
      </c>
      <c r="I4305" s="131">
        <v>3</v>
      </c>
      <c r="J4305" t="s">
        <v>5929</v>
      </c>
      <c r="K4305" t="s">
        <v>95</v>
      </c>
      <c r="L4305" t="s">
        <v>925</v>
      </c>
      <c r="M4305" t="s">
        <v>103</v>
      </c>
      <c r="N4305" t="s">
        <v>98</v>
      </c>
      <c r="O4305" t="s">
        <v>1256</v>
      </c>
    </row>
    <row r="4306" spans="1:15" x14ac:dyDescent="0.3">
      <c r="A4306" s="130">
        <v>23862</v>
      </c>
      <c r="B4306" s="130">
        <v>0</v>
      </c>
      <c r="C4306" s="130" t="s">
        <v>5930</v>
      </c>
      <c r="D4306">
        <v>36438</v>
      </c>
      <c r="E4306" s="130">
        <v>20009382</v>
      </c>
      <c r="F4306" t="s">
        <v>87</v>
      </c>
      <c r="G4306">
        <v>77</v>
      </c>
      <c r="H4306" t="s">
        <v>8953</v>
      </c>
      <c r="I4306" s="131">
        <v>18</v>
      </c>
      <c r="J4306" t="s">
        <v>5930</v>
      </c>
      <c r="K4306" t="s">
        <v>95</v>
      </c>
      <c r="L4306" t="s">
        <v>926</v>
      </c>
      <c r="M4306" t="s">
        <v>100</v>
      </c>
      <c r="N4306" t="s">
        <v>131</v>
      </c>
      <c r="O4306" t="s">
        <v>244</v>
      </c>
    </row>
    <row r="4307" spans="1:15" x14ac:dyDescent="0.3">
      <c r="A4307" s="130">
        <v>23863</v>
      </c>
      <c r="B4307" s="130">
        <v>20</v>
      </c>
      <c r="C4307" s="130" t="s">
        <v>5931</v>
      </c>
      <c r="D4307">
        <v>36444</v>
      </c>
      <c r="E4307" s="130">
        <v>545355</v>
      </c>
      <c r="F4307" t="s">
        <v>87</v>
      </c>
      <c r="G4307">
        <v>76</v>
      </c>
      <c r="H4307" t="s">
        <v>8951</v>
      </c>
      <c r="I4307" s="130">
        <v>19</v>
      </c>
      <c r="J4307" t="s">
        <v>5931</v>
      </c>
      <c r="K4307" t="s">
        <v>108</v>
      </c>
      <c r="L4307" t="s">
        <v>252</v>
      </c>
      <c r="M4307" t="s">
        <v>148</v>
      </c>
      <c r="N4307" t="s">
        <v>98</v>
      </c>
      <c r="O4307" t="s">
        <v>116</v>
      </c>
    </row>
    <row r="4308" spans="1:15" x14ac:dyDescent="0.3">
      <c r="A4308" s="130">
        <v>23868</v>
      </c>
      <c r="B4308" s="130">
        <v>28</v>
      </c>
      <c r="C4308" s="130" t="s">
        <v>5932</v>
      </c>
      <c r="D4308">
        <v>36449</v>
      </c>
      <c r="E4308" s="130">
        <v>7147444</v>
      </c>
      <c r="F4308" t="s">
        <v>87</v>
      </c>
      <c r="G4308">
        <v>76</v>
      </c>
      <c r="H4308" t="s">
        <v>8952</v>
      </c>
      <c r="I4308" s="130">
        <v>18</v>
      </c>
      <c r="J4308" t="s">
        <v>5932</v>
      </c>
      <c r="K4308" t="s">
        <v>108</v>
      </c>
      <c r="L4308" t="s">
        <v>253</v>
      </c>
      <c r="M4308" t="s">
        <v>130</v>
      </c>
      <c r="N4308" t="s">
        <v>98</v>
      </c>
      <c r="O4308" t="s">
        <v>1256</v>
      </c>
    </row>
    <row r="4309" spans="1:15" x14ac:dyDescent="0.3">
      <c r="A4309" s="130">
        <v>23869</v>
      </c>
      <c r="B4309" s="130">
        <v>10</v>
      </c>
      <c r="C4309" s="130" t="s">
        <v>5933</v>
      </c>
      <c r="D4309">
        <v>36450</v>
      </c>
      <c r="E4309" s="130">
        <v>21296114</v>
      </c>
      <c r="F4309" t="s">
        <v>87</v>
      </c>
      <c r="G4309">
        <v>32947</v>
      </c>
      <c r="H4309" t="s">
        <v>8953</v>
      </c>
      <c r="I4309" s="131">
        <v>18</v>
      </c>
      <c r="J4309" t="s">
        <v>5933</v>
      </c>
      <c r="K4309" t="s">
        <v>108</v>
      </c>
      <c r="L4309" t="s">
        <v>193</v>
      </c>
      <c r="M4309" t="s">
        <v>133</v>
      </c>
      <c r="N4309" t="s">
        <v>98</v>
      </c>
      <c r="O4309" t="s">
        <v>116</v>
      </c>
    </row>
    <row r="4310" spans="1:15" x14ac:dyDescent="0.3">
      <c r="A4310" s="130">
        <v>23870</v>
      </c>
      <c r="B4310" s="130">
        <v>-1</v>
      </c>
      <c r="C4310" s="130" t="s">
        <v>5934</v>
      </c>
      <c r="D4310">
        <v>36454</v>
      </c>
      <c r="E4310" s="131">
        <v>17169580</v>
      </c>
      <c r="F4310" t="s">
        <v>87</v>
      </c>
      <c r="G4310">
        <v>76</v>
      </c>
      <c r="H4310" t="s">
        <v>8951</v>
      </c>
      <c r="I4310" s="131">
        <v>37</v>
      </c>
      <c r="J4310" t="s">
        <v>5934</v>
      </c>
      <c r="K4310" t="s">
        <v>108</v>
      </c>
      <c r="L4310" t="s">
        <v>240</v>
      </c>
      <c r="M4310" t="s">
        <v>174</v>
      </c>
      <c r="N4310" t="s">
        <v>141</v>
      </c>
      <c r="O4310" t="s">
        <v>1345</v>
      </c>
    </row>
    <row r="4311" spans="1:15" x14ac:dyDescent="0.3">
      <c r="A4311" s="130">
        <v>23880</v>
      </c>
      <c r="B4311" s="130">
        <v>30</v>
      </c>
      <c r="C4311" s="130" t="s">
        <v>5935</v>
      </c>
      <c r="D4311">
        <v>36466</v>
      </c>
      <c r="E4311" s="130">
        <v>15315406</v>
      </c>
      <c r="F4311" t="s">
        <v>87</v>
      </c>
      <c r="G4311">
        <v>77</v>
      </c>
      <c r="H4311" t="s">
        <v>8952</v>
      </c>
      <c r="I4311" s="130">
        <v>3</v>
      </c>
      <c r="J4311" t="s">
        <v>5935</v>
      </c>
      <c r="K4311" t="s">
        <v>95</v>
      </c>
      <c r="L4311" t="s">
        <v>256</v>
      </c>
      <c r="M4311" t="s">
        <v>103</v>
      </c>
      <c r="N4311" t="s">
        <v>98</v>
      </c>
      <c r="O4311" t="s">
        <v>116</v>
      </c>
    </row>
    <row r="4312" spans="1:15" x14ac:dyDescent="0.3">
      <c r="A4312" s="130">
        <v>23881</v>
      </c>
      <c r="B4312" s="130">
        <v>28</v>
      </c>
      <c r="C4312" s="130" t="s">
        <v>5936</v>
      </c>
      <c r="D4312">
        <v>36469</v>
      </c>
      <c r="E4312" s="130">
        <v>50549444</v>
      </c>
      <c r="F4312" t="s">
        <v>87</v>
      </c>
      <c r="G4312">
        <v>76</v>
      </c>
      <c r="H4312" t="s">
        <v>8953</v>
      </c>
      <c r="I4312" s="130">
        <v>37</v>
      </c>
      <c r="J4312" t="s">
        <v>5936</v>
      </c>
      <c r="K4312" t="s">
        <v>95</v>
      </c>
      <c r="L4312" t="s">
        <v>138</v>
      </c>
      <c r="M4312" t="s">
        <v>130</v>
      </c>
      <c r="N4312" t="s">
        <v>150</v>
      </c>
      <c r="O4312" t="s">
        <v>116</v>
      </c>
    </row>
    <row r="4313" spans="1:15" x14ac:dyDescent="0.3">
      <c r="A4313" s="130">
        <v>23895</v>
      </c>
      <c r="B4313" s="130">
        <v>10</v>
      </c>
      <c r="C4313" s="130" t="s">
        <v>5937</v>
      </c>
      <c r="D4313">
        <v>36505</v>
      </c>
      <c r="E4313" s="130">
        <v>36089075</v>
      </c>
      <c r="F4313" t="s">
        <v>87</v>
      </c>
      <c r="G4313">
        <v>76</v>
      </c>
      <c r="H4313" t="s">
        <v>8951</v>
      </c>
      <c r="I4313" s="130">
        <v>3</v>
      </c>
      <c r="J4313" t="s">
        <v>5937</v>
      </c>
      <c r="K4313" t="s">
        <v>108</v>
      </c>
      <c r="L4313" t="s">
        <v>925</v>
      </c>
      <c r="M4313" t="s">
        <v>133</v>
      </c>
      <c r="N4313" t="s">
        <v>98</v>
      </c>
      <c r="O4313" t="s">
        <v>1256</v>
      </c>
    </row>
    <row r="4314" spans="1:15" x14ac:dyDescent="0.3">
      <c r="A4314" s="130">
        <v>23898</v>
      </c>
      <c r="B4314" s="130" t="s">
        <v>135</v>
      </c>
      <c r="C4314" s="130" t="s">
        <v>5938</v>
      </c>
      <c r="D4314">
        <v>36511</v>
      </c>
      <c r="E4314" s="130">
        <v>60863404</v>
      </c>
      <c r="F4314" t="s">
        <v>87</v>
      </c>
      <c r="G4314">
        <v>76</v>
      </c>
      <c r="H4314" t="s">
        <v>8952</v>
      </c>
      <c r="I4314" s="130">
        <v>3</v>
      </c>
      <c r="J4314" t="s">
        <v>5938</v>
      </c>
      <c r="K4314" t="s">
        <v>108</v>
      </c>
      <c r="L4314" t="s">
        <v>1293</v>
      </c>
      <c r="M4314" t="s">
        <v>136</v>
      </c>
      <c r="N4314" t="s">
        <v>98</v>
      </c>
      <c r="O4314" t="s">
        <v>116</v>
      </c>
    </row>
    <row r="4315" spans="1:15" x14ac:dyDescent="0.3">
      <c r="A4315" s="130">
        <v>23899</v>
      </c>
      <c r="B4315" s="130">
        <v>30</v>
      </c>
      <c r="C4315" s="130" t="s">
        <v>5939</v>
      </c>
      <c r="D4315">
        <v>36512</v>
      </c>
      <c r="E4315" s="131">
        <v>8811226</v>
      </c>
      <c r="F4315" t="s">
        <v>87</v>
      </c>
      <c r="G4315">
        <v>32947</v>
      </c>
      <c r="H4315" t="s">
        <v>8953</v>
      </c>
      <c r="I4315" s="130">
        <v>43</v>
      </c>
      <c r="J4315" t="s">
        <v>5939</v>
      </c>
      <c r="K4315" t="s">
        <v>108</v>
      </c>
      <c r="L4315" t="s">
        <v>1368</v>
      </c>
      <c r="M4315" t="s">
        <v>103</v>
      </c>
      <c r="N4315" t="s">
        <v>114</v>
      </c>
      <c r="O4315" t="s">
        <v>116</v>
      </c>
    </row>
    <row r="4316" spans="1:15" x14ac:dyDescent="0.3">
      <c r="A4316" s="130">
        <v>23907</v>
      </c>
      <c r="B4316" s="130">
        <v>30</v>
      </c>
      <c r="C4316" s="130" t="s">
        <v>5940</v>
      </c>
      <c r="D4316">
        <v>36524</v>
      </c>
      <c r="E4316" s="130">
        <v>82502196</v>
      </c>
      <c r="F4316" t="s">
        <v>87</v>
      </c>
      <c r="G4316">
        <v>76</v>
      </c>
      <c r="H4316" t="s">
        <v>8951</v>
      </c>
      <c r="I4316" s="131">
        <v>9</v>
      </c>
      <c r="J4316" t="s">
        <v>5940</v>
      </c>
      <c r="K4316" t="s">
        <v>95</v>
      </c>
      <c r="L4316" t="s">
        <v>163</v>
      </c>
      <c r="M4316" t="s">
        <v>103</v>
      </c>
      <c r="N4316" t="s">
        <v>98</v>
      </c>
      <c r="O4316" t="s">
        <v>116</v>
      </c>
    </row>
    <row r="4317" spans="1:15" x14ac:dyDescent="0.3">
      <c r="A4317" s="130">
        <v>23908</v>
      </c>
      <c r="B4317" s="130">
        <v>30</v>
      </c>
      <c r="C4317" s="130" t="s">
        <v>5941</v>
      </c>
      <c r="D4317">
        <v>36525</v>
      </c>
      <c r="E4317" s="130">
        <v>18594208</v>
      </c>
      <c r="F4317" t="s">
        <v>87</v>
      </c>
      <c r="G4317">
        <v>76</v>
      </c>
      <c r="H4317" t="s">
        <v>8952</v>
      </c>
      <c r="I4317" s="131">
        <v>3</v>
      </c>
      <c r="J4317" t="s">
        <v>5941</v>
      </c>
      <c r="K4317" t="s">
        <v>108</v>
      </c>
      <c r="L4317" t="s">
        <v>1293</v>
      </c>
      <c r="M4317" t="s">
        <v>103</v>
      </c>
      <c r="N4317" t="s">
        <v>98</v>
      </c>
      <c r="O4317" t="s">
        <v>116</v>
      </c>
    </row>
    <row r="4318" spans="1:15" x14ac:dyDescent="0.3">
      <c r="A4318" s="130">
        <v>23910</v>
      </c>
      <c r="B4318" s="130">
        <v>18</v>
      </c>
      <c r="C4318" s="130" t="s">
        <v>5942</v>
      </c>
      <c r="D4318">
        <v>36528</v>
      </c>
      <c r="E4318" s="131">
        <v>6273742</v>
      </c>
      <c r="F4318" t="s">
        <v>113</v>
      </c>
      <c r="G4318">
        <v>76</v>
      </c>
      <c r="H4318" t="s">
        <v>8953</v>
      </c>
      <c r="I4318" s="130">
        <v>9</v>
      </c>
      <c r="J4318" t="s">
        <v>5942</v>
      </c>
      <c r="K4318" t="s">
        <v>108</v>
      </c>
      <c r="L4318" t="s">
        <v>1298</v>
      </c>
      <c r="M4318" t="s">
        <v>112</v>
      </c>
      <c r="N4318" t="s">
        <v>98</v>
      </c>
      <c r="O4318" t="s">
        <v>1256</v>
      </c>
    </row>
    <row r="4319" spans="1:15" x14ac:dyDescent="0.3">
      <c r="A4319" s="130">
        <v>23911</v>
      </c>
      <c r="B4319" s="130">
        <v>-1</v>
      </c>
      <c r="C4319" s="130" t="s">
        <v>5943</v>
      </c>
      <c r="D4319">
        <v>36531</v>
      </c>
      <c r="E4319" s="131">
        <v>26614327</v>
      </c>
      <c r="F4319" t="s">
        <v>87</v>
      </c>
      <c r="G4319">
        <v>32947</v>
      </c>
      <c r="H4319" t="s">
        <v>8951</v>
      </c>
      <c r="I4319" s="131">
        <v>3</v>
      </c>
      <c r="J4319" t="s">
        <v>5943</v>
      </c>
      <c r="K4319" t="s">
        <v>108</v>
      </c>
      <c r="L4319" t="s">
        <v>1293</v>
      </c>
      <c r="M4319" t="s">
        <v>174</v>
      </c>
      <c r="N4319" t="s">
        <v>98</v>
      </c>
      <c r="O4319" t="s">
        <v>116</v>
      </c>
    </row>
    <row r="4320" spans="1:15" x14ac:dyDescent="0.3">
      <c r="A4320" s="130">
        <v>23916</v>
      </c>
      <c r="B4320" s="130">
        <v>18</v>
      </c>
      <c r="C4320" s="130" t="s">
        <v>5944</v>
      </c>
      <c r="D4320">
        <v>36537</v>
      </c>
      <c r="E4320" s="130">
        <v>12363277</v>
      </c>
      <c r="F4320" t="s">
        <v>87</v>
      </c>
      <c r="G4320">
        <v>76</v>
      </c>
      <c r="H4320" t="s">
        <v>8952</v>
      </c>
      <c r="I4320" s="131">
        <v>37</v>
      </c>
      <c r="J4320" t="s">
        <v>5944</v>
      </c>
      <c r="K4320" t="s">
        <v>108</v>
      </c>
      <c r="L4320" t="s">
        <v>138</v>
      </c>
      <c r="M4320" t="s">
        <v>112</v>
      </c>
      <c r="N4320" t="s">
        <v>114</v>
      </c>
      <c r="O4320" t="s">
        <v>116</v>
      </c>
    </row>
    <row r="4321" spans="1:15" x14ac:dyDescent="0.3">
      <c r="A4321" s="130">
        <v>23923</v>
      </c>
      <c r="B4321" s="130">
        <v>30</v>
      </c>
      <c r="C4321" s="130" t="s">
        <v>5945</v>
      </c>
      <c r="D4321">
        <v>36551</v>
      </c>
      <c r="E4321" s="130">
        <v>5515245</v>
      </c>
      <c r="F4321" t="s">
        <v>87</v>
      </c>
      <c r="G4321">
        <v>76</v>
      </c>
      <c r="H4321" t="s">
        <v>8953</v>
      </c>
      <c r="I4321" s="131">
        <v>9</v>
      </c>
      <c r="J4321" t="s">
        <v>5945</v>
      </c>
      <c r="K4321" t="s">
        <v>95</v>
      </c>
      <c r="L4321" t="s">
        <v>163</v>
      </c>
      <c r="M4321" t="s">
        <v>103</v>
      </c>
      <c r="N4321" t="s">
        <v>98</v>
      </c>
      <c r="O4321" t="s">
        <v>116</v>
      </c>
    </row>
    <row r="4322" spans="1:15" x14ac:dyDescent="0.3">
      <c r="A4322" s="130">
        <v>23925</v>
      </c>
      <c r="B4322" s="130">
        <v>0</v>
      </c>
      <c r="C4322" s="130" t="s">
        <v>5946</v>
      </c>
      <c r="D4322">
        <v>36554</v>
      </c>
      <c r="E4322" s="130">
        <v>10246648</v>
      </c>
      <c r="F4322" t="s">
        <v>87</v>
      </c>
      <c r="G4322">
        <v>32947</v>
      </c>
      <c r="H4322" t="s">
        <v>8951</v>
      </c>
      <c r="I4322" s="130">
        <v>43</v>
      </c>
      <c r="J4322" t="s">
        <v>5946</v>
      </c>
      <c r="K4322" t="s">
        <v>108</v>
      </c>
      <c r="L4322" t="s">
        <v>1241</v>
      </c>
      <c r="M4322" t="s">
        <v>100</v>
      </c>
      <c r="N4322" t="s">
        <v>98</v>
      </c>
      <c r="O4322" t="s">
        <v>1256</v>
      </c>
    </row>
    <row r="4323" spans="1:15" x14ac:dyDescent="0.3">
      <c r="A4323" s="130">
        <v>23933</v>
      </c>
      <c r="B4323" s="130">
        <v>5</v>
      </c>
      <c r="C4323" s="130" t="s">
        <v>5947</v>
      </c>
      <c r="D4323">
        <v>36568</v>
      </c>
      <c r="E4323" s="131">
        <v>83646547</v>
      </c>
      <c r="F4323" t="s">
        <v>87</v>
      </c>
      <c r="G4323">
        <v>32947</v>
      </c>
      <c r="H4323" t="s">
        <v>8952</v>
      </c>
      <c r="I4323" s="131">
        <v>10</v>
      </c>
      <c r="J4323" t="s">
        <v>5947</v>
      </c>
      <c r="K4323" t="s">
        <v>95</v>
      </c>
      <c r="L4323" t="s">
        <v>111</v>
      </c>
      <c r="M4323" t="s">
        <v>129</v>
      </c>
      <c r="N4323" t="s">
        <v>98</v>
      </c>
      <c r="O4323" t="s">
        <v>116</v>
      </c>
    </row>
    <row r="4324" spans="1:15" x14ac:dyDescent="0.3">
      <c r="A4324" s="130">
        <v>23937</v>
      </c>
      <c r="B4324" s="130">
        <v>20</v>
      </c>
      <c r="C4324" s="130" t="s">
        <v>5948</v>
      </c>
      <c r="D4324">
        <v>36574</v>
      </c>
      <c r="E4324" s="131">
        <v>21706811</v>
      </c>
      <c r="F4324" t="s">
        <v>87</v>
      </c>
      <c r="G4324">
        <v>76</v>
      </c>
      <c r="H4324" t="s">
        <v>8953</v>
      </c>
      <c r="I4324" s="131">
        <v>19</v>
      </c>
      <c r="J4324" t="s">
        <v>5948</v>
      </c>
      <c r="K4324" t="s">
        <v>108</v>
      </c>
      <c r="L4324" t="s">
        <v>252</v>
      </c>
      <c r="M4324" t="s">
        <v>148</v>
      </c>
      <c r="N4324" t="s">
        <v>98</v>
      </c>
      <c r="O4324" t="s">
        <v>1256</v>
      </c>
    </row>
    <row r="4325" spans="1:15" x14ac:dyDescent="0.3">
      <c r="A4325" s="130">
        <v>23939</v>
      </c>
      <c r="B4325" s="130">
        <v>10</v>
      </c>
      <c r="C4325" s="130" t="s">
        <v>5949</v>
      </c>
      <c r="D4325">
        <v>36581</v>
      </c>
      <c r="E4325" s="130">
        <v>83693366</v>
      </c>
      <c r="F4325" t="s">
        <v>87</v>
      </c>
      <c r="G4325">
        <v>76</v>
      </c>
      <c r="H4325" t="s">
        <v>8951</v>
      </c>
      <c r="I4325" s="130">
        <v>9</v>
      </c>
      <c r="J4325" t="s">
        <v>5949</v>
      </c>
      <c r="K4325" t="s">
        <v>108</v>
      </c>
      <c r="L4325" t="s">
        <v>163</v>
      </c>
      <c r="M4325" t="s">
        <v>133</v>
      </c>
      <c r="N4325" t="s">
        <v>98</v>
      </c>
      <c r="O4325" t="s">
        <v>1256</v>
      </c>
    </row>
    <row r="4326" spans="1:15" x14ac:dyDescent="0.3">
      <c r="A4326" s="130">
        <v>23950</v>
      </c>
      <c r="B4326" s="130">
        <v>21</v>
      </c>
      <c r="C4326" s="130" t="s">
        <v>5950</v>
      </c>
      <c r="D4326">
        <v>36601</v>
      </c>
      <c r="E4326" s="130">
        <v>3534661</v>
      </c>
      <c r="F4326" t="s">
        <v>87</v>
      </c>
      <c r="G4326">
        <v>76</v>
      </c>
      <c r="H4326" t="s">
        <v>8952</v>
      </c>
      <c r="I4326" s="130">
        <v>24</v>
      </c>
      <c r="J4326" t="s">
        <v>5950</v>
      </c>
      <c r="K4326" t="s">
        <v>108</v>
      </c>
      <c r="L4326" t="s">
        <v>191</v>
      </c>
      <c r="M4326" t="s">
        <v>137</v>
      </c>
      <c r="N4326" t="s">
        <v>98</v>
      </c>
      <c r="O4326" t="s">
        <v>1256</v>
      </c>
    </row>
    <row r="4327" spans="1:15" x14ac:dyDescent="0.3">
      <c r="A4327" s="130">
        <v>23952</v>
      </c>
      <c r="B4327" s="130">
        <v>28</v>
      </c>
      <c r="C4327" s="130" t="s">
        <v>5951</v>
      </c>
      <c r="D4327">
        <v>36604</v>
      </c>
      <c r="E4327" s="131">
        <v>33220880</v>
      </c>
      <c r="F4327" t="s">
        <v>113</v>
      </c>
      <c r="G4327">
        <v>76</v>
      </c>
      <c r="H4327" t="s">
        <v>8953</v>
      </c>
      <c r="I4327" s="130">
        <v>18</v>
      </c>
      <c r="J4327" t="s">
        <v>5951</v>
      </c>
      <c r="K4327" t="s">
        <v>108</v>
      </c>
      <c r="L4327" t="s">
        <v>253</v>
      </c>
      <c r="M4327" t="s">
        <v>130</v>
      </c>
      <c r="N4327" t="s">
        <v>98</v>
      </c>
      <c r="O4327" t="s">
        <v>1256</v>
      </c>
    </row>
    <row r="4328" spans="1:15" x14ac:dyDescent="0.3">
      <c r="A4328" s="130">
        <v>23956</v>
      </c>
      <c r="B4328" s="130">
        <v>30</v>
      </c>
      <c r="C4328" s="130" t="s">
        <v>5952</v>
      </c>
      <c r="D4328">
        <v>36612</v>
      </c>
      <c r="E4328" s="131">
        <v>92779503</v>
      </c>
      <c r="F4328" t="s">
        <v>87</v>
      </c>
      <c r="G4328">
        <v>76</v>
      </c>
      <c r="H4328" t="s">
        <v>8951</v>
      </c>
      <c r="I4328" s="130">
        <v>24</v>
      </c>
      <c r="J4328" t="s">
        <v>5952</v>
      </c>
      <c r="K4328" t="s">
        <v>95</v>
      </c>
      <c r="L4328" t="s">
        <v>144</v>
      </c>
      <c r="M4328" t="s">
        <v>103</v>
      </c>
      <c r="N4328" t="s">
        <v>98</v>
      </c>
      <c r="O4328" t="s">
        <v>1345</v>
      </c>
    </row>
    <row r="4329" spans="1:15" x14ac:dyDescent="0.3">
      <c r="A4329" s="130">
        <v>23957</v>
      </c>
      <c r="B4329" s="130">
        <v>30</v>
      </c>
      <c r="C4329" s="130" t="s">
        <v>5953</v>
      </c>
      <c r="D4329">
        <v>36595</v>
      </c>
      <c r="E4329" s="130">
        <v>73471989</v>
      </c>
      <c r="F4329" t="s">
        <v>87</v>
      </c>
      <c r="G4329">
        <v>76</v>
      </c>
      <c r="H4329" t="s">
        <v>8952</v>
      </c>
      <c r="I4329" s="130">
        <v>3</v>
      </c>
      <c r="J4329" t="s">
        <v>5953</v>
      </c>
      <c r="K4329" t="s">
        <v>95</v>
      </c>
      <c r="L4329" t="s">
        <v>120</v>
      </c>
      <c r="M4329" t="s">
        <v>103</v>
      </c>
      <c r="N4329" t="s">
        <v>131</v>
      </c>
      <c r="O4329" t="s">
        <v>116</v>
      </c>
    </row>
    <row r="4330" spans="1:15" x14ac:dyDescent="0.3">
      <c r="A4330" s="130">
        <v>23964</v>
      </c>
      <c r="B4330" s="130">
        <v>21</v>
      </c>
      <c r="C4330" s="130" t="s">
        <v>5954</v>
      </c>
      <c r="D4330">
        <v>36627</v>
      </c>
      <c r="E4330" s="130">
        <v>8726496</v>
      </c>
      <c r="F4330" t="s">
        <v>87</v>
      </c>
      <c r="G4330">
        <v>76</v>
      </c>
      <c r="H4330" t="s">
        <v>8953</v>
      </c>
      <c r="I4330" s="130">
        <v>24</v>
      </c>
      <c r="J4330" t="s">
        <v>5954</v>
      </c>
      <c r="K4330" t="s">
        <v>95</v>
      </c>
      <c r="L4330" t="s">
        <v>191</v>
      </c>
      <c r="M4330" t="s">
        <v>137</v>
      </c>
      <c r="N4330" t="s">
        <v>98</v>
      </c>
      <c r="O4330" t="s">
        <v>1256</v>
      </c>
    </row>
    <row r="4331" spans="1:15" x14ac:dyDescent="0.3">
      <c r="A4331" s="130">
        <v>23965</v>
      </c>
      <c r="B4331" s="130">
        <v>10</v>
      </c>
      <c r="C4331" s="130" t="s">
        <v>5955</v>
      </c>
      <c r="D4331">
        <v>36632</v>
      </c>
      <c r="E4331" s="130">
        <v>17560185</v>
      </c>
      <c r="F4331" t="s">
        <v>87</v>
      </c>
      <c r="G4331">
        <v>76</v>
      </c>
      <c r="H4331" t="s">
        <v>8951</v>
      </c>
      <c r="I4331" s="131">
        <v>3</v>
      </c>
      <c r="J4331" t="s">
        <v>5955</v>
      </c>
      <c r="K4331" t="s">
        <v>108</v>
      </c>
      <c r="L4331" t="s">
        <v>925</v>
      </c>
      <c r="M4331" t="s">
        <v>133</v>
      </c>
      <c r="N4331" t="s">
        <v>98</v>
      </c>
      <c r="O4331" t="s">
        <v>1256</v>
      </c>
    </row>
    <row r="4332" spans="1:15" x14ac:dyDescent="0.3">
      <c r="A4332" s="130">
        <v>23966</v>
      </c>
      <c r="B4332" s="130">
        <v>18</v>
      </c>
      <c r="C4332" s="130" t="s">
        <v>5956</v>
      </c>
      <c r="D4332">
        <v>36633</v>
      </c>
      <c r="E4332" s="130">
        <v>13548038</v>
      </c>
      <c r="F4332" t="s">
        <v>87</v>
      </c>
      <c r="G4332">
        <v>76</v>
      </c>
      <c r="H4332" t="s">
        <v>8952</v>
      </c>
      <c r="I4332" s="130">
        <v>26</v>
      </c>
      <c r="J4332" t="s">
        <v>5956</v>
      </c>
      <c r="K4332" t="s">
        <v>108</v>
      </c>
      <c r="L4332" t="s">
        <v>151</v>
      </c>
      <c r="M4332" t="s">
        <v>112</v>
      </c>
      <c r="N4332" t="s">
        <v>98</v>
      </c>
      <c r="O4332" t="s">
        <v>1256</v>
      </c>
    </row>
    <row r="4333" spans="1:15" x14ac:dyDescent="0.3">
      <c r="A4333" s="130">
        <v>23968</v>
      </c>
      <c r="B4333" s="130">
        <v>18</v>
      </c>
      <c r="C4333" s="130" t="s">
        <v>5957</v>
      </c>
      <c r="D4333">
        <v>36641</v>
      </c>
      <c r="E4333" s="131">
        <v>4539802</v>
      </c>
      <c r="F4333" t="s">
        <v>87</v>
      </c>
      <c r="G4333">
        <v>76</v>
      </c>
      <c r="H4333" t="s">
        <v>8953</v>
      </c>
      <c r="I4333" s="130">
        <v>26</v>
      </c>
      <c r="J4333" t="s">
        <v>5957</v>
      </c>
      <c r="K4333" t="s">
        <v>108</v>
      </c>
      <c r="L4333" t="s">
        <v>151</v>
      </c>
      <c r="M4333" t="s">
        <v>112</v>
      </c>
      <c r="N4333" t="s">
        <v>98</v>
      </c>
      <c r="O4333" t="s">
        <v>244</v>
      </c>
    </row>
    <row r="4334" spans="1:15" x14ac:dyDescent="0.3">
      <c r="A4334" s="130">
        <v>23971</v>
      </c>
      <c r="B4334" s="130">
        <v>10</v>
      </c>
      <c r="C4334" s="130" t="s">
        <v>5958</v>
      </c>
      <c r="D4334">
        <v>36644</v>
      </c>
      <c r="E4334" s="130">
        <v>17560185</v>
      </c>
      <c r="F4334" t="s">
        <v>87</v>
      </c>
      <c r="G4334">
        <v>76</v>
      </c>
      <c r="H4334" t="s">
        <v>8951</v>
      </c>
      <c r="I4334" s="130">
        <v>3</v>
      </c>
      <c r="J4334" t="s">
        <v>5958</v>
      </c>
      <c r="K4334" t="s">
        <v>108</v>
      </c>
      <c r="L4334" t="s">
        <v>925</v>
      </c>
      <c r="M4334" t="s">
        <v>133</v>
      </c>
      <c r="N4334" t="s">
        <v>98</v>
      </c>
      <c r="O4334" t="s">
        <v>1256</v>
      </c>
    </row>
    <row r="4335" spans="1:15" x14ac:dyDescent="0.3">
      <c r="A4335" s="130">
        <v>23973</v>
      </c>
      <c r="B4335" s="130">
        <v>28</v>
      </c>
      <c r="C4335" s="130" t="s">
        <v>5959</v>
      </c>
      <c r="D4335">
        <v>36609</v>
      </c>
      <c r="E4335" s="130">
        <v>37000444</v>
      </c>
      <c r="F4335" t="s">
        <v>87</v>
      </c>
      <c r="G4335">
        <v>76</v>
      </c>
      <c r="H4335" t="s">
        <v>8952</v>
      </c>
      <c r="I4335" s="130">
        <v>18</v>
      </c>
      <c r="J4335" t="s">
        <v>5959</v>
      </c>
      <c r="K4335" t="s">
        <v>108</v>
      </c>
      <c r="L4335" t="s">
        <v>253</v>
      </c>
      <c r="M4335" t="s">
        <v>130</v>
      </c>
      <c r="N4335" t="s">
        <v>98</v>
      </c>
      <c r="O4335" t="s">
        <v>116</v>
      </c>
    </row>
    <row r="4336" spans="1:15" x14ac:dyDescent="0.3">
      <c r="A4336" s="130">
        <v>23976</v>
      </c>
      <c r="B4336" s="130">
        <v>30</v>
      </c>
      <c r="C4336" s="130" t="s">
        <v>5960</v>
      </c>
      <c r="D4336">
        <v>36653</v>
      </c>
      <c r="E4336" s="131">
        <v>17185786</v>
      </c>
      <c r="F4336" t="s">
        <v>87</v>
      </c>
      <c r="G4336">
        <v>76</v>
      </c>
      <c r="H4336" t="s">
        <v>8953</v>
      </c>
      <c r="I4336" s="131">
        <v>10</v>
      </c>
      <c r="J4336" t="s">
        <v>5960</v>
      </c>
      <c r="K4336" t="s">
        <v>95</v>
      </c>
      <c r="L4336" t="s">
        <v>111</v>
      </c>
      <c r="M4336" t="s">
        <v>103</v>
      </c>
      <c r="N4336" t="s">
        <v>98</v>
      </c>
      <c r="O4336" t="s">
        <v>116</v>
      </c>
    </row>
    <row r="4337" spans="1:15" x14ac:dyDescent="0.3">
      <c r="A4337" s="130">
        <v>23978</v>
      </c>
      <c r="B4337" s="130">
        <v>30</v>
      </c>
      <c r="C4337" s="130" t="s">
        <v>5961</v>
      </c>
      <c r="D4337">
        <v>36658</v>
      </c>
      <c r="E4337" s="130">
        <v>17185786</v>
      </c>
      <c r="F4337" t="s">
        <v>87</v>
      </c>
      <c r="G4337">
        <v>76</v>
      </c>
      <c r="H4337" t="s">
        <v>8951</v>
      </c>
      <c r="I4337" s="130">
        <v>10</v>
      </c>
      <c r="J4337" t="s">
        <v>5961</v>
      </c>
      <c r="K4337" t="s">
        <v>95</v>
      </c>
      <c r="L4337" t="s">
        <v>111</v>
      </c>
      <c r="M4337" t="s">
        <v>103</v>
      </c>
      <c r="N4337" t="s">
        <v>98</v>
      </c>
      <c r="O4337" t="s">
        <v>116</v>
      </c>
    </row>
    <row r="4338" spans="1:15" x14ac:dyDescent="0.3">
      <c r="A4338" s="130">
        <v>23985</v>
      </c>
      <c r="B4338" s="130">
        <v>28</v>
      </c>
      <c r="C4338" s="130" t="s">
        <v>5962</v>
      </c>
      <c r="D4338">
        <v>36611</v>
      </c>
      <c r="E4338" s="130">
        <v>13548038</v>
      </c>
      <c r="F4338" t="s">
        <v>87</v>
      </c>
      <c r="G4338">
        <v>76</v>
      </c>
      <c r="H4338" t="s">
        <v>8952</v>
      </c>
      <c r="I4338" s="130">
        <v>18</v>
      </c>
      <c r="J4338" t="s">
        <v>5962</v>
      </c>
      <c r="K4338" t="s">
        <v>108</v>
      </c>
      <c r="L4338" t="s">
        <v>253</v>
      </c>
      <c r="M4338" t="s">
        <v>130</v>
      </c>
      <c r="N4338" t="s">
        <v>98</v>
      </c>
      <c r="O4338" t="s">
        <v>1256</v>
      </c>
    </row>
    <row r="4339" spans="1:15" x14ac:dyDescent="0.3">
      <c r="A4339" s="130">
        <v>23993</v>
      </c>
      <c r="B4339" s="130">
        <v>30</v>
      </c>
      <c r="C4339" s="130" t="s">
        <v>5963</v>
      </c>
      <c r="D4339">
        <v>36671</v>
      </c>
      <c r="E4339" s="130">
        <v>23449511</v>
      </c>
      <c r="F4339" t="s">
        <v>87</v>
      </c>
      <c r="G4339">
        <v>76</v>
      </c>
      <c r="H4339" t="s">
        <v>8953</v>
      </c>
      <c r="I4339" s="131">
        <v>26</v>
      </c>
      <c r="J4339" t="s">
        <v>5963</v>
      </c>
      <c r="K4339" t="s">
        <v>95</v>
      </c>
      <c r="L4339" t="s">
        <v>151</v>
      </c>
      <c r="M4339" t="s">
        <v>103</v>
      </c>
      <c r="N4339" t="s">
        <v>169</v>
      </c>
      <c r="O4339" t="s">
        <v>116</v>
      </c>
    </row>
    <row r="4340" spans="1:15" x14ac:dyDescent="0.3">
      <c r="A4340" s="130">
        <v>23994</v>
      </c>
      <c r="B4340" s="130">
        <v>10</v>
      </c>
      <c r="C4340" s="130" t="s">
        <v>5964</v>
      </c>
      <c r="D4340">
        <v>36673</v>
      </c>
      <c r="E4340" s="130">
        <v>12065450</v>
      </c>
      <c r="F4340" t="s">
        <v>87</v>
      </c>
      <c r="G4340">
        <v>76</v>
      </c>
      <c r="H4340" t="s">
        <v>8951</v>
      </c>
      <c r="I4340" s="130">
        <v>3</v>
      </c>
      <c r="J4340" t="s">
        <v>5964</v>
      </c>
      <c r="K4340" t="s">
        <v>108</v>
      </c>
      <c r="L4340" t="s">
        <v>1293</v>
      </c>
      <c r="M4340" t="s">
        <v>133</v>
      </c>
      <c r="N4340" t="s">
        <v>98</v>
      </c>
      <c r="O4340" t="s">
        <v>116</v>
      </c>
    </row>
    <row r="4341" spans="1:15" x14ac:dyDescent="0.3">
      <c r="A4341" s="130">
        <v>23995</v>
      </c>
      <c r="B4341" s="130">
        <v>30</v>
      </c>
      <c r="C4341" s="130" t="s">
        <v>5965</v>
      </c>
      <c r="D4341">
        <v>36674</v>
      </c>
      <c r="E4341" s="131">
        <v>42077717</v>
      </c>
      <c r="F4341" t="s">
        <v>87</v>
      </c>
      <c r="G4341">
        <v>76</v>
      </c>
      <c r="H4341" t="s">
        <v>8952</v>
      </c>
      <c r="I4341" s="131">
        <v>18</v>
      </c>
      <c r="J4341" t="s">
        <v>5965</v>
      </c>
      <c r="K4341" t="s">
        <v>108</v>
      </c>
      <c r="L4341" t="s">
        <v>123</v>
      </c>
      <c r="M4341" t="s">
        <v>103</v>
      </c>
      <c r="N4341" t="s">
        <v>121</v>
      </c>
      <c r="O4341" t="s">
        <v>116</v>
      </c>
    </row>
    <row r="4342" spans="1:15" x14ac:dyDescent="0.3">
      <c r="A4342" s="130">
        <v>24000</v>
      </c>
      <c r="B4342" s="130">
        <v>28</v>
      </c>
      <c r="C4342" s="130" t="s">
        <v>5966</v>
      </c>
      <c r="D4342">
        <v>36662</v>
      </c>
      <c r="E4342" s="130">
        <v>14084975</v>
      </c>
      <c r="F4342" t="s">
        <v>87</v>
      </c>
      <c r="G4342">
        <v>76</v>
      </c>
      <c r="H4342" t="s">
        <v>8953</v>
      </c>
      <c r="I4342" s="130">
        <v>18</v>
      </c>
      <c r="J4342" t="s">
        <v>5966</v>
      </c>
      <c r="K4342" t="s">
        <v>108</v>
      </c>
      <c r="L4342" t="s">
        <v>253</v>
      </c>
      <c r="M4342" t="s">
        <v>130</v>
      </c>
      <c r="N4342" t="s">
        <v>98</v>
      </c>
      <c r="O4342" t="s">
        <v>116</v>
      </c>
    </row>
    <row r="4343" spans="1:15" x14ac:dyDescent="0.3">
      <c r="A4343" s="130">
        <v>24001</v>
      </c>
      <c r="B4343" s="130">
        <v>30</v>
      </c>
      <c r="C4343" s="130" t="s">
        <v>5967</v>
      </c>
      <c r="D4343">
        <v>36684</v>
      </c>
      <c r="E4343" s="130">
        <v>17159856</v>
      </c>
      <c r="F4343" t="s">
        <v>87</v>
      </c>
      <c r="G4343">
        <v>32947</v>
      </c>
      <c r="H4343" t="s">
        <v>8951</v>
      </c>
      <c r="I4343" s="131">
        <v>3</v>
      </c>
      <c r="J4343" t="s">
        <v>5967</v>
      </c>
      <c r="K4343" t="s">
        <v>95</v>
      </c>
      <c r="L4343" t="s">
        <v>193</v>
      </c>
      <c r="M4343" t="s">
        <v>103</v>
      </c>
      <c r="N4343" t="s">
        <v>98</v>
      </c>
      <c r="O4343" t="s">
        <v>116</v>
      </c>
    </row>
    <row r="4344" spans="1:15" x14ac:dyDescent="0.3">
      <c r="A4344" s="130">
        <v>24014</v>
      </c>
      <c r="B4344" s="130">
        <v>18</v>
      </c>
      <c r="C4344" s="130" t="s">
        <v>5968</v>
      </c>
      <c r="D4344">
        <v>36664</v>
      </c>
      <c r="E4344" s="130">
        <v>8214816</v>
      </c>
      <c r="F4344" t="s">
        <v>87</v>
      </c>
      <c r="G4344">
        <v>76</v>
      </c>
      <c r="H4344" t="s">
        <v>8952</v>
      </c>
      <c r="I4344" s="131">
        <v>9</v>
      </c>
      <c r="J4344" t="s">
        <v>5968</v>
      </c>
      <c r="K4344" t="s">
        <v>108</v>
      </c>
      <c r="L4344" t="s">
        <v>163</v>
      </c>
      <c r="M4344" t="s">
        <v>112</v>
      </c>
      <c r="N4344" t="s">
        <v>98</v>
      </c>
      <c r="O4344" t="s">
        <v>1256</v>
      </c>
    </row>
    <row r="4345" spans="1:15" x14ac:dyDescent="0.3">
      <c r="A4345" s="130">
        <v>24015</v>
      </c>
      <c r="B4345" s="130">
        <v>0</v>
      </c>
      <c r="C4345" s="130" t="s">
        <v>5969</v>
      </c>
      <c r="D4345">
        <v>36702</v>
      </c>
      <c r="E4345" s="130">
        <v>61338844</v>
      </c>
      <c r="F4345" t="s">
        <v>87</v>
      </c>
      <c r="G4345">
        <v>76</v>
      </c>
      <c r="H4345" t="s">
        <v>8953</v>
      </c>
      <c r="I4345" s="130">
        <v>9</v>
      </c>
      <c r="J4345" t="s">
        <v>5969</v>
      </c>
      <c r="K4345" t="s">
        <v>108</v>
      </c>
      <c r="L4345" t="s">
        <v>1298</v>
      </c>
      <c r="M4345" t="s">
        <v>100</v>
      </c>
      <c r="N4345" t="s">
        <v>114</v>
      </c>
      <c r="O4345" t="s">
        <v>1256</v>
      </c>
    </row>
    <row r="4346" spans="1:15" x14ac:dyDescent="0.3">
      <c r="A4346" s="130">
        <v>24024</v>
      </c>
      <c r="B4346" s="130">
        <v>10</v>
      </c>
      <c r="C4346" s="130" t="s">
        <v>5970</v>
      </c>
      <c r="D4346">
        <v>36713</v>
      </c>
      <c r="E4346" s="131">
        <v>10736565</v>
      </c>
      <c r="F4346" t="s">
        <v>87</v>
      </c>
      <c r="G4346">
        <v>76</v>
      </c>
      <c r="H4346" t="s">
        <v>8951</v>
      </c>
      <c r="I4346" s="130">
        <v>3</v>
      </c>
      <c r="J4346" t="s">
        <v>5970</v>
      </c>
      <c r="K4346" t="s">
        <v>108</v>
      </c>
      <c r="L4346" t="s">
        <v>925</v>
      </c>
      <c r="M4346" t="s">
        <v>133</v>
      </c>
      <c r="N4346" t="s">
        <v>98</v>
      </c>
      <c r="O4346" t="s">
        <v>1256</v>
      </c>
    </row>
    <row r="4347" spans="1:15" x14ac:dyDescent="0.3">
      <c r="A4347" s="130">
        <v>24027</v>
      </c>
      <c r="B4347" s="130">
        <v>60</v>
      </c>
      <c r="C4347" s="130" t="s">
        <v>5971</v>
      </c>
      <c r="D4347">
        <v>36717</v>
      </c>
      <c r="E4347" s="130">
        <v>92660604</v>
      </c>
      <c r="F4347" t="s">
        <v>87</v>
      </c>
      <c r="G4347">
        <v>77</v>
      </c>
      <c r="H4347" t="s">
        <v>8952</v>
      </c>
      <c r="I4347" s="131">
        <v>24</v>
      </c>
      <c r="J4347" t="s">
        <v>5971</v>
      </c>
      <c r="K4347" t="s">
        <v>95</v>
      </c>
      <c r="L4347" t="s">
        <v>117</v>
      </c>
      <c r="M4347" t="s">
        <v>97</v>
      </c>
      <c r="N4347" t="s">
        <v>114</v>
      </c>
      <c r="O4347" t="s">
        <v>116</v>
      </c>
    </row>
    <row r="4348" spans="1:15" x14ac:dyDescent="0.3">
      <c r="A4348" s="130">
        <v>24031</v>
      </c>
      <c r="B4348" s="130">
        <v>21</v>
      </c>
      <c r="C4348" s="130" t="s">
        <v>5972</v>
      </c>
      <c r="D4348">
        <v>36727</v>
      </c>
      <c r="E4348" s="130">
        <v>8726496</v>
      </c>
      <c r="F4348" t="s">
        <v>87</v>
      </c>
      <c r="G4348">
        <v>76</v>
      </c>
      <c r="H4348" t="s">
        <v>8953</v>
      </c>
      <c r="I4348" s="130">
        <v>24</v>
      </c>
      <c r="J4348" t="s">
        <v>5972</v>
      </c>
      <c r="K4348" t="s">
        <v>95</v>
      </c>
      <c r="L4348" t="s">
        <v>191</v>
      </c>
      <c r="M4348" t="s">
        <v>137</v>
      </c>
      <c r="N4348" t="s">
        <v>98</v>
      </c>
      <c r="O4348" t="s">
        <v>1256</v>
      </c>
    </row>
    <row r="4349" spans="1:15" x14ac:dyDescent="0.3">
      <c r="A4349" s="130">
        <v>24032</v>
      </c>
      <c r="B4349" s="130">
        <v>18</v>
      </c>
      <c r="C4349" s="130" t="s">
        <v>5973</v>
      </c>
      <c r="D4349">
        <v>36729</v>
      </c>
      <c r="E4349" s="130">
        <v>3672857</v>
      </c>
      <c r="F4349" t="s">
        <v>87</v>
      </c>
      <c r="G4349">
        <v>76</v>
      </c>
      <c r="H4349" t="s">
        <v>8951</v>
      </c>
      <c r="I4349" s="131">
        <v>9</v>
      </c>
      <c r="J4349" t="s">
        <v>5973</v>
      </c>
      <c r="K4349" t="s">
        <v>108</v>
      </c>
      <c r="L4349" t="s">
        <v>163</v>
      </c>
      <c r="M4349" t="s">
        <v>112</v>
      </c>
      <c r="N4349" t="s">
        <v>98</v>
      </c>
      <c r="O4349" t="s">
        <v>1256</v>
      </c>
    </row>
    <row r="4350" spans="1:15" x14ac:dyDescent="0.3">
      <c r="A4350" s="130">
        <v>24035</v>
      </c>
      <c r="B4350" s="130">
        <v>21</v>
      </c>
      <c r="C4350" s="130" t="s">
        <v>5974</v>
      </c>
      <c r="D4350">
        <v>36734</v>
      </c>
      <c r="E4350" s="130">
        <v>52281923</v>
      </c>
      <c r="F4350" t="s">
        <v>113</v>
      </c>
      <c r="G4350">
        <v>76</v>
      </c>
      <c r="H4350" t="s">
        <v>8952</v>
      </c>
      <c r="I4350" s="131">
        <v>24</v>
      </c>
      <c r="J4350" t="s">
        <v>5974</v>
      </c>
      <c r="K4350" t="s">
        <v>108</v>
      </c>
      <c r="L4350" t="s">
        <v>191</v>
      </c>
      <c r="M4350" t="s">
        <v>137</v>
      </c>
      <c r="N4350" t="s">
        <v>98</v>
      </c>
      <c r="O4350" t="s">
        <v>1256</v>
      </c>
    </row>
    <row r="4351" spans="1:15" x14ac:dyDescent="0.3">
      <c r="A4351" s="130">
        <v>24038</v>
      </c>
      <c r="B4351" s="130">
        <v>18</v>
      </c>
      <c r="C4351" s="130" t="s">
        <v>5975</v>
      </c>
      <c r="D4351">
        <v>36743</v>
      </c>
      <c r="E4351" s="131">
        <v>34209835</v>
      </c>
      <c r="F4351" t="s">
        <v>87</v>
      </c>
      <c r="G4351">
        <v>76</v>
      </c>
      <c r="H4351" t="s">
        <v>8953</v>
      </c>
      <c r="I4351" s="130">
        <v>10</v>
      </c>
      <c r="J4351" t="s">
        <v>5975</v>
      </c>
      <c r="K4351" t="s">
        <v>95</v>
      </c>
      <c r="L4351" t="s">
        <v>102</v>
      </c>
      <c r="M4351" t="s">
        <v>112</v>
      </c>
      <c r="N4351" t="s">
        <v>98</v>
      </c>
      <c r="O4351" t="s">
        <v>1256</v>
      </c>
    </row>
    <row r="4352" spans="1:15" x14ac:dyDescent="0.3">
      <c r="A4352" s="130">
        <v>24039</v>
      </c>
      <c r="B4352" s="130">
        <v>18</v>
      </c>
      <c r="C4352" s="130" t="s">
        <v>5976</v>
      </c>
      <c r="D4352">
        <v>36742</v>
      </c>
      <c r="E4352" s="130">
        <v>34209835</v>
      </c>
      <c r="F4352" t="s">
        <v>87</v>
      </c>
      <c r="G4352">
        <v>76</v>
      </c>
      <c r="H4352" t="s">
        <v>8951</v>
      </c>
      <c r="I4352" s="130">
        <v>3</v>
      </c>
      <c r="J4352" t="s">
        <v>5976</v>
      </c>
      <c r="K4352" t="s">
        <v>95</v>
      </c>
      <c r="L4352" t="s">
        <v>102</v>
      </c>
      <c r="M4352" t="s">
        <v>112</v>
      </c>
      <c r="N4352" t="s">
        <v>98</v>
      </c>
      <c r="O4352" t="s">
        <v>1256</v>
      </c>
    </row>
    <row r="4353" spans="1:15" x14ac:dyDescent="0.3">
      <c r="A4353" s="130">
        <v>24041</v>
      </c>
      <c r="B4353" s="130">
        <v>18</v>
      </c>
      <c r="C4353" s="130" t="s">
        <v>5977</v>
      </c>
      <c r="D4353">
        <v>36739</v>
      </c>
      <c r="E4353" s="130">
        <v>9622942</v>
      </c>
      <c r="F4353" t="s">
        <v>87</v>
      </c>
      <c r="G4353">
        <v>76</v>
      </c>
      <c r="H4353" t="s">
        <v>8952</v>
      </c>
      <c r="I4353" s="131">
        <v>37</v>
      </c>
      <c r="J4353" t="s">
        <v>5977</v>
      </c>
      <c r="K4353" t="s">
        <v>108</v>
      </c>
      <c r="L4353" t="s">
        <v>138</v>
      </c>
      <c r="M4353" t="s">
        <v>112</v>
      </c>
      <c r="N4353" t="s">
        <v>114</v>
      </c>
      <c r="O4353" t="s">
        <v>116</v>
      </c>
    </row>
    <row r="4354" spans="1:15" x14ac:dyDescent="0.3">
      <c r="A4354" s="130">
        <v>24042</v>
      </c>
      <c r="B4354" s="130">
        <v>30</v>
      </c>
      <c r="C4354" s="130" t="s">
        <v>5978</v>
      </c>
      <c r="D4354">
        <v>36745</v>
      </c>
      <c r="E4354" s="130">
        <v>2265872</v>
      </c>
      <c r="F4354" t="s">
        <v>87</v>
      </c>
      <c r="G4354">
        <v>76</v>
      </c>
      <c r="H4354" t="s">
        <v>8953</v>
      </c>
      <c r="I4354" s="130">
        <v>3</v>
      </c>
      <c r="J4354" t="s">
        <v>5978</v>
      </c>
      <c r="K4354" t="s">
        <v>95</v>
      </c>
      <c r="L4354" t="s">
        <v>111</v>
      </c>
      <c r="M4354" t="s">
        <v>103</v>
      </c>
      <c r="N4354" t="s">
        <v>98</v>
      </c>
      <c r="O4354" t="s">
        <v>1345</v>
      </c>
    </row>
    <row r="4355" spans="1:15" x14ac:dyDescent="0.3">
      <c r="A4355" s="130">
        <v>24043</v>
      </c>
      <c r="B4355" s="130">
        <v>30</v>
      </c>
      <c r="C4355" s="130" t="s">
        <v>5979</v>
      </c>
      <c r="D4355">
        <v>36744</v>
      </c>
      <c r="E4355" s="130">
        <v>41430393</v>
      </c>
      <c r="F4355" t="s">
        <v>87</v>
      </c>
      <c r="G4355">
        <v>76</v>
      </c>
      <c r="H4355" t="s">
        <v>8951</v>
      </c>
      <c r="I4355" s="130">
        <v>18</v>
      </c>
      <c r="J4355" t="s">
        <v>5979</v>
      </c>
      <c r="K4355" t="s">
        <v>95</v>
      </c>
      <c r="L4355" t="s">
        <v>123</v>
      </c>
      <c r="M4355" t="s">
        <v>103</v>
      </c>
      <c r="N4355" t="s">
        <v>98</v>
      </c>
      <c r="O4355" t="s">
        <v>116</v>
      </c>
    </row>
    <row r="4356" spans="1:15" x14ac:dyDescent="0.3">
      <c r="A4356" s="130">
        <v>24045</v>
      </c>
      <c r="B4356" s="130">
        <v>18</v>
      </c>
      <c r="C4356" s="130" t="s">
        <v>5980</v>
      </c>
      <c r="D4356">
        <v>36747</v>
      </c>
      <c r="E4356" s="130">
        <v>34209835</v>
      </c>
      <c r="F4356" t="s">
        <v>87</v>
      </c>
      <c r="G4356">
        <v>76</v>
      </c>
      <c r="H4356" t="s">
        <v>8952</v>
      </c>
      <c r="I4356" s="130">
        <v>10</v>
      </c>
      <c r="J4356" t="s">
        <v>5980</v>
      </c>
      <c r="K4356" t="s">
        <v>95</v>
      </c>
      <c r="L4356" t="s">
        <v>102</v>
      </c>
      <c r="M4356" t="s">
        <v>112</v>
      </c>
      <c r="N4356" t="s">
        <v>98</v>
      </c>
      <c r="O4356" t="s">
        <v>116</v>
      </c>
    </row>
    <row r="4357" spans="1:15" x14ac:dyDescent="0.3">
      <c r="A4357" s="130">
        <v>24046</v>
      </c>
      <c r="B4357" s="130">
        <v>18</v>
      </c>
      <c r="C4357" s="130" t="s">
        <v>5981</v>
      </c>
      <c r="D4357">
        <v>36748</v>
      </c>
      <c r="E4357" s="130">
        <v>34209835</v>
      </c>
      <c r="F4357" t="s">
        <v>87</v>
      </c>
      <c r="G4357">
        <v>76</v>
      </c>
      <c r="H4357" t="s">
        <v>8953</v>
      </c>
      <c r="I4357" s="130">
        <v>3</v>
      </c>
      <c r="J4357" t="s">
        <v>5981</v>
      </c>
      <c r="K4357" t="s">
        <v>95</v>
      </c>
      <c r="L4357" t="s">
        <v>102</v>
      </c>
      <c r="M4357" t="s">
        <v>112</v>
      </c>
      <c r="N4357" t="s">
        <v>98</v>
      </c>
      <c r="O4357" t="s">
        <v>116</v>
      </c>
    </row>
    <row r="4358" spans="1:15" x14ac:dyDescent="0.3">
      <c r="A4358" s="130">
        <v>24048</v>
      </c>
      <c r="B4358" s="130">
        <v>10</v>
      </c>
      <c r="C4358" s="130" t="s">
        <v>5982</v>
      </c>
      <c r="D4358">
        <v>36751</v>
      </c>
      <c r="E4358" s="131">
        <v>34562112</v>
      </c>
      <c r="F4358" t="s">
        <v>87</v>
      </c>
      <c r="G4358">
        <v>76</v>
      </c>
      <c r="H4358" t="s">
        <v>8951</v>
      </c>
      <c r="I4358" s="130">
        <v>24</v>
      </c>
      <c r="J4358" t="s">
        <v>5982</v>
      </c>
      <c r="K4358" t="s">
        <v>95</v>
      </c>
      <c r="L4358" t="s">
        <v>191</v>
      </c>
      <c r="M4358" t="s">
        <v>133</v>
      </c>
      <c r="N4358" t="s">
        <v>107</v>
      </c>
      <c r="O4358" t="s">
        <v>1256</v>
      </c>
    </row>
    <row r="4359" spans="1:15" x14ac:dyDescent="0.3">
      <c r="A4359" s="130">
        <v>24052</v>
      </c>
      <c r="B4359" s="130">
        <v>21</v>
      </c>
      <c r="C4359" s="130" t="s">
        <v>5983</v>
      </c>
      <c r="D4359">
        <v>36762</v>
      </c>
      <c r="E4359" s="131">
        <v>23073420</v>
      </c>
      <c r="F4359" t="s">
        <v>87</v>
      </c>
      <c r="G4359">
        <v>76</v>
      </c>
      <c r="H4359" t="s">
        <v>8952</v>
      </c>
      <c r="I4359" s="130">
        <v>24</v>
      </c>
      <c r="J4359" t="s">
        <v>5983</v>
      </c>
      <c r="K4359" t="s">
        <v>95</v>
      </c>
      <c r="L4359" t="s">
        <v>191</v>
      </c>
      <c r="M4359" t="s">
        <v>137</v>
      </c>
      <c r="N4359" t="s">
        <v>98</v>
      </c>
      <c r="O4359" t="s">
        <v>1256</v>
      </c>
    </row>
    <row r="4360" spans="1:15" x14ac:dyDescent="0.3">
      <c r="A4360" s="130">
        <v>24053</v>
      </c>
      <c r="B4360" s="130">
        <v>30</v>
      </c>
      <c r="C4360" s="130" t="s">
        <v>5984</v>
      </c>
      <c r="D4360">
        <v>36761</v>
      </c>
      <c r="E4360" s="131">
        <v>410954</v>
      </c>
      <c r="F4360" t="s">
        <v>113</v>
      </c>
      <c r="G4360">
        <v>76</v>
      </c>
      <c r="H4360" t="s">
        <v>8953</v>
      </c>
      <c r="I4360" s="131">
        <v>9</v>
      </c>
      <c r="J4360" t="s">
        <v>5984</v>
      </c>
      <c r="K4360" t="s">
        <v>95</v>
      </c>
      <c r="L4360" t="s">
        <v>163</v>
      </c>
      <c r="M4360" t="s">
        <v>103</v>
      </c>
      <c r="N4360" t="s">
        <v>98</v>
      </c>
      <c r="O4360" t="s">
        <v>1256</v>
      </c>
    </row>
    <row r="4361" spans="1:15" x14ac:dyDescent="0.3">
      <c r="A4361" s="130">
        <v>24054</v>
      </c>
      <c r="B4361" s="130">
        <v>0</v>
      </c>
      <c r="C4361" s="130" t="s">
        <v>5985</v>
      </c>
      <c r="D4361">
        <v>36763</v>
      </c>
      <c r="E4361" s="130">
        <v>18012358</v>
      </c>
      <c r="F4361" t="s">
        <v>113</v>
      </c>
      <c r="G4361">
        <v>76</v>
      </c>
      <c r="H4361" t="s">
        <v>8951</v>
      </c>
      <c r="I4361" s="131">
        <v>9</v>
      </c>
      <c r="J4361" t="s">
        <v>5985</v>
      </c>
      <c r="K4361" t="s">
        <v>108</v>
      </c>
      <c r="L4361" t="s">
        <v>1298</v>
      </c>
      <c r="M4361" t="s">
        <v>100</v>
      </c>
      <c r="N4361" t="s">
        <v>114</v>
      </c>
      <c r="O4361" t="s">
        <v>1256</v>
      </c>
    </row>
    <row r="4362" spans="1:15" x14ac:dyDescent="0.3">
      <c r="A4362" s="130">
        <v>24055</v>
      </c>
      <c r="B4362" s="130">
        <v>0</v>
      </c>
      <c r="C4362" s="130" t="s">
        <v>5986</v>
      </c>
      <c r="D4362">
        <v>36728</v>
      </c>
      <c r="E4362" s="130">
        <v>2102318</v>
      </c>
      <c r="F4362" t="s">
        <v>87</v>
      </c>
      <c r="G4362">
        <v>76</v>
      </c>
      <c r="H4362" t="s">
        <v>8952</v>
      </c>
      <c r="I4362" s="130">
        <v>9</v>
      </c>
      <c r="J4362" t="s">
        <v>5986</v>
      </c>
      <c r="K4362" t="s">
        <v>95</v>
      </c>
      <c r="L4362" t="s">
        <v>1298</v>
      </c>
      <c r="M4362" t="s">
        <v>100</v>
      </c>
      <c r="N4362" t="s">
        <v>98</v>
      </c>
      <c r="O4362" t="s">
        <v>1256</v>
      </c>
    </row>
    <row r="4363" spans="1:15" x14ac:dyDescent="0.3">
      <c r="A4363" s="130">
        <v>24057</v>
      </c>
      <c r="B4363" s="130">
        <v>30</v>
      </c>
      <c r="C4363" s="130" t="s">
        <v>5987</v>
      </c>
      <c r="D4363">
        <v>36769</v>
      </c>
      <c r="E4363" s="131">
        <v>3852459</v>
      </c>
      <c r="F4363" t="s">
        <v>87</v>
      </c>
      <c r="G4363">
        <v>76</v>
      </c>
      <c r="H4363" t="s">
        <v>8953</v>
      </c>
      <c r="I4363" s="130">
        <v>10</v>
      </c>
      <c r="J4363" t="s">
        <v>5987</v>
      </c>
      <c r="K4363" t="s">
        <v>95</v>
      </c>
      <c r="L4363" t="s">
        <v>127</v>
      </c>
      <c r="M4363" t="s">
        <v>103</v>
      </c>
      <c r="N4363" t="s">
        <v>118</v>
      </c>
      <c r="O4363" t="s">
        <v>1345</v>
      </c>
    </row>
    <row r="4364" spans="1:15" x14ac:dyDescent="0.3">
      <c r="A4364" s="130">
        <v>24058</v>
      </c>
      <c r="B4364" s="130">
        <v>15</v>
      </c>
      <c r="C4364" s="130" t="s">
        <v>5988</v>
      </c>
      <c r="D4364">
        <v>36773</v>
      </c>
      <c r="E4364" s="130">
        <v>3514701</v>
      </c>
      <c r="F4364" t="s">
        <v>87</v>
      </c>
      <c r="G4364">
        <v>76</v>
      </c>
      <c r="H4364" t="s">
        <v>8951</v>
      </c>
      <c r="I4364" s="130">
        <v>24</v>
      </c>
      <c r="J4364" t="s">
        <v>5988</v>
      </c>
      <c r="K4364" t="s">
        <v>108</v>
      </c>
      <c r="L4364" t="s">
        <v>240</v>
      </c>
      <c r="M4364" t="s">
        <v>145</v>
      </c>
      <c r="N4364" t="s">
        <v>124</v>
      </c>
      <c r="O4364" t="s">
        <v>1256</v>
      </c>
    </row>
    <row r="4365" spans="1:15" x14ac:dyDescent="0.3">
      <c r="A4365" s="130">
        <v>24064</v>
      </c>
      <c r="B4365" s="130">
        <v>10</v>
      </c>
      <c r="C4365" s="130" t="s">
        <v>5989</v>
      </c>
      <c r="D4365">
        <v>36777</v>
      </c>
      <c r="E4365" s="130">
        <v>17162983</v>
      </c>
      <c r="F4365" t="s">
        <v>87</v>
      </c>
      <c r="G4365">
        <v>76</v>
      </c>
      <c r="H4365" t="s">
        <v>8952</v>
      </c>
      <c r="I4365" s="130">
        <v>3</v>
      </c>
      <c r="J4365" t="s">
        <v>5989</v>
      </c>
      <c r="K4365" t="s">
        <v>108</v>
      </c>
      <c r="L4365" t="s">
        <v>925</v>
      </c>
      <c r="M4365" t="s">
        <v>133</v>
      </c>
      <c r="N4365" t="s">
        <v>98</v>
      </c>
      <c r="O4365" t="s">
        <v>1256</v>
      </c>
    </row>
    <row r="4366" spans="1:15" x14ac:dyDescent="0.3">
      <c r="A4366" s="130">
        <v>24066</v>
      </c>
      <c r="B4366" s="130">
        <v>28</v>
      </c>
      <c r="C4366" s="130" t="s">
        <v>5990</v>
      </c>
      <c r="D4366">
        <v>36696</v>
      </c>
      <c r="E4366" s="130">
        <v>9470556</v>
      </c>
      <c r="F4366" t="s">
        <v>87</v>
      </c>
      <c r="G4366">
        <v>76</v>
      </c>
      <c r="H4366" t="s">
        <v>8953</v>
      </c>
      <c r="I4366" s="130">
        <v>18</v>
      </c>
      <c r="J4366" t="s">
        <v>5990</v>
      </c>
      <c r="K4366" t="s">
        <v>95</v>
      </c>
      <c r="L4366" t="s">
        <v>253</v>
      </c>
      <c r="M4366" t="s">
        <v>130</v>
      </c>
      <c r="N4366" t="s">
        <v>98</v>
      </c>
      <c r="O4366" t="s">
        <v>1256</v>
      </c>
    </row>
    <row r="4367" spans="1:15" x14ac:dyDescent="0.3">
      <c r="A4367" s="130">
        <v>24069</v>
      </c>
      <c r="B4367" s="130">
        <v>30</v>
      </c>
      <c r="C4367" s="130" t="s">
        <v>5991</v>
      </c>
      <c r="D4367">
        <v>36785</v>
      </c>
      <c r="E4367" s="130">
        <v>12243301</v>
      </c>
      <c r="F4367" t="s">
        <v>87</v>
      </c>
      <c r="G4367">
        <v>32947</v>
      </c>
      <c r="H4367" t="s">
        <v>8951</v>
      </c>
      <c r="I4367" s="131">
        <v>43</v>
      </c>
      <c r="J4367" t="s">
        <v>5991</v>
      </c>
      <c r="K4367" t="s">
        <v>95</v>
      </c>
      <c r="L4367" t="s">
        <v>1241</v>
      </c>
      <c r="M4367" t="s">
        <v>103</v>
      </c>
      <c r="N4367" t="s">
        <v>114</v>
      </c>
      <c r="O4367" t="s">
        <v>1256</v>
      </c>
    </row>
    <row r="4368" spans="1:15" x14ac:dyDescent="0.3">
      <c r="A4368" s="130">
        <v>24075</v>
      </c>
      <c r="B4368" s="130">
        <v>10</v>
      </c>
      <c r="C4368" s="130" t="s">
        <v>5992</v>
      </c>
      <c r="D4368">
        <v>36802</v>
      </c>
      <c r="E4368" s="131">
        <v>32227070</v>
      </c>
      <c r="F4368" t="s">
        <v>87</v>
      </c>
      <c r="G4368">
        <v>76</v>
      </c>
      <c r="H4368" t="s">
        <v>8952</v>
      </c>
      <c r="I4368" s="130">
        <v>3</v>
      </c>
      <c r="J4368" t="s">
        <v>5992</v>
      </c>
      <c r="K4368" t="s">
        <v>108</v>
      </c>
      <c r="L4368" t="s">
        <v>120</v>
      </c>
      <c r="M4368" t="s">
        <v>133</v>
      </c>
      <c r="N4368" t="s">
        <v>98</v>
      </c>
      <c r="O4368" t="s">
        <v>116</v>
      </c>
    </row>
    <row r="4369" spans="1:15" x14ac:dyDescent="0.3">
      <c r="A4369" s="130">
        <v>24076</v>
      </c>
      <c r="B4369" s="130">
        <v>30</v>
      </c>
      <c r="C4369" s="130" t="s">
        <v>5993</v>
      </c>
      <c r="D4369">
        <v>36805</v>
      </c>
      <c r="E4369" s="131">
        <v>8056030</v>
      </c>
      <c r="F4369" t="s">
        <v>87</v>
      </c>
      <c r="G4369">
        <v>76</v>
      </c>
      <c r="H4369" t="s">
        <v>8953</v>
      </c>
      <c r="I4369" s="131">
        <v>26</v>
      </c>
      <c r="J4369" t="s">
        <v>5993</v>
      </c>
      <c r="K4369" t="s">
        <v>95</v>
      </c>
      <c r="L4369" t="s">
        <v>151</v>
      </c>
      <c r="M4369" t="s">
        <v>103</v>
      </c>
      <c r="N4369" t="s">
        <v>169</v>
      </c>
      <c r="O4369" t="s">
        <v>1256</v>
      </c>
    </row>
    <row r="4370" spans="1:15" x14ac:dyDescent="0.3">
      <c r="A4370" s="130">
        <v>24077</v>
      </c>
      <c r="B4370" s="130">
        <v>30</v>
      </c>
      <c r="C4370" s="130" t="s">
        <v>5994</v>
      </c>
      <c r="D4370">
        <v>36809</v>
      </c>
      <c r="E4370" s="131">
        <v>18715383</v>
      </c>
      <c r="F4370" t="s">
        <v>87</v>
      </c>
      <c r="G4370">
        <v>77</v>
      </c>
      <c r="H4370" t="s">
        <v>8951</v>
      </c>
      <c r="I4370" s="131">
        <v>3</v>
      </c>
      <c r="J4370" t="s">
        <v>5994</v>
      </c>
      <c r="K4370" t="s">
        <v>95</v>
      </c>
      <c r="L4370" t="s">
        <v>1251</v>
      </c>
      <c r="M4370" t="s">
        <v>103</v>
      </c>
      <c r="N4370" t="s">
        <v>131</v>
      </c>
      <c r="O4370" t="s">
        <v>116</v>
      </c>
    </row>
    <row r="4371" spans="1:15" x14ac:dyDescent="0.3">
      <c r="A4371" s="130">
        <v>24082</v>
      </c>
      <c r="B4371" s="130">
        <v>10</v>
      </c>
      <c r="C4371" s="130" t="s">
        <v>5995</v>
      </c>
      <c r="D4371">
        <v>36820</v>
      </c>
      <c r="E4371" s="130">
        <v>903166</v>
      </c>
      <c r="F4371" t="s">
        <v>87</v>
      </c>
      <c r="G4371">
        <v>76</v>
      </c>
      <c r="H4371" t="s">
        <v>8952</v>
      </c>
      <c r="I4371" s="130">
        <v>24</v>
      </c>
      <c r="J4371" t="s">
        <v>5995</v>
      </c>
      <c r="K4371" t="s">
        <v>108</v>
      </c>
      <c r="L4371" t="s">
        <v>191</v>
      </c>
      <c r="M4371" t="s">
        <v>133</v>
      </c>
      <c r="N4371" t="s">
        <v>114</v>
      </c>
      <c r="O4371" t="s">
        <v>1256</v>
      </c>
    </row>
    <row r="4372" spans="1:15" x14ac:dyDescent="0.3">
      <c r="A4372" s="130">
        <v>24084</v>
      </c>
      <c r="B4372" s="130">
        <v>0</v>
      </c>
      <c r="C4372" s="130" t="s">
        <v>5996</v>
      </c>
      <c r="D4372">
        <v>36821</v>
      </c>
      <c r="E4372" s="130">
        <v>20233973</v>
      </c>
      <c r="F4372" t="s">
        <v>87</v>
      </c>
      <c r="G4372">
        <v>76</v>
      </c>
      <c r="H4372" t="s">
        <v>8953</v>
      </c>
      <c r="I4372" s="131">
        <v>37</v>
      </c>
      <c r="J4372" t="s">
        <v>5996</v>
      </c>
      <c r="K4372" t="s">
        <v>108</v>
      </c>
      <c r="L4372" t="s">
        <v>138</v>
      </c>
      <c r="M4372" t="s">
        <v>100</v>
      </c>
      <c r="N4372" t="s">
        <v>152</v>
      </c>
      <c r="O4372" t="s">
        <v>116</v>
      </c>
    </row>
    <row r="4373" spans="1:15" x14ac:dyDescent="0.3">
      <c r="A4373" s="130">
        <v>24086</v>
      </c>
      <c r="B4373" s="130">
        <v>30</v>
      </c>
      <c r="C4373" s="130" t="s">
        <v>5997</v>
      </c>
      <c r="D4373">
        <v>36827</v>
      </c>
      <c r="E4373" s="130">
        <v>18593815</v>
      </c>
      <c r="F4373" t="s">
        <v>87</v>
      </c>
      <c r="G4373">
        <v>76</v>
      </c>
      <c r="H4373" t="s">
        <v>8951</v>
      </c>
      <c r="I4373" s="130">
        <v>24</v>
      </c>
      <c r="J4373" t="s">
        <v>5997</v>
      </c>
      <c r="K4373" t="s">
        <v>108</v>
      </c>
      <c r="L4373" t="s">
        <v>191</v>
      </c>
      <c r="M4373" t="s">
        <v>103</v>
      </c>
      <c r="N4373" t="s">
        <v>114</v>
      </c>
      <c r="O4373" t="s">
        <v>1345</v>
      </c>
    </row>
    <row r="4374" spans="1:15" x14ac:dyDescent="0.3">
      <c r="A4374" s="130">
        <v>24098</v>
      </c>
      <c r="B4374" s="130">
        <v>10</v>
      </c>
      <c r="C4374" s="130" t="s">
        <v>5998</v>
      </c>
      <c r="D4374">
        <v>36835</v>
      </c>
      <c r="E4374" s="130">
        <v>39749956</v>
      </c>
      <c r="F4374" t="s">
        <v>113</v>
      </c>
      <c r="G4374">
        <v>76</v>
      </c>
      <c r="H4374" t="s">
        <v>8952</v>
      </c>
      <c r="I4374" s="130">
        <v>9</v>
      </c>
      <c r="J4374" t="s">
        <v>5998</v>
      </c>
      <c r="K4374" t="s">
        <v>95</v>
      </c>
      <c r="L4374" t="s">
        <v>163</v>
      </c>
      <c r="M4374" t="s">
        <v>133</v>
      </c>
      <c r="N4374" t="s">
        <v>98</v>
      </c>
      <c r="O4374" t="s">
        <v>1256</v>
      </c>
    </row>
    <row r="4375" spans="1:15" x14ac:dyDescent="0.3">
      <c r="A4375" s="130">
        <v>24099</v>
      </c>
      <c r="B4375" s="130">
        <v>10</v>
      </c>
      <c r="C4375" s="130" t="s">
        <v>5999</v>
      </c>
      <c r="D4375">
        <v>36848</v>
      </c>
      <c r="E4375" s="130">
        <v>10246648</v>
      </c>
      <c r="F4375" t="s">
        <v>87</v>
      </c>
      <c r="G4375">
        <v>32947</v>
      </c>
      <c r="H4375" t="s">
        <v>8953</v>
      </c>
      <c r="I4375" s="131">
        <v>24</v>
      </c>
      <c r="J4375" t="s">
        <v>5999</v>
      </c>
      <c r="K4375" t="s">
        <v>108</v>
      </c>
      <c r="L4375" t="s">
        <v>1241</v>
      </c>
      <c r="M4375" t="s">
        <v>133</v>
      </c>
      <c r="N4375" t="s">
        <v>98</v>
      </c>
      <c r="O4375" t="s">
        <v>1256</v>
      </c>
    </row>
    <row r="4376" spans="1:15" x14ac:dyDescent="0.3">
      <c r="A4376" s="130">
        <v>24103</v>
      </c>
      <c r="B4376" s="130">
        <v>30</v>
      </c>
      <c r="C4376" s="130" t="s">
        <v>6000</v>
      </c>
      <c r="D4376">
        <v>36849</v>
      </c>
      <c r="E4376" s="131">
        <v>37245993</v>
      </c>
      <c r="F4376" t="s">
        <v>87</v>
      </c>
      <c r="G4376">
        <v>32947</v>
      </c>
      <c r="H4376" t="s">
        <v>8951</v>
      </c>
      <c r="I4376" s="131">
        <v>43</v>
      </c>
      <c r="J4376" t="s">
        <v>6000</v>
      </c>
      <c r="K4376" t="s">
        <v>108</v>
      </c>
      <c r="L4376" t="s">
        <v>252</v>
      </c>
      <c r="M4376" t="s">
        <v>103</v>
      </c>
      <c r="N4376" t="s">
        <v>98</v>
      </c>
      <c r="O4376" t="s">
        <v>1256</v>
      </c>
    </row>
    <row r="4377" spans="1:15" x14ac:dyDescent="0.3">
      <c r="A4377" s="130">
        <v>24104</v>
      </c>
      <c r="B4377" s="130">
        <v>30</v>
      </c>
      <c r="C4377" s="130" t="s">
        <v>6001</v>
      </c>
      <c r="D4377">
        <v>36857</v>
      </c>
      <c r="E4377" s="131">
        <v>58131582</v>
      </c>
      <c r="F4377" t="s">
        <v>113</v>
      </c>
      <c r="G4377">
        <v>32947</v>
      </c>
      <c r="H4377" t="s">
        <v>8952</v>
      </c>
      <c r="I4377" s="130">
        <v>24</v>
      </c>
      <c r="J4377" t="s">
        <v>6001</v>
      </c>
      <c r="K4377" t="s">
        <v>95</v>
      </c>
      <c r="L4377" t="s">
        <v>1253</v>
      </c>
      <c r="M4377" t="s">
        <v>103</v>
      </c>
      <c r="N4377" t="s">
        <v>98</v>
      </c>
      <c r="O4377" t="s">
        <v>1256</v>
      </c>
    </row>
    <row r="4378" spans="1:15" x14ac:dyDescent="0.3">
      <c r="A4378" s="130">
        <v>24117</v>
      </c>
      <c r="B4378" s="130">
        <v>30</v>
      </c>
      <c r="C4378" s="130" t="s">
        <v>6002</v>
      </c>
      <c r="D4378">
        <v>36874</v>
      </c>
      <c r="E4378" s="131">
        <v>22678874</v>
      </c>
      <c r="F4378" t="s">
        <v>87</v>
      </c>
      <c r="G4378">
        <v>33359</v>
      </c>
      <c r="H4378" t="s">
        <v>8953</v>
      </c>
      <c r="I4378" s="131">
        <v>28</v>
      </c>
      <c r="J4378" t="s">
        <v>6002</v>
      </c>
      <c r="K4378" t="s">
        <v>95</v>
      </c>
      <c r="L4378" t="s">
        <v>926</v>
      </c>
      <c r="M4378" t="s">
        <v>103</v>
      </c>
      <c r="N4378" t="s">
        <v>131</v>
      </c>
      <c r="O4378" t="s">
        <v>244</v>
      </c>
    </row>
    <row r="4379" spans="1:15" x14ac:dyDescent="0.3">
      <c r="A4379" s="130">
        <v>24118</v>
      </c>
      <c r="B4379" s="130">
        <v>10</v>
      </c>
      <c r="C4379" s="130" t="s">
        <v>6003</v>
      </c>
      <c r="D4379">
        <v>36875</v>
      </c>
      <c r="E4379" s="130">
        <v>26381989</v>
      </c>
      <c r="F4379" t="s">
        <v>87</v>
      </c>
      <c r="G4379">
        <v>76</v>
      </c>
      <c r="H4379" t="s">
        <v>8951</v>
      </c>
      <c r="I4379" s="131">
        <v>3</v>
      </c>
      <c r="J4379" t="s">
        <v>6003</v>
      </c>
      <c r="K4379" t="s">
        <v>108</v>
      </c>
      <c r="L4379" t="s">
        <v>925</v>
      </c>
      <c r="M4379" t="s">
        <v>133</v>
      </c>
      <c r="N4379" t="s">
        <v>98</v>
      </c>
      <c r="O4379" t="s">
        <v>1256</v>
      </c>
    </row>
    <row r="4380" spans="1:15" x14ac:dyDescent="0.3">
      <c r="A4380" s="130">
        <v>24120</v>
      </c>
      <c r="B4380" s="130">
        <v>18</v>
      </c>
      <c r="C4380" s="130" t="s">
        <v>6004</v>
      </c>
      <c r="D4380">
        <v>36877</v>
      </c>
      <c r="E4380" s="130">
        <v>32148882</v>
      </c>
      <c r="F4380" t="s">
        <v>87</v>
      </c>
      <c r="G4380">
        <v>76</v>
      </c>
      <c r="H4380" t="s">
        <v>8952</v>
      </c>
      <c r="I4380" s="131">
        <v>26</v>
      </c>
      <c r="J4380" t="s">
        <v>6004</v>
      </c>
      <c r="K4380" t="s">
        <v>108</v>
      </c>
      <c r="L4380" t="s">
        <v>151</v>
      </c>
      <c r="M4380" t="s">
        <v>112</v>
      </c>
      <c r="N4380" t="s">
        <v>114</v>
      </c>
      <c r="O4380" t="s">
        <v>116</v>
      </c>
    </row>
    <row r="4381" spans="1:15" x14ac:dyDescent="0.3">
      <c r="A4381" s="130">
        <v>24121</v>
      </c>
      <c r="B4381" s="130">
        <v>10</v>
      </c>
      <c r="C4381" s="130" t="s">
        <v>6005</v>
      </c>
      <c r="D4381">
        <v>36878</v>
      </c>
      <c r="E4381" s="131">
        <v>21062047</v>
      </c>
      <c r="F4381" t="s">
        <v>87</v>
      </c>
      <c r="G4381">
        <v>76</v>
      </c>
      <c r="H4381" t="s">
        <v>8953</v>
      </c>
      <c r="I4381" s="131">
        <v>3</v>
      </c>
      <c r="J4381" t="s">
        <v>6005</v>
      </c>
      <c r="K4381" t="s">
        <v>108</v>
      </c>
      <c r="L4381" t="s">
        <v>925</v>
      </c>
      <c r="M4381" t="s">
        <v>133</v>
      </c>
      <c r="N4381" t="s">
        <v>98</v>
      </c>
      <c r="O4381" t="s">
        <v>1256</v>
      </c>
    </row>
    <row r="4382" spans="1:15" x14ac:dyDescent="0.3">
      <c r="A4382" s="130">
        <v>24123</v>
      </c>
      <c r="B4382" s="130">
        <v>30</v>
      </c>
      <c r="C4382" s="130" t="s">
        <v>6006</v>
      </c>
      <c r="D4382">
        <v>36880</v>
      </c>
      <c r="E4382" s="131">
        <v>95865572</v>
      </c>
      <c r="F4382" t="s">
        <v>87</v>
      </c>
      <c r="G4382">
        <v>76</v>
      </c>
      <c r="H4382" t="s">
        <v>8951</v>
      </c>
      <c r="I4382" s="130">
        <v>9</v>
      </c>
      <c r="J4382" t="s">
        <v>6006</v>
      </c>
      <c r="K4382" t="s">
        <v>95</v>
      </c>
      <c r="L4382" t="s">
        <v>163</v>
      </c>
      <c r="M4382" t="s">
        <v>103</v>
      </c>
      <c r="N4382" t="s">
        <v>114</v>
      </c>
      <c r="O4382" t="s">
        <v>116</v>
      </c>
    </row>
    <row r="4383" spans="1:15" x14ac:dyDescent="0.3">
      <c r="A4383" s="130">
        <v>24124</v>
      </c>
      <c r="B4383" s="130">
        <v>0</v>
      </c>
      <c r="C4383" s="130" t="s">
        <v>6007</v>
      </c>
      <c r="D4383">
        <v>36883</v>
      </c>
      <c r="E4383" s="130">
        <v>507949</v>
      </c>
      <c r="F4383" t="s">
        <v>87</v>
      </c>
      <c r="G4383">
        <v>76</v>
      </c>
      <c r="H4383" t="s">
        <v>8952</v>
      </c>
      <c r="I4383" s="130">
        <v>9</v>
      </c>
      <c r="J4383" t="s">
        <v>6007</v>
      </c>
      <c r="K4383" t="s">
        <v>108</v>
      </c>
      <c r="L4383" t="s">
        <v>1298</v>
      </c>
      <c r="M4383" t="s">
        <v>100</v>
      </c>
      <c r="N4383" t="s">
        <v>98</v>
      </c>
      <c r="O4383" t="s">
        <v>1256</v>
      </c>
    </row>
    <row r="4384" spans="1:15" x14ac:dyDescent="0.3">
      <c r="A4384" s="130">
        <v>24135</v>
      </c>
      <c r="B4384" s="130">
        <v>28</v>
      </c>
      <c r="C4384" s="130" t="s">
        <v>6008</v>
      </c>
      <c r="D4384">
        <v>36892</v>
      </c>
      <c r="E4384" s="130">
        <v>51466860</v>
      </c>
      <c r="F4384" t="s">
        <v>87</v>
      </c>
      <c r="G4384">
        <v>76</v>
      </c>
      <c r="H4384" t="s">
        <v>8953</v>
      </c>
      <c r="I4384" s="131">
        <v>37</v>
      </c>
      <c r="J4384" t="s">
        <v>6008</v>
      </c>
      <c r="K4384" t="s">
        <v>95</v>
      </c>
      <c r="L4384" t="s">
        <v>144</v>
      </c>
      <c r="M4384" t="s">
        <v>130</v>
      </c>
      <c r="N4384" t="s">
        <v>141</v>
      </c>
      <c r="O4384" t="s">
        <v>116</v>
      </c>
    </row>
    <row r="4385" spans="1:15" x14ac:dyDescent="0.3">
      <c r="A4385" s="130">
        <v>24139</v>
      </c>
      <c r="B4385" s="130">
        <v>30</v>
      </c>
      <c r="C4385" s="130" t="s">
        <v>6009</v>
      </c>
      <c r="D4385">
        <v>36882</v>
      </c>
      <c r="E4385" s="130">
        <v>20198029</v>
      </c>
      <c r="F4385" t="s">
        <v>113</v>
      </c>
      <c r="G4385">
        <v>32947</v>
      </c>
      <c r="H4385" t="s">
        <v>8951</v>
      </c>
      <c r="I4385" s="131">
        <v>3</v>
      </c>
      <c r="J4385" t="s">
        <v>6009</v>
      </c>
      <c r="K4385" t="s">
        <v>95</v>
      </c>
      <c r="L4385" t="s">
        <v>1293</v>
      </c>
      <c r="M4385" t="s">
        <v>103</v>
      </c>
      <c r="N4385" t="s">
        <v>98</v>
      </c>
      <c r="O4385" t="s">
        <v>1256</v>
      </c>
    </row>
    <row r="4386" spans="1:15" x14ac:dyDescent="0.3">
      <c r="A4386" s="130">
        <v>24140</v>
      </c>
      <c r="B4386" s="130">
        <v>30</v>
      </c>
      <c r="C4386" s="130" t="s">
        <v>6010</v>
      </c>
      <c r="D4386">
        <v>36899</v>
      </c>
      <c r="E4386" s="130">
        <v>18593815</v>
      </c>
      <c r="F4386" t="s">
        <v>87</v>
      </c>
      <c r="G4386">
        <v>76</v>
      </c>
      <c r="H4386" t="s">
        <v>8952</v>
      </c>
      <c r="I4386" s="131">
        <v>24</v>
      </c>
      <c r="J4386" t="s">
        <v>6010</v>
      </c>
      <c r="K4386" t="s">
        <v>108</v>
      </c>
      <c r="L4386" t="s">
        <v>191</v>
      </c>
      <c r="M4386" t="s">
        <v>103</v>
      </c>
      <c r="N4386" t="s">
        <v>114</v>
      </c>
      <c r="O4386" t="s">
        <v>1256</v>
      </c>
    </row>
    <row r="4387" spans="1:15" x14ac:dyDescent="0.3">
      <c r="A4387" s="130">
        <v>24144</v>
      </c>
      <c r="B4387" s="130">
        <v>10</v>
      </c>
      <c r="C4387" s="130" t="s">
        <v>6011</v>
      </c>
      <c r="D4387">
        <v>36904</v>
      </c>
      <c r="E4387" s="130">
        <v>9646672</v>
      </c>
      <c r="F4387" t="s">
        <v>87</v>
      </c>
      <c r="G4387">
        <v>76</v>
      </c>
      <c r="H4387" t="s">
        <v>8953</v>
      </c>
      <c r="I4387" s="130">
        <v>3</v>
      </c>
      <c r="J4387" t="s">
        <v>6011</v>
      </c>
      <c r="K4387" t="s">
        <v>108</v>
      </c>
      <c r="L4387" t="s">
        <v>925</v>
      </c>
      <c r="M4387" t="s">
        <v>133</v>
      </c>
      <c r="N4387" t="s">
        <v>98</v>
      </c>
      <c r="O4387" t="s">
        <v>1256</v>
      </c>
    </row>
    <row r="4388" spans="1:15" x14ac:dyDescent="0.3">
      <c r="A4388" s="130">
        <v>24147</v>
      </c>
      <c r="B4388" s="130">
        <v>28</v>
      </c>
      <c r="C4388" s="130" t="s">
        <v>6012</v>
      </c>
      <c r="D4388">
        <v>36907</v>
      </c>
      <c r="E4388" s="131">
        <v>29806524</v>
      </c>
      <c r="F4388" t="s">
        <v>87</v>
      </c>
      <c r="G4388">
        <v>32947</v>
      </c>
      <c r="H4388" t="s">
        <v>8951</v>
      </c>
      <c r="I4388" s="130">
        <v>43</v>
      </c>
      <c r="J4388" t="s">
        <v>6012</v>
      </c>
      <c r="K4388" t="s">
        <v>108</v>
      </c>
      <c r="L4388" t="s">
        <v>1241</v>
      </c>
      <c r="M4388" t="s">
        <v>130</v>
      </c>
      <c r="N4388" t="s">
        <v>98</v>
      </c>
      <c r="O4388" t="s">
        <v>1256</v>
      </c>
    </row>
    <row r="4389" spans="1:15" x14ac:dyDescent="0.3">
      <c r="A4389" s="130">
        <v>24148</v>
      </c>
      <c r="B4389" s="130">
        <v>0</v>
      </c>
      <c r="C4389" s="130" t="s">
        <v>6013</v>
      </c>
      <c r="D4389">
        <v>36908</v>
      </c>
      <c r="E4389" s="131">
        <v>5381814</v>
      </c>
      <c r="F4389" t="s">
        <v>113</v>
      </c>
      <c r="G4389">
        <v>76</v>
      </c>
      <c r="H4389" t="s">
        <v>8952</v>
      </c>
      <c r="I4389" s="130">
        <v>9</v>
      </c>
      <c r="J4389" t="s">
        <v>6013</v>
      </c>
      <c r="K4389" t="s">
        <v>108</v>
      </c>
      <c r="L4389" t="s">
        <v>1298</v>
      </c>
      <c r="M4389" t="s">
        <v>100</v>
      </c>
      <c r="N4389" t="s">
        <v>114</v>
      </c>
      <c r="O4389" t="s">
        <v>1256</v>
      </c>
    </row>
    <row r="4390" spans="1:15" x14ac:dyDescent="0.3">
      <c r="A4390" s="130">
        <v>24152</v>
      </c>
      <c r="B4390" s="130">
        <v>11</v>
      </c>
      <c r="C4390" s="130" t="s">
        <v>6014</v>
      </c>
      <c r="D4390">
        <v>36913</v>
      </c>
      <c r="E4390" s="130">
        <v>15211038</v>
      </c>
      <c r="F4390" t="s">
        <v>87</v>
      </c>
      <c r="G4390">
        <v>32947</v>
      </c>
      <c r="H4390" t="s">
        <v>8953</v>
      </c>
      <c r="I4390" s="130">
        <v>3</v>
      </c>
      <c r="J4390" t="s">
        <v>6014</v>
      </c>
      <c r="K4390" t="s">
        <v>108</v>
      </c>
      <c r="L4390" t="s">
        <v>109</v>
      </c>
      <c r="M4390" t="s">
        <v>1243</v>
      </c>
      <c r="N4390" t="s">
        <v>98</v>
      </c>
      <c r="O4390" t="s">
        <v>116</v>
      </c>
    </row>
    <row r="4391" spans="1:15" x14ac:dyDescent="0.3">
      <c r="A4391" s="130">
        <v>24157</v>
      </c>
      <c r="B4391" s="130">
        <v>15</v>
      </c>
      <c r="C4391" s="130" t="s">
        <v>6015</v>
      </c>
      <c r="D4391">
        <v>36911</v>
      </c>
      <c r="E4391" s="130">
        <v>19869547</v>
      </c>
      <c r="F4391" t="s">
        <v>113</v>
      </c>
      <c r="G4391">
        <v>76</v>
      </c>
      <c r="H4391" t="s">
        <v>8951</v>
      </c>
      <c r="I4391" s="131">
        <v>24</v>
      </c>
      <c r="J4391" t="s">
        <v>6015</v>
      </c>
      <c r="K4391" t="s">
        <v>108</v>
      </c>
      <c r="L4391" t="s">
        <v>240</v>
      </c>
      <c r="M4391" t="s">
        <v>145</v>
      </c>
      <c r="N4391" t="s">
        <v>98</v>
      </c>
      <c r="O4391" t="s">
        <v>1256</v>
      </c>
    </row>
    <row r="4392" spans="1:15" x14ac:dyDescent="0.3">
      <c r="A4392" s="130">
        <v>24158</v>
      </c>
      <c r="B4392" s="130">
        <v>-1</v>
      </c>
      <c r="C4392" s="130" t="s">
        <v>6016</v>
      </c>
      <c r="D4392">
        <v>36919</v>
      </c>
      <c r="E4392" s="130">
        <v>73849952</v>
      </c>
      <c r="F4392" t="s">
        <v>87</v>
      </c>
      <c r="G4392">
        <v>32947</v>
      </c>
      <c r="H4392" t="s">
        <v>8952</v>
      </c>
      <c r="I4392" s="130">
        <v>43</v>
      </c>
      <c r="J4392" t="s">
        <v>6016</v>
      </c>
      <c r="K4392" t="s">
        <v>108</v>
      </c>
      <c r="L4392" t="s">
        <v>1241</v>
      </c>
      <c r="M4392" t="s">
        <v>174</v>
      </c>
      <c r="N4392" t="s">
        <v>101</v>
      </c>
      <c r="O4392" t="s">
        <v>244</v>
      </c>
    </row>
    <row r="4393" spans="1:15" x14ac:dyDescent="0.3">
      <c r="A4393" s="130">
        <v>24159</v>
      </c>
      <c r="B4393" s="130">
        <v>30</v>
      </c>
      <c r="C4393" s="130" t="s">
        <v>6017</v>
      </c>
      <c r="D4393">
        <v>36922</v>
      </c>
      <c r="E4393" s="130">
        <v>50030001</v>
      </c>
      <c r="F4393" t="s">
        <v>87</v>
      </c>
      <c r="G4393">
        <v>358</v>
      </c>
      <c r="H4393" t="s">
        <v>8953</v>
      </c>
      <c r="I4393" s="130">
        <v>3</v>
      </c>
      <c r="J4393" t="s">
        <v>6017</v>
      </c>
      <c r="K4393" t="s">
        <v>95</v>
      </c>
      <c r="L4393" t="s">
        <v>105</v>
      </c>
      <c r="M4393" t="s">
        <v>103</v>
      </c>
      <c r="N4393" t="s">
        <v>98</v>
      </c>
      <c r="O4393" t="s">
        <v>116</v>
      </c>
    </row>
    <row r="4394" spans="1:15" x14ac:dyDescent="0.3">
      <c r="A4394" s="130">
        <v>24162</v>
      </c>
      <c r="B4394" s="130">
        <v>10</v>
      </c>
      <c r="C4394" s="130" t="s">
        <v>6018</v>
      </c>
      <c r="D4394">
        <v>36920</v>
      </c>
      <c r="E4394" s="131">
        <v>35963386</v>
      </c>
      <c r="F4394" t="s">
        <v>113</v>
      </c>
      <c r="G4394">
        <v>76</v>
      </c>
      <c r="H4394" t="s">
        <v>8951</v>
      </c>
      <c r="I4394" s="130">
        <v>9</v>
      </c>
      <c r="J4394" t="s">
        <v>6018</v>
      </c>
      <c r="K4394" t="s">
        <v>108</v>
      </c>
      <c r="L4394" t="s">
        <v>163</v>
      </c>
      <c r="M4394" t="s">
        <v>133</v>
      </c>
      <c r="N4394" t="s">
        <v>98</v>
      </c>
      <c r="O4394" t="s">
        <v>1256</v>
      </c>
    </row>
    <row r="4395" spans="1:15" x14ac:dyDescent="0.3">
      <c r="A4395" s="130">
        <v>24171</v>
      </c>
      <c r="B4395" s="130">
        <v>10</v>
      </c>
      <c r="C4395" s="130" t="s">
        <v>6019</v>
      </c>
      <c r="D4395">
        <v>36823</v>
      </c>
      <c r="E4395" s="130">
        <v>31296948</v>
      </c>
      <c r="F4395" t="s">
        <v>113</v>
      </c>
      <c r="G4395">
        <v>76</v>
      </c>
      <c r="H4395" t="s">
        <v>8952</v>
      </c>
      <c r="I4395" s="130">
        <v>3</v>
      </c>
      <c r="J4395" t="s">
        <v>6019</v>
      </c>
      <c r="K4395" t="s">
        <v>108</v>
      </c>
      <c r="L4395" t="s">
        <v>153</v>
      </c>
      <c r="M4395" t="s">
        <v>133</v>
      </c>
      <c r="N4395" t="s">
        <v>101</v>
      </c>
      <c r="O4395" t="s">
        <v>1256</v>
      </c>
    </row>
    <row r="4396" spans="1:15" x14ac:dyDescent="0.3">
      <c r="A4396" s="130">
        <v>24172</v>
      </c>
      <c r="B4396" s="130">
        <v>30</v>
      </c>
      <c r="C4396" s="130" t="s">
        <v>6020</v>
      </c>
      <c r="D4396">
        <v>36667</v>
      </c>
      <c r="E4396" s="131">
        <v>61460325</v>
      </c>
      <c r="F4396" t="s">
        <v>87</v>
      </c>
      <c r="G4396">
        <v>76</v>
      </c>
      <c r="H4396" t="s">
        <v>8953</v>
      </c>
      <c r="I4396" s="131">
        <v>24</v>
      </c>
      <c r="J4396" t="s">
        <v>6020</v>
      </c>
      <c r="K4396" t="s">
        <v>95</v>
      </c>
      <c r="L4396" t="s">
        <v>240</v>
      </c>
      <c r="M4396" t="s">
        <v>103</v>
      </c>
      <c r="N4396" t="s">
        <v>114</v>
      </c>
      <c r="O4396" t="s">
        <v>116</v>
      </c>
    </row>
    <row r="4397" spans="1:15" x14ac:dyDescent="0.3">
      <c r="A4397" s="130">
        <v>24173</v>
      </c>
      <c r="B4397" s="130">
        <v>30</v>
      </c>
      <c r="C4397" s="130" t="s">
        <v>6021</v>
      </c>
      <c r="D4397">
        <v>36941</v>
      </c>
      <c r="E4397" s="131">
        <v>4980542</v>
      </c>
      <c r="F4397" t="s">
        <v>87</v>
      </c>
      <c r="G4397">
        <v>76</v>
      </c>
      <c r="H4397" t="s">
        <v>8951</v>
      </c>
      <c r="I4397" s="130">
        <v>3</v>
      </c>
      <c r="J4397" t="s">
        <v>6021</v>
      </c>
      <c r="K4397" t="s">
        <v>108</v>
      </c>
      <c r="L4397" t="s">
        <v>1293</v>
      </c>
      <c r="M4397" t="s">
        <v>103</v>
      </c>
      <c r="N4397" t="s">
        <v>98</v>
      </c>
      <c r="O4397" t="s">
        <v>116</v>
      </c>
    </row>
    <row r="4398" spans="1:15" x14ac:dyDescent="0.3">
      <c r="A4398" s="130">
        <v>24179</v>
      </c>
      <c r="B4398" s="130">
        <v>18</v>
      </c>
      <c r="C4398" s="130" t="s">
        <v>6022</v>
      </c>
      <c r="D4398">
        <v>36950</v>
      </c>
      <c r="E4398" s="130">
        <v>17069832</v>
      </c>
      <c r="F4398" t="s">
        <v>87</v>
      </c>
      <c r="G4398">
        <v>32947</v>
      </c>
      <c r="H4398" t="s">
        <v>8952</v>
      </c>
      <c r="I4398" s="130">
        <v>18</v>
      </c>
      <c r="J4398" t="s">
        <v>6022</v>
      </c>
      <c r="K4398" t="s">
        <v>95</v>
      </c>
      <c r="L4398" t="s">
        <v>193</v>
      </c>
      <c r="M4398" t="s">
        <v>112</v>
      </c>
      <c r="N4398" t="s">
        <v>98</v>
      </c>
      <c r="O4398" t="s">
        <v>116</v>
      </c>
    </row>
    <row r="4399" spans="1:15" x14ac:dyDescent="0.3">
      <c r="A4399" s="130">
        <v>24184</v>
      </c>
      <c r="B4399" s="130">
        <v>30</v>
      </c>
      <c r="C4399" s="130" t="s">
        <v>6023</v>
      </c>
      <c r="D4399">
        <v>36961</v>
      </c>
      <c r="E4399" s="130">
        <v>34562112</v>
      </c>
      <c r="F4399" t="s">
        <v>87</v>
      </c>
      <c r="G4399">
        <v>76</v>
      </c>
      <c r="H4399" t="s">
        <v>8953</v>
      </c>
      <c r="I4399" s="130">
        <v>24</v>
      </c>
      <c r="J4399" t="s">
        <v>6023</v>
      </c>
      <c r="K4399" t="s">
        <v>95</v>
      </c>
      <c r="L4399" t="s">
        <v>191</v>
      </c>
      <c r="M4399" t="s">
        <v>103</v>
      </c>
      <c r="N4399" t="s">
        <v>107</v>
      </c>
      <c r="O4399" t="s">
        <v>1345</v>
      </c>
    </row>
    <row r="4400" spans="1:15" x14ac:dyDescent="0.3">
      <c r="A4400" s="130">
        <v>24188</v>
      </c>
      <c r="B4400" s="130">
        <v>28</v>
      </c>
      <c r="C4400" s="130" t="s">
        <v>6024</v>
      </c>
      <c r="D4400">
        <v>36969</v>
      </c>
      <c r="E4400" s="130">
        <v>37264837</v>
      </c>
      <c r="F4400" t="s">
        <v>87</v>
      </c>
      <c r="G4400">
        <v>76</v>
      </c>
      <c r="H4400" t="s">
        <v>8951</v>
      </c>
      <c r="I4400" s="131">
        <v>37</v>
      </c>
      <c r="J4400" t="s">
        <v>6024</v>
      </c>
      <c r="K4400" t="s">
        <v>95</v>
      </c>
      <c r="L4400" t="s">
        <v>138</v>
      </c>
      <c r="M4400" t="s">
        <v>130</v>
      </c>
      <c r="N4400" t="s">
        <v>150</v>
      </c>
      <c r="O4400" t="s">
        <v>116</v>
      </c>
    </row>
    <row r="4401" spans="1:15" x14ac:dyDescent="0.3">
      <c r="A4401" s="130">
        <v>24190</v>
      </c>
      <c r="B4401" s="130">
        <v>30</v>
      </c>
      <c r="C4401" s="130" t="s">
        <v>6025</v>
      </c>
      <c r="D4401">
        <v>36377</v>
      </c>
      <c r="E4401" s="131">
        <v>16658714</v>
      </c>
      <c r="F4401" t="s">
        <v>113</v>
      </c>
      <c r="G4401">
        <v>76</v>
      </c>
      <c r="H4401" t="s">
        <v>8952</v>
      </c>
      <c r="I4401" s="131">
        <v>18</v>
      </c>
      <c r="J4401" t="s">
        <v>6025</v>
      </c>
      <c r="K4401" t="s">
        <v>108</v>
      </c>
      <c r="L4401" t="s">
        <v>123</v>
      </c>
      <c r="M4401" t="s">
        <v>103</v>
      </c>
      <c r="N4401" t="s">
        <v>114</v>
      </c>
      <c r="O4401" t="s">
        <v>1256</v>
      </c>
    </row>
    <row r="4402" spans="1:15" x14ac:dyDescent="0.3">
      <c r="A4402" s="130">
        <v>24192</v>
      </c>
      <c r="B4402" s="130">
        <v>30</v>
      </c>
      <c r="C4402" s="130" t="s">
        <v>6026</v>
      </c>
      <c r="D4402">
        <v>36970</v>
      </c>
      <c r="E4402" s="130">
        <v>33000167</v>
      </c>
      <c r="F4402" t="s">
        <v>87</v>
      </c>
      <c r="G4402">
        <v>33359</v>
      </c>
      <c r="H4402" t="s">
        <v>8953</v>
      </c>
      <c r="I4402" s="130">
        <v>3</v>
      </c>
      <c r="J4402" t="s">
        <v>6026</v>
      </c>
      <c r="K4402" t="s">
        <v>108</v>
      </c>
      <c r="L4402" t="s">
        <v>925</v>
      </c>
      <c r="M4402" t="s">
        <v>103</v>
      </c>
      <c r="N4402" t="s">
        <v>169</v>
      </c>
      <c r="O4402" t="s">
        <v>1256</v>
      </c>
    </row>
    <row r="4403" spans="1:15" x14ac:dyDescent="0.3">
      <c r="A4403" s="130">
        <v>24196</v>
      </c>
      <c r="B4403" s="130">
        <v>10</v>
      </c>
      <c r="C4403" s="130" t="s">
        <v>6027</v>
      </c>
      <c r="D4403">
        <v>36979</v>
      </c>
      <c r="E4403" s="131">
        <v>32227070</v>
      </c>
      <c r="F4403" t="s">
        <v>87</v>
      </c>
      <c r="G4403">
        <v>76</v>
      </c>
      <c r="H4403" t="s">
        <v>8951</v>
      </c>
      <c r="I4403" s="131">
        <v>3</v>
      </c>
      <c r="J4403" t="s">
        <v>6027</v>
      </c>
      <c r="K4403" t="s">
        <v>108</v>
      </c>
      <c r="L4403" t="s">
        <v>120</v>
      </c>
      <c r="M4403" t="s">
        <v>133</v>
      </c>
      <c r="N4403" t="s">
        <v>98</v>
      </c>
      <c r="O4403" t="s">
        <v>116</v>
      </c>
    </row>
    <row r="4404" spans="1:15" x14ac:dyDescent="0.3">
      <c r="A4404" s="130">
        <v>24199</v>
      </c>
      <c r="B4404" s="130">
        <v>30</v>
      </c>
      <c r="C4404" s="130" t="s">
        <v>6028</v>
      </c>
      <c r="D4404">
        <v>36989</v>
      </c>
      <c r="E4404" s="131">
        <v>82502196</v>
      </c>
      <c r="F4404" t="s">
        <v>87</v>
      </c>
      <c r="G4404">
        <v>76</v>
      </c>
      <c r="H4404" t="s">
        <v>8952</v>
      </c>
      <c r="I4404" s="131">
        <v>9</v>
      </c>
      <c r="J4404" t="s">
        <v>6028</v>
      </c>
      <c r="K4404" t="s">
        <v>95</v>
      </c>
      <c r="L4404" t="s">
        <v>163</v>
      </c>
      <c r="M4404" t="s">
        <v>103</v>
      </c>
      <c r="N4404" t="s">
        <v>98</v>
      </c>
      <c r="O4404" t="s">
        <v>116</v>
      </c>
    </row>
    <row r="4405" spans="1:15" x14ac:dyDescent="0.3">
      <c r="A4405" s="130">
        <v>24200</v>
      </c>
      <c r="B4405" s="130">
        <v>30</v>
      </c>
      <c r="C4405" s="130" t="s">
        <v>6029</v>
      </c>
      <c r="D4405">
        <v>36990</v>
      </c>
      <c r="E4405" s="130">
        <v>42540211</v>
      </c>
      <c r="F4405" t="s">
        <v>87</v>
      </c>
      <c r="G4405">
        <v>76</v>
      </c>
      <c r="H4405" t="s">
        <v>8953</v>
      </c>
      <c r="I4405" s="131">
        <v>18</v>
      </c>
      <c r="J4405" t="s">
        <v>6029</v>
      </c>
      <c r="K4405" t="s">
        <v>95</v>
      </c>
      <c r="L4405" t="s">
        <v>123</v>
      </c>
      <c r="M4405" t="s">
        <v>103</v>
      </c>
      <c r="N4405" t="s">
        <v>124</v>
      </c>
      <c r="O4405" t="s">
        <v>1256</v>
      </c>
    </row>
    <row r="4406" spans="1:15" x14ac:dyDescent="0.3">
      <c r="A4406" s="130">
        <v>24201</v>
      </c>
      <c r="B4406" s="130">
        <v>10</v>
      </c>
      <c r="C4406" s="130" t="s">
        <v>6030</v>
      </c>
      <c r="D4406">
        <v>36986</v>
      </c>
      <c r="E4406" s="131">
        <v>2657017</v>
      </c>
      <c r="F4406" t="s">
        <v>87</v>
      </c>
      <c r="G4406">
        <v>76</v>
      </c>
      <c r="H4406" t="s">
        <v>8951</v>
      </c>
      <c r="I4406" s="130">
        <v>9</v>
      </c>
      <c r="J4406" t="s">
        <v>6030</v>
      </c>
      <c r="K4406" t="s">
        <v>108</v>
      </c>
      <c r="L4406" t="s">
        <v>163</v>
      </c>
      <c r="M4406" t="s">
        <v>133</v>
      </c>
      <c r="N4406" t="s">
        <v>98</v>
      </c>
      <c r="O4406" t="s">
        <v>1256</v>
      </c>
    </row>
    <row r="4407" spans="1:15" x14ac:dyDescent="0.3">
      <c r="A4407" s="130">
        <v>24205</v>
      </c>
      <c r="B4407" s="130">
        <v>21</v>
      </c>
      <c r="C4407" s="130" t="s">
        <v>6031</v>
      </c>
      <c r="D4407">
        <v>36994</v>
      </c>
      <c r="E4407" s="131">
        <v>50345582</v>
      </c>
      <c r="F4407" t="s">
        <v>113</v>
      </c>
      <c r="G4407">
        <v>76</v>
      </c>
      <c r="H4407" t="s">
        <v>8952</v>
      </c>
      <c r="I4407" s="130">
        <v>24</v>
      </c>
      <c r="J4407" t="s">
        <v>6031</v>
      </c>
      <c r="K4407" t="s">
        <v>108</v>
      </c>
      <c r="L4407" t="s">
        <v>191</v>
      </c>
      <c r="M4407" t="s">
        <v>137</v>
      </c>
      <c r="N4407" t="s">
        <v>150</v>
      </c>
      <c r="O4407" t="s">
        <v>1256</v>
      </c>
    </row>
    <row r="4408" spans="1:15" x14ac:dyDescent="0.3">
      <c r="A4408" s="130">
        <v>24220</v>
      </c>
      <c r="B4408" s="130">
        <v>18</v>
      </c>
      <c r="C4408" s="130" t="s">
        <v>6032</v>
      </c>
      <c r="D4408">
        <v>37019</v>
      </c>
      <c r="E4408" s="130">
        <v>12537972</v>
      </c>
      <c r="F4408" t="s">
        <v>87</v>
      </c>
      <c r="G4408">
        <v>76</v>
      </c>
      <c r="H4408" t="s">
        <v>8953</v>
      </c>
      <c r="I4408" s="130">
        <v>26</v>
      </c>
      <c r="J4408" t="s">
        <v>6032</v>
      </c>
      <c r="K4408" t="s">
        <v>108</v>
      </c>
      <c r="L4408" t="s">
        <v>151</v>
      </c>
      <c r="M4408" t="s">
        <v>112</v>
      </c>
      <c r="N4408" t="s">
        <v>98</v>
      </c>
      <c r="O4408" t="s">
        <v>1256</v>
      </c>
    </row>
    <row r="4409" spans="1:15" x14ac:dyDescent="0.3">
      <c r="A4409" s="130">
        <v>24225</v>
      </c>
      <c r="B4409" s="130">
        <v>30</v>
      </c>
      <c r="C4409" s="130" t="s">
        <v>6033</v>
      </c>
      <c r="D4409">
        <v>37034</v>
      </c>
      <c r="E4409" s="131">
        <v>7498296</v>
      </c>
      <c r="F4409" t="s">
        <v>113</v>
      </c>
      <c r="G4409">
        <v>32947</v>
      </c>
      <c r="H4409" t="s">
        <v>8951</v>
      </c>
      <c r="I4409" s="131">
        <v>43</v>
      </c>
      <c r="J4409" t="s">
        <v>6033</v>
      </c>
      <c r="K4409" t="s">
        <v>108</v>
      </c>
      <c r="L4409" t="s">
        <v>1241</v>
      </c>
      <c r="M4409" t="s">
        <v>103</v>
      </c>
      <c r="N4409" t="s">
        <v>169</v>
      </c>
      <c r="O4409" t="s">
        <v>1256</v>
      </c>
    </row>
    <row r="4410" spans="1:15" x14ac:dyDescent="0.3">
      <c r="A4410" s="130">
        <v>24226</v>
      </c>
      <c r="B4410" s="130">
        <v>18</v>
      </c>
      <c r="C4410" s="130" t="s">
        <v>6034</v>
      </c>
      <c r="D4410">
        <v>37036</v>
      </c>
      <c r="E4410" s="130">
        <v>3562124</v>
      </c>
      <c r="F4410" t="s">
        <v>87</v>
      </c>
      <c r="G4410">
        <v>76</v>
      </c>
      <c r="H4410" t="s">
        <v>8952</v>
      </c>
      <c r="I4410" s="131">
        <v>26</v>
      </c>
      <c r="J4410" t="s">
        <v>6034</v>
      </c>
      <c r="K4410" t="s">
        <v>95</v>
      </c>
      <c r="L4410" t="s">
        <v>151</v>
      </c>
      <c r="M4410" t="s">
        <v>112</v>
      </c>
      <c r="N4410" t="s">
        <v>169</v>
      </c>
      <c r="O4410" t="s">
        <v>116</v>
      </c>
    </row>
    <row r="4411" spans="1:15" x14ac:dyDescent="0.3">
      <c r="A4411" s="130">
        <v>24227</v>
      </c>
      <c r="C4411" s="130" t="s">
        <v>6035</v>
      </c>
      <c r="D4411">
        <v>37037</v>
      </c>
      <c r="E4411" s="131">
        <v>97379408</v>
      </c>
      <c r="F4411" t="s">
        <v>113</v>
      </c>
      <c r="G4411">
        <v>32947</v>
      </c>
      <c r="H4411" t="s">
        <v>8953</v>
      </c>
      <c r="I4411" s="130">
        <v>43</v>
      </c>
      <c r="J4411" t="s">
        <v>6035</v>
      </c>
      <c r="K4411" t="s">
        <v>108</v>
      </c>
      <c r="L4411" t="s">
        <v>252</v>
      </c>
      <c r="N4411" t="s">
        <v>101</v>
      </c>
      <c r="O4411" t="s">
        <v>1256</v>
      </c>
    </row>
    <row r="4412" spans="1:15" x14ac:dyDescent="0.3">
      <c r="A4412" s="130">
        <v>24234</v>
      </c>
      <c r="B4412" s="130">
        <v>0</v>
      </c>
      <c r="C4412" s="130" t="s">
        <v>6036</v>
      </c>
      <c r="D4412">
        <v>37049</v>
      </c>
      <c r="E4412" s="130">
        <v>11969639</v>
      </c>
      <c r="F4412" t="s">
        <v>87</v>
      </c>
      <c r="G4412">
        <v>76</v>
      </c>
      <c r="H4412" t="s">
        <v>8951</v>
      </c>
      <c r="I4412" s="131">
        <v>19</v>
      </c>
      <c r="J4412" t="s">
        <v>6036</v>
      </c>
      <c r="K4412" t="s">
        <v>108</v>
      </c>
      <c r="L4412" t="s">
        <v>252</v>
      </c>
      <c r="M4412" t="s">
        <v>100</v>
      </c>
      <c r="N4412" t="s">
        <v>98</v>
      </c>
      <c r="O4412" t="s">
        <v>1256</v>
      </c>
    </row>
    <row r="4413" spans="1:15" x14ac:dyDescent="0.3">
      <c r="A4413" s="130">
        <v>24247</v>
      </c>
      <c r="B4413" s="130">
        <v>-1</v>
      </c>
      <c r="C4413" s="130" t="s">
        <v>6037</v>
      </c>
      <c r="D4413">
        <v>37065</v>
      </c>
      <c r="E4413" s="130">
        <v>14139738</v>
      </c>
      <c r="F4413" t="s">
        <v>87</v>
      </c>
      <c r="G4413">
        <v>76</v>
      </c>
      <c r="H4413" t="s">
        <v>8952</v>
      </c>
      <c r="I4413" s="130">
        <v>38</v>
      </c>
      <c r="J4413" t="s">
        <v>6037</v>
      </c>
      <c r="K4413" t="s">
        <v>108</v>
      </c>
      <c r="L4413" t="s">
        <v>126</v>
      </c>
      <c r="M4413" t="s">
        <v>174</v>
      </c>
      <c r="N4413" t="s">
        <v>98</v>
      </c>
      <c r="O4413" t="s">
        <v>116</v>
      </c>
    </row>
    <row r="4414" spans="1:15" x14ac:dyDescent="0.3">
      <c r="A4414" s="130">
        <v>24254</v>
      </c>
      <c r="B4414" s="130">
        <v>30</v>
      </c>
      <c r="C4414" s="130" t="s">
        <v>6038</v>
      </c>
      <c r="D4414">
        <v>37073</v>
      </c>
      <c r="E4414" s="130">
        <v>18715383</v>
      </c>
      <c r="F4414" t="s">
        <v>87</v>
      </c>
      <c r="G4414">
        <v>77</v>
      </c>
      <c r="H4414" t="s">
        <v>8953</v>
      </c>
      <c r="I4414" s="131">
        <v>3</v>
      </c>
      <c r="J4414" t="s">
        <v>6038</v>
      </c>
      <c r="K4414" t="s">
        <v>95</v>
      </c>
      <c r="L4414" t="s">
        <v>256</v>
      </c>
      <c r="M4414" t="s">
        <v>103</v>
      </c>
      <c r="N4414" t="s">
        <v>131</v>
      </c>
      <c r="O4414" t="s">
        <v>116</v>
      </c>
    </row>
    <row r="4415" spans="1:15" x14ac:dyDescent="0.3">
      <c r="A4415" s="130">
        <v>24258</v>
      </c>
      <c r="B4415" s="130" t="s">
        <v>156</v>
      </c>
      <c r="C4415" s="130" t="s">
        <v>6039</v>
      </c>
      <c r="D4415">
        <v>37080</v>
      </c>
      <c r="E4415" s="130">
        <v>15655289</v>
      </c>
      <c r="F4415" t="s">
        <v>87</v>
      </c>
      <c r="G4415">
        <v>76</v>
      </c>
      <c r="H4415" t="s">
        <v>8951</v>
      </c>
      <c r="I4415" s="131">
        <v>37</v>
      </c>
      <c r="J4415" t="s">
        <v>6039</v>
      </c>
      <c r="K4415" t="s">
        <v>108</v>
      </c>
      <c r="L4415" t="s">
        <v>120</v>
      </c>
      <c r="M4415" t="s">
        <v>156</v>
      </c>
      <c r="N4415" t="s">
        <v>101</v>
      </c>
      <c r="O4415" t="s">
        <v>116</v>
      </c>
    </row>
    <row r="4416" spans="1:15" x14ac:dyDescent="0.3">
      <c r="A4416" s="130">
        <v>24264</v>
      </c>
      <c r="B4416" s="130">
        <v>30</v>
      </c>
      <c r="C4416" s="130" t="s">
        <v>6040</v>
      </c>
      <c r="D4416">
        <v>37088</v>
      </c>
      <c r="E4416" s="130">
        <v>3174004</v>
      </c>
      <c r="F4416" t="s">
        <v>87</v>
      </c>
      <c r="G4416">
        <v>76</v>
      </c>
      <c r="H4416" t="s">
        <v>8952</v>
      </c>
      <c r="I4416" s="130">
        <v>43</v>
      </c>
      <c r="J4416" t="s">
        <v>6040</v>
      </c>
      <c r="K4416" t="s">
        <v>95</v>
      </c>
      <c r="L4416" t="s">
        <v>252</v>
      </c>
      <c r="M4416" t="s">
        <v>103</v>
      </c>
      <c r="N4416" t="s">
        <v>98</v>
      </c>
      <c r="O4416" t="s">
        <v>1256</v>
      </c>
    </row>
    <row r="4417" spans="1:15" x14ac:dyDescent="0.3">
      <c r="A4417" s="130">
        <v>24265</v>
      </c>
      <c r="B4417" s="130">
        <v>30</v>
      </c>
      <c r="C4417" s="130" t="s">
        <v>6041</v>
      </c>
      <c r="D4417">
        <v>37091</v>
      </c>
      <c r="E4417" s="131">
        <v>33390170</v>
      </c>
      <c r="F4417" t="s">
        <v>87</v>
      </c>
      <c r="G4417">
        <v>76</v>
      </c>
      <c r="H4417" t="s">
        <v>8953</v>
      </c>
      <c r="I4417" s="130">
        <v>24</v>
      </c>
      <c r="J4417" t="s">
        <v>6041</v>
      </c>
      <c r="K4417" t="s">
        <v>95</v>
      </c>
      <c r="L4417" t="s">
        <v>191</v>
      </c>
      <c r="M4417" t="s">
        <v>103</v>
      </c>
      <c r="N4417" t="s">
        <v>118</v>
      </c>
      <c r="O4417" t="s">
        <v>1256</v>
      </c>
    </row>
    <row r="4418" spans="1:15" x14ac:dyDescent="0.3">
      <c r="A4418" s="130">
        <v>24272</v>
      </c>
      <c r="B4418" s="130">
        <v>18</v>
      </c>
      <c r="C4418" s="130" t="s">
        <v>6042</v>
      </c>
      <c r="D4418">
        <v>37100</v>
      </c>
      <c r="E4418" s="130">
        <v>53741884</v>
      </c>
      <c r="F4418" t="s">
        <v>87</v>
      </c>
      <c r="G4418">
        <v>76</v>
      </c>
      <c r="H4418" t="s">
        <v>8951</v>
      </c>
      <c r="I4418" s="131">
        <v>37</v>
      </c>
      <c r="J4418" t="s">
        <v>6042</v>
      </c>
      <c r="K4418" t="s">
        <v>95</v>
      </c>
      <c r="L4418" t="s">
        <v>138</v>
      </c>
      <c r="M4418" t="s">
        <v>112</v>
      </c>
      <c r="N4418" t="s">
        <v>114</v>
      </c>
      <c r="O4418" t="s">
        <v>116</v>
      </c>
    </row>
    <row r="4419" spans="1:15" x14ac:dyDescent="0.3">
      <c r="A4419" s="130">
        <v>24276</v>
      </c>
      <c r="B4419" s="130">
        <v>21</v>
      </c>
      <c r="C4419" s="130" t="s">
        <v>6043</v>
      </c>
      <c r="D4419">
        <v>36974</v>
      </c>
      <c r="E4419" s="131">
        <v>1699343</v>
      </c>
      <c r="F4419" t="s">
        <v>87</v>
      </c>
      <c r="G4419">
        <v>76</v>
      </c>
      <c r="H4419" t="s">
        <v>8952</v>
      </c>
      <c r="I4419" s="131">
        <v>24</v>
      </c>
      <c r="J4419" t="s">
        <v>6043</v>
      </c>
      <c r="K4419" t="s">
        <v>95</v>
      </c>
      <c r="L4419" t="s">
        <v>191</v>
      </c>
      <c r="M4419" t="s">
        <v>137</v>
      </c>
      <c r="N4419" t="s">
        <v>98</v>
      </c>
      <c r="O4419" t="s">
        <v>1256</v>
      </c>
    </row>
    <row r="4420" spans="1:15" x14ac:dyDescent="0.3">
      <c r="A4420" s="130">
        <v>24277</v>
      </c>
      <c r="B4420" s="130">
        <v>21</v>
      </c>
      <c r="C4420" s="130" t="s">
        <v>6044</v>
      </c>
      <c r="D4420">
        <v>37032</v>
      </c>
      <c r="E4420" s="130">
        <v>56216872</v>
      </c>
      <c r="F4420" t="s">
        <v>113</v>
      </c>
      <c r="G4420">
        <v>76</v>
      </c>
      <c r="H4420" t="s">
        <v>8953</v>
      </c>
      <c r="I4420" s="130">
        <v>24</v>
      </c>
      <c r="J4420" t="s">
        <v>6044</v>
      </c>
      <c r="K4420" t="s">
        <v>108</v>
      </c>
      <c r="L4420" t="s">
        <v>191</v>
      </c>
      <c r="M4420" t="s">
        <v>137</v>
      </c>
      <c r="N4420" t="s">
        <v>98</v>
      </c>
      <c r="O4420" t="s">
        <v>1256</v>
      </c>
    </row>
    <row r="4421" spans="1:15" x14ac:dyDescent="0.3">
      <c r="A4421" s="130">
        <v>24278</v>
      </c>
      <c r="B4421" s="130">
        <v>-1</v>
      </c>
      <c r="C4421" s="130" t="s">
        <v>6045</v>
      </c>
      <c r="D4421">
        <v>37104</v>
      </c>
      <c r="E4421" s="130">
        <v>13448067</v>
      </c>
      <c r="F4421" t="s">
        <v>87</v>
      </c>
      <c r="G4421">
        <v>76</v>
      </c>
      <c r="H4421" t="s">
        <v>8951</v>
      </c>
      <c r="I4421" s="131">
        <v>24</v>
      </c>
      <c r="J4421" t="s">
        <v>6045</v>
      </c>
      <c r="K4421" t="s">
        <v>108</v>
      </c>
      <c r="L4421" t="s">
        <v>191</v>
      </c>
      <c r="M4421" t="s">
        <v>174</v>
      </c>
      <c r="N4421" t="s">
        <v>114</v>
      </c>
      <c r="O4421" t="s">
        <v>116</v>
      </c>
    </row>
    <row r="4422" spans="1:15" x14ac:dyDescent="0.3">
      <c r="A4422" s="130">
        <v>24279</v>
      </c>
      <c r="B4422" s="130">
        <v>30</v>
      </c>
      <c r="C4422" s="130" t="s">
        <v>6046</v>
      </c>
      <c r="D4422">
        <v>37109</v>
      </c>
      <c r="E4422" s="131">
        <v>10545876</v>
      </c>
      <c r="F4422" t="s">
        <v>113</v>
      </c>
      <c r="G4422">
        <v>32947</v>
      </c>
      <c r="H4422" t="s">
        <v>8952</v>
      </c>
      <c r="I4422" s="130">
        <v>43</v>
      </c>
      <c r="J4422" t="s">
        <v>6046</v>
      </c>
      <c r="K4422" t="s">
        <v>108</v>
      </c>
      <c r="L4422" t="s">
        <v>1241</v>
      </c>
      <c r="M4422" t="s">
        <v>103</v>
      </c>
      <c r="N4422" t="s">
        <v>98</v>
      </c>
      <c r="O4422" t="s">
        <v>1256</v>
      </c>
    </row>
    <row r="4423" spans="1:15" x14ac:dyDescent="0.3">
      <c r="A4423" s="130">
        <v>24285</v>
      </c>
      <c r="B4423" s="130">
        <v>10</v>
      </c>
      <c r="C4423" s="130" t="s">
        <v>6047</v>
      </c>
      <c r="D4423">
        <v>37115</v>
      </c>
      <c r="E4423" s="130">
        <v>4038581</v>
      </c>
      <c r="F4423" t="s">
        <v>87</v>
      </c>
      <c r="G4423">
        <v>76</v>
      </c>
      <c r="H4423" t="s">
        <v>8953</v>
      </c>
      <c r="I4423" s="130">
        <v>3</v>
      </c>
      <c r="J4423" t="s">
        <v>6047</v>
      </c>
      <c r="K4423" t="s">
        <v>108</v>
      </c>
      <c r="L4423" t="s">
        <v>925</v>
      </c>
      <c r="M4423" t="s">
        <v>133</v>
      </c>
      <c r="N4423" t="s">
        <v>98</v>
      </c>
      <c r="O4423" t="s">
        <v>1256</v>
      </c>
    </row>
    <row r="4424" spans="1:15" x14ac:dyDescent="0.3">
      <c r="A4424" s="130">
        <v>24287</v>
      </c>
      <c r="B4424" s="130">
        <v>21</v>
      </c>
      <c r="C4424" s="130" t="s">
        <v>6048</v>
      </c>
      <c r="D4424">
        <v>37120</v>
      </c>
      <c r="E4424" s="130">
        <v>4618010</v>
      </c>
      <c r="F4424" t="s">
        <v>87</v>
      </c>
      <c r="G4424">
        <v>76</v>
      </c>
      <c r="H4424" t="s">
        <v>8951</v>
      </c>
      <c r="I4424" s="130">
        <v>24</v>
      </c>
      <c r="J4424" t="s">
        <v>6048</v>
      </c>
      <c r="K4424" t="s">
        <v>108</v>
      </c>
      <c r="L4424" t="s">
        <v>240</v>
      </c>
      <c r="M4424" t="s">
        <v>137</v>
      </c>
      <c r="N4424" t="s">
        <v>98</v>
      </c>
      <c r="O4424" t="s">
        <v>1256</v>
      </c>
    </row>
    <row r="4425" spans="1:15" x14ac:dyDescent="0.3">
      <c r="A4425" s="130">
        <v>24288</v>
      </c>
      <c r="B4425" s="130">
        <v>60</v>
      </c>
      <c r="C4425" s="130" t="s">
        <v>6049</v>
      </c>
      <c r="D4425">
        <v>37121</v>
      </c>
      <c r="E4425" s="131">
        <v>17185786</v>
      </c>
      <c r="F4425" t="s">
        <v>87</v>
      </c>
      <c r="G4425">
        <v>76</v>
      </c>
      <c r="H4425" t="s">
        <v>8952</v>
      </c>
      <c r="I4425" s="131">
        <v>10</v>
      </c>
      <c r="J4425" t="s">
        <v>6049</v>
      </c>
      <c r="K4425" t="s">
        <v>95</v>
      </c>
      <c r="L4425" t="s">
        <v>111</v>
      </c>
      <c r="M4425" t="s">
        <v>97</v>
      </c>
      <c r="N4425" t="s">
        <v>98</v>
      </c>
      <c r="O4425" t="s">
        <v>116</v>
      </c>
    </row>
    <row r="4426" spans="1:15" x14ac:dyDescent="0.3">
      <c r="A4426" s="130">
        <v>24290</v>
      </c>
      <c r="B4426" s="130">
        <v>30</v>
      </c>
      <c r="C4426" s="130" t="s">
        <v>6050</v>
      </c>
      <c r="D4426">
        <v>37124</v>
      </c>
      <c r="E4426" s="131">
        <v>46588950</v>
      </c>
      <c r="F4426" t="s">
        <v>87</v>
      </c>
      <c r="G4426">
        <v>76</v>
      </c>
      <c r="H4426" t="s">
        <v>8953</v>
      </c>
      <c r="I4426" s="130">
        <v>37</v>
      </c>
      <c r="J4426" t="s">
        <v>6050</v>
      </c>
      <c r="K4426" t="s">
        <v>108</v>
      </c>
      <c r="L4426" t="s">
        <v>138</v>
      </c>
      <c r="M4426" t="s">
        <v>103</v>
      </c>
      <c r="N4426" t="s">
        <v>131</v>
      </c>
      <c r="O4426" t="s">
        <v>116</v>
      </c>
    </row>
    <row r="4427" spans="1:15" x14ac:dyDescent="0.3">
      <c r="A4427" s="130">
        <v>24292</v>
      </c>
      <c r="B4427" s="130">
        <v>30</v>
      </c>
      <c r="C4427" s="130" t="s">
        <v>6051</v>
      </c>
      <c r="D4427">
        <v>37125</v>
      </c>
      <c r="E4427" s="131">
        <v>50030001</v>
      </c>
      <c r="F4427" t="s">
        <v>87</v>
      </c>
      <c r="G4427">
        <v>77</v>
      </c>
      <c r="H4427" t="s">
        <v>8951</v>
      </c>
      <c r="I4427" s="131">
        <v>18</v>
      </c>
      <c r="J4427" t="s">
        <v>6051</v>
      </c>
      <c r="K4427" t="s">
        <v>95</v>
      </c>
      <c r="L4427" t="s">
        <v>256</v>
      </c>
      <c r="M4427" t="s">
        <v>103</v>
      </c>
      <c r="N4427" t="s">
        <v>98</v>
      </c>
      <c r="O4427" t="s">
        <v>116</v>
      </c>
    </row>
    <row r="4428" spans="1:15" x14ac:dyDescent="0.3">
      <c r="A4428" s="130">
        <v>24293</v>
      </c>
      <c r="B4428" s="130">
        <v>10</v>
      </c>
      <c r="C4428" s="130" t="s">
        <v>6052</v>
      </c>
      <c r="D4428">
        <v>37023</v>
      </c>
      <c r="E4428" s="130">
        <v>6280244</v>
      </c>
      <c r="F4428" t="s">
        <v>87</v>
      </c>
      <c r="G4428">
        <v>76</v>
      </c>
      <c r="H4428" t="s">
        <v>8952</v>
      </c>
      <c r="I4428" s="130">
        <v>3</v>
      </c>
      <c r="J4428" t="s">
        <v>6052</v>
      </c>
      <c r="K4428" t="s">
        <v>108</v>
      </c>
      <c r="L4428" t="s">
        <v>1293</v>
      </c>
      <c r="M4428" t="s">
        <v>133</v>
      </c>
      <c r="N4428" t="s">
        <v>98</v>
      </c>
      <c r="O4428" t="s">
        <v>116</v>
      </c>
    </row>
    <row r="4429" spans="1:15" x14ac:dyDescent="0.3">
      <c r="A4429" s="130">
        <v>24294</v>
      </c>
      <c r="B4429" s="130">
        <v>15</v>
      </c>
      <c r="C4429" s="130" t="s">
        <v>6053</v>
      </c>
      <c r="D4429">
        <v>37126</v>
      </c>
      <c r="E4429" s="130">
        <v>3673408</v>
      </c>
      <c r="F4429" t="s">
        <v>113</v>
      </c>
      <c r="G4429">
        <v>76</v>
      </c>
      <c r="H4429" t="s">
        <v>8953</v>
      </c>
      <c r="I4429" s="130">
        <v>24</v>
      </c>
      <c r="J4429" t="s">
        <v>6053</v>
      </c>
      <c r="K4429" t="s">
        <v>108</v>
      </c>
      <c r="L4429" t="s">
        <v>191</v>
      </c>
      <c r="M4429" t="s">
        <v>145</v>
      </c>
      <c r="N4429" t="s">
        <v>98</v>
      </c>
      <c r="O4429" t="s">
        <v>1256</v>
      </c>
    </row>
    <row r="4430" spans="1:15" x14ac:dyDescent="0.3">
      <c r="A4430" s="130">
        <v>24295</v>
      </c>
      <c r="B4430" s="130">
        <v>30</v>
      </c>
      <c r="C4430" s="130" t="s">
        <v>6054</v>
      </c>
      <c r="D4430">
        <v>37129</v>
      </c>
      <c r="E4430" s="131">
        <v>1313486</v>
      </c>
      <c r="F4430" t="s">
        <v>87</v>
      </c>
      <c r="G4430">
        <v>76</v>
      </c>
      <c r="H4430" t="s">
        <v>8951</v>
      </c>
      <c r="I4430" s="130">
        <v>9</v>
      </c>
      <c r="J4430" t="s">
        <v>6054</v>
      </c>
      <c r="K4430" t="s">
        <v>108</v>
      </c>
      <c r="L4430" t="s">
        <v>163</v>
      </c>
      <c r="M4430" t="s">
        <v>103</v>
      </c>
      <c r="N4430" t="s">
        <v>98</v>
      </c>
      <c r="O4430" t="s">
        <v>116</v>
      </c>
    </row>
    <row r="4431" spans="1:15" x14ac:dyDescent="0.3">
      <c r="A4431" s="130">
        <v>24303</v>
      </c>
      <c r="B4431" s="130">
        <v>30</v>
      </c>
      <c r="C4431" s="130" t="s">
        <v>6055</v>
      </c>
      <c r="D4431">
        <v>37135</v>
      </c>
      <c r="E4431" s="131">
        <v>1294551</v>
      </c>
      <c r="F4431" t="s">
        <v>87</v>
      </c>
      <c r="G4431">
        <v>32947</v>
      </c>
      <c r="H4431" t="s">
        <v>8952</v>
      </c>
      <c r="I4431" s="130">
        <v>43</v>
      </c>
      <c r="J4431" t="s">
        <v>6055</v>
      </c>
      <c r="K4431" t="s">
        <v>108</v>
      </c>
      <c r="L4431" t="s">
        <v>1241</v>
      </c>
      <c r="M4431" t="s">
        <v>103</v>
      </c>
      <c r="N4431" t="s">
        <v>114</v>
      </c>
      <c r="O4431" t="s">
        <v>1256</v>
      </c>
    </row>
    <row r="4432" spans="1:15" x14ac:dyDescent="0.3">
      <c r="A4432" s="130">
        <v>24305</v>
      </c>
      <c r="B4432" s="130">
        <v>15</v>
      </c>
      <c r="C4432" s="130" t="s">
        <v>6056</v>
      </c>
      <c r="D4432">
        <v>36938</v>
      </c>
      <c r="E4432" s="131">
        <v>33449965</v>
      </c>
      <c r="F4432" t="s">
        <v>113</v>
      </c>
      <c r="G4432">
        <v>76</v>
      </c>
      <c r="H4432" t="s">
        <v>8953</v>
      </c>
      <c r="I4432" s="130">
        <v>24</v>
      </c>
      <c r="J4432" t="s">
        <v>6056</v>
      </c>
      <c r="K4432" t="s">
        <v>108</v>
      </c>
      <c r="L4432" t="s">
        <v>240</v>
      </c>
      <c r="M4432" t="s">
        <v>145</v>
      </c>
      <c r="N4432" t="s">
        <v>98</v>
      </c>
      <c r="O4432" t="s">
        <v>1256</v>
      </c>
    </row>
    <row r="4433" spans="1:15" x14ac:dyDescent="0.3">
      <c r="A4433" s="130">
        <v>24310</v>
      </c>
      <c r="B4433" s="130">
        <v>30</v>
      </c>
      <c r="C4433" s="130" t="s">
        <v>6057</v>
      </c>
      <c r="D4433">
        <v>34503</v>
      </c>
      <c r="E4433" s="130">
        <v>83102228</v>
      </c>
      <c r="F4433" t="s">
        <v>113</v>
      </c>
      <c r="G4433">
        <v>33359</v>
      </c>
      <c r="H4433" t="s">
        <v>8951</v>
      </c>
      <c r="I4433" s="130">
        <v>14</v>
      </c>
      <c r="J4433" t="s">
        <v>6057</v>
      </c>
      <c r="K4433" t="s">
        <v>95</v>
      </c>
      <c r="L4433" t="s">
        <v>926</v>
      </c>
      <c r="M4433" t="s">
        <v>180</v>
      </c>
      <c r="N4433" t="s">
        <v>131</v>
      </c>
      <c r="O4433" t="s">
        <v>1256</v>
      </c>
    </row>
    <row r="4434" spans="1:15" x14ac:dyDescent="0.3">
      <c r="A4434" s="130">
        <v>24312</v>
      </c>
      <c r="B4434" s="130">
        <v>28</v>
      </c>
      <c r="C4434" s="130" t="s">
        <v>6058</v>
      </c>
      <c r="D4434">
        <v>37145</v>
      </c>
      <c r="E4434" s="130">
        <v>7857433</v>
      </c>
      <c r="F4434" t="s">
        <v>87</v>
      </c>
      <c r="G4434">
        <v>76</v>
      </c>
      <c r="H4434" t="s">
        <v>8952</v>
      </c>
      <c r="I4434" s="130">
        <v>18</v>
      </c>
      <c r="J4434" t="s">
        <v>6058</v>
      </c>
      <c r="K4434" t="s">
        <v>108</v>
      </c>
      <c r="L4434" t="s">
        <v>253</v>
      </c>
      <c r="M4434" t="s">
        <v>130</v>
      </c>
      <c r="N4434" t="s">
        <v>114</v>
      </c>
      <c r="O4434" t="s">
        <v>1256</v>
      </c>
    </row>
    <row r="4435" spans="1:15" x14ac:dyDescent="0.3">
      <c r="A4435" s="130">
        <v>24321</v>
      </c>
      <c r="C4435" s="130" t="s">
        <v>6059</v>
      </c>
      <c r="D4435">
        <v>37159</v>
      </c>
      <c r="E4435" s="130">
        <v>12727161</v>
      </c>
      <c r="F4435" t="s">
        <v>113</v>
      </c>
      <c r="G4435">
        <v>32947</v>
      </c>
      <c r="H4435" t="s">
        <v>8953</v>
      </c>
      <c r="I4435" s="131">
        <v>43</v>
      </c>
      <c r="J4435" t="s">
        <v>6059</v>
      </c>
      <c r="K4435" t="s">
        <v>108</v>
      </c>
      <c r="L4435" t="s">
        <v>1241</v>
      </c>
      <c r="N4435" t="s">
        <v>124</v>
      </c>
      <c r="O4435" t="s">
        <v>1256</v>
      </c>
    </row>
    <row r="4436" spans="1:15" x14ac:dyDescent="0.3">
      <c r="A4436" s="130">
        <v>24322</v>
      </c>
      <c r="B4436" s="130">
        <v>18</v>
      </c>
      <c r="C4436" s="130" t="s">
        <v>6060</v>
      </c>
      <c r="D4436">
        <v>37160</v>
      </c>
      <c r="E4436" s="130">
        <v>39332234</v>
      </c>
      <c r="F4436" t="s">
        <v>87</v>
      </c>
      <c r="G4436">
        <v>76</v>
      </c>
      <c r="H4436" t="s">
        <v>8951</v>
      </c>
      <c r="I4436" s="130">
        <v>26</v>
      </c>
      <c r="J4436" t="s">
        <v>6060</v>
      </c>
      <c r="K4436" t="s">
        <v>108</v>
      </c>
      <c r="L4436" t="s">
        <v>151</v>
      </c>
      <c r="M4436" t="s">
        <v>112</v>
      </c>
      <c r="N4436" t="s">
        <v>98</v>
      </c>
      <c r="O4436" t="s">
        <v>1256</v>
      </c>
    </row>
    <row r="4437" spans="1:15" x14ac:dyDescent="0.3">
      <c r="A4437" s="130">
        <v>24324</v>
      </c>
      <c r="B4437" s="130">
        <v>18</v>
      </c>
      <c r="C4437" s="130" t="s">
        <v>6061</v>
      </c>
      <c r="D4437">
        <v>37162</v>
      </c>
      <c r="E4437" s="130">
        <v>17162983</v>
      </c>
      <c r="F4437" t="s">
        <v>87</v>
      </c>
      <c r="G4437">
        <v>358</v>
      </c>
      <c r="H4437" t="s">
        <v>8952</v>
      </c>
      <c r="I4437" s="131">
        <v>3</v>
      </c>
      <c r="J4437" t="s">
        <v>6061</v>
      </c>
      <c r="K4437" t="s">
        <v>95</v>
      </c>
      <c r="L4437" t="s">
        <v>105</v>
      </c>
      <c r="M4437" t="s">
        <v>112</v>
      </c>
      <c r="N4437" t="s">
        <v>98</v>
      </c>
      <c r="O4437" t="s">
        <v>116</v>
      </c>
    </row>
    <row r="4438" spans="1:15" x14ac:dyDescent="0.3">
      <c r="A4438" s="130">
        <v>24325</v>
      </c>
      <c r="B4438" s="130">
        <v>60</v>
      </c>
      <c r="C4438" s="130" t="s">
        <v>6062</v>
      </c>
      <c r="D4438">
        <v>37165</v>
      </c>
      <c r="E4438" s="130">
        <v>17185786</v>
      </c>
      <c r="F4438" t="s">
        <v>87</v>
      </c>
      <c r="G4438">
        <v>32947</v>
      </c>
      <c r="H4438" t="s">
        <v>8953</v>
      </c>
      <c r="I4438" s="130">
        <v>3</v>
      </c>
      <c r="J4438" t="s">
        <v>6062</v>
      </c>
      <c r="K4438" t="s">
        <v>95</v>
      </c>
      <c r="L4438" t="s">
        <v>109</v>
      </c>
      <c r="M4438" t="s">
        <v>97</v>
      </c>
      <c r="N4438" t="s">
        <v>98</v>
      </c>
      <c r="O4438" t="s">
        <v>116</v>
      </c>
    </row>
    <row r="4439" spans="1:15" x14ac:dyDescent="0.3">
      <c r="A4439" s="130">
        <v>24332</v>
      </c>
      <c r="B4439" s="130">
        <v>28</v>
      </c>
      <c r="C4439" s="130" t="s">
        <v>6063</v>
      </c>
      <c r="D4439">
        <v>37182</v>
      </c>
      <c r="E4439" s="130">
        <v>38460234</v>
      </c>
      <c r="F4439" t="s">
        <v>87</v>
      </c>
      <c r="G4439">
        <v>32947</v>
      </c>
      <c r="H4439" t="s">
        <v>8951</v>
      </c>
      <c r="I4439" s="130">
        <v>3</v>
      </c>
      <c r="J4439" t="s">
        <v>6063</v>
      </c>
      <c r="K4439" t="s">
        <v>108</v>
      </c>
      <c r="L4439" t="s">
        <v>109</v>
      </c>
      <c r="M4439" t="s">
        <v>130</v>
      </c>
      <c r="N4439" t="s">
        <v>98</v>
      </c>
      <c r="O4439" t="s">
        <v>116</v>
      </c>
    </row>
    <row r="4440" spans="1:15" x14ac:dyDescent="0.3">
      <c r="A4440" s="130">
        <v>24336</v>
      </c>
      <c r="B4440" s="130">
        <v>30</v>
      </c>
      <c r="C4440" s="130" t="s">
        <v>6064</v>
      </c>
      <c r="D4440">
        <v>37188</v>
      </c>
      <c r="E4440" s="130">
        <v>8343492</v>
      </c>
      <c r="F4440" t="s">
        <v>87</v>
      </c>
      <c r="G4440">
        <v>76</v>
      </c>
      <c r="H4440" t="s">
        <v>8952</v>
      </c>
      <c r="I4440" s="130">
        <v>37</v>
      </c>
      <c r="J4440" t="s">
        <v>6064</v>
      </c>
      <c r="K4440" t="s">
        <v>95</v>
      </c>
      <c r="L4440" t="s">
        <v>138</v>
      </c>
      <c r="M4440" t="s">
        <v>103</v>
      </c>
      <c r="N4440" t="s">
        <v>150</v>
      </c>
      <c r="O4440" t="s">
        <v>116</v>
      </c>
    </row>
    <row r="4441" spans="1:15" x14ac:dyDescent="0.3">
      <c r="A4441" s="130">
        <v>24337</v>
      </c>
      <c r="B4441" s="130">
        <v>28</v>
      </c>
      <c r="C4441" s="130" t="s">
        <v>6065</v>
      </c>
      <c r="D4441">
        <v>37189</v>
      </c>
      <c r="E4441" s="131">
        <v>4743858</v>
      </c>
      <c r="F4441" t="s">
        <v>87</v>
      </c>
      <c r="G4441">
        <v>76</v>
      </c>
      <c r="H4441" t="s">
        <v>8953</v>
      </c>
      <c r="I4441" s="131">
        <v>18</v>
      </c>
      <c r="J4441" t="s">
        <v>6065</v>
      </c>
      <c r="K4441" t="s">
        <v>108</v>
      </c>
      <c r="L4441" t="s">
        <v>253</v>
      </c>
      <c r="M4441" t="s">
        <v>130</v>
      </c>
      <c r="N4441" t="s">
        <v>98</v>
      </c>
      <c r="O4441" t="s">
        <v>1256</v>
      </c>
    </row>
    <row r="4442" spans="1:15" x14ac:dyDescent="0.3">
      <c r="A4442" s="130">
        <v>24340</v>
      </c>
      <c r="B4442" s="130">
        <v>0</v>
      </c>
      <c r="C4442" s="130" t="s">
        <v>6066</v>
      </c>
      <c r="D4442">
        <v>37192</v>
      </c>
      <c r="E4442" s="130">
        <v>4593605</v>
      </c>
      <c r="F4442" t="s">
        <v>113</v>
      </c>
      <c r="G4442">
        <v>32947</v>
      </c>
      <c r="H4442" t="s">
        <v>8951</v>
      </c>
      <c r="I4442" s="131">
        <v>43</v>
      </c>
      <c r="J4442" t="s">
        <v>6066</v>
      </c>
      <c r="K4442" t="s">
        <v>95</v>
      </c>
      <c r="L4442" t="s">
        <v>252</v>
      </c>
      <c r="M4442" t="s">
        <v>100</v>
      </c>
      <c r="N4442" t="s">
        <v>98</v>
      </c>
      <c r="O4442" t="s">
        <v>1256</v>
      </c>
    </row>
    <row r="4443" spans="1:15" x14ac:dyDescent="0.3">
      <c r="A4443" s="130">
        <v>24343</v>
      </c>
      <c r="B4443" s="130">
        <v>18</v>
      </c>
      <c r="C4443" s="130" t="s">
        <v>6067</v>
      </c>
      <c r="D4443">
        <v>37197</v>
      </c>
      <c r="E4443" s="130">
        <v>32453715</v>
      </c>
      <c r="F4443" t="s">
        <v>87</v>
      </c>
      <c r="G4443">
        <v>76</v>
      </c>
      <c r="H4443" t="s">
        <v>8952</v>
      </c>
      <c r="I4443" s="130">
        <v>43</v>
      </c>
      <c r="J4443" t="s">
        <v>6067</v>
      </c>
      <c r="K4443" t="s">
        <v>108</v>
      </c>
      <c r="L4443" t="s">
        <v>111</v>
      </c>
      <c r="M4443" t="s">
        <v>112</v>
      </c>
      <c r="N4443" t="s">
        <v>114</v>
      </c>
      <c r="O4443" t="s">
        <v>116</v>
      </c>
    </row>
    <row r="4444" spans="1:15" x14ac:dyDescent="0.3">
      <c r="A4444" s="130">
        <v>24345</v>
      </c>
      <c r="B4444" s="130">
        <v>30</v>
      </c>
      <c r="C4444" s="130" t="s">
        <v>6068</v>
      </c>
      <c r="D4444">
        <v>37203</v>
      </c>
      <c r="E4444" s="130">
        <v>15647465</v>
      </c>
      <c r="F4444" t="s">
        <v>87</v>
      </c>
      <c r="G4444">
        <v>76</v>
      </c>
      <c r="H4444" t="s">
        <v>8953</v>
      </c>
      <c r="I4444" s="130">
        <v>3</v>
      </c>
      <c r="J4444" t="s">
        <v>6068</v>
      </c>
      <c r="K4444" t="s">
        <v>108</v>
      </c>
      <c r="L4444" t="s">
        <v>111</v>
      </c>
      <c r="M4444" t="s">
        <v>103</v>
      </c>
      <c r="N4444" t="s">
        <v>98</v>
      </c>
      <c r="O4444" t="s">
        <v>116</v>
      </c>
    </row>
    <row r="4445" spans="1:15" x14ac:dyDescent="0.3">
      <c r="A4445" s="130">
        <v>24348</v>
      </c>
      <c r="B4445" s="130">
        <v>0</v>
      </c>
      <c r="C4445" s="130" t="s">
        <v>6069</v>
      </c>
      <c r="D4445">
        <v>37205</v>
      </c>
      <c r="E4445" s="130">
        <v>969103</v>
      </c>
      <c r="F4445" t="s">
        <v>87</v>
      </c>
      <c r="G4445">
        <v>32947</v>
      </c>
      <c r="H4445" t="s">
        <v>8951</v>
      </c>
      <c r="I4445" s="131">
        <v>43</v>
      </c>
      <c r="J4445" t="s">
        <v>6069</v>
      </c>
      <c r="K4445" t="s">
        <v>108</v>
      </c>
      <c r="L4445" t="s">
        <v>1241</v>
      </c>
      <c r="M4445" t="s">
        <v>100</v>
      </c>
      <c r="N4445" t="s">
        <v>98</v>
      </c>
      <c r="O4445" t="s">
        <v>1256</v>
      </c>
    </row>
    <row r="4446" spans="1:15" x14ac:dyDescent="0.3">
      <c r="A4446" s="130">
        <v>24349</v>
      </c>
      <c r="B4446" s="130">
        <v>10</v>
      </c>
      <c r="C4446" s="130" t="s">
        <v>6070</v>
      </c>
      <c r="D4446">
        <v>37209</v>
      </c>
      <c r="E4446" s="131">
        <v>14427957</v>
      </c>
      <c r="F4446" t="s">
        <v>87</v>
      </c>
      <c r="G4446">
        <v>76</v>
      </c>
      <c r="H4446" t="s">
        <v>8952</v>
      </c>
      <c r="I4446" s="130">
        <v>3</v>
      </c>
      <c r="J4446" t="s">
        <v>6070</v>
      </c>
      <c r="K4446" t="s">
        <v>108</v>
      </c>
      <c r="L4446" t="s">
        <v>925</v>
      </c>
      <c r="M4446" t="s">
        <v>133</v>
      </c>
      <c r="N4446" t="s">
        <v>118</v>
      </c>
      <c r="O4446" t="s">
        <v>1256</v>
      </c>
    </row>
    <row r="4447" spans="1:15" x14ac:dyDescent="0.3">
      <c r="A4447" s="130">
        <v>24351</v>
      </c>
      <c r="B4447" s="130">
        <v>30</v>
      </c>
      <c r="C4447" s="130" t="s">
        <v>6071</v>
      </c>
      <c r="D4447">
        <v>37215</v>
      </c>
      <c r="E4447" s="131">
        <v>17162983</v>
      </c>
      <c r="F4447" t="s">
        <v>87</v>
      </c>
      <c r="G4447">
        <v>358</v>
      </c>
      <c r="H4447" t="s">
        <v>8953</v>
      </c>
      <c r="I4447" s="131">
        <v>10</v>
      </c>
      <c r="J4447" t="s">
        <v>6071</v>
      </c>
      <c r="K4447" t="s">
        <v>95</v>
      </c>
      <c r="L4447" t="s">
        <v>105</v>
      </c>
      <c r="M4447" t="s">
        <v>103</v>
      </c>
      <c r="N4447" t="s">
        <v>98</v>
      </c>
      <c r="O4447" t="s">
        <v>116</v>
      </c>
    </row>
    <row r="4448" spans="1:15" x14ac:dyDescent="0.3">
      <c r="A4448" s="130">
        <v>24354</v>
      </c>
      <c r="B4448" s="130">
        <v>30</v>
      </c>
      <c r="C4448" s="130" t="s">
        <v>6072</v>
      </c>
      <c r="D4448">
        <v>37224</v>
      </c>
      <c r="E4448" s="130">
        <v>3852459</v>
      </c>
      <c r="F4448" t="s">
        <v>87</v>
      </c>
      <c r="G4448">
        <v>76</v>
      </c>
      <c r="H4448" t="s">
        <v>8951</v>
      </c>
      <c r="I4448" s="130">
        <v>18</v>
      </c>
      <c r="J4448" t="s">
        <v>6072</v>
      </c>
      <c r="K4448" t="s">
        <v>95</v>
      </c>
      <c r="L4448" t="s">
        <v>123</v>
      </c>
      <c r="M4448" t="s">
        <v>103</v>
      </c>
      <c r="N4448" t="s">
        <v>98</v>
      </c>
      <c r="O4448" t="s">
        <v>116</v>
      </c>
    </row>
    <row r="4449" spans="1:15" x14ac:dyDescent="0.3">
      <c r="A4449" s="130">
        <v>24357</v>
      </c>
      <c r="B4449" s="130">
        <v>10</v>
      </c>
      <c r="C4449" s="130" t="s">
        <v>6073</v>
      </c>
      <c r="D4449">
        <v>37227</v>
      </c>
      <c r="E4449" s="130">
        <v>74232224</v>
      </c>
      <c r="F4449" t="s">
        <v>113</v>
      </c>
      <c r="G4449">
        <v>76</v>
      </c>
      <c r="H4449" t="s">
        <v>8952</v>
      </c>
      <c r="I4449" s="130">
        <v>24</v>
      </c>
      <c r="J4449" t="s">
        <v>6073</v>
      </c>
      <c r="K4449" t="s">
        <v>108</v>
      </c>
      <c r="L4449" t="s">
        <v>240</v>
      </c>
      <c r="M4449" t="s">
        <v>133</v>
      </c>
      <c r="N4449" t="s">
        <v>114</v>
      </c>
      <c r="O4449" t="s">
        <v>1256</v>
      </c>
    </row>
    <row r="4450" spans="1:15" x14ac:dyDescent="0.3">
      <c r="A4450" s="130">
        <v>24358</v>
      </c>
      <c r="B4450" s="130">
        <v>21</v>
      </c>
      <c r="C4450" s="130" t="s">
        <v>6074</v>
      </c>
      <c r="D4450">
        <v>37228</v>
      </c>
      <c r="E4450" s="130">
        <v>5789464</v>
      </c>
      <c r="F4450" t="s">
        <v>113</v>
      </c>
      <c r="G4450">
        <v>76</v>
      </c>
      <c r="H4450" t="s">
        <v>8953</v>
      </c>
      <c r="I4450" s="131">
        <v>24</v>
      </c>
      <c r="J4450" t="s">
        <v>6074</v>
      </c>
      <c r="K4450" t="s">
        <v>108</v>
      </c>
      <c r="L4450" t="s">
        <v>191</v>
      </c>
      <c r="M4450" t="s">
        <v>137</v>
      </c>
      <c r="N4450" t="s">
        <v>169</v>
      </c>
      <c r="O4450" t="s">
        <v>1256</v>
      </c>
    </row>
    <row r="4451" spans="1:15" x14ac:dyDescent="0.3">
      <c r="A4451" s="130">
        <v>24359</v>
      </c>
      <c r="B4451" s="130">
        <v>30</v>
      </c>
      <c r="C4451" s="130" t="s">
        <v>6075</v>
      </c>
      <c r="D4451">
        <v>37230</v>
      </c>
      <c r="E4451" s="130">
        <v>17162983</v>
      </c>
      <c r="F4451" t="s">
        <v>87</v>
      </c>
      <c r="G4451">
        <v>32947</v>
      </c>
      <c r="H4451" t="s">
        <v>8951</v>
      </c>
      <c r="I4451" s="130">
        <v>3</v>
      </c>
      <c r="J4451" t="s">
        <v>6075</v>
      </c>
      <c r="K4451" t="s">
        <v>95</v>
      </c>
      <c r="L4451" t="s">
        <v>105</v>
      </c>
      <c r="M4451" t="s">
        <v>103</v>
      </c>
      <c r="N4451" t="s">
        <v>98</v>
      </c>
      <c r="O4451" t="s">
        <v>1345</v>
      </c>
    </row>
    <row r="4452" spans="1:15" x14ac:dyDescent="0.3">
      <c r="A4452" s="130">
        <v>24363</v>
      </c>
      <c r="B4452" s="131">
        <v>20</v>
      </c>
      <c r="C4452" s="130" t="s">
        <v>6076</v>
      </c>
      <c r="D4452">
        <v>37233</v>
      </c>
      <c r="E4452" s="130">
        <v>14237285</v>
      </c>
      <c r="F4452" t="s">
        <v>87</v>
      </c>
      <c r="G4452">
        <v>76</v>
      </c>
      <c r="H4452" t="s">
        <v>8952</v>
      </c>
      <c r="I4452" s="130">
        <v>19</v>
      </c>
      <c r="J4452" t="s">
        <v>6076</v>
      </c>
      <c r="K4452" t="s">
        <v>108</v>
      </c>
      <c r="L4452" t="s">
        <v>252</v>
      </c>
      <c r="M4452" t="s">
        <v>148</v>
      </c>
      <c r="N4452" t="s">
        <v>98</v>
      </c>
      <c r="O4452" t="s">
        <v>116</v>
      </c>
    </row>
    <row r="4453" spans="1:15" x14ac:dyDescent="0.3">
      <c r="A4453" s="130">
        <v>24368</v>
      </c>
      <c r="B4453" s="130">
        <v>30</v>
      </c>
      <c r="C4453" s="130" t="s">
        <v>6077</v>
      </c>
      <c r="D4453">
        <v>37240</v>
      </c>
      <c r="E4453" s="131">
        <v>5515245</v>
      </c>
      <c r="F4453" t="s">
        <v>87</v>
      </c>
      <c r="G4453">
        <v>76</v>
      </c>
      <c r="H4453" t="s">
        <v>8953</v>
      </c>
      <c r="I4453" s="131">
        <v>9</v>
      </c>
      <c r="J4453" t="s">
        <v>6077</v>
      </c>
      <c r="K4453" t="s">
        <v>95</v>
      </c>
      <c r="L4453" t="s">
        <v>163</v>
      </c>
      <c r="M4453" t="s">
        <v>103</v>
      </c>
      <c r="N4453" t="s">
        <v>98</v>
      </c>
      <c r="O4453" t="s">
        <v>116</v>
      </c>
    </row>
    <row r="4454" spans="1:15" x14ac:dyDescent="0.3">
      <c r="A4454" s="130">
        <v>24369</v>
      </c>
      <c r="B4454" s="130">
        <v>10</v>
      </c>
      <c r="C4454" s="130" t="s">
        <v>6078</v>
      </c>
      <c r="D4454">
        <v>37241</v>
      </c>
      <c r="E4454" s="130">
        <v>33028845</v>
      </c>
      <c r="F4454" t="s">
        <v>87</v>
      </c>
      <c r="G4454">
        <v>76</v>
      </c>
      <c r="H4454" t="s">
        <v>8951</v>
      </c>
      <c r="I4454" s="130">
        <v>9</v>
      </c>
      <c r="J4454" t="s">
        <v>6078</v>
      </c>
      <c r="K4454" t="s">
        <v>108</v>
      </c>
      <c r="L4454" t="s">
        <v>1298</v>
      </c>
      <c r="M4454" t="s">
        <v>133</v>
      </c>
      <c r="N4454" t="s">
        <v>98</v>
      </c>
      <c r="O4454" t="s">
        <v>1256</v>
      </c>
    </row>
    <row r="4455" spans="1:15" x14ac:dyDescent="0.3">
      <c r="A4455" s="130">
        <v>24373</v>
      </c>
      <c r="B4455" s="130">
        <v>28</v>
      </c>
      <c r="C4455" s="130" t="s">
        <v>6079</v>
      </c>
      <c r="D4455">
        <v>37250</v>
      </c>
      <c r="E4455" s="130">
        <v>38460234</v>
      </c>
      <c r="F4455" t="s">
        <v>87</v>
      </c>
      <c r="G4455">
        <v>32947</v>
      </c>
      <c r="H4455" t="s">
        <v>8952</v>
      </c>
      <c r="I4455" s="131">
        <v>3</v>
      </c>
      <c r="J4455" t="s">
        <v>6079</v>
      </c>
      <c r="K4455" t="s">
        <v>108</v>
      </c>
      <c r="L4455" t="s">
        <v>109</v>
      </c>
      <c r="M4455" t="s">
        <v>130</v>
      </c>
      <c r="N4455" t="s">
        <v>98</v>
      </c>
      <c r="O4455" t="s">
        <v>116</v>
      </c>
    </row>
    <row r="4456" spans="1:15" x14ac:dyDescent="0.3">
      <c r="A4456" s="130">
        <v>24376</v>
      </c>
      <c r="B4456" s="130">
        <v>30</v>
      </c>
      <c r="C4456" s="130" t="s">
        <v>6080</v>
      </c>
      <c r="D4456">
        <v>37257</v>
      </c>
      <c r="E4456" s="130">
        <v>8928273</v>
      </c>
      <c r="F4456" t="s">
        <v>87</v>
      </c>
      <c r="G4456">
        <v>76</v>
      </c>
      <c r="H4456" t="s">
        <v>8953</v>
      </c>
      <c r="I4456" s="130">
        <v>3</v>
      </c>
      <c r="J4456" t="s">
        <v>6080</v>
      </c>
      <c r="K4456" t="s">
        <v>95</v>
      </c>
      <c r="L4456" t="s">
        <v>925</v>
      </c>
      <c r="M4456" t="s">
        <v>103</v>
      </c>
      <c r="N4456" t="s">
        <v>98</v>
      </c>
      <c r="O4456" t="s">
        <v>1256</v>
      </c>
    </row>
    <row r="4457" spans="1:15" x14ac:dyDescent="0.3">
      <c r="A4457" s="130">
        <v>24377</v>
      </c>
      <c r="B4457" s="130">
        <v>20</v>
      </c>
      <c r="C4457" s="130" t="s">
        <v>6081</v>
      </c>
      <c r="D4457">
        <v>37258</v>
      </c>
      <c r="E4457" s="130">
        <v>10923799</v>
      </c>
      <c r="F4457" t="s">
        <v>113</v>
      </c>
      <c r="G4457">
        <v>76</v>
      </c>
      <c r="H4457" t="s">
        <v>8951</v>
      </c>
      <c r="I4457" s="131">
        <v>19</v>
      </c>
      <c r="J4457" t="s">
        <v>6081</v>
      </c>
      <c r="K4457" t="s">
        <v>108</v>
      </c>
      <c r="L4457" t="s">
        <v>252</v>
      </c>
      <c r="M4457" t="s">
        <v>148</v>
      </c>
      <c r="N4457" t="s">
        <v>98</v>
      </c>
      <c r="O4457" t="s">
        <v>1256</v>
      </c>
    </row>
    <row r="4458" spans="1:15" x14ac:dyDescent="0.3">
      <c r="A4458" s="130">
        <v>24382</v>
      </c>
      <c r="B4458" s="130">
        <v>28</v>
      </c>
      <c r="C4458" s="130" t="s">
        <v>6082</v>
      </c>
      <c r="D4458">
        <v>37263</v>
      </c>
      <c r="E4458" s="131">
        <v>51363179</v>
      </c>
      <c r="F4458" t="s">
        <v>87</v>
      </c>
      <c r="G4458">
        <v>76</v>
      </c>
      <c r="H4458" t="s">
        <v>8952</v>
      </c>
      <c r="I4458" s="130">
        <v>37</v>
      </c>
      <c r="J4458" t="s">
        <v>6082</v>
      </c>
      <c r="K4458" t="s">
        <v>95</v>
      </c>
      <c r="L4458" t="s">
        <v>138</v>
      </c>
      <c r="M4458" t="s">
        <v>130</v>
      </c>
      <c r="N4458" t="s">
        <v>150</v>
      </c>
      <c r="O4458" t="s">
        <v>1345</v>
      </c>
    </row>
    <row r="4459" spans="1:15" x14ac:dyDescent="0.3">
      <c r="A4459" s="130">
        <v>24383</v>
      </c>
      <c r="B4459" s="130">
        <v>30</v>
      </c>
      <c r="C4459" s="130" t="s">
        <v>6083</v>
      </c>
      <c r="D4459">
        <v>37266</v>
      </c>
      <c r="E4459" s="130">
        <v>5515245</v>
      </c>
      <c r="F4459" t="s">
        <v>87</v>
      </c>
      <c r="G4459">
        <v>76</v>
      </c>
      <c r="H4459" t="s">
        <v>8953</v>
      </c>
      <c r="I4459" s="130">
        <v>9</v>
      </c>
      <c r="J4459" t="s">
        <v>6083</v>
      </c>
      <c r="K4459" t="s">
        <v>95</v>
      </c>
      <c r="L4459" t="s">
        <v>163</v>
      </c>
      <c r="M4459" t="s">
        <v>103</v>
      </c>
      <c r="N4459" t="s">
        <v>98</v>
      </c>
      <c r="O4459" t="s">
        <v>116</v>
      </c>
    </row>
    <row r="4460" spans="1:15" x14ac:dyDescent="0.3">
      <c r="A4460" s="130">
        <v>24386</v>
      </c>
      <c r="B4460" s="130">
        <v>30</v>
      </c>
      <c r="C4460" s="130" t="s">
        <v>6084</v>
      </c>
      <c r="D4460">
        <v>37270</v>
      </c>
      <c r="E4460" s="130">
        <v>5515245</v>
      </c>
      <c r="F4460" t="s">
        <v>87</v>
      </c>
      <c r="G4460">
        <v>76</v>
      </c>
      <c r="H4460" t="s">
        <v>8951</v>
      </c>
      <c r="I4460" s="130">
        <v>9</v>
      </c>
      <c r="J4460" t="s">
        <v>6084</v>
      </c>
      <c r="K4460" t="s">
        <v>95</v>
      </c>
      <c r="L4460" t="s">
        <v>163</v>
      </c>
      <c r="M4460" t="s">
        <v>103</v>
      </c>
      <c r="N4460" t="s">
        <v>98</v>
      </c>
      <c r="O4460" t="s">
        <v>244</v>
      </c>
    </row>
    <row r="4461" spans="1:15" x14ac:dyDescent="0.3">
      <c r="A4461" s="130">
        <v>24391</v>
      </c>
      <c r="B4461" s="130">
        <v>30</v>
      </c>
      <c r="C4461" s="130" t="s">
        <v>6085</v>
      </c>
      <c r="D4461">
        <v>37284</v>
      </c>
      <c r="E4461" s="130">
        <v>61584223</v>
      </c>
      <c r="F4461" t="s">
        <v>87</v>
      </c>
      <c r="G4461">
        <v>76</v>
      </c>
      <c r="H4461" t="s">
        <v>8952</v>
      </c>
      <c r="I4461" s="130">
        <v>3</v>
      </c>
      <c r="J4461" t="s">
        <v>6085</v>
      </c>
      <c r="K4461" t="s">
        <v>95</v>
      </c>
      <c r="L4461" t="s">
        <v>111</v>
      </c>
      <c r="M4461" t="s">
        <v>103</v>
      </c>
      <c r="N4461" t="s">
        <v>98</v>
      </c>
      <c r="O4461" t="s">
        <v>116</v>
      </c>
    </row>
    <row r="4462" spans="1:15" x14ac:dyDescent="0.3">
      <c r="A4462" s="130">
        <v>24394</v>
      </c>
      <c r="B4462" s="130">
        <v>30</v>
      </c>
      <c r="C4462" s="130" t="s">
        <v>6086</v>
      </c>
      <c r="D4462">
        <v>37292</v>
      </c>
      <c r="E4462" s="130">
        <v>8675955</v>
      </c>
      <c r="F4462" t="s">
        <v>87</v>
      </c>
      <c r="G4462">
        <v>76</v>
      </c>
      <c r="H4462" t="s">
        <v>8953</v>
      </c>
      <c r="I4462" s="130">
        <v>18</v>
      </c>
      <c r="J4462" t="s">
        <v>6086</v>
      </c>
      <c r="K4462" t="s">
        <v>108</v>
      </c>
      <c r="L4462" t="s">
        <v>123</v>
      </c>
      <c r="M4462" t="s">
        <v>103</v>
      </c>
      <c r="N4462" t="s">
        <v>98</v>
      </c>
      <c r="O4462" t="s">
        <v>116</v>
      </c>
    </row>
    <row r="4463" spans="1:15" x14ac:dyDescent="0.3">
      <c r="A4463" s="130">
        <v>24397</v>
      </c>
      <c r="B4463" s="130">
        <v>-1</v>
      </c>
      <c r="C4463" s="130" t="s">
        <v>6087</v>
      </c>
      <c r="D4463">
        <v>37297</v>
      </c>
      <c r="E4463" s="131">
        <v>18252862</v>
      </c>
      <c r="F4463" t="s">
        <v>87</v>
      </c>
      <c r="G4463">
        <v>76</v>
      </c>
      <c r="H4463" t="s">
        <v>8951</v>
      </c>
      <c r="I4463" s="130">
        <v>19</v>
      </c>
      <c r="J4463" t="s">
        <v>6087</v>
      </c>
      <c r="K4463" t="s">
        <v>108</v>
      </c>
      <c r="L4463" t="s">
        <v>252</v>
      </c>
      <c r="M4463" t="s">
        <v>174</v>
      </c>
      <c r="N4463" t="s">
        <v>98</v>
      </c>
      <c r="O4463" t="s">
        <v>116</v>
      </c>
    </row>
    <row r="4464" spans="1:15" x14ac:dyDescent="0.3">
      <c r="A4464" s="130">
        <v>24399</v>
      </c>
      <c r="B4464" s="130">
        <v>0</v>
      </c>
      <c r="C4464" s="130" t="s">
        <v>6088</v>
      </c>
      <c r="D4464">
        <v>37274</v>
      </c>
      <c r="E4464" s="130">
        <v>12243301</v>
      </c>
      <c r="F4464" t="s">
        <v>87</v>
      </c>
      <c r="G4464">
        <v>32947</v>
      </c>
      <c r="H4464" t="s">
        <v>8952</v>
      </c>
      <c r="I4464" s="130">
        <v>43</v>
      </c>
      <c r="J4464" t="s">
        <v>6088</v>
      </c>
      <c r="K4464" t="s">
        <v>95</v>
      </c>
      <c r="L4464" t="s">
        <v>1241</v>
      </c>
      <c r="M4464" t="s">
        <v>100</v>
      </c>
      <c r="N4464" t="s">
        <v>114</v>
      </c>
      <c r="O4464" t="s">
        <v>1256</v>
      </c>
    </row>
    <row r="4465" spans="1:15" x14ac:dyDescent="0.3">
      <c r="A4465" s="130">
        <v>24400</v>
      </c>
      <c r="B4465" s="130">
        <v>30</v>
      </c>
      <c r="C4465" s="130" t="s">
        <v>6089</v>
      </c>
      <c r="D4465">
        <v>37294</v>
      </c>
      <c r="E4465" s="130">
        <v>9257877</v>
      </c>
      <c r="F4465" t="s">
        <v>87</v>
      </c>
      <c r="G4465">
        <v>76</v>
      </c>
      <c r="H4465" t="s">
        <v>8953</v>
      </c>
      <c r="I4465" s="130">
        <v>9</v>
      </c>
      <c r="J4465" t="s">
        <v>6089</v>
      </c>
      <c r="K4465" t="s">
        <v>108</v>
      </c>
      <c r="L4465" t="s">
        <v>163</v>
      </c>
      <c r="M4465" t="s">
        <v>103</v>
      </c>
      <c r="N4465" t="s">
        <v>98</v>
      </c>
      <c r="O4465" t="s">
        <v>1256</v>
      </c>
    </row>
    <row r="4466" spans="1:15" x14ac:dyDescent="0.3">
      <c r="A4466" s="130">
        <v>24405</v>
      </c>
      <c r="B4466" s="130">
        <v>30</v>
      </c>
      <c r="C4466" s="130" t="s">
        <v>6090</v>
      </c>
      <c r="D4466">
        <v>37314</v>
      </c>
      <c r="E4466" s="130">
        <v>18423582</v>
      </c>
      <c r="F4466" t="s">
        <v>87</v>
      </c>
      <c r="G4466">
        <v>33359</v>
      </c>
      <c r="H4466" t="s">
        <v>8951</v>
      </c>
      <c r="I4466" s="130">
        <v>28</v>
      </c>
      <c r="J4466" t="s">
        <v>6090</v>
      </c>
      <c r="K4466" t="s">
        <v>95</v>
      </c>
      <c r="L4466" t="s">
        <v>926</v>
      </c>
      <c r="M4466" t="s">
        <v>103</v>
      </c>
      <c r="N4466" t="s">
        <v>131</v>
      </c>
      <c r="O4466" t="s">
        <v>244</v>
      </c>
    </row>
    <row r="4467" spans="1:15" x14ac:dyDescent="0.3">
      <c r="A4467" s="130">
        <v>24406</v>
      </c>
      <c r="B4467" s="130">
        <v>21</v>
      </c>
      <c r="C4467" s="130" t="s">
        <v>6091</v>
      </c>
      <c r="D4467">
        <v>37313</v>
      </c>
      <c r="E4467" s="130">
        <v>73849952</v>
      </c>
      <c r="F4467" t="s">
        <v>87</v>
      </c>
      <c r="G4467">
        <v>76</v>
      </c>
      <c r="H4467" t="s">
        <v>8952</v>
      </c>
      <c r="I4467" s="130">
        <v>43</v>
      </c>
      <c r="J4467" t="s">
        <v>6091</v>
      </c>
      <c r="K4467" t="s">
        <v>108</v>
      </c>
      <c r="L4467" t="s">
        <v>1241</v>
      </c>
      <c r="M4467" t="s">
        <v>137</v>
      </c>
      <c r="N4467" t="s">
        <v>101</v>
      </c>
      <c r="O4467" t="s">
        <v>1256</v>
      </c>
    </row>
    <row r="4468" spans="1:15" x14ac:dyDescent="0.3">
      <c r="A4468" s="130">
        <v>24407</v>
      </c>
      <c r="B4468" s="130">
        <v>10</v>
      </c>
      <c r="C4468" s="130" t="s">
        <v>6092</v>
      </c>
      <c r="D4468">
        <v>37317</v>
      </c>
      <c r="E4468" s="130">
        <v>3364572</v>
      </c>
      <c r="F4468" t="s">
        <v>87</v>
      </c>
      <c r="G4468">
        <v>32947</v>
      </c>
      <c r="H4468" t="s">
        <v>8953</v>
      </c>
      <c r="I4468" s="130">
        <v>26</v>
      </c>
      <c r="J4468" t="s">
        <v>6092</v>
      </c>
      <c r="K4468" t="s">
        <v>108</v>
      </c>
      <c r="L4468" t="s">
        <v>193</v>
      </c>
      <c r="M4468" t="s">
        <v>133</v>
      </c>
      <c r="N4468" t="s">
        <v>98</v>
      </c>
      <c r="O4468" t="s">
        <v>116</v>
      </c>
    </row>
    <row r="4469" spans="1:15" x14ac:dyDescent="0.3">
      <c r="A4469" s="130">
        <v>24411</v>
      </c>
      <c r="B4469" s="130">
        <v>20</v>
      </c>
      <c r="C4469" s="130" t="s">
        <v>6093</v>
      </c>
      <c r="D4469">
        <v>37322</v>
      </c>
      <c r="E4469" s="131">
        <v>3561128</v>
      </c>
      <c r="F4469" t="s">
        <v>87</v>
      </c>
      <c r="G4469">
        <v>76</v>
      </c>
      <c r="H4469" t="s">
        <v>8951</v>
      </c>
      <c r="I4469" s="130">
        <v>19</v>
      </c>
      <c r="J4469" t="s">
        <v>6093</v>
      </c>
      <c r="K4469" t="s">
        <v>108</v>
      </c>
      <c r="L4469" t="s">
        <v>252</v>
      </c>
      <c r="M4469" t="s">
        <v>148</v>
      </c>
      <c r="N4469" t="s">
        <v>98</v>
      </c>
      <c r="O4469" t="s">
        <v>116</v>
      </c>
    </row>
    <row r="4470" spans="1:15" x14ac:dyDescent="0.3">
      <c r="A4470" s="130">
        <v>24412</v>
      </c>
      <c r="B4470" s="130">
        <v>30</v>
      </c>
      <c r="C4470" s="130" t="s">
        <v>6094</v>
      </c>
      <c r="D4470">
        <v>37323</v>
      </c>
      <c r="E4470" s="131">
        <v>7522191</v>
      </c>
      <c r="F4470" t="s">
        <v>87</v>
      </c>
      <c r="G4470">
        <v>76</v>
      </c>
      <c r="H4470" t="s">
        <v>8952</v>
      </c>
      <c r="I4470" s="130">
        <v>43</v>
      </c>
      <c r="J4470" t="s">
        <v>6094</v>
      </c>
      <c r="K4470" t="s">
        <v>108</v>
      </c>
      <c r="L4470" t="s">
        <v>1241</v>
      </c>
      <c r="M4470" t="s">
        <v>103</v>
      </c>
      <c r="N4470" t="s">
        <v>98</v>
      </c>
      <c r="O4470" t="s">
        <v>1256</v>
      </c>
    </row>
    <row r="4471" spans="1:15" x14ac:dyDescent="0.3">
      <c r="A4471" s="130">
        <v>24413</v>
      </c>
      <c r="B4471" s="130">
        <v>30</v>
      </c>
      <c r="C4471" s="130" t="s">
        <v>6095</v>
      </c>
      <c r="D4471">
        <v>37325</v>
      </c>
      <c r="E4471" s="131">
        <v>32265263</v>
      </c>
      <c r="F4471" t="s">
        <v>87</v>
      </c>
      <c r="G4471">
        <v>77</v>
      </c>
      <c r="H4471" t="s">
        <v>8953</v>
      </c>
      <c r="I4471" s="131">
        <v>3</v>
      </c>
      <c r="J4471" t="s">
        <v>6095</v>
      </c>
      <c r="K4471" t="s">
        <v>95</v>
      </c>
      <c r="L4471" t="s">
        <v>256</v>
      </c>
      <c r="M4471" t="s">
        <v>103</v>
      </c>
      <c r="N4471" t="s">
        <v>98</v>
      </c>
      <c r="O4471" t="s">
        <v>116</v>
      </c>
    </row>
    <row r="4472" spans="1:15" x14ac:dyDescent="0.3">
      <c r="A4472" s="130">
        <v>24414</v>
      </c>
      <c r="B4472" s="130">
        <v>21</v>
      </c>
      <c r="C4472" s="130" t="s">
        <v>6096</v>
      </c>
      <c r="D4472">
        <v>37329</v>
      </c>
      <c r="E4472" s="130">
        <v>59893545</v>
      </c>
      <c r="F4472" t="s">
        <v>87</v>
      </c>
      <c r="G4472">
        <v>76</v>
      </c>
      <c r="H4472" t="s">
        <v>8951</v>
      </c>
      <c r="I4472" s="131">
        <v>24</v>
      </c>
      <c r="J4472" t="s">
        <v>6096</v>
      </c>
      <c r="K4472" t="s">
        <v>108</v>
      </c>
      <c r="L4472" t="s">
        <v>191</v>
      </c>
      <c r="M4472" t="s">
        <v>137</v>
      </c>
      <c r="N4472" t="s">
        <v>98</v>
      </c>
      <c r="O4472" t="s">
        <v>1256</v>
      </c>
    </row>
    <row r="4473" spans="1:15" x14ac:dyDescent="0.3">
      <c r="A4473" s="130">
        <v>24416</v>
      </c>
      <c r="B4473" s="130">
        <v>15</v>
      </c>
      <c r="C4473" s="130" t="s">
        <v>6097</v>
      </c>
      <c r="D4473">
        <v>37174</v>
      </c>
      <c r="E4473" s="130">
        <v>20456538</v>
      </c>
      <c r="F4473" t="s">
        <v>113</v>
      </c>
      <c r="G4473">
        <v>76</v>
      </c>
      <c r="H4473" t="s">
        <v>8952</v>
      </c>
      <c r="I4473" s="130">
        <v>24</v>
      </c>
      <c r="J4473" t="s">
        <v>6097</v>
      </c>
      <c r="K4473" t="s">
        <v>108</v>
      </c>
      <c r="L4473" t="s">
        <v>191</v>
      </c>
      <c r="M4473" t="s">
        <v>145</v>
      </c>
      <c r="N4473" t="s">
        <v>98</v>
      </c>
      <c r="O4473" t="s">
        <v>1256</v>
      </c>
    </row>
    <row r="4474" spans="1:15" x14ac:dyDescent="0.3">
      <c r="A4474" s="130">
        <v>24417</v>
      </c>
      <c r="B4474" s="130">
        <v>45</v>
      </c>
      <c r="C4474" s="130" t="s">
        <v>6098</v>
      </c>
      <c r="D4474">
        <v>37332</v>
      </c>
      <c r="E4474" s="131">
        <v>13812133</v>
      </c>
      <c r="F4474" t="s">
        <v>87</v>
      </c>
      <c r="G4474">
        <v>76</v>
      </c>
      <c r="H4474" t="s">
        <v>8953</v>
      </c>
      <c r="I4474" s="131">
        <v>26</v>
      </c>
      <c r="J4474" t="s">
        <v>6098</v>
      </c>
      <c r="K4474" t="s">
        <v>108</v>
      </c>
      <c r="L4474" t="s">
        <v>151</v>
      </c>
      <c r="M4474" t="s">
        <v>106</v>
      </c>
      <c r="N4474" t="s">
        <v>169</v>
      </c>
      <c r="O4474" t="s">
        <v>116</v>
      </c>
    </row>
    <row r="4475" spans="1:15" x14ac:dyDescent="0.3">
      <c r="A4475" s="130">
        <v>24419</v>
      </c>
      <c r="B4475" s="130">
        <v>30</v>
      </c>
      <c r="C4475" s="130" t="s">
        <v>6099</v>
      </c>
      <c r="D4475">
        <v>37316</v>
      </c>
      <c r="E4475" s="130">
        <v>31010632</v>
      </c>
      <c r="F4475" t="s">
        <v>87</v>
      </c>
      <c r="G4475">
        <v>76</v>
      </c>
      <c r="H4475" t="s">
        <v>8951</v>
      </c>
      <c r="I4475" s="130">
        <v>10</v>
      </c>
      <c r="J4475" t="s">
        <v>6099</v>
      </c>
      <c r="K4475" t="s">
        <v>108</v>
      </c>
      <c r="L4475" t="s">
        <v>111</v>
      </c>
      <c r="M4475" t="s">
        <v>103</v>
      </c>
      <c r="N4475" t="s">
        <v>101</v>
      </c>
      <c r="O4475" t="s">
        <v>1345</v>
      </c>
    </row>
    <row r="4476" spans="1:15" x14ac:dyDescent="0.3">
      <c r="A4476" s="130">
        <v>24421</v>
      </c>
      <c r="B4476" s="130">
        <v>28</v>
      </c>
      <c r="C4476" s="130" t="s">
        <v>6100</v>
      </c>
      <c r="D4476">
        <v>37336</v>
      </c>
      <c r="E4476" s="130">
        <v>48691363</v>
      </c>
      <c r="F4476" t="s">
        <v>87</v>
      </c>
      <c r="G4476">
        <v>76</v>
      </c>
      <c r="H4476" t="s">
        <v>8952</v>
      </c>
      <c r="I4476" s="130">
        <v>37</v>
      </c>
      <c r="J4476" t="s">
        <v>6100</v>
      </c>
      <c r="K4476" t="s">
        <v>95</v>
      </c>
      <c r="L4476" t="s">
        <v>138</v>
      </c>
      <c r="M4476" t="s">
        <v>130</v>
      </c>
      <c r="N4476" t="s">
        <v>150</v>
      </c>
      <c r="O4476" t="s">
        <v>116</v>
      </c>
    </row>
    <row r="4477" spans="1:15" x14ac:dyDescent="0.3">
      <c r="A4477" s="130">
        <v>24422</v>
      </c>
      <c r="B4477" s="130">
        <v>30</v>
      </c>
      <c r="C4477" s="130" t="s">
        <v>6101</v>
      </c>
      <c r="D4477">
        <v>37337</v>
      </c>
      <c r="E4477" s="130">
        <v>72030927</v>
      </c>
      <c r="F4477" t="s">
        <v>87</v>
      </c>
      <c r="G4477">
        <v>32947</v>
      </c>
      <c r="H4477" t="s">
        <v>8953</v>
      </c>
      <c r="I4477" s="130">
        <v>43</v>
      </c>
      <c r="J4477" t="s">
        <v>6101</v>
      </c>
      <c r="K4477" t="s">
        <v>108</v>
      </c>
      <c r="L4477" t="s">
        <v>111</v>
      </c>
      <c r="M4477" t="s">
        <v>103</v>
      </c>
      <c r="N4477" t="s">
        <v>98</v>
      </c>
      <c r="O4477" t="s">
        <v>1345</v>
      </c>
    </row>
    <row r="4478" spans="1:15" x14ac:dyDescent="0.3">
      <c r="A4478" s="130">
        <v>24423</v>
      </c>
      <c r="B4478" s="130">
        <v>30</v>
      </c>
      <c r="C4478" s="130" t="s">
        <v>6102</v>
      </c>
      <c r="D4478">
        <v>37339</v>
      </c>
      <c r="E4478" s="131">
        <v>5790065</v>
      </c>
      <c r="F4478" t="s">
        <v>113</v>
      </c>
      <c r="G4478">
        <v>76</v>
      </c>
      <c r="H4478" t="s">
        <v>8951</v>
      </c>
      <c r="I4478" s="130">
        <v>19</v>
      </c>
      <c r="J4478" t="s">
        <v>6102</v>
      </c>
      <c r="K4478" t="s">
        <v>108</v>
      </c>
      <c r="L4478" t="s">
        <v>252</v>
      </c>
      <c r="M4478" t="s">
        <v>103</v>
      </c>
      <c r="N4478" t="s">
        <v>131</v>
      </c>
      <c r="O4478" t="s">
        <v>1256</v>
      </c>
    </row>
    <row r="4479" spans="1:15" x14ac:dyDescent="0.3">
      <c r="A4479" s="130">
        <v>24425</v>
      </c>
      <c r="B4479" s="130">
        <v>10</v>
      </c>
      <c r="C4479" s="130" t="s">
        <v>6103</v>
      </c>
      <c r="D4479">
        <v>37342</v>
      </c>
      <c r="E4479" s="130">
        <v>31282126</v>
      </c>
      <c r="F4479" t="s">
        <v>87</v>
      </c>
      <c r="G4479">
        <v>76</v>
      </c>
      <c r="H4479" t="s">
        <v>8952</v>
      </c>
      <c r="I4479" s="131">
        <v>3</v>
      </c>
      <c r="J4479" t="s">
        <v>6103</v>
      </c>
      <c r="K4479" t="s">
        <v>108</v>
      </c>
      <c r="L4479" t="s">
        <v>1293</v>
      </c>
      <c r="M4479" t="s">
        <v>133</v>
      </c>
      <c r="N4479" t="s">
        <v>98</v>
      </c>
      <c r="O4479" t="s">
        <v>116</v>
      </c>
    </row>
    <row r="4480" spans="1:15" x14ac:dyDescent="0.3">
      <c r="A4480" s="130">
        <v>24426</v>
      </c>
      <c r="B4480" s="130">
        <v>30</v>
      </c>
      <c r="C4480" s="130" t="s">
        <v>6104</v>
      </c>
      <c r="D4480">
        <v>37344</v>
      </c>
      <c r="E4480" s="131">
        <v>10630328</v>
      </c>
      <c r="F4480" t="s">
        <v>87</v>
      </c>
      <c r="G4480">
        <v>76</v>
      </c>
      <c r="H4480" t="s">
        <v>8953</v>
      </c>
      <c r="I4480" s="131">
        <v>43</v>
      </c>
      <c r="J4480" t="s">
        <v>6104</v>
      </c>
      <c r="K4480" t="s">
        <v>95</v>
      </c>
      <c r="L4480" t="s">
        <v>111</v>
      </c>
      <c r="M4480" t="s">
        <v>103</v>
      </c>
      <c r="N4480" t="s">
        <v>98</v>
      </c>
      <c r="O4480" t="s">
        <v>116</v>
      </c>
    </row>
    <row r="4481" spans="1:15" x14ac:dyDescent="0.3">
      <c r="A4481" s="130">
        <v>24428</v>
      </c>
      <c r="B4481" s="130">
        <v>28</v>
      </c>
      <c r="C4481" s="130" t="s">
        <v>6105</v>
      </c>
      <c r="D4481">
        <v>37351</v>
      </c>
      <c r="E4481" s="131">
        <v>48688831</v>
      </c>
      <c r="F4481" t="s">
        <v>87</v>
      </c>
      <c r="G4481">
        <v>76</v>
      </c>
      <c r="H4481" t="s">
        <v>8951</v>
      </c>
      <c r="I4481" s="130">
        <v>37</v>
      </c>
      <c r="J4481" t="s">
        <v>6105</v>
      </c>
      <c r="K4481" t="s">
        <v>95</v>
      </c>
      <c r="L4481" t="s">
        <v>138</v>
      </c>
      <c r="M4481" t="s">
        <v>130</v>
      </c>
      <c r="N4481" t="s">
        <v>150</v>
      </c>
      <c r="O4481" t="s">
        <v>116</v>
      </c>
    </row>
    <row r="4482" spans="1:15" x14ac:dyDescent="0.3">
      <c r="A4482" s="130">
        <v>24430</v>
      </c>
      <c r="B4482" s="130">
        <v>21</v>
      </c>
      <c r="C4482" s="130" t="s">
        <v>6106</v>
      </c>
      <c r="D4482">
        <v>37338</v>
      </c>
      <c r="E4482" s="130">
        <v>9122191</v>
      </c>
      <c r="F4482" t="s">
        <v>113</v>
      </c>
      <c r="G4482">
        <v>76</v>
      </c>
      <c r="H4482" t="s">
        <v>8952</v>
      </c>
      <c r="I4482" s="130">
        <v>24</v>
      </c>
      <c r="J4482" t="s">
        <v>6106</v>
      </c>
      <c r="K4482" t="s">
        <v>108</v>
      </c>
      <c r="L4482" t="s">
        <v>191</v>
      </c>
      <c r="M4482" t="s">
        <v>137</v>
      </c>
      <c r="N4482" t="s">
        <v>98</v>
      </c>
      <c r="O4482" t="s">
        <v>1256</v>
      </c>
    </row>
    <row r="4483" spans="1:15" x14ac:dyDescent="0.3">
      <c r="A4483" s="130">
        <v>24432</v>
      </c>
      <c r="B4483" s="130">
        <v>30</v>
      </c>
      <c r="C4483" s="130" t="s">
        <v>6107</v>
      </c>
      <c r="D4483">
        <v>37357</v>
      </c>
      <c r="E4483" s="130">
        <v>7899139</v>
      </c>
      <c r="F4483" t="s">
        <v>87</v>
      </c>
      <c r="G4483">
        <v>32947</v>
      </c>
      <c r="H4483" t="s">
        <v>8953</v>
      </c>
      <c r="I4483" s="130">
        <v>43</v>
      </c>
      <c r="J4483" t="s">
        <v>6107</v>
      </c>
      <c r="K4483" t="s">
        <v>108</v>
      </c>
      <c r="L4483" t="s">
        <v>111</v>
      </c>
      <c r="M4483" t="s">
        <v>103</v>
      </c>
      <c r="N4483" t="s">
        <v>98</v>
      </c>
      <c r="O4483" t="s">
        <v>116</v>
      </c>
    </row>
    <row r="4484" spans="1:15" x14ac:dyDescent="0.3">
      <c r="A4484" s="130">
        <v>24435</v>
      </c>
      <c r="B4484" s="130">
        <v>18</v>
      </c>
      <c r="C4484" s="130" t="s">
        <v>6108</v>
      </c>
      <c r="D4484">
        <v>37364</v>
      </c>
      <c r="E4484" s="130">
        <v>46925589</v>
      </c>
      <c r="F4484" t="s">
        <v>87</v>
      </c>
      <c r="G4484">
        <v>76</v>
      </c>
      <c r="H4484" t="s">
        <v>8951</v>
      </c>
      <c r="I4484" s="130">
        <v>26</v>
      </c>
      <c r="J4484" t="s">
        <v>6108</v>
      </c>
      <c r="K4484" t="s">
        <v>108</v>
      </c>
      <c r="L4484" t="s">
        <v>151</v>
      </c>
      <c r="M4484" t="s">
        <v>112</v>
      </c>
      <c r="N4484" t="s">
        <v>118</v>
      </c>
      <c r="O4484" t="s">
        <v>116</v>
      </c>
    </row>
    <row r="4485" spans="1:15" x14ac:dyDescent="0.3">
      <c r="A4485" s="130">
        <v>24438</v>
      </c>
      <c r="B4485" s="130">
        <v>10</v>
      </c>
      <c r="C4485" s="130" t="s">
        <v>6109</v>
      </c>
      <c r="D4485">
        <v>37371</v>
      </c>
      <c r="E4485" s="130">
        <v>51046633</v>
      </c>
      <c r="F4485" t="s">
        <v>113</v>
      </c>
      <c r="G4485">
        <v>76</v>
      </c>
      <c r="H4485" t="s">
        <v>8952</v>
      </c>
      <c r="I4485" s="130">
        <v>24</v>
      </c>
      <c r="J4485" t="s">
        <v>6109</v>
      </c>
      <c r="K4485" t="s">
        <v>95</v>
      </c>
      <c r="L4485" t="s">
        <v>1253</v>
      </c>
      <c r="M4485" t="s">
        <v>133</v>
      </c>
      <c r="N4485" t="s">
        <v>98</v>
      </c>
      <c r="O4485" t="s">
        <v>1256</v>
      </c>
    </row>
    <row r="4486" spans="1:15" x14ac:dyDescent="0.3">
      <c r="A4486" s="130">
        <v>24439</v>
      </c>
      <c r="B4486" s="130">
        <v>28</v>
      </c>
      <c r="C4486" s="130" t="s">
        <v>6110</v>
      </c>
      <c r="D4486">
        <v>37368</v>
      </c>
      <c r="E4486" s="131">
        <v>36024670</v>
      </c>
      <c r="F4486" t="s">
        <v>113</v>
      </c>
      <c r="G4486">
        <v>76</v>
      </c>
      <c r="H4486" t="s">
        <v>8953</v>
      </c>
      <c r="I4486" s="131">
        <v>18</v>
      </c>
      <c r="J4486" t="s">
        <v>6110</v>
      </c>
      <c r="K4486" t="s">
        <v>108</v>
      </c>
      <c r="L4486" t="s">
        <v>253</v>
      </c>
      <c r="M4486" t="s">
        <v>130</v>
      </c>
      <c r="N4486" t="s">
        <v>98</v>
      </c>
      <c r="O4486" t="s">
        <v>1256</v>
      </c>
    </row>
    <row r="4487" spans="1:15" x14ac:dyDescent="0.3">
      <c r="A4487" s="130">
        <v>24441</v>
      </c>
      <c r="B4487" s="130">
        <v>30</v>
      </c>
      <c r="C4487" s="130" t="s">
        <v>6111</v>
      </c>
      <c r="D4487">
        <v>37380</v>
      </c>
      <c r="E4487" s="131">
        <v>51903449</v>
      </c>
      <c r="F4487" t="s">
        <v>87</v>
      </c>
      <c r="G4487">
        <v>32947</v>
      </c>
      <c r="H4487" t="s">
        <v>8951</v>
      </c>
      <c r="I4487" s="131">
        <v>3</v>
      </c>
      <c r="J4487" t="s">
        <v>6111</v>
      </c>
      <c r="K4487" t="s">
        <v>108</v>
      </c>
      <c r="L4487" t="s">
        <v>193</v>
      </c>
      <c r="M4487" t="s">
        <v>103</v>
      </c>
      <c r="N4487" t="s">
        <v>98</v>
      </c>
      <c r="O4487" t="s">
        <v>116</v>
      </c>
    </row>
    <row r="4488" spans="1:15" x14ac:dyDescent="0.3">
      <c r="A4488" s="130">
        <v>24446</v>
      </c>
      <c r="B4488" s="130">
        <v>35</v>
      </c>
      <c r="C4488" s="130" t="s">
        <v>6112</v>
      </c>
      <c r="D4488">
        <v>37389</v>
      </c>
      <c r="E4488" s="131">
        <v>34692778</v>
      </c>
      <c r="F4488" t="s">
        <v>87</v>
      </c>
      <c r="G4488">
        <v>77</v>
      </c>
      <c r="H4488" t="s">
        <v>8952</v>
      </c>
      <c r="I4488" s="130">
        <v>18</v>
      </c>
      <c r="J4488" t="s">
        <v>6112</v>
      </c>
      <c r="K4488" t="s">
        <v>95</v>
      </c>
      <c r="L4488" t="s">
        <v>256</v>
      </c>
      <c r="M4488" t="s">
        <v>161</v>
      </c>
      <c r="N4488" t="s">
        <v>98</v>
      </c>
      <c r="O4488" t="s">
        <v>116</v>
      </c>
    </row>
    <row r="4489" spans="1:15" x14ac:dyDescent="0.3">
      <c r="A4489" s="130">
        <v>24447</v>
      </c>
      <c r="B4489" s="130">
        <v>21</v>
      </c>
      <c r="C4489" s="130" t="s">
        <v>6113</v>
      </c>
      <c r="D4489">
        <v>37391</v>
      </c>
      <c r="E4489" s="130">
        <v>52011367</v>
      </c>
      <c r="F4489" t="s">
        <v>113</v>
      </c>
      <c r="G4489">
        <v>76</v>
      </c>
      <c r="H4489" t="s">
        <v>8953</v>
      </c>
      <c r="I4489" s="130">
        <v>24</v>
      </c>
      <c r="J4489" t="s">
        <v>6113</v>
      </c>
      <c r="K4489" t="s">
        <v>95</v>
      </c>
      <c r="L4489" t="s">
        <v>1253</v>
      </c>
      <c r="M4489" t="s">
        <v>137</v>
      </c>
      <c r="N4489" t="s">
        <v>98</v>
      </c>
      <c r="O4489" t="s">
        <v>1256</v>
      </c>
    </row>
    <row r="4490" spans="1:15" x14ac:dyDescent="0.3">
      <c r="A4490" s="130">
        <v>24448</v>
      </c>
      <c r="B4490" s="130">
        <v>18</v>
      </c>
      <c r="C4490" s="130" t="s">
        <v>6114</v>
      </c>
      <c r="D4490">
        <v>37385</v>
      </c>
      <c r="E4490" s="130">
        <v>61505095</v>
      </c>
      <c r="F4490" t="s">
        <v>113</v>
      </c>
      <c r="G4490">
        <v>76</v>
      </c>
      <c r="H4490" t="s">
        <v>8951</v>
      </c>
      <c r="I4490" s="131">
        <v>9</v>
      </c>
      <c r="J4490" t="s">
        <v>6114</v>
      </c>
      <c r="K4490" t="s">
        <v>108</v>
      </c>
      <c r="L4490" t="s">
        <v>163</v>
      </c>
      <c r="M4490" t="s">
        <v>112</v>
      </c>
      <c r="N4490" t="s">
        <v>98</v>
      </c>
      <c r="O4490" t="s">
        <v>1256</v>
      </c>
    </row>
    <row r="4491" spans="1:15" x14ac:dyDescent="0.3">
      <c r="A4491" s="130">
        <v>24455</v>
      </c>
      <c r="B4491" s="130">
        <v>18</v>
      </c>
      <c r="C4491" s="130" t="s">
        <v>6115</v>
      </c>
      <c r="D4491">
        <v>37393</v>
      </c>
      <c r="E4491" s="130">
        <v>50653413</v>
      </c>
      <c r="F4491" t="s">
        <v>113</v>
      </c>
      <c r="G4491">
        <v>76</v>
      </c>
      <c r="H4491" t="s">
        <v>8952</v>
      </c>
      <c r="I4491" s="130">
        <v>9</v>
      </c>
      <c r="J4491" t="s">
        <v>6115</v>
      </c>
      <c r="K4491" t="s">
        <v>108</v>
      </c>
      <c r="L4491" t="s">
        <v>163</v>
      </c>
      <c r="M4491" t="s">
        <v>112</v>
      </c>
      <c r="N4491" t="s">
        <v>98</v>
      </c>
      <c r="O4491" t="s">
        <v>1256</v>
      </c>
    </row>
    <row r="4492" spans="1:15" x14ac:dyDescent="0.3">
      <c r="A4492" s="130">
        <v>24465</v>
      </c>
      <c r="B4492" s="130">
        <v>18</v>
      </c>
      <c r="C4492" s="130" t="s">
        <v>6116</v>
      </c>
      <c r="D4492">
        <v>37392</v>
      </c>
      <c r="E4492" s="130">
        <v>44013159</v>
      </c>
      <c r="F4492" t="s">
        <v>87</v>
      </c>
      <c r="G4492">
        <v>76</v>
      </c>
      <c r="H4492" t="s">
        <v>8953</v>
      </c>
      <c r="I4492" s="131">
        <v>37</v>
      </c>
      <c r="J4492" t="s">
        <v>6116</v>
      </c>
      <c r="K4492" t="s">
        <v>108</v>
      </c>
      <c r="L4492" t="s">
        <v>144</v>
      </c>
      <c r="M4492" t="s">
        <v>112</v>
      </c>
      <c r="N4492" t="s">
        <v>124</v>
      </c>
      <c r="O4492" t="s">
        <v>1256</v>
      </c>
    </row>
    <row r="4493" spans="1:15" x14ac:dyDescent="0.3">
      <c r="A4493" s="130">
        <v>24467</v>
      </c>
      <c r="B4493" s="130" t="s">
        <v>135</v>
      </c>
      <c r="C4493" s="130" t="s">
        <v>6117</v>
      </c>
      <c r="D4493">
        <v>37409</v>
      </c>
      <c r="E4493" s="130">
        <v>83646547</v>
      </c>
      <c r="F4493" t="s">
        <v>87</v>
      </c>
      <c r="G4493">
        <v>76</v>
      </c>
      <c r="H4493" t="s">
        <v>8951</v>
      </c>
      <c r="I4493" s="131">
        <v>10</v>
      </c>
      <c r="J4493" t="s">
        <v>6117</v>
      </c>
      <c r="K4493" t="s">
        <v>95</v>
      </c>
      <c r="L4493" t="s">
        <v>111</v>
      </c>
      <c r="M4493" t="s">
        <v>136</v>
      </c>
      <c r="N4493" t="s">
        <v>98</v>
      </c>
      <c r="O4493" t="s">
        <v>116</v>
      </c>
    </row>
    <row r="4494" spans="1:15" x14ac:dyDescent="0.3">
      <c r="A4494" s="130">
        <v>24470</v>
      </c>
      <c r="B4494" s="130">
        <v>15</v>
      </c>
      <c r="C4494" s="130" t="s">
        <v>6118</v>
      </c>
      <c r="D4494">
        <v>37408</v>
      </c>
      <c r="E4494" s="130">
        <v>41566140</v>
      </c>
      <c r="F4494" t="s">
        <v>87</v>
      </c>
      <c r="G4494">
        <v>76</v>
      </c>
      <c r="H4494" t="s">
        <v>8952</v>
      </c>
      <c r="I4494" s="130">
        <v>37</v>
      </c>
      <c r="J4494" t="s">
        <v>6118</v>
      </c>
      <c r="K4494" t="s">
        <v>108</v>
      </c>
      <c r="L4494" t="s">
        <v>138</v>
      </c>
      <c r="M4494" t="s">
        <v>145</v>
      </c>
      <c r="N4494" t="s">
        <v>114</v>
      </c>
      <c r="O4494" t="s">
        <v>116</v>
      </c>
    </row>
    <row r="4495" spans="1:15" x14ac:dyDescent="0.3">
      <c r="A4495" s="130">
        <v>24484</v>
      </c>
      <c r="C4495" s="130" t="s">
        <v>6119</v>
      </c>
      <c r="D4495">
        <v>37419</v>
      </c>
      <c r="E4495" s="131">
        <v>33518472</v>
      </c>
      <c r="F4495" t="s">
        <v>113</v>
      </c>
      <c r="G4495">
        <v>76</v>
      </c>
      <c r="H4495" t="s">
        <v>8953</v>
      </c>
      <c r="I4495" s="131">
        <v>18</v>
      </c>
      <c r="J4495" t="s">
        <v>6119</v>
      </c>
      <c r="K4495" t="s">
        <v>108</v>
      </c>
      <c r="L4495" t="s">
        <v>253</v>
      </c>
      <c r="N4495" t="s">
        <v>98</v>
      </c>
      <c r="O4495" t="s">
        <v>1256</v>
      </c>
    </row>
    <row r="4496" spans="1:15" x14ac:dyDescent="0.3">
      <c r="A4496" s="130">
        <v>24486</v>
      </c>
      <c r="B4496" s="130">
        <v>18</v>
      </c>
      <c r="C4496" s="130" t="s">
        <v>6120</v>
      </c>
      <c r="D4496">
        <v>37421</v>
      </c>
      <c r="E4496" s="131">
        <v>50549444</v>
      </c>
      <c r="F4496" t="s">
        <v>87</v>
      </c>
      <c r="G4496">
        <v>76</v>
      </c>
      <c r="H4496" t="s">
        <v>8951</v>
      </c>
      <c r="I4496" s="130">
        <v>37</v>
      </c>
      <c r="J4496" t="s">
        <v>6120</v>
      </c>
      <c r="K4496" t="s">
        <v>95</v>
      </c>
      <c r="L4496" t="s">
        <v>138</v>
      </c>
      <c r="M4496" t="s">
        <v>112</v>
      </c>
      <c r="N4496" t="s">
        <v>150</v>
      </c>
      <c r="O4496" t="s">
        <v>1345</v>
      </c>
    </row>
    <row r="4497" spans="1:15" x14ac:dyDescent="0.3">
      <c r="A4497" s="130">
        <v>24488</v>
      </c>
      <c r="B4497" s="130">
        <v>30</v>
      </c>
      <c r="C4497" s="130" t="s">
        <v>6121</v>
      </c>
      <c r="D4497">
        <v>37424</v>
      </c>
      <c r="E4497" s="130">
        <v>14427957</v>
      </c>
      <c r="F4497" t="s">
        <v>87</v>
      </c>
      <c r="G4497">
        <v>76</v>
      </c>
      <c r="H4497" t="s">
        <v>8952</v>
      </c>
      <c r="I4497" s="130">
        <v>3</v>
      </c>
      <c r="J4497" t="s">
        <v>6121</v>
      </c>
      <c r="K4497" t="s">
        <v>95</v>
      </c>
      <c r="L4497" t="s">
        <v>925</v>
      </c>
      <c r="M4497" t="s">
        <v>103</v>
      </c>
      <c r="N4497" t="s">
        <v>118</v>
      </c>
      <c r="O4497" t="s">
        <v>1256</v>
      </c>
    </row>
    <row r="4498" spans="1:15" x14ac:dyDescent="0.3">
      <c r="A4498" s="130">
        <v>24490</v>
      </c>
      <c r="B4498" s="130">
        <v>30</v>
      </c>
      <c r="C4498" s="130" t="s">
        <v>6122</v>
      </c>
      <c r="D4498">
        <v>37427</v>
      </c>
      <c r="E4498" s="130">
        <v>33514083</v>
      </c>
      <c r="F4498" t="s">
        <v>87</v>
      </c>
      <c r="G4498">
        <v>76</v>
      </c>
      <c r="H4498" t="s">
        <v>8953</v>
      </c>
      <c r="I4498" s="130">
        <v>37</v>
      </c>
      <c r="J4498" t="s">
        <v>6122</v>
      </c>
      <c r="K4498" t="s">
        <v>108</v>
      </c>
      <c r="L4498" t="s">
        <v>138</v>
      </c>
      <c r="M4498" t="s">
        <v>103</v>
      </c>
      <c r="N4498" t="s">
        <v>114</v>
      </c>
      <c r="O4498" t="s">
        <v>1345</v>
      </c>
    </row>
    <row r="4499" spans="1:15" x14ac:dyDescent="0.3">
      <c r="A4499" s="130">
        <v>24491</v>
      </c>
      <c r="B4499" s="130">
        <v>30</v>
      </c>
      <c r="C4499" s="130" t="s">
        <v>6123</v>
      </c>
      <c r="D4499">
        <v>37333</v>
      </c>
      <c r="E4499" s="131">
        <v>4179384</v>
      </c>
      <c r="F4499" t="s">
        <v>87</v>
      </c>
      <c r="G4499">
        <v>76</v>
      </c>
      <c r="H4499" t="s">
        <v>8951</v>
      </c>
      <c r="I4499" s="130">
        <v>43</v>
      </c>
      <c r="J4499" t="s">
        <v>6123</v>
      </c>
      <c r="K4499" t="s">
        <v>95</v>
      </c>
      <c r="L4499" t="s">
        <v>111</v>
      </c>
      <c r="M4499" t="s">
        <v>103</v>
      </c>
      <c r="N4499" t="s">
        <v>98</v>
      </c>
      <c r="O4499" t="s">
        <v>116</v>
      </c>
    </row>
    <row r="4500" spans="1:15" x14ac:dyDescent="0.3">
      <c r="A4500" s="130">
        <v>24492</v>
      </c>
      <c r="B4500" s="130">
        <v>18</v>
      </c>
      <c r="C4500" s="130" t="s">
        <v>6124</v>
      </c>
      <c r="D4500">
        <v>37425</v>
      </c>
      <c r="E4500" s="131">
        <v>3276273</v>
      </c>
      <c r="F4500" t="s">
        <v>113</v>
      </c>
      <c r="G4500">
        <v>76</v>
      </c>
      <c r="H4500" t="s">
        <v>8952</v>
      </c>
      <c r="I4500" s="130">
        <v>9</v>
      </c>
      <c r="J4500" t="s">
        <v>6124</v>
      </c>
      <c r="K4500" t="s">
        <v>108</v>
      </c>
      <c r="L4500" t="s">
        <v>163</v>
      </c>
      <c r="M4500" t="s">
        <v>112</v>
      </c>
      <c r="N4500" t="s">
        <v>98</v>
      </c>
      <c r="O4500" t="s">
        <v>1256</v>
      </c>
    </row>
    <row r="4501" spans="1:15" x14ac:dyDescent="0.3">
      <c r="A4501" s="130">
        <v>24493</v>
      </c>
      <c r="B4501" s="130">
        <v>60</v>
      </c>
      <c r="C4501" s="130" t="s">
        <v>6125</v>
      </c>
      <c r="D4501">
        <v>37435</v>
      </c>
      <c r="E4501" s="130">
        <v>3176142</v>
      </c>
      <c r="F4501" t="s">
        <v>87</v>
      </c>
      <c r="G4501">
        <v>76</v>
      </c>
      <c r="H4501" t="s">
        <v>8953</v>
      </c>
      <c r="I4501" s="130">
        <v>9</v>
      </c>
      <c r="J4501" t="s">
        <v>6125</v>
      </c>
      <c r="K4501" t="s">
        <v>108</v>
      </c>
      <c r="L4501" t="s">
        <v>163</v>
      </c>
      <c r="M4501" t="s">
        <v>97</v>
      </c>
      <c r="N4501" t="s">
        <v>98</v>
      </c>
      <c r="O4501" t="s">
        <v>116</v>
      </c>
    </row>
    <row r="4502" spans="1:15" x14ac:dyDescent="0.3">
      <c r="A4502" s="130">
        <v>24497</v>
      </c>
      <c r="B4502" s="130">
        <v>10</v>
      </c>
      <c r="C4502" s="130" t="s">
        <v>6126</v>
      </c>
      <c r="D4502">
        <v>37441</v>
      </c>
      <c r="E4502" s="131">
        <v>23374794</v>
      </c>
      <c r="F4502" t="s">
        <v>87</v>
      </c>
      <c r="G4502">
        <v>32947</v>
      </c>
      <c r="H4502" t="s">
        <v>8951</v>
      </c>
      <c r="I4502" s="131">
        <v>3</v>
      </c>
      <c r="J4502" t="s">
        <v>6126</v>
      </c>
      <c r="K4502" t="s">
        <v>95</v>
      </c>
      <c r="L4502" t="s">
        <v>193</v>
      </c>
      <c r="M4502" t="s">
        <v>133</v>
      </c>
      <c r="N4502" t="s">
        <v>98</v>
      </c>
      <c r="O4502" t="s">
        <v>116</v>
      </c>
    </row>
    <row r="4503" spans="1:15" x14ac:dyDescent="0.3">
      <c r="A4503" s="130">
        <v>24498</v>
      </c>
      <c r="B4503" s="130">
        <v>8</v>
      </c>
      <c r="C4503" s="130" t="s">
        <v>6127</v>
      </c>
      <c r="D4503">
        <v>37442</v>
      </c>
      <c r="E4503" s="130">
        <v>13085979</v>
      </c>
      <c r="F4503" t="s">
        <v>87</v>
      </c>
      <c r="G4503">
        <v>32947</v>
      </c>
      <c r="H4503" t="s">
        <v>8952</v>
      </c>
      <c r="I4503" s="130">
        <v>3</v>
      </c>
      <c r="J4503" t="s">
        <v>6127</v>
      </c>
      <c r="K4503" t="s">
        <v>108</v>
      </c>
      <c r="L4503" t="s">
        <v>109</v>
      </c>
      <c r="M4503" t="s">
        <v>1265</v>
      </c>
      <c r="N4503" t="s">
        <v>101</v>
      </c>
      <c r="O4503" t="s">
        <v>116</v>
      </c>
    </row>
    <row r="4504" spans="1:15" x14ac:dyDescent="0.3">
      <c r="A4504" s="130">
        <v>24500</v>
      </c>
      <c r="B4504" s="130">
        <v>28</v>
      </c>
      <c r="C4504" s="130" t="s">
        <v>6128</v>
      </c>
      <c r="D4504">
        <v>37445</v>
      </c>
      <c r="E4504" s="130">
        <v>26240903</v>
      </c>
      <c r="F4504" t="s">
        <v>87</v>
      </c>
      <c r="G4504">
        <v>76</v>
      </c>
      <c r="H4504" t="s">
        <v>8953</v>
      </c>
      <c r="I4504" s="131">
        <v>18</v>
      </c>
      <c r="J4504" t="s">
        <v>6128</v>
      </c>
      <c r="K4504" t="s">
        <v>108</v>
      </c>
      <c r="L4504" t="s">
        <v>253</v>
      </c>
      <c r="M4504" t="s">
        <v>130</v>
      </c>
      <c r="O4504" t="s">
        <v>1256</v>
      </c>
    </row>
    <row r="4505" spans="1:15" x14ac:dyDescent="0.3">
      <c r="A4505" s="130">
        <v>24503</v>
      </c>
      <c r="B4505" s="130">
        <v>60</v>
      </c>
      <c r="C4505" s="130" t="s">
        <v>6129</v>
      </c>
      <c r="D4505">
        <v>37449</v>
      </c>
      <c r="E4505" s="131">
        <v>78391612</v>
      </c>
      <c r="F4505" t="s">
        <v>87</v>
      </c>
      <c r="G4505">
        <v>76</v>
      </c>
      <c r="H4505" t="s">
        <v>8951</v>
      </c>
      <c r="I4505" s="130">
        <v>9</v>
      </c>
      <c r="J4505" t="s">
        <v>6129</v>
      </c>
      <c r="K4505" t="s">
        <v>108</v>
      </c>
      <c r="L4505" t="s">
        <v>163</v>
      </c>
      <c r="M4505" t="s">
        <v>97</v>
      </c>
      <c r="N4505" t="s">
        <v>114</v>
      </c>
      <c r="O4505" t="s">
        <v>116</v>
      </c>
    </row>
    <row r="4506" spans="1:15" x14ac:dyDescent="0.3">
      <c r="A4506" s="130">
        <v>24504</v>
      </c>
      <c r="B4506" s="130">
        <v>21</v>
      </c>
      <c r="C4506" s="130" t="s">
        <v>6130</v>
      </c>
      <c r="D4506">
        <v>37451</v>
      </c>
      <c r="E4506" s="130">
        <v>61037537</v>
      </c>
      <c r="F4506" t="s">
        <v>87</v>
      </c>
      <c r="G4506">
        <v>76</v>
      </c>
      <c r="H4506" t="s">
        <v>8952</v>
      </c>
      <c r="I4506" s="130">
        <v>24</v>
      </c>
      <c r="J4506" t="s">
        <v>6130</v>
      </c>
      <c r="K4506" t="s">
        <v>108</v>
      </c>
      <c r="L4506" t="s">
        <v>240</v>
      </c>
      <c r="M4506" t="s">
        <v>137</v>
      </c>
      <c r="N4506" t="s">
        <v>98</v>
      </c>
      <c r="O4506" t="s">
        <v>1256</v>
      </c>
    </row>
    <row r="4507" spans="1:15" x14ac:dyDescent="0.3">
      <c r="A4507" s="130">
        <v>24508</v>
      </c>
      <c r="B4507" s="130">
        <v>0</v>
      </c>
      <c r="C4507" s="130" t="s">
        <v>6131</v>
      </c>
      <c r="D4507">
        <v>37379</v>
      </c>
      <c r="E4507" s="130">
        <v>46083352</v>
      </c>
      <c r="F4507" t="s">
        <v>113</v>
      </c>
      <c r="G4507">
        <v>32947</v>
      </c>
      <c r="H4507" t="s">
        <v>8953</v>
      </c>
      <c r="I4507" s="130">
        <v>43</v>
      </c>
      <c r="J4507" t="s">
        <v>6131</v>
      </c>
      <c r="K4507" t="s">
        <v>95</v>
      </c>
      <c r="L4507" t="s">
        <v>252</v>
      </c>
      <c r="M4507" t="s">
        <v>100</v>
      </c>
      <c r="N4507" t="s">
        <v>107</v>
      </c>
      <c r="O4507" t="s">
        <v>1256</v>
      </c>
    </row>
    <row r="4508" spans="1:15" x14ac:dyDescent="0.3">
      <c r="A4508" s="130">
        <v>24509</v>
      </c>
      <c r="B4508" s="130">
        <v>21</v>
      </c>
      <c r="C4508" s="130" t="s">
        <v>6132</v>
      </c>
      <c r="D4508">
        <v>37460</v>
      </c>
      <c r="E4508" s="130">
        <v>96228317</v>
      </c>
      <c r="F4508" t="s">
        <v>87</v>
      </c>
      <c r="G4508">
        <v>32947</v>
      </c>
      <c r="H4508" t="s">
        <v>8951</v>
      </c>
      <c r="I4508" s="130">
        <v>24</v>
      </c>
      <c r="J4508" t="s">
        <v>6132</v>
      </c>
      <c r="K4508" t="s">
        <v>108</v>
      </c>
      <c r="L4508" t="s">
        <v>191</v>
      </c>
      <c r="M4508" t="s">
        <v>137</v>
      </c>
      <c r="N4508" t="s">
        <v>101</v>
      </c>
      <c r="O4508" t="s">
        <v>116</v>
      </c>
    </row>
    <row r="4509" spans="1:15" x14ac:dyDescent="0.3">
      <c r="A4509" s="130">
        <v>24510</v>
      </c>
      <c r="B4509" s="131">
        <v>15</v>
      </c>
      <c r="C4509" s="130" t="s">
        <v>6133</v>
      </c>
      <c r="D4509">
        <v>37461</v>
      </c>
      <c r="E4509" s="130">
        <v>1294551</v>
      </c>
      <c r="F4509" t="s">
        <v>87</v>
      </c>
      <c r="G4509">
        <v>76</v>
      </c>
      <c r="H4509" t="s">
        <v>8952</v>
      </c>
      <c r="I4509" s="130">
        <v>43</v>
      </c>
      <c r="J4509" t="s">
        <v>6133</v>
      </c>
      <c r="K4509" t="s">
        <v>108</v>
      </c>
      <c r="L4509" t="s">
        <v>1241</v>
      </c>
      <c r="M4509" t="s">
        <v>145</v>
      </c>
      <c r="N4509" t="s">
        <v>98</v>
      </c>
      <c r="O4509" t="s">
        <v>1256</v>
      </c>
    </row>
    <row r="4510" spans="1:15" x14ac:dyDescent="0.3">
      <c r="A4510" s="130">
        <v>24513</v>
      </c>
      <c r="B4510" s="130">
        <v>10</v>
      </c>
      <c r="C4510" s="130" t="s">
        <v>6134</v>
      </c>
      <c r="D4510">
        <v>37466</v>
      </c>
      <c r="E4510" s="130">
        <v>3117224</v>
      </c>
      <c r="F4510" t="s">
        <v>87</v>
      </c>
      <c r="G4510">
        <v>76</v>
      </c>
      <c r="H4510" t="s">
        <v>8953</v>
      </c>
      <c r="I4510" s="130">
        <v>3</v>
      </c>
      <c r="J4510" t="s">
        <v>6134</v>
      </c>
      <c r="K4510" t="s">
        <v>108</v>
      </c>
      <c r="L4510" t="s">
        <v>925</v>
      </c>
      <c r="M4510" t="s">
        <v>133</v>
      </c>
      <c r="N4510" t="s">
        <v>98</v>
      </c>
      <c r="O4510" t="s">
        <v>1256</v>
      </c>
    </row>
    <row r="4511" spans="1:15" x14ac:dyDescent="0.3">
      <c r="A4511" s="130">
        <v>24516</v>
      </c>
      <c r="B4511" s="130">
        <v>30</v>
      </c>
      <c r="C4511" s="130" t="s">
        <v>6135</v>
      </c>
      <c r="D4511">
        <v>37456</v>
      </c>
      <c r="E4511" s="131">
        <v>37181061</v>
      </c>
      <c r="F4511" t="s">
        <v>87</v>
      </c>
      <c r="G4511">
        <v>76</v>
      </c>
      <c r="H4511" t="s">
        <v>8951</v>
      </c>
      <c r="I4511" s="130">
        <v>10</v>
      </c>
      <c r="J4511" t="s">
        <v>6135</v>
      </c>
      <c r="K4511" t="s">
        <v>95</v>
      </c>
      <c r="L4511" t="s">
        <v>111</v>
      </c>
      <c r="M4511" t="s">
        <v>103</v>
      </c>
      <c r="N4511" t="s">
        <v>114</v>
      </c>
      <c r="O4511" t="s">
        <v>1345</v>
      </c>
    </row>
    <row r="4512" spans="1:15" x14ac:dyDescent="0.3">
      <c r="A4512" s="130">
        <v>24520</v>
      </c>
      <c r="B4512" s="130">
        <v>21</v>
      </c>
      <c r="C4512" s="130" t="s">
        <v>6136</v>
      </c>
      <c r="D4512">
        <v>37463</v>
      </c>
      <c r="E4512" s="130">
        <v>61037537</v>
      </c>
      <c r="F4512" t="s">
        <v>87</v>
      </c>
      <c r="G4512">
        <v>76</v>
      </c>
      <c r="H4512" t="s">
        <v>8952</v>
      </c>
      <c r="I4512" s="130">
        <v>24</v>
      </c>
      <c r="J4512" t="s">
        <v>6136</v>
      </c>
      <c r="K4512" t="s">
        <v>95</v>
      </c>
      <c r="L4512" t="s">
        <v>240</v>
      </c>
      <c r="M4512" t="s">
        <v>137</v>
      </c>
      <c r="N4512" t="s">
        <v>98</v>
      </c>
      <c r="O4512" t="s">
        <v>1256</v>
      </c>
    </row>
    <row r="4513" spans="1:15" x14ac:dyDescent="0.3">
      <c r="A4513" s="130">
        <v>24522</v>
      </c>
      <c r="B4513" s="130">
        <v>21</v>
      </c>
      <c r="C4513" s="130" t="s">
        <v>6137</v>
      </c>
      <c r="D4513">
        <v>37475</v>
      </c>
      <c r="E4513" s="130">
        <v>61037537</v>
      </c>
      <c r="F4513" t="s">
        <v>87</v>
      </c>
      <c r="G4513">
        <v>76</v>
      </c>
      <c r="H4513" t="s">
        <v>8953</v>
      </c>
      <c r="I4513" s="131">
        <v>24</v>
      </c>
      <c r="J4513" t="s">
        <v>6137</v>
      </c>
      <c r="K4513" t="s">
        <v>95</v>
      </c>
      <c r="L4513" t="s">
        <v>240</v>
      </c>
      <c r="M4513" t="s">
        <v>137</v>
      </c>
      <c r="N4513" t="s">
        <v>98</v>
      </c>
      <c r="O4513" t="s">
        <v>1256</v>
      </c>
    </row>
    <row r="4514" spans="1:15" x14ac:dyDescent="0.3">
      <c r="A4514" s="130">
        <v>24523</v>
      </c>
      <c r="B4514" s="130">
        <v>30</v>
      </c>
      <c r="C4514" s="130" t="s">
        <v>6138</v>
      </c>
      <c r="D4514">
        <v>36895</v>
      </c>
      <c r="E4514" s="130">
        <v>92660604</v>
      </c>
      <c r="F4514" t="s">
        <v>87</v>
      </c>
      <c r="G4514">
        <v>77</v>
      </c>
      <c r="H4514" t="s">
        <v>8951</v>
      </c>
      <c r="I4514" s="130">
        <v>24</v>
      </c>
      <c r="J4514" t="s">
        <v>6138</v>
      </c>
      <c r="K4514" t="s">
        <v>95</v>
      </c>
      <c r="L4514" t="s">
        <v>117</v>
      </c>
      <c r="M4514" t="s">
        <v>103</v>
      </c>
      <c r="N4514" t="s">
        <v>114</v>
      </c>
      <c r="O4514" t="s">
        <v>1345</v>
      </c>
    </row>
    <row r="4515" spans="1:15" x14ac:dyDescent="0.3">
      <c r="A4515" s="130">
        <v>24524</v>
      </c>
      <c r="B4515" s="130">
        <v>30</v>
      </c>
      <c r="C4515" s="130" t="s">
        <v>6139</v>
      </c>
      <c r="D4515">
        <v>37476</v>
      </c>
      <c r="E4515" s="130">
        <v>41636284</v>
      </c>
      <c r="F4515" t="s">
        <v>87</v>
      </c>
      <c r="G4515">
        <v>32947</v>
      </c>
      <c r="H4515" t="s">
        <v>8952</v>
      </c>
      <c r="I4515" s="131">
        <v>43</v>
      </c>
      <c r="J4515" t="s">
        <v>6139</v>
      </c>
      <c r="K4515" t="s">
        <v>95</v>
      </c>
      <c r="L4515" t="s">
        <v>252</v>
      </c>
      <c r="M4515" t="s">
        <v>103</v>
      </c>
      <c r="N4515" t="s">
        <v>101</v>
      </c>
      <c r="O4515" t="s">
        <v>1256</v>
      </c>
    </row>
    <row r="4516" spans="1:15" x14ac:dyDescent="0.3">
      <c r="A4516" s="130">
        <v>24529</v>
      </c>
      <c r="B4516" s="130">
        <v>30</v>
      </c>
      <c r="C4516" s="130" t="s">
        <v>6140</v>
      </c>
      <c r="D4516">
        <v>37487</v>
      </c>
      <c r="E4516" s="130">
        <v>8056030</v>
      </c>
      <c r="F4516" t="s">
        <v>87</v>
      </c>
      <c r="G4516">
        <v>76</v>
      </c>
      <c r="H4516" t="s">
        <v>8953</v>
      </c>
      <c r="I4516" s="131">
        <v>26</v>
      </c>
      <c r="J4516" t="s">
        <v>6140</v>
      </c>
      <c r="K4516" t="s">
        <v>95</v>
      </c>
      <c r="L4516" t="s">
        <v>151</v>
      </c>
      <c r="M4516" t="s">
        <v>103</v>
      </c>
      <c r="N4516" t="s">
        <v>169</v>
      </c>
      <c r="O4516" t="s">
        <v>1256</v>
      </c>
    </row>
    <row r="4517" spans="1:15" x14ac:dyDescent="0.3">
      <c r="A4517" s="130">
        <v>24530</v>
      </c>
      <c r="B4517" s="130">
        <v>10</v>
      </c>
      <c r="C4517" s="130" t="s">
        <v>6141</v>
      </c>
      <c r="D4517">
        <v>37488</v>
      </c>
      <c r="E4517" s="131">
        <v>3364572</v>
      </c>
      <c r="F4517" t="s">
        <v>87</v>
      </c>
      <c r="G4517">
        <v>32947</v>
      </c>
      <c r="H4517" t="s">
        <v>8951</v>
      </c>
      <c r="I4517" s="130">
        <v>3</v>
      </c>
      <c r="J4517" t="s">
        <v>6141</v>
      </c>
      <c r="K4517" t="s">
        <v>108</v>
      </c>
      <c r="L4517" t="s">
        <v>193</v>
      </c>
      <c r="M4517" t="s">
        <v>133</v>
      </c>
      <c r="N4517" t="s">
        <v>98</v>
      </c>
      <c r="O4517" t="s">
        <v>116</v>
      </c>
    </row>
    <row r="4518" spans="1:15" x14ac:dyDescent="0.3">
      <c r="A4518" s="130">
        <v>24531</v>
      </c>
      <c r="B4518" s="130">
        <v>0</v>
      </c>
      <c r="C4518" s="130" t="s">
        <v>6142</v>
      </c>
      <c r="D4518">
        <v>37489</v>
      </c>
      <c r="E4518" s="130">
        <v>1699343</v>
      </c>
      <c r="F4518" t="s">
        <v>87</v>
      </c>
      <c r="G4518">
        <v>32947</v>
      </c>
      <c r="H4518" t="s">
        <v>8952</v>
      </c>
      <c r="I4518" s="131">
        <v>24</v>
      </c>
      <c r="J4518" t="s">
        <v>6142</v>
      </c>
      <c r="K4518" t="s">
        <v>108</v>
      </c>
      <c r="L4518" t="s">
        <v>191</v>
      </c>
      <c r="M4518" t="s">
        <v>100</v>
      </c>
      <c r="N4518" t="s">
        <v>98</v>
      </c>
      <c r="O4518" t="s">
        <v>1256</v>
      </c>
    </row>
    <row r="4519" spans="1:15" x14ac:dyDescent="0.3">
      <c r="A4519" s="130">
        <v>24538</v>
      </c>
      <c r="B4519" s="130">
        <v>30</v>
      </c>
      <c r="C4519" s="130" t="s">
        <v>6143</v>
      </c>
      <c r="D4519">
        <v>37501</v>
      </c>
      <c r="E4519" s="130">
        <v>17162983</v>
      </c>
      <c r="F4519" t="s">
        <v>87</v>
      </c>
      <c r="G4519">
        <v>32947</v>
      </c>
      <c r="H4519" t="s">
        <v>8953</v>
      </c>
      <c r="I4519" s="131">
        <v>37</v>
      </c>
      <c r="J4519" t="s">
        <v>6143</v>
      </c>
      <c r="K4519" t="s">
        <v>95</v>
      </c>
      <c r="L4519" t="s">
        <v>193</v>
      </c>
      <c r="M4519" t="s">
        <v>103</v>
      </c>
      <c r="N4519" t="s">
        <v>98</v>
      </c>
      <c r="O4519" t="s">
        <v>116</v>
      </c>
    </row>
    <row r="4520" spans="1:15" x14ac:dyDescent="0.3">
      <c r="A4520" s="130">
        <v>24539</v>
      </c>
      <c r="B4520" s="130">
        <v>30</v>
      </c>
      <c r="C4520" s="130" t="s">
        <v>6144</v>
      </c>
      <c r="D4520">
        <v>37502</v>
      </c>
      <c r="E4520" s="131">
        <v>17161464</v>
      </c>
      <c r="F4520" t="s">
        <v>87</v>
      </c>
      <c r="G4520">
        <v>32947</v>
      </c>
      <c r="H4520" t="s">
        <v>8951</v>
      </c>
      <c r="I4520" s="130">
        <v>3</v>
      </c>
      <c r="J4520" t="s">
        <v>6144</v>
      </c>
      <c r="K4520" t="s">
        <v>108</v>
      </c>
      <c r="L4520" t="s">
        <v>109</v>
      </c>
      <c r="M4520" t="s">
        <v>103</v>
      </c>
      <c r="N4520" t="s">
        <v>98</v>
      </c>
      <c r="O4520" t="s">
        <v>116</v>
      </c>
    </row>
    <row r="4521" spans="1:15" x14ac:dyDescent="0.3">
      <c r="A4521" s="130">
        <v>24540</v>
      </c>
      <c r="B4521" s="130">
        <v>30</v>
      </c>
      <c r="C4521" s="130" t="s">
        <v>6145</v>
      </c>
      <c r="D4521">
        <v>37500</v>
      </c>
      <c r="E4521" s="130">
        <v>92660604</v>
      </c>
      <c r="F4521" t="s">
        <v>87</v>
      </c>
      <c r="G4521">
        <v>77</v>
      </c>
      <c r="H4521" t="s">
        <v>8952</v>
      </c>
      <c r="I4521" s="131">
        <v>24</v>
      </c>
      <c r="J4521" t="s">
        <v>6145</v>
      </c>
      <c r="K4521" t="s">
        <v>95</v>
      </c>
      <c r="L4521" t="s">
        <v>117</v>
      </c>
      <c r="M4521" t="s">
        <v>103</v>
      </c>
      <c r="N4521" t="s">
        <v>114</v>
      </c>
      <c r="O4521" t="s">
        <v>116</v>
      </c>
    </row>
    <row r="4522" spans="1:15" x14ac:dyDescent="0.3">
      <c r="A4522" s="130">
        <v>24543</v>
      </c>
      <c r="B4522" s="130">
        <v>30</v>
      </c>
      <c r="C4522" s="130" t="s">
        <v>6146</v>
      </c>
      <c r="D4522">
        <v>37507</v>
      </c>
      <c r="E4522" s="130">
        <v>18715383</v>
      </c>
      <c r="F4522" t="s">
        <v>87</v>
      </c>
      <c r="G4522">
        <v>77</v>
      </c>
      <c r="H4522" t="s">
        <v>8953</v>
      </c>
      <c r="I4522" s="130">
        <v>3</v>
      </c>
      <c r="J4522" t="s">
        <v>6146</v>
      </c>
      <c r="K4522" t="s">
        <v>95</v>
      </c>
      <c r="L4522" t="s">
        <v>256</v>
      </c>
      <c r="M4522" t="s">
        <v>103</v>
      </c>
      <c r="N4522" t="s">
        <v>131</v>
      </c>
      <c r="O4522" t="s">
        <v>116</v>
      </c>
    </row>
    <row r="4523" spans="1:15" x14ac:dyDescent="0.3">
      <c r="A4523" s="130">
        <v>24545</v>
      </c>
      <c r="B4523" s="130">
        <v>18</v>
      </c>
      <c r="C4523" s="130" t="s">
        <v>6147</v>
      </c>
      <c r="D4523">
        <v>37510</v>
      </c>
      <c r="E4523" s="131">
        <v>94772233</v>
      </c>
      <c r="F4523" t="s">
        <v>87</v>
      </c>
      <c r="G4523">
        <v>76</v>
      </c>
      <c r="H4523" t="s">
        <v>8951</v>
      </c>
      <c r="I4523" s="130">
        <v>10</v>
      </c>
      <c r="J4523" t="s">
        <v>6147</v>
      </c>
      <c r="K4523" t="s">
        <v>108</v>
      </c>
      <c r="L4523" t="s">
        <v>127</v>
      </c>
      <c r="M4523" t="s">
        <v>112</v>
      </c>
      <c r="N4523" t="s">
        <v>118</v>
      </c>
      <c r="O4523" t="s">
        <v>116</v>
      </c>
    </row>
    <row r="4524" spans="1:15" x14ac:dyDescent="0.3">
      <c r="A4524" s="130">
        <v>24546</v>
      </c>
      <c r="B4524" s="130">
        <v>0</v>
      </c>
      <c r="C4524" s="130" t="s">
        <v>6148</v>
      </c>
      <c r="D4524">
        <v>37511</v>
      </c>
      <c r="E4524" s="131">
        <v>16762429</v>
      </c>
      <c r="F4524" t="s">
        <v>87</v>
      </c>
      <c r="G4524">
        <v>32947</v>
      </c>
      <c r="H4524" t="s">
        <v>8952</v>
      </c>
      <c r="I4524" s="131">
        <v>3</v>
      </c>
      <c r="J4524" t="s">
        <v>6148</v>
      </c>
      <c r="K4524" t="s">
        <v>108</v>
      </c>
      <c r="L4524" t="s">
        <v>109</v>
      </c>
      <c r="M4524" t="s">
        <v>100</v>
      </c>
      <c r="N4524" t="s">
        <v>101</v>
      </c>
      <c r="O4524" t="s">
        <v>1256</v>
      </c>
    </row>
    <row r="4525" spans="1:15" x14ac:dyDescent="0.3">
      <c r="A4525" s="130">
        <v>24556</v>
      </c>
      <c r="B4525" s="130">
        <v>10</v>
      </c>
      <c r="C4525" s="130" t="s">
        <v>6149</v>
      </c>
      <c r="D4525">
        <v>37533</v>
      </c>
      <c r="E4525" s="131">
        <v>2740940</v>
      </c>
      <c r="F4525" t="s">
        <v>87</v>
      </c>
      <c r="G4525">
        <v>76</v>
      </c>
      <c r="H4525" t="s">
        <v>8953</v>
      </c>
      <c r="I4525" s="130">
        <v>3</v>
      </c>
      <c r="J4525" t="s">
        <v>6149</v>
      </c>
      <c r="K4525" t="s">
        <v>108</v>
      </c>
      <c r="L4525" t="s">
        <v>1293</v>
      </c>
      <c r="M4525" t="s">
        <v>133</v>
      </c>
      <c r="N4525" t="s">
        <v>98</v>
      </c>
      <c r="O4525" t="s">
        <v>116</v>
      </c>
    </row>
    <row r="4526" spans="1:15" x14ac:dyDescent="0.3">
      <c r="A4526" s="130">
        <v>24558</v>
      </c>
      <c r="B4526" s="130">
        <v>10</v>
      </c>
      <c r="C4526" s="130" t="s">
        <v>6150</v>
      </c>
      <c r="D4526">
        <v>37535</v>
      </c>
      <c r="E4526" s="131">
        <v>14168883</v>
      </c>
      <c r="F4526" t="s">
        <v>87</v>
      </c>
      <c r="G4526">
        <v>76</v>
      </c>
      <c r="H4526" t="s">
        <v>8951</v>
      </c>
      <c r="I4526" s="130">
        <v>3</v>
      </c>
      <c r="J4526" t="s">
        <v>6150</v>
      </c>
      <c r="K4526" t="s">
        <v>108</v>
      </c>
      <c r="L4526" t="s">
        <v>925</v>
      </c>
      <c r="M4526" t="s">
        <v>133</v>
      </c>
      <c r="N4526" t="s">
        <v>150</v>
      </c>
      <c r="O4526" t="s">
        <v>1256</v>
      </c>
    </row>
    <row r="4527" spans="1:15" x14ac:dyDescent="0.3">
      <c r="A4527" s="130">
        <v>24559</v>
      </c>
      <c r="B4527" s="130">
        <v>30</v>
      </c>
      <c r="C4527" s="130" t="s">
        <v>6151</v>
      </c>
      <c r="D4527">
        <v>37542</v>
      </c>
      <c r="E4527" s="130">
        <v>21062047</v>
      </c>
      <c r="F4527" t="s">
        <v>87</v>
      </c>
      <c r="G4527">
        <v>76</v>
      </c>
      <c r="H4527" t="s">
        <v>8952</v>
      </c>
      <c r="I4527" s="130">
        <v>3</v>
      </c>
      <c r="J4527" t="s">
        <v>6151</v>
      </c>
      <c r="K4527" t="s">
        <v>108</v>
      </c>
      <c r="L4527" t="s">
        <v>1293</v>
      </c>
      <c r="M4527" t="s">
        <v>103</v>
      </c>
      <c r="N4527" t="s">
        <v>98</v>
      </c>
      <c r="O4527" t="s">
        <v>116</v>
      </c>
    </row>
    <row r="4528" spans="1:15" x14ac:dyDescent="0.3">
      <c r="A4528" s="130">
        <v>24561</v>
      </c>
      <c r="B4528" s="130">
        <v>60</v>
      </c>
      <c r="C4528" s="130" t="s">
        <v>6152</v>
      </c>
      <c r="D4528">
        <v>37452</v>
      </c>
      <c r="E4528" s="130">
        <v>9296295</v>
      </c>
      <c r="F4528" t="s">
        <v>87</v>
      </c>
      <c r="G4528">
        <v>76</v>
      </c>
      <c r="H4528" t="s">
        <v>8953</v>
      </c>
      <c r="I4528" s="130">
        <v>18</v>
      </c>
      <c r="J4528" t="s">
        <v>6152</v>
      </c>
      <c r="K4528" t="s">
        <v>108</v>
      </c>
      <c r="L4528" t="s">
        <v>253</v>
      </c>
      <c r="M4528" t="s">
        <v>97</v>
      </c>
      <c r="N4528" t="s">
        <v>114</v>
      </c>
      <c r="O4528" t="s">
        <v>116</v>
      </c>
    </row>
    <row r="4529" spans="1:15" x14ac:dyDescent="0.3">
      <c r="A4529" s="130">
        <v>24565</v>
      </c>
      <c r="B4529" s="130">
        <v>18</v>
      </c>
      <c r="C4529" s="130" t="s">
        <v>6153</v>
      </c>
      <c r="D4529">
        <v>37551</v>
      </c>
      <c r="E4529" s="130">
        <v>14168883</v>
      </c>
      <c r="F4529" t="s">
        <v>87</v>
      </c>
      <c r="G4529">
        <v>76</v>
      </c>
      <c r="H4529" t="s">
        <v>8951</v>
      </c>
      <c r="I4529" s="131">
        <v>9</v>
      </c>
      <c r="J4529" t="s">
        <v>6153</v>
      </c>
      <c r="K4529" t="s">
        <v>108</v>
      </c>
      <c r="L4529" t="s">
        <v>1298</v>
      </c>
      <c r="M4529" t="s">
        <v>112</v>
      </c>
      <c r="N4529" t="s">
        <v>98</v>
      </c>
      <c r="O4529" t="s">
        <v>1256</v>
      </c>
    </row>
    <row r="4530" spans="1:15" x14ac:dyDescent="0.3">
      <c r="A4530" s="130">
        <v>24568</v>
      </c>
      <c r="B4530" s="130">
        <v>30</v>
      </c>
      <c r="C4530" s="130" t="s">
        <v>6154</v>
      </c>
      <c r="D4530">
        <v>37555</v>
      </c>
      <c r="E4530" s="130">
        <v>13623957</v>
      </c>
      <c r="F4530" t="s">
        <v>87</v>
      </c>
      <c r="G4530">
        <v>76</v>
      </c>
      <c r="H4530" t="s">
        <v>8952</v>
      </c>
      <c r="I4530" s="130">
        <v>18</v>
      </c>
      <c r="J4530" t="s">
        <v>6154</v>
      </c>
      <c r="K4530" t="s">
        <v>95</v>
      </c>
      <c r="L4530" t="s">
        <v>123</v>
      </c>
      <c r="M4530" t="s">
        <v>103</v>
      </c>
      <c r="N4530" t="s">
        <v>98</v>
      </c>
      <c r="O4530" t="s">
        <v>116</v>
      </c>
    </row>
    <row r="4531" spans="1:15" x14ac:dyDescent="0.3">
      <c r="A4531" s="130">
        <v>24569</v>
      </c>
      <c r="B4531" s="130">
        <v>30</v>
      </c>
      <c r="C4531" s="130" t="s">
        <v>6155</v>
      </c>
      <c r="D4531">
        <v>37556</v>
      </c>
      <c r="E4531" s="131">
        <v>17159856</v>
      </c>
      <c r="F4531" t="s">
        <v>87</v>
      </c>
      <c r="G4531">
        <v>32947</v>
      </c>
      <c r="H4531" t="s">
        <v>8953</v>
      </c>
      <c r="I4531" s="131">
        <v>10</v>
      </c>
      <c r="J4531" t="s">
        <v>6155</v>
      </c>
      <c r="K4531" t="s">
        <v>95</v>
      </c>
      <c r="L4531" t="s">
        <v>193</v>
      </c>
      <c r="M4531" t="s">
        <v>103</v>
      </c>
      <c r="N4531" t="s">
        <v>98</v>
      </c>
      <c r="O4531" t="s">
        <v>116</v>
      </c>
    </row>
    <row r="4532" spans="1:15" x14ac:dyDescent="0.3">
      <c r="A4532" s="130">
        <v>24570</v>
      </c>
      <c r="B4532" s="130">
        <v>20</v>
      </c>
      <c r="C4532" s="130" t="s">
        <v>6156</v>
      </c>
      <c r="D4532">
        <v>37557</v>
      </c>
      <c r="E4532" s="130">
        <v>35594305</v>
      </c>
      <c r="F4532" t="s">
        <v>87</v>
      </c>
      <c r="G4532">
        <v>76</v>
      </c>
      <c r="H4532" t="s">
        <v>8951</v>
      </c>
      <c r="I4532" s="130">
        <v>19</v>
      </c>
      <c r="J4532" t="s">
        <v>6156</v>
      </c>
      <c r="K4532" t="s">
        <v>108</v>
      </c>
      <c r="L4532" t="s">
        <v>252</v>
      </c>
      <c r="M4532" t="s">
        <v>148</v>
      </c>
      <c r="N4532" t="s">
        <v>98</v>
      </c>
      <c r="O4532" t="s">
        <v>116</v>
      </c>
    </row>
    <row r="4533" spans="1:15" x14ac:dyDescent="0.3">
      <c r="A4533" s="130">
        <v>24571</v>
      </c>
      <c r="B4533" s="130">
        <v>30</v>
      </c>
      <c r="C4533" s="130" t="s">
        <v>6157</v>
      </c>
      <c r="D4533">
        <v>37558</v>
      </c>
      <c r="E4533" s="130">
        <v>13623957</v>
      </c>
      <c r="F4533" t="s">
        <v>87</v>
      </c>
      <c r="G4533">
        <v>76</v>
      </c>
      <c r="H4533" t="s">
        <v>8952</v>
      </c>
      <c r="I4533" s="131">
        <v>18</v>
      </c>
      <c r="J4533" t="s">
        <v>6157</v>
      </c>
      <c r="K4533" t="s">
        <v>95</v>
      </c>
      <c r="L4533" t="s">
        <v>123</v>
      </c>
      <c r="M4533" t="s">
        <v>103</v>
      </c>
      <c r="N4533" t="s">
        <v>98</v>
      </c>
      <c r="O4533" t="s">
        <v>1256</v>
      </c>
    </row>
    <row r="4534" spans="1:15" x14ac:dyDescent="0.3">
      <c r="A4534" s="130">
        <v>24572</v>
      </c>
      <c r="B4534" s="130">
        <v>21</v>
      </c>
      <c r="C4534" s="130" t="s">
        <v>6158</v>
      </c>
      <c r="D4534">
        <v>37560</v>
      </c>
      <c r="E4534" s="130">
        <v>65660250</v>
      </c>
      <c r="F4534" t="s">
        <v>87</v>
      </c>
      <c r="G4534">
        <v>76</v>
      </c>
      <c r="H4534" t="s">
        <v>8953</v>
      </c>
      <c r="I4534" s="130">
        <v>24</v>
      </c>
      <c r="J4534" t="s">
        <v>6158</v>
      </c>
      <c r="K4534" t="s">
        <v>108</v>
      </c>
      <c r="L4534" t="s">
        <v>191</v>
      </c>
      <c r="M4534" t="s">
        <v>137</v>
      </c>
      <c r="N4534" t="s">
        <v>114</v>
      </c>
      <c r="O4534" t="s">
        <v>1256</v>
      </c>
    </row>
    <row r="4535" spans="1:15" x14ac:dyDescent="0.3">
      <c r="A4535" s="130">
        <v>24574</v>
      </c>
      <c r="B4535" s="130">
        <v>21</v>
      </c>
      <c r="C4535" s="130" t="s">
        <v>6159</v>
      </c>
      <c r="D4535">
        <v>37058</v>
      </c>
      <c r="E4535" s="130">
        <v>3503152</v>
      </c>
      <c r="F4535" t="s">
        <v>87</v>
      </c>
      <c r="G4535">
        <v>76</v>
      </c>
      <c r="H4535" t="s">
        <v>8951</v>
      </c>
      <c r="I4535" s="130">
        <v>24</v>
      </c>
      <c r="J4535" t="s">
        <v>6159</v>
      </c>
      <c r="K4535" t="s">
        <v>108</v>
      </c>
      <c r="L4535" t="s">
        <v>191</v>
      </c>
      <c r="M4535" t="s">
        <v>137</v>
      </c>
      <c r="N4535" t="s">
        <v>98</v>
      </c>
      <c r="O4535" t="s">
        <v>1256</v>
      </c>
    </row>
    <row r="4536" spans="1:15" x14ac:dyDescent="0.3">
      <c r="A4536" s="130">
        <v>24576</v>
      </c>
      <c r="B4536" s="130">
        <v>10</v>
      </c>
      <c r="C4536" s="130" t="s">
        <v>6160</v>
      </c>
      <c r="D4536">
        <v>37454</v>
      </c>
      <c r="E4536" s="130">
        <v>34671071</v>
      </c>
      <c r="F4536" t="s">
        <v>113</v>
      </c>
      <c r="G4536">
        <v>76</v>
      </c>
      <c r="H4536" t="s">
        <v>8952</v>
      </c>
      <c r="I4536" s="130">
        <v>3</v>
      </c>
      <c r="J4536" t="s">
        <v>6160</v>
      </c>
      <c r="K4536" t="s">
        <v>95</v>
      </c>
      <c r="L4536" t="s">
        <v>925</v>
      </c>
      <c r="M4536" t="s">
        <v>133</v>
      </c>
      <c r="N4536" t="s">
        <v>98</v>
      </c>
      <c r="O4536" t="s">
        <v>1256</v>
      </c>
    </row>
    <row r="4537" spans="1:15" x14ac:dyDescent="0.3">
      <c r="A4537" s="130">
        <v>24578</v>
      </c>
      <c r="B4537" s="130">
        <v>45</v>
      </c>
      <c r="C4537" s="130" t="s">
        <v>6161</v>
      </c>
      <c r="D4537">
        <v>37574</v>
      </c>
      <c r="E4537" s="130">
        <v>10736565</v>
      </c>
      <c r="F4537" t="s">
        <v>87</v>
      </c>
      <c r="G4537">
        <v>76</v>
      </c>
      <c r="H4537" t="s">
        <v>8953</v>
      </c>
      <c r="I4537" s="131">
        <v>9</v>
      </c>
      <c r="J4537" t="s">
        <v>6161</v>
      </c>
      <c r="K4537" t="s">
        <v>95</v>
      </c>
      <c r="L4537" t="s">
        <v>163</v>
      </c>
      <c r="M4537" t="s">
        <v>106</v>
      </c>
      <c r="N4537" t="s">
        <v>114</v>
      </c>
      <c r="O4537" t="s">
        <v>116</v>
      </c>
    </row>
    <row r="4538" spans="1:15" x14ac:dyDescent="0.3">
      <c r="A4538" s="130">
        <v>24585</v>
      </c>
      <c r="B4538" s="130">
        <v>15</v>
      </c>
      <c r="C4538" s="130" t="s">
        <v>6162</v>
      </c>
      <c r="D4538">
        <v>37587</v>
      </c>
      <c r="E4538" s="131">
        <v>61139432</v>
      </c>
      <c r="F4538" t="s">
        <v>87</v>
      </c>
      <c r="G4538">
        <v>76</v>
      </c>
      <c r="H4538" t="s">
        <v>8951</v>
      </c>
      <c r="I4538" s="131">
        <v>24</v>
      </c>
      <c r="J4538" t="s">
        <v>6162</v>
      </c>
      <c r="K4538" t="s">
        <v>108</v>
      </c>
      <c r="L4538" t="s">
        <v>240</v>
      </c>
      <c r="M4538" t="s">
        <v>145</v>
      </c>
      <c r="N4538" t="s">
        <v>122</v>
      </c>
      <c r="O4538" t="s">
        <v>1345</v>
      </c>
    </row>
    <row r="4539" spans="1:15" x14ac:dyDescent="0.3">
      <c r="A4539" s="130">
        <v>24596</v>
      </c>
      <c r="B4539" s="130">
        <v>15</v>
      </c>
      <c r="C4539" s="130" t="s">
        <v>6163</v>
      </c>
      <c r="D4539">
        <v>37608</v>
      </c>
      <c r="E4539" s="130">
        <v>18343026</v>
      </c>
      <c r="F4539" t="s">
        <v>87</v>
      </c>
      <c r="G4539">
        <v>76</v>
      </c>
      <c r="H4539" t="s">
        <v>8952</v>
      </c>
      <c r="I4539" s="130">
        <v>24</v>
      </c>
      <c r="J4539" t="s">
        <v>6163</v>
      </c>
      <c r="K4539" t="s">
        <v>108</v>
      </c>
      <c r="L4539" t="s">
        <v>240</v>
      </c>
      <c r="M4539" t="s">
        <v>145</v>
      </c>
      <c r="N4539" t="s">
        <v>124</v>
      </c>
      <c r="O4539" t="s">
        <v>116</v>
      </c>
    </row>
    <row r="4540" spans="1:15" x14ac:dyDescent="0.3">
      <c r="A4540" s="130">
        <v>24597</v>
      </c>
      <c r="B4540" s="130">
        <v>0</v>
      </c>
      <c r="C4540" s="130" t="s">
        <v>6164</v>
      </c>
      <c r="D4540">
        <v>37563</v>
      </c>
      <c r="E4540" s="131">
        <v>61971545</v>
      </c>
      <c r="F4540" t="s">
        <v>113</v>
      </c>
      <c r="G4540">
        <v>32947</v>
      </c>
      <c r="H4540" t="s">
        <v>8953</v>
      </c>
      <c r="I4540" s="130">
        <v>43</v>
      </c>
      <c r="J4540" t="s">
        <v>6164</v>
      </c>
      <c r="K4540" t="s">
        <v>95</v>
      </c>
      <c r="L4540" t="s">
        <v>252</v>
      </c>
      <c r="M4540" t="s">
        <v>100</v>
      </c>
      <c r="N4540" t="s">
        <v>152</v>
      </c>
      <c r="O4540" t="s">
        <v>1256</v>
      </c>
    </row>
    <row r="4541" spans="1:15" x14ac:dyDescent="0.3">
      <c r="A4541" s="130">
        <v>24603</v>
      </c>
      <c r="B4541" s="130">
        <v>18</v>
      </c>
      <c r="C4541" s="130" t="s">
        <v>6165</v>
      </c>
      <c r="D4541">
        <v>37619</v>
      </c>
      <c r="E4541" s="130">
        <v>52229164</v>
      </c>
      <c r="F4541" t="s">
        <v>87</v>
      </c>
      <c r="G4541">
        <v>76</v>
      </c>
      <c r="H4541" t="s">
        <v>8951</v>
      </c>
      <c r="I4541" s="131">
        <v>26</v>
      </c>
      <c r="J4541" t="s">
        <v>6165</v>
      </c>
      <c r="K4541" t="s">
        <v>108</v>
      </c>
      <c r="L4541" t="s">
        <v>151</v>
      </c>
      <c r="M4541" t="s">
        <v>112</v>
      </c>
      <c r="N4541" t="s">
        <v>98</v>
      </c>
      <c r="O4541" t="s">
        <v>1345</v>
      </c>
    </row>
    <row r="4542" spans="1:15" x14ac:dyDescent="0.3">
      <c r="A4542" s="130">
        <v>24604</v>
      </c>
      <c r="B4542" s="130">
        <v>10</v>
      </c>
      <c r="C4542" s="130" t="s">
        <v>6166</v>
      </c>
      <c r="D4542">
        <v>37478</v>
      </c>
      <c r="E4542" s="130">
        <v>18193729</v>
      </c>
      <c r="F4542" t="s">
        <v>113</v>
      </c>
      <c r="G4542">
        <v>76</v>
      </c>
      <c r="H4542" t="s">
        <v>8952</v>
      </c>
      <c r="I4542" s="130">
        <v>43</v>
      </c>
      <c r="J4542" t="s">
        <v>6166</v>
      </c>
      <c r="K4542" t="s">
        <v>108</v>
      </c>
      <c r="L4542" t="s">
        <v>1241</v>
      </c>
      <c r="M4542" t="s">
        <v>133</v>
      </c>
      <c r="N4542" t="s">
        <v>98</v>
      </c>
      <c r="O4542" t="s">
        <v>1256</v>
      </c>
    </row>
    <row r="4543" spans="1:15" x14ac:dyDescent="0.3">
      <c r="A4543" s="130">
        <v>24608</v>
      </c>
      <c r="B4543" s="130">
        <v>10</v>
      </c>
      <c r="C4543" s="130" t="s">
        <v>6167</v>
      </c>
      <c r="D4543">
        <v>37636</v>
      </c>
      <c r="E4543" s="130">
        <v>43202951</v>
      </c>
      <c r="F4543" t="s">
        <v>87</v>
      </c>
      <c r="G4543">
        <v>76</v>
      </c>
      <c r="H4543" t="s">
        <v>8953</v>
      </c>
      <c r="I4543" s="130">
        <v>43</v>
      </c>
      <c r="J4543" t="s">
        <v>6167</v>
      </c>
      <c r="K4543" t="s">
        <v>108</v>
      </c>
      <c r="L4543" t="s">
        <v>1241</v>
      </c>
      <c r="M4543" t="s">
        <v>133</v>
      </c>
      <c r="N4543" t="s">
        <v>98</v>
      </c>
      <c r="O4543" t="s">
        <v>1256</v>
      </c>
    </row>
    <row r="4544" spans="1:15" x14ac:dyDescent="0.3">
      <c r="A4544" s="130">
        <v>24611</v>
      </c>
      <c r="B4544" s="130">
        <v>18</v>
      </c>
      <c r="C4544" s="130" t="s">
        <v>6168</v>
      </c>
      <c r="D4544">
        <v>37640</v>
      </c>
      <c r="E4544" s="130">
        <v>71476527</v>
      </c>
      <c r="F4544" t="s">
        <v>87</v>
      </c>
      <c r="G4544">
        <v>76</v>
      </c>
      <c r="H4544" t="s">
        <v>8951</v>
      </c>
      <c r="I4544" s="130">
        <v>24</v>
      </c>
      <c r="J4544" t="s">
        <v>6168</v>
      </c>
      <c r="K4544" t="s">
        <v>95</v>
      </c>
      <c r="L4544" t="s">
        <v>191</v>
      </c>
      <c r="M4544" t="s">
        <v>112</v>
      </c>
      <c r="N4544" t="s">
        <v>98</v>
      </c>
      <c r="O4544" t="s">
        <v>1256</v>
      </c>
    </row>
    <row r="4545" spans="1:15" x14ac:dyDescent="0.3">
      <c r="A4545" s="130">
        <v>24613</v>
      </c>
      <c r="B4545" s="130">
        <v>28</v>
      </c>
      <c r="C4545" s="130" t="s">
        <v>6169</v>
      </c>
      <c r="D4545">
        <v>37570</v>
      </c>
      <c r="E4545" s="130">
        <v>40263170</v>
      </c>
      <c r="F4545" t="s">
        <v>87</v>
      </c>
      <c r="G4545">
        <v>76</v>
      </c>
      <c r="H4545" t="s">
        <v>8952</v>
      </c>
      <c r="I4545" s="130">
        <v>18</v>
      </c>
      <c r="J4545" t="s">
        <v>6169</v>
      </c>
      <c r="K4545" t="s">
        <v>95</v>
      </c>
      <c r="L4545" t="s">
        <v>253</v>
      </c>
      <c r="M4545" t="s">
        <v>130</v>
      </c>
      <c r="N4545" t="s">
        <v>132</v>
      </c>
      <c r="O4545" t="s">
        <v>116</v>
      </c>
    </row>
    <row r="4546" spans="1:15" x14ac:dyDescent="0.3">
      <c r="A4546" s="130">
        <v>24616</v>
      </c>
      <c r="B4546" s="130">
        <v>10</v>
      </c>
      <c r="C4546" s="130" t="s">
        <v>6170</v>
      </c>
      <c r="D4546">
        <v>37637</v>
      </c>
      <c r="E4546" s="130">
        <v>10630328</v>
      </c>
      <c r="F4546" t="s">
        <v>87</v>
      </c>
      <c r="G4546">
        <v>76</v>
      </c>
      <c r="H4546" t="s">
        <v>8953</v>
      </c>
      <c r="I4546" s="130">
        <v>3</v>
      </c>
      <c r="J4546" t="s">
        <v>6170</v>
      </c>
      <c r="K4546" t="s">
        <v>95</v>
      </c>
      <c r="L4546" t="s">
        <v>925</v>
      </c>
      <c r="M4546" t="s">
        <v>133</v>
      </c>
      <c r="N4546" t="s">
        <v>98</v>
      </c>
      <c r="O4546" t="s">
        <v>1256</v>
      </c>
    </row>
    <row r="4547" spans="1:15" x14ac:dyDescent="0.3">
      <c r="A4547" s="130">
        <v>24618</v>
      </c>
      <c r="B4547" s="130">
        <v>10</v>
      </c>
      <c r="C4547" s="130" t="s">
        <v>6171</v>
      </c>
      <c r="D4547">
        <v>37651</v>
      </c>
      <c r="E4547" s="130">
        <v>20651311</v>
      </c>
      <c r="F4547" t="s">
        <v>87</v>
      </c>
      <c r="G4547">
        <v>76</v>
      </c>
      <c r="H4547" t="s">
        <v>8951</v>
      </c>
      <c r="I4547" s="131">
        <v>3</v>
      </c>
      <c r="J4547" t="s">
        <v>6171</v>
      </c>
      <c r="K4547" t="s">
        <v>108</v>
      </c>
      <c r="L4547" t="s">
        <v>925</v>
      </c>
      <c r="M4547" t="s">
        <v>133</v>
      </c>
      <c r="N4547" t="s">
        <v>98</v>
      </c>
      <c r="O4547" t="s">
        <v>1256</v>
      </c>
    </row>
    <row r="4548" spans="1:15" x14ac:dyDescent="0.3">
      <c r="A4548" s="130">
        <v>24619</v>
      </c>
      <c r="B4548" s="130">
        <v>30</v>
      </c>
      <c r="C4548" s="130" t="s">
        <v>6172</v>
      </c>
      <c r="D4548">
        <v>37654</v>
      </c>
      <c r="E4548" s="131">
        <v>38696365</v>
      </c>
      <c r="F4548" t="s">
        <v>87</v>
      </c>
      <c r="G4548">
        <v>358</v>
      </c>
      <c r="H4548" t="s">
        <v>8952</v>
      </c>
      <c r="I4548" s="130">
        <v>9</v>
      </c>
      <c r="J4548" t="s">
        <v>6172</v>
      </c>
      <c r="K4548" t="s">
        <v>95</v>
      </c>
      <c r="L4548" t="s">
        <v>105</v>
      </c>
      <c r="M4548" t="s">
        <v>103</v>
      </c>
      <c r="N4548" t="s">
        <v>98</v>
      </c>
      <c r="O4548" t="s">
        <v>116</v>
      </c>
    </row>
    <row r="4549" spans="1:15" x14ac:dyDescent="0.3">
      <c r="A4549" s="130">
        <v>24623</v>
      </c>
      <c r="B4549" s="130">
        <v>30</v>
      </c>
      <c r="C4549" s="130" t="s">
        <v>6173</v>
      </c>
      <c r="D4549">
        <v>37663</v>
      </c>
      <c r="E4549" s="130">
        <v>53014618</v>
      </c>
      <c r="F4549" t="s">
        <v>87</v>
      </c>
      <c r="G4549">
        <v>358</v>
      </c>
      <c r="H4549" t="s">
        <v>8953</v>
      </c>
      <c r="I4549" s="131">
        <v>3</v>
      </c>
      <c r="J4549" t="s">
        <v>6173</v>
      </c>
      <c r="K4549" t="s">
        <v>95</v>
      </c>
      <c r="L4549" t="s">
        <v>105</v>
      </c>
      <c r="M4549" t="s">
        <v>103</v>
      </c>
      <c r="N4549" t="s">
        <v>98</v>
      </c>
      <c r="O4549" t="s">
        <v>116</v>
      </c>
    </row>
    <row r="4550" spans="1:15" x14ac:dyDescent="0.3">
      <c r="A4550" s="130">
        <v>24625</v>
      </c>
      <c r="B4550" s="130">
        <v>90</v>
      </c>
      <c r="C4550" s="130" t="s">
        <v>6174</v>
      </c>
      <c r="D4550">
        <v>37666</v>
      </c>
      <c r="E4550" s="130">
        <v>655209</v>
      </c>
      <c r="F4550" t="s">
        <v>87</v>
      </c>
      <c r="G4550">
        <v>76</v>
      </c>
      <c r="H4550" t="s">
        <v>8951</v>
      </c>
      <c r="I4550" s="130">
        <v>9</v>
      </c>
      <c r="J4550" t="s">
        <v>6174</v>
      </c>
      <c r="K4550" t="s">
        <v>95</v>
      </c>
      <c r="L4550" t="s">
        <v>1298</v>
      </c>
      <c r="M4550" t="s">
        <v>170</v>
      </c>
      <c r="N4550" t="s">
        <v>114</v>
      </c>
      <c r="O4550" t="s">
        <v>1256</v>
      </c>
    </row>
    <row r="4551" spans="1:15" x14ac:dyDescent="0.3">
      <c r="A4551" s="130">
        <v>24632</v>
      </c>
      <c r="B4551" s="130">
        <v>10</v>
      </c>
      <c r="C4551" s="130" t="s">
        <v>6175</v>
      </c>
      <c r="D4551">
        <v>37669</v>
      </c>
      <c r="E4551" s="130">
        <v>88309620</v>
      </c>
      <c r="F4551" t="s">
        <v>87</v>
      </c>
      <c r="G4551">
        <v>76</v>
      </c>
      <c r="H4551" t="s">
        <v>8952</v>
      </c>
      <c r="I4551" s="130">
        <v>24</v>
      </c>
      <c r="J4551" t="s">
        <v>6175</v>
      </c>
      <c r="K4551" t="s">
        <v>108</v>
      </c>
      <c r="L4551" t="s">
        <v>191</v>
      </c>
      <c r="M4551" t="s">
        <v>133</v>
      </c>
      <c r="N4551" t="s">
        <v>114</v>
      </c>
      <c r="O4551" t="s">
        <v>1256</v>
      </c>
    </row>
    <row r="4552" spans="1:15" x14ac:dyDescent="0.3">
      <c r="A4552" s="130">
        <v>24633</v>
      </c>
      <c r="B4552" s="130">
        <v>30</v>
      </c>
      <c r="C4552" s="130" t="s">
        <v>6176</v>
      </c>
      <c r="D4552">
        <v>37675</v>
      </c>
      <c r="E4552" s="130">
        <v>48271433</v>
      </c>
      <c r="F4552" t="s">
        <v>113</v>
      </c>
      <c r="G4552">
        <v>76</v>
      </c>
      <c r="H4552" t="s">
        <v>8953</v>
      </c>
      <c r="I4552" s="130">
        <v>24</v>
      </c>
      <c r="J4552" t="s">
        <v>6176</v>
      </c>
      <c r="K4552" t="s">
        <v>108</v>
      </c>
      <c r="L4552" t="s">
        <v>191</v>
      </c>
      <c r="M4552" t="s">
        <v>103</v>
      </c>
      <c r="N4552" t="s">
        <v>98</v>
      </c>
      <c r="O4552" t="s">
        <v>1256</v>
      </c>
    </row>
    <row r="4553" spans="1:15" x14ac:dyDescent="0.3">
      <c r="A4553" s="130">
        <v>24643</v>
      </c>
      <c r="B4553" s="130">
        <v>0</v>
      </c>
      <c r="C4553" s="130" t="s">
        <v>6177</v>
      </c>
      <c r="D4553">
        <v>37696</v>
      </c>
      <c r="E4553" s="130">
        <v>23761022</v>
      </c>
      <c r="F4553" t="s">
        <v>87</v>
      </c>
      <c r="G4553">
        <v>32947</v>
      </c>
      <c r="H4553" t="s">
        <v>8951</v>
      </c>
      <c r="I4553" s="130">
        <v>43</v>
      </c>
      <c r="J4553" t="s">
        <v>6177</v>
      </c>
      <c r="K4553" t="s">
        <v>108</v>
      </c>
      <c r="L4553" t="s">
        <v>252</v>
      </c>
      <c r="M4553" t="s">
        <v>100</v>
      </c>
      <c r="N4553" t="s">
        <v>114</v>
      </c>
      <c r="O4553" t="s">
        <v>1345</v>
      </c>
    </row>
    <row r="4554" spans="1:15" x14ac:dyDescent="0.3">
      <c r="A4554" s="130">
        <v>24648</v>
      </c>
      <c r="B4554" s="130">
        <v>30</v>
      </c>
      <c r="C4554" s="130" t="s">
        <v>6178</v>
      </c>
      <c r="D4554">
        <v>37609</v>
      </c>
      <c r="E4554" s="130">
        <v>3367065</v>
      </c>
      <c r="F4554" t="s">
        <v>87</v>
      </c>
      <c r="G4554">
        <v>76</v>
      </c>
      <c r="H4554" t="s">
        <v>8952</v>
      </c>
      <c r="I4554" s="130">
        <v>3</v>
      </c>
      <c r="J4554" t="s">
        <v>6178</v>
      </c>
      <c r="K4554" t="s">
        <v>108</v>
      </c>
      <c r="L4554" t="s">
        <v>925</v>
      </c>
      <c r="M4554" t="s">
        <v>103</v>
      </c>
      <c r="N4554" t="s">
        <v>118</v>
      </c>
      <c r="O4554" t="s">
        <v>1256</v>
      </c>
    </row>
    <row r="4555" spans="1:15" x14ac:dyDescent="0.3">
      <c r="A4555" s="130">
        <v>24649</v>
      </c>
      <c r="B4555" s="130">
        <v>7</v>
      </c>
      <c r="C4555" s="130" t="s">
        <v>6179</v>
      </c>
      <c r="D4555">
        <v>37700</v>
      </c>
      <c r="E4555" s="130">
        <v>11102435</v>
      </c>
      <c r="F4555" t="s">
        <v>87</v>
      </c>
      <c r="G4555">
        <v>76</v>
      </c>
      <c r="H4555" t="s">
        <v>8953</v>
      </c>
      <c r="I4555" s="130">
        <v>37</v>
      </c>
      <c r="J4555" t="s">
        <v>6179</v>
      </c>
      <c r="K4555" t="s">
        <v>108</v>
      </c>
      <c r="L4555" t="s">
        <v>138</v>
      </c>
      <c r="M4555" t="s">
        <v>197</v>
      </c>
      <c r="N4555" t="s">
        <v>114</v>
      </c>
      <c r="O4555" t="s">
        <v>116</v>
      </c>
    </row>
    <row r="4556" spans="1:15" x14ac:dyDescent="0.3">
      <c r="A4556" s="130">
        <v>24650</v>
      </c>
      <c r="B4556" s="130">
        <v>0</v>
      </c>
      <c r="C4556" s="130" t="s">
        <v>6180</v>
      </c>
      <c r="D4556">
        <v>37699</v>
      </c>
      <c r="E4556" s="130">
        <v>2888032</v>
      </c>
      <c r="F4556" t="s">
        <v>87</v>
      </c>
      <c r="G4556">
        <v>77</v>
      </c>
      <c r="H4556" t="s">
        <v>8951</v>
      </c>
      <c r="I4556" s="130">
        <v>18</v>
      </c>
      <c r="J4556" t="s">
        <v>6180</v>
      </c>
      <c r="K4556" t="s">
        <v>95</v>
      </c>
      <c r="L4556" t="s">
        <v>117</v>
      </c>
      <c r="M4556" t="s">
        <v>100</v>
      </c>
      <c r="N4556" t="s">
        <v>98</v>
      </c>
      <c r="O4556" t="s">
        <v>1256</v>
      </c>
    </row>
    <row r="4557" spans="1:15" x14ac:dyDescent="0.3">
      <c r="A4557" s="130">
        <v>24651</v>
      </c>
      <c r="B4557" s="130">
        <v>10</v>
      </c>
      <c r="C4557" s="130" t="s">
        <v>6181</v>
      </c>
      <c r="D4557">
        <v>37677</v>
      </c>
      <c r="E4557" s="130">
        <v>23347255</v>
      </c>
      <c r="F4557" t="s">
        <v>87</v>
      </c>
      <c r="G4557">
        <v>76</v>
      </c>
      <c r="H4557" t="s">
        <v>8952</v>
      </c>
      <c r="I4557" s="130">
        <v>3</v>
      </c>
      <c r="J4557" t="s">
        <v>6181</v>
      </c>
      <c r="K4557" t="s">
        <v>108</v>
      </c>
      <c r="L4557" t="s">
        <v>925</v>
      </c>
      <c r="M4557" t="s">
        <v>133</v>
      </c>
      <c r="N4557" t="s">
        <v>98</v>
      </c>
      <c r="O4557" t="s">
        <v>1256</v>
      </c>
    </row>
    <row r="4558" spans="1:15" x14ac:dyDescent="0.3">
      <c r="A4558" s="130">
        <v>24652</v>
      </c>
      <c r="B4558" s="130">
        <v>18</v>
      </c>
      <c r="C4558" s="130" t="s">
        <v>6182</v>
      </c>
      <c r="D4558">
        <v>37702</v>
      </c>
      <c r="E4558" s="131">
        <v>58062365</v>
      </c>
      <c r="F4558" t="s">
        <v>87</v>
      </c>
      <c r="G4558">
        <v>76</v>
      </c>
      <c r="H4558" t="s">
        <v>8953</v>
      </c>
      <c r="I4558" s="130">
        <v>10</v>
      </c>
      <c r="J4558" t="s">
        <v>6182</v>
      </c>
      <c r="K4558" t="s">
        <v>108</v>
      </c>
      <c r="L4558" t="s">
        <v>127</v>
      </c>
      <c r="M4558" t="s">
        <v>112</v>
      </c>
      <c r="N4558" t="s">
        <v>118</v>
      </c>
      <c r="O4558" t="s">
        <v>116</v>
      </c>
    </row>
    <row r="4559" spans="1:15" x14ac:dyDescent="0.3">
      <c r="A4559" s="130">
        <v>24653</v>
      </c>
      <c r="B4559" s="130">
        <v>10</v>
      </c>
      <c r="C4559" s="130" t="s">
        <v>6183</v>
      </c>
      <c r="D4559">
        <v>37706</v>
      </c>
      <c r="E4559" s="130">
        <v>43200669</v>
      </c>
      <c r="F4559" t="s">
        <v>87</v>
      </c>
      <c r="G4559">
        <v>76</v>
      </c>
      <c r="H4559" t="s">
        <v>8951</v>
      </c>
      <c r="I4559" s="130">
        <v>10</v>
      </c>
      <c r="J4559" t="s">
        <v>6183</v>
      </c>
      <c r="K4559" t="s">
        <v>108</v>
      </c>
      <c r="L4559" t="s">
        <v>127</v>
      </c>
      <c r="M4559" t="s">
        <v>133</v>
      </c>
      <c r="N4559" t="s">
        <v>101</v>
      </c>
      <c r="O4559" t="s">
        <v>1345</v>
      </c>
    </row>
    <row r="4560" spans="1:15" x14ac:dyDescent="0.3">
      <c r="A4560" s="130">
        <v>24656</v>
      </c>
      <c r="B4560" s="130" t="s">
        <v>156</v>
      </c>
      <c r="C4560" s="130" t="s">
        <v>6184</v>
      </c>
      <c r="D4560">
        <v>37715</v>
      </c>
      <c r="E4560" s="130">
        <v>20119745</v>
      </c>
      <c r="F4560" t="s">
        <v>87</v>
      </c>
      <c r="G4560">
        <v>32947</v>
      </c>
      <c r="H4560" t="s">
        <v>8952</v>
      </c>
      <c r="I4560" s="131">
        <v>43</v>
      </c>
      <c r="J4560" t="s">
        <v>6184</v>
      </c>
      <c r="K4560" t="s">
        <v>108</v>
      </c>
      <c r="L4560" t="s">
        <v>111</v>
      </c>
      <c r="M4560" t="s">
        <v>156</v>
      </c>
      <c r="N4560" t="s">
        <v>98</v>
      </c>
      <c r="O4560" t="s">
        <v>116</v>
      </c>
    </row>
    <row r="4561" spans="1:15" x14ac:dyDescent="0.3">
      <c r="A4561" s="130">
        <v>24661</v>
      </c>
      <c r="B4561" s="130">
        <v>30</v>
      </c>
      <c r="C4561" s="130" t="s">
        <v>6185</v>
      </c>
      <c r="D4561">
        <v>37723</v>
      </c>
      <c r="E4561" s="131">
        <v>7522191</v>
      </c>
      <c r="F4561" t="s">
        <v>87</v>
      </c>
      <c r="G4561">
        <v>32947</v>
      </c>
      <c r="H4561" t="s">
        <v>8953</v>
      </c>
      <c r="I4561" s="131">
        <v>43</v>
      </c>
      <c r="J4561" t="s">
        <v>6185</v>
      </c>
      <c r="K4561" t="s">
        <v>95</v>
      </c>
      <c r="L4561" t="s">
        <v>252</v>
      </c>
      <c r="M4561" t="s">
        <v>103</v>
      </c>
      <c r="N4561" t="s">
        <v>114</v>
      </c>
      <c r="O4561" t="s">
        <v>1256</v>
      </c>
    </row>
    <row r="4562" spans="1:15" x14ac:dyDescent="0.3">
      <c r="A4562" s="130">
        <v>24663</v>
      </c>
      <c r="B4562" s="130">
        <v>30</v>
      </c>
      <c r="C4562" s="130" t="s">
        <v>6186</v>
      </c>
      <c r="D4562">
        <v>37726</v>
      </c>
      <c r="E4562" s="130">
        <v>46102576</v>
      </c>
      <c r="F4562" t="s">
        <v>113</v>
      </c>
      <c r="G4562">
        <v>32947</v>
      </c>
      <c r="H4562" t="s">
        <v>8951</v>
      </c>
      <c r="I4562" s="131">
        <v>43</v>
      </c>
      <c r="J4562" t="s">
        <v>6186</v>
      </c>
      <c r="K4562" t="s">
        <v>95</v>
      </c>
      <c r="L4562" t="s">
        <v>252</v>
      </c>
      <c r="M4562" t="s">
        <v>103</v>
      </c>
      <c r="N4562" t="s">
        <v>98</v>
      </c>
      <c r="O4562" t="s">
        <v>1256</v>
      </c>
    </row>
    <row r="4563" spans="1:15" x14ac:dyDescent="0.3">
      <c r="A4563" s="130">
        <v>24675</v>
      </c>
      <c r="B4563" s="130">
        <v>21</v>
      </c>
      <c r="C4563" s="130" t="s">
        <v>6187</v>
      </c>
      <c r="D4563">
        <v>37747</v>
      </c>
      <c r="E4563" s="130">
        <v>61099826</v>
      </c>
      <c r="F4563" t="s">
        <v>87</v>
      </c>
      <c r="G4563">
        <v>76</v>
      </c>
      <c r="H4563" t="s">
        <v>8952</v>
      </c>
      <c r="I4563" s="130">
        <v>24</v>
      </c>
      <c r="J4563" t="s">
        <v>6187</v>
      </c>
      <c r="K4563" t="s">
        <v>108</v>
      </c>
      <c r="L4563" t="s">
        <v>240</v>
      </c>
      <c r="M4563" t="s">
        <v>137</v>
      </c>
      <c r="N4563" t="s">
        <v>98</v>
      </c>
      <c r="O4563" t="s">
        <v>244</v>
      </c>
    </row>
    <row r="4564" spans="1:15" x14ac:dyDescent="0.3">
      <c r="A4564" s="130">
        <v>24685</v>
      </c>
      <c r="B4564" s="130">
        <v>30</v>
      </c>
      <c r="C4564" s="130" t="s">
        <v>6188</v>
      </c>
      <c r="D4564">
        <v>37767</v>
      </c>
      <c r="E4564" s="131">
        <v>8830929</v>
      </c>
      <c r="F4564" t="s">
        <v>87</v>
      </c>
      <c r="G4564">
        <v>32947</v>
      </c>
      <c r="H4564" t="s">
        <v>8953</v>
      </c>
      <c r="I4564" s="130">
        <v>43</v>
      </c>
      <c r="J4564" t="s">
        <v>6188</v>
      </c>
      <c r="K4564" t="s">
        <v>95</v>
      </c>
      <c r="L4564" t="s">
        <v>252</v>
      </c>
      <c r="M4564" t="s">
        <v>103</v>
      </c>
      <c r="N4564" t="s">
        <v>114</v>
      </c>
      <c r="O4564" t="s">
        <v>1256</v>
      </c>
    </row>
    <row r="4565" spans="1:15" x14ac:dyDescent="0.3">
      <c r="A4565" s="130">
        <v>24689</v>
      </c>
      <c r="B4565" s="130">
        <v>35</v>
      </c>
      <c r="C4565" s="130" t="s">
        <v>6189</v>
      </c>
      <c r="D4565">
        <v>37776</v>
      </c>
      <c r="E4565" s="130">
        <v>49930514</v>
      </c>
      <c r="F4565" t="s">
        <v>87</v>
      </c>
      <c r="G4565">
        <v>76</v>
      </c>
      <c r="H4565" t="s">
        <v>8951</v>
      </c>
      <c r="I4565" s="130">
        <v>43</v>
      </c>
      <c r="J4565" t="s">
        <v>6189</v>
      </c>
      <c r="K4565" t="s">
        <v>95</v>
      </c>
      <c r="L4565" t="s">
        <v>120</v>
      </c>
      <c r="M4565" t="s">
        <v>161</v>
      </c>
      <c r="N4565" t="s">
        <v>216</v>
      </c>
      <c r="O4565" t="s">
        <v>116</v>
      </c>
    </row>
    <row r="4566" spans="1:15" x14ac:dyDescent="0.3">
      <c r="A4566" s="130">
        <v>24696</v>
      </c>
      <c r="B4566" s="130">
        <v>30</v>
      </c>
      <c r="C4566" s="130" t="s">
        <v>6190</v>
      </c>
      <c r="D4566">
        <v>37791</v>
      </c>
      <c r="E4566" s="130">
        <v>17162983</v>
      </c>
      <c r="F4566" t="s">
        <v>87</v>
      </c>
      <c r="G4566">
        <v>32947</v>
      </c>
      <c r="H4566" t="s">
        <v>8952</v>
      </c>
      <c r="I4566" s="130">
        <v>3</v>
      </c>
      <c r="J4566" t="s">
        <v>6190</v>
      </c>
      <c r="K4566" t="s">
        <v>95</v>
      </c>
      <c r="L4566" t="s">
        <v>193</v>
      </c>
      <c r="M4566" t="s">
        <v>103</v>
      </c>
      <c r="N4566" t="s">
        <v>98</v>
      </c>
      <c r="O4566" t="s">
        <v>116</v>
      </c>
    </row>
    <row r="4567" spans="1:15" x14ac:dyDescent="0.3">
      <c r="A4567" s="130">
        <v>24699</v>
      </c>
      <c r="B4567" s="130">
        <v>18</v>
      </c>
      <c r="C4567" s="130" t="s">
        <v>6191</v>
      </c>
      <c r="D4567">
        <v>37806</v>
      </c>
      <c r="E4567" s="130">
        <v>4182711</v>
      </c>
      <c r="F4567" t="s">
        <v>87</v>
      </c>
      <c r="G4567">
        <v>76</v>
      </c>
      <c r="H4567" t="s">
        <v>8953</v>
      </c>
      <c r="I4567" s="130">
        <v>9</v>
      </c>
      <c r="J4567" t="s">
        <v>6191</v>
      </c>
      <c r="K4567" t="s">
        <v>108</v>
      </c>
      <c r="L4567" t="s">
        <v>1298</v>
      </c>
      <c r="M4567" t="s">
        <v>112</v>
      </c>
      <c r="N4567" t="s">
        <v>166</v>
      </c>
      <c r="O4567" t="s">
        <v>1256</v>
      </c>
    </row>
    <row r="4568" spans="1:15" x14ac:dyDescent="0.3">
      <c r="A4568" s="130">
        <v>24703</v>
      </c>
      <c r="B4568" s="130">
        <v>30</v>
      </c>
      <c r="C4568" s="130" t="s">
        <v>6192</v>
      </c>
      <c r="D4568">
        <v>37807</v>
      </c>
      <c r="E4568" s="130">
        <v>44520687</v>
      </c>
      <c r="F4568" t="s">
        <v>113</v>
      </c>
      <c r="G4568">
        <v>33359</v>
      </c>
      <c r="H4568" t="s">
        <v>8951</v>
      </c>
      <c r="I4568" s="130">
        <v>18</v>
      </c>
      <c r="J4568" t="s">
        <v>6192</v>
      </c>
      <c r="K4568" t="s">
        <v>95</v>
      </c>
      <c r="L4568" t="s">
        <v>926</v>
      </c>
      <c r="M4568" t="s">
        <v>103</v>
      </c>
      <c r="N4568" t="s">
        <v>131</v>
      </c>
      <c r="O4568" t="s">
        <v>1256</v>
      </c>
    </row>
    <row r="4569" spans="1:15" x14ac:dyDescent="0.3">
      <c r="A4569" s="130">
        <v>24706</v>
      </c>
      <c r="B4569" s="130">
        <v>21</v>
      </c>
      <c r="C4569" s="130" t="s">
        <v>6193</v>
      </c>
      <c r="D4569">
        <v>37814</v>
      </c>
      <c r="E4569" s="130">
        <v>38084449</v>
      </c>
      <c r="F4569" t="s">
        <v>113</v>
      </c>
      <c r="G4569">
        <v>76</v>
      </c>
      <c r="H4569" t="s">
        <v>8952</v>
      </c>
      <c r="I4569" s="131">
        <v>24</v>
      </c>
      <c r="J4569" t="s">
        <v>6193</v>
      </c>
      <c r="K4569" t="s">
        <v>108</v>
      </c>
      <c r="L4569" t="s">
        <v>191</v>
      </c>
      <c r="M4569" t="s">
        <v>137</v>
      </c>
      <c r="N4569" t="s">
        <v>98</v>
      </c>
      <c r="O4569" t="s">
        <v>1256</v>
      </c>
    </row>
    <row r="4570" spans="1:15" x14ac:dyDescent="0.3">
      <c r="A4570" s="130">
        <v>24708</v>
      </c>
      <c r="B4570" s="130">
        <v>20</v>
      </c>
      <c r="C4570" s="130" t="s">
        <v>6194</v>
      </c>
      <c r="D4570">
        <v>37815</v>
      </c>
      <c r="E4570" s="130">
        <v>37145372</v>
      </c>
      <c r="F4570" t="s">
        <v>113</v>
      </c>
      <c r="G4570">
        <v>76</v>
      </c>
      <c r="H4570" t="s">
        <v>8953</v>
      </c>
      <c r="I4570" s="130">
        <v>19</v>
      </c>
      <c r="J4570" t="s">
        <v>6194</v>
      </c>
      <c r="K4570" t="s">
        <v>108</v>
      </c>
      <c r="L4570" t="s">
        <v>252</v>
      </c>
      <c r="M4570" t="s">
        <v>148</v>
      </c>
      <c r="N4570" t="s">
        <v>98</v>
      </c>
      <c r="O4570" t="s">
        <v>1256</v>
      </c>
    </row>
    <row r="4571" spans="1:15" x14ac:dyDescent="0.3">
      <c r="A4571" s="130">
        <v>24709</v>
      </c>
      <c r="B4571" s="130">
        <v>20</v>
      </c>
      <c r="C4571" s="130" t="s">
        <v>6195</v>
      </c>
      <c r="D4571">
        <v>37818</v>
      </c>
      <c r="E4571" s="131">
        <v>27608231</v>
      </c>
      <c r="F4571" t="s">
        <v>87</v>
      </c>
      <c r="G4571">
        <v>76</v>
      </c>
      <c r="H4571" t="s">
        <v>8951</v>
      </c>
      <c r="I4571" s="131">
        <v>19</v>
      </c>
      <c r="J4571" t="s">
        <v>6195</v>
      </c>
      <c r="K4571" t="s">
        <v>108</v>
      </c>
      <c r="L4571" t="s">
        <v>252</v>
      </c>
      <c r="M4571" t="s">
        <v>148</v>
      </c>
      <c r="N4571" t="s">
        <v>98</v>
      </c>
      <c r="O4571" t="s">
        <v>1345</v>
      </c>
    </row>
    <row r="4572" spans="1:15" x14ac:dyDescent="0.3">
      <c r="A4572" s="130">
        <v>24716</v>
      </c>
      <c r="B4572" s="130">
        <v>10</v>
      </c>
      <c r="C4572" s="130" t="s">
        <v>6196</v>
      </c>
      <c r="D4572">
        <v>37832</v>
      </c>
      <c r="E4572" s="131">
        <v>53918756</v>
      </c>
      <c r="F4572" t="s">
        <v>113</v>
      </c>
      <c r="G4572">
        <v>76</v>
      </c>
      <c r="H4572" t="s">
        <v>8952</v>
      </c>
      <c r="I4572" s="130">
        <v>3</v>
      </c>
      <c r="J4572" t="s">
        <v>6196</v>
      </c>
      <c r="K4572" t="s">
        <v>108</v>
      </c>
      <c r="L4572" t="s">
        <v>925</v>
      </c>
      <c r="M4572" t="s">
        <v>133</v>
      </c>
      <c r="N4572" t="s">
        <v>98</v>
      </c>
      <c r="O4572" t="s">
        <v>1256</v>
      </c>
    </row>
    <row r="4573" spans="1:15" x14ac:dyDescent="0.3">
      <c r="A4573" s="130">
        <v>24717</v>
      </c>
      <c r="B4573" s="130">
        <v>60</v>
      </c>
      <c r="C4573" s="130" t="s">
        <v>6197</v>
      </c>
      <c r="D4573">
        <v>37833</v>
      </c>
      <c r="E4573" s="130">
        <v>92660604</v>
      </c>
      <c r="F4573" t="s">
        <v>87</v>
      </c>
      <c r="G4573">
        <v>77</v>
      </c>
      <c r="H4573" t="s">
        <v>8953</v>
      </c>
      <c r="I4573" s="130">
        <v>24</v>
      </c>
      <c r="J4573" t="s">
        <v>6197</v>
      </c>
      <c r="K4573" t="s">
        <v>95</v>
      </c>
      <c r="L4573" t="s">
        <v>117</v>
      </c>
      <c r="M4573" t="s">
        <v>97</v>
      </c>
      <c r="N4573" t="s">
        <v>114</v>
      </c>
      <c r="O4573" t="s">
        <v>116</v>
      </c>
    </row>
    <row r="4574" spans="1:15" x14ac:dyDescent="0.3">
      <c r="A4574" s="130">
        <v>24721</v>
      </c>
      <c r="B4574" s="130">
        <v>30</v>
      </c>
      <c r="C4574" s="130" t="s">
        <v>6198</v>
      </c>
      <c r="D4574">
        <v>37838</v>
      </c>
      <c r="E4574" s="130">
        <v>95850236791</v>
      </c>
      <c r="F4574" t="s">
        <v>87</v>
      </c>
      <c r="G4574">
        <v>76</v>
      </c>
      <c r="H4574" t="s">
        <v>8951</v>
      </c>
      <c r="I4574" s="130">
        <v>38</v>
      </c>
      <c r="J4574" t="s">
        <v>6198</v>
      </c>
      <c r="K4574" t="s">
        <v>108</v>
      </c>
      <c r="L4574" t="s">
        <v>126</v>
      </c>
      <c r="M4574" t="s">
        <v>103</v>
      </c>
      <c r="N4574" t="s">
        <v>141</v>
      </c>
      <c r="O4574" t="s">
        <v>116</v>
      </c>
    </row>
    <row r="4575" spans="1:15" x14ac:dyDescent="0.3">
      <c r="A4575" s="130">
        <v>24728</v>
      </c>
      <c r="B4575" s="130">
        <v>18</v>
      </c>
      <c r="C4575" s="130" t="s">
        <v>6199</v>
      </c>
      <c r="D4575">
        <v>37782</v>
      </c>
      <c r="E4575" s="131">
        <v>10847382</v>
      </c>
      <c r="F4575" t="s">
        <v>87</v>
      </c>
      <c r="G4575">
        <v>76</v>
      </c>
      <c r="H4575" t="s">
        <v>8952</v>
      </c>
      <c r="I4575" s="130">
        <v>9</v>
      </c>
      <c r="J4575" t="s">
        <v>6199</v>
      </c>
      <c r="K4575" t="s">
        <v>108</v>
      </c>
      <c r="L4575" t="s">
        <v>1298</v>
      </c>
      <c r="M4575" t="s">
        <v>112</v>
      </c>
      <c r="N4575" t="s">
        <v>162</v>
      </c>
      <c r="O4575" t="s">
        <v>1256</v>
      </c>
    </row>
    <row r="4576" spans="1:15" x14ac:dyDescent="0.3">
      <c r="A4576" s="130">
        <v>24729</v>
      </c>
      <c r="B4576" s="130">
        <v>15</v>
      </c>
      <c r="C4576" s="130" t="s">
        <v>6200</v>
      </c>
      <c r="D4576">
        <v>37849</v>
      </c>
      <c r="E4576" s="130">
        <v>20147506</v>
      </c>
      <c r="F4576" t="s">
        <v>113</v>
      </c>
      <c r="G4576">
        <v>76</v>
      </c>
      <c r="H4576" t="s">
        <v>8953</v>
      </c>
      <c r="I4576" s="131">
        <v>24</v>
      </c>
      <c r="J4576" t="s">
        <v>6200</v>
      </c>
      <c r="K4576" t="s">
        <v>108</v>
      </c>
      <c r="L4576" t="s">
        <v>240</v>
      </c>
      <c r="M4576" t="s">
        <v>145</v>
      </c>
      <c r="N4576" t="s">
        <v>98</v>
      </c>
      <c r="O4576" t="s">
        <v>1256</v>
      </c>
    </row>
    <row r="4577" spans="1:15" x14ac:dyDescent="0.3">
      <c r="A4577" s="130">
        <v>24730</v>
      </c>
      <c r="B4577" s="130">
        <v>15</v>
      </c>
      <c r="C4577" s="130" t="s">
        <v>6201</v>
      </c>
      <c r="D4577">
        <v>37831</v>
      </c>
      <c r="E4577" s="130">
        <v>10250943</v>
      </c>
      <c r="F4577" t="s">
        <v>87</v>
      </c>
      <c r="G4577">
        <v>76</v>
      </c>
      <c r="H4577" t="s">
        <v>8951</v>
      </c>
      <c r="I4577" s="131">
        <v>24</v>
      </c>
      <c r="J4577" t="s">
        <v>6201</v>
      </c>
      <c r="K4577" t="s">
        <v>108</v>
      </c>
      <c r="L4577" t="s">
        <v>240</v>
      </c>
      <c r="M4577" t="s">
        <v>145</v>
      </c>
      <c r="N4577" t="s">
        <v>101</v>
      </c>
      <c r="O4577" t="s">
        <v>1256</v>
      </c>
    </row>
    <row r="4578" spans="1:15" x14ac:dyDescent="0.3">
      <c r="A4578" s="130">
        <v>24731</v>
      </c>
      <c r="B4578" s="130">
        <v>30</v>
      </c>
      <c r="C4578" s="130" t="s">
        <v>6202</v>
      </c>
      <c r="D4578">
        <v>37853</v>
      </c>
      <c r="E4578" s="130">
        <v>23921007</v>
      </c>
      <c r="F4578" t="s">
        <v>87</v>
      </c>
      <c r="G4578">
        <v>32947</v>
      </c>
      <c r="H4578" t="s">
        <v>8952</v>
      </c>
      <c r="I4578" s="131">
        <v>3</v>
      </c>
      <c r="J4578" t="s">
        <v>6202</v>
      </c>
      <c r="K4578" t="s">
        <v>108</v>
      </c>
      <c r="L4578" t="s">
        <v>193</v>
      </c>
      <c r="M4578" t="s">
        <v>103</v>
      </c>
      <c r="N4578" t="s">
        <v>98</v>
      </c>
      <c r="O4578" t="s">
        <v>116</v>
      </c>
    </row>
    <row r="4579" spans="1:15" x14ac:dyDescent="0.3">
      <c r="A4579" s="130">
        <v>24737</v>
      </c>
      <c r="B4579" s="130">
        <v>10</v>
      </c>
      <c r="C4579" s="130" t="s">
        <v>6203</v>
      </c>
      <c r="D4579">
        <v>37871</v>
      </c>
      <c r="E4579" s="130">
        <v>25618133</v>
      </c>
      <c r="F4579" t="s">
        <v>87</v>
      </c>
      <c r="G4579">
        <v>76</v>
      </c>
      <c r="H4579" t="s">
        <v>8953</v>
      </c>
      <c r="I4579" s="130">
        <v>3</v>
      </c>
      <c r="J4579" t="s">
        <v>6203</v>
      </c>
      <c r="K4579" t="s">
        <v>95</v>
      </c>
      <c r="L4579" t="s">
        <v>925</v>
      </c>
      <c r="M4579" t="s">
        <v>133</v>
      </c>
      <c r="N4579" t="s">
        <v>98</v>
      </c>
      <c r="O4579" t="s">
        <v>1256</v>
      </c>
    </row>
    <row r="4580" spans="1:15" x14ac:dyDescent="0.3">
      <c r="A4580" s="130">
        <v>24739</v>
      </c>
      <c r="B4580" s="130">
        <v>30</v>
      </c>
      <c r="C4580" s="130" t="s">
        <v>6204</v>
      </c>
      <c r="D4580">
        <v>37876</v>
      </c>
      <c r="E4580" s="130">
        <v>13623957</v>
      </c>
      <c r="F4580" t="s">
        <v>87</v>
      </c>
      <c r="G4580">
        <v>76</v>
      </c>
      <c r="H4580" t="s">
        <v>8951</v>
      </c>
      <c r="I4580" s="130">
        <v>3</v>
      </c>
      <c r="J4580" t="s">
        <v>6204</v>
      </c>
      <c r="K4580" t="s">
        <v>95</v>
      </c>
      <c r="L4580" t="s">
        <v>123</v>
      </c>
      <c r="M4580" t="s">
        <v>103</v>
      </c>
      <c r="N4580" t="s">
        <v>98</v>
      </c>
      <c r="O4580" t="s">
        <v>1256</v>
      </c>
    </row>
    <row r="4581" spans="1:15" x14ac:dyDescent="0.3">
      <c r="A4581" s="130">
        <v>24742</v>
      </c>
      <c r="B4581" s="130">
        <v>30</v>
      </c>
      <c r="C4581" s="130" t="s">
        <v>6205</v>
      </c>
      <c r="D4581">
        <v>37879</v>
      </c>
      <c r="E4581" s="130">
        <v>13623957</v>
      </c>
      <c r="F4581" t="s">
        <v>87</v>
      </c>
      <c r="G4581">
        <v>76</v>
      </c>
      <c r="H4581" t="s">
        <v>8952</v>
      </c>
      <c r="I4581" s="131">
        <v>18</v>
      </c>
      <c r="J4581" t="s">
        <v>6205</v>
      </c>
      <c r="K4581" t="s">
        <v>95</v>
      </c>
      <c r="L4581" t="s">
        <v>123</v>
      </c>
      <c r="M4581" t="s">
        <v>103</v>
      </c>
      <c r="N4581" t="s">
        <v>98</v>
      </c>
      <c r="O4581" t="s">
        <v>116</v>
      </c>
    </row>
    <row r="4582" spans="1:15" x14ac:dyDescent="0.3">
      <c r="A4582" s="130">
        <v>24746</v>
      </c>
      <c r="B4582" s="130">
        <v>30</v>
      </c>
      <c r="C4582" s="130" t="s">
        <v>6206</v>
      </c>
      <c r="D4582">
        <v>37881</v>
      </c>
      <c r="E4582" s="130">
        <v>41109336</v>
      </c>
      <c r="F4582" t="s">
        <v>87</v>
      </c>
      <c r="G4582">
        <v>76</v>
      </c>
      <c r="H4582" t="s">
        <v>8953</v>
      </c>
      <c r="I4582" s="130">
        <v>19</v>
      </c>
      <c r="J4582" t="s">
        <v>6206</v>
      </c>
      <c r="K4582" t="s">
        <v>108</v>
      </c>
      <c r="L4582" t="s">
        <v>252</v>
      </c>
      <c r="M4582" t="s">
        <v>103</v>
      </c>
      <c r="N4582" t="s">
        <v>98</v>
      </c>
      <c r="O4582" t="s">
        <v>116</v>
      </c>
    </row>
    <row r="4583" spans="1:15" x14ac:dyDescent="0.3">
      <c r="A4583" s="130">
        <v>24748</v>
      </c>
      <c r="B4583" s="130" t="s">
        <v>135</v>
      </c>
      <c r="C4583" s="130" t="s">
        <v>6207</v>
      </c>
      <c r="D4583">
        <v>37886</v>
      </c>
      <c r="E4583" s="130">
        <v>83646547</v>
      </c>
      <c r="F4583" t="s">
        <v>87</v>
      </c>
      <c r="G4583">
        <v>32947</v>
      </c>
      <c r="H4583" t="s">
        <v>8951</v>
      </c>
      <c r="I4583" s="131">
        <v>10</v>
      </c>
      <c r="J4583" t="s">
        <v>6207</v>
      </c>
      <c r="K4583" t="s">
        <v>95</v>
      </c>
      <c r="L4583" t="s">
        <v>111</v>
      </c>
      <c r="M4583" t="s">
        <v>136</v>
      </c>
      <c r="N4583" t="s">
        <v>98</v>
      </c>
      <c r="O4583" t="s">
        <v>116</v>
      </c>
    </row>
    <row r="4584" spans="1:15" x14ac:dyDescent="0.3">
      <c r="A4584" s="130">
        <v>24750</v>
      </c>
      <c r="B4584" s="130">
        <v>20</v>
      </c>
      <c r="C4584" s="130" t="s">
        <v>6208</v>
      </c>
      <c r="D4584">
        <v>37889</v>
      </c>
      <c r="E4584" s="131">
        <v>11507415</v>
      </c>
      <c r="F4584" t="s">
        <v>87</v>
      </c>
      <c r="G4584">
        <v>76</v>
      </c>
      <c r="H4584" t="s">
        <v>8952</v>
      </c>
      <c r="I4584" s="130">
        <v>19</v>
      </c>
      <c r="J4584" t="s">
        <v>6208</v>
      </c>
      <c r="K4584" t="s">
        <v>108</v>
      </c>
      <c r="L4584" t="s">
        <v>252</v>
      </c>
      <c r="M4584" t="s">
        <v>148</v>
      </c>
      <c r="N4584" t="s">
        <v>98</v>
      </c>
      <c r="O4584" t="s">
        <v>1256</v>
      </c>
    </row>
    <row r="4585" spans="1:15" x14ac:dyDescent="0.3">
      <c r="A4585" s="130">
        <v>24751</v>
      </c>
      <c r="B4585" s="130">
        <v>30</v>
      </c>
      <c r="C4585" s="130" t="s">
        <v>6209</v>
      </c>
      <c r="D4585">
        <v>37890</v>
      </c>
      <c r="E4585" s="130">
        <v>33000167</v>
      </c>
      <c r="F4585" t="s">
        <v>87</v>
      </c>
      <c r="G4585">
        <v>76</v>
      </c>
      <c r="H4585" t="s">
        <v>8953</v>
      </c>
      <c r="I4585" s="131">
        <v>18</v>
      </c>
      <c r="J4585" t="s">
        <v>6209</v>
      </c>
      <c r="K4585" t="s">
        <v>95</v>
      </c>
      <c r="L4585" t="s">
        <v>123</v>
      </c>
      <c r="M4585" t="s">
        <v>103</v>
      </c>
      <c r="N4585" t="s">
        <v>169</v>
      </c>
      <c r="O4585" t="s">
        <v>116</v>
      </c>
    </row>
    <row r="4586" spans="1:15" x14ac:dyDescent="0.3">
      <c r="A4586" s="130">
        <v>24752</v>
      </c>
      <c r="B4586" s="130">
        <v>30</v>
      </c>
      <c r="C4586" s="130" t="s">
        <v>6210</v>
      </c>
      <c r="D4586">
        <v>37891</v>
      </c>
      <c r="E4586" s="131">
        <v>16515339</v>
      </c>
      <c r="F4586" t="s">
        <v>87</v>
      </c>
      <c r="G4586">
        <v>76</v>
      </c>
      <c r="H4586" t="s">
        <v>8951</v>
      </c>
      <c r="I4586" s="130">
        <v>38</v>
      </c>
      <c r="J4586" t="s">
        <v>6210</v>
      </c>
      <c r="K4586" t="s">
        <v>108</v>
      </c>
      <c r="L4586" t="s">
        <v>126</v>
      </c>
      <c r="M4586" t="s">
        <v>103</v>
      </c>
      <c r="N4586" t="s">
        <v>98</v>
      </c>
      <c r="O4586" t="s">
        <v>116</v>
      </c>
    </row>
    <row r="4587" spans="1:15" x14ac:dyDescent="0.3">
      <c r="A4587" s="130">
        <v>24755</v>
      </c>
      <c r="B4587" s="130">
        <v>30</v>
      </c>
      <c r="C4587" s="130" t="s">
        <v>6211</v>
      </c>
      <c r="D4587">
        <v>37897</v>
      </c>
      <c r="E4587" s="130">
        <v>32582630</v>
      </c>
      <c r="F4587" t="s">
        <v>87</v>
      </c>
      <c r="G4587">
        <v>77</v>
      </c>
      <c r="H4587" t="s">
        <v>8952</v>
      </c>
      <c r="I4587" s="130">
        <v>3</v>
      </c>
      <c r="J4587" t="s">
        <v>6211</v>
      </c>
      <c r="K4587" t="s">
        <v>95</v>
      </c>
      <c r="L4587" t="s">
        <v>256</v>
      </c>
      <c r="M4587" t="s">
        <v>103</v>
      </c>
      <c r="N4587" t="s">
        <v>98</v>
      </c>
      <c r="O4587" t="s">
        <v>116</v>
      </c>
    </row>
    <row r="4588" spans="1:15" x14ac:dyDescent="0.3">
      <c r="A4588" s="130">
        <v>24756</v>
      </c>
      <c r="B4588" s="130">
        <v>30</v>
      </c>
      <c r="C4588" s="130" t="s">
        <v>6212</v>
      </c>
      <c r="D4588">
        <v>37898</v>
      </c>
      <c r="E4588" s="130">
        <v>7959171</v>
      </c>
      <c r="F4588" t="s">
        <v>87</v>
      </c>
      <c r="G4588">
        <v>76</v>
      </c>
      <c r="H4588" t="s">
        <v>8953</v>
      </c>
      <c r="I4588" s="131">
        <v>24</v>
      </c>
      <c r="J4588" t="s">
        <v>6212</v>
      </c>
      <c r="K4588" t="s">
        <v>108</v>
      </c>
      <c r="L4588" t="s">
        <v>191</v>
      </c>
      <c r="M4588" t="s">
        <v>103</v>
      </c>
      <c r="N4588" t="s">
        <v>114</v>
      </c>
      <c r="O4588" t="s">
        <v>1256</v>
      </c>
    </row>
    <row r="4589" spans="1:15" x14ac:dyDescent="0.3">
      <c r="A4589" s="130">
        <v>24758</v>
      </c>
      <c r="B4589" s="130">
        <v>30</v>
      </c>
      <c r="C4589" s="130" t="s">
        <v>6213</v>
      </c>
      <c r="D4589">
        <v>37899</v>
      </c>
      <c r="E4589" s="130">
        <v>7959171</v>
      </c>
      <c r="F4589" t="s">
        <v>87</v>
      </c>
      <c r="G4589">
        <v>76</v>
      </c>
      <c r="H4589" t="s">
        <v>8951</v>
      </c>
      <c r="I4589" s="131">
        <v>24</v>
      </c>
      <c r="J4589" t="s">
        <v>6213</v>
      </c>
      <c r="K4589" t="s">
        <v>108</v>
      </c>
      <c r="L4589" t="s">
        <v>191</v>
      </c>
      <c r="M4589" t="s">
        <v>103</v>
      </c>
      <c r="N4589" t="s">
        <v>114</v>
      </c>
      <c r="O4589" t="s">
        <v>1256</v>
      </c>
    </row>
    <row r="4590" spans="1:15" x14ac:dyDescent="0.3">
      <c r="A4590" s="130">
        <v>24759</v>
      </c>
      <c r="B4590" s="130">
        <v>30</v>
      </c>
      <c r="C4590" s="130" t="s">
        <v>6214</v>
      </c>
      <c r="D4590">
        <v>37901</v>
      </c>
      <c r="E4590" s="130">
        <v>7959171</v>
      </c>
      <c r="F4590" t="s">
        <v>87</v>
      </c>
      <c r="G4590">
        <v>76</v>
      </c>
      <c r="H4590" t="s">
        <v>8952</v>
      </c>
      <c r="I4590" s="131">
        <v>24</v>
      </c>
      <c r="J4590" t="s">
        <v>6214</v>
      </c>
      <c r="K4590" t="s">
        <v>108</v>
      </c>
      <c r="L4590" t="s">
        <v>191</v>
      </c>
      <c r="M4590" t="s">
        <v>103</v>
      </c>
      <c r="N4590" t="s">
        <v>114</v>
      </c>
      <c r="O4590" t="s">
        <v>1256</v>
      </c>
    </row>
    <row r="4591" spans="1:15" x14ac:dyDescent="0.3">
      <c r="A4591" s="130">
        <v>24760</v>
      </c>
      <c r="B4591" s="130">
        <v>30</v>
      </c>
      <c r="C4591" s="130" t="s">
        <v>6215</v>
      </c>
      <c r="D4591">
        <v>37905</v>
      </c>
      <c r="E4591" s="130">
        <v>45130694</v>
      </c>
      <c r="F4591" t="s">
        <v>87</v>
      </c>
      <c r="G4591">
        <v>77</v>
      </c>
      <c r="H4591" t="s">
        <v>8953</v>
      </c>
      <c r="I4591" s="131">
        <v>19</v>
      </c>
      <c r="J4591" t="s">
        <v>6215</v>
      </c>
      <c r="K4591" t="s">
        <v>95</v>
      </c>
      <c r="L4591" t="s">
        <v>256</v>
      </c>
      <c r="M4591" t="s">
        <v>103</v>
      </c>
      <c r="N4591" t="s">
        <v>98</v>
      </c>
      <c r="O4591" t="s">
        <v>116</v>
      </c>
    </row>
    <row r="4592" spans="1:15" x14ac:dyDescent="0.3">
      <c r="A4592" s="130">
        <v>24761</v>
      </c>
      <c r="B4592" s="130">
        <v>15</v>
      </c>
      <c r="C4592" s="130" t="s">
        <v>6216</v>
      </c>
      <c r="D4592">
        <v>37910</v>
      </c>
      <c r="E4592" s="131">
        <v>1129913</v>
      </c>
      <c r="F4592" t="s">
        <v>87</v>
      </c>
      <c r="G4592">
        <v>76</v>
      </c>
      <c r="H4592" t="s">
        <v>8951</v>
      </c>
      <c r="I4592" s="130">
        <v>24</v>
      </c>
      <c r="J4592" t="s">
        <v>6216</v>
      </c>
      <c r="K4592" t="s">
        <v>108</v>
      </c>
      <c r="L4592" t="s">
        <v>240</v>
      </c>
      <c r="M4592" t="s">
        <v>145</v>
      </c>
      <c r="N4592" t="s">
        <v>98</v>
      </c>
      <c r="O4592" t="s">
        <v>1256</v>
      </c>
    </row>
    <row r="4593" spans="1:15" x14ac:dyDescent="0.3">
      <c r="A4593" s="130">
        <v>24764</v>
      </c>
      <c r="B4593" s="130">
        <v>30</v>
      </c>
      <c r="C4593" s="130" t="s">
        <v>6217</v>
      </c>
      <c r="D4593">
        <v>37912</v>
      </c>
      <c r="E4593" s="130">
        <v>2284062</v>
      </c>
      <c r="F4593" t="s">
        <v>87</v>
      </c>
      <c r="G4593">
        <v>32947</v>
      </c>
      <c r="H4593" t="s">
        <v>8952</v>
      </c>
      <c r="I4593" s="130">
        <v>43</v>
      </c>
      <c r="J4593" t="s">
        <v>6217</v>
      </c>
      <c r="K4593" t="s">
        <v>95</v>
      </c>
      <c r="L4593" t="s">
        <v>252</v>
      </c>
      <c r="M4593" t="s">
        <v>103</v>
      </c>
      <c r="N4593" t="s">
        <v>121</v>
      </c>
      <c r="O4593" t="s">
        <v>1256</v>
      </c>
    </row>
    <row r="4594" spans="1:15" x14ac:dyDescent="0.3">
      <c r="A4594" s="130">
        <v>24773</v>
      </c>
      <c r="B4594" s="130">
        <v>30</v>
      </c>
      <c r="C4594" s="130" t="s">
        <v>6218</v>
      </c>
      <c r="D4594">
        <v>37781</v>
      </c>
      <c r="E4594" s="131">
        <v>61186888</v>
      </c>
      <c r="F4594" t="s">
        <v>87</v>
      </c>
      <c r="G4594">
        <v>77</v>
      </c>
      <c r="H4594" t="s">
        <v>8953</v>
      </c>
      <c r="I4594" s="130">
        <v>3</v>
      </c>
      <c r="J4594" t="s">
        <v>6218</v>
      </c>
      <c r="K4594" t="s">
        <v>95</v>
      </c>
      <c r="L4594" t="s">
        <v>256</v>
      </c>
      <c r="M4594" t="s">
        <v>103</v>
      </c>
      <c r="N4594" t="s">
        <v>114</v>
      </c>
      <c r="O4594" t="s">
        <v>1345</v>
      </c>
    </row>
    <row r="4595" spans="1:15" x14ac:dyDescent="0.3">
      <c r="A4595" s="130">
        <v>24774</v>
      </c>
      <c r="B4595" s="130">
        <v>60</v>
      </c>
      <c r="C4595" s="130" t="s">
        <v>6219</v>
      </c>
      <c r="D4595">
        <v>35698</v>
      </c>
      <c r="E4595" s="130">
        <v>33592510</v>
      </c>
      <c r="F4595" t="s">
        <v>87</v>
      </c>
      <c r="G4595">
        <v>77</v>
      </c>
      <c r="H4595" t="s">
        <v>8951</v>
      </c>
      <c r="I4595" s="130">
        <v>41</v>
      </c>
      <c r="J4595" t="s">
        <v>6219</v>
      </c>
      <c r="K4595" t="s">
        <v>95</v>
      </c>
      <c r="L4595" t="s">
        <v>235</v>
      </c>
      <c r="M4595" t="s">
        <v>97</v>
      </c>
      <c r="N4595" t="s">
        <v>118</v>
      </c>
      <c r="O4595" t="s">
        <v>1256</v>
      </c>
    </row>
    <row r="4596" spans="1:15" x14ac:dyDescent="0.3">
      <c r="A4596" s="130">
        <v>24775</v>
      </c>
      <c r="B4596" s="130">
        <v>30</v>
      </c>
      <c r="C4596" s="130" t="s">
        <v>6220</v>
      </c>
      <c r="D4596">
        <v>37943</v>
      </c>
      <c r="E4596" s="130">
        <v>18593815</v>
      </c>
      <c r="F4596" t="s">
        <v>87</v>
      </c>
      <c r="G4596">
        <v>76</v>
      </c>
      <c r="H4596" t="s">
        <v>8952</v>
      </c>
      <c r="I4596" s="130">
        <v>24</v>
      </c>
      <c r="J4596" t="s">
        <v>6220</v>
      </c>
      <c r="K4596" t="s">
        <v>108</v>
      </c>
      <c r="L4596" t="s">
        <v>191</v>
      </c>
      <c r="M4596" t="s">
        <v>103</v>
      </c>
      <c r="N4596" t="s">
        <v>114</v>
      </c>
      <c r="O4596" t="s">
        <v>116</v>
      </c>
    </row>
    <row r="4597" spans="1:15" x14ac:dyDescent="0.3">
      <c r="A4597" s="130">
        <v>24777</v>
      </c>
      <c r="B4597" s="131">
        <v>28</v>
      </c>
      <c r="C4597" s="130" t="s">
        <v>6221</v>
      </c>
      <c r="D4597">
        <v>37938</v>
      </c>
      <c r="E4597" s="130">
        <v>42601701</v>
      </c>
      <c r="F4597" t="s">
        <v>113</v>
      </c>
      <c r="G4597">
        <v>76</v>
      </c>
      <c r="H4597" t="s">
        <v>8953</v>
      </c>
      <c r="I4597" s="131">
        <v>18</v>
      </c>
      <c r="J4597" t="s">
        <v>6221</v>
      </c>
      <c r="K4597" t="s">
        <v>108</v>
      </c>
      <c r="L4597" t="s">
        <v>253</v>
      </c>
      <c r="M4597" t="s">
        <v>130</v>
      </c>
      <c r="N4597" t="s">
        <v>98</v>
      </c>
      <c r="O4597" t="s">
        <v>1256</v>
      </c>
    </row>
    <row r="4598" spans="1:15" x14ac:dyDescent="0.3">
      <c r="A4598" s="130">
        <v>24780</v>
      </c>
      <c r="B4598" s="130">
        <v>30</v>
      </c>
      <c r="C4598" s="130" t="s">
        <v>6222</v>
      </c>
      <c r="D4598">
        <v>37639</v>
      </c>
      <c r="E4598" s="130">
        <v>6315338</v>
      </c>
      <c r="F4598" t="s">
        <v>113</v>
      </c>
      <c r="G4598">
        <v>76</v>
      </c>
      <c r="H4598" t="s">
        <v>8951</v>
      </c>
      <c r="I4598" s="131">
        <v>24</v>
      </c>
      <c r="J4598" t="s">
        <v>6222</v>
      </c>
      <c r="K4598" t="s">
        <v>108</v>
      </c>
      <c r="L4598" t="s">
        <v>240</v>
      </c>
      <c r="M4598" t="s">
        <v>103</v>
      </c>
      <c r="N4598" t="s">
        <v>141</v>
      </c>
      <c r="O4598" t="s">
        <v>1256</v>
      </c>
    </row>
    <row r="4599" spans="1:15" x14ac:dyDescent="0.3">
      <c r="A4599" s="130">
        <v>24787</v>
      </c>
      <c r="B4599" s="130">
        <v>45</v>
      </c>
      <c r="C4599" s="130" t="s">
        <v>6223</v>
      </c>
      <c r="D4599">
        <v>37954</v>
      </c>
      <c r="E4599" s="131">
        <v>2730611</v>
      </c>
      <c r="F4599" t="s">
        <v>87</v>
      </c>
      <c r="G4599">
        <v>32947</v>
      </c>
      <c r="H4599" t="s">
        <v>8952</v>
      </c>
      <c r="I4599" s="130">
        <v>43</v>
      </c>
      <c r="J4599" t="s">
        <v>6223</v>
      </c>
      <c r="K4599" t="s">
        <v>108</v>
      </c>
      <c r="L4599" t="s">
        <v>1241</v>
      </c>
      <c r="M4599" t="s">
        <v>106</v>
      </c>
      <c r="N4599" t="s">
        <v>98</v>
      </c>
      <c r="O4599" t="s">
        <v>1256</v>
      </c>
    </row>
    <row r="4600" spans="1:15" x14ac:dyDescent="0.3">
      <c r="A4600" s="130">
        <v>24788</v>
      </c>
      <c r="B4600" s="130">
        <v>30</v>
      </c>
      <c r="C4600" s="130" t="s">
        <v>6224</v>
      </c>
      <c r="D4600">
        <v>37949</v>
      </c>
      <c r="E4600" s="130">
        <v>33146648</v>
      </c>
      <c r="F4600" t="s">
        <v>87</v>
      </c>
      <c r="G4600">
        <v>76</v>
      </c>
      <c r="H4600" t="s">
        <v>8953</v>
      </c>
      <c r="I4600" s="130">
        <v>24</v>
      </c>
      <c r="J4600" t="s">
        <v>6224</v>
      </c>
      <c r="K4600" t="s">
        <v>95</v>
      </c>
      <c r="L4600" t="s">
        <v>191</v>
      </c>
      <c r="M4600" t="s">
        <v>103</v>
      </c>
      <c r="N4600" t="s">
        <v>98</v>
      </c>
      <c r="O4600" t="s">
        <v>1256</v>
      </c>
    </row>
    <row r="4601" spans="1:15" x14ac:dyDescent="0.3">
      <c r="A4601" s="130">
        <v>24790</v>
      </c>
      <c r="B4601" s="130">
        <v>28</v>
      </c>
      <c r="C4601" s="130" t="s">
        <v>6225</v>
      </c>
      <c r="D4601">
        <v>37956</v>
      </c>
      <c r="E4601" s="130">
        <v>14168883</v>
      </c>
      <c r="F4601" t="s">
        <v>87</v>
      </c>
      <c r="G4601">
        <v>76</v>
      </c>
      <c r="H4601" t="s">
        <v>8951</v>
      </c>
      <c r="I4601" s="130">
        <v>18</v>
      </c>
      <c r="J4601" t="s">
        <v>6225</v>
      </c>
      <c r="K4601" t="s">
        <v>108</v>
      </c>
      <c r="L4601" t="s">
        <v>253</v>
      </c>
      <c r="M4601" t="s">
        <v>130</v>
      </c>
      <c r="N4601" t="s">
        <v>98</v>
      </c>
      <c r="O4601" t="s">
        <v>1256</v>
      </c>
    </row>
    <row r="4602" spans="1:15" x14ac:dyDescent="0.3">
      <c r="A4602" s="130">
        <v>24791</v>
      </c>
      <c r="B4602" s="130">
        <v>30</v>
      </c>
      <c r="C4602" s="130" t="s">
        <v>6226</v>
      </c>
      <c r="D4602">
        <v>37959</v>
      </c>
      <c r="E4602" s="131">
        <v>23921007</v>
      </c>
      <c r="F4602" t="s">
        <v>87</v>
      </c>
      <c r="G4602">
        <v>76</v>
      </c>
      <c r="H4602" t="s">
        <v>8952</v>
      </c>
      <c r="I4602" s="131">
        <v>3</v>
      </c>
      <c r="J4602" t="s">
        <v>6226</v>
      </c>
      <c r="K4602" t="s">
        <v>95</v>
      </c>
      <c r="L4602" t="s">
        <v>1293</v>
      </c>
      <c r="M4602" t="s">
        <v>103</v>
      </c>
      <c r="N4602" t="s">
        <v>98</v>
      </c>
      <c r="O4602" t="s">
        <v>116</v>
      </c>
    </row>
    <row r="4603" spans="1:15" x14ac:dyDescent="0.3">
      <c r="A4603" s="130">
        <v>24794</v>
      </c>
      <c r="B4603" s="130">
        <v>30</v>
      </c>
      <c r="C4603" s="130" t="s">
        <v>6227</v>
      </c>
      <c r="D4603">
        <v>37965</v>
      </c>
      <c r="E4603" s="131">
        <v>29316596</v>
      </c>
      <c r="F4603" t="s">
        <v>87</v>
      </c>
      <c r="G4603">
        <v>76</v>
      </c>
      <c r="H4603" t="s">
        <v>8953</v>
      </c>
      <c r="I4603" s="130">
        <v>3</v>
      </c>
      <c r="J4603" t="s">
        <v>6227</v>
      </c>
      <c r="K4603" t="s">
        <v>95</v>
      </c>
      <c r="L4603" t="s">
        <v>153</v>
      </c>
      <c r="M4603" t="s">
        <v>103</v>
      </c>
      <c r="N4603" t="s">
        <v>98</v>
      </c>
      <c r="O4603" t="s">
        <v>1256</v>
      </c>
    </row>
    <row r="4604" spans="1:15" x14ac:dyDescent="0.3">
      <c r="A4604" s="130">
        <v>24796</v>
      </c>
      <c r="B4604" s="130">
        <v>30</v>
      </c>
      <c r="C4604" s="130" t="s">
        <v>6228</v>
      </c>
      <c r="D4604">
        <v>37966</v>
      </c>
      <c r="E4604" s="130">
        <v>9625762</v>
      </c>
      <c r="F4604" t="s">
        <v>87</v>
      </c>
      <c r="G4604">
        <v>32947</v>
      </c>
      <c r="H4604" t="s">
        <v>8951</v>
      </c>
      <c r="I4604" s="130">
        <v>43</v>
      </c>
      <c r="J4604" t="s">
        <v>6228</v>
      </c>
      <c r="K4604" t="s">
        <v>108</v>
      </c>
      <c r="L4604" t="s">
        <v>1241</v>
      </c>
      <c r="M4604" t="s">
        <v>103</v>
      </c>
      <c r="N4604" t="s">
        <v>150</v>
      </c>
      <c r="O4604" t="s">
        <v>1256</v>
      </c>
    </row>
    <row r="4605" spans="1:15" x14ac:dyDescent="0.3">
      <c r="A4605" s="130">
        <v>24803</v>
      </c>
      <c r="B4605" s="130">
        <v>30</v>
      </c>
      <c r="C4605" s="130" t="s">
        <v>6229</v>
      </c>
      <c r="D4605">
        <v>37975</v>
      </c>
      <c r="E4605" s="131">
        <v>45130694</v>
      </c>
      <c r="F4605" t="s">
        <v>87</v>
      </c>
      <c r="G4605">
        <v>76</v>
      </c>
      <c r="H4605" t="s">
        <v>8952</v>
      </c>
      <c r="I4605" s="131">
        <v>19</v>
      </c>
      <c r="J4605" t="s">
        <v>6229</v>
      </c>
      <c r="K4605" t="s">
        <v>95</v>
      </c>
      <c r="L4605" t="s">
        <v>146</v>
      </c>
      <c r="M4605" t="s">
        <v>103</v>
      </c>
      <c r="N4605" t="s">
        <v>98</v>
      </c>
      <c r="O4605" t="s">
        <v>116</v>
      </c>
    </row>
    <row r="4606" spans="1:15" x14ac:dyDescent="0.3">
      <c r="A4606" s="130">
        <v>24805</v>
      </c>
      <c r="B4606" s="130">
        <v>30</v>
      </c>
      <c r="C4606" s="130" t="s">
        <v>6230</v>
      </c>
      <c r="D4606">
        <v>37986</v>
      </c>
      <c r="E4606" s="130">
        <v>37151496</v>
      </c>
      <c r="F4606" t="s">
        <v>87</v>
      </c>
      <c r="G4606">
        <v>32947</v>
      </c>
      <c r="H4606" t="s">
        <v>8953</v>
      </c>
      <c r="I4606" s="130">
        <v>43</v>
      </c>
      <c r="J4606" t="s">
        <v>6230</v>
      </c>
      <c r="K4606" t="s">
        <v>108</v>
      </c>
      <c r="L4606" t="s">
        <v>111</v>
      </c>
      <c r="M4606" t="s">
        <v>103</v>
      </c>
      <c r="N4606" t="s">
        <v>98</v>
      </c>
      <c r="O4606" t="s">
        <v>116</v>
      </c>
    </row>
    <row r="4607" spans="1:15" x14ac:dyDescent="0.3">
      <c r="A4607" s="130">
        <v>24806</v>
      </c>
      <c r="B4607" s="130">
        <v>21</v>
      </c>
      <c r="C4607" s="130" t="s">
        <v>6231</v>
      </c>
      <c r="D4607">
        <v>37987</v>
      </c>
      <c r="E4607" s="130">
        <v>47658073</v>
      </c>
      <c r="F4607" t="s">
        <v>87</v>
      </c>
      <c r="G4607">
        <v>76</v>
      </c>
      <c r="H4607" t="s">
        <v>8951</v>
      </c>
      <c r="I4607" s="131">
        <v>37</v>
      </c>
      <c r="J4607" t="s">
        <v>6231</v>
      </c>
      <c r="K4607" t="s">
        <v>95</v>
      </c>
      <c r="L4607" t="s">
        <v>240</v>
      </c>
      <c r="M4607" t="s">
        <v>137</v>
      </c>
      <c r="N4607" t="s">
        <v>114</v>
      </c>
      <c r="O4607" t="s">
        <v>1256</v>
      </c>
    </row>
    <row r="4608" spans="1:15" x14ac:dyDescent="0.3">
      <c r="A4608" s="130">
        <v>24807</v>
      </c>
      <c r="B4608" s="130">
        <v>30</v>
      </c>
      <c r="C4608" s="130" t="s">
        <v>6232</v>
      </c>
      <c r="D4608">
        <v>37989</v>
      </c>
      <c r="E4608" s="130">
        <v>83693366</v>
      </c>
      <c r="F4608" t="s">
        <v>87</v>
      </c>
      <c r="G4608">
        <v>76</v>
      </c>
      <c r="H4608" t="s">
        <v>8952</v>
      </c>
      <c r="I4608" s="130">
        <v>9</v>
      </c>
      <c r="J4608" t="s">
        <v>6232</v>
      </c>
      <c r="K4608" t="s">
        <v>108</v>
      </c>
      <c r="L4608" t="s">
        <v>1298</v>
      </c>
      <c r="M4608" t="s">
        <v>103</v>
      </c>
      <c r="N4608" t="s">
        <v>98</v>
      </c>
      <c r="O4608" t="s">
        <v>1256</v>
      </c>
    </row>
    <row r="4609" spans="1:15" x14ac:dyDescent="0.3">
      <c r="A4609" s="130">
        <v>24808</v>
      </c>
      <c r="B4609" s="130">
        <v>30</v>
      </c>
      <c r="C4609" s="130" t="s">
        <v>6233</v>
      </c>
      <c r="D4609">
        <v>37990</v>
      </c>
      <c r="E4609" s="130">
        <v>66806555</v>
      </c>
      <c r="F4609" t="s">
        <v>87</v>
      </c>
      <c r="G4609">
        <v>76</v>
      </c>
      <c r="H4609" t="s">
        <v>8953</v>
      </c>
      <c r="I4609" s="130">
        <v>24</v>
      </c>
      <c r="J4609" t="s">
        <v>6233</v>
      </c>
      <c r="K4609" t="s">
        <v>108</v>
      </c>
      <c r="L4609" t="s">
        <v>191</v>
      </c>
      <c r="M4609" t="s">
        <v>103</v>
      </c>
      <c r="N4609" t="s">
        <v>98</v>
      </c>
      <c r="O4609" t="s">
        <v>116</v>
      </c>
    </row>
    <row r="4610" spans="1:15" x14ac:dyDescent="0.3">
      <c r="A4610" s="130">
        <v>24809</v>
      </c>
      <c r="B4610" s="130">
        <v>18</v>
      </c>
      <c r="C4610" s="130" t="s">
        <v>6234</v>
      </c>
      <c r="D4610">
        <v>37991</v>
      </c>
      <c r="E4610" s="131">
        <v>6194660</v>
      </c>
      <c r="F4610" t="s">
        <v>87</v>
      </c>
      <c r="G4610">
        <v>76</v>
      </c>
      <c r="H4610" t="s">
        <v>8951</v>
      </c>
      <c r="I4610" s="131">
        <v>9</v>
      </c>
      <c r="J4610" t="s">
        <v>6234</v>
      </c>
      <c r="K4610" t="s">
        <v>95</v>
      </c>
      <c r="L4610" t="s">
        <v>1298</v>
      </c>
      <c r="M4610" t="s">
        <v>112</v>
      </c>
      <c r="N4610" t="s">
        <v>114</v>
      </c>
      <c r="O4610" t="s">
        <v>1256</v>
      </c>
    </row>
    <row r="4611" spans="1:15" x14ac:dyDescent="0.3">
      <c r="A4611" s="130">
        <v>24810</v>
      </c>
      <c r="B4611" s="130">
        <v>18</v>
      </c>
      <c r="C4611" s="130" t="s">
        <v>6235</v>
      </c>
      <c r="D4611">
        <v>37873</v>
      </c>
      <c r="E4611" s="130">
        <v>33166750</v>
      </c>
      <c r="F4611" t="s">
        <v>113</v>
      </c>
      <c r="G4611">
        <v>76</v>
      </c>
      <c r="H4611" t="s">
        <v>8952</v>
      </c>
      <c r="I4611" s="131">
        <v>9</v>
      </c>
      <c r="J4611" t="s">
        <v>6235</v>
      </c>
      <c r="K4611" t="s">
        <v>108</v>
      </c>
      <c r="L4611" t="s">
        <v>1298</v>
      </c>
      <c r="M4611" t="s">
        <v>112</v>
      </c>
      <c r="N4611" t="s">
        <v>114</v>
      </c>
      <c r="O4611" t="s">
        <v>1256</v>
      </c>
    </row>
    <row r="4612" spans="1:15" x14ac:dyDescent="0.3">
      <c r="A4612" s="130">
        <v>24811</v>
      </c>
      <c r="B4612" s="130">
        <v>30</v>
      </c>
      <c r="C4612" s="130" t="s">
        <v>6236</v>
      </c>
      <c r="D4612">
        <v>37992</v>
      </c>
      <c r="E4612" s="130">
        <v>23921007</v>
      </c>
      <c r="F4612" t="s">
        <v>87</v>
      </c>
      <c r="G4612">
        <v>32947</v>
      </c>
      <c r="H4612" t="s">
        <v>8953</v>
      </c>
      <c r="I4612" s="130">
        <v>3</v>
      </c>
      <c r="J4612" t="s">
        <v>6236</v>
      </c>
      <c r="K4612" t="s">
        <v>108</v>
      </c>
      <c r="L4612" t="s">
        <v>193</v>
      </c>
      <c r="M4612" t="s">
        <v>103</v>
      </c>
      <c r="N4612" t="s">
        <v>98</v>
      </c>
      <c r="O4612" t="s">
        <v>1345</v>
      </c>
    </row>
    <row r="4613" spans="1:15" x14ac:dyDescent="0.3">
      <c r="A4613" s="130">
        <v>24815</v>
      </c>
      <c r="B4613" s="130">
        <v>18</v>
      </c>
      <c r="C4613" s="130" t="s">
        <v>6237</v>
      </c>
      <c r="D4613">
        <v>37996</v>
      </c>
      <c r="E4613" s="130">
        <v>12363277</v>
      </c>
      <c r="F4613" t="s">
        <v>87</v>
      </c>
      <c r="G4613">
        <v>76</v>
      </c>
      <c r="H4613" t="s">
        <v>8951</v>
      </c>
      <c r="I4613" s="130">
        <v>37</v>
      </c>
      <c r="J4613" t="s">
        <v>6237</v>
      </c>
      <c r="K4613" t="s">
        <v>108</v>
      </c>
      <c r="L4613" t="s">
        <v>138</v>
      </c>
      <c r="M4613" t="s">
        <v>112</v>
      </c>
      <c r="N4613" t="s">
        <v>114</v>
      </c>
      <c r="O4613" t="s">
        <v>116</v>
      </c>
    </row>
    <row r="4614" spans="1:15" x14ac:dyDescent="0.3">
      <c r="A4614" s="130">
        <v>24816</v>
      </c>
      <c r="B4614" s="130">
        <v>30</v>
      </c>
      <c r="C4614" s="130" t="s">
        <v>6238</v>
      </c>
      <c r="D4614">
        <v>38000</v>
      </c>
      <c r="E4614" s="131">
        <v>26262942</v>
      </c>
      <c r="F4614" t="s">
        <v>87</v>
      </c>
      <c r="G4614">
        <v>76</v>
      </c>
      <c r="H4614" t="s">
        <v>8952</v>
      </c>
      <c r="I4614" s="130">
        <v>18</v>
      </c>
      <c r="J4614" t="s">
        <v>6238</v>
      </c>
      <c r="K4614" t="s">
        <v>95</v>
      </c>
      <c r="L4614" t="s">
        <v>123</v>
      </c>
      <c r="M4614" t="s">
        <v>103</v>
      </c>
      <c r="N4614" t="s">
        <v>98</v>
      </c>
      <c r="O4614" t="s">
        <v>116</v>
      </c>
    </row>
    <row r="4615" spans="1:15" x14ac:dyDescent="0.3">
      <c r="A4615" s="130">
        <v>24818</v>
      </c>
      <c r="B4615" s="130">
        <v>30</v>
      </c>
      <c r="C4615" s="130" t="s">
        <v>6239</v>
      </c>
      <c r="D4615">
        <v>38004</v>
      </c>
      <c r="E4615" s="130">
        <v>23921007</v>
      </c>
      <c r="F4615" t="s">
        <v>87</v>
      </c>
      <c r="G4615">
        <v>32947</v>
      </c>
      <c r="H4615" t="s">
        <v>8953</v>
      </c>
      <c r="I4615" s="130">
        <v>3</v>
      </c>
      <c r="J4615" t="s">
        <v>6239</v>
      </c>
      <c r="K4615" t="s">
        <v>108</v>
      </c>
      <c r="L4615" t="s">
        <v>193</v>
      </c>
      <c r="M4615" t="s">
        <v>103</v>
      </c>
      <c r="N4615" t="s">
        <v>98</v>
      </c>
      <c r="O4615" t="s">
        <v>1345</v>
      </c>
    </row>
    <row r="4616" spans="1:15" x14ac:dyDescent="0.3">
      <c r="A4616" s="130">
        <v>24822</v>
      </c>
      <c r="B4616" s="130">
        <v>15</v>
      </c>
      <c r="C4616" s="130" t="s">
        <v>6240</v>
      </c>
      <c r="D4616">
        <v>38010</v>
      </c>
      <c r="E4616" s="131">
        <v>2390760</v>
      </c>
      <c r="F4616" t="s">
        <v>87</v>
      </c>
      <c r="G4616">
        <v>76</v>
      </c>
      <c r="H4616" t="s">
        <v>8951</v>
      </c>
      <c r="I4616" s="131">
        <v>24</v>
      </c>
      <c r="J4616" t="s">
        <v>6240</v>
      </c>
      <c r="K4616" t="s">
        <v>108</v>
      </c>
      <c r="L4616" t="s">
        <v>240</v>
      </c>
      <c r="M4616" t="s">
        <v>145</v>
      </c>
      <c r="N4616" t="s">
        <v>98</v>
      </c>
      <c r="O4616" t="s">
        <v>1256</v>
      </c>
    </row>
    <row r="4617" spans="1:15" x14ac:dyDescent="0.3">
      <c r="A4617" s="130">
        <v>24824</v>
      </c>
      <c r="B4617" s="130">
        <v>2</v>
      </c>
      <c r="C4617" s="130" t="s">
        <v>6241</v>
      </c>
      <c r="D4617">
        <v>38011</v>
      </c>
      <c r="E4617" s="131">
        <v>60701521</v>
      </c>
      <c r="F4617" t="s">
        <v>87</v>
      </c>
      <c r="G4617">
        <v>76</v>
      </c>
      <c r="H4617" t="s">
        <v>8952</v>
      </c>
      <c r="I4617" s="131">
        <v>37</v>
      </c>
      <c r="J4617" t="s">
        <v>6241</v>
      </c>
      <c r="K4617" t="s">
        <v>95</v>
      </c>
      <c r="L4617" t="s">
        <v>138</v>
      </c>
      <c r="M4617" t="s">
        <v>224</v>
      </c>
      <c r="N4617" t="s">
        <v>162</v>
      </c>
      <c r="O4617" t="s">
        <v>116</v>
      </c>
    </row>
    <row r="4618" spans="1:15" x14ac:dyDescent="0.3">
      <c r="A4618" s="130">
        <v>24829</v>
      </c>
      <c r="B4618" s="130">
        <v>30</v>
      </c>
      <c r="C4618" s="130" t="s">
        <v>6242</v>
      </c>
      <c r="D4618">
        <v>38018</v>
      </c>
      <c r="E4618" s="130">
        <v>10787589</v>
      </c>
      <c r="F4618" t="s">
        <v>87</v>
      </c>
      <c r="G4618">
        <v>76</v>
      </c>
      <c r="H4618" t="s">
        <v>8953</v>
      </c>
      <c r="I4618" s="130">
        <v>18</v>
      </c>
      <c r="J4618" t="s">
        <v>6242</v>
      </c>
      <c r="K4618" t="s">
        <v>95</v>
      </c>
      <c r="L4618" t="s">
        <v>123</v>
      </c>
      <c r="M4618" t="s">
        <v>103</v>
      </c>
      <c r="N4618" t="s">
        <v>98</v>
      </c>
      <c r="O4618" t="s">
        <v>116</v>
      </c>
    </row>
    <row r="4619" spans="1:15" x14ac:dyDescent="0.3">
      <c r="A4619" s="130">
        <v>24830</v>
      </c>
      <c r="B4619" s="130">
        <v>30</v>
      </c>
      <c r="C4619" s="130" t="s">
        <v>6243</v>
      </c>
      <c r="D4619">
        <v>37820</v>
      </c>
      <c r="E4619" s="131">
        <v>78023116</v>
      </c>
      <c r="F4619" t="s">
        <v>87</v>
      </c>
      <c r="G4619">
        <v>76</v>
      </c>
      <c r="H4619" t="s">
        <v>8951</v>
      </c>
      <c r="I4619" s="130">
        <v>37</v>
      </c>
      <c r="J4619" t="s">
        <v>6243</v>
      </c>
      <c r="K4619" t="s">
        <v>95</v>
      </c>
      <c r="L4619" t="s">
        <v>144</v>
      </c>
      <c r="M4619" t="s">
        <v>103</v>
      </c>
      <c r="N4619" t="s">
        <v>98</v>
      </c>
      <c r="O4619" t="s">
        <v>1256</v>
      </c>
    </row>
    <row r="4620" spans="1:15" x14ac:dyDescent="0.3">
      <c r="A4620" s="130">
        <v>24831</v>
      </c>
      <c r="B4620" s="130">
        <v>30</v>
      </c>
      <c r="C4620" s="130" t="s">
        <v>6244</v>
      </c>
      <c r="D4620">
        <v>38019</v>
      </c>
      <c r="E4620" s="130">
        <v>26262942</v>
      </c>
      <c r="F4620" t="s">
        <v>87</v>
      </c>
      <c r="G4620">
        <v>76</v>
      </c>
      <c r="H4620" t="s">
        <v>8952</v>
      </c>
      <c r="I4620" s="131">
        <v>18</v>
      </c>
      <c r="J4620" t="s">
        <v>6244</v>
      </c>
      <c r="K4620" t="s">
        <v>95</v>
      </c>
      <c r="L4620" t="s">
        <v>123</v>
      </c>
      <c r="M4620" t="s">
        <v>103</v>
      </c>
      <c r="N4620" t="s">
        <v>98</v>
      </c>
      <c r="O4620" t="s">
        <v>116</v>
      </c>
    </row>
    <row r="4621" spans="1:15" x14ac:dyDescent="0.3">
      <c r="A4621" s="130">
        <v>24837</v>
      </c>
      <c r="B4621" s="130">
        <v>-1</v>
      </c>
      <c r="C4621" s="130" t="s">
        <v>6245</v>
      </c>
      <c r="D4621">
        <v>38032</v>
      </c>
      <c r="E4621" s="130">
        <v>18252862</v>
      </c>
      <c r="F4621" t="s">
        <v>87</v>
      </c>
      <c r="G4621">
        <v>76</v>
      </c>
      <c r="H4621" t="s">
        <v>8953</v>
      </c>
      <c r="I4621" s="130">
        <v>19</v>
      </c>
      <c r="J4621" t="s">
        <v>6245</v>
      </c>
      <c r="K4621" t="s">
        <v>108</v>
      </c>
      <c r="L4621" t="s">
        <v>252</v>
      </c>
      <c r="M4621" t="s">
        <v>174</v>
      </c>
      <c r="N4621" t="s">
        <v>98</v>
      </c>
      <c r="O4621" t="s">
        <v>1256</v>
      </c>
    </row>
    <row r="4622" spans="1:15" x14ac:dyDescent="0.3">
      <c r="A4622" s="130">
        <v>24844</v>
      </c>
      <c r="B4622" s="130">
        <v>30</v>
      </c>
      <c r="C4622" s="130" t="s">
        <v>6246</v>
      </c>
      <c r="D4622">
        <v>38040</v>
      </c>
      <c r="E4622" s="130">
        <v>7773547</v>
      </c>
      <c r="F4622" t="s">
        <v>87</v>
      </c>
      <c r="G4622">
        <v>32947</v>
      </c>
      <c r="H4622" t="s">
        <v>8951</v>
      </c>
      <c r="I4622" s="131">
        <v>3</v>
      </c>
      <c r="J4622" t="s">
        <v>6246</v>
      </c>
      <c r="K4622" t="s">
        <v>108</v>
      </c>
      <c r="L4622" t="s">
        <v>1293</v>
      </c>
      <c r="M4622" t="s">
        <v>103</v>
      </c>
      <c r="N4622" t="s">
        <v>98</v>
      </c>
      <c r="O4622" t="s">
        <v>1345</v>
      </c>
    </row>
    <row r="4623" spans="1:15" x14ac:dyDescent="0.3">
      <c r="A4623" s="130">
        <v>24851</v>
      </c>
      <c r="B4623" s="130">
        <v>30</v>
      </c>
      <c r="C4623" s="130" t="s">
        <v>6247</v>
      </c>
      <c r="D4623">
        <v>38043</v>
      </c>
      <c r="E4623" s="131">
        <v>17069832</v>
      </c>
      <c r="F4623" t="s">
        <v>87</v>
      </c>
      <c r="G4623">
        <v>76</v>
      </c>
      <c r="H4623" t="s">
        <v>8952</v>
      </c>
      <c r="I4623" s="130">
        <v>24</v>
      </c>
      <c r="J4623" t="s">
        <v>6247</v>
      </c>
      <c r="K4623" t="s">
        <v>95</v>
      </c>
      <c r="L4623" t="s">
        <v>144</v>
      </c>
      <c r="M4623" t="s">
        <v>103</v>
      </c>
      <c r="N4623" t="s">
        <v>98</v>
      </c>
      <c r="O4623" t="s">
        <v>116</v>
      </c>
    </row>
    <row r="4624" spans="1:15" x14ac:dyDescent="0.3">
      <c r="A4624" s="130">
        <v>24852</v>
      </c>
      <c r="B4624" s="130">
        <v>30</v>
      </c>
      <c r="C4624" s="130" t="s">
        <v>6248</v>
      </c>
      <c r="D4624">
        <v>38045</v>
      </c>
      <c r="E4624" s="131">
        <v>17069832</v>
      </c>
      <c r="F4624" t="s">
        <v>87</v>
      </c>
      <c r="G4624">
        <v>76</v>
      </c>
      <c r="H4624" t="s">
        <v>8953</v>
      </c>
      <c r="I4624" s="131">
        <v>42</v>
      </c>
      <c r="J4624" t="s">
        <v>6248</v>
      </c>
      <c r="K4624" t="s">
        <v>95</v>
      </c>
      <c r="L4624" t="s">
        <v>144</v>
      </c>
      <c r="M4624" t="s">
        <v>103</v>
      </c>
      <c r="N4624" t="s">
        <v>98</v>
      </c>
      <c r="O4624" t="s">
        <v>116</v>
      </c>
    </row>
    <row r="4625" spans="1:15" x14ac:dyDescent="0.3">
      <c r="A4625" s="130">
        <v>24854</v>
      </c>
      <c r="B4625" s="130" t="s">
        <v>245</v>
      </c>
      <c r="C4625" s="130" t="s">
        <v>6249</v>
      </c>
      <c r="D4625">
        <v>38048</v>
      </c>
      <c r="E4625" s="130">
        <v>17217001</v>
      </c>
      <c r="F4625" t="s">
        <v>87</v>
      </c>
      <c r="G4625">
        <v>32947</v>
      </c>
      <c r="H4625" t="s">
        <v>8951</v>
      </c>
      <c r="I4625" s="131">
        <v>3</v>
      </c>
      <c r="J4625" t="s">
        <v>6249</v>
      </c>
      <c r="K4625" t="s">
        <v>95</v>
      </c>
      <c r="L4625" t="s">
        <v>102</v>
      </c>
      <c r="M4625" t="s">
        <v>245</v>
      </c>
      <c r="N4625" t="s">
        <v>152</v>
      </c>
      <c r="O4625" t="s">
        <v>116</v>
      </c>
    </row>
    <row r="4626" spans="1:15" x14ac:dyDescent="0.3">
      <c r="A4626" s="130">
        <v>24855</v>
      </c>
      <c r="B4626" s="130">
        <v>18</v>
      </c>
      <c r="C4626" s="130" t="s">
        <v>6250</v>
      </c>
      <c r="D4626">
        <v>38050</v>
      </c>
      <c r="E4626" s="130">
        <v>31835974</v>
      </c>
      <c r="F4626" t="s">
        <v>87</v>
      </c>
      <c r="G4626">
        <v>76</v>
      </c>
      <c r="H4626" t="s">
        <v>8952</v>
      </c>
      <c r="I4626" s="131">
        <v>26</v>
      </c>
      <c r="J4626" t="s">
        <v>6250</v>
      </c>
      <c r="K4626" t="s">
        <v>108</v>
      </c>
      <c r="L4626" t="s">
        <v>151</v>
      </c>
      <c r="M4626" t="s">
        <v>112</v>
      </c>
      <c r="N4626" t="s">
        <v>98</v>
      </c>
      <c r="O4626" t="s">
        <v>116</v>
      </c>
    </row>
    <row r="4627" spans="1:15" x14ac:dyDescent="0.3">
      <c r="A4627" s="130">
        <v>24860</v>
      </c>
      <c r="B4627" s="130">
        <v>10</v>
      </c>
      <c r="C4627" s="130" t="s">
        <v>6251</v>
      </c>
      <c r="D4627">
        <v>38063</v>
      </c>
      <c r="E4627" s="130">
        <v>9646672</v>
      </c>
      <c r="F4627" t="s">
        <v>87</v>
      </c>
      <c r="G4627">
        <v>76</v>
      </c>
      <c r="H4627" t="s">
        <v>8953</v>
      </c>
      <c r="I4627" s="130">
        <v>3</v>
      </c>
      <c r="J4627" t="s">
        <v>6251</v>
      </c>
      <c r="K4627" t="s">
        <v>108</v>
      </c>
      <c r="L4627" t="s">
        <v>925</v>
      </c>
      <c r="M4627" t="s">
        <v>133</v>
      </c>
      <c r="N4627" t="s">
        <v>98</v>
      </c>
      <c r="O4627" t="s">
        <v>1256</v>
      </c>
    </row>
    <row r="4628" spans="1:15" x14ac:dyDescent="0.3">
      <c r="A4628" s="130">
        <v>24862</v>
      </c>
      <c r="B4628" s="130">
        <v>10</v>
      </c>
      <c r="C4628" s="130" t="s">
        <v>6252</v>
      </c>
      <c r="D4628">
        <v>38067</v>
      </c>
      <c r="E4628" s="131">
        <v>25618133</v>
      </c>
      <c r="F4628" t="s">
        <v>87</v>
      </c>
      <c r="G4628">
        <v>76</v>
      </c>
      <c r="H4628" t="s">
        <v>8951</v>
      </c>
      <c r="I4628" s="130">
        <v>3</v>
      </c>
      <c r="J4628" t="s">
        <v>6252</v>
      </c>
      <c r="K4628" t="s">
        <v>95</v>
      </c>
      <c r="L4628" t="s">
        <v>925</v>
      </c>
      <c r="M4628" t="s">
        <v>133</v>
      </c>
      <c r="N4628" t="s">
        <v>98</v>
      </c>
      <c r="O4628" t="s">
        <v>1256</v>
      </c>
    </row>
    <row r="4629" spans="1:15" x14ac:dyDescent="0.3">
      <c r="A4629" s="130">
        <v>24866</v>
      </c>
      <c r="B4629" s="130">
        <v>30</v>
      </c>
      <c r="C4629" s="130" t="s">
        <v>6253</v>
      </c>
      <c r="D4629">
        <v>38072</v>
      </c>
      <c r="E4629" s="130">
        <v>8596854</v>
      </c>
      <c r="F4629" t="s">
        <v>87</v>
      </c>
      <c r="G4629">
        <v>76</v>
      </c>
      <c r="H4629" t="s">
        <v>8952</v>
      </c>
      <c r="I4629" s="131">
        <v>18</v>
      </c>
      <c r="J4629" t="s">
        <v>6253</v>
      </c>
      <c r="K4629" t="s">
        <v>95</v>
      </c>
      <c r="L4629" t="s">
        <v>123</v>
      </c>
      <c r="M4629" t="s">
        <v>103</v>
      </c>
      <c r="N4629" t="s">
        <v>101</v>
      </c>
      <c r="O4629" t="s">
        <v>1256</v>
      </c>
    </row>
    <row r="4630" spans="1:15" x14ac:dyDescent="0.3">
      <c r="A4630" s="130">
        <v>24869</v>
      </c>
      <c r="B4630" s="130">
        <v>30</v>
      </c>
      <c r="C4630" s="130" t="s">
        <v>6254</v>
      </c>
      <c r="D4630">
        <v>38073</v>
      </c>
      <c r="E4630" s="130">
        <v>9114805</v>
      </c>
      <c r="F4630" t="s">
        <v>87</v>
      </c>
      <c r="G4630">
        <v>76</v>
      </c>
      <c r="H4630" t="s">
        <v>8953</v>
      </c>
      <c r="I4630" s="131">
        <v>26</v>
      </c>
      <c r="J4630" t="s">
        <v>6254</v>
      </c>
      <c r="K4630" t="s">
        <v>108</v>
      </c>
      <c r="L4630" t="s">
        <v>151</v>
      </c>
      <c r="M4630" t="s">
        <v>103</v>
      </c>
      <c r="N4630" t="s">
        <v>169</v>
      </c>
      <c r="O4630" t="s">
        <v>116</v>
      </c>
    </row>
    <row r="4631" spans="1:15" x14ac:dyDescent="0.3">
      <c r="A4631" s="130">
        <v>24873</v>
      </c>
      <c r="B4631" s="130">
        <v>10</v>
      </c>
      <c r="C4631" s="130" t="s">
        <v>6255</v>
      </c>
      <c r="D4631">
        <v>38082</v>
      </c>
      <c r="E4631" s="130">
        <v>44587391</v>
      </c>
      <c r="F4631" t="s">
        <v>113</v>
      </c>
      <c r="G4631">
        <v>76</v>
      </c>
      <c r="H4631" t="s">
        <v>8951</v>
      </c>
      <c r="I4631" s="131">
        <v>55</v>
      </c>
      <c r="J4631" t="s">
        <v>6255</v>
      </c>
      <c r="K4631" t="s">
        <v>108</v>
      </c>
      <c r="L4631" t="s">
        <v>925</v>
      </c>
      <c r="M4631" t="s">
        <v>133</v>
      </c>
      <c r="N4631" t="s">
        <v>118</v>
      </c>
      <c r="O4631" t="s">
        <v>1256</v>
      </c>
    </row>
    <row r="4632" spans="1:15" x14ac:dyDescent="0.3">
      <c r="A4632" s="130">
        <v>24874</v>
      </c>
      <c r="B4632" s="130">
        <v>18</v>
      </c>
      <c r="C4632" s="130" t="s">
        <v>6256</v>
      </c>
      <c r="D4632">
        <v>38085</v>
      </c>
      <c r="E4632" s="130">
        <v>12363277</v>
      </c>
      <c r="F4632" t="s">
        <v>87</v>
      </c>
      <c r="G4632">
        <v>76</v>
      </c>
      <c r="H4632" t="s">
        <v>8952</v>
      </c>
      <c r="I4632" s="131">
        <v>37</v>
      </c>
      <c r="J4632" t="s">
        <v>6256</v>
      </c>
      <c r="K4632" t="s">
        <v>108</v>
      </c>
      <c r="L4632" t="s">
        <v>138</v>
      </c>
      <c r="M4632" t="s">
        <v>112</v>
      </c>
      <c r="N4632" t="s">
        <v>114</v>
      </c>
      <c r="O4632" t="s">
        <v>116</v>
      </c>
    </row>
    <row r="4633" spans="1:15" x14ac:dyDescent="0.3">
      <c r="A4633" s="130">
        <v>24876</v>
      </c>
      <c r="B4633" s="130">
        <v>18</v>
      </c>
      <c r="C4633" s="130" t="s">
        <v>6257</v>
      </c>
      <c r="D4633">
        <v>38090</v>
      </c>
      <c r="E4633" s="130">
        <v>5620585</v>
      </c>
      <c r="F4633" t="s">
        <v>87</v>
      </c>
      <c r="G4633">
        <v>76</v>
      </c>
      <c r="H4633" t="s">
        <v>8953</v>
      </c>
      <c r="I4633" s="130">
        <v>9</v>
      </c>
      <c r="J4633" t="s">
        <v>6257</v>
      </c>
      <c r="K4633" t="s">
        <v>95</v>
      </c>
      <c r="L4633" t="s">
        <v>1298</v>
      </c>
      <c r="M4633" t="s">
        <v>112</v>
      </c>
      <c r="N4633" t="s">
        <v>98</v>
      </c>
      <c r="O4633" t="s">
        <v>1256</v>
      </c>
    </row>
    <row r="4634" spans="1:15" x14ac:dyDescent="0.3">
      <c r="A4634" s="130">
        <v>24880</v>
      </c>
      <c r="B4634" s="130">
        <v>28</v>
      </c>
      <c r="C4634" s="130" t="s">
        <v>6258</v>
      </c>
      <c r="D4634">
        <v>38100</v>
      </c>
      <c r="E4634" s="131">
        <v>51447607</v>
      </c>
      <c r="F4634" t="s">
        <v>87</v>
      </c>
      <c r="G4634">
        <v>76</v>
      </c>
      <c r="H4634" t="s">
        <v>8951</v>
      </c>
      <c r="I4634" s="130">
        <v>37</v>
      </c>
      <c r="J4634" t="s">
        <v>6258</v>
      </c>
      <c r="K4634" t="s">
        <v>95</v>
      </c>
      <c r="L4634" t="s">
        <v>144</v>
      </c>
      <c r="M4634" t="s">
        <v>130</v>
      </c>
      <c r="N4634" t="s">
        <v>169</v>
      </c>
      <c r="O4634" t="s">
        <v>116</v>
      </c>
    </row>
    <row r="4635" spans="1:15" x14ac:dyDescent="0.3">
      <c r="A4635" s="130">
        <v>24881</v>
      </c>
      <c r="B4635" s="130">
        <v>30</v>
      </c>
      <c r="C4635" s="130" t="s">
        <v>6259</v>
      </c>
      <c r="D4635">
        <v>38101</v>
      </c>
      <c r="E4635" s="130">
        <v>11381605</v>
      </c>
      <c r="F4635" t="s">
        <v>87</v>
      </c>
      <c r="G4635">
        <v>76</v>
      </c>
      <c r="H4635" t="s">
        <v>8952</v>
      </c>
      <c r="I4635" s="130">
        <v>9</v>
      </c>
      <c r="J4635" t="s">
        <v>6259</v>
      </c>
      <c r="K4635" t="s">
        <v>108</v>
      </c>
      <c r="L4635" t="s">
        <v>1298</v>
      </c>
      <c r="M4635" t="s">
        <v>103</v>
      </c>
      <c r="N4635" t="s">
        <v>98</v>
      </c>
      <c r="O4635" t="s">
        <v>1256</v>
      </c>
    </row>
    <row r="4636" spans="1:15" x14ac:dyDescent="0.3">
      <c r="A4636" s="130">
        <v>24882</v>
      </c>
      <c r="B4636" s="130">
        <v>30</v>
      </c>
      <c r="C4636" s="130" t="s">
        <v>6260</v>
      </c>
      <c r="D4636">
        <v>38074</v>
      </c>
      <c r="E4636" s="130">
        <v>17159856</v>
      </c>
      <c r="F4636" t="s">
        <v>87</v>
      </c>
      <c r="G4636">
        <v>76</v>
      </c>
      <c r="H4636" t="s">
        <v>8953</v>
      </c>
      <c r="I4636" s="130">
        <v>3</v>
      </c>
      <c r="J4636" t="s">
        <v>6260</v>
      </c>
      <c r="K4636" t="s">
        <v>95</v>
      </c>
      <c r="L4636" t="s">
        <v>193</v>
      </c>
      <c r="M4636" t="s">
        <v>103</v>
      </c>
      <c r="N4636" t="s">
        <v>98</v>
      </c>
      <c r="O4636" t="s">
        <v>1345</v>
      </c>
    </row>
    <row r="4637" spans="1:15" x14ac:dyDescent="0.3">
      <c r="A4637" s="130">
        <v>24883</v>
      </c>
      <c r="B4637" s="130">
        <v>18</v>
      </c>
      <c r="C4637" s="130" t="s">
        <v>6261</v>
      </c>
      <c r="D4637">
        <v>38102</v>
      </c>
      <c r="E4637" s="130">
        <v>2618143</v>
      </c>
      <c r="F4637" t="s">
        <v>87</v>
      </c>
      <c r="G4637">
        <v>76</v>
      </c>
      <c r="H4637" t="s">
        <v>8951</v>
      </c>
      <c r="I4637" s="131">
        <v>9</v>
      </c>
      <c r="J4637" t="s">
        <v>6261</v>
      </c>
      <c r="K4637" t="s">
        <v>108</v>
      </c>
      <c r="L4637" t="s">
        <v>163</v>
      </c>
      <c r="M4637" t="s">
        <v>112</v>
      </c>
      <c r="N4637" t="s">
        <v>98</v>
      </c>
      <c r="O4637" t="s">
        <v>1345</v>
      </c>
    </row>
    <row r="4638" spans="1:15" x14ac:dyDescent="0.3">
      <c r="A4638" s="130">
        <v>24888</v>
      </c>
      <c r="B4638" s="130">
        <v>18</v>
      </c>
      <c r="C4638" s="130" t="s">
        <v>6262</v>
      </c>
      <c r="D4638">
        <v>38054</v>
      </c>
      <c r="E4638" s="131">
        <v>2206643</v>
      </c>
      <c r="F4638" t="s">
        <v>87</v>
      </c>
      <c r="G4638">
        <v>76</v>
      </c>
      <c r="H4638" t="s">
        <v>8952</v>
      </c>
      <c r="I4638" s="130">
        <v>9</v>
      </c>
      <c r="J4638" t="s">
        <v>6262</v>
      </c>
      <c r="K4638" t="s">
        <v>95</v>
      </c>
      <c r="L4638" t="s">
        <v>1298</v>
      </c>
      <c r="M4638" t="s">
        <v>112</v>
      </c>
      <c r="N4638" t="s">
        <v>101</v>
      </c>
      <c r="O4638" t="s">
        <v>1256</v>
      </c>
    </row>
    <row r="4639" spans="1:15" x14ac:dyDescent="0.3">
      <c r="A4639" s="130">
        <v>24889</v>
      </c>
      <c r="B4639" s="130">
        <v>15</v>
      </c>
      <c r="C4639" s="130" t="s">
        <v>6263</v>
      </c>
      <c r="D4639">
        <v>38115</v>
      </c>
      <c r="E4639" s="131">
        <v>28094797</v>
      </c>
      <c r="F4639" t="s">
        <v>113</v>
      </c>
      <c r="G4639">
        <v>76</v>
      </c>
      <c r="H4639" t="s">
        <v>8953</v>
      </c>
      <c r="I4639" s="130">
        <v>24</v>
      </c>
      <c r="J4639" t="s">
        <v>6263</v>
      </c>
      <c r="K4639" t="s">
        <v>108</v>
      </c>
      <c r="L4639" t="s">
        <v>240</v>
      </c>
      <c r="M4639" t="s">
        <v>145</v>
      </c>
      <c r="N4639" t="s">
        <v>98</v>
      </c>
      <c r="O4639" t="s">
        <v>1256</v>
      </c>
    </row>
    <row r="4640" spans="1:15" x14ac:dyDescent="0.3">
      <c r="A4640" s="130">
        <v>24893</v>
      </c>
      <c r="B4640" s="130">
        <v>30</v>
      </c>
      <c r="C4640" s="130" t="s">
        <v>6264</v>
      </c>
      <c r="D4640">
        <v>38122</v>
      </c>
      <c r="E4640" s="130">
        <v>3584565</v>
      </c>
      <c r="F4640" t="s">
        <v>87</v>
      </c>
      <c r="G4640">
        <v>32947</v>
      </c>
      <c r="H4640" t="s">
        <v>8951</v>
      </c>
      <c r="I4640" s="130">
        <v>10</v>
      </c>
      <c r="J4640" t="s">
        <v>6264</v>
      </c>
      <c r="K4640" t="s">
        <v>108</v>
      </c>
      <c r="L4640" t="s">
        <v>111</v>
      </c>
      <c r="M4640" t="s">
        <v>103</v>
      </c>
      <c r="N4640" t="s">
        <v>98</v>
      </c>
      <c r="O4640" t="s">
        <v>116</v>
      </c>
    </row>
    <row r="4641" spans="1:15" x14ac:dyDescent="0.3">
      <c r="A4641" s="130">
        <v>24894</v>
      </c>
      <c r="B4641" s="130">
        <v>30</v>
      </c>
      <c r="C4641" s="130" t="s">
        <v>6265</v>
      </c>
      <c r="D4641">
        <v>38123</v>
      </c>
      <c r="E4641" s="130">
        <v>2387241</v>
      </c>
      <c r="F4641" t="s">
        <v>87</v>
      </c>
      <c r="G4641">
        <v>77</v>
      </c>
      <c r="H4641" t="s">
        <v>8952</v>
      </c>
      <c r="I4641" s="131">
        <v>41</v>
      </c>
      <c r="J4641" t="s">
        <v>6265</v>
      </c>
      <c r="K4641" t="s">
        <v>95</v>
      </c>
      <c r="L4641" t="s">
        <v>235</v>
      </c>
      <c r="M4641" t="s">
        <v>180</v>
      </c>
      <c r="N4641" t="s">
        <v>122</v>
      </c>
      <c r="O4641" t="s">
        <v>116</v>
      </c>
    </row>
    <row r="4642" spans="1:15" x14ac:dyDescent="0.3">
      <c r="A4642" s="130">
        <v>24895</v>
      </c>
      <c r="B4642" s="130">
        <v>18</v>
      </c>
      <c r="C4642" s="130" t="s">
        <v>6266</v>
      </c>
      <c r="D4642">
        <v>38125</v>
      </c>
      <c r="E4642" s="130">
        <v>3992944</v>
      </c>
      <c r="F4642" t="s">
        <v>113</v>
      </c>
      <c r="G4642">
        <v>76</v>
      </c>
      <c r="H4642" t="s">
        <v>8953</v>
      </c>
      <c r="I4642" s="130">
        <v>9</v>
      </c>
      <c r="J4642" t="s">
        <v>6266</v>
      </c>
      <c r="K4642" t="s">
        <v>108</v>
      </c>
      <c r="L4642" t="s">
        <v>1298</v>
      </c>
      <c r="M4642" t="s">
        <v>112</v>
      </c>
      <c r="N4642" t="s">
        <v>98</v>
      </c>
      <c r="O4642" t="s">
        <v>1256</v>
      </c>
    </row>
    <row r="4643" spans="1:15" x14ac:dyDescent="0.3">
      <c r="A4643" s="130">
        <v>24896</v>
      </c>
      <c r="B4643" s="130">
        <v>30</v>
      </c>
      <c r="C4643" s="130" t="s">
        <v>6267</v>
      </c>
      <c r="D4643">
        <v>38129</v>
      </c>
      <c r="E4643" s="131">
        <v>50851661</v>
      </c>
      <c r="F4643" t="s">
        <v>113</v>
      </c>
      <c r="G4643">
        <v>76</v>
      </c>
      <c r="H4643" t="s">
        <v>8951</v>
      </c>
      <c r="I4643" s="131">
        <v>24</v>
      </c>
      <c r="J4643" t="s">
        <v>6267</v>
      </c>
      <c r="K4643" t="s">
        <v>108</v>
      </c>
      <c r="L4643" t="s">
        <v>191</v>
      </c>
      <c r="M4643" t="s">
        <v>103</v>
      </c>
      <c r="N4643" t="s">
        <v>114</v>
      </c>
      <c r="O4643" t="s">
        <v>1256</v>
      </c>
    </row>
    <row r="4644" spans="1:15" x14ac:dyDescent="0.3">
      <c r="A4644" s="130">
        <v>24900</v>
      </c>
      <c r="B4644" s="130">
        <v>21</v>
      </c>
      <c r="C4644" s="130" t="s">
        <v>6268</v>
      </c>
      <c r="D4644">
        <v>37643</v>
      </c>
      <c r="E4644" s="130">
        <v>41520753</v>
      </c>
      <c r="F4644" t="s">
        <v>113</v>
      </c>
      <c r="G4644">
        <v>76</v>
      </c>
      <c r="H4644" t="s">
        <v>8952</v>
      </c>
      <c r="I4644" s="130">
        <v>24</v>
      </c>
      <c r="J4644" t="s">
        <v>6268</v>
      </c>
      <c r="K4644" t="s">
        <v>108</v>
      </c>
      <c r="L4644" t="s">
        <v>191</v>
      </c>
      <c r="M4644" t="s">
        <v>137</v>
      </c>
      <c r="N4644" t="s">
        <v>107</v>
      </c>
      <c r="O4644" t="s">
        <v>1256</v>
      </c>
    </row>
    <row r="4645" spans="1:15" x14ac:dyDescent="0.3">
      <c r="A4645" s="130">
        <v>24903</v>
      </c>
      <c r="B4645" s="130">
        <v>15</v>
      </c>
      <c r="C4645" s="130" t="s">
        <v>6269</v>
      </c>
      <c r="D4645">
        <v>38052</v>
      </c>
      <c r="E4645" s="130">
        <v>21127140</v>
      </c>
      <c r="F4645" t="s">
        <v>113</v>
      </c>
      <c r="G4645">
        <v>76</v>
      </c>
      <c r="H4645" t="s">
        <v>8953</v>
      </c>
      <c r="I4645" s="130">
        <v>24</v>
      </c>
      <c r="J4645" t="s">
        <v>6269</v>
      </c>
      <c r="K4645" t="s">
        <v>108</v>
      </c>
      <c r="L4645" t="s">
        <v>240</v>
      </c>
      <c r="M4645" t="s">
        <v>145</v>
      </c>
      <c r="N4645" t="s">
        <v>98</v>
      </c>
      <c r="O4645" t="s">
        <v>1256</v>
      </c>
    </row>
    <row r="4646" spans="1:15" x14ac:dyDescent="0.3">
      <c r="A4646" s="130">
        <v>24904</v>
      </c>
      <c r="B4646" s="130">
        <v>30</v>
      </c>
      <c r="C4646" s="130" t="s">
        <v>6270</v>
      </c>
      <c r="D4646">
        <v>38138</v>
      </c>
      <c r="E4646" s="130">
        <v>24013278</v>
      </c>
      <c r="F4646" t="s">
        <v>87</v>
      </c>
      <c r="G4646">
        <v>32947</v>
      </c>
      <c r="H4646" t="s">
        <v>8951</v>
      </c>
      <c r="I4646" s="130">
        <v>3</v>
      </c>
      <c r="J4646" t="s">
        <v>6270</v>
      </c>
      <c r="K4646" t="s">
        <v>95</v>
      </c>
      <c r="L4646" t="s">
        <v>102</v>
      </c>
      <c r="M4646" t="s">
        <v>103</v>
      </c>
      <c r="N4646" t="s">
        <v>98</v>
      </c>
      <c r="O4646" t="s">
        <v>1256</v>
      </c>
    </row>
    <row r="4647" spans="1:15" x14ac:dyDescent="0.3">
      <c r="A4647" s="130">
        <v>24906</v>
      </c>
      <c r="B4647" s="130">
        <v>30</v>
      </c>
      <c r="C4647" s="130" t="s">
        <v>6271</v>
      </c>
      <c r="D4647">
        <v>38142</v>
      </c>
      <c r="E4647" s="130">
        <v>7963861</v>
      </c>
      <c r="F4647" t="s">
        <v>87</v>
      </c>
      <c r="G4647">
        <v>33359</v>
      </c>
      <c r="H4647" t="s">
        <v>8952</v>
      </c>
      <c r="I4647" s="131">
        <v>19</v>
      </c>
      <c r="J4647" t="s">
        <v>6271</v>
      </c>
      <c r="K4647" t="s">
        <v>95</v>
      </c>
      <c r="L4647" t="s">
        <v>926</v>
      </c>
      <c r="M4647" t="s">
        <v>103</v>
      </c>
      <c r="N4647" t="s">
        <v>131</v>
      </c>
      <c r="O4647" t="s">
        <v>244</v>
      </c>
    </row>
    <row r="4648" spans="1:15" x14ac:dyDescent="0.3">
      <c r="A4648" s="130">
        <v>24918</v>
      </c>
      <c r="B4648" s="130">
        <v>18</v>
      </c>
      <c r="C4648" s="130" t="s">
        <v>6272</v>
      </c>
      <c r="D4648">
        <v>38161</v>
      </c>
      <c r="E4648" s="130">
        <v>32690778</v>
      </c>
      <c r="F4648" t="s">
        <v>87</v>
      </c>
      <c r="G4648">
        <v>32947</v>
      </c>
      <c r="H4648" t="s">
        <v>8953</v>
      </c>
      <c r="I4648" s="130">
        <v>43</v>
      </c>
      <c r="J4648" t="s">
        <v>6272</v>
      </c>
      <c r="K4648" t="s">
        <v>108</v>
      </c>
      <c r="L4648" t="s">
        <v>1241</v>
      </c>
      <c r="M4648" t="s">
        <v>112</v>
      </c>
      <c r="N4648" t="s">
        <v>98</v>
      </c>
      <c r="O4648" t="s">
        <v>1256</v>
      </c>
    </row>
    <row r="4649" spans="1:15" x14ac:dyDescent="0.3">
      <c r="A4649" s="130">
        <v>24919</v>
      </c>
      <c r="B4649" s="130">
        <v>30</v>
      </c>
      <c r="C4649" s="130" t="s">
        <v>6273</v>
      </c>
      <c r="D4649">
        <v>38165</v>
      </c>
      <c r="E4649" s="130">
        <v>47658073</v>
      </c>
      <c r="F4649" t="s">
        <v>87</v>
      </c>
      <c r="G4649">
        <v>76</v>
      </c>
      <c r="H4649" t="s">
        <v>8951</v>
      </c>
      <c r="I4649" s="130">
        <v>37</v>
      </c>
      <c r="J4649" t="s">
        <v>6273</v>
      </c>
      <c r="K4649" t="s">
        <v>95</v>
      </c>
      <c r="L4649" t="s">
        <v>240</v>
      </c>
      <c r="M4649" t="s">
        <v>103</v>
      </c>
      <c r="N4649" t="s">
        <v>114</v>
      </c>
      <c r="O4649" t="s">
        <v>1256</v>
      </c>
    </row>
    <row r="4650" spans="1:15" x14ac:dyDescent="0.3">
      <c r="A4650" s="130">
        <v>24920</v>
      </c>
      <c r="B4650" s="130">
        <v>30</v>
      </c>
      <c r="C4650" s="130" t="s">
        <v>6274</v>
      </c>
      <c r="D4650">
        <v>38173</v>
      </c>
      <c r="E4650" s="130">
        <v>67706853</v>
      </c>
      <c r="F4650" t="s">
        <v>87</v>
      </c>
      <c r="G4650">
        <v>76</v>
      </c>
      <c r="H4650" t="s">
        <v>8952</v>
      </c>
      <c r="I4650" s="130">
        <v>19</v>
      </c>
      <c r="J4650" t="s">
        <v>6274</v>
      </c>
      <c r="K4650" t="s">
        <v>95</v>
      </c>
      <c r="L4650" t="s">
        <v>111</v>
      </c>
      <c r="M4650" t="s">
        <v>103</v>
      </c>
      <c r="N4650" t="s">
        <v>98</v>
      </c>
      <c r="O4650" t="s">
        <v>116</v>
      </c>
    </row>
    <row r="4651" spans="1:15" x14ac:dyDescent="0.3">
      <c r="A4651" s="130">
        <v>24924</v>
      </c>
      <c r="B4651" s="130">
        <v>-1</v>
      </c>
      <c r="C4651" s="130" t="s">
        <v>6275</v>
      </c>
      <c r="D4651">
        <v>38183</v>
      </c>
      <c r="E4651" s="130">
        <v>3102401</v>
      </c>
      <c r="F4651" t="s">
        <v>87</v>
      </c>
      <c r="G4651">
        <v>76</v>
      </c>
      <c r="H4651" t="s">
        <v>8953</v>
      </c>
      <c r="I4651" s="130">
        <v>19</v>
      </c>
      <c r="J4651" t="s">
        <v>6275</v>
      </c>
      <c r="K4651" t="s">
        <v>108</v>
      </c>
      <c r="L4651" t="s">
        <v>252</v>
      </c>
      <c r="M4651" t="s">
        <v>174</v>
      </c>
      <c r="N4651" t="s">
        <v>98</v>
      </c>
      <c r="O4651" t="s">
        <v>1256</v>
      </c>
    </row>
    <row r="4652" spans="1:15" x14ac:dyDescent="0.3">
      <c r="A4652" s="130">
        <v>24926</v>
      </c>
      <c r="B4652" s="130">
        <v>30</v>
      </c>
      <c r="C4652" s="130" t="s">
        <v>6276</v>
      </c>
      <c r="D4652">
        <v>38190</v>
      </c>
      <c r="E4652" s="130">
        <v>40036616</v>
      </c>
      <c r="F4652" t="s">
        <v>87</v>
      </c>
      <c r="G4652">
        <v>77</v>
      </c>
      <c r="H4652" t="s">
        <v>8951</v>
      </c>
      <c r="I4652" s="130">
        <v>3</v>
      </c>
      <c r="J4652" t="s">
        <v>6276</v>
      </c>
      <c r="K4652" t="s">
        <v>95</v>
      </c>
      <c r="L4652" t="s">
        <v>256</v>
      </c>
      <c r="M4652" t="s">
        <v>103</v>
      </c>
      <c r="N4652" t="s">
        <v>98</v>
      </c>
      <c r="O4652" t="s">
        <v>116</v>
      </c>
    </row>
    <row r="4653" spans="1:15" x14ac:dyDescent="0.3">
      <c r="A4653" s="130">
        <v>24927</v>
      </c>
      <c r="B4653" s="130">
        <v>18</v>
      </c>
      <c r="C4653" s="130" t="s">
        <v>6277</v>
      </c>
      <c r="D4653">
        <v>38189</v>
      </c>
      <c r="E4653" s="130">
        <v>9325126</v>
      </c>
      <c r="F4653" t="s">
        <v>87</v>
      </c>
      <c r="G4653">
        <v>76</v>
      </c>
      <c r="H4653" t="s">
        <v>8952</v>
      </c>
      <c r="I4653" s="130">
        <v>9</v>
      </c>
      <c r="J4653" t="s">
        <v>6277</v>
      </c>
      <c r="K4653" t="s">
        <v>108</v>
      </c>
      <c r="L4653" t="s">
        <v>163</v>
      </c>
      <c r="M4653" t="s">
        <v>112</v>
      </c>
      <c r="N4653" t="s">
        <v>98</v>
      </c>
      <c r="O4653" t="s">
        <v>1256</v>
      </c>
    </row>
    <row r="4654" spans="1:15" x14ac:dyDescent="0.3">
      <c r="A4654" s="130">
        <v>24928</v>
      </c>
      <c r="B4654" s="130">
        <v>60</v>
      </c>
      <c r="C4654" s="130" t="s">
        <v>6278</v>
      </c>
      <c r="D4654">
        <v>32009</v>
      </c>
      <c r="E4654" s="130">
        <v>33592510</v>
      </c>
      <c r="F4654" t="s">
        <v>87</v>
      </c>
      <c r="G4654">
        <v>77</v>
      </c>
      <c r="H4654" t="s">
        <v>8953</v>
      </c>
      <c r="I4654" s="130">
        <v>41</v>
      </c>
      <c r="J4654" t="s">
        <v>6278</v>
      </c>
      <c r="K4654" t="s">
        <v>95</v>
      </c>
      <c r="L4654" t="s">
        <v>235</v>
      </c>
      <c r="M4654" t="s">
        <v>97</v>
      </c>
      <c r="N4654" t="s">
        <v>118</v>
      </c>
      <c r="O4654" t="s">
        <v>1256</v>
      </c>
    </row>
    <row r="4655" spans="1:15" x14ac:dyDescent="0.3">
      <c r="A4655" s="130">
        <v>24929</v>
      </c>
      <c r="B4655" s="130">
        <v>30</v>
      </c>
      <c r="C4655" s="130" t="s">
        <v>6279</v>
      </c>
      <c r="D4655">
        <v>38191</v>
      </c>
      <c r="E4655" s="130">
        <v>49748023</v>
      </c>
      <c r="F4655" t="s">
        <v>87</v>
      </c>
      <c r="G4655">
        <v>76</v>
      </c>
      <c r="H4655" t="s">
        <v>8951</v>
      </c>
      <c r="I4655" s="131">
        <v>24</v>
      </c>
      <c r="J4655" t="s">
        <v>6279</v>
      </c>
      <c r="K4655" t="s">
        <v>108</v>
      </c>
      <c r="L4655" t="s">
        <v>191</v>
      </c>
      <c r="M4655" t="s">
        <v>103</v>
      </c>
      <c r="N4655" t="s">
        <v>98</v>
      </c>
      <c r="O4655" t="s">
        <v>1256</v>
      </c>
    </row>
    <row r="4656" spans="1:15" x14ac:dyDescent="0.3">
      <c r="A4656" s="130">
        <v>24940</v>
      </c>
      <c r="B4656" s="130">
        <v>30</v>
      </c>
      <c r="C4656" s="130" t="s">
        <v>6280</v>
      </c>
      <c r="D4656">
        <v>38206</v>
      </c>
      <c r="E4656" s="130">
        <v>3998869</v>
      </c>
      <c r="F4656" t="s">
        <v>87</v>
      </c>
      <c r="G4656">
        <v>76</v>
      </c>
      <c r="H4656" t="s">
        <v>8952</v>
      </c>
      <c r="I4656" s="131">
        <v>24</v>
      </c>
      <c r="J4656" t="s">
        <v>6280</v>
      </c>
      <c r="K4656" t="s">
        <v>108</v>
      </c>
      <c r="L4656" t="s">
        <v>191</v>
      </c>
      <c r="M4656" t="s">
        <v>103</v>
      </c>
      <c r="N4656" t="s">
        <v>98</v>
      </c>
      <c r="O4656" t="s">
        <v>1256</v>
      </c>
    </row>
    <row r="4657" spans="1:15" x14ac:dyDescent="0.3">
      <c r="A4657" s="130">
        <v>24941</v>
      </c>
      <c r="B4657" s="130">
        <v>10</v>
      </c>
      <c r="C4657" s="130" t="s">
        <v>6281</v>
      </c>
      <c r="D4657">
        <v>38210</v>
      </c>
      <c r="E4657" s="130">
        <v>41504048</v>
      </c>
      <c r="F4657" t="s">
        <v>113</v>
      </c>
      <c r="G4657">
        <v>76</v>
      </c>
      <c r="H4657" t="s">
        <v>8953</v>
      </c>
      <c r="I4657" s="131">
        <v>3</v>
      </c>
      <c r="J4657" t="s">
        <v>6281</v>
      </c>
      <c r="K4657" t="s">
        <v>108</v>
      </c>
      <c r="L4657" t="s">
        <v>925</v>
      </c>
      <c r="M4657" t="s">
        <v>133</v>
      </c>
      <c r="N4657" t="s">
        <v>98</v>
      </c>
      <c r="O4657" t="s">
        <v>1256</v>
      </c>
    </row>
    <row r="4658" spans="1:15" x14ac:dyDescent="0.3">
      <c r="A4658" s="130">
        <v>24942</v>
      </c>
      <c r="B4658" s="130">
        <v>10</v>
      </c>
      <c r="C4658" s="130" t="s">
        <v>6282</v>
      </c>
      <c r="D4658">
        <v>38212</v>
      </c>
      <c r="E4658" s="130">
        <v>32690778</v>
      </c>
      <c r="F4658" t="s">
        <v>87</v>
      </c>
      <c r="G4658">
        <v>32947</v>
      </c>
      <c r="H4658" t="s">
        <v>8951</v>
      </c>
      <c r="I4658" s="131">
        <v>43</v>
      </c>
      <c r="J4658" t="s">
        <v>6282</v>
      </c>
      <c r="K4658" t="s">
        <v>108</v>
      </c>
      <c r="L4658" t="s">
        <v>1241</v>
      </c>
      <c r="M4658" t="s">
        <v>133</v>
      </c>
      <c r="N4658" t="s">
        <v>98</v>
      </c>
      <c r="O4658" t="s">
        <v>244</v>
      </c>
    </row>
    <row r="4659" spans="1:15" x14ac:dyDescent="0.3">
      <c r="A4659" s="130">
        <v>24944</v>
      </c>
      <c r="C4659" s="130" t="s">
        <v>6283</v>
      </c>
      <c r="D4659">
        <v>38069</v>
      </c>
      <c r="E4659" s="130">
        <v>45824819</v>
      </c>
      <c r="F4659" t="s">
        <v>87</v>
      </c>
      <c r="G4659">
        <v>32947</v>
      </c>
      <c r="H4659" t="s">
        <v>8952</v>
      </c>
      <c r="I4659" s="131">
        <v>43</v>
      </c>
      <c r="J4659" t="s">
        <v>6283</v>
      </c>
      <c r="K4659" t="s">
        <v>95</v>
      </c>
      <c r="L4659" t="s">
        <v>252</v>
      </c>
      <c r="N4659" t="s">
        <v>98</v>
      </c>
      <c r="O4659" t="s">
        <v>1256</v>
      </c>
    </row>
    <row r="4660" spans="1:15" x14ac:dyDescent="0.3">
      <c r="A4660" s="130">
        <v>24946</v>
      </c>
      <c r="B4660" s="130">
        <v>28</v>
      </c>
      <c r="C4660" s="130" t="s">
        <v>6284</v>
      </c>
      <c r="D4660">
        <v>38084</v>
      </c>
      <c r="E4660" s="130">
        <v>26907589</v>
      </c>
      <c r="F4660" t="s">
        <v>113</v>
      </c>
      <c r="G4660">
        <v>76</v>
      </c>
      <c r="H4660" t="s">
        <v>8953</v>
      </c>
      <c r="I4660" s="130">
        <v>18</v>
      </c>
      <c r="J4660" t="s">
        <v>6284</v>
      </c>
      <c r="K4660" t="s">
        <v>108</v>
      </c>
      <c r="L4660" t="s">
        <v>253</v>
      </c>
      <c r="M4660" t="s">
        <v>130</v>
      </c>
      <c r="N4660" t="s">
        <v>101</v>
      </c>
      <c r="O4660" t="s">
        <v>1256</v>
      </c>
    </row>
    <row r="4661" spans="1:15" x14ac:dyDescent="0.3">
      <c r="A4661" s="130">
        <v>24949</v>
      </c>
      <c r="B4661" s="130">
        <v>30</v>
      </c>
      <c r="C4661" s="130" t="s">
        <v>6285</v>
      </c>
      <c r="D4661">
        <v>38222</v>
      </c>
      <c r="E4661" s="130">
        <v>10736565</v>
      </c>
      <c r="F4661" t="s">
        <v>87</v>
      </c>
      <c r="G4661">
        <v>76</v>
      </c>
      <c r="H4661" t="s">
        <v>8951</v>
      </c>
      <c r="I4661" s="131">
        <v>9</v>
      </c>
      <c r="J4661" t="s">
        <v>6285</v>
      </c>
      <c r="K4661" t="s">
        <v>95</v>
      </c>
      <c r="L4661" t="s">
        <v>163</v>
      </c>
      <c r="M4661" t="s">
        <v>103</v>
      </c>
      <c r="N4661" t="s">
        <v>114</v>
      </c>
      <c r="O4661" t="s">
        <v>116</v>
      </c>
    </row>
    <row r="4662" spans="1:15" x14ac:dyDescent="0.3">
      <c r="A4662" s="130">
        <v>24950</v>
      </c>
      <c r="B4662" s="130">
        <v>30</v>
      </c>
      <c r="C4662" s="130" t="s">
        <v>6286</v>
      </c>
      <c r="D4662">
        <v>38181</v>
      </c>
      <c r="E4662" s="131">
        <v>42842334</v>
      </c>
      <c r="F4662" t="s">
        <v>113</v>
      </c>
      <c r="G4662">
        <v>32947</v>
      </c>
      <c r="H4662" t="s">
        <v>8952</v>
      </c>
      <c r="I4662" s="130">
        <v>43</v>
      </c>
      <c r="J4662" t="s">
        <v>6286</v>
      </c>
      <c r="K4662" t="s">
        <v>95</v>
      </c>
      <c r="L4662" t="s">
        <v>252</v>
      </c>
      <c r="M4662" t="s">
        <v>103</v>
      </c>
      <c r="N4662" t="s">
        <v>124</v>
      </c>
      <c r="O4662" t="s">
        <v>1256</v>
      </c>
    </row>
    <row r="4663" spans="1:15" x14ac:dyDescent="0.3">
      <c r="A4663" s="130">
        <v>24951</v>
      </c>
      <c r="B4663" s="130">
        <v>90</v>
      </c>
      <c r="C4663" s="130" t="s">
        <v>6287</v>
      </c>
      <c r="D4663">
        <v>38223</v>
      </c>
      <c r="E4663" s="130">
        <v>655209</v>
      </c>
      <c r="F4663" t="s">
        <v>87</v>
      </c>
      <c r="G4663">
        <v>76</v>
      </c>
      <c r="H4663" t="s">
        <v>8953</v>
      </c>
      <c r="I4663" s="130">
        <v>9</v>
      </c>
      <c r="J4663" t="s">
        <v>6287</v>
      </c>
      <c r="K4663" t="s">
        <v>95</v>
      </c>
      <c r="L4663" t="s">
        <v>181</v>
      </c>
      <c r="M4663" t="s">
        <v>170</v>
      </c>
      <c r="N4663" t="s">
        <v>114</v>
      </c>
      <c r="O4663" t="s">
        <v>116</v>
      </c>
    </row>
    <row r="4664" spans="1:15" x14ac:dyDescent="0.3">
      <c r="A4664" s="130">
        <v>24952</v>
      </c>
      <c r="B4664" s="130">
        <v>30</v>
      </c>
      <c r="C4664" s="130" t="s">
        <v>6288</v>
      </c>
      <c r="D4664">
        <v>38215</v>
      </c>
      <c r="E4664" s="130">
        <v>33000167</v>
      </c>
      <c r="F4664" t="s">
        <v>87</v>
      </c>
      <c r="G4664">
        <v>33359</v>
      </c>
      <c r="H4664" t="s">
        <v>8951</v>
      </c>
      <c r="I4664" s="130">
        <v>18</v>
      </c>
      <c r="J4664" t="s">
        <v>6288</v>
      </c>
      <c r="K4664" t="s">
        <v>95</v>
      </c>
      <c r="L4664" t="s">
        <v>926</v>
      </c>
      <c r="M4664" t="s">
        <v>103</v>
      </c>
      <c r="N4664" t="s">
        <v>131</v>
      </c>
      <c r="O4664" t="s">
        <v>244</v>
      </c>
    </row>
    <row r="4665" spans="1:15" x14ac:dyDescent="0.3">
      <c r="A4665" s="130">
        <v>24953</v>
      </c>
      <c r="B4665" s="130">
        <v>30</v>
      </c>
      <c r="C4665" s="130" t="s">
        <v>6289</v>
      </c>
      <c r="D4665">
        <v>38224</v>
      </c>
      <c r="E4665" s="131">
        <v>51903449</v>
      </c>
      <c r="F4665" t="s">
        <v>87</v>
      </c>
      <c r="G4665">
        <v>32947</v>
      </c>
      <c r="H4665" t="s">
        <v>8952</v>
      </c>
      <c r="I4665" s="130">
        <v>3</v>
      </c>
      <c r="J4665" t="s">
        <v>6289</v>
      </c>
      <c r="K4665" t="s">
        <v>108</v>
      </c>
      <c r="L4665" t="s">
        <v>193</v>
      </c>
      <c r="M4665" t="s">
        <v>103</v>
      </c>
      <c r="N4665" t="s">
        <v>132</v>
      </c>
      <c r="O4665" t="s">
        <v>116</v>
      </c>
    </row>
    <row r="4666" spans="1:15" x14ac:dyDescent="0.3">
      <c r="A4666" s="130">
        <v>24954</v>
      </c>
      <c r="B4666" s="130">
        <v>30</v>
      </c>
      <c r="C4666" s="130" t="s">
        <v>6290</v>
      </c>
      <c r="D4666">
        <v>38068</v>
      </c>
      <c r="E4666" s="130">
        <v>20054581</v>
      </c>
      <c r="F4666" t="s">
        <v>113</v>
      </c>
      <c r="G4666">
        <v>33359</v>
      </c>
      <c r="H4666" t="s">
        <v>8953</v>
      </c>
      <c r="I4666" s="131">
        <v>14</v>
      </c>
      <c r="J4666" t="s">
        <v>6290</v>
      </c>
      <c r="K4666" t="s">
        <v>95</v>
      </c>
      <c r="L4666" t="s">
        <v>926</v>
      </c>
      <c r="M4666" t="s">
        <v>180</v>
      </c>
      <c r="N4666" t="s">
        <v>131</v>
      </c>
      <c r="O4666" t="s">
        <v>1256</v>
      </c>
    </row>
    <row r="4667" spans="1:15" x14ac:dyDescent="0.3">
      <c r="A4667" s="130">
        <v>24956</v>
      </c>
      <c r="B4667" s="130">
        <v>30</v>
      </c>
      <c r="C4667" s="130" t="s">
        <v>6291</v>
      </c>
      <c r="D4667">
        <v>38232</v>
      </c>
      <c r="E4667" s="130">
        <v>5515245</v>
      </c>
      <c r="F4667" t="s">
        <v>87</v>
      </c>
      <c r="G4667">
        <v>76</v>
      </c>
      <c r="H4667" t="s">
        <v>8951</v>
      </c>
      <c r="I4667" s="131">
        <v>9</v>
      </c>
      <c r="J4667" t="s">
        <v>6291</v>
      </c>
      <c r="K4667" t="s">
        <v>95</v>
      </c>
      <c r="L4667" t="s">
        <v>163</v>
      </c>
      <c r="M4667" t="s">
        <v>103</v>
      </c>
      <c r="N4667" t="s">
        <v>98</v>
      </c>
      <c r="O4667" t="s">
        <v>116</v>
      </c>
    </row>
    <row r="4668" spans="1:15" x14ac:dyDescent="0.3">
      <c r="A4668" s="130">
        <v>24959</v>
      </c>
      <c r="B4668" s="130">
        <v>10</v>
      </c>
      <c r="C4668" s="130" t="s">
        <v>6292</v>
      </c>
      <c r="D4668">
        <v>38239</v>
      </c>
      <c r="E4668" s="130">
        <v>22891745</v>
      </c>
      <c r="F4668" t="s">
        <v>87</v>
      </c>
      <c r="G4668">
        <v>32947</v>
      </c>
      <c r="H4668" t="s">
        <v>8952</v>
      </c>
      <c r="I4668" s="130">
        <v>43</v>
      </c>
      <c r="J4668" t="s">
        <v>6292</v>
      </c>
      <c r="K4668" t="s">
        <v>108</v>
      </c>
      <c r="L4668" t="s">
        <v>1241</v>
      </c>
      <c r="M4668" t="s">
        <v>133</v>
      </c>
      <c r="N4668" t="s">
        <v>98</v>
      </c>
      <c r="O4668" t="s">
        <v>1256</v>
      </c>
    </row>
    <row r="4669" spans="1:15" x14ac:dyDescent="0.3">
      <c r="A4669" s="130">
        <v>24960</v>
      </c>
      <c r="B4669" s="130">
        <v>10</v>
      </c>
      <c r="C4669" s="130" t="s">
        <v>6293</v>
      </c>
      <c r="D4669">
        <v>38241</v>
      </c>
      <c r="E4669" s="130">
        <v>40008239</v>
      </c>
      <c r="F4669" t="s">
        <v>87</v>
      </c>
      <c r="G4669">
        <v>32947</v>
      </c>
      <c r="H4669" t="s">
        <v>8953</v>
      </c>
      <c r="I4669" s="131">
        <v>3</v>
      </c>
      <c r="J4669" t="s">
        <v>6293</v>
      </c>
      <c r="K4669" t="s">
        <v>108</v>
      </c>
      <c r="L4669" t="s">
        <v>109</v>
      </c>
      <c r="M4669" t="s">
        <v>133</v>
      </c>
      <c r="N4669" t="s">
        <v>98</v>
      </c>
      <c r="O4669" t="s">
        <v>116</v>
      </c>
    </row>
    <row r="4670" spans="1:15" x14ac:dyDescent="0.3">
      <c r="A4670" s="130">
        <v>24961</v>
      </c>
      <c r="B4670" s="130">
        <v>10</v>
      </c>
      <c r="C4670" s="130" t="s">
        <v>6294</v>
      </c>
      <c r="D4670">
        <v>38242</v>
      </c>
      <c r="E4670" s="130">
        <v>22891745</v>
      </c>
      <c r="F4670" t="s">
        <v>87</v>
      </c>
      <c r="G4670">
        <v>32947</v>
      </c>
      <c r="H4670" t="s">
        <v>8951</v>
      </c>
      <c r="I4670" s="130">
        <v>43</v>
      </c>
      <c r="J4670" t="s">
        <v>6294</v>
      </c>
      <c r="K4670" t="s">
        <v>108</v>
      </c>
      <c r="L4670" t="s">
        <v>1241</v>
      </c>
      <c r="M4670" t="s">
        <v>133</v>
      </c>
      <c r="N4670" t="s">
        <v>98</v>
      </c>
      <c r="O4670" t="s">
        <v>244</v>
      </c>
    </row>
    <row r="4671" spans="1:15" x14ac:dyDescent="0.3">
      <c r="A4671" s="130">
        <v>24962</v>
      </c>
      <c r="B4671" s="130">
        <v>30</v>
      </c>
      <c r="C4671" s="130" t="s">
        <v>6295</v>
      </c>
      <c r="D4671">
        <v>38244</v>
      </c>
      <c r="E4671" s="130">
        <v>24447770</v>
      </c>
      <c r="F4671" t="s">
        <v>87</v>
      </c>
      <c r="G4671">
        <v>76</v>
      </c>
      <c r="H4671" t="s">
        <v>8952</v>
      </c>
      <c r="I4671" s="130">
        <v>19</v>
      </c>
      <c r="J4671" t="s">
        <v>6295</v>
      </c>
      <c r="K4671" t="s">
        <v>108</v>
      </c>
      <c r="L4671" t="s">
        <v>146</v>
      </c>
      <c r="M4671" t="s">
        <v>103</v>
      </c>
      <c r="N4671" t="s">
        <v>98</v>
      </c>
      <c r="O4671" t="s">
        <v>1256</v>
      </c>
    </row>
    <row r="4672" spans="1:15" x14ac:dyDescent="0.3">
      <c r="A4672" s="130">
        <v>24965</v>
      </c>
      <c r="B4672" s="130">
        <v>21</v>
      </c>
      <c r="C4672" s="130" t="s">
        <v>6296</v>
      </c>
      <c r="D4672">
        <v>38252</v>
      </c>
      <c r="E4672" s="131">
        <v>18294051</v>
      </c>
      <c r="F4672" t="s">
        <v>87</v>
      </c>
      <c r="G4672">
        <v>76</v>
      </c>
      <c r="H4672" t="s">
        <v>8953</v>
      </c>
      <c r="I4672" s="131">
        <v>24</v>
      </c>
      <c r="J4672" t="s">
        <v>6296</v>
      </c>
      <c r="K4672" t="s">
        <v>95</v>
      </c>
      <c r="L4672" t="s">
        <v>240</v>
      </c>
      <c r="M4672" t="s">
        <v>137</v>
      </c>
      <c r="N4672" t="s">
        <v>124</v>
      </c>
      <c r="O4672" t="s">
        <v>1256</v>
      </c>
    </row>
    <row r="4673" spans="1:15" x14ac:dyDescent="0.3">
      <c r="A4673" s="130">
        <v>24966</v>
      </c>
      <c r="B4673" s="130">
        <v>30</v>
      </c>
      <c r="C4673" s="130" t="s">
        <v>6297</v>
      </c>
      <c r="D4673">
        <v>38253</v>
      </c>
      <c r="E4673" s="130">
        <v>27847022</v>
      </c>
      <c r="F4673" t="s">
        <v>87</v>
      </c>
      <c r="G4673">
        <v>76</v>
      </c>
      <c r="H4673" t="s">
        <v>8951</v>
      </c>
      <c r="I4673" s="130">
        <v>38</v>
      </c>
      <c r="J4673" t="s">
        <v>6297</v>
      </c>
      <c r="K4673" t="s">
        <v>95</v>
      </c>
      <c r="L4673" t="s">
        <v>126</v>
      </c>
      <c r="M4673" t="s">
        <v>103</v>
      </c>
      <c r="N4673" t="s">
        <v>124</v>
      </c>
      <c r="O4673" t="s">
        <v>1345</v>
      </c>
    </row>
    <row r="4674" spans="1:15" x14ac:dyDescent="0.3">
      <c r="A4674" s="130">
        <v>24968</v>
      </c>
      <c r="B4674" s="130">
        <v>10</v>
      </c>
      <c r="C4674" s="130" t="s">
        <v>6298</v>
      </c>
      <c r="D4674">
        <v>38144</v>
      </c>
      <c r="E4674" s="131">
        <v>7899139</v>
      </c>
      <c r="F4674" t="s">
        <v>87</v>
      </c>
      <c r="G4674">
        <v>76</v>
      </c>
      <c r="H4674" t="s">
        <v>8952</v>
      </c>
      <c r="I4674" s="131">
        <v>3</v>
      </c>
      <c r="J4674" t="s">
        <v>6298</v>
      </c>
      <c r="K4674" t="s">
        <v>108</v>
      </c>
      <c r="L4674" t="s">
        <v>925</v>
      </c>
      <c r="M4674" t="s">
        <v>133</v>
      </c>
      <c r="N4674" t="s">
        <v>98</v>
      </c>
      <c r="O4674" t="s">
        <v>1256</v>
      </c>
    </row>
    <row r="4675" spans="1:15" x14ac:dyDescent="0.3">
      <c r="A4675" s="130">
        <v>24970</v>
      </c>
      <c r="B4675" s="130">
        <v>21</v>
      </c>
      <c r="C4675" s="130" t="s">
        <v>6299</v>
      </c>
      <c r="D4675">
        <v>38256</v>
      </c>
      <c r="E4675" s="130">
        <v>2525725</v>
      </c>
      <c r="F4675" t="s">
        <v>87</v>
      </c>
      <c r="G4675">
        <v>76</v>
      </c>
      <c r="H4675" t="s">
        <v>8953</v>
      </c>
      <c r="I4675" s="131">
        <v>18</v>
      </c>
      <c r="J4675" t="s">
        <v>6299</v>
      </c>
      <c r="K4675" t="s">
        <v>108</v>
      </c>
      <c r="L4675" t="s">
        <v>253</v>
      </c>
      <c r="M4675" t="s">
        <v>137</v>
      </c>
      <c r="O4675" t="s">
        <v>116</v>
      </c>
    </row>
    <row r="4676" spans="1:15" x14ac:dyDescent="0.3">
      <c r="A4676" s="130">
        <v>24972</v>
      </c>
      <c r="B4676" s="130">
        <v>30</v>
      </c>
      <c r="C4676" s="130" t="s">
        <v>6300</v>
      </c>
      <c r="D4676">
        <v>38233</v>
      </c>
      <c r="E4676" s="130">
        <v>8769549</v>
      </c>
      <c r="F4676" t="s">
        <v>113</v>
      </c>
      <c r="G4676">
        <v>32947</v>
      </c>
      <c r="H4676" t="s">
        <v>8951</v>
      </c>
      <c r="I4676" s="130">
        <v>19</v>
      </c>
      <c r="J4676" t="s">
        <v>6300</v>
      </c>
      <c r="K4676" t="s">
        <v>95</v>
      </c>
      <c r="L4676" t="s">
        <v>252</v>
      </c>
      <c r="M4676" t="s">
        <v>103</v>
      </c>
      <c r="N4676" t="s">
        <v>101</v>
      </c>
      <c r="O4676" t="s">
        <v>1256</v>
      </c>
    </row>
    <row r="4677" spans="1:15" x14ac:dyDescent="0.3">
      <c r="A4677" s="130">
        <v>24973</v>
      </c>
      <c r="B4677" s="130">
        <v>15</v>
      </c>
      <c r="C4677" s="130" t="s">
        <v>6301</v>
      </c>
      <c r="D4677">
        <v>38208</v>
      </c>
      <c r="E4677" s="131">
        <v>24564558</v>
      </c>
      <c r="F4677" t="s">
        <v>87</v>
      </c>
      <c r="G4677">
        <v>76</v>
      </c>
      <c r="H4677" t="s">
        <v>8952</v>
      </c>
      <c r="I4677" s="131">
        <v>24</v>
      </c>
      <c r="J4677" t="s">
        <v>6301</v>
      </c>
      <c r="K4677" t="s">
        <v>108</v>
      </c>
      <c r="L4677" t="s">
        <v>240</v>
      </c>
      <c r="M4677" t="s">
        <v>145</v>
      </c>
      <c r="N4677" t="s">
        <v>150</v>
      </c>
      <c r="O4677" t="s">
        <v>1256</v>
      </c>
    </row>
    <row r="4678" spans="1:15" x14ac:dyDescent="0.3">
      <c r="A4678" s="130">
        <v>24979</v>
      </c>
      <c r="B4678" s="130">
        <v>30</v>
      </c>
      <c r="C4678" s="130" t="s">
        <v>6302</v>
      </c>
      <c r="D4678">
        <v>38268</v>
      </c>
      <c r="E4678" s="131">
        <v>35603996</v>
      </c>
      <c r="F4678" t="s">
        <v>113</v>
      </c>
      <c r="G4678">
        <v>32947</v>
      </c>
      <c r="H4678" t="s">
        <v>8953</v>
      </c>
      <c r="I4678" s="131">
        <v>24</v>
      </c>
      <c r="J4678" t="s">
        <v>6302</v>
      </c>
      <c r="K4678" t="s">
        <v>95</v>
      </c>
      <c r="L4678" t="s">
        <v>1253</v>
      </c>
      <c r="M4678" t="s">
        <v>103</v>
      </c>
      <c r="N4678" t="s">
        <v>98</v>
      </c>
      <c r="O4678" t="s">
        <v>1256</v>
      </c>
    </row>
    <row r="4679" spans="1:15" x14ac:dyDescent="0.3">
      <c r="A4679" s="130">
        <v>24981</v>
      </c>
      <c r="B4679" s="130">
        <v>18</v>
      </c>
      <c r="C4679" s="130" t="s">
        <v>6303</v>
      </c>
      <c r="D4679">
        <v>38271</v>
      </c>
      <c r="E4679" s="130">
        <v>40945811</v>
      </c>
      <c r="F4679" t="s">
        <v>87</v>
      </c>
      <c r="G4679">
        <v>76</v>
      </c>
      <c r="H4679" t="s">
        <v>8951</v>
      </c>
      <c r="I4679" s="130">
        <v>10</v>
      </c>
      <c r="J4679" t="s">
        <v>6303</v>
      </c>
      <c r="K4679" t="s">
        <v>108</v>
      </c>
      <c r="L4679" t="s">
        <v>127</v>
      </c>
      <c r="M4679" t="s">
        <v>112</v>
      </c>
      <c r="N4679" t="s">
        <v>118</v>
      </c>
      <c r="O4679" t="s">
        <v>1345</v>
      </c>
    </row>
    <row r="4680" spans="1:15" x14ac:dyDescent="0.3">
      <c r="A4680" s="130">
        <v>24982</v>
      </c>
      <c r="B4680" s="130">
        <v>21</v>
      </c>
      <c r="C4680" s="130" t="s">
        <v>6304</v>
      </c>
      <c r="D4680">
        <v>38274</v>
      </c>
      <c r="E4680" s="130">
        <v>64761455</v>
      </c>
      <c r="F4680" t="s">
        <v>113</v>
      </c>
      <c r="G4680">
        <v>76</v>
      </c>
      <c r="H4680" t="s">
        <v>8952</v>
      </c>
      <c r="I4680" s="131">
        <v>24</v>
      </c>
      <c r="J4680" t="s">
        <v>6304</v>
      </c>
      <c r="K4680" t="s">
        <v>108</v>
      </c>
      <c r="L4680" t="s">
        <v>191</v>
      </c>
      <c r="M4680" t="s">
        <v>137</v>
      </c>
      <c r="N4680" t="s">
        <v>98</v>
      </c>
      <c r="O4680" t="s">
        <v>1256</v>
      </c>
    </row>
    <row r="4681" spans="1:15" x14ac:dyDescent="0.3">
      <c r="A4681" s="130">
        <v>24984</v>
      </c>
      <c r="B4681" s="130">
        <v>15</v>
      </c>
      <c r="C4681" s="130" t="s">
        <v>6305</v>
      </c>
      <c r="D4681">
        <v>37902</v>
      </c>
      <c r="E4681" s="130">
        <v>78141694</v>
      </c>
      <c r="F4681" t="s">
        <v>113</v>
      </c>
      <c r="G4681">
        <v>76</v>
      </c>
      <c r="H4681" t="s">
        <v>8953</v>
      </c>
      <c r="I4681" s="131">
        <v>24</v>
      </c>
      <c r="J4681" t="s">
        <v>6305</v>
      </c>
      <c r="K4681" t="s">
        <v>108</v>
      </c>
      <c r="L4681" t="s">
        <v>240</v>
      </c>
      <c r="M4681" t="s">
        <v>145</v>
      </c>
      <c r="N4681" t="s">
        <v>122</v>
      </c>
      <c r="O4681" t="s">
        <v>1256</v>
      </c>
    </row>
    <row r="4682" spans="1:15" x14ac:dyDescent="0.3">
      <c r="A4682" s="130">
        <v>24985</v>
      </c>
      <c r="B4682" s="130">
        <v>28</v>
      </c>
      <c r="C4682" s="130" t="s">
        <v>6306</v>
      </c>
      <c r="D4682">
        <v>38247</v>
      </c>
      <c r="E4682" s="130">
        <v>11136187</v>
      </c>
      <c r="F4682" t="s">
        <v>113</v>
      </c>
      <c r="G4682">
        <v>76</v>
      </c>
      <c r="H4682" t="s">
        <v>8951</v>
      </c>
      <c r="I4682" s="131">
        <v>18</v>
      </c>
      <c r="J4682" t="s">
        <v>6306</v>
      </c>
      <c r="K4682" t="s">
        <v>95</v>
      </c>
      <c r="L4682" t="s">
        <v>253</v>
      </c>
      <c r="M4682" t="s">
        <v>130</v>
      </c>
      <c r="N4682" t="s">
        <v>98</v>
      </c>
      <c r="O4682" t="s">
        <v>1256</v>
      </c>
    </row>
    <row r="4683" spans="1:15" x14ac:dyDescent="0.3">
      <c r="A4683" s="130">
        <v>24995</v>
      </c>
      <c r="B4683" s="130">
        <v>30</v>
      </c>
      <c r="C4683" s="130" t="s">
        <v>6307</v>
      </c>
      <c r="D4683">
        <v>38291</v>
      </c>
      <c r="E4683" s="130">
        <v>24447770</v>
      </c>
      <c r="F4683" t="s">
        <v>87</v>
      </c>
      <c r="G4683">
        <v>76</v>
      </c>
      <c r="H4683" t="s">
        <v>8952</v>
      </c>
      <c r="I4683" s="131">
        <v>19</v>
      </c>
      <c r="J4683" t="s">
        <v>6307</v>
      </c>
      <c r="K4683" t="s">
        <v>108</v>
      </c>
      <c r="L4683" t="s">
        <v>146</v>
      </c>
      <c r="M4683" t="s">
        <v>103</v>
      </c>
      <c r="N4683" t="s">
        <v>98</v>
      </c>
      <c r="O4683" t="s">
        <v>1256</v>
      </c>
    </row>
    <row r="4684" spans="1:15" x14ac:dyDescent="0.3">
      <c r="A4684" s="130">
        <v>25015</v>
      </c>
      <c r="B4684" s="130">
        <v>10</v>
      </c>
      <c r="C4684" s="130" t="s">
        <v>6308</v>
      </c>
      <c r="D4684">
        <v>38319</v>
      </c>
      <c r="E4684" s="130">
        <v>22939754</v>
      </c>
      <c r="F4684" t="s">
        <v>87</v>
      </c>
      <c r="G4684">
        <v>32947</v>
      </c>
      <c r="H4684" t="s">
        <v>8953</v>
      </c>
      <c r="I4684" s="131">
        <v>43</v>
      </c>
      <c r="J4684" t="s">
        <v>6308</v>
      </c>
      <c r="K4684" t="s">
        <v>108</v>
      </c>
      <c r="L4684" t="s">
        <v>1241</v>
      </c>
      <c r="M4684" t="s">
        <v>133</v>
      </c>
      <c r="N4684" t="s">
        <v>98</v>
      </c>
      <c r="O4684" t="s">
        <v>244</v>
      </c>
    </row>
    <row r="4685" spans="1:15" x14ac:dyDescent="0.3">
      <c r="A4685" s="130">
        <v>25016</v>
      </c>
      <c r="B4685" s="130">
        <v>-1</v>
      </c>
      <c r="C4685" s="130" t="s">
        <v>6309</v>
      </c>
      <c r="D4685">
        <v>38320</v>
      </c>
      <c r="E4685" s="130">
        <v>1310250</v>
      </c>
      <c r="F4685" t="s">
        <v>87</v>
      </c>
      <c r="G4685">
        <v>32947</v>
      </c>
      <c r="H4685" t="s">
        <v>8951</v>
      </c>
      <c r="I4685" s="131">
        <v>43</v>
      </c>
      <c r="J4685" t="s">
        <v>6309</v>
      </c>
      <c r="K4685" t="s">
        <v>108</v>
      </c>
      <c r="L4685" t="s">
        <v>1241</v>
      </c>
      <c r="M4685" t="s">
        <v>174</v>
      </c>
      <c r="N4685" t="s">
        <v>98</v>
      </c>
      <c r="O4685" t="s">
        <v>244</v>
      </c>
    </row>
    <row r="4686" spans="1:15" x14ac:dyDescent="0.3">
      <c r="A4686" s="130">
        <v>25017</v>
      </c>
      <c r="B4686" s="130">
        <v>0</v>
      </c>
      <c r="C4686" s="130" t="s">
        <v>6310</v>
      </c>
      <c r="D4686">
        <v>38321</v>
      </c>
      <c r="E4686" s="130">
        <v>1294551</v>
      </c>
      <c r="F4686" t="s">
        <v>87</v>
      </c>
      <c r="G4686">
        <v>32947</v>
      </c>
      <c r="H4686" t="s">
        <v>8952</v>
      </c>
      <c r="I4686" s="130">
        <v>43</v>
      </c>
      <c r="J4686" t="s">
        <v>6310</v>
      </c>
      <c r="K4686" t="s">
        <v>108</v>
      </c>
      <c r="L4686" t="s">
        <v>1241</v>
      </c>
      <c r="M4686" t="s">
        <v>100</v>
      </c>
      <c r="N4686" t="s">
        <v>98</v>
      </c>
      <c r="O4686" t="s">
        <v>1256</v>
      </c>
    </row>
    <row r="4687" spans="1:15" x14ac:dyDescent="0.3">
      <c r="A4687" s="130">
        <v>25019</v>
      </c>
      <c r="B4687" s="130">
        <v>30</v>
      </c>
      <c r="C4687" s="130" t="s">
        <v>6311</v>
      </c>
      <c r="D4687">
        <v>38324</v>
      </c>
      <c r="E4687" s="130">
        <v>83693366</v>
      </c>
      <c r="F4687" t="s">
        <v>87</v>
      </c>
      <c r="G4687">
        <v>32947</v>
      </c>
      <c r="H4687" t="s">
        <v>8953</v>
      </c>
      <c r="I4687" s="130">
        <v>43</v>
      </c>
      <c r="J4687" t="s">
        <v>6311</v>
      </c>
      <c r="K4687" t="s">
        <v>108</v>
      </c>
      <c r="L4687" t="s">
        <v>1241</v>
      </c>
      <c r="M4687" t="s">
        <v>103</v>
      </c>
      <c r="N4687" t="s">
        <v>98</v>
      </c>
      <c r="O4687" t="s">
        <v>1256</v>
      </c>
    </row>
    <row r="4688" spans="1:15" x14ac:dyDescent="0.3">
      <c r="A4688" s="130">
        <v>25022</v>
      </c>
      <c r="B4688" s="130">
        <v>15</v>
      </c>
      <c r="C4688" s="130" t="s">
        <v>6312</v>
      </c>
      <c r="D4688">
        <v>38087</v>
      </c>
      <c r="E4688" s="130">
        <v>30423732</v>
      </c>
      <c r="F4688" t="s">
        <v>113</v>
      </c>
      <c r="G4688">
        <v>76</v>
      </c>
      <c r="H4688" t="s">
        <v>8951</v>
      </c>
      <c r="I4688" s="130">
        <v>24</v>
      </c>
      <c r="J4688" t="s">
        <v>6312</v>
      </c>
      <c r="K4688" t="s">
        <v>108</v>
      </c>
      <c r="L4688" t="s">
        <v>240</v>
      </c>
      <c r="M4688" t="s">
        <v>145</v>
      </c>
      <c r="N4688" t="s">
        <v>101</v>
      </c>
      <c r="O4688" t="s">
        <v>1256</v>
      </c>
    </row>
    <row r="4689" spans="1:15" x14ac:dyDescent="0.3">
      <c r="A4689" s="130">
        <v>25023</v>
      </c>
      <c r="B4689" s="130">
        <v>15</v>
      </c>
      <c r="C4689" s="130" t="s">
        <v>6313</v>
      </c>
      <c r="D4689">
        <v>38177</v>
      </c>
      <c r="E4689" s="130">
        <v>44144293</v>
      </c>
      <c r="F4689" t="s">
        <v>113</v>
      </c>
      <c r="G4689">
        <v>76</v>
      </c>
      <c r="H4689" t="s">
        <v>8952</v>
      </c>
      <c r="I4689" s="130">
        <v>24</v>
      </c>
      <c r="J4689" t="s">
        <v>6313</v>
      </c>
      <c r="K4689" t="s">
        <v>108</v>
      </c>
      <c r="L4689" t="s">
        <v>240</v>
      </c>
      <c r="M4689" t="s">
        <v>145</v>
      </c>
      <c r="N4689" t="s">
        <v>114</v>
      </c>
      <c r="O4689" t="s">
        <v>1256</v>
      </c>
    </row>
    <row r="4690" spans="1:15" x14ac:dyDescent="0.3">
      <c r="A4690" s="130">
        <v>25024</v>
      </c>
      <c r="B4690" s="130">
        <v>15</v>
      </c>
      <c r="C4690" s="130" t="s">
        <v>6314</v>
      </c>
      <c r="D4690">
        <v>38219</v>
      </c>
      <c r="E4690" s="130">
        <v>2871673</v>
      </c>
      <c r="F4690" t="s">
        <v>87</v>
      </c>
      <c r="G4690">
        <v>76</v>
      </c>
      <c r="H4690" t="s">
        <v>8953</v>
      </c>
      <c r="I4690" s="130">
        <v>24</v>
      </c>
      <c r="J4690" t="s">
        <v>6314</v>
      </c>
      <c r="K4690" t="s">
        <v>108</v>
      </c>
      <c r="L4690" t="s">
        <v>240</v>
      </c>
      <c r="M4690" t="s">
        <v>145</v>
      </c>
      <c r="N4690" t="s">
        <v>98</v>
      </c>
      <c r="O4690" t="s">
        <v>1256</v>
      </c>
    </row>
    <row r="4691" spans="1:15" x14ac:dyDescent="0.3">
      <c r="A4691" s="130">
        <v>25027</v>
      </c>
      <c r="B4691" s="130">
        <v>10</v>
      </c>
      <c r="C4691" s="130" t="s">
        <v>6315</v>
      </c>
      <c r="D4691">
        <v>38329</v>
      </c>
      <c r="E4691" s="131">
        <v>17887887</v>
      </c>
      <c r="F4691" t="s">
        <v>87</v>
      </c>
      <c r="G4691">
        <v>76</v>
      </c>
      <c r="H4691" t="s">
        <v>8951</v>
      </c>
      <c r="I4691" s="131">
        <v>3</v>
      </c>
      <c r="J4691" t="s">
        <v>6315</v>
      </c>
      <c r="K4691" t="s">
        <v>108</v>
      </c>
      <c r="L4691" t="s">
        <v>925</v>
      </c>
      <c r="M4691" t="s">
        <v>133</v>
      </c>
      <c r="N4691" t="s">
        <v>98</v>
      </c>
      <c r="O4691" t="s">
        <v>1256</v>
      </c>
    </row>
    <row r="4692" spans="1:15" x14ac:dyDescent="0.3">
      <c r="A4692" s="130">
        <v>25028</v>
      </c>
      <c r="B4692" s="130">
        <v>0</v>
      </c>
      <c r="C4692" s="130" t="s">
        <v>6316</v>
      </c>
      <c r="D4692">
        <v>38333</v>
      </c>
      <c r="E4692" s="130">
        <v>18294051</v>
      </c>
      <c r="F4692" t="s">
        <v>87</v>
      </c>
      <c r="G4692">
        <v>32947</v>
      </c>
      <c r="H4692" t="s">
        <v>8952</v>
      </c>
      <c r="I4692" s="130">
        <v>24</v>
      </c>
      <c r="J4692" t="s">
        <v>6316</v>
      </c>
      <c r="K4692" t="s">
        <v>95</v>
      </c>
      <c r="L4692" t="s">
        <v>1253</v>
      </c>
      <c r="M4692" t="s">
        <v>100</v>
      </c>
      <c r="N4692" t="s">
        <v>98</v>
      </c>
      <c r="O4692" t="s">
        <v>1256</v>
      </c>
    </row>
    <row r="4693" spans="1:15" x14ac:dyDescent="0.3">
      <c r="A4693" s="130">
        <v>25036</v>
      </c>
      <c r="B4693" s="130">
        <v>30</v>
      </c>
      <c r="C4693" s="130" t="s">
        <v>6317</v>
      </c>
      <c r="D4693">
        <v>38346</v>
      </c>
      <c r="E4693" s="130">
        <v>24555044</v>
      </c>
      <c r="F4693" t="s">
        <v>87</v>
      </c>
      <c r="G4693">
        <v>76</v>
      </c>
      <c r="H4693" t="s">
        <v>8953</v>
      </c>
      <c r="I4693" s="130">
        <v>38</v>
      </c>
      <c r="J4693" t="s">
        <v>6317</v>
      </c>
      <c r="K4693" t="s">
        <v>108</v>
      </c>
      <c r="L4693" t="s">
        <v>126</v>
      </c>
      <c r="M4693" t="s">
        <v>103</v>
      </c>
      <c r="N4693" t="s">
        <v>98</v>
      </c>
      <c r="O4693" t="s">
        <v>116</v>
      </c>
    </row>
    <row r="4694" spans="1:15" x14ac:dyDescent="0.3">
      <c r="A4694" s="130">
        <v>25037</v>
      </c>
      <c r="B4694" s="130">
        <v>30</v>
      </c>
      <c r="C4694" s="130" t="s">
        <v>6318</v>
      </c>
      <c r="D4694">
        <v>38348</v>
      </c>
      <c r="E4694" s="130">
        <v>3795050</v>
      </c>
      <c r="F4694" t="s">
        <v>87</v>
      </c>
      <c r="G4694">
        <v>76</v>
      </c>
      <c r="H4694" t="s">
        <v>8951</v>
      </c>
      <c r="I4694" s="131">
        <v>19</v>
      </c>
      <c r="J4694" t="s">
        <v>6318</v>
      </c>
      <c r="K4694" t="s">
        <v>108</v>
      </c>
      <c r="L4694" t="s">
        <v>146</v>
      </c>
      <c r="M4694" t="s">
        <v>103</v>
      </c>
      <c r="N4694" t="s">
        <v>169</v>
      </c>
      <c r="O4694" t="s">
        <v>1256</v>
      </c>
    </row>
    <row r="4695" spans="1:15" x14ac:dyDescent="0.3">
      <c r="A4695" s="130">
        <v>25038</v>
      </c>
      <c r="B4695" s="130">
        <v>30</v>
      </c>
      <c r="C4695" s="130" t="s">
        <v>6319</v>
      </c>
      <c r="D4695">
        <v>38349</v>
      </c>
      <c r="E4695" s="130">
        <v>3795050</v>
      </c>
      <c r="F4695" t="s">
        <v>87</v>
      </c>
      <c r="G4695">
        <v>76</v>
      </c>
      <c r="H4695" t="s">
        <v>8952</v>
      </c>
      <c r="I4695" s="130">
        <v>19</v>
      </c>
      <c r="J4695" t="s">
        <v>6319</v>
      </c>
      <c r="K4695" t="s">
        <v>108</v>
      </c>
      <c r="L4695" t="s">
        <v>252</v>
      </c>
      <c r="M4695" t="s">
        <v>103</v>
      </c>
      <c r="N4695" t="s">
        <v>98</v>
      </c>
      <c r="O4695" t="s">
        <v>1256</v>
      </c>
    </row>
    <row r="4696" spans="1:15" x14ac:dyDescent="0.3">
      <c r="A4696" s="130">
        <v>25039</v>
      </c>
      <c r="B4696" s="130">
        <v>0</v>
      </c>
      <c r="C4696" s="130" t="s">
        <v>6320</v>
      </c>
      <c r="D4696">
        <v>38351</v>
      </c>
      <c r="E4696" s="130">
        <v>32516008</v>
      </c>
      <c r="F4696" t="s">
        <v>87</v>
      </c>
      <c r="G4696">
        <v>76</v>
      </c>
      <c r="H4696" t="s">
        <v>8953</v>
      </c>
      <c r="I4696" s="130">
        <v>9</v>
      </c>
      <c r="J4696" t="s">
        <v>6320</v>
      </c>
      <c r="K4696" t="s">
        <v>108</v>
      </c>
      <c r="L4696" t="s">
        <v>163</v>
      </c>
      <c r="M4696" t="s">
        <v>100</v>
      </c>
      <c r="N4696" t="s">
        <v>98</v>
      </c>
      <c r="O4696" t="s">
        <v>1256</v>
      </c>
    </row>
    <row r="4697" spans="1:15" x14ac:dyDescent="0.3">
      <c r="A4697" s="130">
        <v>25043</v>
      </c>
      <c r="B4697" s="130">
        <v>30</v>
      </c>
      <c r="C4697" s="130" t="s">
        <v>6321</v>
      </c>
      <c r="D4697">
        <v>38272</v>
      </c>
      <c r="E4697" s="130">
        <v>34692778</v>
      </c>
      <c r="F4697" t="s">
        <v>87</v>
      </c>
      <c r="G4697">
        <v>77</v>
      </c>
      <c r="H4697" t="s">
        <v>8951</v>
      </c>
      <c r="I4697" s="130">
        <v>18</v>
      </c>
      <c r="J4697" t="s">
        <v>6321</v>
      </c>
      <c r="K4697" t="s">
        <v>95</v>
      </c>
      <c r="L4697" t="s">
        <v>256</v>
      </c>
      <c r="M4697" t="s">
        <v>103</v>
      </c>
      <c r="N4697" t="s">
        <v>98</v>
      </c>
      <c r="O4697" t="s">
        <v>116</v>
      </c>
    </row>
    <row r="4698" spans="1:15" x14ac:dyDescent="0.3">
      <c r="A4698" s="130">
        <v>25046</v>
      </c>
      <c r="B4698" s="130">
        <v>0</v>
      </c>
      <c r="C4698" s="130" t="s">
        <v>6322</v>
      </c>
      <c r="D4698">
        <v>38361</v>
      </c>
      <c r="E4698" s="130">
        <v>23585778</v>
      </c>
      <c r="F4698" t="s">
        <v>87</v>
      </c>
      <c r="G4698">
        <v>32947</v>
      </c>
      <c r="H4698" t="s">
        <v>8952</v>
      </c>
      <c r="I4698" s="131">
        <v>24</v>
      </c>
      <c r="J4698" t="s">
        <v>6322</v>
      </c>
      <c r="K4698" t="s">
        <v>95</v>
      </c>
      <c r="L4698" t="s">
        <v>1253</v>
      </c>
      <c r="M4698" t="s">
        <v>100</v>
      </c>
      <c r="N4698" t="s">
        <v>98</v>
      </c>
      <c r="O4698" t="s">
        <v>1256</v>
      </c>
    </row>
    <row r="4699" spans="1:15" x14ac:dyDescent="0.3">
      <c r="A4699" s="130">
        <v>25049</v>
      </c>
      <c r="B4699" s="130">
        <v>28</v>
      </c>
      <c r="C4699" s="130" t="s">
        <v>6323</v>
      </c>
      <c r="D4699">
        <v>38370</v>
      </c>
      <c r="E4699" s="130">
        <v>32464721</v>
      </c>
      <c r="F4699" t="s">
        <v>113</v>
      </c>
      <c r="G4699">
        <v>76</v>
      </c>
      <c r="H4699" t="s">
        <v>8953</v>
      </c>
      <c r="I4699" s="130">
        <v>18</v>
      </c>
      <c r="J4699" t="s">
        <v>6323</v>
      </c>
      <c r="K4699" t="s">
        <v>108</v>
      </c>
      <c r="L4699" t="s">
        <v>253</v>
      </c>
      <c r="M4699" t="s">
        <v>130</v>
      </c>
      <c r="N4699" t="s">
        <v>98</v>
      </c>
      <c r="O4699" t="s">
        <v>1256</v>
      </c>
    </row>
    <row r="4700" spans="1:15" x14ac:dyDescent="0.3">
      <c r="A4700" s="130">
        <v>25050</v>
      </c>
      <c r="B4700" s="130">
        <v>30</v>
      </c>
      <c r="C4700" s="130" t="s">
        <v>6324</v>
      </c>
      <c r="D4700">
        <v>38371</v>
      </c>
      <c r="E4700" s="130">
        <v>10968017</v>
      </c>
      <c r="F4700" t="s">
        <v>113</v>
      </c>
      <c r="G4700">
        <v>76</v>
      </c>
      <c r="H4700" t="s">
        <v>8951</v>
      </c>
      <c r="I4700" s="131">
        <v>26</v>
      </c>
      <c r="J4700" t="s">
        <v>6324</v>
      </c>
      <c r="K4700" t="s">
        <v>108</v>
      </c>
      <c r="L4700" t="s">
        <v>123</v>
      </c>
      <c r="M4700" t="s">
        <v>103</v>
      </c>
      <c r="N4700" t="s">
        <v>98</v>
      </c>
      <c r="O4700" t="s">
        <v>1256</v>
      </c>
    </row>
    <row r="4701" spans="1:15" x14ac:dyDescent="0.3">
      <c r="A4701" s="130">
        <v>25051</v>
      </c>
      <c r="C4701" s="130" t="s">
        <v>6325</v>
      </c>
      <c r="D4701">
        <v>38372</v>
      </c>
      <c r="E4701" s="130">
        <v>10968017</v>
      </c>
      <c r="F4701" t="s">
        <v>113</v>
      </c>
      <c r="G4701">
        <v>76</v>
      </c>
      <c r="H4701" t="s">
        <v>8952</v>
      </c>
      <c r="I4701" s="131">
        <v>26</v>
      </c>
      <c r="J4701" t="s">
        <v>6325</v>
      </c>
      <c r="K4701" t="s">
        <v>95</v>
      </c>
      <c r="L4701" t="s">
        <v>123</v>
      </c>
      <c r="N4701" t="s">
        <v>98</v>
      </c>
      <c r="O4701" t="s">
        <v>1256</v>
      </c>
    </row>
    <row r="4702" spans="1:15" x14ac:dyDescent="0.3">
      <c r="A4702" s="130">
        <v>25057</v>
      </c>
      <c r="B4702" s="130">
        <v>30</v>
      </c>
      <c r="C4702" s="130" t="s">
        <v>6326</v>
      </c>
      <c r="D4702">
        <v>38378</v>
      </c>
      <c r="E4702" s="131">
        <v>32227070</v>
      </c>
      <c r="F4702" t="s">
        <v>87</v>
      </c>
      <c r="G4702">
        <v>76</v>
      </c>
      <c r="H4702" t="s">
        <v>8953</v>
      </c>
      <c r="I4702" s="131">
        <v>3</v>
      </c>
      <c r="J4702" t="s">
        <v>6326</v>
      </c>
      <c r="K4702" t="s">
        <v>108</v>
      </c>
      <c r="L4702" t="s">
        <v>120</v>
      </c>
      <c r="M4702" t="s">
        <v>103</v>
      </c>
      <c r="N4702" t="s">
        <v>98</v>
      </c>
      <c r="O4702" t="s">
        <v>116</v>
      </c>
    </row>
    <row r="4703" spans="1:15" x14ac:dyDescent="0.3">
      <c r="A4703" s="130">
        <v>25063</v>
      </c>
      <c r="C4703" s="130" t="s">
        <v>6327</v>
      </c>
      <c r="D4703">
        <v>38385</v>
      </c>
      <c r="E4703" s="130">
        <v>7985926</v>
      </c>
      <c r="F4703" t="s">
        <v>113</v>
      </c>
      <c r="G4703">
        <v>32947</v>
      </c>
      <c r="H4703" t="s">
        <v>8951</v>
      </c>
      <c r="I4703" s="131">
        <v>3</v>
      </c>
      <c r="J4703" t="s">
        <v>6327</v>
      </c>
      <c r="K4703" t="s">
        <v>108</v>
      </c>
      <c r="L4703" t="s">
        <v>109</v>
      </c>
      <c r="N4703" t="s">
        <v>98</v>
      </c>
      <c r="O4703" t="s">
        <v>1256</v>
      </c>
    </row>
    <row r="4704" spans="1:15" x14ac:dyDescent="0.3">
      <c r="A4704" s="130">
        <v>25064</v>
      </c>
      <c r="B4704" s="130">
        <v>30</v>
      </c>
      <c r="C4704" s="130" t="s">
        <v>6328</v>
      </c>
      <c r="D4704">
        <v>38388</v>
      </c>
      <c r="E4704" s="130">
        <v>44266768</v>
      </c>
      <c r="F4704" t="s">
        <v>87</v>
      </c>
      <c r="G4704">
        <v>77</v>
      </c>
      <c r="H4704" t="s">
        <v>8952</v>
      </c>
      <c r="I4704" s="130">
        <v>3</v>
      </c>
      <c r="J4704" t="s">
        <v>6328</v>
      </c>
      <c r="K4704" t="s">
        <v>95</v>
      </c>
      <c r="L4704" t="s">
        <v>256</v>
      </c>
      <c r="M4704" t="s">
        <v>103</v>
      </c>
      <c r="N4704" t="s">
        <v>98</v>
      </c>
      <c r="O4704" t="s">
        <v>116</v>
      </c>
    </row>
    <row r="4705" spans="1:15" x14ac:dyDescent="0.3">
      <c r="A4705" s="130">
        <v>25067</v>
      </c>
      <c r="B4705" s="130">
        <v>0</v>
      </c>
      <c r="C4705" s="130" t="s">
        <v>6329</v>
      </c>
      <c r="D4705">
        <v>38397</v>
      </c>
      <c r="E4705" s="130">
        <v>47099434</v>
      </c>
      <c r="F4705" t="s">
        <v>113</v>
      </c>
      <c r="G4705">
        <v>32947</v>
      </c>
      <c r="H4705" t="s">
        <v>8953</v>
      </c>
      <c r="I4705" s="130">
        <v>24</v>
      </c>
      <c r="J4705" t="s">
        <v>6329</v>
      </c>
      <c r="K4705" t="s">
        <v>95</v>
      </c>
      <c r="L4705" t="s">
        <v>1253</v>
      </c>
      <c r="M4705" t="s">
        <v>100</v>
      </c>
      <c r="N4705" t="s">
        <v>121</v>
      </c>
      <c r="O4705" t="s">
        <v>1256</v>
      </c>
    </row>
    <row r="4706" spans="1:15" x14ac:dyDescent="0.3">
      <c r="A4706" s="130">
        <v>25068</v>
      </c>
      <c r="B4706" s="130">
        <v>30</v>
      </c>
      <c r="C4706" s="130" t="s">
        <v>6330</v>
      </c>
      <c r="D4706">
        <v>38401</v>
      </c>
      <c r="E4706" s="130">
        <v>43546362</v>
      </c>
      <c r="F4706" t="s">
        <v>113</v>
      </c>
      <c r="G4706">
        <v>76</v>
      </c>
      <c r="H4706" t="s">
        <v>8951</v>
      </c>
      <c r="I4706" s="130">
        <v>24</v>
      </c>
      <c r="J4706" t="s">
        <v>6330</v>
      </c>
      <c r="K4706" t="s">
        <v>108</v>
      </c>
      <c r="L4706" t="s">
        <v>240</v>
      </c>
      <c r="M4706" t="s">
        <v>103</v>
      </c>
      <c r="N4706" t="s">
        <v>114</v>
      </c>
      <c r="O4706" t="s">
        <v>1256</v>
      </c>
    </row>
    <row r="4707" spans="1:15" x14ac:dyDescent="0.3">
      <c r="A4707" s="130">
        <v>25075</v>
      </c>
      <c r="B4707" s="130">
        <v>20</v>
      </c>
      <c r="C4707" s="130" t="s">
        <v>6331</v>
      </c>
      <c r="D4707">
        <v>38406</v>
      </c>
      <c r="E4707" s="130">
        <v>361941</v>
      </c>
      <c r="F4707" t="s">
        <v>87</v>
      </c>
      <c r="G4707">
        <v>76</v>
      </c>
      <c r="H4707" t="s">
        <v>8952</v>
      </c>
      <c r="I4707" s="131">
        <v>19</v>
      </c>
      <c r="J4707" t="s">
        <v>6331</v>
      </c>
      <c r="K4707" t="s">
        <v>108</v>
      </c>
      <c r="L4707" t="s">
        <v>252</v>
      </c>
      <c r="M4707" t="s">
        <v>148</v>
      </c>
      <c r="N4707" t="s">
        <v>98</v>
      </c>
      <c r="O4707" t="s">
        <v>1256</v>
      </c>
    </row>
    <row r="4708" spans="1:15" x14ac:dyDescent="0.3">
      <c r="A4708" s="130">
        <v>25076</v>
      </c>
      <c r="B4708" s="130">
        <v>10</v>
      </c>
      <c r="C4708" s="130" t="s">
        <v>6332</v>
      </c>
      <c r="D4708">
        <v>38400</v>
      </c>
      <c r="E4708" s="131">
        <v>5724163</v>
      </c>
      <c r="F4708" t="s">
        <v>87</v>
      </c>
      <c r="G4708">
        <v>76</v>
      </c>
      <c r="H4708" t="s">
        <v>8953</v>
      </c>
      <c r="I4708" s="131">
        <v>9</v>
      </c>
      <c r="J4708" t="s">
        <v>6332</v>
      </c>
      <c r="K4708" t="s">
        <v>108</v>
      </c>
      <c r="L4708" t="s">
        <v>163</v>
      </c>
      <c r="M4708" t="s">
        <v>133</v>
      </c>
      <c r="N4708" t="s">
        <v>124</v>
      </c>
      <c r="O4708" t="s">
        <v>1256</v>
      </c>
    </row>
    <row r="4709" spans="1:15" x14ac:dyDescent="0.3">
      <c r="A4709" s="130">
        <v>25085</v>
      </c>
      <c r="B4709" s="130">
        <v>0</v>
      </c>
      <c r="C4709" s="130" t="s">
        <v>6333</v>
      </c>
      <c r="D4709">
        <v>38417</v>
      </c>
      <c r="E4709" s="130">
        <v>15322898</v>
      </c>
      <c r="F4709" t="s">
        <v>113</v>
      </c>
      <c r="G4709">
        <v>32947</v>
      </c>
      <c r="H4709" t="s">
        <v>8951</v>
      </c>
      <c r="I4709" s="131">
        <v>3</v>
      </c>
      <c r="J4709" t="s">
        <v>6333</v>
      </c>
      <c r="K4709" t="s">
        <v>95</v>
      </c>
      <c r="L4709" t="s">
        <v>1253</v>
      </c>
      <c r="M4709" t="s">
        <v>100</v>
      </c>
      <c r="N4709" t="s">
        <v>98</v>
      </c>
      <c r="O4709" t="s">
        <v>1256</v>
      </c>
    </row>
    <row r="4710" spans="1:15" x14ac:dyDescent="0.3">
      <c r="A4710" s="130">
        <v>25086</v>
      </c>
      <c r="B4710" s="130">
        <v>30</v>
      </c>
      <c r="C4710" s="130" t="s">
        <v>6334</v>
      </c>
      <c r="D4710">
        <v>38419</v>
      </c>
      <c r="E4710" s="131">
        <v>60701521</v>
      </c>
      <c r="F4710" t="s">
        <v>87</v>
      </c>
      <c r="G4710">
        <v>76</v>
      </c>
      <c r="H4710" t="s">
        <v>8952</v>
      </c>
      <c r="I4710" s="130">
        <v>37</v>
      </c>
      <c r="J4710" t="s">
        <v>6334</v>
      </c>
      <c r="K4710" t="s">
        <v>95</v>
      </c>
      <c r="L4710" t="s">
        <v>138</v>
      </c>
      <c r="M4710" t="s">
        <v>103</v>
      </c>
      <c r="N4710" t="s">
        <v>162</v>
      </c>
      <c r="O4710" t="s">
        <v>116</v>
      </c>
    </row>
    <row r="4711" spans="1:15" x14ac:dyDescent="0.3">
      <c r="A4711" s="130">
        <v>25088</v>
      </c>
      <c r="B4711" s="130">
        <v>21</v>
      </c>
      <c r="C4711" s="130" t="s">
        <v>6335</v>
      </c>
      <c r="D4711">
        <v>38421</v>
      </c>
      <c r="E4711" s="130">
        <v>3227056</v>
      </c>
      <c r="F4711" t="s">
        <v>113</v>
      </c>
      <c r="G4711">
        <v>76</v>
      </c>
      <c r="H4711" t="s">
        <v>8953</v>
      </c>
      <c r="I4711" s="130">
        <v>24</v>
      </c>
      <c r="J4711" t="s">
        <v>6335</v>
      </c>
      <c r="K4711" t="s">
        <v>108</v>
      </c>
      <c r="L4711" t="s">
        <v>191</v>
      </c>
      <c r="M4711" t="s">
        <v>137</v>
      </c>
      <c r="N4711" t="s">
        <v>98</v>
      </c>
      <c r="O4711" t="s">
        <v>1256</v>
      </c>
    </row>
    <row r="4712" spans="1:15" x14ac:dyDescent="0.3">
      <c r="A4712" s="130">
        <v>25091</v>
      </c>
      <c r="B4712" s="130">
        <v>-1</v>
      </c>
      <c r="C4712" s="130" t="s">
        <v>6336</v>
      </c>
      <c r="D4712">
        <v>38427</v>
      </c>
      <c r="E4712" s="130">
        <v>31811691</v>
      </c>
      <c r="F4712" t="s">
        <v>113</v>
      </c>
      <c r="G4712">
        <v>32947</v>
      </c>
      <c r="H4712" t="s">
        <v>8951</v>
      </c>
      <c r="I4712" s="130">
        <v>3</v>
      </c>
      <c r="J4712" t="s">
        <v>6336</v>
      </c>
      <c r="K4712" t="s">
        <v>108</v>
      </c>
      <c r="L4712" t="s">
        <v>109</v>
      </c>
      <c r="M4712" t="s">
        <v>174</v>
      </c>
      <c r="N4712" t="s">
        <v>114</v>
      </c>
      <c r="O4712" t="s">
        <v>1256</v>
      </c>
    </row>
    <row r="4713" spans="1:15" x14ac:dyDescent="0.3">
      <c r="A4713" s="130">
        <v>25092</v>
      </c>
      <c r="B4713" s="130">
        <v>30</v>
      </c>
      <c r="C4713" s="130" t="s">
        <v>6337</v>
      </c>
      <c r="D4713">
        <v>38426</v>
      </c>
      <c r="E4713" s="131">
        <v>18715383</v>
      </c>
      <c r="F4713" t="s">
        <v>87</v>
      </c>
      <c r="G4713">
        <v>77</v>
      </c>
      <c r="H4713" t="s">
        <v>8952</v>
      </c>
      <c r="I4713" s="131">
        <v>3</v>
      </c>
      <c r="J4713" t="s">
        <v>6337</v>
      </c>
      <c r="K4713" t="s">
        <v>95</v>
      </c>
      <c r="L4713" t="s">
        <v>256</v>
      </c>
      <c r="M4713" t="s">
        <v>103</v>
      </c>
      <c r="N4713" t="s">
        <v>131</v>
      </c>
      <c r="O4713" t="s">
        <v>116</v>
      </c>
    </row>
    <row r="4714" spans="1:15" x14ac:dyDescent="0.3">
      <c r="A4714" s="130">
        <v>25093</v>
      </c>
      <c r="B4714" s="130">
        <v>18</v>
      </c>
      <c r="C4714" s="130" t="s">
        <v>6338</v>
      </c>
      <c r="D4714">
        <v>38266</v>
      </c>
      <c r="E4714" s="130">
        <v>17495999</v>
      </c>
      <c r="F4714" t="s">
        <v>113</v>
      </c>
      <c r="G4714">
        <v>76</v>
      </c>
      <c r="H4714" t="s">
        <v>8953</v>
      </c>
      <c r="I4714" s="131">
        <v>9</v>
      </c>
      <c r="J4714" t="s">
        <v>6338</v>
      </c>
      <c r="K4714" t="s">
        <v>108</v>
      </c>
      <c r="L4714" t="s">
        <v>1298</v>
      </c>
      <c r="M4714" t="s">
        <v>112</v>
      </c>
      <c r="N4714" t="s">
        <v>98</v>
      </c>
      <c r="O4714" t="s">
        <v>1256</v>
      </c>
    </row>
    <row r="4715" spans="1:15" x14ac:dyDescent="0.3">
      <c r="A4715" s="130">
        <v>25099</v>
      </c>
      <c r="C4715" s="130" t="s">
        <v>6339</v>
      </c>
      <c r="D4715">
        <v>38430</v>
      </c>
      <c r="E4715" s="131">
        <v>18011110</v>
      </c>
      <c r="F4715" t="s">
        <v>113</v>
      </c>
      <c r="G4715">
        <v>32947</v>
      </c>
      <c r="H4715" t="s">
        <v>8951</v>
      </c>
      <c r="I4715" s="130">
        <v>24</v>
      </c>
      <c r="J4715" t="s">
        <v>6339</v>
      </c>
      <c r="K4715" t="s">
        <v>95</v>
      </c>
      <c r="L4715" t="s">
        <v>1253</v>
      </c>
      <c r="N4715" t="s">
        <v>124</v>
      </c>
      <c r="O4715" t="s">
        <v>1256</v>
      </c>
    </row>
    <row r="4716" spans="1:15" x14ac:dyDescent="0.3">
      <c r="A4716" s="130">
        <v>25101</v>
      </c>
      <c r="B4716" s="130">
        <v>18</v>
      </c>
      <c r="C4716" s="130" t="s">
        <v>6340</v>
      </c>
      <c r="D4716">
        <v>38398</v>
      </c>
      <c r="E4716" s="130">
        <v>5204682</v>
      </c>
      <c r="F4716" t="s">
        <v>113</v>
      </c>
      <c r="G4716">
        <v>32947</v>
      </c>
      <c r="H4716" t="s">
        <v>8952</v>
      </c>
      <c r="I4716" s="130">
        <v>43</v>
      </c>
      <c r="J4716" t="s">
        <v>6340</v>
      </c>
      <c r="K4716" t="s">
        <v>108</v>
      </c>
      <c r="L4716" t="s">
        <v>1241</v>
      </c>
      <c r="M4716" t="s">
        <v>112</v>
      </c>
      <c r="N4716" t="s">
        <v>150</v>
      </c>
      <c r="O4716" t="s">
        <v>1256</v>
      </c>
    </row>
    <row r="4717" spans="1:15" x14ac:dyDescent="0.3">
      <c r="A4717" s="130">
        <v>25102</v>
      </c>
      <c r="B4717" s="130">
        <v>30</v>
      </c>
      <c r="C4717" s="130" t="s">
        <v>6341</v>
      </c>
      <c r="D4717">
        <v>38437</v>
      </c>
      <c r="E4717" s="130">
        <v>7522191</v>
      </c>
      <c r="F4717" t="s">
        <v>87</v>
      </c>
      <c r="G4717">
        <v>32947</v>
      </c>
      <c r="H4717" t="s">
        <v>8953</v>
      </c>
      <c r="I4717" s="130">
        <v>3</v>
      </c>
      <c r="J4717" t="s">
        <v>6341</v>
      </c>
      <c r="K4717" t="s">
        <v>95</v>
      </c>
      <c r="L4717" t="s">
        <v>109</v>
      </c>
      <c r="M4717" t="s">
        <v>103</v>
      </c>
      <c r="N4717" t="s">
        <v>114</v>
      </c>
      <c r="O4717" t="s">
        <v>1256</v>
      </c>
    </row>
    <row r="4718" spans="1:15" x14ac:dyDescent="0.3">
      <c r="A4718" s="130">
        <v>25105</v>
      </c>
      <c r="B4718" s="130">
        <v>10</v>
      </c>
      <c r="C4718" s="130" t="s">
        <v>6342</v>
      </c>
      <c r="D4718">
        <v>38441</v>
      </c>
      <c r="E4718" s="130">
        <v>51887917</v>
      </c>
      <c r="F4718" t="s">
        <v>113</v>
      </c>
      <c r="G4718">
        <v>76</v>
      </c>
      <c r="H4718" t="s">
        <v>8951</v>
      </c>
      <c r="I4718" s="130">
        <v>24</v>
      </c>
      <c r="J4718" t="s">
        <v>6342</v>
      </c>
      <c r="K4718" t="s">
        <v>108</v>
      </c>
      <c r="L4718" t="s">
        <v>240</v>
      </c>
      <c r="M4718" t="s">
        <v>133</v>
      </c>
      <c r="N4718" t="s">
        <v>166</v>
      </c>
      <c r="O4718" t="s">
        <v>1256</v>
      </c>
    </row>
    <row r="4719" spans="1:15" x14ac:dyDescent="0.3">
      <c r="A4719" s="130">
        <v>25106</v>
      </c>
      <c r="B4719" s="130">
        <v>30</v>
      </c>
      <c r="C4719" s="130" t="s">
        <v>6343</v>
      </c>
      <c r="D4719">
        <v>38442</v>
      </c>
      <c r="E4719" s="130">
        <v>18715383</v>
      </c>
      <c r="F4719" t="s">
        <v>87</v>
      </c>
      <c r="G4719">
        <v>77</v>
      </c>
      <c r="H4719" t="s">
        <v>8952</v>
      </c>
      <c r="I4719" s="130">
        <v>3</v>
      </c>
      <c r="J4719" t="s">
        <v>6343</v>
      </c>
      <c r="K4719" t="s">
        <v>95</v>
      </c>
      <c r="L4719" t="s">
        <v>256</v>
      </c>
      <c r="M4719" t="s">
        <v>103</v>
      </c>
      <c r="N4719" t="s">
        <v>131</v>
      </c>
      <c r="O4719" t="s">
        <v>116</v>
      </c>
    </row>
    <row r="4720" spans="1:15" x14ac:dyDescent="0.3">
      <c r="A4720" s="130">
        <v>25107</v>
      </c>
      <c r="B4720" s="130">
        <v>30</v>
      </c>
      <c r="C4720" s="130" t="s">
        <v>6344</v>
      </c>
      <c r="D4720">
        <v>38443</v>
      </c>
      <c r="E4720" s="130">
        <v>10630328</v>
      </c>
      <c r="F4720" t="s">
        <v>87</v>
      </c>
      <c r="G4720">
        <v>32947</v>
      </c>
      <c r="H4720" t="s">
        <v>8953</v>
      </c>
      <c r="I4720" s="131">
        <v>3</v>
      </c>
      <c r="J4720" t="s">
        <v>6344</v>
      </c>
      <c r="K4720" t="s">
        <v>108</v>
      </c>
      <c r="L4720" t="s">
        <v>109</v>
      </c>
      <c r="M4720" t="s">
        <v>103</v>
      </c>
      <c r="N4720" t="s">
        <v>98</v>
      </c>
      <c r="O4720" t="s">
        <v>1256</v>
      </c>
    </row>
    <row r="4721" spans="1:15" x14ac:dyDescent="0.3">
      <c r="A4721" s="130">
        <v>25114</v>
      </c>
      <c r="B4721" s="130">
        <v>10</v>
      </c>
      <c r="C4721" s="130" t="s">
        <v>6345</v>
      </c>
      <c r="D4721">
        <v>38450</v>
      </c>
      <c r="E4721" s="130">
        <v>6020141</v>
      </c>
      <c r="F4721" t="s">
        <v>87</v>
      </c>
      <c r="G4721">
        <v>32947</v>
      </c>
      <c r="H4721" t="s">
        <v>8951</v>
      </c>
      <c r="I4721" s="131">
        <v>3</v>
      </c>
      <c r="J4721" t="s">
        <v>6345</v>
      </c>
      <c r="K4721" t="s">
        <v>108</v>
      </c>
      <c r="L4721" t="s">
        <v>193</v>
      </c>
      <c r="M4721" t="s">
        <v>133</v>
      </c>
      <c r="N4721" t="s">
        <v>98</v>
      </c>
      <c r="O4721" t="s">
        <v>116</v>
      </c>
    </row>
    <row r="4722" spans="1:15" x14ac:dyDescent="0.3">
      <c r="A4722" s="130">
        <v>25115</v>
      </c>
      <c r="C4722" s="130" t="s">
        <v>6346</v>
      </c>
      <c r="D4722">
        <v>38459</v>
      </c>
      <c r="E4722" s="130">
        <v>71061345</v>
      </c>
      <c r="F4722" t="s">
        <v>113</v>
      </c>
      <c r="G4722">
        <v>32947</v>
      </c>
      <c r="H4722" t="s">
        <v>8952</v>
      </c>
      <c r="I4722" s="131">
        <v>3</v>
      </c>
      <c r="J4722" t="s">
        <v>6346</v>
      </c>
      <c r="K4722" t="s">
        <v>108</v>
      </c>
      <c r="L4722" t="s">
        <v>109</v>
      </c>
      <c r="N4722" t="s">
        <v>114</v>
      </c>
      <c r="O4722" t="s">
        <v>1256</v>
      </c>
    </row>
    <row r="4723" spans="1:15" x14ac:dyDescent="0.3">
      <c r="A4723" s="130">
        <v>25117</v>
      </c>
      <c r="C4723" s="130" t="s">
        <v>6347</v>
      </c>
      <c r="D4723">
        <v>38460</v>
      </c>
      <c r="E4723" s="130">
        <v>71061345</v>
      </c>
      <c r="F4723" t="s">
        <v>113</v>
      </c>
      <c r="G4723">
        <v>32947</v>
      </c>
      <c r="H4723" t="s">
        <v>8953</v>
      </c>
      <c r="I4723" s="131">
        <v>3</v>
      </c>
      <c r="J4723" t="s">
        <v>6347</v>
      </c>
      <c r="K4723" t="s">
        <v>108</v>
      </c>
      <c r="L4723" t="s">
        <v>109</v>
      </c>
      <c r="N4723" t="s">
        <v>114</v>
      </c>
      <c r="O4723" t="s">
        <v>1256</v>
      </c>
    </row>
    <row r="4724" spans="1:15" x14ac:dyDescent="0.3">
      <c r="A4724" s="130">
        <v>25118</v>
      </c>
      <c r="C4724" s="130" t="s">
        <v>6348</v>
      </c>
      <c r="D4724">
        <v>38462</v>
      </c>
      <c r="E4724" s="130">
        <v>71061345</v>
      </c>
      <c r="F4724" t="s">
        <v>113</v>
      </c>
      <c r="G4724">
        <v>32947</v>
      </c>
      <c r="H4724" t="s">
        <v>8951</v>
      </c>
      <c r="I4724" s="131">
        <v>3</v>
      </c>
      <c r="J4724" t="s">
        <v>6348</v>
      </c>
      <c r="K4724" t="s">
        <v>108</v>
      </c>
      <c r="L4724" t="s">
        <v>109</v>
      </c>
      <c r="N4724" t="s">
        <v>114</v>
      </c>
      <c r="O4724" t="s">
        <v>1256</v>
      </c>
    </row>
    <row r="4725" spans="1:15" x14ac:dyDescent="0.3">
      <c r="A4725" s="130">
        <v>25119</v>
      </c>
      <c r="B4725" s="130">
        <v>10</v>
      </c>
      <c r="C4725" s="130" t="s">
        <v>6349</v>
      </c>
      <c r="D4725">
        <v>38463</v>
      </c>
      <c r="E4725" s="131">
        <v>32870995</v>
      </c>
      <c r="F4725" t="s">
        <v>87</v>
      </c>
      <c r="G4725">
        <v>32947</v>
      </c>
      <c r="H4725" t="s">
        <v>8952</v>
      </c>
      <c r="I4725" s="130">
        <v>3</v>
      </c>
      <c r="J4725" t="s">
        <v>6349</v>
      </c>
      <c r="K4725" t="s">
        <v>108</v>
      </c>
      <c r="L4725" t="s">
        <v>1293</v>
      </c>
      <c r="M4725" t="s">
        <v>133</v>
      </c>
      <c r="N4725" t="s">
        <v>118</v>
      </c>
      <c r="O4725" t="s">
        <v>1345</v>
      </c>
    </row>
    <row r="4726" spans="1:15" x14ac:dyDescent="0.3">
      <c r="A4726" s="130">
        <v>25120</v>
      </c>
      <c r="B4726" s="130">
        <v>30</v>
      </c>
      <c r="C4726" s="130" t="s">
        <v>6350</v>
      </c>
      <c r="D4726">
        <v>38464</v>
      </c>
      <c r="E4726" s="130">
        <v>47882606</v>
      </c>
      <c r="F4726" t="s">
        <v>87</v>
      </c>
      <c r="G4726">
        <v>76</v>
      </c>
      <c r="H4726" t="s">
        <v>8953</v>
      </c>
      <c r="I4726" s="131">
        <v>38</v>
      </c>
      <c r="J4726" t="s">
        <v>6350</v>
      </c>
      <c r="K4726" t="s">
        <v>108</v>
      </c>
      <c r="L4726" t="s">
        <v>126</v>
      </c>
      <c r="M4726" t="s">
        <v>103</v>
      </c>
      <c r="N4726" t="s">
        <v>141</v>
      </c>
      <c r="O4726" t="s">
        <v>116</v>
      </c>
    </row>
    <row r="4727" spans="1:15" x14ac:dyDescent="0.3">
      <c r="A4727" s="130">
        <v>25121</v>
      </c>
      <c r="B4727" s="130">
        <v>30</v>
      </c>
      <c r="C4727" s="130" t="s">
        <v>6351</v>
      </c>
      <c r="D4727">
        <v>38466</v>
      </c>
      <c r="E4727" s="130">
        <v>17159856</v>
      </c>
      <c r="F4727" t="s">
        <v>87</v>
      </c>
      <c r="G4727">
        <v>32947</v>
      </c>
      <c r="H4727" t="s">
        <v>8951</v>
      </c>
      <c r="I4727" s="130">
        <v>3</v>
      </c>
      <c r="J4727" t="s">
        <v>6351</v>
      </c>
      <c r="K4727" t="s">
        <v>108</v>
      </c>
      <c r="L4727" t="s">
        <v>193</v>
      </c>
      <c r="M4727" t="s">
        <v>103</v>
      </c>
      <c r="N4727" t="s">
        <v>98</v>
      </c>
      <c r="O4727" t="s">
        <v>1345</v>
      </c>
    </row>
    <row r="4728" spans="1:15" x14ac:dyDescent="0.3">
      <c r="A4728" s="130">
        <v>25123</v>
      </c>
      <c r="B4728" s="130">
        <v>30</v>
      </c>
      <c r="C4728" s="130" t="s">
        <v>6352</v>
      </c>
      <c r="D4728">
        <v>38467</v>
      </c>
      <c r="E4728" s="130">
        <v>18715383</v>
      </c>
      <c r="F4728" t="s">
        <v>87</v>
      </c>
      <c r="G4728">
        <v>77</v>
      </c>
      <c r="H4728" t="s">
        <v>8952</v>
      </c>
      <c r="I4728" s="130">
        <v>3</v>
      </c>
      <c r="J4728" t="s">
        <v>6352</v>
      </c>
      <c r="K4728" t="s">
        <v>95</v>
      </c>
      <c r="L4728" t="s">
        <v>256</v>
      </c>
      <c r="M4728" t="s">
        <v>103</v>
      </c>
      <c r="N4728" t="s">
        <v>131</v>
      </c>
      <c r="O4728" t="s">
        <v>116</v>
      </c>
    </row>
    <row r="4729" spans="1:15" x14ac:dyDescent="0.3">
      <c r="A4729" s="130">
        <v>25125</v>
      </c>
      <c r="B4729" s="130">
        <v>10</v>
      </c>
      <c r="C4729" s="130" t="s">
        <v>6353</v>
      </c>
      <c r="D4729">
        <v>38474</v>
      </c>
      <c r="E4729" s="131">
        <v>8928273</v>
      </c>
      <c r="F4729" t="s">
        <v>87</v>
      </c>
      <c r="G4729">
        <v>76</v>
      </c>
      <c r="H4729" t="s">
        <v>8953</v>
      </c>
      <c r="I4729" s="131">
        <v>3</v>
      </c>
      <c r="J4729" t="s">
        <v>6353</v>
      </c>
      <c r="K4729" t="s">
        <v>108</v>
      </c>
      <c r="L4729" t="s">
        <v>1293</v>
      </c>
      <c r="M4729" t="s">
        <v>133</v>
      </c>
      <c r="N4729" t="s">
        <v>98</v>
      </c>
      <c r="O4729" t="s">
        <v>116</v>
      </c>
    </row>
    <row r="4730" spans="1:15" x14ac:dyDescent="0.3">
      <c r="A4730" s="130">
        <v>25131</v>
      </c>
      <c r="B4730" s="130">
        <v>10</v>
      </c>
      <c r="C4730" s="130" t="s">
        <v>6354</v>
      </c>
      <c r="D4730">
        <v>38484</v>
      </c>
      <c r="E4730" s="130">
        <v>8928273</v>
      </c>
      <c r="F4730" t="s">
        <v>87</v>
      </c>
      <c r="G4730">
        <v>76</v>
      </c>
      <c r="H4730" t="s">
        <v>8951</v>
      </c>
      <c r="I4730" s="130">
        <v>3</v>
      </c>
      <c r="J4730" t="s">
        <v>6354</v>
      </c>
      <c r="K4730" t="s">
        <v>108</v>
      </c>
      <c r="L4730" t="s">
        <v>1293</v>
      </c>
      <c r="M4730" t="s">
        <v>133</v>
      </c>
      <c r="N4730" t="s">
        <v>98</v>
      </c>
      <c r="O4730" t="s">
        <v>116</v>
      </c>
    </row>
    <row r="4731" spans="1:15" x14ac:dyDescent="0.3">
      <c r="A4731" s="130">
        <v>25132</v>
      </c>
      <c r="B4731" s="130">
        <v>20</v>
      </c>
      <c r="C4731" s="130" t="s">
        <v>6355</v>
      </c>
      <c r="D4731">
        <v>38485</v>
      </c>
      <c r="E4731" s="130">
        <v>36965043</v>
      </c>
      <c r="F4731" t="s">
        <v>113</v>
      </c>
      <c r="G4731">
        <v>76</v>
      </c>
      <c r="H4731" t="s">
        <v>8952</v>
      </c>
      <c r="I4731" s="130">
        <v>19</v>
      </c>
      <c r="J4731" t="s">
        <v>6355</v>
      </c>
      <c r="K4731" t="s">
        <v>108</v>
      </c>
      <c r="L4731" t="s">
        <v>252</v>
      </c>
      <c r="M4731" t="s">
        <v>148</v>
      </c>
      <c r="N4731" t="s">
        <v>98</v>
      </c>
      <c r="O4731" t="s">
        <v>1256</v>
      </c>
    </row>
    <row r="4732" spans="1:15" x14ac:dyDescent="0.3">
      <c r="A4732" s="130">
        <v>25133</v>
      </c>
      <c r="B4732" s="130">
        <v>10</v>
      </c>
      <c r="C4732" s="130" t="s">
        <v>6356</v>
      </c>
      <c r="D4732">
        <v>38486</v>
      </c>
      <c r="E4732" s="131">
        <v>8928273</v>
      </c>
      <c r="F4732" t="s">
        <v>87</v>
      </c>
      <c r="G4732">
        <v>76</v>
      </c>
      <c r="H4732" t="s">
        <v>8953</v>
      </c>
      <c r="I4732" s="130">
        <v>3</v>
      </c>
      <c r="J4732" t="s">
        <v>6356</v>
      </c>
      <c r="K4732" t="s">
        <v>108</v>
      </c>
      <c r="L4732" t="s">
        <v>1293</v>
      </c>
      <c r="M4732" t="s">
        <v>133</v>
      </c>
      <c r="N4732" t="s">
        <v>98</v>
      </c>
      <c r="O4732" t="s">
        <v>116</v>
      </c>
    </row>
    <row r="4733" spans="1:15" x14ac:dyDescent="0.3">
      <c r="A4733" s="130">
        <v>25134</v>
      </c>
      <c r="B4733" s="130">
        <v>0</v>
      </c>
      <c r="C4733" s="130" t="s">
        <v>6357</v>
      </c>
      <c r="D4733">
        <v>38487</v>
      </c>
      <c r="E4733" s="131">
        <v>6949301</v>
      </c>
      <c r="F4733" t="s">
        <v>87</v>
      </c>
      <c r="G4733">
        <v>32947</v>
      </c>
      <c r="H4733" t="s">
        <v>8951</v>
      </c>
      <c r="I4733" s="131">
        <v>3</v>
      </c>
      <c r="J4733" t="s">
        <v>6357</v>
      </c>
      <c r="K4733" t="s">
        <v>108</v>
      </c>
      <c r="L4733" t="s">
        <v>109</v>
      </c>
      <c r="M4733" t="s">
        <v>100</v>
      </c>
      <c r="N4733" t="s">
        <v>150</v>
      </c>
      <c r="O4733" t="s">
        <v>1256</v>
      </c>
    </row>
    <row r="4734" spans="1:15" x14ac:dyDescent="0.3">
      <c r="A4734" s="130">
        <v>25135</v>
      </c>
      <c r="B4734" s="130">
        <v>30</v>
      </c>
      <c r="C4734" s="130" t="s">
        <v>6358</v>
      </c>
      <c r="D4734">
        <v>38488</v>
      </c>
      <c r="E4734" s="130">
        <v>12363847</v>
      </c>
      <c r="F4734" t="s">
        <v>87</v>
      </c>
      <c r="G4734">
        <v>76</v>
      </c>
      <c r="H4734" t="s">
        <v>8952</v>
      </c>
      <c r="I4734" s="130">
        <v>43</v>
      </c>
      <c r="J4734" t="s">
        <v>6358</v>
      </c>
      <c r="K4734" t="s">
        <v>95</v>
      </c>
      <c r="L4734" t="s">
        <v>111</v>
      </c>
      <c r="M4734" t="s">
        <v>103</v>
      </c>
      <c r="N4734" t="s">
        <v>98</v>
      </c>
      <c r="O4734" t="s">
        <v>116</v>
      </c>
    </row>
    <row r="4735" spans="1:15" x14ac:dyDescent="0.3">
      <c r="A4735" s="130">
        <v>25137</v>
      </c>
      <c r="B4735" s="130">
        <v>20</v>
      </c>
      <c r="C4735" s="130" t="s">
        <v>6359</v>
      </c>
      <c r="D4735">
        <v>38493</v>
      </c>
      <c r="E4735" s="130">
        <v>361941</v>
      </c>
      <c r="F4735" t="s">
        <v>87</v>
      </c>
      <c r="G4735">
        <v>76</v>
      </c>
      <c r="H4735" t="s">
        <v>8953</v>
      </c>
      <c r="I4735" s="130">
        <v>19</v>
      </c>
      <c r="J4735" t="s">
        <v>6359</v>
      </c>
      <c r="K4735" t="s">
        <v>108</v>
      </c>
      <c r="L4735" t="s">
        <v>252</v>
      </c>
      <c r="M4735" t="s">
        <v>148</v>
      </c>
      <c r="N4735" t="s">
        <v>98</v>
      </c>
      <c r="O4735" t="s">
        <v>1256</v>
      </c>
    </row>
    <row r="4736" spans="1:15" x14ac:dyDescent="0.3">
      <c r="A4736" s="130">
        <v>25138</v>
      </c>
      <c r="B4736" s="130">
        <v>21</v>
      </c>
      <c r="C4736" s="130" t="s">
        <v>6360</v>
      </c>
      <c r="D4736">
        <v>38494</v>
      </c>
      <c r="E4736" s="130">
        <v>2408785</v>
      </c>
      <c r="F4736" t="s">
        <v>87</v>
      </c>
      <c r="G4736">
        <v>76</v>
      </c>
      <c r="H4736" t="s">
        <v>8951</v>
      </c>
      <c r="I4736" s="130">
        <v>43</v>
      </c>
      <c r="J4736" t="s">
        <v>6360</v>
      </c>
      <c r="K4736" t="s">
        <v>95</v>
      </c>
      <c r="L4736" t="s">
        <v>111</v>
      </c>
      <c r="M4736" t="s">
        <v>137</v>
      </c>
      <c r="N4736" t="s">
        <v>98</v>
      </c>
      <c r="O4736" t="s">
        <v>116</v>
      </c>
    </row>
    <row r="4737" spans="1:15" x14ac:dyDescent="0.3">
      <c r="A4737" s="130">
        <v>25140</v>
      </c>
      <c r="B4737" s="130">
        <v>-1</v>
      </c>
      <c r="C4737" s="130" t="s">
        <v>6361</v>
      </c>
      <c r="D4737">
        <v>38498</v>
      </c>
      <c r="E4737" s="130">
        <v>18127274</v>
      </c>
      <c r="F4737" t="s">
        <v>87</v>
      </c>
      <c r="G4737">
        <v>76</v>
      </c>
      <c r="H4737" t="s">
        <v>8952</v>
      </c>
      <c r="I4737" s="130">
        <v>3</v>
      </c>
      <c r="J4737" t="s">
        <v>6361</v>
      </c>
      <c r="K4737" t="s">
        <v>95</v>
      </c>
      <c r="L4737" t="s">
        <v>102</v>
      </c>
      <c r="M4737" t="s">
        <v>174</v>
      </c>
      <c r="N4737" t="s">
        <v>152</v>
      </c>
      <c r="O4737" t="s">
        <v>1345</v>
      </c>
    </row>
    <row r="4738" spans="1:15" x14ac:dyDescent="0.3">
      <c r="A4738" s="130">
        <v>25143</v>
      </c>
      <c r="B4738" s="130">
        <v>30</v>
      </c>
      <c r="C4738" s="130" t="s">
        <v>6362</v>
      </c>
      <c r="D4738">
        <v>38505</v>
      </c>
      <c r="E4738" s="130">
        <v>26070156</v>
      </c>
      <c r="F4738" t="s">
        <v>87</v>
      </c>
      <c r="G4738">
        <v>76</v>
      </c>
      <c r="H4738" t="s">
        <v>8953</v>
      </c>
      <c r="I4738" s="130">
        <v>38</v>
      </c>
      <c r="J4738" t="s">
        <v>6362</v>
      </c>
      <c r="K4738" t="s">
        <v>95</v>
      </c>
      <c r="L4738" t="s">
        <v>126</v>
      </c>
      <c r="M4738" t="s">
        <v>103</v>
      </c>
      <c r="N4738" t="s">
        <v>98</v>
      </c>
      <c r="O4738" t="s">
        <v>116</v>
      </c>
    </row>
    <row r="4739" spans="1:15" x14ac:dyDescent="0.3">
      <c r="A4739" s="130">
        <v>25147</v>
      </c>
      <c r="B4739" s="130">
        <v>90</v>
      </c>
      <c r="C4739" s="130" t="s">
        <v>6363</v>
      </c>
      <c r="D4739">
        <v>38516</v>
      </c>
      <c r="E4739" s="131">
        <v>2012862</v>
      </c>
      <c r="F4739" t="s">
        <v>87</v>
      </c>
      <c r="G4739">
        <v>76</v>
      </c>
      <c r="H4739" t="s">
        <v>8951</v>
      </c>
      <c r="I4739" s="131">
        <v>24</v>
      </c>
      <c r="J4739" t="s">
        <v>6363</v>
      </c>
      <c r="K4739" t="s">
        <v>108</v>
      </c>
      <c r="L4739" t="s">
        <v>240</v>
      </c>
      <c r="M4739" t="s">
        <v>170</v>
      </c>
      <c r="N4739" t="s">
        <v>122</v>
      </c>
      <c r="O4739" t="s">
        <v>116</v>
      </c>
    </row>
    <row r="4740" spans="1:15" x14ac:dyDescent="0.3">
      <c r="A4740" s="130">
        <v>25149</v>
      </c>
      <c r="B4740" s="130">
        <v>30</v>
      </c>
      <c r="C4740" s="130" t="s">
        <v>6364</v>
      </c>
      <c r="D4740">
        <v>38513</v>
      </c>
      <c r="E4740" s="130">
        <v>12363847</v>
      </c>
      <c r="F4740" t="s">
        <v>87</v>
      </c>
      <c r="G4740">
        <v>32947</v>
      </c>
      <c r="H4740" t="s">
        <v>8952</v>
      </c>
      <c r="I4740" s="130">
        <v>18</v>
      </c>
      <c r="J4740" t="s">
        <v>6364</v>
      </c>
      <c r="K4740" t="s">
        <v>95</v>
      </c>
      <c r="L4740" t="s">
        <v>1293</v>
      </c>
      <c r="M4740" t="s">
        <v>103</v>
      </c>
      <c r="N4740" t="s">
        <v>98</v>
      </c>
      <c r="O4740" t="s">
        <v>116</v>
      </c>
    </row>
    <row r="4741" spans="1:15" x14ac:dyDescent="0.3">
      <c r="A4741" s="130">
        <v>25153</v>
      </c>
      <c r="B4741" s="130">
        <v>30</v>
      </c>
      <c r="C4741" s="130" t="s">
        <v>6365</v>
      </c>
      <c r="D4741">
        <v>38524</v>
      </c>
      <c r="E4741" s="130">
        <v>12363847</v>
      </c>
      <c r="F4741" t="s">
        <v>87</v>
      </c>
      <c r="G4741">
        <v>32947</v>
      </c>
      <c r="H4741" t="s">
        <v>8953</v>
      </c>
      <c r="I4741" s="130">
        <v>18</v>
      </c>
      <c r="J4741" t="s">
        <v>6365</v>
      </c>
      <c r="K4741" t="s">
        <v>95</v>
      </c>
      <c r="L4741" t="s">
        <v>1293</v>
      </c>
      <c r="M4741" t="s">
        <v>103</v>
      </c>
      <c r="N4741" t="s">
        <v>98</v>
      </c>
      <c r="O4741" t="s">
        <v>116</v>
      </c>
    </row>
    <row r="4742" spans="1:15" x14ac:dyDescent="0.3">
      <c r="A4742" s="130">
        <v>25157</v>
      </c>
      <c r="B4742" s="130">
        <v>30</v>
      </c>
      <c r="C4742" s="130" t="s">
        <v>6366</v>
      </c>
      <c r="D4742">
        <v>38533</v>
      </c>
      <c r="E4742" s="130">
        <v>41857780</v>
      </c>
      <c r="F4742" t="s">
        <v>87</v>
      </c>
      <c r="G4742">
        <v>32947</v>
      </c>
      <c r="H4742" t="s">
        <v>8951</v>
      </c>
      <c r="I4742" s="130">
        <v>3</v>
      </c>
      <c r="J4742" t="s">
        <v>6366</v>
      </c>
      <c r="K4742" t="s">
        <v>108</v>
      </c>
      <c r="L4742" t="s">
        <v>109</v>
      </c>
      <c r="M4742" t="s">
        <v>103</v>
      </c>
      <c r="N4742" t="s">
        <v>107</v>
      </c>
      <c r="O4742" t="s">
        <v>116</v>
      </c>
    </row>
    <row r="4743" spans="1:15" x14ac:dyDescent="0.3">
      <c r="A4743" s="130">
        <v>25159</v>
      </c>
      <c r="B4743" s="130">
        <v>10</v>
      </c>
      <c r="C4743" s="130" t="s">
        <v>6367</v>
      </c>
      <c r="D4743">
        <v>38538</v>
      </c>
      <c r="E4743" s="130">
        <v>7213902</v>
      </c>
      <c r="F4743" t="s">
        <v>113</v>
      </c>
      <c r="G4743">
        <v>76</v>
      </c>
      <c r="H4743" t="s">
        <v>8952</v>
      </c>
      <c r="I4743" s="130">
        <v>9</v>
      </c>
      <c r="J4743" t="s">
        <v>6367</v>
      </c>
      <c r="K4743" t="s">
        <v>95</v>
      </c>
      <c r="L4743" t="s">
        <v>1298</v>
      </c>
      <c r="M4743" t="s">
        <v>133</v>
      </c>
      <c r="N4743" t="s">
        <v>98</v>
      </c>
      <c r="O4743" t="s">
        <v>1256</v>
      </c>
    </row>
    <row r="4744" spans="1:15" x14ac:dyDescent="0.3">
      <c r="A4744" s="130">
        <v>25161</v>
      </c>
      <c r="B4744" s="130">
        <v>30</v>
      </c>
      <c r="C4744" s="130" t="s">
        <v>6368</v>
      </c>
      <c r="D4744">
        <v>38540</v>
      </c>
      <c r="E4744" s="130">
        <v>67706853</v>
      </c>
      <c r="F4744" t="s">
        <v>87</v>
      </c>
      <c r="G4744">
        <v>76</v>
      </c>
      <c r="H4744" t="s">
        <v>8953</v>
      </c>
      <c r="I4744" s="130">
        <v>19</v>
      </c>
      <c r="J4744" t="s">
        <v>6368</v>
      </c>
      <c r="K4744" t="s">
        <v>95</v>
      </c>
      <c r="L4744" t="s">
        <v>111</v>
      </c>
      <c r="M4744" t="s">
        <v>103</v>
      </c>
      <c r="N4744" t="s">
        <v>98</v>
      </c>
      <c r="O4744" t="s">
        <v>116</v>
      </c>
    </row>
    <row r="4745" spans="1:15" x14ac:dyDescent="0.3">
      <c r="A4745" s="130">
        <v>25164</v>
      </c>
      <c r="B4745" s="130">
        <v>18</v>
      </c>
      <c r="C4745" s="130" t="s">
        <v>6369</v>
      </c>
      <c r="D4745">
        <v>38543</v>
      </c>
      <c r="E4745" s="130">
        <v>12363277</v>
      </c>
      <c r="F4745" t="s">
        <v>87</v>
      </c>
      <c r="G4745">
        <v>76</v>
      </c>
      <c r="H4745" t="s">
        <v>8951</v>
      </c>
      <c r="I4745" s="130">
        <v>37</v>
      </c>
      <c r="J4745" t="s">
        <v>6369</v>
      </c>
      <c r="K4745" t="s">
        <v>108</v>
      </c>
      <c r="L4745" t="s">
        <v>138</v>
      </c>
      <c r="M4745" t="s">
        <v>112</v>
      </c>
      <c r="N4745" t="s">
        <v>114</v>
      </c>
      <c r="O4745" t="s">
        <v>116</v>
      </c>
    </row>
    <row r="4746" spans="1:15" x14ac:dyDescent="0.3">
      <c r="A4746" s="130">
        <v>25165</v>
      </c>
      <c r="B4746" s="130">
        <v>28</v>
      </c>
      <c r="C4746" s="130" t="s">
        <v>6370</v>
      </c>
      <c r="D4746">
        <v>38461</v>
      </c>
      <c r="E4746" s="130">
        <v>47542291</v>
      </c>
      <c r="F4746" t="s">
        <v>113</v>
      </c>
      <c r="G4746">
        <v>76</v>
      </c>
      <c r="H4746" t="s">
        <v>8952</v>
      </c>
      <c r="I4746" s="131">
        <v>18</v>
      </c>
      <c r="J4746" t="s">
        <v>6370</v>
      </c>
      <c r="K4746" t="s">
        <v>108</v>
      </c>
      <c r="L4746" t="s">
        <v>253</v>
      </c>
      <c r="M4746" t="s">
        <v>130</v>
      </c>
      <c r="N4746" t="s">
        <v>98</v>
      </c>
      <c r="O4746" t="s">
        <v>1256</v>
      </c>
    </row>
    <row r="4747" spans="1:15" x14ac:dyDescent="0.3">
      <c r="A4747" s="130">
        <v>25168</v>
      </c>
      <c r="B4747" s="130">
        <v>10</v>
      </c>
      <c r="C4747" s="130" t="s">
        <v>6371</v>
      </c>
      <c r="D4747">
        <v>38547</v>
      </c>
      <c r="E4747" s="130">
        <v>29381263</v>
      </c>
      <c r="F4747" t="s">
        <v>87</v>
      </c>
      <c r="G4747">
        <v>32947</v>
      </c>
      <c r="H4747" t="s">
        <v>8953</v>
      </c>
      <c r="I4747" s="130">
        <v>3</v>
      </c>
      <c r="J4747" t="s">
        <v>6371</v>
      </c>
      <c r="K4747" t="s">
        <v>108</v>
      </c>
      <c r="L4747" t="s">
        <v>1293</v>
      </c>
      <c r="M4747" t="s">
        <v>133</v>
      </c>
      <c r="N4747" t="s">
        <v>124</v>
      </c>
      <c r="O4747" t="s">
        <v>116</v>
      </c>
    </row>
    <row r="4748" spans="1:15" x14ac:dyDescent="0.3">
      <c r="A4748" s="130">
        <v>25171</v>
      </c>
      <c r="B4748" s="130">
        <v>10</v>
      </c>
      <c r="C4748" s="130" t="s">
        <v>6372</v>
      </c>
      <c r="D4748">
        <v>38555</v>
      </c>
      <c r="E4748" s="130">
        <v>12088793</v>
      </c>
      <c r="F4748" t="s">
        <v>87</v>
      </c>
      <c r="G4748">
        <v>76</v>
      </c>
      <c r="H4748" t="s">
        <v>8951</v>
      </c>
      <c r="I4748" s="130">
        <v>3</v>
      </c>
      <c r="J4748" t="s">
        <v>6372</v>
      </c>
      <c r="K4748" t="s">
        <v>95</v>
      </c>
      <c r="L4748" t="s">
        <v>925</v>
      </c>
      <c r="M4748" t="s">
        <v>133</v>
      </c>
      <c r="N4748" t="s">
        <v>98</v>
      </c>
      <c r="O4748" t="s">
        <v>1256</v>
      </c>
    </row>
    <row r="4749" spans="1:15" x14ac:dyDescent="0.3">
      <c r="A4749" s="130">
        <v>25172</v>
      </c>
      <c r="B4749" s="130">
        <v>21</v>
      </c>
      <c r="C4749" s="130" t="s">
        <v>6373</v>
      </c>
      <c r="D4749">
        <v>38556</v>
      </c>
      <c r="E4749" s="130">
        <v>3534661</v>
      </c>
      <c r="F4749" t="s">
        <v>87</v>
      </c>
      <c r="G4749">
        <v>76</v>
      </c>
      <c r="H4749" t="s">
        <v>8952</v>
      </c>
      <c r="I4749" s="130">
        <v>43</v>
      </c>
      <c r="J4749" t="s">
        <v>6373</v>
      </c>
      <c r="K4749" t="s">
        <v>95</v>
      </c>
      <c r="L4749" t="s">
        <v>111</v>
      </c>
      <c r="M4749" t="s">
        <v>137</v>
      </c>
      <c r="N4749" t="s">
        <v>101</v>
      </c>
      <c r="O4749" t="s">
        <v>116</v>
      </c>
    </row>
    <row r="4750" spans="1:15" x14ac:dyDescent="0.3">
      <c r="A4750" s="130">
        <v>25173</v>
      </c>
      <c r="B4750" s="130">
        <v>0</v>
      </c>
      <c r="C4750" s="130" t="s">
        <v>6374</v>
      </c>
      <c r="D4750">
        <v>38472</v>
      </c>
      <c r="E4750" s="131">
        <v>7101952</v>
      </c>
      <c r="F4750" t="s">
        <v>87</v>
      </c>
      <c r="G4750">
        <v>76</v>
      </c>
      <c r="H4750" t="s">
        <v>8953</v>
      </c>
      <c r="I4750" s="131">
        <v>18</v>
      </c>
      <c r="J4750" t="s">
        <v>6374</v>
      </c>
      <c r="K4750" t="s">
        <v>108</v>
      </c>
      <c r="L4750" t="s">
        <v>253</v>
      </c>
      <c r="M4750" t="s">
        <v>100</v>
      </c>
      <c r="N4750" t="s">
        <v>98</v>
      </c>
      <c r="O4750" t="s">
        <v>1256</v>
      </c>
    </row>
    <row r="4751" spans="1:15" x14ac:dyDescent="0.3">
      <c r="A4751" s="130">
        <v>25176</v>
      </c>
      <c r="B4751" s="130">
        <v>10</v>
      </c>
      <c r="C4751" s="130" t="s">
        <v>6375</v>
      </c>
      <c r="D4751">
        <v>38559</v>
      </c>
      <c r="E4751" s="130">
        <v>2525725</v>
      </c>
      <c r="F4751" t="s">
        <v>87</v>
      </c>
      <c r="G4751">
        <v>76</v>
      </c>
      <c r="H4751" t="s">
        <v>8951</v>
      </c>
      <c r="I4751" s="131">
        <v>18</v>
      </c>
      <c r="J4751" t="s">
        <v>6375</v>
      </c>
      <c r="K4751" t="s">
        <v>108</v>
      </c>
      <c r="L4751" t="s">
        <v>253</v>
      </c>
      <c r="M4751" t="s">
        <v>133</v>
      </c>
      <c r="N4751" t="s">
        <v>152</v>
      </c>
      <c r="O4751" t="s">
        <v>1256</v>
      </c>
    </row>
    <row r="4752" spans="1:15" x14ac:dyDescent="0.3">
      <c r="A4752" s="130">
        <v>25180</v>
      </c>
      <c r="B4752" s="130">
        <v>30</v>
      </c>
      <c r="C4752" s="130" t="s">
        <v>6376</v>
      </c>
      <c r="D4752">
        <v>38562</v>
      </c>
      <c r="E4752" s="131">
        <v>13623957</v>
      </c>
      <c r="F4752" t="s">
        <v>87</v>
      </c>
      <c r="G4752">
        <v>76</v>
      </c>
      <c r="H4752" t="s">
        <v>8952</v>
      </c>
      <c r="I4752" s="130">
        <v>18</v>
      </c>
      <c r="J4752" t="s">
        <v>6376</v>
      </c>
      <c r="K4752" t="s">
        <v>95</v>
      </c>
      <c r="L4752" t="s">
        <v>123</v>
      </c>
      <c r="M4752" t="s">
        <v>103</v>
      </c>
      <c r="N4752" t="s">
        <v>98</v>
      </c>
      <c r="O4752" t="s">
        <v>1256</v>
      </c>
    </row>
    <row r="4753" spans="1:15" x14ac:dyDescent="0.3">
      <c r="A4753" s="130">
        <v>25181</v>
      </c>
      <c r="B4753" s="130">
        <v>45</v>
      </c>
      <c r="C4753" s="130" t="s">
        <v>6377</v>
      </c>
      <c r="D4753">
        <v>38563</v>
      </c>
      <c r="E4753" s="130">
        <v>53505700</v>
      </c>
      <c r="F4753" t="s">
        <v>113</v>
      </c>
      <c r="G4753">
        <v>76</v>
      </c>
      <c r="H4753" t="s">
        <v>8953</v>
      </c>
      <c r="I4753" s="131">
        <v>24</v>
      </c>
      <c r="J4753" t="s">
        <v>6377</v>
      </c>
      <c r="K4753" t="s">
        <v>95</v>
      </c>
      <c r="L4753" t="s">
        <v>240</v>
      </c>
      <c r="M4753" t="s">
        <v>106</v>
      </c>
      <c r="N4753" t="s">
        <v>98</v>
      </c>
      <c r="O4753" t="s">
        <v>1256</v>
      </c>
    </row>
    <row r="4754" spans="1:15" x14ac:dyDescent="0.3">
      <c r="A4754" s="130">
        <v>25182</v>
      </c>
      <c r="B4754" s="130">
        <v>30</v>
      </c>
      <c r="C4754" s="130" t="s">
        <v>6378</v>
      </c>
      <c r="D4754">
        <v>38564</v>
      </c>
      <c r="E4754" s="131">
        <v>18715383</v>
      </c>
      <c r="F4754" t="s">
        <v>87</v>
      </c>
      <c r="G4754">
        <v>77</v>
      </c>
      <c r="H4754" t="s">
        <v>8951</v>
      </c>
      <c r="I4754" s="131">
        <v>3</v>
      </c>
      <c r="J4754" t="s">
        <v>6378</v>
      </c>
      <c r="K4754" t="s">
        <v>95</v>
      </c>
      <c r="L4754" t="s">
        <v>256</v>
      </c>
      <c r="M4754" t="s">
        <v>103</v>
      </c>
      <c r="N4754" t="s">
        <v>131</v>
      </c>
      <c r="O4754" t="s">
        <v>116</v>
      </c>
    </row>
    <row r="4755" spans="1:15" x14ac:dyDescent="0.3">
      <c r="A4755" s="130">
        <v>25184</v>
      </c>
      <c r="B4755" s="130">
        <v>30</v>
      </c>
      <c r="C4755" s="130" t="s">
        <v>6379</v>
      </c>
      <c r="D4755">
        <v>38569</v>
      </c>
      <c r="E4755" s="130">
        <v>5451496</v>
      </c>
      <c r="F4755" t="s">
        <v>87</v>
      </c>
      <c r="G4755">
        <v>32947</v>
      </c>
      <c r="H4755" t="s">
        <v>8952</v>
      </c>
      <c r="I4755" s="131">
        <v>3</v>
      </c>
      <c r="J4755" t="s">
        <v>6379</v>
      </c>
      <c r="K4755" t="s">
        <v>108</v>
      </c>
      <c r="L4755" t="s">
        <v>109</v>
      </c>
      <c r="M4755" t="s">
        <v>103</v>
      </c>
      <c r="N4755" t="s">
        <v>98</v>
      </c>
      <c r="O4755" t="s">
        <v>116</v>
      </c>
    </row>
    <row r="4756" spans="1:15" x14ac:dyDescent="0.3">
      <c r="A4756" s="130">
        <v>25186</v>
      </c>
      <c r="B4756" s="130">
        <v>18</v>
      </c>
      <c r="C4756" s="130" t="s">
        <v>6380</v>
      </c>
      <c r="D4756">
        <v>38587</v>
      </c>
      <c r="E4756" s="130">
        <v>13812133</v>
      </c>
      <c r="F4756" t="s">
        <v>87</v>
      </c>
      <c r="G4756">
        <v>76</v>
      </c>
      <c r="H4756" t="s">
        <v>8953</v>
      </c>
      <c r="I4756" s="130">
        <v>26</v>
      </c>
      <c r="J4756" t="s">
        <v>6380</v>
      </c>
      <c r="K4756" t="s">
        <v>95</v>
      </c>
      <c r="L4756" t="s">
        <v>151</v>
      </c>
      <c r="M4756" t="s">
        <v>112</v>
      </c>
      <c r="N4756" t="s">
        <v>169</v>
      </c>
      <c r="O4756" t="s">
        <v>1256</v>
      </c>
    </row>
    <row r="4757" spans="1:15" x14ac:dyDescent="0.3">
      <c r="A4757" s="130">
        <v>25188</v>
      </c>
      <c r="B4757" s="130">
        <v>30</v>
      </c>
      <c r="C4757" s="130" t="s">
        <v>6381</v>
      </c>
      <c r="D4757">
        <v>38588</v>
      </c>
      <c r="E4757" s="130">
        <v>13623957</v>
      </c>
      <c r="F4757" t="s">
        <v>87</v>
      </c>
      <c r="G4757">
        <v>76</v>
      </c>
      <c r="H4757" t="s">
        <v>8951</v>
      </c>
      <c r="I4757" s="130">
        <v>18</v>
      </c>
      <c r="J4757" t="s">
        <v>6381</v>
      </c>
      <c r="K4757" t="s">
        <v>95</v>
      </c>
      <c r="L4757" t="s">
        <v>123</v>
      </c>
      <c r="M4757" t="s">
        <v>103</v>
      </c>
      <c r="N4757" t="s">
        <v>98</v>
      </c>
      <c r="O4757" t="s">
        <v>116</v>
      </c>
    </row>
    <row r="4758" spans="1:15" x14ac:dyDescent="0.3">
      <c r="A4758" s="130">
        <v>25193</v>
      </c>
      <c r="B4758" s="130">
        <v>30</v>
      </c>
      <c r="C4758" s="130" t="s">
        <v>6382</v>
      </c>
      <c r="D4758">
        <v>38602</v>
      </c>
      <c r="E4758" s="130">
        <v>18715383</v>
      </c>
      <c r="F4758" t="s">
        <v>87</v>
      </c>
      <c r="G4758">
        <v>77</v>
      </c>
      <c r="H4758" t="s">
        <v>8952</v>
      </c>
      <c r="I4758" s="131">
        <v>3</v>
      </c>
      <c r="J4758" t="s">
        <v>6382</v>
      </c>
      <c r="K4758" t="s">
        <v>95</v>
      </c>
      <c r="L4758" t="s">
        <v>256</v>
      </c>
      <c r="M4758" t="s">
        <v>103</v>
      </c>
      <c r="N4758" t="s">
        <v>131</v>
      </c>
      <c r="O4758" t="s">
        <v>116</v>
      </c>
    </row>
    <row r="4759" spans="1:15" x14ac:dyDescent="0.3">
      <c r="A4759" s="130">
        <v>25198</v>
      </c>
      <c r="B4759" s="130">
        <v>10</v>
      </c>
      <c r="C4759" s="130" t="s">
        <v>6383</v>
      </c>
      <c r="D4759">
        <v>38565</v>
      </c>
      <c r="E4759" s="130">
        <v>49314378</v>
      </c>
      <c r="F4759" t="s">
        <v>113</v>
      </c>
      <c r="G4759">
        <v>76</v>
      </c>
      <c r="H4759" t="s">
        <v>8953</v>
      </c>
      <c r="I4759" s="130">
        <v>9</v>
      </c>
      <c r="J4759" t="s">
        <v>6383</v>
      </c>
      <c r="K4759" t="s">
        <v>108</v>
      </c>
      <c r="L4759" t="s">
        <v>163</v>
      </c>
      <c r="M4759" t="s">
        <v>133</v>
      </c>
      <c r="N4759" t="s">
        <v>98</v>
      </c>
      <c r="O4759" t="s">
        <v>1256</v>
      </c>
    </row>
    <row r="4760" spans="1:15" x14ac:dyDescent="0.3">
      <c r="A4760" s="130">
        <v>25199</v>
      </c>
      <c r="B4760" s="130">
        <v>18</v>
      </c>
      <c r="C4760" s="130" t="s">
        <v>6384</v>
      </c>
      <c r="D4760">
        <v>38610</v>
      </c>
      <c r="E4760" s="131">
        <v>33431854</v>
      </c>
      <c r="F4760" t="s">
        <v>87</v>
      </c>
      <c r="G4760">
        <v>32947</v>
      </c>
      <c r="H4760" t="s">
        <v>8951</v>
      </c>
      <c r="I4760" s="131">
        <v>43</v>
      </c>
      <c r="J4760" t="s">
        <v>6384</v>
      </c>
      <c r="K4760" t="s">
        <v>108</v>
      </c>
      <c r="L4760" t="s">
        <v>1241</v>
      </c>
      <c r="M4760" t="s">
        <v>112</v>
      </c>
      <c r="N4760" t="s">
        <v>114</v>
      </c>
      <c r="O4760" t="s">
        <v>1256</v>
      </c>
    </row>
    <row r="4761" spans="1:15" x14ac:dyDescent="0.3">
      <c r="A4761" s="130">
        <v>25202</v>
      </c>
      <c r="B4761" s="130">
        <v>30</v>
      </c>
      <c r="C4761" s="130" t="s">
        <v>6385</v>
      </c>
      <c r="D4761">
        <v>38614</v>
      </c>
      <c r="E4761" s="131">
        <v>17161464</v>
      </c>
      <c r="F4761" t="s">
        <v>87</v>
      </c>
      <c r="G4761">
        <v>32947</v>
      </c>
      <c r="H4761" t="s">
        <v>8952</v>
      </c>
      <c r="I4761" s="131">
        <v>3</v>
      </c>
      <c r="J4761" t="s">
        <v>6385</v>
      </c>
      <c r="K4761" t="s">
        <v>95</v>
      </c>
      <c r="L4761" t="s">
        <v>109</v>
      </c>
      <c r="M4761" t="s">
        <v>103</v>
      </c>
      <c r="N4761" t="s">
        <v>98</v>
      </c>
      <c r="O4761" t="s">
        <v>116</v>
      </c>
    </row>
    <row r="4762" spans="1:15" x14ac:dyDescent="0.3">
      <c r="A4762" s="130">
        <v>25204</v>
      </c>
      <c r="C4762" s="130" t="s">
        <v>6386</v>
      </c>
      <c r="D4762">
        <v>38586</v>
      </c>
      <c r="E4762" s="131">
        <v>13714058</v>
      </c>
      <c r="F4762" t="s">
        <v>113</v>
      </c>
      <c r="G4762">
        <v>32947</v>
      </c>
      <c r="H4762" t="s">
        <v>8953</v>
      </c>
      <c r="I4762" s="130">
        <v>43</v>
      </c>
      <c r="J4762" t="s">
        <v>6386</v>
      </c>
      <c r="K4762" t="s">
        <v>108</v>
      </c>
      <c r="L4762" t="s">
        <v>1241</v>
      </c>
      <c r="N4762" t="s">
        <v>98</v>
      </c>
      <c r="O4762" t="s">
        <v>1256</v>
      </c>
    </row>
    <row r="4763" spans="1:15" x14ac:dyDescent="0.3">
      <c r="A4763" s="130">
        <v>25207</v>
      </c>
      <c r="B4763" s="130">
        <v>10</v>
      </c>
      <c r="C4763" s="130" t="s">
        <v>6387</v>
      </c>
      <c r="D4763">
        <v>38619</v>
      </c>
      <c r="E4763" s="131">
        <v>38260778</v>
      </c>
      <c r="F4763" t="s">
        <v>87</v>
      </c>
      <c r="G4763">
        <v>76</v>
      </c>
      <c r="H4763" t="s">
        <v>8951</v>
      </c>
      <c r="I4763" s="130">
        <v>9</v>
      </c>
      <c r="J4763" t="s">
        <v>6387</v>
      </c>
      <c r="K4763" t="s">
        <v>108</v>
      </c>
      <c r="L4763" t="s">
        <v>163</v>
      </c>
      <c r="M4763" t="s">
        <v>133</v>
      </c>
      <c r="N4763" t="s">
        <v>98</v>
      </c>
      <c r="O4763" t="s">
        <v>1256</v>
      </c>
    </row>
    <row r="4764" spans="1:15" x14ac:dyDescent="0.3">
      <c r="A4764" s="130">
        <v>25208</v>
      </c>
      <c r="B4764" s="130">
        <v>28</v>
      </c>
      <c r="C4764" s="130" t="s">
        <v>6388</v>
      </c>
      <c r="D4764">
        <v>38621</v>
      </c>
      <c r="E4764" s="131">
        <v>51466860</v>
      </c>
      <c r="F4764" t="s">
        <v>87</v>
      </c>
      <c r="G4764">
        <v>76</v>
      </c>
      <c r="H4764" t="s">
        <v>8952</v>
      </c>
      <c r="I4764" s="131">
        <v>37</v>
      </c>
      <c r="J4764" t="s">
        <v>6388</v>
      </c>
      <c r="K4764" t="s">
        <v>95</v>
      </c>
      <c r="L4764" t="s">
        <v>144</v>
      </c>
      <c r="M4764" t="s">
        <v>130</v>
      </c>
      <c r="N4764" t="s">
        <v>141</v>
      </c>
      <c r="O4764" t="s">
        <v>116</v>
      </c>
    </row>
    <row r="4765" spans="1:15" x14ac:dyDescent="0.3">
      <c r="A4765" s="130">
        <v>25211</v>
      </c>
      <c r="B4765" s="130">
        <v>28</v>
      </c>
      <c r="C4765" s="130" t="s">
        <v>6389</v>
      </c>
      <c r="D4765">
        <v>38628</v>
      </c>
      <c r="E4765" s="130">
        <v>22811775</v>
      </c>
      <c r="F4765" t="s">
        <v>87</v>
      </c>
      <c r="G4765">
        <v>76</v>
      </c>
      <c r="H4765" t="s">
        <v>8953</v>
      </c>
      <c r="I4765" s="130">
        <v>24</v>
      </c>
      <c r="J4765" t="s">
        <v>6389</v>
      </c>
      <c r="K4765" t="s">
        <v>108</v>
      </c>
      <c r="L4765" t="s">
        <v>191</v>
      </c>
      <c r="M4765" t="s">
        <v>130</v>
      </c>
      <c r="N4765" t="s">
        <v>114</v>
      </c>
      <c r="O4765" t="s">
        <v>116</v>
      </c>
    </row>
    <row r="4766" spans="1:15" x14ac:dyDescent="0.3">
      <c r="A4766" s="130">
        <v>25218</v>
      </c>
      <c r="B4766" s="130">
        <v>30</v>
      </c>
      <c r="C4766" s="130" t="s">
        <v>6390</v>
      </c>
      <c r="D4766">
        <v>38636</v>
      </c>
      <c r="E4766" s="130">
        <v>8807683</v>
      </c>
      <c r="F4766" t="s">
        <v>87</v>
      </c>
      <c r="G4766">
        <v>76</v>
      </c>
      <c r="H4766" t="s">
        <v>8951</v>
      </c>
      <c r="I4766" s="130">
        <v>26</v>
      </c>
      <c r="J4766" t="s">
        <v>6390</v>
      </c>
      <c r="K4766" t="s">
        <v>95</v>
      </c>
      <c r="L4766" t="s">
        <v>151</v>
      </c>
      <c r="M4766" t="s">
        <v>103</v>
      </c>
      <c r="N4766" t="s">
        <v>118</v>
      </c>
      <c r="O4766" t="s">
        <v>116</v>
      </c>
    </row>
    <row r="4767" spans="1:15" x14ac:dyDescent="0.3">
      <c r="A4767" s="130">
        <v>25220</v>
      </c>
      <c r="B4767" s="130">
        <v>5</v>
      </c>
      <c r="C4767" s="130" t="s">
        <v>6391</v>
      </c>
      <c r="D4767">
        <v>38641</v>
      </c>
      <c r="E4767" s="131">
        <v>32243429</v>
      </c>
      <c r="F4767" t="s">
        <v>87</v>
      </c>
      <c r="G4767">
        <v>76</v>
      </c>
      <c r="H4767" t="s">
        <v>8952</v>
      </c>
      <c r="I4767" s="130">
        <v>43</v>
      </c>
      <c r="J4767" t="s">
        <v>6391</v>
      </c>
      <c r="K4767" t="s">
        <v>95</v>
      </c>
      <c r="L4767" t="s">
        <v>146</v>
      </c>
      <c r="M4767" t="s">
        <v>129</v>
      </c>
      <c r="N4767" t="s">
        <v>122</v>
      </c>
      <c r="O4767" t="s">
        <v>116</v>
      </c>
    </row>
    <row r="4768" spans="1:15" x14ac:dyDescent="0.3">
      <c r="A4768" s="130">
        <v>25222</v>
      </c>
      <c r="B4768" s="130">
        <v>15</v>
      </c>
      <c r="C4768" s="130" t="s">
        <v>6392</v>
      </c>
      <c r="D4768">
        <v>38646</v>
      </c>
      <c r="E4768" s="130">
        <v>11026356</v>
      </c>
      <c r="F4768" t="s">
        <v>113</v>
      </c>
      <c r="G4768">
        <v>76</v>
      </c>
      <c r="H4768" t="s">
        <v>8953</v>
      </c>
      <c r="I4768" s="130">
        <v>24</v>
      </c>
      <c r="J4768" t="s">
        <v>6392</v>
      </c>
      <c r="K4768" t="s">
        <v>108</v>
      </c>
      <c r="L4768" t="s">
        <v>240</v>
      </c>
      <c r="M4768" t="s">
        <v>145</v>
      </c>
      <c r="N4768" t="s">
        <v>114</v>
      </c>
      <c r="O4768" t="s">
        <v>1256</v>
      </c>
    </row>
    <row r="4769" spans="1:15" x14ac:dyDescent="0.3">
      <c r="A4769" s="130">
        <v>25230</v>
      </c>
      <c r="B4769" s="130">
        <v>10</v>
      </c>
      <c r="C4769" s="130" t="s">
        <v>6393</v>
      </c>
      <c r="D4769">
        <v>38661</v>
      </c>
      <c r="E4769" s="130">
        <v>44587391</v>
      </c>
      <c r="F4769" t="s">
        <v>113</v>
      </c>
      <c r="G4769">
        <v>76</v>
      </c>
      <c r="H4769" t="s">
        <v>8951</v>
      </c>
      <c r="I4769" s="131">
        <v>3</v>
      </c>
      <c r="J4769" t="s">
        <v>6393</v>
      </c>
      <c r="K4769" t="s">
        <v>108</v>
      </c>
      <c r="L4769" t="s">
        <v>925</v>
      </c>
      <c r="M4769" t="s">
        <v>133</v>
      </c>
      <c r="N4769" t="s">
        <v>118</v>
      </c>
      <c r="O4769" t="s">
        <v>1256</v>
      </c>
    </row>
    <row r="4770" spans="1:15" x14ac:dyDescent="0.3">
      <c r="A4770" s="130">
        <v>25233</v>
      </c>
      <c r="B4770" s="130">
        <v>60</v>
      </c>
      <c r="C4770" s="130" t="s">
        <v>6394</v>
      </c>
      <c r="D4770">
        <v>38670</v>
      </c>
      <c r="E4770" s="130">
        <v>17185786</v>
      </c>
      <c r="F4770" t="s">
        <v>87</v>
      </c>
      <c r="G4770">
        <v>32947</v>
      </c>
      <c r="H4770" t="s">
        <v>8952</v>
      </c>
      <c r="I4770" s="130">
        <v>3</v>
      </c>
      <c r="J4770" t="s">
        <v>6394</v>
      </c>
      <c r="K4770" t="s">
        <v>95</v>
      </c>
      <c r="L4770" t="s">
        <v>109</v>
      </c>
      <c r="M4770" t="s">
        <v>97</v>
      </c>
      <c r="N4770" t="s">
        <v>98</v>
      </c>
      <c r="O4770" t="s">
        <v>1345</v>
      </c>
    </row>
    <row r="4771" spans="1:15" x14ac:dyDescent="0.3">
      <c r="A4771" s="130">
        <v>25235</v>
      </c>
      <c r="B4771" s="130">
        <v>18</v>
      </c>
      <c r="C4771" s="130" t="s">
        <v>6395</v>
      </c>
      <c r="D4771">
        <v>38674</v>
      </c>
      <c r="E4771" s="131">
        <v>42163162</v>
      </c>
      <c r="F4771" t="s">
        <v>113</v>
      </c>
      <c r="G4771">
        <v>76</v>
      </c>
      <c r="H4771" t="s">
        <v>8953</v>
      </c>
      <c r="I4771" s="131">
        <v>9</v>
      </c>
      <c r="J4771" t="s">
        <v>6395</v>
      </c>
      <c r="K4771" t="s">
        <v>95</v>
      </c>
      <c r="L4771" t="s">
        <v>1298</v>
      </c>
      <c r="M4771" t="s">
        <v>112</v>
      </c>
      <c r="N4771" t="s">
        <v>114</v>
      </c>
      <c r="O4771" t="s">
        <v>1256</v>
      </c>
    </row>
    <row r="4772" spans="1:15" x14ac:dyDescent="0.3">
      <c r="A4772" s="130">
        <v>25237</v>
      </c>
      <c r="B4772" s="130">
        <v>30</v>
      </c>
      <c r="C4772" s="130" t="s">
        <v>6396</v>
      </c>
      <c r="D4772">
        <v>38680</v>
      </c>
      <c r="E4772" s="130">
        <v>36178464</v>
      </c>
      <c r="F4772" t="s">
        <v>87</v>
      </c>
      <c r="G4772">
        <v>76</v>
      </c>
      <c r="H4772" t="s">
        <v>8951</v>
      </c>
      <c r="I4772" s="131">
        <v>37</v>
      </c>
      <c r="J4772" t="s">
        <v>6396</v>
      </c>
      <c r="K4772" t="s">
        <v>95</v>
      </c>
      <c r="L4772" t="s">
        <v>138</v>
      </c>
      <c r="M4772" t="s">
        <v>103</v>
      </c>
      <c r="N4772" t="s">
        <v>150</v>
      </c>
      <c r="O4772" t="s">
        <v>116</v>
      </c>
    </row>
    <row r="4773" spans="1:15" x14ac:dyDescent="0.3">
      <c r="A4773" s="130">
        <v>25238</v>
      </c>
      <c r="C4773" s="130" t="s">
        <v>6397</v>
      </c>
      <c r="D4773">
        <v>38465</v>
      </c>
      <c r="E4773" s="130">
        <v>2016712</v>
      </c>
      <c r="F4773" t="s">
        <v>113</v>
      </c>
      <c r="G4773">
        <v>76</v>
      </c>
      <c r="H4773" t="s">
        <v>8952</v>
      </c>
      <c r="I4773" s="130">
        <v>24</v>
      </c>
      <c r="J4773" t="s">
        <v>6397</v>
      </c>
      <c r="K4773" t="s">
        <v>95</v>
      </c>
      <c r="L4773" t="s">
        <v>1253</v>
      </c>
      <c r="N4773" t="s">
        <v>98</v>
      </c>
      <c r="O4773" t="s">
        <v>1256</v>
      </c>
    </row>
    <row r="4774" spans="1:15" x14ac:dyDescent="0.3">
      <c r="A4774" s="130">
        <v>25241</v>
      </c>
      <c r="B4774" s="130">
        <v>18</v>
      </c>
      <c r="C4774" s="130" t="s">
        <v>6398</v>
      </c>
      <c r="D4774">
        <v>38685</v>
      </c>
      <c r="E4774" s="130">
        <v>42163162</v>
      </c>
      <c r="F4774" t="s">
        <v>113</v>
      </c>
      <c r="G4774">
        <v>76</v>
      </c>
      <c r="H4774" t="s">
        <v>8953</v>
      </c>
      <c r="I4774" s="130">
        <v>9</v>
      </c>
      <c r="J4774" t="s">
        <v>6398</v>
      </c>
      <c r="K4774" t="s">
        <v>108</v>
      </c>
      <c r="L4774" t="s">
        <v>1298</v>
      </c>
      <c r="M4774" t="s">
        <v>112</v>
      </c>
      <c r="N4774" t="s">
        <v>114</v>
      </c>
      <c r="O4774" t="s">
        <v>1256</v>
      </c>
    </row>
    <row r="4775" spans="1:15" x14ac:dyDescent="0.3">
      <c r="A4775" s="130">
        <v>25242</v>
      </c>
      <c r="B4775" s="130">
        <v>0</v>
      </c>
      <c r="C4775" s="130" t="s">
        <v>6399</v>
      </c>
      <c r="D4775">
        <v>38688</v>
      </c>
      <c r="E4775" s="130">
        <v>4373194</v>
      </c>
      <c r="F4775" t="s">
        <v>87</v>
      </c>
      <c r="G4775">
        <v>76</v>
      </c>
      <c r="H4775" t="s">
        <v>8951</v>
      </c>
      <c r="I4775" s="130">
        <v>24</v>
      </c>
      <c r="J4775" t="s">
        <v>6399</v>
      </c>
      <c r="K4775" t="s">
        <v>95</v>
      </c>
      <c r="L4775" t="s">
        <v>1253</v>
      </c>
      <c r="M4775" t="s">
        <v>100</v>
      </c>
      <c r="N4775" t="s">
        <v>98</v>
      </c>
      <c r="O4775" t="s">
        <v>1256</v>
      </c>
    </row>
    <row r="4776" spans="1:15" x14ac:dyDescent="0.3">
      <c r="A4776" s="130">
        <v>25248</v>
      </c>
      <c r="C4776" s="130" t="s">
        <v>6400</v>
      </c>
      <c r="D4776">
        <v>38698</v>
      </c>
      <c r="E4776" s="130">
        <v>82743832</v>
      </c>
      <c r="F4776" t="s">
        <v>87</v>
      </c>
      <c r="G4776">
        <v>76</v>
      </c>
      <c r="H4776" t="s">
        <v>8952</v>
      </c>
      <c r="I4776" s="130">
        <v>24</v>
      </c>
      <c r="J4776" t="s">
        <v>6400</v>
      </c>
      <c r="K4776" t="s">
        <v>95</v>
      </c>
      <c r="L4776" t="s">
        <v>1253</v>
      </c>
      <c r="N4776" t="s">
        <v>98</v>
      </c>
      <c r="O4776" t="s">
        <v>244</v>
      </c>
    </row>
    <row r="4777" spans="1:15" x14ac:dyDescent="0.3">
      <c r="A4777" s="130">
        <v>25249</v>
      </c>
      <c r="B4777" s="130">
        <v>30</v>
      </c>
      <c r="C4777" s="130" t="s">
        <v>6401</v>
      </c>
      <c r="D4777">
        <v>38699</v>
      </c>
      <c r="E4777" s="131">
        <v>82743832</v>
      </c>
      <c r="F4777" t="s">
        <v>87</v>
      </c>
      <c r="G4777">
        <v>76</v>
      </c>
      <c r="H4777" t="s">
        <v>8953</v>
      </c>
      <c r="I4777" s="131">
        <v>24</v>
      </c>
      <c r="J4777" t="s">
        <v>6401</v>
      </c>
      <c r="K4777" t="s">
        <v>95</v>
      </c>
      <c r="L4777" t="s">
        <v>1253</v>
      </c>
      <c r="M4777" t="s">
        <v>103</v>
      </c>
      <c r="N4777" t="s">
        <v>98</v>
      </c>
      <c r="O4777" t="s">
        <v>244</v>
      </c>
    </row>
    <row r="4778" spans="1:15" x14ac:dyDescent="0.3">
      <c r="A4778" s="130">
        <v>25254</v>
      </c>
      <c r="B4778" s="130">
        <v>28</v>
      </c>
      <c r="C4778" s="130" t="s">
        <v>6402</v>
      </c>
      <c r="D4778">
        <v>38655</v>
      </c>
      <c r="E4778" s="130">
        <v>7506628</v>
      </c>
      <c r="F4778" t="s">
        <v>113</v>
      </c>
      <c r="G4778">
        <v>76</v>
      </c>
      <c r="H4778" t="s">
        <v>8951</v>
      </c>
      <c r="I4778" s="130">
        <v>18</v>
      </c>
      <c r="J4778" t="s">
        <v>6402</v>
      </c>
      <c r="K4778" t="s">
        <v>108</v>
      </c>
      <c r="L4778" t="s">
        <v>253</v>
      </c>
      <c r="M4778" t="s">
        <v>130</v>
      </c>
      <c r="N4778" t="s">
        <v>114</v>
      </c>
      <c r="O4778" t="s">
        <v>1256</v>
      </c>
    </row>
    <row r="4779" spans="1:15" x14ac:dyDescent="0.3">
      <c r="A4779" s="130">
        <v>25255</v>
      </c>
      <c r="B4779" s="130">
        <v>30</v>
      </c>
      <c r="C4779" s="130" t="s">
        <v>6403</v>
      </c>
      <c r="D4779">
        <v>38708</v>
      </c>
      <c r="E4779" s="130">
        <v>17159856</v>
      </c>
      <c r="F4779" t="s">
        <v>87</v>
      </c>
      <c r="G4779">
        <v>32947</v>
      </c>
      <c r="H4779" t="s">
        <v>8952</v>
      </c>
      <c r="I4779" s="130">
        <v>3</v>
      </c>
      <c r="J4779" t="s">
        <v>6403</v>
      </c>
      <c r="K4779" t="s">
        <v>108</v>
      </c>
      <c r="L4779" t="s">
        <v>193</v>
      </c>
      <c r="M4779" t="s">
        <v>103</v>
      </c>
      <c r="N4779" t="s">
        <v>98</v>
      </c>
      <c r="O4779" t="s">
        <v>1345</v>
      </c>
    </row>
    <row r="4780" spans="1:15" x14ac:dyDescent="0.3">
      <c r="A4780" s="130">
        <v>25261</v>
      </c>
      <c r="B4780" s="130">
        <v>30</v>
      </c>
      <c r="C4780" s="130" t="s">
        <v>6404</v>
      </c>
      <c r="D4780">
        <v>38722</v>
      </c>
      <c r="E4780" s="130">
        <v>10763773</v>
      </c>
      <c r="F4780" t="s">
        <v>87</v>
      </c>
      <c r="G4780">
        <v>32947</v>
      </c>
      <c r="H4780" t="s">
        <v>8953</v>
      </c>
      <c r="I4780" s="130">
        <v>9</v>
      </c>
      <c r="J4780" t="s">
        <v>6404</v>
      </c>
      <c r="K4780" t="s">
        <v>108</v>
      </c>
      <c r="L4780" t="s">
        <v>111</v>
      </c>
      <c r="M4780" t="s">
        <v>103</v>
      </c>
      <c r="N4780" t="s">
        <v>98</v>
      </c>
      <c r="O4780" t="s">
        <v>116</v>
      </c>
    </row>
    <row r="4781" spans="1:15" x14ac:dyDescent="0.3">
      <c r="A4781" s="130">
        <v>25262</v>
      </c>
      <c r="C4781" s="130" t="s">
        <v>6405</v>
      </c>
      <c r="D4781">
        <v>38725</v>
      </c>
      <c r="E4781" s="130">
        <v>7936780</v>
      </c>
      <c r="F4781" t="s">
        <v>113</v>
      </c>
      <c r="G4781">
        <v>32947</v>
      </c>
      <c r="H4781" t="s">
        <v>8951</v>
      </c>
      <c r="I4781" s="131">
        <v>24</v>
      </c>
      <c r="J4781" t="s">
        <v>6405</v>
      </c>
      <c r="K4781" t="s">
        <v>108</v>
      </c>
      <c r="L4781" t="s">
        <v>1293</v>
      </c>
      <c r="N4781" t="s">
        <v>152</v>
      </c>
      <c r="O4781" t="s">
        <v>1256</v>
      </c>
    </row>
    <row r="4782" spans="1:15" x14ac:dyDescent="0.3">
      <c r="A4782" s="130">
        <v>25263</v>
      </c>
      <c r="B4782" s="130">
        <v>18</v>
      </c>
      <c r="C4782" s="130" t="s">
        <v>6406</v>
      </c>
      <c r="D4782">
        <v>38728</v>
      </c>
      <c r="E4782" s="130">
        <v>5325014</v>
      </c>
      <c r="F4782" t="s">
        <v>87</v>
      </c>
      <c r="G4782">
        <v>358</v>
      </c>
      <c r="H4782" t="s">
        <v>8952</v>
      </c>
      <c r="I4782" s="130">
        <v>9</v>
      </c>
      <c r="J4782" t="s">
        <v>6406</v>
      </c>
      <c r="K4782" t="s">
        <v>95</v>
      </c>
      <c r="L4782" t="s">
        <v>105</v>
      </c>
      <c r="M4782" t="s">
        <v>112</v>
      </c>
      <c r="N4782" t="s">
        <v>98</v>
      </c>
      <c r="O4782" t="s">
        <v>116</v>
      </c>
    </row>
    <row r="4783" spans="1:15" x14ac:dyDescent="0.3">
      <c r="A4783" s="130">
        <v>25265</v>
      </c>
      <c r="B4783" s="130">
        <v>0</v>
      </c>
      <c r="C4783" s="130" t="s">
        <v>6407</v>
      </c>
      <c r="D4783">
        <v>38623</v>
      </c>
      <c r="E4783" s="131">
        <v>46640417</v>
      </c>
      <c r="F4783" t="s">
        <v>113</v>
      </c>
      <c r="G4783">
        <v>76</v>
      </c>
      <c r="H4783" t="s">
        <v>8953</v>
      </c>
      <c r="I4783" s="131">
        <v>24</v>
      </c>
      <c r="J4783" t="s">
        <v>6407</v>
      </c>
      <c r="K4783" t="s">
        <v>95</v>
      </c>
      <c r="L4783" t="s">
        <v>1253</v>
      </c>
      <c r="M4783" t="s">
        <v>100</v>
      </c>
      <c r="N4783" t="s">
        <v>114</v>
      </c>
      <c r="O4783" t="s">
        <v>1256</v>
      </c>
    </row>
    <row r="4784" spans="1:15" x14ac:dyDescent="0.3">
      <c r="A4784" s="130">
        <v>25266</v>
      </c>
      <c r="B4784" s="130">
        <v>20</v>
      </c>
      <c r="C4784" s="130" t="s">
        <v>6408</v>
      </c>
      <c r="D4784">
        <v>38733</v>
      </c>
      <c r="E4784" s="131">
        <v>9578064</v>
      </c>
      <c r="F4784" t="s">
        <v>87</v>
      </c>
      <c r="G4784">
        <v>76</v>
      </c>
      <c r="H4784" t="s">
        <v>8951</v>
      </c>
      <c r="I4784" s="131">
        <v>19</v>
      </c>
      <c r="J4784" t="s">
        <v>6408</v>
      </c>
      <c r="K4784" t="s">
        <v>108</v>
      </c>
      <c r="L4784" t="s">
        <v>252</v>
      </c>
      <c r="M4784" t="s">
        <v>148</v>
      </c>
      <c r="N4784" t="s">
        <v>98</v>
      </c>
      <c r="O4784" t="s">
        <v>116</v>
      </c>
    </row>
    <row r="4785" spans="1:15" x14ac:dyDescent="0.3">
      <c r="A4785" s="130">
        <v>25270</v>
      </c>
      <c r="B4785" s="130">
        <v>30</v>
      </c>
      <c r="C4785" s="130" t="s">
        <v>6409</v>
      </c>
      <c r="D4785">
        <v>38742</v>
      </c>
      <c r="E4785" s="130">
        <v>13623957</v>
      </c>
      <c r="F4785" t="s">
        <v>87</v>
      </c>
      <c r="G4785">
        <v>76</v>
      </c>
      <c r="H4785" t="s">
        <v>8952</v>
      </c>
      <c r="I4785" s="131">
        <v>18</v>
      </c>
      <c r="J4785" t="s">
        <v>6409</v>
      </c>
      <c r="K4785" t="s">
        <v>95</v>
      </c>
      <c r="L4785" t="s">
        <v>123</v>
      </c>
      <c r="M4785" t="s">
        <v>103</v>
      </c>
      <c r="N4785" t="s">
        <v>98</v>
      </c>
      <c r="O4785" t="s">
        <v>116</v>
      </c>
    </row>
    <row r="4786" spans="1:15" x14ac:dyDescent="0.3">
      <c r="A4786" s="130">
        <v>25271</v>
      </c>
      <c r="B4786" s="130">
        <v>0</v>
      </c>
      <c r="C4786" s="130" t="s">
        <v>6410</v>
      </c>
      <c r="D4786">
        <v>38740</v>
      </c>
      <c r="E4786" s="130">
        <v>20058654</v>
      </c>
      <c r="F4786" t="s">
        <v>87</v>
      </c>
      <c r="G4786">
        <v>76</v>
      </c>
      <c r="H4786" t="s">
        <v>8953</v>
      </c>
      <c r="I4786" s="131">
        <v>24</v>
      </c>
      <c r="J4786" t="s">
        <v>6410</v>
      </c>
      <c r="K4786" t="s">
        <v>95</v>
      </c>
      <c r="L4786" t="s">
        <v>1253</v>
      </c>
      <c r="M4786" t="s">
        <v>100</v>
      </c>
      <c r="N4786" t="s">
        <v>114</v>
      </c>
      <c r="O4786" t="s">
        <v>1256</v>
      </c>
    </row>
    <row r="4787" spans="1:15" x14ac:dyDescent="0.3">
      <c r="A4787" s="130">
        <v>25274</v>
      </c>
      <c r="B4787" s="130">
        <v>30</v>
      </c>
      <c r="C4787" s="130" t="s">
        <v>6411</v>
      </c>
      <c r="D4787">
        <v>38747</v>
      </c>
      <c r="E4787" s="131">
        <v>47891896</v>
      </c>
      <c r="F4787" t="s">
        <v>87</v>
      </c>
      <c r="G4787">
        <v>77</v>
      </c>
      <c r="H4787" t="s">
        <v>8951</v>
      </c>
      <c r="I4787" s="131">
        <v>3</v>
      </c>
      <c r="J4787" t="s">
        <v>6411</v>
      </c>
      <c r="K4787" t="s">
        <v>95</v>
      </c>
      <c r="L4787" t="s">
        <v>256</v>
      </c>
      <c r="M4787" t="s">
        <v>103</v>
      </c>
      <c r="N4787" t="s">
        <v>98</v>
      </c>
      <c r="O4787" t="s">
        <v>116</v>
      </c>
    </row>
    <row r="4788" spans="1:15" x14ac:dyDescent="0.3">
      <c r="A4788" s="130">
        <v>25275</v>
      </c>
      <c r="B4788" s="130">
        <v>0</v>
      </c>
      <c r="C4788" s="130" t="s">
        <v>6412</v>
      </c>
      <c r="D4788">
        <v>38719</v>
      </c>
      <c r="E4788" s="131">
        <v>18540906</v>
      </c>
      <c r="F4788" t="s">
        <v>87</v>
      </c>
      <c r="G4788">
        <v>32947</v>
      </c>
      <c r="H4788" t="s">
        <v>8952</v>
      </c>
      <c r="I4788" s="130">
        <v>43</v>
      </c>
      <c r="J4788" t="s">
        <v>6412</v>
      </c>
      <c r="K4788" t="s">
        <v>108</v>
      </c>
      <c r="L4788" t="s">
        <v>1241</v>
      </c>
      <c r="M4788" t="s">
        <v>100</v>
      </c>
      <c r="N4788" t="s">
        <v>118</v>
      </c>
      <c r="O4788" t="s">
        <v>1256</v>
      </c>
    </row>
    <row r="4789" spans="1:15" x14ac:dyDescent="0.3">
      <c r="A4789" s="130">
        <v>25276</v>
      </c>
      <c r="B4789" s="130">
        <v>18</v>
      </c>
      <c r="C4789" s="130" t="s">
        <v>6413</v>
      </c>
      <c r="D4789">
        <v>38750</v>
      </c>
      <c r="E4789" s="131">
        <v>43049327</v>
      </c>
      <c r="F4789" t="s">
        <v>113</v>
      </c>
      <c r="G4789">
        <v>76</v>
      </c>
      <c r="H4789" t="s">
        <v>8953</v>
      </c>
      <c r="I4789" s="130">
        <v>9</v>
      </c>
      <c r="J4789" t="s">
        <v>6413</v>
      </c>
      <c r="K4789" t="s">
        <v>108</v>
      </c>
      <c r="L4789" t="s">
        <v>1298</v>
      </c>
      <c r="M4789" t="s">
        <v>112</v>
      </c>
      <c r="N4789" t="s">
        <v>98</v>
      </c>
      <c r="O4789" t="s">
        <v>1256</v>
      </c>
    </row>
    <row r="4790" spans="1:15" x14ac:dyDescent="0.3">
      <c r="A4790" s="130">
        <v>25281</v>
      </c>
      <c r="B4790" s="130">
        <v>25</v>
      </c>
      <c r="C4790" s="130" t="s">
        <v>6414</v>
      </c>
      <c r="D4790">
        <v>38755</v>
      </c>
      <c r="E4790" s="130">
        <v>50399553</v>
      </c>
      <c r="F4790" t="s">
        <v>87</v>
      </c>
      <c r="G4790">
        <v>76</v>
      </c>
      <c r="H4790" t="s">
        <v>8951</v>
      </c>
      <c r="I4790" s="130">
        <v>24</v>
      </c>
      <c r="J4790" t="s">
        <v>6414</v>
      </c>
      <c r="K4790" t="s">
        <v>95</v>
      </c>
      <c r="L4790" t="s">
        <v>240</v>
      </c>
      <c r="M4790" t="s">
        <v>164</v>
      </c>
      <c r="N4790" t="s">
        <v>98</v>
      </c>
      <c r="O4790" t="s">
        <v>116</v>
      </c>
    </row>
    <row r="4791" spans="1:15" x14ac:dyDescent="0.3">
      <c r="A4791" s="130">
        <v>25284</v>
      </c>
      <c r="B4791" s="130">
        <v>18</v>
      </c>
      <c r="C4791" s="130" t="s">
        <v>6415</v>
      </c>
      <c r="D4791">
        <v>38761</v>
      </c>
      <c r="E4791" s="130">
        <v>29269260</v>
      </c>
      <c r="F4791" t="s">
        <v>87</v>
      </c>
      <c r="G4791">
        <v>32947</v>
      </c>
      <c r="H4791" t="s">
        <v>8952</v>
      </c>
      <c r="I4791" s="131">
        <v>3</v>
      </c>
      <c r="J4791" t="s">
        <v>6415</v>
      </c>
      <c r="K4791" t="s">
        <v>108</v>
      </c>
      <c r="L4791" t="s">
        <v>193</v>
      </c>
      <c r="M4791" t="s">
        <v>112</v>
      </c>
      <c r="N4791" t="s">
        <v>98</v>
      </c>
      <c r="O4791" t="s">
        <v>116</v>
      </c>
    </row>
    <row r="4792" spans="1:15" x14ac:dyDescent="0.3">
      <c r="A4792" s="130">
        <v>25286</v>
      </c>
      <c r="C4792" s="130" t="s">
        <v>6416</v>
      </c>
      <c r="D4792">
        <v>38771</v>
      </c>
      <c r="E4792" s="130">
        <v>2990841</v>
      </c>
      <c r="F4792" t="s">
        <v>113</v>
      </c>
      <c r="G4792">
        <v>32947</v>
      </c>
      <c r="H4792" t="s">
        <v>8953</v>
      </c>
      <c r="I4792" s="130">
        <v>37</v>
      </c>
      <c r="J4792" t="s">
        <v>6416</v>
      </c>
      <c r="K4792" t="s">
        <v>108</v>
      </c>
      <c r="L4792" t="s">
        <v>1293</v>
      </c>
      <c r="N4792" t="s">
        <v>107</v>
      </c>
      <c r="O4792" t="s">
        <v>1256</v>
      </c>
    </row>
    <row r="4793" spans="1:15" x14ac:dyDescent="0.3">
      <c r="A4793" s="130">
        <v>25287</v>
      </c>
      <c r="B4793" s="130">
        <v>30</v>
      </c>
      <c r="C4793" s="130" t="s">
        <v>6417</v>
      </c>
      <c r="D4793">
        <v>38778</v>
      </c>
      <c r="E4793" s="130">
        <v>42107017</v>
      </c>
      <c r="F4793" t="s">
        <v>87</v>
      </c>
      <c r="G4793">
        <v>76</v>
      </c>
      <c r="H4793" t="s">
        <v>8951</v>
      </c>
      <c r="I4793" s="130">
        <v>37</v>
      </c>
      <c r="J4793" t="s">
        <v>6417</v>
      </c>
      <c r="K4793" t="s">
        <v>95</v>
      </c>
      <c r="L4793" t="s">
        <v>144</v>
      </c>
      <c r="M4793" t="s">
        <v>103</v>
      </c>
      <c r="N4793" t="s">
        <v>98</v>
      </c>
      <c r="O4793" t="s">
        <v>116</v>
      </c>
    </row>
    <row r="4794" spans="1:15" x14ac:dyDescent="0.3">
      <c r="A4794" s="130">
        <v>25288</v>
      </c>
      <c r="B4794" s="130">
        <v>60</v>
      </c>
      <c r="C4794" s="130" t="s">
        <v>6418</v>
      </c>
      <c r="D4794">
        <v>38779</v>
      </c>
      <c r="E4794" s="130">
        <v>60498706</v>
      </c>
      <c r="F4794" t="s">
        <v>87</v>
      </c>
      <c r="G4794">
        <v>32947</v>
      </c>
      <c r="H4794" t="s">
        <v>8952</v>
      </c>
      <c r="I4794" s="130">
        <v>43</v>
      </c>
      <c r="J4794" t="s">
        <v>6418</v>
      </c>
      <c r="K4794" t="s">
        <v>95</v>
      </c>
      <c r="L4794" t="s">
        <v>111</v>
      </c>
      <c r="M4794" t="s">
        <v>97</v>
      </c>
      <c r="N4794" t="s">
        <v>141</v>
      </c>
      <c r="O4794" t="s">
        <v>116</v>
      </c>
    </row>
    <row r="4795" spans="1:15" x14ac:dyDescent="0.3">
      <c r="A4795" s="130">
        <v>25290</v>
      </c>
      <c r="B4795" s="130">
        <v>30</v>
      </c>
      <c r="C4795" s="130" t="s">
        <v>6419</v>
      </c>
      <c r="D4795">
        <v>38781</v>
      </c>
      <c r="E4795" s="131">
        <v>18540906</v>
      </c>
      <c r="F4795" t="s">
        <v>87</v>
      </c>
      <c r="G4795">
        <v>76</v>
      </c>
      <c r="H4795" t="s">
        <v>8953</v>
      </c>
      <c r="I4795" s="131">
        <v>10</v>
      </c>
      <c r="J4795" t="s">
        <v>6419</v>
      </c>
      <c r="K4795" t="s">
        <v>95</v>
      </c>
      <c r="L4795" t="s">
        <v>127</v>
      </c>
      <c r="M4795" t="s">
        <v>103</v>
      </c>
      <c r="N4795" t="s">
        <v>118</v>
      </c>
      <c r="O4795" t="s">
        <v>116</v>
      </c>
    </row>
    <row r="4796" spans="1:15" x14ac:dyDescent="0.3">
      <c r="A4796" s="130">
        <v>25293</v>
      </c>
      <c r="B4796" s="130">
        <v>30</v>
      </c>
      <c r="C4796" s="130" t="s">
        <v>6420</v>
      </c>
      <c r="D4796">
        <v>38776</v>
      </c>
      <c r="E4796" s="130">
        <v>20009382</v>
      </c>
      <c r="F4796" t="s">
        <v>87</v>
      </c>
      <c r="G4796">
        <v>33359</v>
      </c>
      <c r="H4796" t="s">
        <v>8951</v>
      </c>
      <c r="I4796" s="130">
        <v>18</v>
      </c>
      <c r="J4796" t="s">
        <v>6420</v>
      </c>
      <c r="K4796" t="s">
        <v>95</v>
      </c>
      <c r="L4796" t="s">
        <v>926</v>
      </c>
      <c r="M4796" t="s">
        <v>103</v>
      </c>
      <c r="N4796" t="s">
        <v>131</v>
      </c>
      <c r="O4796" t="s">
        <v>244</v>
      </c>
    </row>
    <row r="4797" spans="1:15" x14ac:dyDescent="0.3">
      <c r="A4797" s="130">
        <v>25296</v>
      </c>
      <c r="B4797" s="130">
        <v>18</v>
      </c>
      <c r="C4797" s="130" t="s">
        <v>6421</v>
      </c>
      <c r="D4797">
        <v>38789</v>
      </c>
      <c r="E4797" s="130">
        <v>29296671</v>
      </c>
      <c r="F4797" t="s">
        <v>87</v>
      </c>
      <c r="G4797">
        <v>76</v>
      </c>
      <c r="H4797" t="s">
        <v>8952</v>
      </c>
      <c r="I4797" s="131">
        <v>10</v>
      </c>
      <c r="J4797" t="s">
        <v>6421</v>
      </c>
      <c r="K4797" t="s">
        <v>108</v>
      </c>
      <c r="L4797" t="s">
        <v>127</v>
      </c>
      <c r="M4797" t="s">
        <v>112</v>
      </c>
      <c r="N4797" t="s">
        <v>118</v>
      </c>
      <c r="O4797" t="s">
        <v>116</v>
      </c>
    </row>
    <row r="4798" spans="1:15" x14ac:dyDescent="0.3">
      <c r="A4798" s="130">
        <v>25300</v>
      </c>
      <c r="B4798" s="130">
        <v>18</v>
      </c>
      <c r="C4798" s="130" t="s">
        <v>6422</v>
      </c>
      <c r="D4798">
        <v>38792</v>
      </c>
      <c r="E4798" s="131">
        <v>15339921</v>
      </c>
      <c r="F4798" t="s">
        <v>87</v>
      </c>
      <c r="G4798">
        <v>76</v>
      </c>
      <c r="H4798" t="s">
        <v>8953</v>
      </c>
      <c r="I4798" s="131">
        <v>9</v>
      </c>
      <c r="J4798" t="s">
        <v>6422</v>
      </c>
      <c r="K4798" t="s">
        <v>95</v>
      </c>
      <c r="L4798" t="s">
        <v>163</v>
      </c>
      <c r="M4798" t="s">
        <v>112</v>
      </c>
      <c r="N4798" t="s">
        <v>132</v>
      </c>
      <c r="O4798" t="s">
        <v>116</v>
      </c>
    </row>
    <row r="4799" spans="1:15" x14ac:dyDescent="0.3">
      <c r="A4799" s="130">
        <v>25302</v>
      </c>
      <c r="B4799" s="130">
        <v>30</v>
      </c>
      <c r="C4799" s="130" t="s">
        <v>6423</v>
      </c>
      <c r="D4799">
        <v>38794</v>
      </c>
      <c r="E4799" s="130">
        <v>10220039</v>
      </c>
      <c r="F4799" t="s">
        <v>87</v>
      </c>
      <c r="G4799">
        <v>76</v>
      </c>
      <c r="H4799" t="s">
        <v>8951</v>
      </c>
      <c r="I4799" s="130">
        <v>19</v>
      </c>
      <c r="J4799" t="s">
        <v>6423</v>
      </c>
      <c r="K4799" t="s">
        <v>95</v>
      </c>
      <c r="L4799" t="s">
        <v>146</v>
      </c>
      <c r="M4799" t="s">
        <v>103</v>
      </c>
      <c r="N4799" t="s">
        <v>150</v>
      </c>
      <c r="O4799" t="s">
        <v>1256</v>
      </c>
    </row>
    <row r="4800" spans="1:15" x14ac:dyDescent="0.3">
      <c r="A4800" s="130">
        <v>25303</v>
      </c>
      <c r="B4800" s="130">
        <v>30</v>
      </c>
      <c r="C4800" s="130" t="s">
        <v>6424</v>
      </c>
      <c r="D4800">
        <v>38795</v>
      </c>
      <c r="E4800" s="130">
        <v>9329077</v>
      </c>
      <c r="F4800" t="s">
        <v>87</v>
      </c>
      <c r="G4800">
        <v>32947</v>
      </c>
      <c r="H4800" t="s">
        <v>8952</v>
      </c>
      <c r="I4800" s="130">
        <v>3</v>
      </c>
      <c r="J4800" t="s">
        <v>6424</v>
      </c>
      <c r="K4800" t="s">
        <v>108</v>
      </c>
      <c r="L4800" t="s">
        <v>193</v>
      </c>
      <c r="M4800" t="s">
        <v>103</v>
      </c>
      <c r="N4800" t="s">
        <v>98</v>
      </c>
      <c r="O4800" t="s">
        <v>116</v>
      </c>
    </row>
    <row r="4801" spans="1:15" x14ac:dyDescent="0.3">
      <c r="A4801" s="130">
        <v>25307</v>
      </c>
      <c r="B4801" s="130">
        <v>30</v>
      </c>
      <c r="C4801" s="130" t="s">
        <v>6425</v>
      </c>
      <c r="D4801">
        <v>38808</v>
      </c>
      <c r="E4801" s="130">
        <v>8596854</v>
      </c>
      <c r="F4801" t="s">
        <v>87</v>
      </c>
      <c r="G4801">
        <v>76</v>
      </c>
      <c r="H4801" t="s">
        <v>8953</v>
      </c>
      <c r="I4801" s="130">
        <v>18</v>
      </c>
      <c r="J4801" t="s">
        <v>6425</v>
      </c>
      <c r="K4801" t="s">
        <v>95</v>
      </c>
      <c r="L4801" t="s">
        <v>123</v>
      </c>
      <c r="M4801" t="s">
        <v>103</v>
      </c>
      <c r="N4801" t="s">
        <v>101</v>
      </c>
      <c r="O4801" t="s">
        <v>1256</v>
      </c>
    </row>
    <row r="4802" spans="1:15" x14ac:dyDescent="0.3">
      <c r="A4802" s="130">
        <v>25309</v>
      </c>
      <c r="B4802" s="130">
        <v>30</v>
      </c>
      <c r="C4802" s="130" t="s">
        <v>6426</v>
      </c>
      <c r="D4802">
        <v>38812</v>
      </c>
      <c r="E4802" s="130">
        <v>5451496</v>
      </c>
      <c r="F4802" t="s">
        <v>87</v>
      </c>
      <c r="G4802">
        <v>76</v>
      </c>
      <c r="H4802" t="s">
        <v>8951</v>
      </c>
      <c r="I4802" s="130">
        <v>10</v>
      </c>
      <c r="J4802" t="s">
        <v>6426</v>
      </c>
      <c r="K4802" t="s">
        <v>95</v>
      </c>
      <c r="L4802" t="s">
        <v>127</v>
      </c>
      <c r="M4802" t="s">
        <v>103</v>
      </c>
      <c r="N4802" t="s">
        <v>118</v>
      </c>
      <c r="O4802" t="s">
        <v>116</v>
      </c>
    </row>
    <row r="4803" spans="1:15" x14ac:dyDescent="0.3">
      <c r="A4803" s="130">
        <v>25310</v>
      </c>
      <c r="B4803" s="130">
        <v>30</v>
      </c>
      <c r="C4803" s="130" t="s">
        <v>6427</v>
      </c>
      <c r="D4803">
        <v>38814</v>
      </c>
      <c r="E4803" s="130">
        <v>33000167</v>
      </c>
      <c r="F4803" t="s">
        <v>87</v>
      </c>
      <c r="G4803">
        <v>76</v>
      </c>
      <c r="H4803" t="s">
        <v>8952</v>
      </c>
      <c r="I4803" s="130">
        <v>18</v>
      </c>
      <c r="J4803" t="s">
        <v>6427</v>
      </c>
      <c r="K4803" t="s">
        <v>95</v>
      </c>
      <c r="L4803" t="s">
        <v>123</v>
      </c>
      <c r="M4803" t="s">
        <v>103</v>
      </c>
      <c r="N4803" t="s">
        <v>169</v>
      </c>
      <c r="O4803" t="s">
        <v>116</v>
      </c>
    </row>
    <row r="4804" spans="1:15" x14ac:dyDescent="0.3">
      <c r="A4804" s="130">
        <v>25311</v>
      </c>
      <c r="B4804" s="130">
        <v>30</v>
      </c>
      <c r="C4804" s="130" t="s">
        <v>6428</v>
      </c>
      <c r="D4804">
        <v>38822</v>
      </c>
      <c r="E4804" s="130">
        <v>20059618</v>
      </c>
      <c r="F4804" t="s">
        <v>87</v>
      </c>
      <c r="G4804">
        <v>33359</v>
      </c>
      <c r="H4804" t="s">
        <v>8953</v>
      </c>
      <c r="I4804" s="130">
        <v>3</v>
      </c>
      <c r="J4804" t="s">
        <v>6428</v>
      </c>
      <c r="K4804" t="s">
        <v>95</v>
      </c>
      <c r="L4804" t="s">
        <v>926</v>
      </c>
      <c r="M4804" t="s">
        <v>103</v>
      </c>
      <c r="N4804" t="s">
        <v>131</v>
      </c>
      <c r="O4804" t="s">
        <v>244</v>
      </c>
    </row>
    <row r="4805" spans="1:15" x14ac:dyDescent="0.3">
      <c r="A4805" s="130">
        <v>25312</v>
      </c>
      <c r="B4805" s="130">
        <v>30</v>
      </c>
      <c r="C4805" s="130" t="s">
        <v>6429</v>
      </c>
      <c r="D4805">
        <v>38823</v>
      </c>
      <c r="E4805" s="130">
        <v>46756402</v>
      </c>
      <c r="F4805" t="s">
        <v>87</v>
      </c>
      <c r="G4805">
        <v>76</v>
      </c>
      <c r="H4805" t="s">
        <v>8951</v>
      </c>
      <c r="I4805" s="131">
        <v>26</v>
      </c>
      <c r="J4805" t="s">
        <v>6429</v>
      </c>
      <c r="K4805" t="s">
        <v>108</v>
      </c>
      <c r="L4805" t="s">
        <v>151</v>
      </c>
      <c r="M4805" t="s">
        <v>103</v>
      </c>
      <c r="N4805" t="s">
        <v>98</v>
      </c>
      <c r="O4805" t="s">
        <v>116</v>
      </c>
    </row>
    <row r="4806" spans="1:15" x14ac:dyDescent="0.3">
      <c r="A4806" s="130">
        <v>25315</v>
      </c>
      <c r="B4806" s="130">
        <v>18</v>
      </c>
      <c r="C4806" s="130" t="s">
        <v>6430</v>
      </c>
      <c r="D4806">
        <v>38827</v>
      </c>
      <c r="E4806" s="131">
        <v>5899350</v>
      </c>
      <c r="F4806" t="s">
        <v>87</v>
      </c>
      <c r="G4806">
        <v>76</v>
      </c>
      <c r="H4806" t="s">
        <v>8952</v>
      </c>
      <c r="I4806" s="130">
        <v>9</v>
      </c>
      <c r="J4806" t="s">
        <v>6430</v>
      </c>
      <c r="K4806" t="s">
        <v>108</v>
      </c>
      <c r="L4806" t="s">
        <v>163</v>
      </c>
      <c r="M4806" t="s">
        <v>112</v>
      </c>
      <c r="N4806" t="s">
        <v>122</v>
      </c>
      <c r="O4806" t="s">
        <v>116</v>
      </c>
    </row>
    <row r="4807" spans="1:15" x14ac:dyDescent="0.3">
      <c r="A4807" s="130">
        <v>25317</v>
      </c>
      <c r="B4807" s="130">
        <v>10</v>
      </c>
      <c r="C4807" s="130" t="s">
        <v>6431</v>
      </c>
      <c r="D4807">
        <v>38831</v>
      </c>
      <c r="E4807" s="130">
        <v>41795584</v>
      </c>
      <c r="F4807" t="s">
        <v>87</v>
      </c>
      <c r="G4807">
        <v>32947</v>
      </c>
      <c r="H4807" t="s">
        <v>8953</v>
      </c>
      <c r="I4807" s="131">
        <v>3</v>
      </c>
      <c r="J4807" t="s">
        <v>6431</v>
      </c>
      <c r="K4807" t="s">
        <v>108</v>
      </c>
      <c r="L4807" t="s">
        <v>109</v>
      </c>
      <c r="M4807" t="s">
        <v>133</v>
      </c>
      <c r="N4807" t="s">
        <v>98</v>
      </c>
      <c r="O4807" t="s">
        <v>116</v>
      </c>
    </row>
    <row r="4808" spans="1:15" x14ac:dyDescent="0.3">
      <c r="A4808" s="130">
        <v>25320</v>
      </c>
      <c r="B4808" s="130">
        <v>18</v>
      </c>
      <c r="C4808" s="130" t="s">
        <v>6432</v>
      </c>
      <c r="D4808">
        <v>38835</v>
      </c>
      <c r="E4808" s="130">
        <v>3562124</v>
      </c>
      <c r="F4808" t="s">
        <v>87</v>
      </c>
      <c r="G4808">
        <v>76</v>
      </c>
      <c r="H4808" t="s">
        <v>8951</v>
      </c>
      <c r="I4808" s="130">
        <v>26</v>
      </c>
      <c r="J4808" t="s">
        <v>6432</v>
      </c>
      <c r="K4808" t="s">
        <v>95</v>
      </c>
      <c r="L4808" t="s">
        <v>151</v>
      </c>
      <c r="M4808" t="s">
        <v>112</v>
      </c>
      <c r="N4808" t="s">
        <v>114</v>
      </c>
      <c r="O4808" t="s">
        <v>1256</v>
      </c>
    </row>
    <row r="4809" spans="1:15" x14ac:dyDescent="0.3">
      <c r="A4809" s="130">
        <v>25324</v>
      </c>
      <c r="B4809" s="130">
        <v>10</v>
      </c>
      <c r="C4809" s="130" t="s">
        <v>6433</v>
      </c>
      <c r="D4809">
        <v>38839</v>
      </c>
      <c r="E4809" s="131">
        <v>3284231</v>
      </c>
      <c r="F4809" t="s">
        <v>87</v>
      </c>
      <c r="G4809">
        <v>76</v>
      </c>
      <c r="H4809" t="s">
        <v>8952</v>
      </c>
      <c r="I4809" s="130">
        <v>9</v>
      </c>
      <c r="J4809" t="s">
        <v>6433</v>
      </c>
      <c r="K4809" t="s">
        <v>95</v>
      </c>
      <c r="L4809" t="s">
        <v>163</v>
      </c>
      <c r="M4809" t="s">
        <v>133</v>
      </c>
      <c r="N4809" t="s">
        <v>98</v>
      </c>
      <c r="O4809" t="s">
        <v>1256</v>
      </c>
    </row>
    <row r="4810" spans="1:15" x14ac:dyDescent="0.3">
      <c r="A4810" s="130">
        <v>25325</v>
      </c>
      <c r="B4810" s="130">
        <v>30</v>
      </c>
      <c r="C4810" s="130" t="s">
        <v>6434</v>
      </c>
      <c r="D4810">
        <v>38844</v>
      </c>
      <c r="E4810" s="130">
        <v>10736565</v>
      </c>
      <c r="F4810" t="s">
        <v>87</v>
      </c>
      <c r="G4810">
        <v>76</v>
      </c>
      <c r="H4810" t="s">
        <v>8953</v>
      </c>
      <c r="I4810" s="130">
        <v>9</v>
      </c>
      <c r="J4810" t="s">
        <v>6434</v>
      </c>
      <c r="K4810" t="s">
        <v>95</v>
      </c>
      <c r="L4810" t="s">
        <v>163</v>
      </c>
      <c r="M4810" t="s">
        <v>103</v>
      </c>
      <c r="N4810" t="s">
        <v>114</v>
      </c>
      <c r="O4810" t="s">
        <v>116</v>
      </c>
    </row>
    <row r="4811" spans="1:15" x14ac:dyDescent="0.3">
      <c r="A4811" s="130">
        <v>25327</v>
      </c>
      <c r="B4811" s="130">
        <v>0</v>
      </c>
      <c r="C4811" s="130" t="s">
        <v>6435</v>
      </c>
      <c r="D4811">
        <v>38840</v>
      </c>
      <c r="E4811" s="131">
        <v>3174004</v>
      </c>
      <c r="F4811" t="s">
        <v>87</v>
      </c>
      <c r="G4811">
        <v>32947</v>
      </c>
      <c r="H4811" t="s">
        <v>8951</v>
      </c>
      <c r="I4811" s="130">
        <v>43</v>
      </c>
      <c r="J4811" t="s">
        <v>6435</v>
      </c>
      <c r="K4811" t="s">
        <v>108</v>
      </c>
      <c r="L4811" t="s">
        <v>1241</v>
      </c>
      <c r="M4811" t="s">
        <v>100</v>
      </c>
      <c r="N4811" t="s">
        <v>98</v>
      </c>
      <c r="O4811" t="s">
        <v>1256</v>
      </c>
    </row>
    <row r="4812" spans="1:15" x14ac:dyDescent="0.3">
      <c r="A4812" s="130">
        <v>25328</v>
      </c>
      <c r="B4812" s="130">
        <v>30</v>
      </c>
      <c r="C4812" s="130" t="s">
        <v>6436</v>
      </c>
      <c r="D4812">
        <v>38848</v>
      </c>
      <c r="E4812" s="130">
        <v>32227070</v>
      </c>
      <c r="F4812" t="s">
        <v>87</v>
      </c>
      <c r="G4812">
        <v>76</v>
      </c>
      <c r="H4812" t="s">
        <v>8952</v>
      </c>
      <c r="I4812" s="130">
        <v>3</v>
      </c>
      <c r="J4812" t="s">
        <v>6436</v>
      </c>
      <c r="K4812" t="s">
        <v>108</v>
      </c>
      <c r="L4812" t="s">
        <v>120</v>
      </c>
      <c r="M4812" t="s">
        <v>103</v>
      </c>
      <c r="N4812" t="s">
        <v>98</v>
      </c>
      <c r="O4812" t="s">
        <v>116</v>
      </c>
    </row>
    <row r="4813" spans="1:15" x14ac:dyDescent="0.3">
      <c r="A4813" s="130">
        <v>25332</v>
      </c>
      <c r="B4813" s="130">
        <v>18</v>
      </c>
      <c r="C4813" s="130" t="s">
        <v>6437</v>
      </c>
      <c r="D4813">
        <v>38765</v>
      </c>
      <c r="E4813" s="130">
        <v>3658844</v>
      </c>
      <c r="F4813" t="s">
        <v>113</v>
      </c>
      <c r="G4813">
        <v>32947</v>
      </c>
      <c r="H4813" t="s">
        <v>8953</v>
      </c>
      <c r="I4813" s="130">
        <v>43</v>
      </c>
      <c r="J4813" t="s">
        <v>6437</v>
      </c>
      <c r="K4813" t="s">
        <v>108</v>
      </c>
      <c r="L4813" t="s">
        <v>1241</v>
      </c>
      <c r="M4813" t="s">
        <v>112</v>
      </c>
      <c r="N4813" t="s">
        <v>114</v>
      </c>
      <c r="O4813" t="s">
        <v>1256</v>
      </c>
    </row>
    <row r="4814" spans="1:15" x14ac:dyDescent="0.3">
      <c r="A4814" s="130">
        <v>25333</v>
      </c>
      <c r="B4814" s="130">
        <v>30</v>
      </c>
      <c r="C4814" s="130" t="s">
        <v>6438</v>
      </c>
      <c r="D4814">
        <v>38858</v>
      </c>
      <c r="E4814" s="131">
        <v>9452900</v>
      </c>
      <c r="F4814" t="s">
        <v>87</v>
      </c>
      <c r="G4814">
        <v>76</v>
      </c>
      <c r="H4814" t="s">
        <v>8951</v>
      </c>
      <c r="I4814" s="131">
        <v>18</v>
      </c>
      <c r="J4814" t="s">
        <v>6438</v>
      </c>
      <c r="K4814" t="s">
        <v>108</v>
      </c>
      <c r="L4814" t="s">
        <v>123</v>
      </c>
      <c r="M4814" t="s">
        <v>103</v>
      </c>
      <c r="N4814" t="s">
        <v>98</v>
      </c>
      <c r="O4814" t="s">
        <v>116</v>
      </c>
    </row>
    <row r="4815" spans="1:15" x14ac:dyDescent="0.3">
      <c r="A4815" s="130">
        <v>25335</v>
      </c>
      <c r="B4815" s="130">
        <v>30</v>
      </c>
      <c r="C4815" s="130" t="s">
        <v>6439</v>
      </c>
      <c r="D4815">
        <v>38864</v>
      </c>
      <c r="E4815" s="130">
        <v>10787589</v>
      </c>
      <c r="F4815" t="s">
        <v>87</v>
      </c>
      <c r="G4815">
        <v>76</v>
      </c>
      <c r="H4815" t="s">
        <v>8952</v>
      </c>
      <c r="I4815" s="130">
        <v>18</v>
      </c>
      <c r="J4815" t="s">
        <v>6439</v>
      </c>
      <c r="K4815" t="s">
        <v>95</v>
      </c>
      <c r="L4815" t="s">
        <v>123</v>
      </c>
      <c r="M4815" t="s">
        <v>103</v>
      </c>
      <c r="N4815" t="s">
        <v>98</v>
      </c>
      <c r="O4815" t="s">
        <v>116</v>
      </c>
    </row>
    <row r="4816" spans="1:15" x14ac:dyDescent="0.3">
      <c r="A4816" s="130">
        <v>25336</v>
      </c>
      <c r="B4816" s="130">
        <v>18</v>
      </c>
      <c r="C4816" s="130" t="s">
        <v>6440</v>
      </c>
      <c r="D4816">
        <v>38866</v>
      </c>
      <c r="E4816" s="131">
        <v>3562124</v>
      </c>
      <c r="F4816" t="s">
        <v>87</v>
      </c>
      <c r="G4816">
        <v>76</v>
      </c>
      <c r="H4816" t="s">
        <v>8953</v>
      </c>
      <c r="I4816" s="130">
        <v>26</v>
      </c>
      <c r="J4816" t="s">
        <v>6440</v>
      </c>
      <c r="K4816" t="s">
        <v>95</v>
      </c>
      <c r="L4816" t="s">
        <v>151</v>
      </c>
      <c r="M4816" t="s">
        <v>112</v>
      </c>
      <c r="N4816" t="s">
        <v>114</v>
      </c>
      <c r="O4816" t="s">
        <v>1256</v>
      </c>
    </row>
    <row r="4817" spans="1:15" x14ac:dyDescent="0.3">
      <c r="A4817" s="130">
        <v>25337</v>
      </c>
      <c r="B4817" s="130">
        <v>18</v>
      </c>
      <c r="C4817" s="130" t="s">
        <v>6441</v>
      </c>
      <c r="D4817">
        <v>38868</v>
      </c>
      <c r="E4817" s="131">
        <v>3562124</v>
      </c>
      <c r="F4817" t="s">
        <v>87</v>
      </c>
      <c r="G4817">
        <v>76</v>
      </c>
      <c r="H4817" t="s">
        <v>8951</v>
      </c>
      <c r="I4817" s="130">
        <v>26</v>
      </c>
      <c r="J4817" t="s">
        <v>6441</v>
      </c>
      <c r="K4817" t="s">
        <v>95</v>
      </c>
      <c r="L4817" t="s">
        <v>151</v>
      </c>
      <c r="M4817" t="s">
        <v>112</v>
      </c>
      <c r="N4817" t="s">
        <v>114</v>
      </c>
      <c r="O4817" t="s">
        <v>1256</v>
      </c>
    </row>
    <row r="4818" spans="1:15" x14ac:dyDescent="0.3">
      <c r="A4818" s="130">
        <v>25338</v>
      </c>
      <c r="B4818" s="130">
        <v>30</v>
      </c>
      <c r="C4818" s="130" t="s">
        <v>6442</v>
      </c>
      <c r="D4818">
        <v>38869</v>
      </c>
      <c r="E4818" s="130">
        <v>91894774</v>
      </c>
      <c r="F4818" t="s">
        <v>87</v>
      </c>
      <c r="G4818">
        <v>76</v>
      </c>
      <c r="H4818" t="s">
        <v>8952</v>
      </c>
      <c r="I4818" s="130">
        <v>26</v>
      </c>
      <c r="J4818" t="s">
        <v>6442</v>
      </c>
      <c r="K4818" t="s">
        <v>95</v>
      </c>
      <c r="L4818" t="s">
        <v>123</v>
      </c>
      <c r="M4818" t="s">
        <v>103</v>
      </c>
      <c r="N4818" t="s">
        <v>98</v>
      </c>
      <c r="O4818" t="s">
        <v>1256</v>
      </c>
    </row>
    <row r="4819" spans="1:15" x14ac:dyDescent="0.3">
      <c r="A4819" s="130">
        <v>25341</v>
      </c>
      <c r="B4819" s="130">
        <v>18</v>
      </c>
      <c r="C4819" s="130" t="s">
        <v>6443</v>
      </c>
      <c r="D4819">
        <v>38875</v>
      </c>
      <c r="E4819" s="130">
        <v>46927082</v>
      </c>
      <c r="F4819" t="s">
        <v>87</v>
      </c>
      <c r="G4819">
        <v>76</v>
      </c>
      <c r="H4819" t="s">
        <v>8953</v>
      </c>
      <c r="I4819" s="130">
        <v>37</v>
      </c>
      <c r="J4819" t="s">
        <v>6443</v>
      </c>
      <c r="K4819" t="s">
        <v>108</v>
      </c>
      <c r="L4819" t="s">
        <v>138</v>
      </c>
      <c r="M4819" t="s">
        <v>112</v>
      </c>
      <c r="N4819" t="s">
        <v>114</v>
      </c>
      <c r="O4819" t="s">
        <v>116</v>
      </c>
    </row>
    <row r="4820" spans="1:15" x14ac:dyDescent="0.3">
      <c r="A4820" s="130">
        <v>25343</v>
      </c>
      <c r="B4820" s="130">
        <v>30</v>
      </c>
      <c r="C4820" s="130" t="s">
        <v>6444</v>
      </c>
      <c r="D4820">
        <v>38880</v>
      </c>
      <c r="E4820" s="130">
        <v>13623957</v>
      </c>
      <c r="F4820" t="s">
        <v>87</v>
      </c>
      <c r="G4820">
        <v>76</v>
      </c>
      <c r="H4820" t="s">
        <v>8951</v>
      </c>
      <c r="I4820" s="130">
        <v>18</v>
      </c>
      <c r="J4820" t="s">
        <v>6444</v>
      </c>
      <c r="K4820" t="s">
        <v>95</v>
      </c>
      <c r="L4820" t="s">
        <v>123</v>
      </c>
      <c r="M4820" t="s">
        <v>103</v>
      </c>
      <c r="N4820" t="s">
        <v>98</v>
      </c>
      <c r="O4820" t="s">
        <v>1256</v>
      </c>
    </row>
    <row r="4821" spans="1:15" x14ac:dyDescent="0.3">
      <c r="A4821" s="130">
        <v>25345</v>
      </c>
      <c r="B4821" s="130">
        <v>28</v>
      </c>
      <c r="C4821" s="130" t="s">
        <v>6445</v>
      </c>
      <c r="D4821">
        <v>38669</v>
      </c>
      <c r="E4821" s="131">
        <v>5123076</v>
      </c>
      <c r="F4821" t="s">
        <v>113</v>
      </c>
      <c r="G4821">
        <v>76</v>
      </c>
      <c r="H4821" t="s">
        <v>8952</v>
      </c>
      <c r="I4821" s="130">
        <v>18</v>
      </c>
      <c r="J4821" t="s">
        <v>6445</v>
      </c>
      <c r="K4821" t="s">
        <v>95</v>
      </c>
      <c r="L4821" t="s">
        <v>253</v>
      </c>
      <c r="M4821" t="s">
        <v>130</v>
      </c>
      <c r="N4821" t="s">
        <v>98</v>
      </c>
      <c r="O4821" t="s">
        <v>1256</v>
      </c>
    </row>
    <row r="4822" spans="1:15" x14ac:dyDescent="0.3">
      <c r="A4822" s="130">
        <v>25346</v>
      </c>
      <c r="B4822" s="130">
        <v>30</v>
      </c>
      <c r="C4822" s="130" t="s">
        <v>6446</v>
      </c>
      <c r="D4822">
        <v>38886</v>
      </c>
      <c r="E4822" s="130">
        <v>1869256</v>
      </c>
      <c r="F4822" t="s">
        <v>87</v>
      </c>
      <c r="G4822">
        <v>76</v>
      </c>
      <c r="H4822" t="s">
        <v>8953</v>
      </c>
      <c r="I4822" s="130">
        <v>24</v>
      </c>
      <c r="J4822" t="s">
        <v>6446</v>
      </c>
      <c r="K4822" t="s">
        <v>108</v>
      </c>
      <c r="L4822" t="s">
        <v>191</v>
      </c>
      <c r="M4822" t="s">
        <v>103</v>
      </c>
      <c r="N4822" t="s">
        <v>98</v>
      </c>
      <c r="O4822" t="s">
        <v>1256</v>
      </c>
    </row>
    <row r="4823" spans="1:15" x14ac:dyDescent="0.3">
      <c r="A4823" s="130">
        <v>25353</v>
      </c>
      <c r="B4823" s="130">
        <v>18</v>
      </c>
      <c r="C4823" s="130" t="s">
        <v>6447</v>
      </c>
      <c r="D4823">
        <v>38891</v>
      </c>
      <c r="E4823" s="130">
        <v>5160695</v>
      </c>
      <c r="F4823" t="s">
        <v>87</v>
      </c>
      <c r="G4823">
        <v>76</v>
      </c>
      <c r="H4823" t="s">
        <v>8951</v>
      </c>
      <c r="I4823" s="130">
        <v>9</v>
      </c>
      <c r="J4823" t="s">
        <v>6447</v>
      </c>
      <c r="K4823" t="s">
        <v>108</v>
      </c>
      <c r="L4823" t="s">
        <v>163</v>
      </c>
      <c r="M4823" t="s">
        <v>112</v>
      </c>
      <c r="N4823" t="s">
        <v>114</v>
      </c>
      <c r="O4823" t="s">
        <v>116</v>
      </c>
    </row>
    <row r="4824" spans="1:15" x14ac:dyDescent="0.3">
      <c r="A4824" s="130">
        <v>25354</v>
      </c>
      <c r="B4824" s="130">
        <v>10</v>
      </c>
      <c r="C4824" s="130" t="s">
        <v>6448</v>
      </c>
      <c r="D4824">
        <v>38892</v>
      </c>
      <c r="E4824" s="131">
        <v>7735553</v>
      </c>
      <c r="F4824" t="s">
        <v>87</v>
      </c>
      <c r="G4824">
        <v>32947</v>
      </c>
      <c r="H4824" t="s">
        <v>8952</v>
      </c>
      <c r="I4824" s="130">
        <v>24</v>
      </c>
      <c r="J4824" t="s">
        <v>6448</v>
      </c>
      <c r="K4824" t="s">
        <v>108</v>
      </c>
      <c r="L4824" t="s">
        <v>1293</v>
      </c>
      <c r="M4824" t="s">
        <v>133</v>
      </c>
      <c r="N4824" t="s">
        <v>98</v>
      </c>
      <c r="O4824" t="s">
        <v>1256</v>
      </c>
    </row>
    <row r="4825" spans="1:15" x14ac:dyDescent="0.3">
      <c r="A4825" s="130">
        <v>25355</v>
      </c>
      <c r="B4825" s="130">
        <v>18</v>
      </c>
      <c r="C4825" s="130" t="s">
        <v>6449</v>
      </c>
      <c r="D4825">
        <v>38896</v>
      </c>
      <c r="E4825" s="130">
        <v>5160695</v>
      </c>
      <c r="F4825" t="s">
        <v>87</v>
      </c>
      <c r="G4825">
        <v>76</v>
      </c>
      <c r="H4825" t="s">
        <v>8953</v>
      </c>
      <c r="I4825" s="130">
        <v>9</v>
      </c>
      <c r="J4825" t="s">
        <v>6449</v>
      </c>
      <c r="K4825" t="s">
        <v>108</v>
      </c>
      <c r="L4825" t="s">
        <v>163</v>
      </c>
      <c r="M4825" t="s">
        <v>112</v>
      </c>
      <c r="N4825" t="s">
        <v>114</v>
      </c>
      <c r="O4825" t="s">
        <v>116</v>
      </c>
    </row>
    <row r="4826" spans="1:15" x14ac:dyDescent="0.3">
      <c r="A4826" s="130">
        <v>25356</v>
      </c>
      <c r="B4826" s="130">
        <v>18</v>
      </c>
      <c r="C4826" s="130" t="s">
        <v>6450</v>
      </c>
      <c r="D4826">
        <v>38898</v>
      </c>
      <c r="E4826" s="130">
        <v>5160695</v>
      </c>
      <c r="F4826" t="s">
        <v>87</v>
      </c>
      <c r="G4826">
        <v>76</v>
      </c>
      <c r="H4826" t="s">
        <v>8951</v>
      </c>
      <c r="I4826" s="131">
        <v>9</v>
      </c>
      <c r="J4826" t="s">
        <v>6450</v>
      </c>
      <c r="K4826" t="s">
        <v>95</v>
      </c>
      <c r="L4826" t="s">
        <v>163</v>
      </c>
      <c r="M4826" t="s">
        <v>112</v>
      </c>
      <c r="N4826" t="s">
        <v>114</v>
      </c>
      <c r="O4826" t="s">
        <v>116</v>
      </c>
    </row>
    <row r="4827" spans="1:15" x14ac:dyDescent="0.3">
      <c r="A4827" s="130">
        <v>25358</v>
      </c>
      <c r="B4827" s="130">
        <v>10</v>
      </c>
      <c r="C4827" s="130" t="s">
        <v>6451</v>
      </c>
      <c r="D4827">
        <v>38851</v>
      </c>
      <c r="E4827" s="130">
        <v>9008497</v>
      </c>
      <c r="F4827" t="s">
        <v>87</v>
      </c>
      <c r="G4827">
        <v>76</v>
      </c>
      <c r="H4827" t="s">
        <v>8952</v>
      </c>
      <c r="I4827" s="131">
        <v>3</v>
      </c>
      <c r="J4827" t="s">
        <v>6451</v>
      </c>
      <c r="K4827" t="s">
        <v>108</v>
      </c>
      <c r="L4827" t="s">
        <v>925</v>
      </c>
      <c r="M4827" t="s">
        <v>133</v>
      </c>
      <c r="N4827" t="s">
        <v>114</v>
      </c>
      <c r="O4827" t="s">
        <v>1256</v>
      </c>
    </row>
    <row r="4828" spans="1:15" x14ac:dyDescent="0.3">
      <c r="A4828" s="130">
        <v>25360</v>
      </c>
      <c r="B4828" s="130">
        <v>10</v>
      </c>
      <c r="C4828" s="130" t="s">
        <v>6452</v>
      </c>
      <c r="D4828">
        <v>38911</v>
      </c>
      <c r="E4828" s="130">
        <v>26996167</v>
      </c>
      <c r="F4828" t="s">
        <v>87</v>
      </c>
      <c r="G4828">
        <v>32947</v>
      </c>
      <c r="H4828" t="s">
        <v>8953</v>
      </c>
      <c r="I4828" s="131">
        <v>3</v>
      </c>
      <c r="J4828" t="s">
        <v>6452</v>
      </c>
      <c r="K4828" t="s">
        <v>108</v>
      </c>
      <c r="L4828" t="s">
        <v>193</v>
      </c>
      <c r="M4828" t="s">
        <v>133</v>
      </c>
      <c r="N4828" t="s">
        <v>98</v>
      </c>
      <c r="O4828" t="s">
        <v>116</v>
      </c>
    </row>
    <row r="4829" spans="1:15" x14ac:dyDescent="0.3">
      <c r="A4829" s="130">
        <v>25362</v>
      </c>
      <c r="B4829" s="130">
        <v>-1</v>
      </c>
      <c r="C4829" s="130" t="s">
        <v>6453</v>
      </c>
      <c r="D4829">
        <v>38913</v>
      </c>
      <c r="E4829" s="130">
        <v>40772913</v>
      </c>
      <c r="F4829" t="s">
        <v>87</v>
      </c>
      <c r="G4829">
        <v>76</v>
      </c>
      <c r="H4829" t="s">
        <v>8951</v>
      </c>
      <c r="I4829" s="131">
        <v>26</v>
      </c>
      <c r="J4829" t="s">
        <v>6453</v>
      </c>
      <c r="K4829" t="s">
        <v>108</v>
      </c>
      <c r="L4829" t="s">
        <v>151</v>
      </c>
      <c r="M4829" t="s">
        <v>174</v>
      </c>
      <c r="N4829" t="s">
        <v>152</v>
      </c>
      <c r="O4829" t="s">
        <v>244</v>
      </c>
    </row>
    <row r="4830" spans="1:15" x14ac:dyDescent="0.3">
      <c r="A4830" s="130">
        <v>25363</v>
      </c>
      <c r="B4830" s="130">
        <v>30</v>
      </c>
      <c r="C4830" s="130" t="s">
        <v>6454</v>
      </c>
      <c r="D4830">
        <v>38914</v>
      </c>
      <c r="E4830" s="130">
        <v>18715383</v>
      </c>
      <c r="F4830" t="s">
        <v>87</v>
      </c>
      <c r="G4830">
        <v>77</v>
      </c>
      <c r="H4830" t="s">
        <v>8952</v>
      </c>
      <c r="I4830" s="130">
        <v>3</v>
      </c>
      <c r="J4830" t="s">
        <v>6454</v>
      </c>
      <c r="K4830" t="s">
        <v>95</v>
      </c>
      <c r="L4830" t="s">
        <v>256</v>
      </c>
      <c r="M4830" t="s">
        <v>103</v>
      </c>
      <c r="N4830" t="s">
        <v>131</v>
      </c>
      <c r="O4830" t="s">
        <v>1345</v>
      </c>
    </row>
    <row r="4831" spans="1:15" x14ac:dyDescent="0.3">
      <c r="A4831" s="130">
        <v>25378</v>
      </c>
      <c r="B4831" s="130">
        <v>25</v>
      </c>
      <c r="C4831" s="130" t="s">
        <v>6455</v>
      </c>
      <c r="D4831">
        <v>38941</v>
      </c>
      <c r="E4831" s="130">
        <v>18540906</v>
      </c>
      <c r="F4831" t="s">
        <v>87</v>
      </c>
      <c r="G4831">
        <v>76</v>
      </c>
      <c r="H4831" t="s">
        <v>8953</v>
      </c>
      <c r="I4831" s="131">
        <v>43</v>
      </c>
      <c r="J4831" t="s">
        <v>6455</v>
      </c>
      <c r="K4831" t="s">
        <v>95</v>
      </c>
      <c r="L4831" t="s">
        <v>111</v>
      </c>
      <c r="M4831" t="s">
        <v>164</v>
      </c>
      <c r="N4831" t="s">
        <v>98</v>
      </c>
      <c r="O4831" t="s">
        <v>116</v>
      </c>
    </row>
    <row r="4832" spans="1:15" x14ac:dyDescent="0.3">
      <c r="A4832" s="130">
        <v>25379</v>
      </c>
      <c r="B4832" s="130">
        <v>30</v>
      </c>
      <c r="C4832" s="130" t="s">
        <v>6456</v>
      </c>
      <c r="D4832">
        <v>38942</v>
      </c>
      <c r="E4832" s="130">
        <v>17159856</v>
      </c>
      <c r="F4832" t="s">
        <v>87</v>
      </c>
      <c r="G4832">
        <v>32947</v>
      </c>
      <c r="H4832" t="s">
        <v>8951</v>
      </c>
      <c r="I4832" s="131">
        <v>3</v>
      </c>
      <c r="J4832" t="s">
        <v>6456</v>
      </c>
      <c r="K4832" t="s">
        <v>95</v>
      </c>
      <c r="L4832" t="s">
        <v>193</v>
      </c>
      <c r="M4832" t="s">
        <v>103</v>
      </c>
      <c r="N4832" t="s">
        <v>98</v>
      </c>
      <c r="O4832" t="s">
        <v>1345</v>
      </c>
    </row>
    <row r="4833" spans="1:15" x14ac:dyDescent="0.3">
      <c r="A4833" s="130">
        <v>25380</v>
      </c>
      <c r="B4833" s="130">
        <v>28</v>
      </c>
      <c r="C4833" s="130" t="s">
        <v>6457</v>
      </c>
      <c r="D4833">
        <v>38945</v>
      </c>
      <c r="E4833" s="130">
        <v>10775497</v>
      </c>
      <c r="F4833" t="s">
        <v>113</v>
      </c>
      <c r="G4833">
        <v>76</v>
      </c>
      <c r="H4833" t="s">
        <v>8952</v>
      </c>
      <c r="I4833" s="130">
        <v>18</v>
      </c>
      <c r="J4833" t="s">
        <v>6457</v>
      </c>
      <c r="K4833" t="s">
        <v>108</v>
      </c>
      <c r="L4833" t="s">
        <v>253</v>
      </c>
      <c r="M4833" t="s">
        <v>130</v>
      </c>
      <c r="N4833" t="s">
        <v>169</v>
      </c>
      <c r="O4833" t="s">
        <v>1256</v>
      </c>
    </row>
    <row r="4834" spans="1:15" x14ac:dyDescent="0.3">
      <c r="A4834" s="130">
        <v>25381</v>
      </c>
      <c r="B4834" s="130">
        <v>30</v>
      </c>
      <c r="C4834" s="130" t="s">
        <v>6458</v>
      </c>
      <c r="D4834">
        <v>38947</v>
      </c>
      <c r="E4834" s="130">
        <v>17159856</v>
      </c>
      <c r="F4834" t="s">
        <v>87</v>
      </c>
      <c r="G4834">
        <v>32947</v>
      </c>
      <c r="H4834" t="s">
        <v>8953</v>
      </c>
      <c r="I4834" s="130">
        <v>3</v>
      </c>
      <c r="J4834" t="s">
        <v>6458</v>
      </c>
      <c r="K4834" t="s">
        <v>95</v>
      </c>
      <c r="L4834" t="s">
        <v>193</v>
      </c>
      <c r="M4834" t="s">
        <v>103</v>
      </c>
      <c r="N4834" t="s">
        <v>98</v>
      </c>
      <c r="O4834" t="s">
        <v>1345</v>
      </c>
    </row>
    <row r="4835" spans="1:15" x14ac:dyDescent="0.3">
      <c r="A4835" s="130">
        <v>25384</v>
      </c>
      <c r="B4835" s="130">
        <v>28</v>
      </c>
      <c r="C4835" s="130" t="s">
        <v>6459</v>
      </c>
      <c r="D4835">
        <v>38951</v>
      </c>
      <c r="E4835" s="131">
        <v>51363179</v>
      </c>
      <c r="F4835" t="s">
        <v>87</v>
      </c>
      <c r="G4835">
        <v>76</v>
      </c>
      <c r="H4835" t="s">
        <v>8951</v>
      </c>
      <c r="I4835" s="130">
        <v>37</v>
      </c>
      <c r="J4835" t="s">
        <v>6459</v>
      </c>
      <c r="K4835" t="s">
        <v>95</v>
      </c>
      <c r="L4835" t="s">
        <v>138</v>
      </c>
      <c r="M4835" t="s">
        <v>130</v>
      </c>
      <c r="N4835" t="s">
        <v>150</v>
      </c>
      <c r="O4835" t="s">
        <v>116</v>
      </c>
    </row>
    <row r="4836" spans="1:15" x14ac:dyDescent="0.3">
      <c r="A4836" s="130">
        <v>25385</v>
      </c>
      <c r="B4836" s="130">
        <v>18</v>
      </c>
      <c r="C4836" s="130" t="s">
        <v>6460</v>
      </c>
      <c r="D4836">
        <v>38950</v>
      </c>
      <c r="E4836" s="130">
        <v>23873344</v>
      </c>
      <c r="F4836" t="s">
        <v>113</v>
      </c>
      <c r="G4836">
        <v>76</v>
      </c>
      <c r="H4836" t="s">
        <v>8952</v>
      </c>
      <c r="I4836" s="131">
        <v>9</v>
      </c>
      <c r="J4836" t="s">
        <v>6460</v>
      </c>
      <c r="K4836" t="s">
        <v>108</v>
      </c>
      <c r="L4836" t="s">
        <v>163</v>
      </c>
      <c r="M4836" t="s">
        <v>112</v>
      </c>
      <c r="N4836" t="s">
        <v>98</v>
      </c>
      <c r="O4836" t="s">
        <v>1256</v>
      </c>
    </row>
    <row r="4837" spans="1:15" x14ac:dyDescent="0.3">
      <c r="A4837" s="130">
        <v>25387</v>
      </c>
      <c r="B4837" s="130">
        <v>21</v>
      </c>
      <c r="C4837" s="130" t="s">
        <v>6461</v>
      </c>
      <c r="D4837">
        <v>38956</v>
      </c>
      <c r="E4837" s="130">
        <v>5012686</v>
      </c>
      <c r="F4837" t="s">
        <v>87</v>
      </c>
      <c r="G4837">
        <v>76</v>
      </c>
      <c r="H4837" t="s">
        <v>8953</v>
      </c>
      <c r="I4837" s="130">
        <v>24</v>
      </c>
      <c r="J4837" t="s">
        <v>6461</v>
      </c>
      <c r="K4837" t="s">
        <v>108</v>
      </c>
      <c r="L4837" t="s">
        <v>191</v>
      </c>
      <c r="M4837" t="s">
        <v>137</v>
      </c>
      <c r="N4837" t="s">
        <v>98</v>
      </c>
      <c r="O4837" t="s">
        <v>116</v>
      </c>
    </row>
    <row r="4838" spans="1:15" x14ac:dyDescent="0.3">
      <c r="A4838" s="130">
        <v>25389</v>
      </c>
      <c r="B4838" s="130">
        <v>28</v>
      </c>
      <c r="C4838" s="130" t="s">
        <v>6462</v>
      </c>
      <c r="D4838">
        <v>38883</v>
      </c>
      <c r="E4838" s="130">
        <v>41881034</v>
      </c>
      <c r="F4838" t="s">
        <v>113</v>
      </c>
      <c r="G4838">
        <v>76</v>
      </c>
      <c r="H4838" t="s">
        <v>8951</v>
      </c>
      <c r="I4838" s="130">
        <v>18</v>
      </c>
      <c r="J4838" t="s">
        <v>6462</v>
      </c>
      <c r="K4838" t="s">
        <v>108</v>
      </c>
      <c r="L4838" t="s">
        <v>253</v>
      </c>
      <c r="M4838" t="s">
        <v>130</v>
      </c>
      <c r="N4838" t="s">
        <v>114</v>
      </c>
      <c r="O4838" t="s">
        <v>1256</v>
      </c>
    </row>
    <row r="4839" spans="1:15" x14ac:dyDescent="0.3">
      <c r="A4839" s="130">
        <v>25393</v>
      </c>
      <c r="B4839" s="130">
        <v>30</v>
      </c>
      <c r="C4839" s="130" t="s">
        <v>6463</v>
      </c>
      <c r="D4839">
        <v>38969</v>
      </c>
      <c r="E4839" s="130">
        <v>2602726</v>
      </c>
      <c r="F4839" t="s">
        <v>87</v>
      </c>
      <c r="G4839">
        <v>76</v>
      </c>
      <c r="H4839" t="s">
        <v>8952</v>
      </c>
      <c r="I4839" s="131">
        <v>3</v>
      </c>
      <c r="J4839" t="s">
        <v>6463</v>
      </c>
      <c r="K4839" t="s">
        <v>95</v>
      </c>
      <c r="L4839" t="s">
        <v>111</v>
      </c>
      <c r="M4839" t="s">
        <v>103</v>
      </c>
      <c r="N4839" t="s">
        <v>98</v>
      </c>
      <c r="O4839" t="s">
        <v>116</v>
      </c>
    </row>
    <row r="4840" spans="1:15" x14ac:dyDescent="0.3">
      <c r="A4840" s="130">
        <v>25394</v>
      </c>
      <c r="B4840" s="130">
        <v>0</v>
      </c>
      <c r="C4840" s="130" t="s">
        <v>6464</v>
      </c>
      <c r="D4840">
        <v>38973</v>
      </c>
      <c r="E4840" s="130">
        <v>1021713</v>
      </c>
      <c r="F4840" t="s">
        <v>87</v>
      </c>
      <c r="G4840">
        <v>32947</v>
      </c>
      <c r="H4840" t="s">
        <v>8953</v>
      </c>
      <c r="I4840" s="131">
        <v>3</v>
      </c>
      <c r="J4840" t="s">
        <v>6464</v>
      </c>
      <c r="K4840" t="s">
        <v>108</v>
      </c>
      <c r="L4840" t="s">
        <v>109</v>
      </c>
      <c r="M4840" t="s">
        <v>100</v>
      </c>
      <c r="N4840" t="s">
        <v>98</v>
      </c>
      <c r="O4840" t="s">
        <v>1256</v>
      </c>
    </row>
    <row r="4841" spans="1:15" x14ac:dyDescent="0.3">
      <c r="A4841" s="130">
        <v>25396</v>
      </c>
      <c r="B4841" s="130">
        <v>28</v>
      </c>
      <c r="C4841" s="130" t="s">
        <v>6465</v>
      </c>
      <c r="D4841">
        <v>38980</v>
      </c>
      <c r="E4841" s="131">
        <v>61037537</v>
      </c>
      <c r="F4841" t="s">
        <v>87</v>
      </c>
      <c r="G4841">
        <v>76</v>
      </c>
      <c r="H4841" t="s">
        <v>8951</v>
      </c>
      <c r="I4841" s="131">
        <v>24</v>
      </c>
      <c r="J4841" t="s">
        <v>6465</v>
      </c>
      <c r="K4841" t="s">
        <v>95</v>
      </c>
      <c r="L4841" t="s">
        <v>240</v>
      </c>
      <c r="M4841" t="s">
        <v>130</v>
      </c>
      <c r="N4841" t="s">
        <v>98</v>
      </c>
      <c r="O4841" t="s">
        <v>1345</v>
      </c>
    </row>
    <row r="4842" spans="1:15" x14ac:dyDescent="0.3">
      <c r="A4842" s="130">
        <v>25398</v>
      </c>
      <c r="B4842" s="130">
        <v>18</v>
      </c>
      <c r="C4842" s="130" t="s">
        <v>6466</v>
      </c>
      <c r="D4842">
        <v>38879</v>
      </c>
      <c r="E4842" s="130">
        <v>4210370</v>
      </c>
      <c r="F4842" t="s">
        <v>113</v>
      </c>
      <c r="G4842">
        <v>76</v>
      </c>
      <c r="H4842" t="s">
        <v>8952</v>
      </c>
      <c r="I4842" s="130">
        <v>9</v>
      </c>
      <c r="J4842" t="s">
        <v>6466</v>
      </c>
      <c r="K4842" t="s">
        <v>108</v>
      </c>
      <c r="L4842" t="s">
        <v>163</v>
      </c>
      <c r="M4842" t="s">
        <v>112</v>
      </c>
      <c r="N4842" t="s">
        <v>124</v>
      </c>
      <c r="O4842" t="s">
        <v>1256</v>
      </c>
    </row>
    <row r="4843" spans="1:15" x14ac:dyDescent="0.3">
      <c r="A4843" s="130">
        <v>25400</v>
      </c>
      <c r="B4843" s="130">
        <v>30</v>
      </c>
      <c r="C4843" s="130" t="s">
        <v>6467</v>
      </c>
      <c r="D4843">
        <v>38985</v>
      </c>
      <c r="E4843" s="130">
        <v>34562112</v>
      </c>
      <c r="F4843" t="s">
        <v>87</v>
      </c>
      <c r="G4843">
        <v>76</v>
      </c>
      <c r="H4843" t="s">
        <v>8953</v>
      </c>
      <c r="I4843" s="130">
        <v>24</v>
      </c>
      <c r="J4843" t="s">
        <v>6467</v>
      </c>
      <c r="K4843" t="s">
        <v>95</v>
      </c>
      <c r="L4843" t="s">
        <v>191</v>
      </c>
      <c r="M4843" t="s">
        <v>103</v>
      </c>
      <c r="N4843" t="s">
        <v>107</v>
      </c>
      <c r="O4843" t="s">
        <v>1256</v>
      </c>
    </row>
    <row r="4844" spans="1:15" x14ac:dyDescent="0.3">
      <c r="A4844" s="130">
        <v>25401</v>
      </c>
      <c r="B4844" s="130">
        <v>30</v>
      </c>
      <c r="C4844" s="130" t="s">
        <v>6468</v>
      </c>
      <c r="D4844">
        <v>38986</v>
      </c>
      <c r="E4844" s="130">
        <v>27432016</v>
      </c>
      <c r="F4844" t="s">
        <v>87</v>
      </c>
      <c r="G4844">
        <v>76</v>
      </c>
      <c r="H4844" t="s">
        <v>8951</v>
      </c>
      <c r="I4844" s="130">
        <v>38</v>
      </c>
      <c r="J4844" t="s">
        <v>6468</v>
      </c>
      <c r="K4844" t="s">
        <v>108</v>
      </c>
      <c r="L4844" t="s">
        <v>126</v>
      </c>
      <c r="M4844" t="s">
        <v>103</v>
      </c>
      <c r="N4844" t="s">
        <v>98</v>
      </c>
      <c r="O4844" t="s">
        <v>116</v>
      </c>
    </row>
    <row r="4845" spans="1:15" x14ac:dyDescent="0.3">
      <c r="A4845" s="130">
        <v>25406</v>
      </c>
      <c r="B4845" s="130">
        <v>0</v>
      </c>
      <c r="C4845" s="130" t="s">
        <v>6469</v>
      </c>
      <c r="D4845">
        <v>38995</v>
      </c>
      <c r="E4845" s="130">
        <v>16956443</v>
      </c>
      <c r="F4845" t="s">
        <v>87</v>
      </c>
      <c r="G4845">
        <v>32947</v>
      </c>
      <c r="H4845" t="s">
        <v>8952</v>
      </c>
      <c r="I4845" s="131">
        <v>3</v>
      </c>
      <c r="J4845" t="s">
        <v>6469</v>
      </c>
      <c r="K4845" t="s">
        <v>95</v>
      </c>
      <c r="L4845" t="s">
        <v>109</v>
      </c>
      <c r="M4845" t="s">
        <v>100</v>
      </c>
      <c r="N4845" t="s">
        <v>98</v>
      </c>
      <c r="O4845" t="s">
        <v>1256</v>
      </c>
    </row>
    <row r="4846" spans="1:15" x14ac:dyDescent="0.3">
      <c r="A4846" s="130">
        <v>25409</v>
      </c>
      <c r="B4846" s="130">
        <v>28</v>
      </c>
      <c r="C4846" s="130" t="s">
        <v>6470</v>
      </c>
      <c r="D4846">
        <v>39002</v>
      </c>
      <c r="E4846" s="130">
        <v>61037537</v>
      </c>
      <c r="F4846" t="s">
        <v>87</v>
      </c>
      <c r="G4846">
        <v>76</v>
      </c>
      <c r="H4846" t="s">
        <v>8953</v>
      </c>
      <c r="I4846" s="130">
        <v>24</v>
      </c>
      <c r="J4846" t="s">
        <v>6470</v>
      </c>
      <c r="K4846" t="s">
        <v>108</v>
      </c>
      <c r="L4846" t="s">
        <v>240</v>
      </c>
      <c r="M4846" t="s">
        <v>130</v>
      </c>
      <c r="N4846" t="s">
        <v>98</v>
      </c>
      <c r="O4846" t="s">
        <v>1256</v>
      </c>
    </row>
    <row r="4847" spans="1:15" x14ac:dyDescent="0.3">
      <c r="A4847" s="130">
        <v>25410</v>
      </c>
      <c r="B4847" s="130">
        <v>60</v>
      </c>
      <c r="C4847" s="130" t="s">
        <v>6471</v>
      </c>
      <c r="D4847">
        <v>39003</v>
      </c>
      <c r="E4847" s="130">
        <v>92660604</v>
      </c>
      <c r="F4847" t="s">
        <v>87</v>
      </c>
      <c r="G4847">
        <v>77</v>
      </c>
      <c r="H4847" t="s">
        <v>8951</v>
      </c>
      <c r="I4847" s="131">
        <v>24</v>
      </c>
      <c r="J4847" t="s">
        <v>6471</v>
      </c>
      <c r="K4847" t="s">
        <v>95</v>
      </c>
      <c r="L4847" t="s">
        <v>1252</v>
      </c>
      <c r="M4847" t="s">
        <v>97</v>
      </c>
      <c r="N4847" t="s">
        <v>114</v>
      </c>
      <c r="O4847" t="s">
        <v>116</v>
      </c>
    </row>
    <row r="4848" spans="1:15" x14ac:dyDescent="0.3">
      <c r="A4848" s="130">
        <v>25411</v>
      </c>
      <c r="B4848" s="130">
        <v>10</v>
      </c>
      <c r="C4848" s="130" t="s">
        <v>6472</v>
      </c>
      <c r="D4848">
        <v>39005</v>
      </c>
      <c r="E4848" s="131">
        <v>29254042</v>
      </c>
      <c r="F4848" t="s">
        <v>87</v>
      </c>
      <c r="G4848">
        <v>76</v>
      </c>
      <c r="H4848" t="s">
        <v>8952</v>
      </c>
      <c r="I4848" s="130">
        <v>9</v>
      </c>
      <c r="J4848" t="s">
        <v>6472</v>
      </c>
      <c r="K4848" t="s">
        <v>108</v>
      </c>
      <c r="L4848" t="s">
        <v>163</v>
      </c>
      <c r="M4848" t="s">
        <v>133</v>
      </c>
      <c r="N4848" t="s">
        <v>98</v>
      </c>
      <c r="O4848" t="s">
        <v>244</v>
      </c>
    </row>
    <row r="4849" spans="1:15" x14ac:dyDescent="0.3">
      <c r="A4849" s="130">
        <v>25412</v>
      </c>
      <c r="B4849" s="130">
        <v>30</v>
      </c>
      <c r="C4849" s="130" t="s">
        <v>6473</v>
      </c>
      <c r="D4849">
        <v>39007</v>
      </c>
      <c r="E4849" s="131">
        <v>8769549</v>
      </c>
      <c r="F4849" t="s">
        <v>113</v>
      </c>
      <c r="G4849">
        <v>32947</v>
      </c>
      <c r="H4849" t="s">
        <v>8953</v>
      </c>
      <c r="I4849" s="130">
        <v>19</v>
      </c>
      <c r="J4849" t="s">
        <v>6473</v>
      </c>
      <c r="K4849" t="s">
        <v>95</v>
      </c>
      <c r="L4849" t="s">
        <v>252</v>
      </c>
      <c r="M4849" t="s">
        <v>103</v>
      </c>
      <c r="N4849" t="s">
        <v>114</v>
      </c>
      <c r="O4849" t="s">
        <v>1256</v>
      </c>
    </row>
    <row r="4850" spans="1:15" x14ac:dyDescent="0.3">
      <c r="A4850" s="130">
        <v>25415</v>
      </c>
      <c r="B4850" s="130">
        <v>30</v>
      </c>
      <c r="C4850" s="130" t="s">
        <v>6474</v>
      </c>
      <c r="D4850">
        <v>39011</v>
      </c>
      <c r="E4850" s="130">
        <v>11381605</v>
      </c>
      <c r="F4850" t="s">
        <v>87</v>
      </c>
      <c r="G4850">
        <v>76</v>
      </c>
      <c r="H4850" t="s">
        <v>8951</v>
      </c>
      <c r="I4850" s="131">
        <v>9</v>
      </c>
      <c r="J4850" t="s">
        <v>6474</v>
      </c>
      <c r="K4850" t="s">
        <v>108</v>
      </c>
      <c r="L4850" t="s">
        <v>1298</v>
      </c>
      <c r="M4850" t="s">
        <v>103</v>
      </c>
      <c r="N4850" t="s">
        <v>98</v>
      </c>
      <c r="O4850" t="s">
        <v>116</v>
      </c>
    </row>
    <row r="4851" spans="1:15" x14ac:dyDescent="0.3">
      <c r="A4851" s="130">
        <v>25420</v>
      </c>
      <c r="B4851" s="130">
        <v>18</v>
      </c>
      <c r="C4851" s="130" t="s">
        <v>6475</v>
      </c>
      <c r="D4851">
        <v>39015</v>
      </c>
      <c r="E4851" s="131">
        <v>37823826</v>
      </c>
      <c r="F4851" t="s">
        <v>113</v>
      </c>
      <c r="G4851">
        <v>32947</v>
      </c>
      <c r="H4851" t="s">
        <v>8952</v>
      </c>
      <c r="I4851" s="130">
        <v>43</v>
      </c>
      <c r="J4851" t="s">
        <v>6475</v>
      </c>
      <c r="K4851" t="s">
        <v>108</v>
      </c>
      <c r="L4851" t="s">
        <v>1241</v>
      </c>
      <c r="M4851" t="s">
        <v>112</v>
      </c>
      <c r="N4851" t="s">
        <v>98</v>
      </c>
      <c r="O4851" t="s">
        <v>1256</v>
      </c>
    </row>
    <row r="4852" spans="1:15" x14ac:dyDescent="0.3">
      <c r="A4852" s="130">
        <v>25421</v>
      </c>
      <c r="C4852" s="130" t="s">
        <v>6476</v>
      </c>
      <c r="D4852">
        <v>38821</v>
      </c>
      <c r="E4852" s="130">
        <v>26806499</v>
      </c>
      <c r="F4852" t="s">
        <v>113</v>
      </c>
      <c r="G4852">
        <v>76</v>
      </c>
      <c r="H4852" t="s">
        <v>8953</v>
      </c>
      <c r="I4852" s="131">
        <v>24</v>
      </c>
      <c r="J4852" t="s">
        <v>6476</v>
      </c>
      <c r="K4852" t="s">
        <v>95</v>
      </c>
      <c r="L4852" t="s">
        <v>1253</v>
      </c>
      <c r="N4852" t="s">
        <v>122</v>
      </c>
      <c r="O4852" t="s">
        <v>1256</v>
      </c>
    </row>
    <row r="4853" spans="1:15" x14ac:dyDescent="0.3">
      <c r="A4853" s="130">
        <v>25422</v>
      </c>
      <c r="B4853" s="130">
        <v>10</v>
      </c>
      <c r="C4853" s="130" t="s">
        <v>6477</v>
      </c>
      <c r="D4853">
        <v>38605</v>
      </c>
      <c r="E4853" s="130">
        <v>4716438</v>
      </c>
      <c r="F4853" t="s">
        <v>113</v>
      </c>
      <c r="G4853">
        <v>76</v>
      </c>
      <c r="H4853" t="s">
        <v>8951</v>
      </c>
      <c r="I4853" s="131">
        <v>24</v>
      </c>
      <c r="J4853" t="s">
        <v>6477</v>
      </c>
      <c r="K4853" t="s">
        <v>108</v>
      </c>
      <c r="L4853" t="s">
        <v>240</v>
      </c>
      <c r="M4853" t="s">
        <v>133</v>
      </c>
      <c r="N4853" t="s">
        <v>101</v>
      </c>
      <c r="O4853" t="s">
        <v>1256</v>
      </c>
    </row>
    <row r="4854" spans="1:15" x14ac:dyDescent="0.3">
      <c r="A4854" s="130">
        <v>25426</v>
      </c>
      <c r="B4854" s="130">
        <v>0</v>
      </c>
      <c r="C4854" s="130" t="s">
        <v>6478</v>
      </c>
      <c r="D4854">
        <v>39021</v>
      </c>
      <c r="E4854" s="131">
        <v>61584223</v>
      </c>
      <c r="F4854" t="s">
        <v>87</v>
      </c>
      <c r="G4854">
        <v>32947</v>
      </c>
      <c r="H4854" t="s">
        <v>8952</v>
      </c>
      <c r="I4854" s="130">
        <v>24</v>
      </c>
      <c r="J4854" t="s">
        <v>6478</v>
      </c>
      <c r="K4854" t="s">
        <v>108</v>
      </c>
      <c r="L4854" t="s">
        <v>1299</v>
      </c>
      <c r="M4854" t="s">
        <v>100</v>
      </c>
      <c r="N4854" t="s">
        <v>98</v>
      </c>
      <c r="O4854" t="s">
        <v>1256</v>
      </c>
    </row>
    <row r="4855" spans="1:15" x14ac:dyDescent="0.3">
      <c r="A4855" s="130">
        <v>25427</v>
      </c>
      <c r="B4855" s="130">
        <v>10</v>
      </c>
      <c r="C4855" s="130" t="s">
        <v>6479</v>
      </c>
      <c r="D4855">
        <v>39024</v>
      </c>
      <c r="E4855" s="131">
        <v>45736131</v>
      </c>
      <c r="F4855" t="s">
        <v>87</v>
      </c>
      <c r="G4855">
        <v>32947</v>
      </c>
      <c r="H4855" t="s">
        <v>8953</v>
      </c>
      <c r="I4855" s="131">
        <v>43</v>
      </c>
      <c r="J4855" t="s">
        <v>6479</v>
      </c>
      <c r="K4855" t="s">
        <v>108</v>
      </c>
      <c r="L4855" t="s">
        <v>1241</v>
      </c>
      <c r="M4855" t="s">
        <v>133</v>
      </c>
      <c r="N4855" t="s">
        <v>101</v>
      </c>
      <c r="O4855" t="s">
        <v>1256</v>
      </c>
    </row>
    <row r="4856" spans="1:15" x14ac:dyDescent="0.3">
      <c r="A4856" s="130">
        <v>25429</v>
      </c>
      <c r="B4856" s="130">
        <v>30</v>
      </c>
      <c r="C4856" s="130" t="s">
        <v>6480</v>
      </c>
      <c r="D4856">
        <v>39027</v>
      </c>
      <c r="E4856" s="130">
        <v>83693366</v>
      </c>
      <c r="F4856" t="s">
        <v>87</v>
      </c>
      <c r="G4856">
        <v>76</v>
      </c>
      <c r="H4856" t="s">
        <v>8951</v>
      </c>
      <c r="I4856" s="130">
        <v>24</v>
      </c>
      <c r="J4856" t="s">
        <v>6480</v>
      </c>
      <c r="K4856" t="s">
        <v>108</v>
      </c>
      <c r="L4856" t="s">
        <v>191</v>
      </c>
      <c r="M4856" t="s">
        <v>103</v>
      </c>
      <c r="N4856" t="s">
        <v>98</v>
      </c>
      <c r="O4856" t="s">
        <v>116</v>
      </c>
    </row>
    <row r="4857" spans="1:15" x14ac:dyDescent="0.3">
      <c r="A4857" s="130">
        <v>25430</v>
      </c>
      <c r="B4857" s="130">
        <v>21</v>
      </c>
      <c r="C4857" s="130" t="s">
        <v>6481</v>
      </c>
      <c r="D4857">
        <v>39030</v>
      </c>
      <c r="E4857" s="130">
        <v>3534661</v>
      </c>
      <c r="F4857" t="s">
        <v>87</v>
      </c>
      <c r="G4857">
        <v>76</v>
      </c>
      <c r="H4857" t="s">
        <v>8952</v>
      </c>
      <c r="I4857" s="131">
        <v>24</v>
      </c>
      <c r="J4857" t="s">
        <v>6481</v>
      </c>
      <c r="K4857" t="s">
        <v>108</v>
      </c>
      <c r="L4857" t="s">
        <v>191</v>
      </c>
      <c r="M4857" t="s">
        <v>137</v>
      </c>
      <c r="N4857" t="s">
        <v>98</v>
      </c>
      <c r="O4857" t="s">
        <v>1256</v>
      </c>
    </row>
    <row r="4858" spans="1:15" x14ac:dyDescent="0.3">
      <c r="A4858" s="130">
        <v>25431</v>
      </c>
      <c r="B4858" s="130">
        <v>30</v>
      </c>
      <c r="C4858" s="130" t="s">
        <v>6482</v>
      </c>
      <c r="D4858">
        <v>39031</v>
      </c>
      <c r="E4858" s="131">
        <v>3998869</v>
      </c>
      <c r="F4858" t="s">
        <v>87</v>
      </c>
      <c r="G4858">
        <v>76</v>
      </c>
      <c r="H4858" t="s">
        <v>8953</v>
      </c>
      <c r="I4858" s="130">
        <v>24</v>
      </c>
      <c r="J4858" t="s">
        <v>6482</v>
      </c>
      <c r="K4858" t="s">
        <v>95</v>
      </c>
      <c r="L4858" t="s">
        <v>191</v>
      </c>
      <c r="M4858" t="s">
        <v>103</v>
      </c>
      <c r="N4858" t="s">
        <v>98</v>
      </c>
      <c r="O4858" t="s">
        <v>1256</v>
      </c>
    </row>
    <row r="4859" spans="1:15" x14ac:dyDescent="0.3">
      <c r="A4859" s="130">
        <v>25432</v>
      </c>
      <c r="B4859" s="130">
        <v>18</v>
      </c>
      <c r="C4859" s="130" t="s">
        <v>6483</v>
      </c>
      <c r="D4859">
        <v>39032</v>
      </c>
      <c r="E4859" s="131">
        <v>22632588</v>
      </c>
      <c r="F4859" t="s">
        <v>87</v>
      </c>
      <c r="G4859">
        <v>76</v>
      </c>
      <c r="H4859" t="s">
        <v>8951</v>
      </c>
      <c r="I4859" s="130">
        <v>24</v>
      </c>
      <c r="J4859" t="s">
        <v>6483</v>
      </c>
      <c r="K4859" t="s">
        <v>108</v>
      </c>
      <c r="L4859" t="s">
        <v>191</v>
      </c>
      <c r="M4859" t="s">
        <v>112</v>
      </c>
      <c r="N4859" t="s">
        <v>98</v>
      </c>
      <c r="O4859" t="s">
        <v>1256</v>
      </c>
    </row>
    <row r="4860" spans="1:15" x14ac:dyDescent="0.3">
      <c r="A4860" s="130">
        <v>25433</v>
      </c>
      <c r="B4860" s="130">
        <v>0</v>
      </c>
      <c r="C4860" s="130" t="s">
        <v>6484</v>
      </c>
      <c r="D4860">
        <v>39033</v>
      </c>
      <c r="E4860" s="130">
        <v>1294551</v>
      </c>
      <c r="F4860" t="s">
        <v>87</v>
      </c>
      <c r="G4860">
        <v>32947</v>
      </c>
      <c r="H4860" t="s">
        <v>8952</v>
      </c>
      <c r="I4860" s="131">
        <v>43</v>
      </c>
      <c r="J4860" t="s">
        <v>6484</v>
      </c>
      <c r="K4860" t="s">
        <v>108</v>
      </c>
      <c r="L4860" t="s">
        <v>1241</v>
      </c>
      <c r="M4860" t="s">
        <v>100</v>
      </c>
      <c r="N4860" t="s">
        <v>98</v>
      </c>
      <c r="O4860" t="s">
        <v>1256</v>
      </c>
    </row>
    <row r="4861" spans="1:15" x14ac:dyDescent="0.3">
      <c r="A4861" s="130">
        <v>25435</v>
      </c>
      <c r="B4861" s="130">
        <v>21</v>
      </c>
      <c r="C4861" s="130" t="s">
        <v>6485</v>
      </c>
      <c r="D4861">
        <v>39035</v>
      </c>
      <c r="E4861" s="131">
        <v>30817707</v>
      </c>
      <c r="F4861" t="s">
        <v>113</v>
      </c>
      <c r="G4861">
        <v>76</v>
      </c>
      <c r="H4861" t="s">
        <v>8953</v>
      </c>
      <c r="I4861" s="131">
        <v>24</v>
      </c>
      <c r="J4861" t="s">
        <v>6485</v>
      </c>
      <c r="K4861" t="s">
        <v>95</v>
      </c>
      <c r="L4861" t="s">
        <v>191</v>
      </c>
      <c r="M4861" t="s">
        <v>137</v>
      </c>
      <c r="N4861" t="s">
        <v>98</v>
      </c>
      <c r="O4861" t="s">
        <v>1256</v>
      </c>
    </row>
    <row r="4862" spans="1:15" x14ac:dyDescent="0.3">
      <c r="A4862" s="130">
        <v>25438</v>
      </c>
      <c r="C4862" s="130" t="s">
        <v>6486</v>
      </c>
      <c r="D4862">
        <v>39038</v>
      </c>
      <c r="E4862" s="130">
        <v>87556650</v>
      </c>
      <c r="F4862" t="s">
        <v>113</v>
      </c>
      <c r="G4862">
        <v>76</v>
      </c>
      <c r="H4862" t="s">
        <v>8951</v>
      </c>
      <c r="I4862" s="131">
        <v>3</v>
      </c>
      <c r="J4862" t="s">
        <v>6486</v>
      </c>
      <c r="K4862" t="s">
        <v>108</v>
      </c>
      <c r="L4862" t="s">
        <v>925</v>
      </c>
      <c r="N4862" t="s">
        <v>98</v>
      </c>
      <c r="O4862" t="s">
        <v>1256</v>
      </c>
    </row>
    <row r="4863" spans="1:15" x14ac:dyDescent="0.3">
      <c r="A4863" s="130">
        <v>25442</v>
      </c>
      <c r="B4863" s="130">
        <v>30</v>
      </c>
      <c r="C4863" s="130" t="s">
        <v>6487</v>
      </c>
      <c r="D4863">
        <v>39006</v>
      </c>
      <c r="E4863" s="130">
        <v>15103354</v>
      </c>
      <c r="F4863" t="s">
        <v>87</v>
      </c>
      <c r="G4863">
        <v>32947</v>
      </c>
      <c r="H4863" t="s">
        <v>8952</v>
      </c>
      <c r="I4863" s="130">
        <v>43</v>
      </c>
      <c r="J4863" t="s">
        <v>6487</v>
      </c>
      <c r="K4863" t="s">
        <v>108</v>
      </c>
      <c r="L4863" t="s">
        <v>1241</v>
      </c>
      <c r="M4863" t="s">
        <v>103</v>
      </c>
      <c r="N4863" t="s">
        <v>124</v>
      </c>
      <c r="O4863" t="s">
        <v>1256</v>
      </c>
    </row>
    <row r="4864" spans="1:15" x14ac:dyDescent="0.3">
      <c r="A4864" s="130">
        <v>25443</v>
      </c>
      <c r="B4864" s="130">
        <v>20</v>
      </c>
      <c r="C4864" s="130" t="s">
        <v>6488</v>
      </c>
      <c r="D4864">
        <v>39047</v>
      </c>
      <c r="E4864" s="130">
        <v>33554697</v>
      </c>
      <c r="F4864" t="s">
        <v>87</v>
      </c>
      <c r="G4864">
        <v>32947</v>
      </c>
      <c r="H4864" t="s">
        <v>8953</v>
      </c>
      <c r="I4864" s="130">
        <v>19</v>
      </c>
      <c r="J4864" t="s">
        <v>6488</v>
      </c>
      <c r="K4864" t="s">
        <v>108</v>
      </c>
      <c r="L4864" t="s">
        <v>252</v>
      </c>
      <c r="M4864" t="s">
        <v>148</v>
      </c>
      <c r="N4864" t="s">
        <v>98</v>
      </c>
      <c r="O4864" t="s">
        <v>244</v>
      </c>
    </row>
    <row r="4865" spans="1:15" x14ac:dyDescent="0.3">
      <c r="A4865" s="130">
        <v>25444</v>
      </c>
      <c r="B4865" s="130">
        <v>20</v>
      </c>
      <c r="C4865" s="130" t="s">
        <v>6489</v>
      </c>
      <c r="D4865">
        <v>39048</v>
      </c>
      <c r="E4865" s="131">
        <v>12944401</v>
      </c>
      <c r="F4865" t="s">
        <v>87</v>
      </c>
      <c r="G4865">
        <v>32947</v>
      </c>
      <c r="H4865" t="s">
        <v>8951</v>
      </c>
      <c r="I4865" s="131">
        <v>19</v>
      </c>
      <c r="J4865" t="s">
        <v>6489</v>
      </c>
      <c r="K4865" t="s">
        <v>108</v>
      </c>
      <c r="L4865" t="s">
        <v>252</v>
      </c>
      <c r="M4865" t="s">
        <v>148</v>
      </c>
      <c r="N4865" t="s">
        <v>98</v>
      </c>
      <c r="O4865" t="s">
        <v>244</v>
      </c>
    </row>
    <row r="4866" spans="1:15" x14ac:dyDescent="0.3">
      <c r="A4866" s="130">
        <v>25449</v>
      </c>
      <c r="B4866" s="130">
        <v>30</v>
      </c>
      <c r="C4866" s="130" t="s">
        <v>6490</v>
      </c>
      <c r="D4866">
        <v>39012</v>
      </c>
      <c r="E4866" s="130">
        <v>16517992</v>
      </c>
      <c r="F4866" t="s">
        <v>87</v>
      </c>
      <c r="G4866">
        <v>76</v>
      </c>
      <c r="H4866" t="s">
        <v>8952</v>
      </c>
      <c r="I4866" s="131">
        <v>19</v>
      </c>
      <c r="J4866" t="s">
        <v>6490</v>
      </c>
      <c r="K4866" t="s">
        <v>108</v>
      </c>
      <c r="L4866" t="s">
        <v>146</v>
      </c>
      <c r="M4866" t="s">
        <v>103</v>
      </c>
      <c r="N4866" t="s">
        <v>98</v>
      </c>
      <c r="O4866" t="s">
        <v>116</v>
      </c>
    </row>
    <row r="4867" spans="1:15" x14ac:dyDescent="0.3">
      <c r="A4867" s="130">
        <v>25450</v>
      </c>
      <c r="B4867" s="130">
        <v>20</v>
      </c>
      <c r="C4867" s="130" t="s">
        <v>6491</v>
      </c>
      <c r="D4867">
        <v>39058</v>
      </c>
      <c r="E4867" s="130">
        <v>53302721</v>
      </c>
      <c r="F4867" t="s">
        <v>87</v>
      </c>
      <c r="G4867">
        <v>32947</v>
      </c>
      <c r="H4867" t="s">
        <v>8953</v>
      </c>
      <c r="I4867" s="130">
        <v>19</v>
      </c>
      <c r="J4867" t="s">
        <v>6491</v>
      </c>
      <c r="K4867" t="s">
        <v>108</v>
      </c>
      <c r="L4867" t="s">
        <v>252</v>
      </c>
      <c r="M4867" t="s">
        <v>148</v>
      </c>
      <c r="N4867" t="s">
        <v>98</v>
      </c>
      <c r="O4867" t="s">
        <v>244</v>
      </c>
    </row>
    <row r="4868" spans="1:15" x14ac:dyDescent="0.3">
      <c r="A4868" s="130">
        <v>25452</v>
      </c>
      <c r="B4868" s="130">
        <v>30</v>
      </c>
      <c r="C4868" s="130" t="s">
        <v>6492</v>
      </c>
      <c r="D4868">
        <v>39064</v>
      </c>
      <c r="E4868" s="131">
        <v>11267611</v>
      </c>
      <c r="F4868" t="s">
        <v>87</v>
      </c>
      <c r="G4868">
        <v>76</v>
      </c>
      <c r="H4868" t="s">
        <v>8951</v>
      </c>
      <c r="I4868" s="131">
        <v>10</v>
      </c>
      <c r="J4868" t="s">
        <v>6492</v>
      </c>
      <c r="K4868" t="s">
        <v>95</v>
      </c>
      <c r="L4868" t="s">
        <v>111</v>
      </c>
      <c r="M4868" t="s">
        <v>103</v>
      </c>
      <c r="N4868" t="s">
        <v>118</v>
      </c>
      <c r="O4868" t="s">
        <v>1345</v>
      </c>
    </row>
    <row r="4869" spans="1:15" x14ac:dyDescent="0.3">
      <c r="A4869" s="130">
        <v>25455</v>
      </c>
      <c r="C4869" s="130" t="s">
        <v>6493</v>
      </c>
      <c r="D4869">
        <v>39066</v>
      </c>
      <c r="E4869" s="131">
        <v>8850989</v>
      </c>
      <c r="F4869" t="s">
        <v>87</v>
      </c>
      <c r="G4869">
        <v>76</v>
      </c>
      <c r="H4869" t="s">
        <v>8952</v>
      </c>
      <c r="I4869" s="130">
        <v>26</v>
      </c>
      <c r="J4869" t="s">
        <v>6493</v>
      </c>
      <c r="K4869" t="s">
        <v>108</v>
      </c>
      <c r="L4869" t="s">
        <v>151</v>
      </c>
      <c r="N4869" t="s">
        <v>98</v>
      </c>
      <c r="O4869" t="s">
        <v>1256</v>
      </c>
    </row>
    <row r="4870" spans="1:15" x14ac:dyDescent="0.3">
      <c r="A4870" s="130">
        <v>25456</v>
      </c>
      <c r="B4870" s="130">
        <v>18</v>
      </c>
      <c r="C4870" s="130" t="s">
        <v>6494</v>
      </c>
      <c r="D4870">
        <v>38735</v>
      </c>
      <c r="E4870" s="130">
        <v>3103423</v>
      </c>
      <c r="F4870" t="s">
        <v>87</v>
      </c>
      <c r="G4870">
        <v>76</v>
      </c>
      <c r="H4870" t="s">
        <v>8953</v>
      </c>
      <c r="I4870" s="131">
        <v>24</v>
      </c>
      <c r="J4870" t="s">
        <v>6494</v>
      </c>
      <c r="K4870" t="s">
        <v>95</v>
      </c>
      <c r="L4870" t="s">
        <v>1253</v>
      </c>
      <c r="M4870" t="s">
        <v>112</v>
      </c>
      <c r="N4870" t="s">
        <v>101</v>
      </c>
      <c r="O4870" t="s">
        <v>244</v>
      </c>
    </row>
    <row r="4871" spans="1:15" x14ac:dyDescent="0.3">
      <c r="A4871" s="130">
        <v>25458</v>
      </c>
      <c r="B4871" s="130">
        <v>20</v>
      </c>
      <c r="C4871" s="130" t="s">
        <v>6495</v>
      </c>
      <c r="D4871">
        <v>39073</v>
      </c>
      <c r="E4871" s="130">
        <v>12944401</v>
      </c>
      <c r="F4871" t="s">
        <v>87</v>
      </c>
      <c r="G4871">
        <v>32947</v>
      </c>
      <c r="H4871" t="s">
        <v>8951</v>
      </c>
      <c r="I4871" s="130">
        <v>19</v>
      </c>
      <c r="J4871" t="s">
        <v>6495</v>
      </c>
      <c r="K4871" t="s">
        <v>108</v>
      </c>
      <c r="L4871" t="s">
        <v>252</v>
      </c>
      <c r="M4871" t="s">
        <v>148</v>
      </c>
      <c r="N4871" t="s">
        <v>98</v>
      </c>
      <c r="O4871" t="s">
        <v>1256</v>
      </c>
    </row>
    <row r="4872" spans="1:15" x14ac:dyDescent="0.3">
      <c r="A4872" s="130">
        <v>25460</v>
      </c>
      <c r="B4872" s="130" t="s">
        <v>156</v>
      </c>
      <c r="C4872" s="130" t="s">
        <v>6496</v>
      </c>
      <c r="D4872">
        <v>38804</v>
      </c>
      <c r="E4872" s="130">
        <v>15655289</v>
      </c>
      <c r="F4872" t="s">
        <v>87</v>
      </c>
      <c r="G4872">
        <v>76</v>
      </c>
      <c r="H4872" t="s">
        <v>8952</v>
      </c>
      <c r="I4872" s="130">
        <v>24</v>
      </c>
      <c r="J4872" t="s">
        <v>6496</v>
      </c>
      <c r="K4872" t="s">
        <v>108</v>
      </c>
      <c r="L4872" t="s">
        <v>120</v>
      </c>
      <c r="M4872" t="s">
        <v>156</v>
      </c>
      <c r="N4872" t="s">
        <v>101</v>
      </c>
      <c r="O4872" t="s">
        <v>1256</v>
      </c>
    </row>
    <row r="4873" spans="1:15" x14ac:dyDescent="0.3">
      <c r="A4873" s="130">
        <v>25468</v>
      </c>
      <c r="B4873" s="130">
        <v>10</v>
      </c>
      <c r="C4873" s="130" t="s">
        <v>6497</v>
      </c>
      <c r="D4873">
        <v>39093</v>
      </c>
      <c r="E4873" s="130">
        <v>7277010</v>
      </c>
      <c r="F4873" t="s">
        <v>87</v>
      </c>
      <c r="G4873">
        <v>32947</v>
      </c>
      <c r="H4873" t="s">
        <v>8953</v>
      </c>
      <c r="I4873" s="130">
        <v>3</v>
      </c>
      <c r="J4873" t="s">
        <v>6497</v>
      </c>
      <c r="K4873" t="s">
        <v>108</v>
      </c>
      <c r="L4873" t="s">
        <v>109</v>
      </c>
      <c r="M4873" t="s">
        <v>133</v>
      </c>
      <c r="N4873" t="s">
        <v>98</v>
      </c>
      <c r="O4873" t="s">
        <v>116</v>
      </c>
    </row>
    <row r="4874" spans="1:15" x14ac:dyDescent="0.3">
      <c r="A4874" s="130">
        <v>25471</v>
      </c>
      <c r="B4874" s="130">
        <v>30</v>
      </c>
      <c r="C4874" s="130" t="s">
        <v>6498</v>
      </c>
      <c r="D4874">
        <v>39101</v>
      </c>
      <c r="E4874" s="130">
        <v>40648726</v>
      </c>
      <c r="F4874" t="s">
        <v>87</v>
      </c>
      <c r="G4874">
        <v>76</v>
      </c>
      <c r="H4874" t="s">
        <v>8951</v>
      </c>
      <c r="I4874" s="130">
        <v>38</v>
      </c>
      <c r="J4874" t="s">
        <v>6498</v>
      </c>
      <c r="K4874" t="s">
        <v>108</v>
      </c>
      <c r="L4874" t="s">
        <v>126</v>
      </c>
      <c r="M4874" t="s">
        <v>103</v>
      </c>
      <c r="N4874" t="s">
        <v>141</v>
      </c>
      <c r="O4874" t="s">
        <v>116</v>
      </c>
    </row>
    <row r="4875" spans="1:15" x14ac:dyDescent="0.3">
      <c r="A4875" s="130">
        <v>25476</v>
      </c>
      <c r="B4875" s="130">
        <v>10</v>
      </c>
      <c r="C4875" s="130" t="s">
        <v>6499</v>
      </c>
      <c r="D4875">
        <v>39109</v>
      </c>
      <c r="E4875" s="130">
        <v>10736565</v>
      </c>
      <c r="F4875" t="s">
        <v>87</v>
      </c>
      <c r="G4875">
        <v>76</v>
      </c>
      <c r="H4875" t="s">
        <v>8952</v>
      </c>
      <c r="I4875" s="130">
        <v>3</v>
      </c>
      <c r="J4875" t="s">
        <v>6499</v>
      </c>
      <c r="K4875" t="s">
        <v>108</v>
      </c>
      <c r="L4875" t="s">
        <v>925</v>
      </c>
      <c r="M4875" t="s">
        <v>133</v>
      </c>
      <c r="N4875" t="s">
        <v>98</v>
      </c>
      <c r="O4875" t="s">
        <v>116</v>
      </c>
    </row>
    <row r="4876" spans="1:15" x14ac:dyDescent="0.3">
      <c r="A4876" s="130">
        <v>25477</v>
      </c>
      <c r="B4876" s="130">
        <v>30</v>
      </c>
      <c r="C4876" s="130" t="s">
        <v>6500</v>
      </c>
      <c r="D4876">
        <v>39111</v>
      </c>
      <c r="E4876" s="130">
        <v>35737650</v>
      </c>
      <c r="F4876" t="s">
        <v>87</v>
      </c>
      <c r="G4876">
        <v>32947</v>
      </c>
      <c r="H4876" t="s">
        <v>8953</v>
      </c>
      <c r="I4876" s="130">
        <v>3</v>
      </c>
      <c r="J4876" t="s">
        <v>6500</v>
      </c>
      <c r="K4876" t="s">
        <v>108</v>
      </c>
      <c r="L4876" t="s">
        <v>109</v>
      </c>
      <c r="M4876" t="s">
        <v>103</v>
      </c>
      <c r="N4876" t="s">
        <v>98</v>
      </c>
      <c r="O4876" t="s">
        <v>1345</v>
      </c>
    </row>
    <row r="4877" spans="1:15" x14ac:dyDescent="0.3">
      <c r="A4877" s="130">
        <v>25478</v>
      </c>
      <c r="B4877" s="130">
        <v>-1</v>
      </c>
      <c r="C4877" s="130" t="s">
        <v>6501</v>
      </c>
      <c r="D4877">
        <v>39113</v>
      </c>
      <c r="E4877" s="131">
        <v>2373467</v>
      </c>
      <c r="F4877" t="s">
        <v>87</v>
      </c>
      <c r="G4877">
        <v>76</v>
      </c>
      <c r="H4877" t="s">
        <v>8951</v>
      </c>
      <c r="I4877" s="131">
        <v>26</v>
      </c>
      <c r="J4877" t="s">
        <v>6501</v>
      </c>
      <c r="K4877" t="s">
        <v>108</v>
      </c>
      <c r="L4877" t="s">
        <v>151</v>
      </c>
      <c r="M4877" t="s">
        <v>174</v>
      </c>
      <c r="N4877" t="s">
        <v>114</v>
      </c>
      <c r="O4877" t="s">
        <v>1345</v>
      </c>
    </row>
    <row r="4878" spans="1:15" x14ac:dyDescent="0.3">
      <c r="A4878" s="130">
        <v>25480</v>
      </c>
      <c r="B4878" s="130">
        <v>30</v>
      </c>
      <c r="C4878" s="130" t="s">
        <v>6502</v>
      </c>
      <c r="D4878">
        <v>39115</v>
      </c>
      <c r="E4878" s="130">
        <v>8928273</v>
      </c>
      <c r="F4878" t="s">
        <v>87</v>
      </c>
      <c r="G4878">
        <v>32947</v>
      </c>
      <c r="H4878" t="s">
        <v>8952</v>
      </c>
      <c r="I4878" s="130">
        <v>43</v>
      </c>
      <c r="J4878" t="s">
        <v>6502</v>
      </c>
      <c r="K4878" t="s">
        <v>108</v>
      </c>
      <c r="L4878" t="s">
        <v>1241</v>
      </c>
      <c r="M4878" t="s">
        <v>103</v>
      </c>
      <c r="N4878" t="s">
        <v>124</v>
      </c>
      <c r="O4878" t="s">
        <v>244</v>
      </c>
    </row>
    <row r="4879" spans="1:15" x14ac:dyDescent="0.3">
      <c r="A4879" s="130">
        <v>25483</v>
      </c>
      <c r="B4879" s="130">
        <v>10</v>
      </c>
      <c r="C4879" s="130" t="s">
        <v>6503</v>
      </c>
      <c r="D4879">
        <v>39069</v>
      </c>
      <c r="E4879" s="131">
        <v>8220952</v>
      </c>
      <c r="F4879" t="s">
        <v>87</v>
      </c>
      <c r="G4879">
        <v>32947</v>
      </c>
      <c r="H4879" t="s">
        <v>8953</v>
      </c>
      <c r="I4879" s="130">
        <v>43</v>
      </c>
      <c r="J4879" t="s">
        <v>6503</v>
      </c>
      <c r="K4879" t="s">
        <v>95</v>
      </c>
      <c r="L4879" t="s">
        <v>1241</v>
      </c>
      <c r="M4879" t="s">
        <v>133</v>
      </c>
      <c r="N4879" t="s">
        <v>107</v>
      </c>
      <c r="O4879" t="s">
        <v>1256</v>
      </c>
    </row>
    <row r="4880" spans="1:15" x14ac:dyDescent="0.3">
      <c r="A4880" s="130">
        <v>25485</v>
      </c>
      <c r="B4880" s="130">
        <v>30</v>
      </c>
      <c r="C4880" s="130" t="s">
        <v>6504</v>
      </c>
      <c r="D4880">
        <v>39116</v>
      </c>
      <c r="E4880" s="131">
        <v>61064929</v>
      </c>
      <c r="F4880" t="s">
        <v>87</v>
      </c>
      <c r="G4880">
        <v>32947</v>
      </c>
      <c r="H4880" t="s">
        <v>8951</v>
      </c>
      <c r="I4880" s="130">
        <v>9</v>
      </c>
      <c r="J4880" t="s">
        <v>6504</v>
      </c>
      <c r="K4880" t="s">
        <v>108</v>
      </c>
      <c r="L4880" t="s">
        <v>1298</v>
      </c>
      <c r="M4880" t="s">
        <v>103</v>
      </c>
      <c r="N4880" t="s">
        <v>101</v>
      </c>
      <c r="O4880" t="s">
        <v>1256</v>
      </c>
    </row>
    <row r="4881" spans="1:15" x14ac:dyDescent="0.3">
      <c r="A4881" s="130">
        <v>25487</v>
      </c>
      <c r="B4881" s="130">
        <v>30</v>
      </c>
      <c r="C4881" s="130" t="s">
        <v>6505</v>
      </c>
      <c r="D4881">
        <v>39120</v>
      </c>
      <c r="E4881" s="130">
        <v>40013242</v>
      </c>
      <c r="F4881" t="s">
        <v>113</v>
      </c>
      <c r="G4881">
        <v>76</v>
      </c>
      <c r="H4881" t="s">
        <v>8952</v>
      </c>
      <c r="I4881" s="130">
        <v>18</v>
      </c>
      <c r="J4881" t="s">
        <v>6505</v>
      </c>
      <c r="K4881" t="s">
        <v>108</v>
      </c>
      <c r="L4881" t="s">
        <v>123</v>
      </c>
      <c r="M4881" t="s">
        <v>103</v>
      </c>
      <c r="N4881" t="s">
        <v>101</v>
      </c>
      <c r="O4881" t="s">
        <v>1256</v>
      </c>
    </row>
    <row r="4882" spans="1:15" x14ac:dyDescent="0.3">
      <c r="A4882" s="130">
        <v>25488</v>
      </c>
      <c r="B4882" s="130">
        <v>20</v>
      </c>
      <c r="C4882" s="130" t="s">
        <v>6506</v>
      </c>
      <c r="D4882">
        <v>39100</v>
      </c>
      <c r="E4882" s="131">
        <v>24953690</v>
      </c>
      <c r="F4882" t="s">
        <v>87</v>
      </c>
      <c r="G4882">
        <v>32947</v>
      </c>
      <c r="H4882" t="s">
        <v>8953</v>
      </c>
      <c r="I4882" s="130">
        <v>19</v>
      </c>
      <c r="J4882" t="s">
        <v>6506</v>
      </c>
      <c r="K4882" t="s">
        <v>108</v>
      </c>
      <c r="L4882" t="s">
        <v>252</v>
      </c>
      <c r="M4882" t="s">
        <v>148</v>
      </c>
      <c r="N4882" t="s">
        <v>98</v>
      </c>
      <c r="O4882" t="s">
        <v>1256</v>
      </c>
    </row>
    <row r="4883" spans="1:15" x14ac:dyDescent="0.3">
      <c r="A4883" s="130">
        <v>25490</v>
      </c>
      <c r="C4883" s="130" t="s">
        <v>6507</v>
      </c>
      <c r="D4883">
        <v>39126</v>
      </c>
      <c r="E4883" s="130">
        <v>900846</v>
      </c>
      <c r="F4883" t="s">
        <v>113</v>
      </c>
      <c r="G4883">
        <v>76</v>
      </c>
      <c r="H4883" t="s">
        <v>8951</v>
      </c>
      <c r="I4883" s="131">
        <v>24</v>
      </c>
      <c r="J4883" t="s">
        <v>6507</v>
      </c>
      <c r="K4883" t="s">
        <v>95</v>
      </c>
      <c r="L4883" t="s">
        <v>1253</v>
      </c>
      <c r="N4883" t="s">
        <v>98</v>
      </c>
      <c r="O4883" t="s">
        <v>1256</v>
      </c>
    </row>
    <row r="4884" spans="1:15" x14ac:dyDescent="0.3">
      <c r="A4884" s="130">
        <v>25493</v>
      </c>
      <c r="B4884" s="130">
        <v>30</v>
      </c>
      <c r="C4884" s="130" t="s">
        <v>6508</v>
      </c>
      <c r="D4884">
        <v>39130</v>
      </c>
      <c r="E4884" s="130">
        <v>17162983</v>
      </c>
      <c r="F4884" t="s">
        <v>87</v>
      </c>
      <c r="G4884">
        <v>358</v>
      </c>
      <c r="H4884" t="s">
        <v>8952</v>
      </c>
      <c r="I4884" s="131">
        <v>3</v>
      </c>
      <c r="J4884" t="s">
        <v>6508</v>
      </c>
      <c r="K4884" t="s">
        <v>95</v>
      </c>
      <c r="L4884" t="s">
        <v>105</v>
      </c>
      <c r="M4884" t="s">
        <v>103</v>
      </c>
      <c r="N4884" t="s">
        <v>98</v>
      </c>
      <c r="O4884" t="s">
        <v>116</v>
      </c>
    </row>
    <row r="4885" spans="1:15" x14ac:dyDescent="0.3">
      <c r="A4885" s="130">
        <v>25497</v>
      </c>
      <c r="B4885" s="130">
        <v>18</v>
      </c>
      <c r="C4885" s="130" t="s">
        <v>6509</v>
      </c>
      <c r="D4885">
        <v>39131</v>
      </c>
      <c r="E4885" s="130">
        <v>52992481</v>
      </c>
      <c r="F4885" t="s">
        <v>113</v>
      </c>
      <c r="G4885">
        <v>76</v>
      </c>
      <c r="H4885" t="s">
        <v>8953</v>
      </c>
      <c r="I4885" s="131">
        <v>9</v>
      </c>
      <c r="J4885" t="s">
        <v>6509</v>
      </c>
      <c r="K4885" t="s">
        <v>108</v>
      </c>
      <c r="L4885" t="s">
        <v>163</v>
      </c>
      <c r="M4885" t="s">
        <v>112</v>
      </c>
      <c r="N4885" t="s">
        <v>98</v>
      </c>
      <c r="O4885" t="s">
        <v>1256</v>
      </c>
    </row>
    <row r="4886" spans="1:15" x14ac:dyDescent="0.3">
      <c r="A4886" s="130">
        <v>25498</v>
      </c>
      <c r="B4886" s="130">
        <v>30</v>
      </c>
      <c r="C4886" s="130" t="s">
        <v>6510</v>
      </c>
      <c r="D4886">
        <v>39141</v>
      </c>
      <c r="E4886" s="130">
        <v>45824819</v>
      </c>
      <c r="F4886" t="s">
        <v>87</v>
      </c>
      <c r="G4886">
        <v>76</v>
      </c>
      <c r="H4886" t="s">
        <v>8951</v>
      </c>
      <c r="I4886" s="131">
        <v>43</v>
      </c>
      <c r="J4886" t="s">
        <v>6510</v>
      </c>
      <c r="K4886" t="s">
        <v>95</v>
      </c>
      <c r="L4886" t="s">
        <v>111</v>
      </c>
      <c r="M4886" t="s">
        <v>103</v>
      </c>
      <c r="N4886" t="s">
        <v>98</v>
      </c>
      <c r="O4886" t="s">
        <v>116</v>
      </c>
    </row>
    <row r="4887" spans="1:15" x14ac:dyDescent="0.3">
      <c r="A4887" s="130">
        <v>25501</v>
      </c>
      <c r="B4887" s="130">
        <v>30</v>
      </c>
      <c r="C4887" s="130" t="s">
        <v>6511</v>
      </c>
      <c r="D4887">
        <v>39144</v>
      </c>
      <c r="E4887" s="131">
        <v>54752206</v>
      </c>
      <c r="F4887" t="s">
        <v>113</v>
      </c>
      <c r="G4887">
        <v>32947</v>
      </c>
      <c r="H4887" t="s">
        <v>8952</v>
      </c>
      <c r="I4887" s="130">
        <v>19</v>
      </c>
      <c r="J4887" t="s">
        <v>6511</v>
      </c>
      <c r="K4887" t="s">
        <v>95</v>
      </c>
      <c r="L4887" t="s">
        <v>252</v>
      </c>
      <c r="M4887" t="s">
        <v>103</v>
      </c>
      <c r="N4887" t="s">
        <v>98</v>
      </c>
      <c r="O4887" t="s">
        <v>1256</v>
      </c>
    </row>
    <row r="4888" spans="1:15" x14ac:dyDescent="0.3">
      <c r="A4888" s="130">
        <v>25503</v>
      </c>
      <c r="B4888" s="130">
        <v>30</v>
      </c>
      <c r="C4888" s="130" t="s">
        <v>6512</v>
      </c>
      <c r="D4888">
        <v>39153</v>
      </c>
      <c r="E4888" s="131">
        <v>45824819</v>
      </c>
      <c r="F4888" t="s">
        <v>87</v>
      </c>
      <c r="G4888">
        <v>76</v>
      </c>
      <c r="H4888" t="s">
        <v>8953</v>
      </c>
      <c r="I4888" s="130">
        <v>43</v>
      </c>
      <c r="J4888" t="s">
        <v>6512</v>
      </c>
      <c r="K4888" t="s">
        <v>95</v>
      </c>
      <c r="L4888" t="s">
        <v>111</v>
      </c>
      <c r="M4888" t="s">
        <v>103</v>
      </c>
      <c r="N4888" t="s">
        <v>98</v>
      </c>
      <c r="O4888" t="s">
        <v>116</v>
      </c>
    </row>
    <row r="4889" spans="1:15" x14ac:dyDescent="0.3">
      <c r="A4889" s="130">
        <v>25505</v>
      </c>
      <c r="B4889" s="130">
        <v>-1</v>
      </c>
      <c r="C4889" s="130" t="s">
        <v>6513</v>
      </c>
      <c r="D4889">
        <v>39158</v>
      </c>
      <c r="E4889" s="130">
        <v>25266685</v>
      </c>
      <c r="F4889" t="s">
        <v>113</v>
      </c>
      <c r="G4889">
        <v>76</v>
      </c>
      <c r="H4889" t="s">
        <v>8951</v>
      </c>
      <c r="I4889" s="130">
        <v>3</v>
      </c>
      <c r="J4889" t="s">
        <v>6513</v>
      </c>
      <c r="K4889" t="s">
        <v>108</v>
      </c>
      <c r="L4889" t="s">
        <v>925</v>
      </c>
      <c r="M4889" t="s">
        <v>174</v>
      </c>
      <c r="N4889" t="s">
        <v>141</v>
      </c>
      <c r="O4889" t="s">
        <v>1256</v>
      </c>
    </row>
    <row r="4890" spans="1:15" x14ac:dyDescent="0.3">
      <c r="A4890" s="130">
        <v>25506</v>
      </c>
      <c r="B4890" s="130">
        <v>18</v>
      </c>
      <c r="C4890" s="130" t="s">
        <v>6514</v>
      </c>
      <c r="D4890">
        <v>39161</v>
      </c>
      <c r="E4890" s="130">
        <v>89723977</v>
      </c>
      <c r="F4890" t="s">
        <v>87</v>
      </c>
      <c r="G4890">
        <v>76</v>
      </c>
      <c r="H4890" t="s">
        <v>8952</v>
      </c>
      <c r="I4890" s="130">
        <v>43</v>
      </c>
      <c r="J4890" t="s">
        <v>6514</v>
      </c>
      <c r="K4890" t="s">
        <v>95</v>
      </c>
      <c r="L4890" t="s">
        <v>1241</v>
      </c>
      <c r="M4890" t="s">
        <v>112</v>
      </c>
      <c r="N4890" t="s">
        <v>98</v>
      </c>
      <c r="O4890" t="s">
        <v>1256</v>
      </c>
    </row>
    <row r="4891" spans="1:15" x14ac:dyDescent="0.3">
      <c r="A4891" s="130">
        <v>25508</v>
      </c>
      <c r="B4891" s="130">
        <v>30</v>
      </c>
      <c r="C4891" s="130" t="s">
        <v>6515</v>
      </c>
      <c r="D4891">
        <v>39163</v>
      </c>
      <c r="E4891" s="130">
        <v>45824819</v>
      </c>
      <c r="F4891" t="s">
        <v>87</v>
      </c>
      <c r="G4891">
        <v>76</v>
      </c>
      <c r="H4891" t="s">
        <v>8953</v>
      </c>
      <c r="I4891" s="130">
        <v>43</v>
      </c>
      <c r="J4891" t="s">
        <v>6515</v>
      </c>
      <c r="K4891" t="s">
        <v>95</v>
      </c>
      <c r="L4891" t="s">
        <v>111</v>
      </c>
      <c r="M4891" t="s">
        <v>103</v>
      </c>
      <c r="N4891" t="s">
        <v>98</v>
      </c>
      <c r="O4891" t="s">
        <v>116</v>
      </c>
    </row>
    <row r="4892" spans="1:15" x14ac:dyDescent="0.3">
      <c r="A4892" s="130">
        <v>25516</v>
      </c>
      <c r="B4892" s="130">
        <v>30</v>
      </c>
      <c r="C4892" s="130" t="s">
        <v>6516</v>
      </c>
      <c r="D4892">
        <v>39155</v>
      </c>
      <c r="E4892" s="131">
        <v>20617725</v>
      </c>
      <c r="F4892" t="s">
        <v>87</v>
      </c>
      <c r="G4892">
        <v>32947</v>
      </c>
      <c r="H4892" t="s">
        <v>8951</v>
      </c>
      <c r="I4892" s="130">
        <v>10</v>
      </c>
      <c r="J4892" t="s">
        <v>6516</v>
      </c>
      <c r="K4892" t="s">
        <v>95</v>
      </c>
      <c r="L4892" t="s">
        <v>191</v>
      </c>
      <c r="M4892" t="s">
        <v>103</v>
      </c>
      <c r="N4892" t="s">
        <v>118</v>
      </c>
      <c r="O4892" t="s">
        <v>1256</v>
      </c>
    </row>
    <row r="4893" spans="1:15" x14ac:dyDescent="0.3">
      <c r="A4893" s="130">
        <v>25521</v>
      </c>
      <c r="B4893" s="130">
        <v>0</v>
      </c>
      <c r="C4893" s="130" t="s">
        <v>6517</v>
      </c>
      <c r="D4893">
        <v>39187</v>
      </c>
      <c r="E4893" s="131">
        <v>6110511</v>
      </c>
      <c r="F4893" t="s">
        <v>87</v>
      </c>
      <c r="G4893">
        <v>76</v>
      </c>
      <c r="H4893" t="s">
        <v>8952</v>
      </c>
      <c r="I4893" s="130">
        <v>3</v>
      </c>
      <c r="J4893" t="s">
        <v>6517</v>
      </c>
      <c r="K4893" t="s">
        <v>95</v>
      </c>
      <c r="L4893" t="s">
        <v>102</v>
      </c>
      <c r="M4893" t="s">
        <v>100</v>
      </c>
      <c r="N4893" t="s">
        <v>101</v>
      </c>
      <c r="O4893" t="s">
        <v>1345</v>
      </c>
    </row>
    <row r="4894" spans="1:15" x14ac:dyDescent="0.3">
      <c r="A4894" s="130">
        <v>25525</v>
      </c>
      <c r="B4894" s="130">
        <v>30</v>
      </c>
      <c r="C4894" s="130" t="s">
        <v>6518</v>
      </c>
      <c r="D4894">
        <v>38525</v>
      </c>
      <c r="E4894" s="130">
        <v>17262213</v>
      </c>
      <c r="F4894" t="s">
        <v>87</v>
      </c>
      <c r="G4894">
        <v>76</v>
      </c>
      <c r="H4894" t="s">
        <v>8953</v>
      </c>
      <c r="I4894" s="130">
        <v>24</v>
      </c>
      <c r="J4894" t="s">
        <v>6518</v>
      </c>
      <c r="K4894" t="s">
        <v>95</v>
      </c>
      <c r="L4894" t="s">
        <v>191</v>
      </c>
      <c r="M4894" t="s">
        <v>103</v>
      </c>
      <c r="N4894" t="s">
        <v>98</v>
      </c>
      <c r="O4894" t="s">
        <v>1256</v>
      </c>
    </row>
    <row r="4895" spans="1:15" x14ac:dyDescent="0.3">
      <c r="A4895" s="130">
        <v>25527</v>
      </c>
      <c r="B4895" s="130">
        <v>0</v>
      </c>
      <c r="C4895" s="130" t="s">
        <v>6519</v>
      </c>
      <c r="D4895">
        <v>39194</v>
      </c>
      <c r="E4895" s="131">
        <v>62541636</v>
      </c>
      <c r="F4895" t="s">
        <v>87</v>
      </c>
      <c r="G4895">
        <v>32947</v>
      </c>
      <c r="H4895" t="s">
        <v>8951</v>
      </c>
      <c r="I4895" s="130">
        <v>3</v>
      </c>
      <c r="J4895" t="s">
        <v>6519</v>
      </c>
      <c r="K4895" t="s">
        <v>95</v>
      </c>
      <c r="L4895" t="s">
        <v>109</v>
      </c>
      <c r="M4895" t="s">
        <v>100</v>
      </c>
      <c r="N4895" t="s">
        <v>98</v>
      </c>
      <c r="O4895" t="s">
        <v>1256</v>
      </c>
    </row>
    <row r="4896" spans="1:15" x14ac:dyDescent="0.3">
      <c r="A4896" s="130">
        <v>25528</v>
      </c>
      <c r="B4896" s="130">
        <v>30</v>
      </c>
      <c r="C4896" s="130" t="s">
        <v>6520</v>
      </c>
      <c r="D4896">
        <v>39193</v>
      </c>
      <c r="E4896" s="131">
        <v>38424005</v>
      </c>
      <c r="F4896" t="s">
        <v>113</v>
      </c>
      <c r="G4896">
        <v>76</v>
      </c>
      <c r="H4896" t="s">
        <v>8952</v>
      </c>
      <c r="I4896" s="131">
        <v>18</v>
      </c>
      <c r="J4896" t="s">
        <v>6520</v>
      </c>
      <c r="K4896" t="s">
        <v>108</v>
      </c>
      <c r="L4896" t="s">
        <v>123</v>
      </c>
      <c r="M4896" t="s">
        <v>103</v>
      </c>
      <c r="N4896" t="s">
        <v>98</v>
      </c>
      <c r="O4896" t="s">
        <v>1256</v>
      </c>
    </row>
    <row r="4897" spans="1:15" x14ac:dyDescent="0.3">
      <c r="A4897" s="130">
        <v>25530</v>
      </c>
      <c r="B4897" s="130">
        <v>30</v>
      </c>
      <c r="C4897" s="130" t="s">
        <v>6521</v>
      </c>
      <c r="D4897">
        <v>39199</v>
      </c>
      <c r="E4897" s="131">
        <v>8807683</v>
      </c>
      <c r="F4897" t="s">
        <v>87</v>
      </c>
      <c r="G4897">
        <v>76</v>
      </c>
      <c r="H4897" t="s">
        <v>8953</v>
      </c>
      <c r="I4897" s="130">
        <v>26</v>
      </c>
      <c r="J4897" t="s">
        <v>6521</v>
      </c>
      <c r="K4897" t="s">
        <v>95</v>
      </c>
      <c r="L4897" t="s">
        <v>151</v>
      </c>
      <c r="M4897" t="s">
        <v>103</v>
      </c>
      <c r="N4897" t="s">
        <v>118</v>
      </c>
      <c r="O4897" t="s">
        <v>116</v>
      </c>
    </row>
    <row r="4898" spans="1:15" x14ac:dyDescent="0.3">
      <c r="A4898" s="130">
        <v>25531</v>
      </c>
      <c r="B4898" s="130">
        <v>30</v>
      </c>
      <c r="C4898" s="130" t="s">
        <v>6522</v>
      </c>
      <c r="D4898">
        <v>39202</v>
      </c>
      <c r="E4898" s="130">
        <v>72030927</v>
      </c>
      <c r="F4898" t="s">
        <v>87</v>
      </c>
      <c r="G4898">
        <v>76</v>
      </c>
      <c r="H4898" t="s">
        <v>8951</v>
      </c>
      <c r="I4898" s="130">
        <v>10</v>
      </c>
      <c r="J4898" t="s">
        <v>6522</v>
      </c>
      <c r="K4898" t="s">
        <v>95</v>
      </c>
      <c r="L4898" t="s">
        <v>191</v>
      </c>
      <c r="M4898" t="s">
        <v>103</v>
      </c>
      <c r="N4898" t="s">
        <v>98</v>
      </c>
      <c r="O4898" t="s">
        <v>1256</v>
      </c>
    </row>
    <row r="4899" spans="1:15" x14ac:dyDescent="0.3">
      <c r="A4899" s="130">
        <v>25533</v>
      </c>
      <c r="B4899" s="130">
        <v>30</v>
      </c>
      <c r="C4899" s="130" t="s">
        <v>6523</v>
      </c>
      <c r="D4899">
        <v>39205</v>
      </c>
      <c r="E4899" s="130">
        <v>9838</v>
      </c>
      <c r="F4899" t="s">
        <v>113</v>
      </c>
      <c r="G4899">
        <v>76</v>
      </c>
      <c r="H4899" t="s">
        <v>8952</v>
      </c>
      <c r="I4899" s="130">
        <v>18</v>
      </c>
      <c r="J4899" t="s">
        <v>6523</v>
      </c>
      <c r="K4899" t="s">
        <v>108</v>
      </c>
      <c r="L4899" t="s">
        <v>123</v>
      </c>
      <c r="M4899" t="s">
        <v>103</v>
      </c>
      <c r="N4899" t="s">
        <v>98</v>
      </c>
      <c r="O4899" t="s">
        <v>1256</v>
      </c>
    </row>
    <row r="4900" spans="1:15" x14ac:dyDescent="0.3">
      <c r="A4900" s="130">
        <v>25535</v>
      </c>
      <c r="C4900" s="130" t="s">
        <v>6524</v>
      </c>
      <c r="D4900">
        <v>39208</v>
      </c>
      <c r="E4900" s="130">
        <v>7538435</v>
      </c>
      <c r="F4900" t="s">
        <v>113</v>
      </c>
      <c r="G4900">
        <v>76</v>
      </c>
      <c r="H4900" t="s">
        <v>8953</v>
      </c>
      <c r="I4900" s="130">
        <v>3</v>
      </c>
      <c r="J4900" t="s">
        <v>6524</v>
      </c>
      <c r="K4900" t="s">
        <v>108</v>
      </c>
      <c r="L4900" t="s">
        <v>925</v>
      </c>
      <c r="N4900" t="s">
        <v>98</v>
      </c>
      <c r="O4900" t="s">
        <v>1256</v>
      </c>
    </row>
    <row r="4901" spans="1:15" x14ac:dyDescent="0.3">
      <c r="A4901" s="130">
        <v>25538</v>
      </c>
      <c r="B4901" s="130">
        <v>30</v>
      </c>
      <c r="C4901" s="130" t="s">
        <v>6525</v>
      </c>
      <c r="D4901">
        <v>39210</v>
      </c>
      <c r="E4901" s="130">
        <v>9452900</v>
      </c>
      <c r="F4901" t="s">
        <v>87</v>
      </c>
      <c r="G4901">
        <v>76</v>
      </c>
      <c r="H4901" t="s">
        <v>8951</v>
      </c>
      <c r="I4901" s="130">
        <v>18</v>
      </c>
      <c r="J4901" t="s">
        <v>6525</v>
      </c>
      <c r="K4901" t="s">
        <v>108</v>
      </c>
      <c r="L4901" t="s">
        <v>123</v>
      </c>
      <c r="M4901" t="s">
        <v>103</v>
      </c>
      <c r="N4901" t="s">
        <v>122</v>
      </c>
      <c r="O4901" t="s">
        <v>1256</v>
      </c>
    </row>
    <row r="4902" spans="1:15" x14ac:dyDescent="0.3">
      <c r="A4902" s="130">
        <v>25539</v>
      </c>
      <c r="B4902" s="130">
        <v>21</v>
      </c>
      <c r="C4902" s="130" t="s">
        <v>6526</v>
      </c>
      <c r="D4902">
        <v>39212</v>
      </c>
      <c r="E4902" s="131">
        <v>20147506</v>
      </c>
      <c r="F4902" t="s">
        <v>113</v>
      </c>
      <c r="G4902">
        <v>76</v>
      </c>
      <c r="H4902" t="s">
        <v>8952</v>
      </c>
      <c r="I4902" s="130">
        <v>24</v>
      </c>
      <c r="J4902" t="s">
        <v>6526</v>
      </c>
      <c r="K4902" t="s">
        <v>108</v>
      </c>
      <c r="L4902" t="s">
        <v>191</v>
      </c>
      <c r="M4902" t="s">
        <v>137</v>
      </c>
      <c r="N4902" t="s">
        <v>98</v>
      </c>
      <c r="O4902" t="s">
        <v>1256</v>
      </c>
    </row>
    <row r="4903" spans="1:15" x14ac:dyDescent="0.3">
      <c r="A4903" s="130">
        <v>25542</v>
      </c>
      <c r="B4903" s="130">
        <v>10</v>
      </c>
      <c r="C4903" s="130" t="s">
        <v>6527</v>
      </c>
      <c r="D4903">
        <v>39214</v>
      </c>
      <c r="E4903" s="130">
        <v>4054398</v>
      </c>
      <c r="F4903" t="s">
        <v>87</v>
      </c>
      <c r="G4903">
        <v>76</v>
      </c>
      <c r="H4903" t="s">
        <v>8953</v>
      </c>
      <c r="I4903" s="131">
        <v>3</v>
      </c>
      <c r="J4903" t="s">
        <v>6527</v>
      </c>
      <c r="K4903" t="s">
        <v>108</v>
      </c>
      <c r="L4903" t="s">
        <v>925</v>
      </c>
      <c r="M4903" t="s">
        <v>133</v>
      </c>
      <c r="N4903" t="s">
        <v>98</v>
      </c>
      <c r="O4903" t="s">
        <v>1256</v>
      </c>
    </row>
    <row r="4904" spans="1:15" x14ac:dyDescent="0.3">
      <c r="A4904" s="130">
        <v>25543</v>
      </c>
      <c r="B4904" s="130">
        <v>30</v>
      </c>
      <c r="C4904" s="130" t="s">
        <v>6528</v>
      </c>
      <c r="D4904">
        <v>39215</v>
      </c>
      <c r="E4904" s="130">
        <v>2430711</v>
      </c>
      <c r="F4904" t="s">
        <v>87</v>
      </c>
      <c r="G4904">
        <v>76</v>
      </c>
      <c r="H4904" t="s">
        <v>8951</v>
      </c>
      <c r="I4904" s="130">
        <v>18</v>
      </c>
      <c r="J4904" t="s">
        <v>6528</v>
      </c>
      <c r="K4904" t="s">
        <v>108</v>
      </c>
      <c r="L4904" t="s">
        <v>123</v>
      </c>
      <c r="M4904" t="s">
        <v>103</v>
      </c>
      <c r="N4904" t="s">
        <v>169</v>
      </c>
      <c r="O4904" t="s">
        <v>1256</v>
      </c>
    </row>
    <row r="4905" spans="1:15" x14ac:dyDescent="0.3">
      <c r="A4905" s="130">
        <v>25544</v>
      </c>
      <c r="B4905" s="130">
        <v>21</v>
      </c>
      <c r="C4905" s="130" t="s">
        <v>6529</v>
      </c>
      <c r="D4905">
        <v>39216</v>
      </c>
      <c r="E4905" s="130">
        <v>60863404</v>
      </c>
      <c r="F4905" t="s">
        <v>87</v>
      </c>
      <c r="G4905">
        <v>76</v>
      </c>
      <c r="H4905" t="s">
        <v>8952</v>
      </c>
      <c r="I4905" s="130">
        <v>24</v>
      </c>
      <c r="J4905" t="s">
        <v>6529</v>
      </c>
      <c r="K4905" t="s">
        <v>108</v>
      </c>
      <c r="L4905" t="s">
        <v>191</v>
      </c>
      <c r="M4905" t="s">
        <v>137</v>
      </c>
      <c r="N4905" t="s">
        <v>114</v>
      </c>
      <c r="O4905" t="s">
        <v>1256</v>
      </c>
    </row>
    <row r="4906" spans="1:15" x14ac:dyDescent="0.3">
      <c r="A4906" s="130">
        <v>25548</v>
      </c>
      <c r="B4906" s="130">
        <v>18</v>
      </c>
      <c r="C4906" s="130" t="s">
        <v>6530</v>
      </c>
      <c r="D4906">
        <v>39221</v>
      </c>
      <c r="E4906" s="130">
        <v>10248815</v>
      </c>
      <c r="F4906" t="s">
        <v>87</v>
      </c>
      <c r="G4906">
        <v>76</v>
      </c>
      <c r="H4906" t="s">
        <v>8953</v>
      </c>
      <c r="I4906" s="130">
        <v>37</v>
      </c>
      <c r="J4906" t="s">
        <v>6530</v>
      </c>
      <c r="K4906" t="s">
        <v>108</v>
      </c>
      <c r="L4906" t="s">
        <v>138</v>
      </c>
      <c r="M4906" t="s">
        <v>112</v>
      </c>
      <c r="N4906" t="s">
        <v>98</v>
      </c>
      <c r="O4906" t="s">
        <v>116</v>
      </c>
    </row>
    <row r="4907" spans="1:15" x14ac:dyDescent="0.3">
      <c r="A4907" s="130">
        <v>25552</v>
      </c>
      <c r="B4907" s="130">
        <v>10</v>
      </c>
      <c r="C4907" s="130" t="s">
        <v>6531</v>
      </c>
      <c r="D4907">
        <v>39226</v>
      </c>
      <c r="E4907" s="131">
        <v>46085486</v>
      </c>
      <c r="F4907" t="s">
        <v>87</v>
      </c>
      <c r="G4907">
        <v>32947</v>
      </c>
      <c r="H4907" t="s">
        <v>8951</v>
      </c>
      <c r="I4907" s="130">
        <v>3</v>
      </c>
      <c r="J4907" t="s">
        <v>6531</v>
      </c>
      <c r="K4907" t="s">
        <v>108</v>
      </c>
      <c r="L4907" t="s">
        <v>111</v>
      </c>
      <c r="M4907" t="s">
        <v>133</v>
      </c>
      <c r="N4907" t="s">
        <v>98</v>
      </c>
      <c r="O4907" t="s">
        <v>116</v>
      </c>
    </row>
    <row r="4908" spans="1:15" x14ac:dyDescent="0.3">
      <c r="A4908" s="130">
        <v>25553</v>
      </c>
      <c r="B4908" s="130">
        <v>30</v>
      </c>
      <c r="C4908" s="130" t="s">
        <v>6532</v>
      </c>
      <c r="D4908">
        <v>39227</v>
      </c>
      <c r="E4908" s="130">
        <v>95865572</v>
      </c>
      <c r="F4908" t="s">
        <v>87</v>
      </c>
      <c r="G4908">
        <v>76</v>
      </c>
      <c r="H4908" t="s">
        <v>8952</v>
      </c>
      <c r="I4908" s="131">
        <v>9</v>
      </c>
      <c r="J4908" t="s">
        <v>6532</v>
      </c>
      <c r="K4908" t="s">
        <v>95</v>
      </c>
      <c r="L4908" t="s">
        <v>163</v>
      </c>
      <c r="M4908" t="s">
        <v>103</v>
      </c>
      <c r="N4908" t="s">
        <v>114</v>
      </c>
      <c r="O4908" t="s">
        <v>116</v>
      </c>
    </row>
    <row r="4909" spans="1:15" x14ac:dyDescent="0.3">
      <c r="A4909" s="130">
        <v>25554</v>
      </c>
      <c r="B4909" s="130">
        <v>30</v>
      </c>
      <c r="C4909" s="130" t="s">
        <v>6533</v>
      </c>
      <c r="D4909">
        <v>39228</v>
      </c>
      <c r="E4909" s="130">
        <v>11243246</v>
      </c>
      <c r="F4909" t="s">
        <v>113</v>
      </c>
      <c r="G4909">
        <v>76</v>
      </c>
      <c r="H4909" t="s">
        <v>8953</v>
      </c>
      <c r="I4909" s="131">
        <v>18</v>
      </c>
      <c r="J4909" t="s">
        <v>6533</v>
      </c>
      <c r="K4909" t="s">
        <v>108</v>
      </c>
      <c r="L4909" t="s">
        <v>123</v>
      </c>
      <c r="M4909" t="s">
        <v>103</v>
      </c>
      <c r="N4909" t="s">
        <v>121</v>
      </c>
      <c r="O4909" t="s">
        <v>1256</v>
      </c>
    </row>
    <row r="4910" spans="1:15" x14ac:dyDescent="0.3">
      <c r="A4910" s="130">
        <v>25556</v>
      </c>
      <c r="B4910" s="131">
        <v>30</v>
      </c>
      <c r="C4910" s="130" t="s">
        <v>6534</v>
      </c>
      <c r="D4910">
        <v>39229</v>
      </c>
      <c r="E4910" s="130">
        <v>40036437</v>
      </c>
      <c r="F4910" t="s">
        <v>87</v>
      </c>
      <c r="G4910">
        <v>77</v>
      </c>
      <c r="H4910" t="s">
        <v>8951</v>
      </c>
      <c r="I4910" s="131">
        <v>3</v>
      </c>
      <c r="J4910" t="s">
        <v>6534</v>
      </c>
      <c r="K4910" t="s">
        <v>95</v>
      </c>
      <c r="L4910" t="s">
        <v>235</v>
      </c>
      <c r="M4910" t="s">
        <v>103</v>
      </c>
      <c r="N4910" t="s">
        <v>98</v>
      </c>
      <c r="O4910" t="s">
        <v>116</v>
      </c>
    </row>
    <row r="4911" spans="1:15" x14ac:dyDescent="0.3">
      <c r="A4911" s="130">
        <v>25559</v>
      </c>
      <c r="B4911" s="130">
        <v>30</v>
      </c>
      <c r="C4911" s="130" t="s">
        <v>6535</v>
      </c>
      <c r="D4911">
        <v>39234</v>
      </c>
      <c r="E4911" s="131">
        <v>17855027</v>
      </c>
      <c r="F4911" t="s">
        <v>87</v>
      </c>
      <c r="G4911">
        <v>32947</v>
      </c>
      <c r="H4911" t="s">
        <v>8952</v>
      </c>
      <c r="I4911" s="130">
        <v>9</v>
      </c>
      <c r="J4911" t="s">
        <v>6535</v>
      </c>
      <c r="K4911" t="s">
        <v>108</v>
      </c>
      <c r="L4911" t="s">
        <v>111</v>
      </c>
      <c r="M4911" t="s">
        <v>103</v>
      </c>
      <c r="N4911" t="s">
        <v>101</v>
      </c>
      <c r="O4911" t="s">
        <v>116</v>
      </c>
    </row>
    <row r="4912" spans="1:15" x14ac:dyDescent="0.3">
      <c r="A4912" s="130">
        <v>25561</v>
      </c>
      <c r="B4912" s="130">
        <v>28</v>
      </c>
      <c r="C4912" s="130" t="s">
        <v>6536</v>
      </c>
      <c r="D4912">
        <v>39236</v>
      </c>
      <c r="E4912" s="130">
        <v>38460234</v>
      </c>
      <c r="F4912" t="s">
        <v>87</v>
      </c>
      <c r="G4912">
        <v>32947</v>
      </c>
      <c r="H4912" t="s">
        <v>8953</v>
      </c>
      <c r="I4912" s="130">
        <v>3</v>
      </c>
      <c r="J4912" t="s">
        <v>6536</v>
      </c>
      <c r="K4912" t="s">
        <v>108</v>
      </c>
      <c r="L4912" t="s">
        <v>109</v>
      </c>
      <c r="M4912" t="s">
        <v>130</v>
      </c>
      <c r="N4912" t="s">
        <v>98</v>
      </c>
      <c r="O4912" t="s">
        <v>1256</v>
      </c>
    </row>
    <row r="4913" spans="1:15" x14ac:dyDescent="0.3">
      <c r="A4913" s="130">
        <v>25565</v>
      </c>
      <c r="B4913" s="130">
        <v>20</v>
      </c>
      <c r="C4913" s="130" t="s">
        <v>6537</v>
      </c>
      <c r="D4913">
        <v>39253</v>
      </c>
      <c r="E4913" s="131">
        <v>34735473</v>
      </c>
      <c r="F4913" t="s">
        <v>87</v>
      </c>
      <c r="G4913">
        <v>76</v>
      </c>
      <c r="H4913" t="s">
        <v>8951</v>
      </c>
      <c r="I4913" s="130">
        <v>19</v>
      </c>
      <c r="J4913" t="s">
        <v>6537</v>
      </c>
      <c r="K4913" t="s">
        <v>108</v>
      </c>
      <c r="L4913" t="s">
        <v>252</v>
      </c>
      <c r="M4913" t="s">
        <v>148</v>
      </c>
      <c r="N4913" t="s">
        <v>98</v>
      </c>
      <c r="O4913" t="s">
        <v>1256</v>
      </c>
    </row>
    <row r="4914" spans="1:15" x14ac:dyDescent="0.3">
      <c r="A4914" s="130">
        <v>25566</v>
      </c>
      <c r="B4914" s="130">
        <v>18</v>
      </c>
      <c r="C4914" s="130" t="s">
        <v>6538</v>
      </c>
      <c r="D4914">
        <v>39250</v>
      </c>
      <c r="E4914" s="130">
        <v>27462720</v>
      </c>
      <c r="F4914" t="s">
        <v>87</v>
      </c>
      <c r="G4914">
        <v>76</v>
      </c>
      <c r="H4914" t="s">
        <v>8952</v>
      </c>
      <c r="I4914" s="130">
        <v>26</v>
      </c>
      <c r="J4914" t="s">
        <v>6538</v>
      </c>
      <c r="K4914" t="s">
        <v>108</v>
      </c>
      <c r="L4914" t="s">
        <v>151</v>
      </c>
      <c r="M4914" t="s">
        <v>112</v>
      </c>
      <c r="N4914" t="s">
        <v>98</v>
      </c>
      <c r="O4914" t="s">
        <v>1256</v>
      </c>
    </row>
    <row r="4915" spans="1:15" x14ac:dyDescent="0.3">
      <c r="A4915" s="130">
        <v>25568</v>
      </c>
      <c r="B4915" s="130">
        <v>21</v>
      </c>
      <c r="C4915" s="130" t="s">
        <v>6539</v>
      </c>
      <c r="D4915">
        <v>39261</v>
      </c>
      <c r="E4915" s="131">
        <v>17888639</v>
      </c>
      <c r="F4915" t="s">
        <v>113</v>
      </c>
      <c r="G4915">
        <v>76</v>
      </c>
      <c r="H4915" t="s">
        <v>8953</v>
      </c>
      <c r="I4915" s="130">
        <v>24</v>
      </c>
      <c r="J4915" t="s">
        <v>6539</v>
      </c>
      <c r="K4915" t="s">
        <v>95</v>
      </c>
      <c r="L4915" t="s">
        <v>191</v>
      </c>
      <c r="M4915" t="s">
        <v>137</v>
      </c>
      <c r="N4915" t="s">
        <v>216</v>
      </c>
      <c r="O4915" t="s">
        <v>1256</v>
      </c>
    </row>
    <row r="4916" spans="1:15" x14ac:dyDescent="0.3">
      <c r="A4916" s="130">
        <v>25570</v>
      </c>
      <c r="B4916" s="130">
        <v>10</v>
      </c>
      <c r="C4916" s="130" t="s">
        <v>6540</v>
      </c>
      <c r="D4916">
        <v>39262</v>
      </c>
      <c r="E4916" s="130">
        <v>13348041</v>
      </c>
      <c r="F4916" t="s">
        <v>113</v>
      </c>
      <c r="G4916">
        <v>76</v>
      </c>
      <c r="H4916" t="s">
        <v>8951</v>
      </c>
      <c r="I4916" s="130">
        <v>3</v>
      </c>
      <c r="J4916" t="s">
        <v>6540</v>
      </c>
      <c r="K4916" t="s">
        <v>108</v>
      </c>
      <c r="L4916" t="s">
        <v>925</v>
      </c>
      <c r="M4916" t="s">
        <v>133</v>
      </c>
      <c r="N4916" t="s">
        <v>98</v>
      </c>
      <c r="O4916" t="s">
        <v>1256</v>
      </c>
    </row>
    <row r="4917" spans="1:15" x14ac:dyDescent="0.3">
      <c r="A4917" s="130">
        <v>25571</v>
      </c>
      <c r="B4917" s="130">
        <v>10</v>
      </c>
      <c r="C4917" s="130" t="s">
        <v>6541</v>
      </c>
      <c r="D4917">
        <v>39264</v>
      </c>
      <c r="E4917" s="130">
        <v>731155</v>
      </c>
      <c r="F4917" t="s">
        <v>87</v>
      </c>
      <c r="G4917">
        <v>76</v>
      </c>
      <c r="H4917" t="s">
        <v>8952</v>
      </c>
      <c r="I4917" s="130">
        <v>3</v>
      </c>
      <c r="J4917" t="s">
        <v>6541</v>
      </c>
      <c r="K4917" t="s">
        <v>95</v>
      </c>
      <c r="L4917" t="s">
        <v>925</v>
      </c>
      <c r="M4917" t="s">
        <v>133</v>
      </c>
      <c r="N4917" t="s">
        <v>98</v>
      </c>
      <c r="O4917" t="s">
        <v>1256</v>
      </c>
    </row>
    <row r="4918" spans="1:15" x14ac:dyDescent="0.3">
      <c r="A4918" s="130">
        <v>25572</v>
      </c>
      <c r="B4918" s="130">
        <v>28</v>
      </c>
      <c r="C4918" s="130" t="s">
        <v>6542</v>
      </c>
      <c r="D4918">
        <v>39150</v>
      </c>
      <c r="E4918" s="131">
        <v>7571981719</v>
      </c>
      <c r="F4918" t="s">
        <v>113</v>
      </c>
      <c r="G4918">
        <v>76</v>
      </c>
      <c r="H4918" t="s">
        <v>8953</v>
      </c>
      <c r="I4918" s="130">
        <v>18</v>
      </c>
      <c r="J4918" t="s">
        <v>6542</v>
      </c>
      <c r="K4918" t="s">
        <v>108</v>
      </c>
      <c r="L4918" t="s">
        <v>253</v>
      </c>
      <c r="M4918" t="s">
        <v>130</v>
      </c>
      <c r="N4918" t="s">
        <v>110</v>
      </c>
      <c r="O4918" t="s">
        <v>1256</v>
      </c>
    </row>
    <row r="4919" spans="1:15" x14ac:dyDescent="0.3">
      <c r="A4919" s="130">
        <v>25575</v>
      </c>
      <c r="B4919" s="130">
        <v>21</v>
      </c>
      <c r="C4919" s="130" t="s">
        <v>6543</v>
      </c>
      <c r="D4919">
        <v>39266</v>
      </c>
      <c r="E4919" s="130">
        <v>20462023</v>
      </c>
      <c r="F4919" t="s">
        <v>87</v>
      </c>
      <c r="G4919">
        <v>76</v>
      </c>
      <c r="H4919" t="s">
        <v>8951</v>
      </c>
      <c r="I4919" s="130">
        <v>24</v>
      </c>
      <c r="J4919" t="s">
        <v>6543</v>
      </c>
      <c r="K4919" t="s">
        <v>108</v>
      </c>
      <c r="L4919" t="s">
        <v>191</v>
      </c>
      <c r="M4919" t="s">
        <v>137</v>
      </c>
      <c r="N4919" t="s">
        <v>98</v>
      </c>
      <c r="O4919" t="s">
        <v>1256</v>
      </c>
    </row>
    <row r="4920" spans="1:15" x14ac:dyDescent="0.3">
      <c r="A4920" s="130">
        <v>25579</v>
      </c>
      <c r="B4920" s="130">
        <v>18</v>
      </c>
      <c r="C4920" s="130" t="s">
        <v>6544</v>
      </c>
      <c r="D4920">
        <v>39283</v>
      </c>
      <c r="E4920" s="130">
        <v>16836669</v>
      </c>
      <c r="F4920" t="s">
        <v>87</v>
      </c>
      <c r="G4920">
        <v>76</v>
      </c>
      <c r="H4920" t="s">
        <v>8952</v>
      </c>
      <c r="I4920" s="130">
        <v>10</v>
      </c>
      <c r="J4920" t="s">
        <v>6544</v>
      </c>
      <c r="K4920" t="s">
        <v>108</v>
      </c>
      <c r="L4920" t="s">
        <v>127</v>
      </c>
      <c r="M4920" t="s">
        <v>112</v>
      </c>
      <c r="N4920" t="s">
        <v>101</v>
      </c>
      <c r="O4920" t="s">
        <v>1345</v>
      </c>
    </row>
    <row r="4921" spans="1:15" x14ac:dyDescent="0.3">
      <c r="A4921" s="130">
        <v>25582</v>
      </c>
      <c r="B4921" s="130">
        <v>30</v>
      </c>
      <c r="C4921" s="130" t="s">
        <v>6545</v>
      </c>
      <c r="D4921">
        <v>39287</v>
      </c>
      <c r="E4921" s="130">
        <v>33000167</v>
      </c>
      <c r="F4921" t="s">
        <v>87</v>
      </c>
      <c r="G4921">
        <v>33359</v>
      </c>
      <c r="H4921" t="s">
        <v>8953</v>
      </c>
      <c r="I4921" s="131">
        <v>18</v>
      </c>
      <c r="J4921" t="s">
        <v>6545</v>
      </c>
      <c r="K4921" t="s">
        <v>95</v>
      </c>
      <c r="L4921" t="s">
        <v>926</v>
      </c>
      <c r="M4921" t="s">
        <v>103</v>
      </c>
      <c r="N4921" t="s">
        <v>131</v>
      </c>
      <c r="O4921" t="s">
        <v>244</v>
      </c>
    </row>
    <row r="4922" spans="1:15" x14ac:dyDescent="0.3">
      <c r="A4922" s="130">
        <v>25583</v>
      </c>
      <c r="B4922" s="130">
        <v>30</v>
      </c>
      <c r="C4922" s="130" t="s">
        <v>6546</v>
      </c>
      <c r="D4922">
        <v>39293</v>
      </c>
      <c r="E4922" s="130">
        <v>54016278</v>
      </c>
      <c r="F4922" t="s">
        <v>87</v>
      </c>
      <c r="G4922">
        <v>358</v>
      </c>
      <c r="H4922" t="s">
        <v>8951</v>
      </c>
      <c r="I4922" s="130">
        <v>3</v>
      </c>
      <c r="J4922" t="s">
        <v>6546</v>
      </c>
      <c r="K4922" t="s">
        <v>95</v>
      </c>
      <c r="L4922" t="s">
        <v>105</v>
      </c>
      <c r="M4922" t="s">
        <v>103</v>
      </c>
      <c r="N4922" t="s">
        <v>98</v>
      </c>
      <c r="O4922" t="s">
        <v>116</v>
      </c>
    </row>
    <row r="4923" spans="1:15" x14ac:dyDescent="0.3">
      <c r="A4923" s="130">
        <v>25586</v>
      </c>
      <c r="B4923" s="130">
        <v>18</v>
      </c>
      <c r="C4923" s="130" t="s">
        <v>6547</v>
      </c>
      <c r="D4923">
        <v>39297</v>
      </c>
      <c r="E4923" s="131">
        <v>17161936</v>
      </c>
      <c r="F4923" t="s">
        <v>87</v>
      </c>
      <c r="G4923">
        <v>76</v>
      </c>
      <c r="H4923" t="s">
        <v>8952</v>
      </c>
      <c r="I4923" s="131">
        <v>26</v>
      </c>
      <c r="J4923" t="s">
        <v>6547</v>
      </c>
      <c r="K4923" t="s">
        <v>108</v>
      </c>
      <c r="L4923" t="s">
        <v>151</v>
      </c>
      <c r="M4923" t="s">
        <v>112</v>
      </c>
      <c r="N4923" t="s">
        <v>114</v>
      </c>
      <c r="O4923" t="s">
        <v>1345</v>
      </c>
    </row>
    <row r="4924" spans="1:15" x14ac:dyDescent="0.3">
      <c r="A4924" s="130">
        <v>25589</v>
      </c>
      <c r="B4924" s="130">
        <v>28</v>
      </c>
      <c r="C4924" s="130" t="s">
        <v>6548</v>
      </c>
      <c r="D4924">
        <v>38979</v>
      </c>
      <c r="E4924" s="131">
        <v>51617481</v>
      </c>
      <c r="F4924" t="s">
        <v>113</v>
      </c>
      <c r="G4924">
        <v>76</v>
      </c>
      <c r="H4924" t="s">
        <v>8953</v>
      </c>
      <c r="I4924" s="131">
        <v>18</v>
      </c>
      <c r="J4924" t="s">
        <v>6548</v>
      </c>
      <c r="K4924" t="s">
        <v>108</v>
      </c>
      <c r="L4924" t="s">
        <v>253</v>
      </c>
      <c r="M4924" t="s">
        <v>130</v>
      </c>
      <c r="N4924" t="s">
        <v>98</v>
      </c>
      <c r="O4924" t="s">
        <v>1256</v>
      </c>
    </row>
    <row r="4925" spans="1:15" x14ac:dyDescent="0.3">
      <c r="A4925" s="130">
        <v>25592</v>
      </c>
      <c r="B4925" s="130">
        <v>18</v>
      </c>
      <c r="C4925" s="130" t="s">
        <v>6549</v>
      </c>
      <c r="D4925">
        <v>39305</v>
      </c>
      <c r="E4925" s="130">
        <v>8236989</v>
      </c>
      <c r="F4925" t="s">
        <v>87</v>
      </c>
      <c r="G4925">
        <v>76</v>
      </c>
      <c r="H4925" t="s">
        <v>8951</v>
      </c>
      <c r="I4925" s="130">
        <v>26</v>
      </c>
      <c r="J4925" t="s">
        <v>6549</v>
      </c>
      <c r="K4925" t="s">
        <v>108</v>
      </c>
      <c r="L4925" t="s">
        <v>151</v>
      </c>
      <c r="M4925" t="s">
        <v>112</v>
      </c>
      <c r="N4925" t="s">
        <v>98</v>
      </c>
      <c r="O4925" t="s">
        <v>244</v>
      </c>
    </row>
    <row r="4926" spans="1:15" x14ac:dyDescent="0.3">
      <c r="A4926" s="130">
        <v>25595</v>
      </c>
      <c r="B4926" s="130">
        <v>20</v>
      </c>
      <c r="C4926" s="130" t="s">
        <v>6550</v>
      </c>
      <c r="D4926">
        <v>39311</v>
      </c>
      <c r="E4926" s="130">
        <v>30454266</v>
      </c>
      <c r="F4926" t="s">
        <v>87</v>
      </c>
      <c r="G4926">
        <v>76</v>
      </c>
      <c r="H4926" t="s">
        <v>8952</v>
      </c>
      <c r="I4926" s="130">
        <v>19</v>
      </c>
      <c r="J4926" t="s">
        <v>6550</v>
      </c>
      <c r="K4926" t="s">
        <v>108</v>
      </c>
      <c r="L4926" t="s">
        <v>252</v>
      </c>
      <c r="M4926" t="s">
        <v>148</v>
      </c>
      <c r="N4926" t="s">
        <v>98</v>
      </c>
      <c r="O4926" t="s">
        <v>1256</v>
      </c>
    </row>
    <row r="4927" spans="1:15" x14ac:dyDescent="0.3">
      <c r="A4927" s="130">
        <v>25597</v>
      </c>
      <c r="B4927" s="130">
        <v>30</v>
      </c>
      <c r="C4927" s="130" t="s">
        <v>6551</v>
      </c>
      <c r="D4927">
        <v>39051</v>
      </c>
      <c r="E4927" s="131">
        <v>15112648</v>
      </c>
      <c r="F4927" t="s">
        <v>113</v>
      </c>
      <c r="G4927">
        <v>76</v>
      </c>
      <c r="H4927" t="s">
        <v>8953</v>
      </c>
      <c r="I4927" s="131">
        <v>18</v>
      </c>
      <c r="J4927" t="s">
        <v>6551</v>
      </c>
      <c r="K4927" t="s">
        <v>108</v>
      </c>
      <c r="L4927" t="s">
        <v>123</v>
      </c>
      <c r="M4927" t="s">
        <v>103</v>
      </c>
      <c r="N4927" t="s">
        <v>101</v>
      </c>
      <c r="O4927" t="s">
        <v>1256</v>
      </c>
    </row>
    <row r="4928" spans="1:15" x14ac:dyDescent="0.3">
      <c r="A4928" s="130">
        <v>25599</v>
      </c>
      <c r="B4928" s="130">
        <v>10</v>
      </c>
      <c r="C4928" s="130" t="s">
        <v>6552</v>
      </c>
      <c r="D4928">
        <v>39320</v>
      </c>
      <c r="E4928" s="130">
        <v>28966812</v>
      </c>
      <c r="F4928" t="s">
        <v>87</v>
      </c>
      <c r="G4928">
        <v>76</v>
      </c>
      <c r="H4928" t="s">
        <v>8951</v>
      </c>
      <c r="I4928" s="131">
        <v>24</v>
      </c>
      <c r="J4928" t="s">
        <v>6552</v>
      </c>
      <c r="K4928" t="s">
        <v>95</v>
      </c>
      <c r="L4928" t="s">
        <v>1253</v>
      </c>
      <c r="M4928" t="s">
        <v>133</v>
      </c>
      <c r="N4928" t="s">
        <v>98</v>
      </c>
      <c r="O4928" t="s">
        <v>1256</v>
      </c>
    </row>
    <row r="4929" spans="1:15" x14ac:dyDescent="0.3">
      <c r="A4929" s="130">
        <v>25600</v>
      </c>
      <c r="B4929" s="130">
        <v>30</v>
      </c>
      <c r="C4929" s="130" t="s">
        <v>6553</v>
      </c>
      <c r="D4929">
        <v>39317</v>
      </c>
      <c r="E4929" s="130">
        <v>32690668</v>
      </c>
      <c r="F4929" t="s">
        <v>87</v>
      </c>
      <c r="G4929">
        <v>33359</v>
      </c>
      <c r="H4929" t="s">
        <v>8952</v>
      </c>
      <c r="I4929" s="130">
        <v>26</v>
      </c>
      <c r="J4929" t="s">
        <v>6553</v>
      </c>
      <c r="K4929" t="s">
        <v>95</v>
      </c>
      <c r="L4929" t="s">
        <v>926</v>
      </c>
      <c r="M4929" t="s">
        <v>103</v>
      </c>
      <c r="N4929" t="s">
        <v>131</v>
      </c>
      <c r="O4929" t="s">
        <v>244</v>
      </c>
    </row>
    <row r="4930" spans="1:15" x14ac:dyDescent="0.3">
      <c r="A4930" s="130">
        <v>25603</v>
      </c>
      <c r="B4930" s="130">
        <v>0</v>
      </c>
      <c r="C4930" s="130" t="s">
        <v>6554</v>
      </c>
      <c r="D4930">
        <v>39322</v>
      </c>
      <c r="E4930" s="131">
        <v>4981572</v>
      </c>
      <c r="F4930" t="s">
        <v>113</v>
      </c>
      <c r="G4930">
        <v>76</v>
      </c>
      <c r="H4930" t="s">
        <v>8953</v>
      </c>
      <c r="I4930" s="130">
        <v>24</v>
      </c>
      <c r="J4930" t="s">
        <v>6554</v>
      </c>
      <c r="K4930" t="s">
        <v>95</v>
      </c>
      <c r="L4930" t="s">
        <v>1253</v>
      </c>
      <c r="M4930" t="s">
        <v>100</v>
      </c>
      <c r="N4930" t="s">
        <v>98</v>
      </c>
      <c r="O4930" t="s">
        <v>1256</v>
      </c>
    </row>
    <row r="4931" spans="1:15" x14ac:dyDescent="0.3">
      <c r="A4931" s="130">
        <v>25604</v>
      </c>
      <c r="B4931" s="130">
        <v>21</v>
      </c>
      <c r="C4931" s="130" t="s">
        <v>6555</v>
      </c>
      <c r="D4931">
        <v>39327</v>
      </c>
      <c r="E4931" s="131">
        <v>17517950</v>
      </c>
      <c r="F4931" t="s">
        <v>113</v>
      </c>
      <c r="G4931">
        <v>76</v>
      </c>
      <c r="H4931" t="s">
        <v>8951</v>
      </c>
      <c r="I4931" s="130">
        <v>24</v>
      </c>
      <c r="J4931" t="s">
        <v>6555</v>
      </c>
      <c r="K4931" t="s">
        <v>108</v>
      </c>
      <c r="L4931" t="s">
        <v>191</v>
      </c>
      <c r="M4931" t="s">
        <v>137</v>
      </c>
      <c r="N4931" t="s">
        <v>98</v>
      </c>
      <c r="O4931" t="s">
        <v>1256</v>
      </c>
    </row>
    <row r="4932" spans="1:15" x14ac:dyDescent="0.3">
      <c r="A4932" s="130">
        <v>25605</v>
      </c>
      <c r="B4932" s="130">
        <v>30</v>
      </c>
      <c r="C4932" s="130" t="s">
        <v>6556</v>
      </c>
      <c r="D4932">
        <v>39328</v>
      </c>
      <c r="E4932" s="130">
        <v>11155274</v>
      </c>
      <c r="F4932" t="s">
        <v>113</v>
      </c>
      <c r="G4932">
        <v>76</v>
      </c>
      <c r="H4932" t="s">
        <v>8952</v>
      </c>
      <c r="I4932" s="130">
        <v>18</v>
      </c>
      <c r="J4932" t="s">
        <v>6556</v>
      </c>
      <c r="K4932" t="s">
        <v>95</v>
      </c>
      <c r="L4932" t="s">
        <v>123</v>
      </c>
      <c r="M4932" t="s">
        <v>103</v>
      </c>
      <c r="N4932" t="s">
        <v>98</v>
      </c>
      <c r="O4932" t="s">
        <v>1256</v>
      </c>
    </row>
    <row r="4933" spans="1:15" x14ac:dyDescent="0.3">
      <c r="A4933" s="130">
        <v>25607</v>
      </c>
      <c r="B4933" s="130">
        <v>30</v>
      </c>
      <c r="C4933" s="130" t="s">
        <v>6557</v>
      </c>
      <c r="D4933">
        <v>39329</v>
      </c>
      <c r="E4933" s="131">
        <v>61037537</v>
      </c>
      <c r="F4933" t="s">
        <v>87</v>
      </c>
      <c r="G4933">
        <v>32947</v>
      </c>
      <c r="H4933" t="s">
        <v>8953</v>
      </c>
      <c r="I4933" s="130">
        <v>3</v>
      </c>
      <c r="J4933" t="s">
        <v>6557</v>
      </c>
      <c r="K4933" t="s">
        <v>108</v>
      </c>
      <c r="L4933" t="s">
        <v>109</v>
      </c>
      <c r="M4933" t="s">
        <v>103</v>
      </c>
      <c r="N4933" t="s">
        <v>98</v>
      </c>
      <c r="O4933" t="s">
        <v>116</v>
      </c>
    </row>
    <row r="4934" spans="1:15" x14ac:dyDescent="0.3">
      <c r="A4934" s="130">
        <v>25611</v>
      </c>
      <c r="B4934" s="130">
        <v>30</v>
      </c>
      <c r="C4934" s="130" t="s">
        <v>6558</v>
      </c>
      <c r="D4934">
        <v>39334</v>
      </c>
      <c r="E4934" s="131">
        <v>15126515675</v>
      </c>
      <c r="F4934" t="s">
        <v>113</v>
      </c>
      <c r="G4934">
        <v>32947</v>
      </c>
      <c r="H4934" t="s">
        <v>8951</v>
      </c>
      <c r="I4934" s="131">
        <v>3</v>
      </c>
      <c r="J4934" t="s">
        <v>6558</v>
      </c>
      <c r="K4934" t="s">
        <v>108</v>
      </c>
      <c r="L4934" t="s">
        <v>109</v>
      </c>
      <c r="M4934" t="s">
        <v>103</v>
      </c>
      <c r="N4934" t="s">
        <v>110</v>
      </c>
      <c r="O4934" t="s">
        <v>1256</v>
      </c>
    </row>
    <row r="4935" spans="1:15" x14ac:dyDescent="0.3">
      <c r="A4935" s="130">
        <v>25613</v>
      </c>
      <c r="B4935" s="130">
        <v>0</v>
      </c>
      <c r="C4935" s="130" t="s">
        <v>6559</v>
      </c>
      <c r="D4935">
        <v>39336</v>
      </c>
      <c r="E4935" s="130">
        <v>1294551</v>
      </c>
      <c r="F4935" t="s">
        <v>87</v>
      </c>
      <c r="G4935">
        <v>32947</v>
      </c>
      <c r="H4935" t="s">
        <v>8952</v>
      </c>
      <c r="I4935" s="130">
        <v>43</v>
      </c>
      <c r="J4935" t="s">
        <v>6559</v>
      </c>
      <c r="K4935" t="s">
        <v>108</v>
      </c>
      <c r="L4935" t="s">
        <v>1241</v>
      </c>
      <c r="M4935" t="s">
        <v>100</v>
      </c>
      <c r="O4935" t="s">
        <v>1256</v>
      </c>
    </row>
    <row r="4936" spans="1:15" x14ac:dyDescent="0.3">
      <c r="A4936" s="130">
        <v>25615</v>
      </c>
      <c r="B4936" s="130">
        <v>0</v>
      </c>
      <c r="C4936" s="130" t="s">
        <v>6560</v>
      </c>
      <c r="D4936">
        <v>39338</v>
      </c>
      <c r="E4936" s="130">
        <v>1294551</v>
      </c>
      <c r="F4936" t="s">
        <v>87</v>
      </c>
      <c r="G4936">
        <v>32947</v>
      </c>
      <c r="H4936" t="s">
        <v>8953</v>
      </c>
      <c r="I4936" s="130">
        <v>43</v>
      </c>
      <c r="J4936" t="s">
        <v>6560</v>
      </c>
      <c r="K4936" t="s">
        <v>108</v>
      </c>
      <c r="L4936" t="s">
        <v>1241</v>
      </c>
      <c r="M4936" t="s">
        <v>100</v>
      </c>
      <c r="N4936" t="s">
        <v>98</v>
      </c>
      <c r="O4936" t="s">
        <v>1256</v>
      </c>
    </row>
    <row r="4937" spans="1:15" x14ac:dyDescent="0.3">
      <c r="A4937" s="130">
        <v>25616</v>
      </c>
      <c r="B4937" s="130">
        <v>30</v>
      </c>
      <c r="C4937" s="130" t="s">
        <v>6561</v>
      </c>
      <c r="D4937">
        <v>39341</v>
      </c>
      <c r="E4937" s="130">
        <v>33048240</v>
      </c>
      <c r="F4937" t="s">
        <v>87</v>
      </c>
      <c r="G4937">
        <v>76</v>
      </c>
      <c r="H4937" t="s">
        <v>8951</v>
      </c>
      <c r="I4937" s="130">
        <v>3</v>
      </c>
      <c r="J4937" t="s">
        <v>6561</v>
      </c>
      <c r="K4937" t="s">
        <v>95</v>
      </c>
      <c r="L4937" t="s">
        <v>1293</v>
      </c>
      <c r="M4937" t="s">
        <v>103</v>
      </c>
      <c r="N4937" t="s">
        <v>98</v>
      </c>
      <c r="O4937" t="s">
        <v>1256</v>
      </c>
    </row>
    <row r="4938" spans="1:15" x14ac:dyDescent="0.3">
      <c r="A4938" s="130">
        <v>25619</v>
      </c>
      <c r="B4938" s="130">
        <v>30</v>
      </c>
      <c r="C4938" s="130" t="s">
        <v>6562</v>
      </c>
      <c r="D4938">
        <v>39346</v>
      </c>
      <c r="E4938" s="130">
        <v>27426196</v>
      </c>
      <c r="F4938" t="s">
        <v>87</v>
      </c>
      <c r="G4938">
        <v>76</v>
      </c>
      <c r="H4938" t="s">
        <v>8952</v>
      </c>
      <c r="I4938" s="130">
        <v>9</v>
      </c>
      <c r="J4938" t="s">
        <v>6562</v>
      </c>
      <c r="K4938" t="s">
        <v>108</v>
      </c>
      <c r="L4938" t="s">
        <v>163</v>
      </c>
      <c r="M4938" t="s">
        <v>103</v>
      </c>
      <c r="N4938" t="s">
        <v>98</v>
      </c>
      <c r="O4938" t="s">
        <v>1256</v>
      </c>
    </row>
    <row r="4939" spans="1:15" x14ac:dyDescent="0.3">
      <c r="A4939" s="130">
        <v>25620</v>
      </c>
      <c r="B4939" s="130">
        <v>60</v>
      </c>
      <c r="C4939" s="130" t="s">
        <v>6563</v>
      </c>
      <c r="D4939">
        <v>39350</v>
      </c>
      <c r="E4939" s="130">
        <v>52885089</v>
      </c>
      <c r="F4939" t="s">
        <v>87</v>
      </c>
      <c r="G4939">
        <v>358</v>
      </c>
      <c r="H4939" t="s">
        <v>8953</v>
      </c>
      <c r="I4939" s="130">
        <v>3</v>
      </c>
      <c r="J4939" t="s">
        <v>6563</v>
      </c>
      <c r="K4939" t="s">
        <v>95</v>
      </c>
      <c r="L4939" t="s">
        <v>105</v>
      </c>
      <c r="M4939" t="s">
        <v>97</v>
      </c>
      <c r="N4939" t="s">
        <v>98</v>
      </c>
      <c r="O4939" t="s">
        <v>116</v>
      </c>
    </row>
    <row r="4940" spans="1:15" x14ac:dyDescent="0.3">
      <c r="A4940" s="130">
        <v>25621</v>
      </c>
      <c r="B4940" s="130">
        <v>30</v>
      </c>
      <c r="C4940" s="130" t="s">
        <v>6564</v>
      </c>
      <c r="D4940">
        <v>39354</v>
      </c>
      <c r="E4940" s="130">
        <v>34127232</v>
      </c>
      <c r="F4940" t="s">
        <v>87</v>
      </c>
      <c r="G4940">
        <v>32947</v>
      </c>
      <c r="H4940" t="s">
        <v>8951</v>
      </c>
      <c r="I4940" s="131">
        <v>3</v>
      </c>
      <c r="J4940" t="s">
        <v>6564</v>
      </c>
      <c r="K4940" t="s">
        <v>95</v>
      </c>
      <c r="L4940" t="s">
        <v>109</v>
      </c>
      <c r="M4940" t="s">
        <v>103</v>
      </c>
      <c r="N4940" t="s">
        <v>118</v>
      </c>
      <c r="O4940" t="s">
        <v>1256</v>
      </c>
    </row>
    <row r="4941" spans="1:15" x14ac:dyDescent="0.3">
      <c r="A4941" s="130">
        <v>25622</v>
      </c>
      <c r="B4941" s="130">
        <v>30</v>
      </c>
      <c r="C4941" s="130" t="s">
        <v>6565</v>
      </c>
      <c r="D4941">
        <v>39233</v>
      </c>
      <c r="E4941" s="130">
        <v>7115880</v>
      </c>
      <c r="F4941" t="s">
        <v>87</v>
      </c>
      <c r="G4941">
        <v>32947</v>
      </c>
      <c r="H4941" t="s">
        <v>8952</v>
      </c>
      <c r="I4941" s="130">
        <v>3</v>
      </c>
      <c r="J4941" t="s">
        <v>6565</v>
      </c>
      <c r="K4941" t="s">
        <v>108</v>
      </c>
      <c r="L4941" t="s">
        <v>109</v>
      </c>
      <c r="M4941" t="s">
        <v>103</v>
      </c>
      <c r="N4941" t="s">
        <v>124</v>
      </c>
      <c r="O4941" t="s">
        <v>1256</v>
      </c>
    </row>
    <row r="4942" spans="1:15" x14ac:dyDescent="0.3">
      <c r="A4942" s="130">
        <v>25624</v>
      </c>
      <c r="B4942" s="130">
        <v>30</v>
      </c>
      <c r="C4942" s="130" t="s">
        <v>6566</v>
      </c>
      <c r="D4942">
        <v>39357</v>
      </c>
      <c r="E4942" s="130">
        <v>388601</v>
      </c>
      <c r="F4942" t="s">
        <v>87</v>
      </c>
      <c r="G4942">
        <v>32947</v>
      </c>
      <c r="H4942" t="s">
        <v>8953</v>
      </c>
      <c r="I4942" s="130">
        <v>3</v>
      </c>
      <c r="J4942" t="s">
        <v>6566</v>
      </c>
      <c r="K4942" t="s">
        <v>95</v>
      </c>
      <c r="L4942" t="s">
        <v>109</v>
      </c>
      <c r="M4942" t="s">
        <v>103</v>
      </c>
      <c r="N4942" t="s">
        <v>114</v>
      </c>
      <c r="O4942" t="s">
        <v>1256</v>
      </c>
    </row>
    <row r="4943" spans="1:15" x14ac:dyDescent="0.3">
      <c r="A4943" s="130">
        <v>25625</v>
      </c>
      <c r="B4943" s="130">
        <v>30</v>
      </c>
      <c r="C4943" s="130" t="s">
        <v>6567</v>
      </c>
      <c r="D4943">
        <v>39108</v>
      </c>
      <c r="E4943" s="131">
        <v>33841727</v>
      </c>
      <c r="F4943" t="s">
        <v>87</v>
      </c>
      <c r="G4943">
        <v>32947</v>
      </c>
      <c r="H4943" t="s">
        <v>8951</v>
      </c>
      <c r="I4943" s="130">
        <v>3</v>
      </c>
      <c r="J4943" t="s">
        <v>6567</v>
      </c>
      <c r="K4943" t="s">
        <v>108</v>
      </c>
      <c r="L4943" t="s">
        <v>109</v>
      </c>
      <c r="M4943" t="s">
        <v>103</v>
      </c>
      <c r="N4943" t="s">
        <v>98</v>
      </c>
      <c r="O4943" t="s">
        <v>1256</v>
      </c>
    </row>
    <row r="4944" spans="1:15" x14ac:dyDescent="0.3">
      <c r="A4944" s="130">
        <v>25636</v>
      </c>
      <c r="B4944" s="130">
        <v>21</v>
      </c>
      <c r="C4944" s="130" t="s">
        <v>6568</v>
      </c>
      <c r="D4944">
        <v>39369</v>
      </c>
      <c r="E4944" s="130">
        <v>5451102</v>
      </c>
      <c r="F4944" t="s">
        <v>87</v>
      </c>
      <c r="G4944">
        <v>76</v>
      </c>
      <c r="H4944" t="s">
        <v>8952</v>
      </c>
      <c r="I4944" s="130">
        <v>24</v>
      </c>
      <c r="J4944" t="s">
        <v>6568</v>
      </c>
      <c r="K4944" t="s">
        <v>108</v>
      </c>
      <c r="L4944" t="s">
        <v>240</v>
      </c>
      <c r="M4944" t="s">
        <v>137</v>
      </c>
      <c r="N4944" t="s">
        <v>122</v>
      </c>
      <c r="O4944" t="s">
        <v>1256</v>
      </c>
    </row>
    <row r="4945" spans="1:15" x14ac:dyDescent="0.3">
      <c r="A4945" s="130">
        <v>25638</v>
      </c>
      <c r="B4945" s="130">
        <v>30</v>
      </c>
      <c r="C4945" s="130" t="s">
        <v>6569</v>
      </c>
      <c r="D4945">
        <v>39371</v>
      </c>
      <c r="E4945" s="131">
        <v>3992929</v>
      </c>
      <c r="F4945" t="s">
        <v>87</v>
      </c>
      <c r="G4945">
        <v>32947</v>
      </c>
      <c r="H4945" t="s">
        <v>8953</v>
      </c>
      <c r="I4945" s="131">
        <v>9</v>
      </c>
      <c r="J4945" t="s">
        <v>6569</v>
      </c>
      <c r="K4945" t="s">
        <v>108</v>
      </c>
      <c r="L4945" t="s">
        <v>111</v>
      </c>
      <c r="M4945" t="s">
        <v>103</v>
      </c>
      <c r="N4945" t="s">
        <v>98</v>
      </c>
      <c r="O4945" t="s">
        <v>116</v>
      </c>
    </row>
    <row r="4946" spans="1:15" x14ac:dyDescent="0.3">
      <c r="A4946" s="130">
        <v>25639</v>
      </c>
      <c r="B4946" s="130">
        <v>21</v>
      </c>
      <c r="C4946" s="130" t="s">
        <v>6570</v>
      </c>
      <c r="D4946">
        <v>39138</v>
      </c>
      <c r="E4946" s="131">
        <v>17495999</v>
      </c>
      <c r="F4946" t="s">
        <v>113</v>
      </c>
      <c r="G4946">
        <v>76</v>
      </c>
      <c r="H4946" t="s">
        <v>8951</v>
      </c>
      <c r="I4946" s="131">
        <v>24</v>
      </c>
      <c r="J4946" t="s">
        <v>6570</v>
      </c>
      <c r="K4946" t="s">
        <v>108</v>
      </c>
      <c r="L4946" t="s">
        <v>240</v>
      </c>
      <c r="M4946" t="s">
        <v>137</v>
      </c>
      <c r="N4946" t="s">
        <v>98</v>
      </c>
      <c r="O4946" t="s">
        <v>1256</v>
      </c>
    </row>
    <row r="4947" spans="1:15" x14ac:dyDescent="0.3">
      <c r="A4947" s="130">
        <v>25641</v>
      </c>
      <c r="B4947" s="130">
        <v>0</v>
      </c>
      <c r="C4947" s="130" t="s">
        <v>6571</v>
      </c>
      <c r="D4947">
        <v>39374</v>
      </c>
      <c r="E4947" s="130">
        <v>3992929</v>
      </c>
      <c r="F4947" t="s">
        <v>87</v>
      </c>
      <c r="G4947">
        <v>76</v>
      </c>
      <c r="H4947" t="s">
        <v>8952</v>
      </c>
      <c r="I4947" s="131">
        <v>19</v>
      </c>
      <c r="J4947" t="s">
        <v>6571</v>
      </c>
      <c r="K4947" t="s">
        <v>108</v>
      </c>
      <c r="L4947" t="s">
        <v>252</v>
      </c>
      <c r="M4947" t="s">
        <v>100</v>
      </c>
      <c r="N4947" t="s">
        <v>98</v>
      </c>
      <c r="O4947" t="s">
        <v>1256</v>
      </c>
    </row>
    <row r="4948" spans="1:15" x14ac:dyDescent="0.3">
      <c r="A4948" s="130">
        <v>25642</v>
      </c>
      <c r="B4948" s="130">
        <v>30</v>
      </c>
      <c r="C4948" s="130" t="s">
        <v>6572</v>
      </c>
      <c r="D4948">
        <v>39379</v>
      </c>
      <c r="E4948" s="130">
        <v>6039070</v>
      </c>
      <c r="F4948" t="s">
        <v>87</v>
      </c>
      <c r="G4948">
        <v>32947</v>
      </c>
      <c r="H4948" t="s">
        <v>8953</v>
      </c>
      <c r="I4948" s="130">
        <v>3</v>
      </c>
      <c r="J4948" t="s">
        <v>6572</v>
      </c>
      <c r="K4948" t="s">
        <v>95</v>
      </c>
      <c r="L4948" t="s">
        <v>109</v>
      </c>
      <c r="M4948" t="s">
        <v>103</v>
      </c>
      <c r="N4948" t="s">
        <v>98</v>
      </c>
      <c r="O4948" t="s">
        <v>1256</v>
      </c>
    </row>
    <row r="4949" spans="1:15" x14ac:dyDescent="0.3">
      <c r="A4949" s="130">
        <v>25643</v>
      </c>
      <c r="B4949" s="131">
        <v>30</v>
      </c>
      <c r="C4949" s="130" t="s">
        <v>6573</v>
      </c>
      <c r="D4949">
        <v>39381</v>
      </c>
      <c r="E4949" s="131">
        <v>76436146</v>
      </c>
      <c r="F4949" t="s">
        <v>87</v>
      </c>
      <c r="G4949">
        <v>32947</v>
      </c>
      <c r="H4949" t="s">
        <v>8951</v>
      </c>
      <c r="I4949" s="130">
        <v>43</v>
      </c>
      <c r="J4949" t="s">
        <v>6573</v>
      </c>
      <c r="K4949" t="s">
        <v>108</v>
      </c>
      <c r="L4949" t="s">
        <v>1241</v>
      </c>
      <c r="M4949" t="s">
        <v>103</v>
      </c>
      <c r="N4949" t="s">
        <v>98</v>
      </c>
      <c r="O4949" t="s">
        <v>244</v>
      </c>
    </row>
    <row r="4950" spans="1:15" x14ac:dyDescent="0.3">
      <c r="A4950" s="130">
        <v>25644</v>
      </c>
      <c r="B4950" s="130">
        <v>20</v>
      </c>
      <c r="C4950" s="130" t="s">
        <v>6574</v>
      </c>
      <c r="D4950">
        <v>39382</v>
      </c>
      <c r="E4950" s="131">
        <v>16607122</v>
      </c>
      <c r="F4950" t="s">
        <v>113</v>
      </c>
      <c r="G4950">
        <v>32947</v>
      </c>
      <c r="H4950" t="s">
        <v>8952</v>
      </c>
      <c r="I4950" s="131">
        <v>43</v>
      </c>
      <c r="J4950" t="s">
        <v>6574</v>
      </c>
      <c r="K4950" t="s">
        <v>108</v>
      </c>
      <c r="L4950" t="s">
        <v>1241</v>
      </c>
      <c r="M4950" t="s">
        <v>148</v>
      </c>
      <c r="N4950" t="s">
        <v>169</v>
      </c>
      <c r="O4950" t="s">
        <v>1256</v>
      </c>
    </row>
    <row r="4951" spans="1:15" x14ac:dyDescent="0.3">
      <c r="A4951" s="130">
        <v>25646</v>
      </c>
      <c r="B4951" s="130">
        <v>21</v>
      </c>
      <c r="C4951" s="130" t="s">
        <v>6575</v>
      </c>
      <c r="D4951">
        <v>39391</v>
      </c>
      <c r="E4951" s="131">
        <v>60850575</v>
      </c>
      <c r="F4951" t="s">
        <v>113</v>
      </c>
      <c r="G4951">
        <v>76</v>
      </c>
      <c r="H4951" t="s">
        <v>8953</v>
      </c>
      <c r="I4951" s="131">
        <v>24</v>
      </c>
      <c r="J4951" t="s">
        <v>6575</v>
      </c>
      <c r="K4951" t="s">
        <v>95</v>
      </c>
      <c r="L4951" t="s">
        <v>1253</v>
      </c>
      <c r="M4951" t="s">
        <v>137</v>
      </c>
      <c r="N4951" t="s">
        <v>98</v>
      </c>
      <c r="O4951" t="s">
        <v>1256</v>
      </c>
    </row>
    <row r="4952" spans="1:15" x14ac:dyDescent="0.3">
      <c r="A4952" s="130">
        <v>25648</v>
      </c>
      <c r="B4952" s="130">
        <v>15</v>
      </c>
      <c r="C4952" s="130" t="s">
        <v>6576</v>
      </c>
      <c r="D4952">
        <v>39276</v>
      </c>
      <c r="E4952" s="131">
        <v>1736562</v>
      </c>
      <c r="F4952" t="s">
        <v>113</v>
      </c>
      <c r="G4952">
        <v>76</v>
      </c>
      <c r="H4952" t="s">
        <v>8951</v>
      </c>
      <c r="I4952" s="130">
        <v>24</v>
      </c>
      <c r="J4952" t="s">
        <v>6576</v>
      </c>
      <c r="K4952" t="s">
        <v>108</v>
      </c>
      <c r="L4952" t="s">
        <v>240</v>
      </c>
      <c r="M4952" t="s">
        <v>145</v>
      </c>
      <c r="N4952" t="s">
        <v>98</v>
      </c>
      <c r="O4952" t="s">
        <v>1256</v>
      </c>
    </row>
    <row r="4953" spans="1:15" x14ac:dyDescent="0.3">
      <c r="A4953" s="130">
        <v>25649</v>
      </c>
      <c r="B4953" s="130">
        <v>10</v>
      </c>
      <c r="C4953" s="130" t="s">
        <v>6577</v>
      </c>
      <c r="D4953">
        <v>39395</v>
      </c>
      <c r="E4953" s="130">
        <v>49930514</v>
      </c>
      <c r="F4953" t="s">
        <v>87</v>
      </c>
      <c r="G4953">
        <v>76</v>
      </c>
      <c r="H4953" t="s">
        <v>8952</v>
      </c>
      <c r="I4953" s="130">
        <v>3</v>
      </c>
      <c r="J4953" t="s">
        <v>6577</v>
      </c>
      <c r="K4953" t="s">
        <v>108</v>
      </c>
      <c r="L4953" t="s">
        <v>925</v>
      </c>
      <c r="M4953" t="s">
        <v>133</v>
      </c>
      <c r="N4953" t="s">
        <v>216</v>
      </c>
      <c r="O4953" t="s">
        <v>1256</v>
      </c>
    </row>
    <row r="4954" spans="1:15" x14ac:dyDescent="0.3">
      <c r="A4954" s="130">
        <v>25650</v>
      </c>
      <c r="B4954" s="130">
        <v>0</v>
      </c>
      <c r="C4954" s="130" t="s">
        <v>6578</v>
      </c>
      <c r="D4954">
        <v>39180</v>
      </c>
      <c r="E4954" s="130">
        <v>96591128</v>
      </c>
      <c r="F4954" t="s">
        <v>87</v>
      </c>
      <c r="G4954">
        <v>76</v>
      </c>
      <c r="H4954" t="s">
        <v>8953</v>
      </c>
      <c r="I4954" s="130">
        <v>10</v>
      </c>
      <c r="J4954" t="s">
        <v>6578</v>
      </c>
      <c r="K4954" t="s">
        <v>95</v>
      </c>
      <c r="L4954" t="s">
        <v>191</v>
      </c>
      <c r="M4954" t="s">
        <v>100</v>
      </c>
      <c r="N4954" t="s">
        <v>98</v>
      </c>
      <c r="O4954" t="s">
        <v>1256</v>
      </c>
    </row>
    <row r="4955" spans="1:15" x14ac:dyDescent="0.3">
      <c r="A4955" s="130">
        <v>25651</v>
      </c>
      <c r="B4955" s="130">
        <v>-1</v>
      </c>
      <c r="C4955" s="130" t="s">
        <v>6579</v>
      </c>
      <c r="D4955">
        <v>39388</v>
      </c>
      <c r="E4955" s="130">
        <v>18127274</v>
      </c>
      <c r="F4955" t="s">
        <v>87</v>
      </c>
      <c r="G4955">
        <v>76</v>
      </c>
      <c r="H4955" t="s">
        <v>8951</v>
      </c>
      <c r="I4955" s="130">
        <v>3</v>
      </c>
      <c r="J4955" t="s">
        <v>6579</v>
      </c>
      <c r="K4955" t="s">
        <v>95</v>
      </c>
      <c r="L4955" t="s">
        <v>102</v>
      </c>
      <c r="M4955" t="s">
        <v>174</v>
      </c>
      <c r="N4955" t="s">
        <v>152</v>
      </c>
      <c r="O4955" t="s">
        <v>116</v>
      </c>
    </row>
    <row r="4956" spans="1:15" x14ac:dyDescent="0.3">
      <c r="A4956" s="130">
        <v>25652</v>
      </c>
      <c r="B4956" s="130">
        <v>21</v>
      </c>
      <c r="C4956" s="130" t="s">
        <v>6580</v>
      </c>
      <c r="D4956">
        <v>39398</v>
      </c>
      <c r="E4956" s="130">
        <v>5271198</v>
      </c>
      <c r="F4956" t="s">
        <v>87</v>
      </c>
      <c r="G4956">
        <v>76</v>
      </c>
      <c r="H4956" t="s">
        <v>8952</v>
      </c>
      <c r="I4956" s="130">
        <v>24</v>
      </c>
      <c r="J4956" t="s">
        <v>6580</v>
      </c>
      <c r="K4956" t="s">
        <v>108</v>
      </c>
      <c r="L4956" t="s">
        <v>1253</v>
      </c>
      <c r="M4956" t="s">
        <v>137</v>
      </c>
      <c r="N4956" t="s">
        <v>114</v>
      </c>
      <c r="O4956" t="s">
        <v>1256</v>
      </c>
    </row>
    <row r="4957" spans="1:15" x14ac:dyDescent="0.3">
      <c r="A4957" s="130">
        <v>25654</v>
      </c>
      <c r="B4957" s="130">
        <v>60</v>
      </c>
      <c r="C4957" s="130" t="s">
        <v>6581</v>
      </c>
      <c r="D4957">
        <v>39399</v>
      </c>
      <c r="E4957" s="130">
        <v>27462720</v>
      </c>
      <c r="F4957" t="s">
        <v>87</v>
      </c>
      <c r="G4957">
        <v>76</v>
      </c>
      <c r="H4957" t="s">
        <v>8953</v>
      </c>
      <c r="I4957" s="130">
        <v>26</v>
      </c>
      <c r="J4957" t="s">
        <v>6581</v>
      </c>
      <c r="K4957" t="s">
        <v>108</v>
      </c>
      <c r="L4957" t="s">
        <v>151</v>
      </c>
      <c r="M4957" t="s">
        <v>97</v>
      </c>
      <c r="N4957" t="s">
        <v>98</v>
      </c>
      <c r="O4957" t="s">
        <v>116</v>
      </c>
    </row>
    <row r="4958" spans="1:15" x14ac:dyDescent="0.3">
      <c r="A4958" s="130">
        <v>25655</v>
      </c>
      <c r="B4958" s="130">
        <v>21</v>
      </c>
      <c r="C4958" s="130" t="s">
        <v>6582</v>
      </c>
      <c r="D4958">
        <v>39400</v>
      </c>
      <c r="E4958" s="130">
        <v>5271198</v>
      </c>
      <c r="F4958" t="s">
        <v>87</v>
      </c>
      <c r="G4958">
        <v>76</v>
      </c>
      <c r="H4958" t="s">
        <v>8951</v>
      </c>
      <c r="I4958" s="130">
        <v>24</v>
      </c>
      <c r="J4958" t="s">
        <v>6582</v>
      </c>
      <c r="K4958" t="s">
        <v>108</v>
      </c>
      <c r="L4958" t="s">
        <v>191</v>
      </c>
      <c r="M4958" t="s">
        <v>137</v>
      </c>
      <c r="N4958" t="s">
        <v>114</v>
      </c>
      <c r="O4958" t="s">
        <v>1256</v>
      </c>
    </row>
    <row r="4959" spans="1:15" x14ac:dyDescent="0.3">
      <c r="A4959" s="130">
        <v>25657</v>
      </c>
      <c r="B4959" s="130">
        <v>21</v>
      </c>
      <c r="C4959" s="130" t="s">
        <v>6583</v>
      </c>
      <c r="D4959">
        <v>39404</v>
      </c>
      <c r="E4959" s="130">
        <v>45364824</v>
      </c>
      <c r="F4959" t="s">
        <v>113</v>
      </c>
      <c r="G4959">
        <v>76</v>
      </c>
      <c r="H4959" t="s">
        <v>8952</v>
      </c>
      <c r="I4959" s="131">
        <v>24</v>
      </c>
      <c r="J4959" t="s">
        <v>6583</v>
      </c>
      <c r="K4959" t="s">
        <v>108</v>
      </c>
      <c r="L4959" t="s">
        <v>240</v>
      </c>
      <c r="M4959" t="s">
        <v>137</v>
      </c>
      <c r="N4959" t="s">
        <v>101</v>
      </c>
      <c r="O4959" t="s">
        <v>1256</v>
      </c>
    </row>
    <row r="4960" spans="1:15" x14ac:dyDescent="0.3">
      <c r="A4960" s="130">
        <v>25658</v>
      </c>
      <c r="B4960" s="130">
        <v>0</v>
      </c>
      <c r="C4960" s="130" t="s">
        <v>6584</v>
      </c>
      <c r="D4960">
        <v>39405</v>
      </c>
      <c r="E4960" s="130">
        <v>13742401</v>
      </c>
      <c r="F4960" t="s">
        <v>87</v>
      </c>
      <c r="G4960">
        <v>76</v>
      </c>
      <c r="H4960" t="s">
        <v>8953</v>
      </c>
      <c r="I4960" s="131">
        <v>9</v>
      </c>
      <c r="J4960" t="s">
        <v>6584</v>
      </c>
      <c r="K4960" t="s">
        <v>95</v>
      </c>
      <c r="L4960" t="s">
        <v>163</v>
      </c>
      <c r="M4960" t="s">
        <v>100</v>
      </c>
      <c r="N4960" t="s">
        <v>132</v>
      </c>
      <c r="O4960" t="s">
        <v>1256</v>
      </c>
    </row>
    <row r="4961" spans="1:15" x14ac:dyDescent="0.3">
      <c r="A4961" s="130">
        <v>25660</v>
      </c>
      <c r="B4961" s="130">
        <v>30</v>
      </c>
      <c r="C4961" s="130" t="s">
        <v>6585</v>
      </c>
      <c r="D4961">
        <v>39406</v>
      </c>
      <c r="E4961" s="130">
        <v>8487549</v>
      </c>
      <c r="F4961" t="s">
        <v>87</v>
      </c>
      <c r="G4961">
        <v>76</v>
      </c>
      <c r="H4961" t="s">
        <v>8951</v>
      </c>
      <c r="I4961" s="130">
        <v>19</v>
      </c>
      <c r="J4961" t="s">
        <v>6585</v>
      </c>
      <c r="K4961" t="s">
        <v>108</v>
      </c>
      <c r="L4961" t="s">
        <v>252</v>
      </c>
      <c r="M4961" t="s">
        <v>103</v>
      </c>
      <c r="N4961" t="s">
        <v>98</v>
      </c>
      <c r="O4961" t="s">
        <v>1256</v>
      </c>
    </row>
    <row r="4962" spans="1:15" x14ac:dyDescent="0.3">
      <c r="A4962" s="130">
        <v>25661</v>
      </c>
      <c r="B4962" s="130">
        <v>21</v>
      </c>
      <c r="C4962" s="130" t="s">
        <v>6586</v>
      </c>
      <c r="D4962">
        <v>39407</v>
      </c>
      <c r="E4962" s="130">
        <v>4779058</v>
      </c>
      <c r="F4962" t="s">
        <v>113</v>
      </c>
      <c r="G4962">
        <v>76</v>
      </c>
      <c r="H4962" t="s">
        <v>8952</v>
      </c>
      <c r="I4962" s="131">
        <v>24</v>
      </c>
      <c r="J4962" t="s">
        <v>6586</v>
      </c>
      <c r="K4962" t="s">
        <v>108</v>
      </c>
      <c r="L4962" t="s">
        <v>191</v>
      </c>
      <c r="M4962" t="s">
        <v>137</v>
      </c>
      <c r="N4962" t="s">
        <v>124</v>
      </c>
      <c r="O4962" t="s">
        <v>1256</v>
      </c>
    </row>
    <row r="4963" spans="1:15" x14ac:dyDescent="0.3">
      <c r="A4963" s="130">
        <v>25667</v>
      </c>
      <c r="B4963" s="130">
        <v>28</v>
      </c>
      <c r="C4963" s="130" t="s">
        <v>6587</v>
      </c>
      <c r="D4963">
        <v>39415</v>
      </c>
      <c r="E4963" s="130">
        <v>11989750</v>
      </c>
      <c r="F4963" t="s">
        <v>87</v>
      </c>
      <c r="G4963">
        <v>76</v>
      </c>
      <c r="H4963" t="s">
        <v>8953</v>
      </c>
      <c r="I4963" s="130">
        <v>18</v>
      </c>
      <c r="J4963" t="s">
        <v>6587</v>
      </c>
      <c r="K4963" t="s">
        <v>95</v>
      </c>
      <c r="L4963" t="s">
        <v>253</v>
      </c>
      <c r="M4963" t="s">
        <v>130</v>
      </c>
      <c r="N4963" t="s">
        <v>169</v>
      </c>
      <c r="O4963" t="s">
        <v>1256</v>
      </c>
    </row>
    <row r="4964" spans="1:15" x14ac:dyDescent="0.3">
      <c r="A4964" s="130">
        <v>25668</v>
      </c>
      <c r="B4964" s="130">
        <v>21</v>
      </c>
      <c r="C4964" s="130" t="s">
        <v>6588</v>
      </c>
      <c r="D4964">
        <v>39416</v>
      </c>
      <c r="E4964" s="131">
        <v>39601584</v>
      </c>
      <c r="F4964" t="s">
        <v>113</v>
      </c>
      <c r="G4964">
        <v>76</v>
      </c>
      <c r="H4964" t="s">
        <v>8951</v>
      </c>
      <c r="I4964" s="131">
        <v>24</v>
      </c>
      <c r="J4964" t="s">
        <v>6588</v>
      </c>
      <c r="K4964" t="s">
        <v>108</v>
      </c>
      <c r="L4964" t="s">
        <v>240</v>
      </c>
      <c r="M4964" t="s">
        <v>137</v>
      </c>
      <c r="N4964" t="s">
        <v>114</v>
      </c>
      <c r="O4964" t="s">
        <v>1256</v>
      </c>
    </row>
    <row r="4965" spans="1:15" x14ac:dyDescent="0.3">
      <c r="A4965" s="130">
        <v>25670</v>
      </c>
      <c r="B4965" s="130">
        <v>28</v>
      </c>
      <c r="C4965" s="130" t="s">
        <v>6589</v>
      </c>
      <c r="D4965">
        <v>39409</v>
      </c>
      <c r="E4965" s="130">
        <v>48172600</v>
      </c>
      <c r="F4965" t="s">
        <v>113</v>
      </c>
      <c r="G4965">
        <v>76</v>
      </c>
      <c r="H4965" t="s">
        <v>8952</v>
      </c>
      <c r="I4965" s="130">
        <v>18</v>
      </c>
      <c r="J4965" t="s">
        <v>6589</v>
      </c>
      <c r="K4965" t="s">
        <v>108</v>
      </c>
      <c r="L4965" t="s">
        <v>253</v>
      </c>
      <c r="M4965" t="s">
        <v>130</v>
      </c>
      <c r="N4965" t="s">
        <v>98</v>
      </c>
      <c r="O4965" t="s">
        <v>1256</v>
      </c>
    </row>
    <row r="4966" spans="1:15" x14ac:dyDescent="0.3">
      <c r="A4966" s="130">
        <v>25671</v>
      </c>
      <c r="B4966" s="130">
        <v>28</v>
      </c>
      <c r="C4966" s="130" t="s">
        <v>6590</v>
      </c>
      <c r="D4966">
        <v>39419</v>
      </c>
      <c r="E4966" s="130">
        <v>10220039</v>
      </c>
      <c r="F4966" t="s">
        <v>87</v>
      </c>
      <c r="G4966">
        <v>76</v>
      </c>
      <c r="H4966" t="s">
        <v>8953</v>
      </c>
      <c r="I4966" s="130">
        <v>18</v>
      </c>
      <c r="J4966" t="s">
        <v>6590</v>
      </c>
      <c r="K4966" t="s">
        <v>95</v>
      </c>
      <c r="L4966" t="s">
        <v>253</v>
      </c>
      <c r="M4966" t="s">
        <v>130</v>
      </c>
      <c r="N4966" t="s">
        <v>98</v>
      </c>
      <c r="O4966" t="s">
        <v>1256</v>
      </c>
    </row>
    <row r="4967" spans="1:15" x14ac:dyDescent="0.3">
      <c r="A4967" s="130">
        <v>25672</v>
      </c>
      <c r="B4967" s="130">
        <v>21</v>
      </c>
      <c r="C4967" s="130" t="s">
        <v>6591</v>
      </c>
      <c r="D4967">
        <v>39420</v>
      </c>
      <c r="E4967" s="130">
        <v>55930630</v>
      </c>
      <c r="F4967" t="s">
        <v>113</v>
      </c>
      <c r="G4967">
        <v>76</v>
      </c>
      <c r="H4967" t="s">
        <v>8951</v>
      </c>
      <c r="I4967" s="130">
        <v>24</v>
      </c>
      <c r="J4967" t="s">
        <v>6591</v>
      </c>
      <c r="K4967" t="s">
        <v>108</v>
      </c>
      <c r="L4967" t="s">
        <v>191</v>
      </c>
      <c r="M4967" t="s">
        <v>137</v>
      </c>
      <c r="N4967" t="s">
        <v>98</v>
      </c>
      <c r="O4967" t="s">
        <v>1256</v>
      </c>
    </row>
    <row r="4968" spans="1:15" x14ac:dyDescent="0.3">
      <c r="A4968" s="130">
        <v>25673</v>
      </c>
      <c r="B4968" s="130">
        <v>21</v>
      </c>
      <c r="C4968" s="130" t="s">
        <v>6592</v>
      </c>
      <c r="D4968">
        <v>39423</v>
      </c>
      <c r="E4968" s="130">
        <v>44615216</v>
      </c>
      <c r="F4968" t="s">
        <v>113</v>
      </c>
      <c r="G4968">
        <v>76</v>
      </c>
      <c r="H4968" t="s">
        <v>8952</v>
      </c>
      <c r="I4968" s="130">
        <v>24</v>
      </c>
      <c r="J4968" t="s">
        <v>6592</v>
      </c>
      <c r="K4968" t="s">
        <v>108</v>
      </c>
      <c r="L4968" t="s">
        <v>240</v>
      </c>
      <c r="M4968" t="s">
        <v>137</v>
      </c>
      <c r="N4968" t="s">
        <v>101</v>
      </c>
      <c r="O4968" t="s">
        <v>1256</v>
      </c>
    </row>
    <row r="4969" spans="1:15" x14ac:dyDescent="0.3">
      <c r="A4969" s="130">
        <v>25674</v>
      </c>
      <c r="B4969" s="130">
        <v>28</v>
      </c>
      <c r="C4969" s="130" t="s">
        <v>6593</v>
      </c>
      <c r="D4969">
        <v>39351</v>
      </c>
      <c r="E4969" s="130">
        <v>35099027</v>
      </c>
      <c r="F4969" t="s">
        <v>87</v>
      </c>
      <c r="G4969">
        <v>76</v>
      </c>
      <c r="H4969" t="s">
        <v>8953</v>
      </c>
      <c r="I4969" s="130">
        <v>18</v>
      </c>
      <c r="J4969" t="s">
        <v>6593</v>
      </c>
      <c r="K4969" t="s">
        <v>108</v>
      </c>
      <c r="L4969" t="s">
        <v>253</v>
      </c>
      <c r="M4969" t="s">
        <v>130</v>
      </c>
      <c r="N4969" t="s">
        <v>98</v>
      </c>
      <c r="O4969" t="s">
        <v>1256</v>
      </c>
    </row>
    <row r="4970" spans="1:15" x14ac:dyDescent="0.3">
      <c r="A4970" s="130">
        <v>25676</v>
      </c>
      <c r="B4970" s="130">
        <v>21</v>
      </c>
      <c r="C4970" s="130" t="s">
        <v>6594</v>
      </c>
      <c r="D4970">
        <v>39425</v>
      </c>
      <c r="E4970" s="130">
        <v>15103354</v>
      </c>
      <c r="F4970" t="s">
        <v>87</v>
      </c>
      <c r="G4970">
        <v>76</v>
      </c>
      <c r="H4970" t="s">
        <v>8951</v>
      </c>
      <c r="I4970" s="131">
        <v>24</v>
      </c>
      <c r="J4970" t="s">
        <v>6594</v>
      </c>
      <c r="K4970" t="s">
        <v>108</v>
      </c>
      <c r="L4970" t="s">
        <v>240</v>
      </c>
      <c r="M4970" t="s">
        <v>137</v>
      </c>
      <c r="N4970" t="s">
        <v>124</v>
      </c>
      <c r="O4970" t="s">
        <v>1256</v>
      </c>
    </row>
    <row r="4971" spans="1:15" x14ac:dyDescent="0.3">
      <c r="A4971" s="130">
        <v>25677</v>
      </c>
      <c r="B4971" s="130">
        <v>30</v>
      </c>
      <c r="C4971" s="130" t="s">
        <v>6595</v>
      </c>
      <c r="D4971">
        <v>39431</v>
      </c>
      <c r="E4971" s="131">
        <v>52885089</v>
      </c>
      <c r="F4971" t="s">
        <v>87</v>
      </c>
      <c r="G4971">
        <v>76</v>
      </c>
      <c r="H4971" t="s">
        <v>8952</v>
      </c>
      <c r="I4971" s="130">
        <v>24</v>
      </c>
      <c r="J4971" t="s">
        <v>6595</v>
      </c>
      <c r="K4971" t="s">
        <v>95</v>
      </c>
      <c r="L4971" t="s">
        <v>191</v>
      </c>
      <c r="M4971" t="s">
        <v>103</v>
      </c>
      <c r="N4971" t="s">
        <v>98</v>
      </c>
      <c r="O4971" t="s">
        <v>116</v>
      </c>
    </row>
    <row r="4972" spans="1:15" x14ac:dyDescent="0.3">
      <c r="A4972" s="130">
        <v>25678</v>
      </c>
      <c r="B4972" s="130">
        <v>18</v>
      </c>
      <c r="C4972" s="130" t="s">
        <v>6596</v>
      </c>
      <c r="D4972">
        <v>39432</v>
      </c>
      <c r="E4972" s="130">
        <v>4606250</v>
      </c>
      <c r="F4972" t="s">
        <v>87</v>
      </c>
      <c r="G4972">
        <v>32947</v>
      </c>
      <c r="H4972" t="s">
        <v>8953</v>
      </c>
      <c r="I4972" s="130">
        <v>43</v>
      </c>
      <c r="J4972" t="s">
        <v>6596</v>
      </c>
      <c r="K4972" t="s">
        <v>95</v>
      </c>
      <c r="L4972" t="s">
        <v>1241</v>
      </c>
      <c r="M4972" t="s">
        <v>112</v>
      </c>
      <c r="N4972" t="s">
        <v>98</v>
      </c>
      <c r="O4972" t="s">
        <v>1256</v>
      </c>
    </row>
    <row r="4973" spans="1:15" x14ac:dyDescent="0.3">
      <c r="A4973" s="130">
        <v>25679</v>
      </c>
      <c r="B4973" s="130">
        <v>18</v>
      </c>
      <c r="C4973" s="130" t="s">
        <v>6597</v>
      </c>
      <c r="D4973">
        <v>39434</v>
      </c>
      <c r="E4973" s="131">
        <v>1294551</v>
      </c>
      <c r="F4973" t="s">
        <v>87</v>
      </c>
      <c r="G4973">
        <v>32947</v>
      </c>
      <c r="H4973" t="s">
        <v>8951</v>
      </c>
      <c r="I4973" s="130">
        <v>43</v>
      </c>
      <c r="J4973" t="s">
        <v>6597</v>
      </c>
      <c r="K4973" t="s">
        <v>108</v>
      </c>
      <c r="L4973" t="s">
        <v>1241</v>
      </c>
      <c r="M4973" t="s">
        <v>112</v>
      </c>
      <c r="N4973" t="s">
        <v>98</v>
      </c>
      <c r="O4973" t="s">
        <v>244</v>
      </c>
    </row>
    <row r="4974" spans="1:15" x14ac:dyDescent="0.3">
      <c r="A4974" s="130">
        <v>25683</v>
      </c>
      <c r="B4974" s="130">
        <v>28</v>
      </c>
      <c r="C4974" s="130" t="s">
        <v>6598</v>
      </c>
      <c r="D4974">
        <v>39206</v>
      </c>
      <c r="E4974" s="130">
        <v>3903633</v>
      </c>
      <c r="F4974" t="s">
        <v>113</v>
      </c>
      <c r="G4974">
        <v>76</v>
      </c>
      <c r="H4974" t="s">
        <v>8952</v>
      </c>
      <c r="I4974" s="130">
        <v>18</v>
      </c>
      <c r="J4974" t="s">
        <v>6598</v>
      </c>
      <c r="K4974" t="s">
        <v>108</v>
      </c>
      <c r="L4974" t="s">
        <v>253</v>
      </c>
      <c r="M4974" t="s">
        <v>130</v>
      </c>
      <c r="N4974" t="s">
        <v>98</v>
      </c>
      <c r="O4974" t="s">
        <v>1256</v>
      </c>
    </row>
    <row r="4975" spans="1:15" x14ac:dyDescent="0.3">
      <c r="A4975" s="130">
        <v>25685</v>
      </c>
      <c r="B4975" s="130">
        <v>21</v>
      </c>
      <c r="C4975" s="130" t="s">
        <v>6599</v>
      </c>
      <c r="D4975">
        <v>39440</v>
      </c>
      <c r="E4975" s="131">
        <v>45701800</v>
      </c>
      <c r="F4975" t="s">
        <v>113</v>
      </c>
      <c r="G4975">
        <v>76</v>
      </c>
      <c r="H4975" t="s">
        <v>8953</v>
      </c>
      <c r="I4975" s="131">
        <v>24</v>
      </c>
      <c r="J4975" t="s">
        <v>6599</v>
      </c>
      <c r="K4975" t="s">
        <v>108</v>
      </c>
      <c r="L4975" t="s">
        <v>240</v>
      </c>
      <c r="M4975" t="s">
        <v>137</v>
      </c>
      <c r="N4975" t="s">
        <v>114</v>
      </c>
      <c r="O4975" t="s">
        <v>1256</v>
      </c>
    </row>
    <row r="4976" spans="1:15" x14ac:dyDescent="0.3">
      <c r="A4976" s="130">
        <v>25687</v>
      </c>
      <c r="B4976" s="130">
        <v>30</v>
      </c>
      <c r="C4976" s="130" t="s">
        <v>6600</v>
      </c>
      <c r="D4976">
        <v>39442</v>
      </c>
      <c r="E4976" s="131">
        <v>34392465</v>
      </c>
      <c r="F4976" t="s">
        <v>87</v>
      </c>
      <c r="G4976">
        <v>76</v>
      </c>
      <c r="H4976" t="s">
        <v>8951</v>
      </c>
      <c r="I4976" s="131">
        <v>19</v>
      </c>
      <c r="J4976" t="s">
        <v>6600</v>
      </c>
      <c r="K4976" t="s">
        <v>108</v>
      </c>
      <c r="L4976" t="s">
        <v>252</v>
      </c>
      <c r="M4976" t="s">
        <v>103</v>
      </c>
      <c r="N4976" t="s">
        <v>98</v>
      </c>
      <c r="O4976" t="s">
        <v>116</v>
      </c>
    </row>
    <row r="4977" spans="1:15" x14ac:dyDescent="0.3">
      <c r="A4977" s="130">
        <v>25688</v>
      </c>
      <c r="B4977" s="130">
        <v>28</v>
      </c>
      <c r="C4977" s="130" t="s">
        <v>6601</v>
      </c>
      <c r="D4977">
        <v>39443</v>
      </c>
      <c r="E4977" s="131">
        <v>33461567</v>
      </c>
      <c r="F4977" t="s">
        <v>113</v>
      </c>
      <c r="G4977">
        <v>76</v>
      </c>
      <c r="H4977" t="s">
        <v>8952</v>
      </c>
      <c r="I4977" s="130">
        <v>18</v>
      </c>
      <c r="J4977" t="s">
        <v>6601</v>
      </c>
      <c r="K4977" t="s">
        <v>108</v>
      </c>
      <c r="L4977" t="s">
        <v>253</v>
      </c>
      <c r="M4977" t="s">
        <v>130</v>
      </c>
      <c r="N4977" t="s">
        <v>169</v>
      </c>
      <c r="O4977" t="s">
        <v>1256</v>
      </c>
    </row>
    <row r="4978" spans="1:15" x14ac:dyDescent="0.3">
      <c r="A4978" s="130">
        <v>25689</v>
      </c>
      <c r="B4978" s="130">
        <v>10</v>
      </c>
      <c r="C4978" s="130" t="s">
        <v>6602</v>
      </c>
      <c r="D4978">
        <v>39298</v>
      </c>
      <c r="E4978" s="131">
        <v>19235340</v>
      </c>
      <c r="F4978" t="s">
        <v>87</v>
      </c>
      <c r="G4978">
        <v>76</v>
      </c>
      <c r="H4978" t="s">
        <v>8953</v>
      </c>
      <c r="I4978" s="131">
        <v>3</v>
      </c>
      <c r="J4978" t="s">
        <v>6602</v>
      </c>
      <c r="K4978" t="s">
        <v>108</v>
      </c>
      <c r="L4978" t="s">
        <v>925</v>
      </c>
      <c r="M4978" t="s">
        <v>133</v>
      </c>
      <c r="N4978" t="s">
        <v>98</v>
      </c>
      <c r="O4978" t="s">
        <v>1256</v>
      </c>
    </row>
    <row r="4979" spans="1:15" x14ac:dyDescent="0.3">
      <c r="A4979" s="130">
        <v>25692</v>
      </c>
      <c r="B4979" s="130">
        <v>0</v>
      </c>
      <c r="C4979" s="130" t="s">
        <v>6603</v>
      </c>
      <c r="D4979">
        <v>38997</v>
      </c>
      <c r="E4979" s="131">
        <v>1661067</v>
      </c>
      <c r="F4979" t="s">
        <v>87</v>
      </c>
      <c r="G4979">
        <v>76</v>
      </c>
      <c r="H4979" t="s">
        <v>8951</v>
      </c>
      <c r="I4979" s="130">
        <v>24</v>
      </c>
      <c r="J4979" t="s">
        <v>6603</v>
      </c>
      <c r="K4979" t="s">
        <v>108</v>
      </c>
      <c r="L4979" t="s">
        <v>191</v>
      </c>
      <c r="M4979" t="s">
        <v>100</v>
      </c>
      <c r="N4979" t="s">
        <v>98</v>
      </c>
      <c r="O4979" t="s">
        <v>1256</v>
      </c>
    </row>
    <row r="4980" spans="1:15" x14ac:dyDescent="0.3">
      <c r="A4980" s="130">
        <v>25693</v>
      </c>
      <c r="B4980" s="130">
        <v>30</v>
      </c>
      <c r="C4980" s="130" t="s">
        <v>6604</v>
      </c>
      <c r="D4980">
        <v>39455</v>
      </c>
      <c r="E4980" s="130">
        <v>13623957</v>
      </c>
      <c r="F4980" t="s">
        <v>87</v>
      </c>
      <c r="G4980">
        <v>76</v>
      </c>
      <c r="H4980" t="s">
        <v>8952</v>
      </c>
      <c r="I4980" s="130">
        <v>18</v>
      </c>
      <c r="J4980" t="s">
        <v>6604</v>
      </c>
      <c r="K4980" t="s">
        <v>95</v>
      </c>
      <c r="L4980" t="s">
        <v>123</v>
      </c>
      <c r="M4980" t="s">
        <v>103</v>
      </c>
      <c r="N4980" t="s">
        <v>98</v>
      </c>
      <c r="O4980" t="s">
        <v>1256</v>
      </c>
    </row>
    <row r="4981" spans="1:15" x14ac:dyDescent="0.3">
      <c r="A4981" s="130">
        <v>25696</v>
      </c>
      <c r="B4981" s="130">
        <v>18</v>
      </c>
      <c r="C4981" s="130" t="s">
        <v>6605</v>
      </c>
      <c r="D4981">
        <v>39457</v>
      </c>
      <c r="E4981" s="131">
        <v>3353341</v>
      </c>
      <c r="F4981" t="s">
        <v>87</v>
      </c>
      <c r="G4981">
        <v>32947</v>
      </c>
      <c r="H4981" t="s">
        <v>8953</v>
      </c>
      <c r="I4981" s="131">
        <v>3</v>
      </c>
      <c r="J4981" t="s">
        <v>6605</v>
      </c>
      <c r="K4981" t="s">
        <v>95</v>
      </c>
      <c r="L4981" t="s">
        <v>193</v>
      </c>
      <c r="M4981" t="s">
        <v>112</v>
      </c>
      <c r="N4981" t="s">
        <v>98</v>
      </c>
      <c r="O4981" t="s">
        <v>116</v>
      </c>
    </row>
    <row r="4982" spans="1:15" x14ac:dyDescent="0.3">
      <c r="A4982" s="130">
        <v>25704</v>
      </c>
      <c r="B4982" s="130">
        <v>30</v>
      </c>
      <c r="C4982" s="130" t="s">
        <v>6606</v>
      </c>
      <c r="D4982">
        <v>39469</v>
      </c>
      <c r="E4982" s="130">
        <v>3852459</v>
      </c>
      <c r="F4982" t="s">
        <v>87</v>
      </c>
      <c r="G4982">
        <v>76</v>
      </c>
      <c r="H4982" t="s">
        <v>8951</v>
      </c>
      <c r="I4982" s="130">
        <v>24</v>
      </c>
      <c r="J4982" t="s">
        <v>6606</v>
      </c>
      <c r="K4982" t="s">
        <v>95</v>
      </c>
      <c r="L4982" t="s">
        <v>191</v>
      </c>
      <c r="M4982" t="s">
        <v>103</v>
      </c>
      <c r="N4982" t="s">
        <v>98</v>
      </c>
      <c r="O4982" t="s">
        <v>1256</v>
      </c>
    </row>
    <row r="4983" spans="1:15" x14ac:dyDescent="0.3">
      <c r="A4983" s="130">
        <v>25710</v>
      </c>
      <c r="B4983" s="130">
        <v>35</v>
      </c>
      <c r="C4983" s="130" t="s">
        <v>6607</v>
      </c>
      <c r="D4983">
        <v>39481</v>
      </c>
      <c r="E4983" s="131">
        <v>34390033</v>
      </c>
      <c r="F4983" t="s">
        <v>87</v>
      </c>
      <c r="G4983">
        <v>76</v>
      </c>
      <c r="H4983" t="s">
        <v>8952</v>
      </c>
      <c r="I4983" s="130">
        <v>24</v>
      </c>
      <c r="J4983" t="s">
        <v>6607</v>
      </c>
      <c r="K4983" t="s">
        <v>108</v>
      </c>
      <c r="L4983" t="s">
        <v>191</v>
      </c>
      <c r="M4983" t="s">
        <v>161</v>
      </c>
      <c r="O4983" t="s">
        <v>116</v>
      </c>
    </row>
    <row r="4984" spans="1:15" x14ac:dyDescent="0.3">
      <c r="A4984" s="130">
        <v>25712</v>
      </c>
      <c r="B4984" s="130">
        <v>0</v>
      </c>
      <c r="C4984" s="130" t="s">
        <v>6608</v>
      </c>
      <c r="D4984">
        <v>39485</v>
      </c>
      <c r="E4984" s="131">
        <v>24013278001800</v>
      </c>
      <c r="F4984" t="s">
        <v>87</v>
      </c>
      <c r="G4984">
        <v>76</v>
      </c>
      <c r="H4984" t="s">
        <v>8953</v>
      </c>
      <c r="I4984" s="131">
        <v>14</v>
      </c>
      <c r="J4984" t="s">
        <v>6608</v>
      </c>
      <c r="K4984" t="s">
        <v>108</v>
      </c>
      <c r="L4984" t="s">
        <v>240</v>
      </c>
      <c r="M4984" t="s">
        <v>154</v>
      </c>
      <c r="N4984" t="s">
        <v>98</v>
      </c>
      <c r="O4984" t="s">
        <v>1256</v>
      </c>
    </row>
    <row r="4985" spans="1:15" x14ac:dyDescent="0.3">
      <c r="A4985" s="130">
        <v>25713</v>
      </c>
      <c r="B4985" s="130">
        <v>0</v>
      </c>
      <c r="C4985" s="130" t="s">
        <v>6609</v>
      </c>
      <c r="D4985">
        <v>39486</v>
      </c>
      <c r="E4985" s="131">
        <v>24013278001800</v>
      </c>
      <c r="F4985" t="s">
        <v>87</v>
      </c>
      <c r="G4985">
        <v>76</v>
      </c>
      <c r="H4985" t="s">
        <v>8951</v>
      </c>
      <c r="I4985" s="131">
        <v>1</v>
      </c>
      <c r="J4985" t="s">
        <v>6609</v>
      </c>
      <c r="K4985" t="s">
        <v>108</v>
      </c>
      <c r="L4985" t="s">
        <v>240</v>
      </c>
      <c r="M4985" t="s">
        <v>100</v>
      </c>
      <c r="N4985" t="s">
        <v>98</v>
      </c>
      <c r="O4985" t="s">
        <v>1256</v>
      </c>
    </row>
    <row r="4986" spans="1:15" x14ac:dyDescent="0.3">
      <c r="A4986" s="130">
        <v>25716</v>
      </c>
      <c r="B4986" s="130">
        <v>21</v>
      </c>
      <c r="C4986" s="130" t="s">
        <v>6610</v>
      </c>
      <c r="D4986">
        <v>39492</v>
      </c>
      <c r="E4986" s="130">
        <v>41542832</v>
      </c>
      <c r="F4986" t="s">
        <v>113</v>
      </c>
      <c r="G4986">
        <v>76</v>
      </c>
      <c r="H4986" t="s">
        <v>8952</v>
      </c>
      <c r="I4986" s="130">
        <v>24</v>
      </c>
      <c r="J4986" t="s">
        <v>6610</v>
      </c>
      <c r="K4986" t="s">
        <v>108</v>
      </c>
      <c r="L4986" t="s">
        <v>1300</v>
      </c>
      <c r="M4986" t="s">
        <v>137</v>
      </c>
      <c r="N4986" t="s">
        <v>152</v>
      </c>
      <c r="O4986" t="s">
        <v>1256</v>
      </c>
    </row>
    <row r="4987" spans="1:15" x14ac:dyDescent="0.3">
      <c r="A4987" s="130">
        <v>25719</v>
      </c>
      <c r="B4987" s="130">
        <v>30</v>
      </c>
      <c r="C4987" s="130" t="s">
        <v>6611</v>
      </c>
      <c r="D4987">
        <v>39495</v>
      </c>
      <c r="E4987" s="130">
        <v>41333691</v>
      </c>
      <c r="F4987" t="s">
        <v>87</v>
      </c>
      <c r="G4987">
        <v>32947</v>
      </c>
      <c r="H4987" t="s">
        <v>8953</v>
      </c>
      <c r="I4987" s="130">
        <v>3</v>
      </c>
      <c r="J4987" t="s">
        <v>6611</v>
      </c>
      <c r="K4987" t="s">
        <v>108</v>
      </c>
      <c r="L4987" t="s">
        <v>193</v>
      </c>
      <c r="M4987" t="s">
        <v>103</v>
      </c>
      <c r="N4987" t="s">
        <v>98</v>
      </c>
      <c r="O4987" t="s">
        <v>116</v>
      </c>
    </row>
    <row r="4988" spans="1:15" x14ac:dyDescent="0.3">
      <c r="A4988" s="130">
        <v>25722</v>
      </c>
      <c r="B4988" s="130">
        <v>21</v>
      </c>
      <c r="C4988" s="130" t="s">
        <v>6612</v>
      </c>
      <c r="D4988">
        <v>39499</v>
      </c>
      <c r="E4988" s="130">
        <v>10394422</v>
      </c>
      <c r="F4988" t="s">
        <v>87</v>
      </c>
      <c r="G4988">
        <v>76</v>
      </c>
      <c r="H4988" t="s">
        <v>8951</v>
      </c>
      <c r="I4988" s="130">
        <v>24</v>
      </c>
      <c r="J4988" t="s">
        <v>6612</v>
      </c>
      <c r="K4988" t="s">
        <v>108</v>
      </c>
      <c r="L4988" t="s">
        <v>191</v>
      </c>
      <c r="M4988" t="s">
        <v>137</v>
      </c>
      <c r="N4988" t="s">
        <v>114</v>
      </c>
      <c r="O4988" t="s">
        <v>1256</v>
      </c>
    </row>
    <row r="4989" spans="1:15" x14ac:dyDescent="0.3">
      <c r="A4989" s="130">
        <v>25725</v>
      </c>
      <c r="B4989" s="130">
        <v>30</v>
      </c>
      <c r="C4989" s="130" t="s">
        <v>6613</v>
      </c>
      <c r="D4989">
        <v>39507</v>
      </c>
      <c r="E4989" s="131">
        <v>82502196</v>
      </c>
      <c r="F4989" t="s">
        <v>87</v>
      </c>
      <c r="G4989">
        <v>76</v>
      </c>
      <c r="H4989" t="s">
        <v>8952</v>
      </c>
      <c r="I4989" s="130">
        <v>10</v>
      </c>
      <c r="J4989" t="s">
        <v>6613</v>
      </c>
      <c r="K4989" t="s">
        <v>95</v>
      </c>
      <c r="L4989" t="s">
        <v>127</v>
      </c>
      <c r="M4989" t="s">
        <v>103</v>
      </c>
      <c r="N4989" t="s">
        <v>118</v>
      </c>
      <c r="O4989" t="s">
        <v>116</v>
      </c>
    </row>
    <row r="4990" spans="1:15" x14ac:dyDescent="0.3">
      <c r="A4990" s="130">
        <v>25727</v>
      </c>
      <c r="B4990" s="130">
        <v>21</v>
      </c>
      <c r="C4990" s="130" t="s">
        <v>6614</v>
      </c>
      <c r="D4990">
        <v>39509</v>
      </c>
      <c r="E4990" s="130">
        <v>9538989</v>
      </c>
      <c r="F4990" t="s">
        <v>87</v>
      </c>
      <c r="G4990">
        <v>76</v>
      </c>
      <c r="H4990" t="s">
        <v>8953</v>
      </c>
      <c r="I4990" s="130">
        <v>24</v>
      </c>
      <c r="J4990" t="s">
        <v>6614</v>
      </c>
      <c r="K4990" t="s">
        <v>108</v>
      </c>
      <c r="L4990" t="s">
        <v>191</v>
      </c>
      <c r="M4990" t="s">
        <v>137</v>
      </c>
      <c r="N4990" t="s">
        <v>114</v>
      </c>
      <c r="O4990" t="s">
        <v>1256</v>
      </c>
    </row>
    <row r="4991" spans="1:15" x14ac:dyDescent="0.3">
      <c r="A4991" s="130">
        <v>25729</v>
      </c>
      <c r="B4991" s="130">
        <v>21</v>
      </c>
      <c r="C4991" s="130" t="s">
        <v>6615</v>
      </c>
      <c r="D4991">
        <v>39513</v>
      </c>
      <c r="E4991" s="130">
        <v>40413441</v>
      </c>
      <c r="F4991" t="s">
        <v>113</v>
      </c>
      <c r="G4991">
        <v>76</v>
      </c>
      <c r="H4991" t="s">
        <v>8951</v>
      </c>
      <c r="I4991" s="131">
        <v>24</v>
      </c>
      <c r="J4991" t="s">
        <v>6615</v>
      </c>
      <c r="K4991" t="s">
        <v>108</v>
      </c>
      <c r="L4991" t="s">
        <v>191</v>
      </c>
      <c r="M4991" t="s">
        <v>137</v>
      </c>
      <c r="N4991" t="s">
        <v>150</v>
      </c>
      <c r="O4991" t="s">
        <v>1256</v>
      </c>
    </row>
    <row r="4992" spans="1:15" x14ac:dyDescent="0.3">
      <c r="A4992" s="130">
        <v>25731</v>
      </c>
      <c r="B4992" s="130">
        <v>28</v>
      </c>
      <c r="C4992" s="130" t="s">
        <v>6616</v>
      </c>
      <c r="D4992">
        <v>39516</v>
      </c>
      <c r="E4992" s="130">
        <v>48691363</v>
      </c>
      <c r="F4992" t="s">
        <v>87</v>
      </c>
      <c r="G4992">
        <v>76</v>
      </c>
      <c r="H4992" t="s">
        <v>8952</v>
      </c>
      <c r="I4992" s="130">
        <v>37</v>
      </c>
      <c r="J4992" t="s">
        <v>6616</v>
      </c>
      <c r="K4992" t="s">
        <v>95</v>
      </c>
      <c r="L4992" t="s">
        <v>138</v>
      </c>
      <c r="M4992" t="s">
        <v>130</v>
      </c>
      <c r="N4992" t="s">
        <v>150</v>
      </c>
      <c r="O4992" t="s">
        <v>116</v>
      </c>
    </row>
    <row r="4993" spans="1:15" x14ac:dyDescent="0.3">
      <c r="A4993" s="130">
        <v>25732</v>
      </c>
      <c r="B4993" s="130">
        <v>30</v>
      </c>
      <c r="C4993" s="130" t="s">
        <v>6617</v>
      </c>
      <c r="D4993">
        <v>39518</v>
      </c>
      <c r="E4993" s="130">
        <v>61064838</v>
      </c>
      <c r="F4993" t="s">
        <v>87</v>
      </c>
      <c r="G4993">
        <v>76</v>
      </c>
      <c r="H4993" t="s">
        <v>8953</v>
      </c>
      <c r="I4993" s="130">
        <v>38</v>
      </c>
      <c r="J4993" t="s">
        <v>6617</v>
      </c>
      <c r="K4993" t="s">
        <v>108</v>
      </c>
      <c r="L4993" t="s">
        <v>126</v>
      </c>
      <c r="M4993" t="s">
        <v>103</v>
      </c>
      <c r="N4993" t="s">
        <v>98</v>
      </c>
      <c r="O4993" t="s">
        <v>116</v>
      </c>
    </row>
    <row r="4994" spans="1:15" x14ac:dyDescent="0.3">
      <c r="A4994" s="130">
        <v>25735</v>
      </c>
      <c r="B4994" s="130">
        <v>0</v>
      </c>
      <c r="C4994" s="130" t="s">
        <v>6618</v>
      </c>
      <c r="D4994">
        <v>39522</v>
      </c>
      <c r="E4994" s="130">
        <v>2119258</v>
      </c>
      <c r="F4994" t="s">
        <v>113</v>
      </c>
      <c r="G4994">
        <v>32947</v>
      </c>
      <c r="H4994" t="s">
        <v>8951</v>
      </c>
      <c r="I4994" s="131">
        <v>43</v>
      </c>
      <c r="J4994" t="s">
        <v>6618</v>
      </c>
      <c r="K4994" t="s">
        <v>108</v>
      </c>
      <c r="L4994" t="s">
        <v>1241</v>
      </c>
      <c r="M4994" t="s">
        <v>100</v>
      </c>
      <c r="N4994" t="s">
        <v>114</v>
      </c>
      <c r="O4994" t="s">
        <v>1256</v>
      </c>
    </row>
    <row r="4995" spans="1:15" x14ac:dyDescent="0.3">
      <c r="A4995" s="130">
        <v>25736</v>
      </c>
      <c r="B4995" s="130">
        <v>-1</v>
      </c>
      <c r="C4995" s="130" t="s">
        <v>6619</v>
      </c>
      <c r="D4995">
        <v>39523</v>
      </c>
      <c r="E4995" s="130">
        <v>18252862</v>
      </c>
      <c r="F4995" t="s">
        <v>87</v>
      </c>
      <c r="G4995">
        <v>32947</v>
      </c>
      <c r="H4995" t="s">
        <v>8952</v>
      </c>
      <c r="I4995" s="131">
        <v>19</v>
      </c>
      <c r="J4995" t="s">
        <v>6619</v>
      </c>
      <c r="K4995" t="s">
        <v>108</v>
      </c>
      <c r="L4995" t="s">
        <v>252</v>
      </c>
      <c r="M4995" t="s">
        <v>174</v>
      </c>
      <c r="N4995" t="s">
        <v>98</v>
      </c>
      <c r="O4995" t="s">
        <v>116</v>
      </c>
    </row>
    <row r="4996" spans="1:15" x14ac:dyDescent="0.3">
      <c r="A4996" s="130">
        <v>25740</v>
      </c>
      <c r="B4996" s="130">
        <v>21</v>
      </c>
      <c r="C4996" s="130" t="s">
        <v>6620</v>
      </c>
      <c r="D4996">
        <v>39484</v>
      </c>
      <c r="E4996" s="131">
        <v>13789855</v>
      </c>
      <c r="F4996" t="s">
        <v>113</v>
      </c>
      <c r="G4996">
        <v>76</v>
      </c>
      <c r="H4996" t="s">
        <v>8953</v>
      </c>
      <c r="I4996" s="131">
        <v>24</v>
      </c>
      <c r="J4996" t="s">
        <v>6620</v>
      </c>
      <c r="K4996" t="s">
        <v>108</v>
      </c>
      <c r="L4996" t="s">
        <v>240</v>
      </c>
      <c r="M4996" t="s">
        <v>137</v>
      </c>
      <c r="N4996" t="s">
        <v>98</v>
      </c>
      <c r="O4996" t="s">
        <v>1256</v>
      </c>
    </row>
    <row r="4997" spans="1:15" x14ac:dyDescent="0.3">
      <c r="A4997" s="130">
        <v>25742</v>
      </c>
      <c r="B4997" s="130">
        <v>10</v>
      </c>
      <c r="C4997" s="130" t="s">
        <v>6621</v>
      </c>
      <c r="D4997">
        <v>39531</v>
      </c>
      <c r="E4997" s="130">
        <v>28994259</v>
      </c>
      <c r="F4997" t="s">
        <v>87</v>
      </c>
      <c r="G4997">
        <v>32947</v>
      </c>
      <c r="H4997" t="s">
        <v>8951</v>
      </c>
      <c r="I4997" s="131">
        <v>43</v>
      </c>
      <c r="J4997" t="s">
        <v>6621</v>
      </c>
      <c r="K4997" t="s">
        <v>108</v>
      </c>
      <c r="L4997" t="s">
        <v>1241</v>
      </c>
      <c r="M4997" t="s">
        <v>133</v>
      </c>
      <c r="N4997" t="s">
        <v>98</v>
      </c>
      <c r="O4997" t="s">
        <v>1256</v>
      </c>
    </row>
    <row r="4998" spans="1:15" x14ac:dyDescent="0.3">
      <c r="A4998" s="130">
        <v>25744</v>
      </c>
      <c r="B4998" s="130">
        <v>30</v>
      </c>
      <c r="C4998" s="130" t="s">
        <v>6622</v>
      </c>
      <c r="D4998">
        <v>39539</v>
      </c>
      <c r="E4998" s="131">
        <v>1595865</v>
      </c>
      <c r="F4998" t="s">
        <v>87</v>
      </c>
      <c r="G4998">
        <v>76</v>
      </c>
      <c r="H4998" t="s">
        <v>8952</v>
      </c>
      <c r="I4998" s="131">
        <v>18</v>
      </c>
      <c r="J4998" t="s">
        <v>6622</v>
      </c>
      <c r="K4998" t="s">
        <v>108</v>
      </c>
      <c r="L4998" t="s">
        <v>123</v>
      </c>
      <c r="M4998" t="s">
        <v>103</v>
      </c>
      <c r="N4998" t="s">
        <v>98</v>
      </c>
      <c r="O4998" t="s">
        <v>1256</v>
      </c>
    </row>
    <row r="4999" spans="1:15" x14ac:dyDescent="0.3">
      <c r="A4999" s="130">
        <v>25746</v>
      </c>
      <c r="B4999" s="130">
        <v>30</v>
      </c>
      <c r="C4999" s="130" t="s">
        <v>6623</v>
      </c>
      <c r="D4999">
        <v>39543</v>
      </c>
      <c r="E4999" s="131">
        <v>13623957</v>
      </c>
      <c r="F4999" t="s">
        <v>87</v>
      </c>
      <c r="G4999">
        <v>76</v>
      </c>
      <c r="H4999" t="s">
        <v>8953</v>
      </c>
      <c r="I4999" s="130">
        <v>3</v>
      </c>
      <c r="J4999" t="s">
        <v>6623</v>
      </c>
      <c r="K4999" t="s">
        <v>95</v>
      </c>
      <c r="L4999" t="s">
        <v>123</v>
      </c>
      <c r="M4999" t="s">
        <v>103</v>
      </c>
      <c r="N4999" t="s">
        <v>98</v>
      </c>
      <c r="O4999" t="s">
        <v>1256</v>
      </c>
    </row>
    <row r="5000" spans="1:15" x14ac:dyDescent="0.3">
      <c r="A5000" s="130">
        <v>25747</v>
      </c>
      <c r="B5000" s="130">
        <v>30</v>
      </c>
      <c r="C5000" s="130" t="s">
        <v>6624</v>
      </c>
      <c r="D5000">
        <v>39545</v>
      </c>
      <c r="E5000" s="131">
        <v>8217851</v>
      </c>
      <c r="F5000" t="s">
        <v>87</v>
      </c>
      <c r="G5000">
        <v>76</v>
      </c>
      <c r="H5000" t="s">
        <v>8951</v>
      </c>
      <c r="I5000" s="130">
        <v>18</v>
      </c>
      <c r="J5000" t="s">
        <v>6624</v>
      </c>
      <c r="K5000" t="s">
        <v>108</v>
      </c>
      <c r="L5000" t="s">
        <v>123</v>
      </c>
      <c r="M5000" t="s">
        <v>103</v>
      </c>
      <c r="N5000" t="s">
        <v>98</v>
      </c>
      <c r="O5000" t="s">
        <v>1256</v>
      </c>
    </row>
    <row r="5001" spans="1:15" x14ac:dyDescent="0.3">
      <c r="A5001" s="130">
        <v>25748</v>
      </c>
      <c r="C5001" s="130" t="s">
        <v>6625</v>
      </c>
      <c r="D5001">
        <v>39546</v>
      </c>
      <c r="E5001" s="131">
        <v>46325254</v>
      </c>
      <c r="F5001" t="s">
        <v>87</v>
      </c>
      <c r="G5001">
        <v>76</v>
      </c>
      <c r="H5001" t="s">
        <v>8952</v>
      </c>
      <c r="I5001" s="131">
        <v>1</v>
      </c>
      <c r="J5001" t="s">
        <v>6625</v>
      </c>
      <c r="K5001" t="s">
        <v>95</v>
      </c>
      <c r="L5001" t="s">
        <v>1253</v>
      </c>
      <c r="N5001" t="s">
        <v>114</v>
      </c>
      <c r="O5001" t="s">
        <v>1256</v>
      </c>
    </row>
    <row r="5002" spans="1:15" x14ac:dyDescent="0.3">
      <c r="A5002" s="130">
        <v>25750</v>
      </c>
      <c r="B5002" s="130">
        <v>30</v>
      </c>
      <c r="C5002" s="130" t="s">
        <v>6626</v>
      </c>
      <c r="D5002">
        <v>39547</v>
      </c>
      <c r="E5002" s="130">
        <v>46325254</v>
      </c>
      <c r="F5002" t="s">
        <v>87</v>
      </c>
      <c r="G5002">
        <v>76</v>
      </c>
      <c r="H5002" t="s">
        <v>8953</v>
      </c>
      <c r="I5002" s="131">
        <v>24</v>
      </c>
      <c r="J5002" t="s">
        <v>6626</v>
      </c>
      <c r="K5002" t="s">
        <v>95</v>
      </c>
      <c r="L5002" t="s">
        <v>1253</v>
      </c>
      <c r="M5002" t="s">
        <v>103</v>
      </c>
      <c r="N5002" t="s">
        <v>114</v>
      </c>
      <c r="O5002" t="s">
        <v>1256</v>
      </c>
    </row>
    <row r="5003" spans="1:15" x14ac:dyDescent="0.3">
      <c r="A5003" s="130">
        <v>25751</v>
      </c>
      <c r="B5003" s="130">
        <v>21</v>
      </c>
      <c r="C5003" s="130" t="s">
        <v>6627</v>
      </c>
      <c r="D5003">
        <v>39553</v>
      </c>
      <c r="E5003" s="130">
        <v>2624956</v>
      </c>
      <c r="F5003" t="s">
        <v>87</v>
      </c>
      <c r="G5003">
        <v>76</v>
      </c>
      <c r="H5003" t="s">
        <v>8951</v>
      </c>
      <c r="I5003" s="131">
        <v>24</v>
      </c>
      <c r="J5003" t="s">
        <v>6627</v>
      </c>
      <c r="K5003" t="s">
        <v>108</v>
      </c>
      <c r="L5003" t="s">
        <v>191</v>
      </c>
      <c r="M5003" t="s">
        <v>137</v>
      </c>
      <c r="N5003" t="s">
        <v>114</v>
      </c>
      <c r="O5003" t="s">
        <v>1256</v>
      </c>
    </row>
    <row r="5004" spans="1:15" x14ac:dyDescent="0.3">
      <c r="A5004" s="130">
        <v>25752</v>
      </c>
      <c r="B5004" s="130">
        <v>21</v>
      </c>
      <c r="C5004" s="130" t="s">
        <v>6628</v>
      </c>
      <c r="D5004">
        <v>39558</v>
      </c>
      <c r="E5004" s="130">
        <v>27675444</v>
      </c>
      <c r="F5004" t="s">
        <v>113</v>
      </c>
      <c r="G5004">
        <v>76</v>
      </c>
      <c r="H5004" t="s">
        <v>8952</v>
      </c>
      <c r="I5004" s="130">
        <v>24</v>
      </c>
      <c r="J5004" t="s">
        <v>6628</v>
      </c>
      <c r="K5004" t="s">
        <v>108</v>
      </c>
      <c r="L5004" t="s">
        <v>240</v>
      </c>
      <c r="M5004" t="s">
        <v>137</v>
      </c>
      <c r="N5004" t="s">
        <v>114</v>
      </c>
      <c r="O5004" t="s">
        <v>1256</v>
      </c>
    </row>
    <row r="5005" spans="1:15" x14ac:dyDescent="0.3">
      <c r="A5005" s="130">
        <v>25754</v>
      </c>
      <c r="B5005" s="130">
        <v>30</v>
      </c>
      <c r="C5005" s="130" t="s">
        <v>6629</v>
      </c>
      <c r="D5005">
        <v>39561</v>
      </c>
      <c r="E5005" s="130">
        <v>24876406</v>
      </c>
      <c r="F5005" t="s">
        <v>87</v>
      </c>
      <c r="G5005">
        <v>32947</v>
      </c>
      <c r="H5005" t="s">
        <v>8953</v>
      </c>
      <c r="I5005" s="131">
        <v>3</v>
      </c>
      <c r="J5005" t="s">
        <v>6629</v>
      </c>
      <c r="K5005" t="s">
        <v>108</v>
      </c>
      <c r="L5005" t="s">
        <v>109</v>
      </c>
      <c r="M5005" t="s">
        <v>103</v>
      </c>
      <c r="N5005" t="s">
        <v>98</v>
      </c>
      <c r="O5005" t="s">
        <v>1256</v>
      </c>
    </row>
    <row r="5006" spans="1:15" x14ac:dyDescent="0.3">
      <c r="A5006" s="130">
        <v>25755</v>
      </c>
      <c r="B5006" s="130">
        <v>30</v>
      </c>
      <c r="C5006" s="130" t="s">
        <v>6630</v>
      </c>
      <c r="D5006">
        <v>39563</v>
      </c>
      <c r="E5006" s="131">
        <v>53563192</v>
      </c>
      <c r="F5006" t="s">
        <v>87</v>
      </c>
      <c r="G5006">
        <v>76</v>
      </c>
      <c r="H5006" t="s">
        <v>8951</v>
      </c>
      <c r="I5006" s="130">
        <v>43</v>
      </c>
      <c r="J5006" t="s">
        <v>6630</v>
      </c>
      <c r="K5006" t="s">
        <v>95</v>
      </c>
      <c r="L5006" t="s">
        <v>111</v>
      </c>
      <c r="M5006" t="s">
        <v>103</v>
      </c>
      <c r="N5006" t="s">
        <v>98</v>
      </c>
      <c r="O5006" t="s">
        <v>116</v>
      </c>
    </row>
    <row r="5007" spans="1:15" x14ac:dyDescent="0.3">
      <c r="A5007" s="130">
        <v>25758</v>
      </c>
      <c r="B5007" s="130">
        <v>15</v>
      </c>
      <c r="C5007" s="130" t="s">
        <v>6631</v>
      </c>
      <c r="D5007">
        <v>39566</v>
      </c>
      <c r="E5007" s="130">
        <v>52480015</v>
      </c>
      <c r="F5007" t="s">
        <v>87</v>
      </c>
      <c r="G5007">
        <v>76</v>
      </c>
      <c r="H5007" t="s">
        <v>8952</v>
      </c>
      <c r="I5007" s="130">
        <v>24</v>
      </c>
      <c r="J5007" t="s">
        <v>6631</v>
      </c>
      <c r="K5007" t="s">
        <v>95</v>
      </c>
      <c r="L5007" t="s">
        <v>240</v>
      </c>
      <c r="M5007" t="s">
        <v>145</v>
      </c>
      <c r="N5007" t="s">
        <v>98</v>
      </c>
      <c r="O5007" t="s">
        <v>244</v>
      </c>
    </row>
    <row r="5008" spans="1:15" x14ac:dyDescent="0.3">
      <c r="A5008" s="130">
        <v>25767</v>
      </c>
      <c r="B5008" s="130">
        <v>15</v>
      </c>
      <c r="C5008" s="130" t="s">
        <v>6632</v>
      </c>
      <c r="D5008">
        <v>39575</v>
      </c>
      <c r="E5008" s="131">
        <v>2406691</v>
      </c>
      <c r="F5008" t="s">
        <v>87</v>
      </c>
      <c r="G5008">
        <v>76</v>
      </c>
      <c r="H5008" t="s">
        <v>8953</v>
      </c>
      <c r="I5008" s="130">
        <v>24</v>
      </c>
      <c r="J5008" t="s">
        <v>6632</v>
      </c>
      <c r="K5008" t="s">
        <v>108</v>
      </c>
      <c r="L5008" t="s">
        <v>240</v>
      </c>
      <c r="M5008" t="s">
        <v>145</v>
      </c>
      <c r="N5008" t="s">
        <v>98</v>
      </c>
      <c r="O5008" t="s">
        <v>1256</v>
      </c>
    </row>
    <row r="5009" spans="1:15" x14ac:dyDescent="0.3">
      <c r="A5009" s="130">
        <v>25768</v>
      </c>
      <c r="B5009" s="130">
        <v>10</v>
      </c>
      <c r="C5009" s="130" t="s">
        <v>6633</v>
      </c>
      <c r="D5009">
        <v>39576</v>
      </c>
      <c r="E5009" s="130">
        <v>20346524</v>
      </c>
      <c r="F5009" t="s">
        <v>87</v>
      </c>
      <c r="G5009">
        <v>77</v>
      </c>
      <c r="H5009" t="s">
        <v>8951</v>
      </c>
      <c r="I5009" s="130">
        <v>3</v>
      </c>
      <c r="J5009" t="s">
        <v>6633</v>
      </c>
      <c r="K5009" t="s">
        <v>95</v>
      </c>
      <c r="L5009" t="s">
        <v>117</v>
      </c>
      <c r="M5009" t="s">
        <v>133</v>
      </c>
      <c r="N5009" t="s">
        <v>118</v>
      </c>
      <c r="O5009" t="s">
        <v>116</v>
      </c>
    </row>
    <row r="5010" spans="1:15" x14ac:dyDescent="0.3">
      <c r="A5010" s="130">
        <v>25769</v>
      </c>
      <c r="B5010" s="130">
        <v>35</v>
      </c>
      <c r="C5010" s="130" t="s">
        <v>6634</v>
      </c>
      <c r="D5010">
        <v>39577</v>
      </c>
      <c r="E5010" s="130">
        <v>37749117</v>
      </c>
      <c r="F5010" t="s">
        <v>87</v>
      </c>
      <c r="G5010">
        <v>76</v>
      </c>
      <c r="H5010" t="s">
        <v>8952</v>
      </c>
      <c r="I5010" s="130">
        <v>24</v>
      </c>
      <c r="J5010" t="s">
        <v>6634</v>
      </c>
      <c r="K5010" t="s">
        <v>108</v>
      </c>
      <c r="L5010" t="s">
        <v>191</v>
      </c>
      <c r="M5010" t="s">
        <v>161</v>
      </c>
      <c r="N5010" t="s">
        <v>98</v>
      </c>
      <c r="O5010" t="s">
        <v>1256</v>
      </c>
    </row>
    <row r="5011" spans="1:15" x14ac:dyDescent="0.3">
      <c r="A5011" s="130">
        <v>25771</v>
      </c>
      <c r="B5011" s="130">
        <v>21</v>
      </c>
      <c r="C5011" s="130" t="s">
        <v>6635</v>
      </c>
      <c r="D5011">
        <v>39579</v>
      </c>
      <c r="E5011" s="130">
        <v>4824051</v>
      </c>
      <c r="F5011" t="s">
        <v>87</v>
      </c>
      <c r="G5011">
        <v>76</v>
      </c>
      <c r="H5011" t="s">
        <v>8953</v>
      </c>
      <c r="I5011" s="131">
        <v>24</v>
      </c>
      <c r="J5011" t="s">
        <v>6635</v>
      </c>
      <c r="K5011" t="s">
        <v>108</v>
      </c>
      <c r="L5011" t="s">
        <v>240</v>
      </c>
      <c r="M5011" t="s">
        <v>137</v>
      </c>
      <c r="N5011" t="s">
        <v>98</v>
      </c>
      <c r="O5011" t="s">
        <v>1256</v>
      </c>
    </row>
    <row r="5012" spans="1:15" x14ac:dyDescent="0.3">
      <c r="A5012" s="130">
        <v>25772</v>
      </c>
      <c r="B5012" s="130">
        <v>21</v>
      </c>
      <c r="C5012" s="130" t="s">
        <v>6636</v>
      </c>
      <c r="D5012">
        <v>39582</v>
      </c>
      <c r="E5012" s="130">
        <v>2580316</v>
      </c>
      <c r="F5012" t="s">
        <v>87</v>
      </c>
      <c r="G5012">
        <v>76</v>
      </c>
      <c r="H5012" t="s">
        <v>8951</v>
      </c>
      <c r="I5012" s="131">
        <v>24</v>
      </c>
      <c r="J5012" t="s">
        <v>6636</v>
      </c>
      <c r="K5012" t="s">
        <v>108</v>
      </c>
      <c r="L5012" t="s">
        <v>191</v>
      </c>
      <c r="M5012" t="s">
        <v>137</v>
      </c>
      <c r="N5012" t="s">
        <v>152</v>
      </c>
      <c r="O5012" t="s">
        <v>116</v>
      </c>
    </row>
    <row r="5013" spans="1:15" x14ac:dyDescent="0.3">
      <c r="A5013" s="130">
        <v>25774</v>
      </c>
      <c r="B5013" s="130">
        <v>21</v>
      </c>
      <c r="C5013" s="130" t="s">
        <v>6637</v>
      </c>
      <c r="D5013">
        <v>39587</v>
      </c>
      <c r="E5013" s="130">
        <v>17861817</v>
      </c>
      <c r="F5013" t="s">
        <v>113</v>
      </c>
      <c r="G5013">
        <v>76</v>
      </c>
      <c r="H5013" t="s">
        <v>8952</v>
      </c>
      <c r="I5013" s="130">
        <v>24</v>
      </c>
      <c r="J5013" t="s">
        <v>6637</v>
      </c>
      <c r="K5013" t="s">
        <v>108</v>
      </c>
      <c r="L5013" t="s">
        <v>191</v>
      </c>
      <c r="M5013" t="s">
        <v>137</v>
      </c>
      <c r="N5013" t="s">
        <v>98</v>
      </c>
      <c r="O5013" t="s">
        <v>1256</v>
      </c>
    </row>
    <row r="5014" spans="1:15" x14ac:dyDescent="0.3">
      <c r="A5014" s="130">
        <v>25777</v>
      </c>
      <c r="B5014" s="130">
        <v>30</v>
      </c>
      <c r="C5014" s="130" t="s">
        <v>6638</v>
      </c>
      <c r="D5014">
        <v>39594</v>
      </c>
      <c r="E5014" s="130">
        <v>24957931</v>
      </c>
      <c r="F5014" t="s">
        <v>113</v>
      </c>
      <c r="G5014">
        <v>76</v>
      </c>
      <c r="H5014" t="s">
        <v>8953</v>
      </c>
      <c r="I5014" s="130">
        <v>18</v>
      </c>
      <c r="J5014" t="s">
        <v>6638</v>
      </c>
      <c r="K5014" t="s">
        <v>108</v>
      </c>
      <c r="L5014" t="s">
        <v>123</v>
      </c>
      <c r="M5014" t="s">
        <v>103</v>
      </c>
      <c r="N5014" t="s">
        <v>98</v>
      </c>
      <c r="O5014" t="s">
        <v>1256</v>
      </c>
    </row>
    <row r="5015" spans="1:15" x14ac:dyDescent="0.3">
      <c r="A5015" s="130">
        <v>25778</v>
      </c>
      <c r="B5015" s="130">
        <v>30</v>
      </c>
      <c r="C5015" s="130" t="s">
        <v>6639</v>
      </c>
      <c r="D5015">
        <v>39596</v>
      </c>
      <c r="E5015" s="130">
        <v>17159856</v>
      </c>
      <c r="F5015" t="s">
        <v>87</v>
      </c>
      <c r="G5015">
        <v>76</v>
      </c>
      <c r="H5015" t="s">
        <v>8951</v>
      </c>
      <c r="I5015" s="130">
        <v>24</v>
      </c>
      <c r="J5015" t="s">
        <v>6639</v>
      </c>
      <c r="K5015" t="s">
        <v>108</v>
      </c>
      <c r="L5015" t="s">
        <v>191</v>
      </c>
      <c r="M5015" t="s">
        <v>103</v>
      </c>
      <c r="N5015" t="s">
        <v>98</v>
      </c>
      <c r="O5015" t="s">
        <v>1256</v>
      </c>
    </row>
    <row r="5016" spans="1:15" x14ac:dyDescent="0.3">
      <c r="A5016" s="130">
        <v>25780</v>
      </c>
      <c r="B5016" s="130">
        <v>30</v>
      </c>
      <c r="C5016" s="130" t="s">
        <v>6640</v>
      </c>
      <c r="D5016">
        <v>39480</v>
      </c>
      <c r="E5016" s="131">
        <v>29884632</v>
      </c>
      <c r="F5016" t="s">
        <v>113</v>
      </c>
      <c r="G5016">
        <v>32947</v>
      </c>
      <c r="H5016" t="s">
        <v>8952</v>
      </c>
      <c r="I5016" s="131">
        <v>3</v>
      </c>
      <c r="J5016" t="s">
        <v>6640</v>
      </c>
      <c r="K5016" t="s">
        <v>108</v>
      </c>
      <c r="L5016" t="s">
        <v>109</v>
      </c>
      <c r="M5016" t="s">
        <v>103</v>
      </c>
      <c r="N5016" t="s">
        <v>98</v>
      </c>
      <c r="O5016" t="s">
        <v>1256</v>
      </c>
    </row>
    <row r="5017" spans="1:15" x14ac:dyDescent="0.3">
      <c r="A5017" s="130">
        <v>25781</v>
      </c>
      <c r="B5017" s="130">
        <v>10</v>
      </c>
      <c r="C5017" s="130" t="s">
        <v>6641</v>
      </c>
      <c r="D5017">
        <v>39597</v>
      </c>
      <c r="E5017" s="130">
        <v>23073420</v>
      </c>
      <c r="F5017" t="s">
        <v>87</v>
      </c>
      <c r="G5017">
        <v>76</v>
      </c>
      <c r="H5017" t="s">
        <v>8953</v>
      </c>
      <c r="I5017" s="130">
        <v>24</v>
      </c>
      <c r="J5017" t="s">
        <v>6641</v>
      </c>
      <c r="K5017" t="s">
        <v>108</v>
      </c>
      <c r="L5017" t="s">
        <v>1293</v>
      </c>
      <c r="M5017" t="s">
        <v>133</v>
      </c>
      <c r="N5017" t="s">
        <v>98</v>
      </c>
      <c r="O5017" t="s">
        <v>1256</v>
      </c>
    </row>
    <row r="5018" spans="1:15" x14ac:dyDescent="0.3">
      <c r="A5018" s="130">
        <v>25784</v>
      </c>
      <c r="B5018" s="130">
        <v>28</v>
      </c>
      <c r="C5018" s="130" t="s">
        <v>6642</v>
      </c>
      <c r="D5018">
        <v>39581</v>
      </c>
      <c r="E5018" s="130">
        <v>53932692</v>
      </c>
      <c r="F5018" t="s">
        <v>87</v>
      </c>
      <c r="G5018">
        <v>76</v>
      </c>
      <c r="H5018" t="s">
        <v>8951</v>
      </c>
      <c r="I5018" s="131">
        <v>37</v>
      </c>
      <c r="J5018" t="s">
        <v>6642</v>
      </c>
      <c r="K5018" t="s">
        <v>95</v>
      </c>
      <c r="L5018" t="s">
        <v>138</v>
      </c>
      <c r="M5018" t="s">
        <v>130</v>
      </c>
      <c r="N5018" t="s">
        <v>150</v>
      </c>
      <c r="O5018" t="s">
        <v>116</v>
      </c>
    </row>
    <row r="5019" spans="1:15" x14ac:dyDescent="0.3">
      <c r="A5019" s="130">
        <v>25788</v>
      </c>
      <c r="B5019" s="130">
        <v>18</v>
      </c>
      <c r="C5019" s="130" t="s">
        <v>6643</v>
      </c>
      <c r="D5019">
        <v>39603</v>
      </c>
      <c r="E5019" s="131">
        <v>2602726</v>
      </c>
      <c r="F5019" t="s">
        <v>87</v>
      </c>
      <c r="G5019">
        <v>76</v>
      </c>
      <c r="H5019" t="s">
        <v>8952</v>
      </c>
      <c r="I5019" s="130">
        <v>10</v>
      </c>
      <c r="J5019" t="s">
        <v>6643</v>
      </c>
      <c r="K5019" t="s">
        <v>108</v>
      </c>
      <c r="L5019" t="s">
        <v>127</v>
      </c>
      <c r="M5019" t="s">
        <v>112</v>
      </c>
      <c r="N5019" t="s">
        <v>118</v>
      </c>
      <c r="O5019" t="s">
        <v>1345</v>
      </c>
    </row>
    <row r="5020" spans="1:15" x14ac:dyDescent="0.3">
      <c r="A5020" s="130">
        <v>25789</v>
      </c>
      <c r="B5020" s="130">
        <v>21</v>
      </c>
      <c r="C5020" s="130" t="s">
        <v>6644</v>
      </c>
      <c r="D5020">
        <v>39605</v>
      </c>
      <c r="E5020" s="130">
        <v>986297</v>
      </c>
      <c r="F5020" t="s">
        <v>113</v>
      </c>
      <c r="G5020">
        <v>76</v>
      </c>
      <c r="H5020" t="s">
        <v>8953</v>
      </c>
      <c r="I5020" s="130">
        <v>24</v>
      </c>
      <c r="J5020" t="s">
        <v>6644</v>
      </c>
      <c r="K5020" t="s">
        <v>108</v>
      </c>
      <c r="L5020" t="s">
        <v>240</v>
      </c>
      <c r="M5020" t="s">
        <v>137</v>
      </c>
      <c r="N5020" t="s">
        <v>98</v>
      </c>
      <c r="O5020" t="s">
        <v>1256</v>
      </c>
    </row>
    <row r="5021" spans="1:15" x14ac:dyDescent="0.3">
      <c r="A5021" s="130">
        <v>25790</v>
      </c>
      <c r="B5021" s="130">
        <v>30</v>
      </c>
      <c r="C5021" s="130" t="s">
        <v>6645</v>
      </c>
      <c r="D5021">
        <v>39606</v>
      </c>
      <c r="E5021" s="131">
        <v>26512631</v>
      </c>
      <c r="F5021" t="s">
        <v>113</v>
      </c>
      <c r="G5021">
        <v>76</v>
      </c>
      <c r="H5021" t="s">
        <v>8951</v>
      </c>
      <c r="I5021" s="130">
        <v>18</v>
      </c>
      <c r="J5021" t="s">
        <v>6645</v>
      </c>
      <c r="K5021" t="s">
        <v>108</v>
      </c>
      <c r="L5021" t="s">
        <v>123</v>
      </c>
      <c r="M5021" t="s">
        <v>103</v>
      </c>
      <c r="N5021" t="s">
        <v>98</v>
      </c>
      <c r="O5021" t="s">
        <v>1256</v>
      </c>
    </row>
    <row r="5022" spans="1:15" x14ac:dyDescent="0.3">
      <c r="A5022" s="130">
        <v>25791</v>
      </c>
      <c r="B5022" s="130">
        <v>30</v>
      </c>
      <c r="C5022" s="130" t="s">
        <v>6646</v>
      </c>
      <c r="D5022">
        <v>39608</v>
      </c>
      <c r="E5022" s="130">
        <v>71008314234</v>
      </c>
      <c r="F5022" t="s">
        <v>87</v>
      </c>
      <c r="G5022">
        <v>76</v>
      </c>
      <c r="H5022" t="s">
        <v>8952</v>
      </c>
      <c r="I5022" s="131">
        <v>38</v>
      </c>
      <c r="J5022" t="s">
        <v>6646</v>
      </c>
      <c r="K5022" t="s">
        <v>108</v>
      </c>
      <c r="L5022" t="s">
        <v>126</v>
      </c>
      <c r="M5022" t="s">
        <v>103</v>
      </c>
      <c r="N5022" t="s">
        <v>101</v>
      </c>
      <c r="O5022" t="s">
        <v>116</v>
      </c>
    </row>
    <row r="5023" spans="1:15" x14ac:dyDescent="0.3">
      <c r="A5023" s="130">
        <v>25794</v>
      </c>
      <c r="B5023" s="130">
        <v>21</v>
      </c>
      <c r="C5023" s="130" t="s">
        <v>6647</v>
      </c>
      <c r="D5023">
        <v>39613</v>
      </c>
      <c r="E5023" s="131">
        <v>4758568</v>
      </c>
      <c r="F5023" t="s">
        <v>113</v>
      </c>
      <c r="G5023">
        <v>76</v>
      </c>
      <c r="H5023" t="s">
        <v>8953</v>
      </c>
      <c r="I5023" s="131">
        <v>24</v>
      </c>
      <c r="J5023" t="s">
        <v>6647</v>
      </c>
      <c r="K5023" t="s">
        <v>108</v>
      </c>
      <c r="L5023" t="s">
        <v>191</v>
      </c>
      <c r="M5023" t="s">
        <v>137</v>
      </c>
      <c r="N5023" t="s">
        <v>101</v>
      </c>
      <c r="O5023" t="s">
        <v>1256</v>
      </c>
    </row>
    <row r="5024" spans="1:15" x14ac:dyDescent="0.3">
      <c r="A5024" s="130">
        <v>25798</v>
      </c>
      <c r="B5024" s="130">
        <v>20</v>
      </c>
      <c r="C5024" s="130" t="s">
        <v>6648</v>
      </c>
      <c r="D5024">
        <v>39586</v>
      </c>
      <c r="E5024" s="130">
        <v>8064693</v>
      </c>
      <c r="F5024" t="s">
        <v>87</v>
      </c>
      <c r="G5024">
        <v>76</v>
      </c>
      <c r="H5024" t="s">
        <v>8951</v>
      </c>
      <c r="I5024" s="131">
        <v>19</v>
      </c>
      <c r="J5024" t="s">
        <v>6648</v>
      </c>
      <c r="K5024" t="s">
        <v>95</v>
      </c>
      <c r="L5024" t="s">
        <v>252</v>
      </c>
      <c r="M5024" t="s">
        <v>148</v>
      </c>
      <c r="N5024" t="s">
        <v>98</v>
      </c>
      <c r="O5024" t="s">
        <v>1256</v>
      </c>
    </row>
    <row r="5025" spans="1:15" x14ac:dyDescent="0.3">
      <c r="A5025" s="130">
        <v>25800</v>
      </c>
      <c r="B5025" s="130">
        <v>30</v>
      </c>
      <c r="C5025" s="130" t="s">
        <v>6649</v>
      </c>
      <c r="D5025">
        <v>39614</v>
      </c>
      <c r="E5025" s="130">
        <v>22247399</v>
      </c>
      <c r="F5025" t="s">
        <v>113</v>
      </c>
      <c r="G5025">
        <v>32947</v>
      </c>
      <c r="H5025" t="s">
        <v>8952</v>
      </c>
      <c r="I5025" s="131">
        <v>3</v>
      </c>
      <c r="J5025" t="s">
        <v>6649</v>
      </c>
      <c r="K5025" t="s">
        <v>108</v>
      </c>
      <c r="L5025" t="s">
        <v>109</v>
      </c>
      <c r="M5025" t="s">
        <v>103</v>
      </c>
      <c r="N5025" t="s">
        <v>98</v>
      </c>
      <c r="O5025" t="s">
        <v>1256</v>
      </c>
    </row>
    <row r="5026" spans="1:15" x14ac:dyDescent="0.3">
      <c r="A5026" s="130">
        <v>25802</v>
      </c>
      <c r="B5026" s="130">
        <v>0</v>
      </c>
      <c r="C5026" s="130" t="s">
        <v>6650</v>
      </c>
      <c r="D5026">
        <v>39620</v>
      </c>
      <c r="E5026" s="131">
        <v>35280612</v>
      </c>
      <c r="F5026" t="s">
        <v>113</v>
      </c>
      <c r="G5026">
        <v>76</v>
      </c>
      <c r="H5026" t="s">
        <v>8953</v>
      </c>
      <c r="I5026" s="131">
        <v>24</v>
      </c>
      <c r="J5026" t="s">
        <v>6650</v>
      </c>
      <c r="K5026" t="s">
        <v>108</v>
      </c>
      <c r="L5026" t="s">
        <v>191</v>
      </c>
      <c r="M5026" t="s">
        <v>100</v>
      </c>
      <c r="N5026" t="s">
        <v>107</v>
      </c>
      <c r="O5026" t="s">
        <v>1256</v>
      </c>
    </row>
    <row r="5027" spans="1:15" x14ac:dyDescent="0.3">
      <c r="A5027" s="130">
        <v>25804</v>
      </c>
      <c r="B5027" s="130">
        <v>21</v>
      </c>
      <c r="C5027" s="130" t="s">
        <v>6651</v>
      </c>
      <c r="D5027">
        <v>39622</v>
      </c>
      <c r="E5027" s="131">
        <v>65758252</v>
      </c>
      <c r="F5027" t="s">
        <v>113</v>
      </c>
      <c r="G5027">
        <v>76</v>
      </c>
      <c r="H5027" t="s">
        <v>8951</v>
      </c>
      <c r="I5027" s="130">
        <v>24</v>
      </c>
      <c r="J5027" t="s">
        <v>6651</v>
      </c>
      <c r="K5027" t="s">
        <v>108</v>
      </c>
      <c r="L5027" t="s">
        <v>191</v>
      </c>
      <c r="M5027" t="s">
        <v>137</v>
      </c>
      <c r="N5027" t="s">
        <v>98</v>
      </c>
      <c r="O5027" t="s">
        <v>1256</v>
      </c>
    </row>
    <row r="5028" spans="1:15" x14ac:dyDescent="0.3">
      <c r="A5028" s="130">
        <v>25805</v>
      </c>
      <c r="B5028" s="130">
        <v>15</v>
      </c>
      <c r="C5028" s="130" t="s">
        <v>6652</v>
      </c>
      <c r="D5028">
        <v>39623</v>
      </c>
      <c r="E5028" s="131">
        <v>450577</v>
      </c>
      <c r="F5028" t="s">
        <v>87</v>
      </c>
      <c r="G5028">
        <v>76</v>
      </c>
      <c r="H5028" t="s">
        <v>8952</v>
      </c>
      <c r="I5028" s="130">
        <v>24</v>
      </c>
      <c r="J5028" t="s">
        <v>6652</v>
      </c>
      <c r="K5028" t="s">
        <v>108</v>
      </c>
      <c r="L5028" t="s">
        <v>240</v>
      </c>
      <c r="M5028" t="s">
        <v>145</v>
      </c>
      <c r="N5028" t="s">
        <v>98</v>
      </c>
      <c r="O5028" t="s">
        <v>1256</v>
      </c>
    </row>
    <row r="5029" spans="1:15" x14ac:dyDescent="0.3">
      <c r="A5029" s="130">
        <v>25811</v>
      </c>
      <c r="B5029" s="130">
        <v>21</v>
      </c>
      <c r="C5029" s="130" t="s">
        <v>6653</v>
      </c>
      <c r="D5029">
        <v>39630</v>
      </c>
      <c r="E5029" s="130">
        <v>44663631</v>
      </c>
      <c r="F5029" t="s">
        <v>113</v>
      </c>
      <c r="G5029">
        <v>76</v>
      </c>
      <c r="H5029" t="s">
        <v>8953</v>
      </c>
      <c r="I5029" s="130">
        <v>24</v>
      </c>
      <c r="J5029" t="s">
        <v>6653</v>
      </c>
      <c r="K5029" t="s">
        <v>108</v>
      </c>
      <c r="L5029" t="s">
        <v>191</v>
      </c>
      <c r="M5029" t="s">
        <v>137</v>
      </c>
      <c r="N5029" t="s">
        <v>121</v>
      </c>
      <c r="O5029" t="s">
        <v>1256</v>
      </c>
    </row>
    <row r="5030" spans="1:15" x14ac:dyDescent="0.3">
      <c r="A5030" s="130">
        <v>25812</v>
      </c>
      <c r="B5030" s="130">
        <v>21</v>
      </c>
      <c r="C5030" s="130" t="s">
        <v>6654</v>
      </c>
      <c r="D5030">
        <v>39549</v>
      </c>
      <c r="E5030" s="130">
        <v>21261501</v>
      </c>
      <c r="F5030" t="s">
        <v>87</v>
      </c>
      <c r="G5030">
        <v>76</v>
      </c>
      <c r="H5030" t="s">
        <v>8951</v>
      </c>
      <c r="I5030" s="131">
        <v>24</v>
      </c>
      <c r="J5030" t="s">
        <v>6654</v>
      </c>
      <c r="K5030" t="s">
        <v>108</v>
      </c>
      <c r="L5030" t="s">
        <v>240</v>
      </c>
      <c r="M5030" t="s">
        <v>137</v>
      </c>
      <c r="N5030" t="s">
        <v>114</v>
      </c>
      <c r="O5030" t="s">
        <v>1256</v>
      </c>
    </row>
    <row r="5031" spans="1:15" x14ac:dyDescent="0.3">
      <c r="A5031" s="130">
        <v>25813</v>
      </c>
      <c r="B5031" s="130">
        <v>10</v>
      </c>
      <c r="C5031" s="130" t="s">
        <v>6655</v>
      </c>
      <c r="D5031">
        <v>39632</v>
      </c>
      <c r="E5031" s="130">
        <v>4824051</v>
      </c>
      <c r="F5031" t="s">
        <v>87</v>
      </c>
      <c r="G5031">
        <v>76</v>
      </c>
      <c r="H5031" t="s">
        <v>8952</v>
      </c>
      <c r="I5031" s="130">
        <v>24</v>
      </c>
      <c r="J5031" t="s">
        <v>6655</v>
      </c>
      <c r="K5031" t="s">
        <v>108</v>
      </c>
      <c r="L5031" t="s">
        <v>240</v>
      </c>
      <c r="M5031" t="s">
        <v>133</v>
      </c>
      <c r="N5031" t="s">
        <v>114</v>
      </c>
      <c r="O5031" t="s">
        <v>1256</v>
      </c>
    </row>
    <row r="5032" spans="1:15" x14ac:dyDescent="0.3">
      <c r="A5032" s="130">
        <v>25817</v>
      </c>
      <c r="B5032" s="130">
        <v>21</v>
      </c>
      <c r="C5032" s="130" t="s">
        <v>6656</v>
      </c>
      <c r="D5032">
        <v>39638</v>
      </c>
      <c r="E5032" s="130">
        <v>2525725</v>
      </c>
      <c r="F5032" t="s">
        <v>87</v>
      </c>
      <c r="G5032">
        <v>76</v>
      </c>
      <c r="H5032" t="s">
        <v>8953</v>
      </c>
      <c r="I5032" s="131">
        <v>18</v>
      </c>
      <c r="J5032" t="s">
        <v>6656</v>
      </c>
      <c r="K5032" t="s">
        <v>108</v>
      </c>
      <c r="L5032" t="s">
        <v>253</v>
      </c>
      <c r="M5032" t="s">
        <v>137</v>
      </c>
      <c r="N5032" t="s">
        <v>152</v>
      </c>
      <c r="O5032" t="s">
        <v>1345</v>
      </c>
    </row>
    <row r="5033" spans="1:15" x14ac:dyDescent="0.3">
      <c r="A5033" s="130">
        <v>25823</v>
      </c>
      <c r="B5033" s="130">
        <v>21</v>
      </c>
      <c r="C5033" s="130" t="s">
        <v>6657</v>
      </c>
      <c r="D5033">
        <v>39550</v>
      </c>
      <c r="E5033" s="131">
        <v>3376054</v>
      </c>
      <c r="F5033" t="s">
        <v>113</v>
      </c>
      <c r="G5033">
        <v>76</v>
      </c>
      <c r="H5033" t="s">
        <v>8951</v>
      </c>
      <c r="I5033" s="130">
        <v>24</v>
      </c>
      <c r="J5033" t="s">
        <v>6657</v>
      </c>
      <c r="K5033" t="s">
        <v>108</v>
      </c>
      <c r="L5033" t="s">
        <v>191</v>
      </c>
      <c r="M5033" t="s">
        <v>137</v>
      </c>
      <c r="N5033" t="s">
        <v>98</v>
      </c>
      <c r="O5033" t="s">
        <v>1256</v>
      </c>
    </row>
    <row r="5034" spans="1:15" x14ac:dyDescent="0.3">
      <c r="A5034" s="130">
        <v>25825</v>
      </c>
      <c r="B5034" s="130">
        <v>30</v>
      </c>
      <c r="C5034" s="130" t="s">
        <v>6658</v>
      </c>
      <c r="D5034">
        <v>39650</v>
      </c>
      <c r="E5034" s="131">
        <v>8054995</v>
      </c>
      <c r="F5034" t="s">
        <v>87</v>
      </c>
      <c r="G5034">
        <v>32947</v>
      </c>
      <c r="H5034" t="s">
        <v>8952</v>
      </c>
      <c r="I5034" s="130">
        <v>10</v>
      </c>
      <c r="J5034" t="s">
        <v>6658</v>
      </c>
      <c r="K5034" t="s">
        <v>95</v>
      </c>
      <c r="L5034" t="s">
        <v>111</v>
      </c>
      <c r="M5034" t="s">
        <v>103</v>
      </c>
      <c r="N5034" t="s">
        <v>98</v>
      </c>
      <c r="O5034" t="s">
        <v>116</v>
      </c>
    </row>
    <row r="5035" spans="1:15" x14ac:dyDescent="0.3">
      <c r="A5035" s="130">
        <v>25828</v>
      </c>
      <c r="C5035" s="130" t="s">
        <v>6659</v>
      </c>
      <c r="D5035">
        <v>39654</v>
      </c>
      <c r="E5035" s="130">
        <v>62303953</v>
      </c>
      <c r="F5035" t="s">
        <v>113</v>
      </c>
      <c r="G5035">
        <v>76</v>
      </c>
      <c r="H5035" t="s">
        <v>8953</v>
      </c>
      <c r="I5035" s="131">
        <v>24</v>
      </c>
      <c r="J5035" t="s">
        <v>6659</v>
      </c>
      <c r="K5035" t="s">
        <v>108</v>
      </c>
      <c r="L5035" t="s">
        <v>240</v>
      </c>
      <c r="N5035" t="s">
        <v>98</v>
      </c>
      <c r="O5035" t="s">
        <v>1256</v>
      </c>
    </row>
    <row r="5036" spans="1:15" x14ac:dyDescent="0.3">
      <c r="A5036" s="130">
        <v>25830</v>
      </c>
      <c r="B5036" s="130">
        <v>30</v>
      </c>
      <c r="C5036" s="130" t="s">
        <v>6660</v>
      </c>
      <c r="D5036">
        <v>39657</v>
      </c>
      <c r="E5036" s="130">
        <v>8726496</v>
      </c>
      <c r="F5036" t="s">
        <v>87</v>
      </c>
      <c r="G5036">
        <v>76</v>
      </c>
      <c r="H5036" t="s">
        <v>8951</v>
      </c>
      <c r="I5036" s="130">
        <v>10</v>
      </c>
      <c r="J5036" t="s">
        <v>6660</v>
      </c>
      <c r="K5036" t="s">
        <v>95</v>
      </c>
      <c r="L5036" t="s">
        <v>127</v>
      </c>
      <c r="M5036" t="s">
        <v>103</v>
      </c>
      <c r="N5036" t="s">
        <v>118</v>
      </c>
      <c r="O5036" t="s">
        <v>116</v>
      </c>
    </row>
    <row r="5037" spans="1:15" x14ac:dyDescent="0.3">
      <c r="A5037" s="130">
        <v>25833</v>
      </c>
      <c r="C5037" s="130" t="s">
        <v>6661</v>
      </c>
      <c r="D5037">
        <v>39661</v>
      </c>
      <c r="E5037" s="131">
        <v>49472451</v>
      </c>
      <c r="F5037" t="s">
        <v>87</v>
      </c>
      <c r="G5037">
        <v>358</v>
      </c>
      <c r="H5037" t="s">
        <v>8952</v>
      </c>
      <c r="I5037" s="131">
        <v>3</v>
      </c>
      <c r="J5037" t="s">
        <v>6661</v>
      </c>
      <c r="K5037" t="s">
        <v>95</v>
      </c>
      <c r="L5037" t="s">
        <v>105</v>
      </c>
      <c r="N5037" t="s">
        <v>98</v>
      </c>
      <c r="O5037" t="s">
        <v>1256</v>
      </c>
    </row>
    <row r="5038" spans="1:15" x14ac:dyDescent="0.3">
      <c r="A5038" s="130">
        <v>25836</v>
      </c>
      <c r="B5038" s="130">
        <v>21</v>
      </c>
      <c r="C5038" s="130" t="s">
        <v>6662</v>
      </c>
      <c r="D5038">
        <v>39667</v>
      </c>
      <c r="E5038" s="130">
        <v>3998869</v>
      </c>
      <c r="F5038" t="s">
        <v>87</v>
      </c>
      <c r="G5038">
        <v>76</v>
      </c>
      <c r="H5038" t="s">
        <v>8953</v>
      </c>
      <c r="I5038" s="130">
        <v>24</v>
      </c>
      <c r="J5038" t="s">
        <v>6662</v>
      </c>
      <c r="K5038" t="s">
        <v>108</v>
      </c>
      <c r="L5038" t="s">
        <v>191</v>
      </c>
      <c r="M5038" t="s">
        <v>137</v>
      </c>
      <c r="N5038" t="s">
        <v>98</v>
      </c>
      <c r="O5038" t="s">
        <v>1256</v>
      </c>
    </row>
    <row r="5039" spans="1:15" x14ac:dyDescent="0.3">
      <c r="A5039" s="130">
        <v>25838</v>
      </c>
      <c r="B5039" s="130">
        <v>28</v>
      </c>
      <c r="C5039" s="130" t="s">
        <v>6663</v>
      </c>
      <c r="D5039">
        <v>39670</v>
      </c>
      <c r="E5039" s="130">
        <v>8726496</v>
      </c>
      <c r="F5039" t="s">
        <v>87</v>
      </c>
      <c r="G5039">
        <v>32947</v>
      </c>
      <c r="H5039" t="s">
        <v>8951</v>
      </c>
      <c r="I5039" s="130">
        <v>43</v>
      </c>
      <c r="J5039" t="s">
        <v>6663</v>
      </c>
      <c r="K5039" t="s">
        <v>108</v>
      </c>
      <c r="L5039" t="s">
        <v>1368</v>
      </c>
      <c r="M5039" t="s">
        <v>130</v>
      </c>
      <c r="N5039" t="s">
        <v>98</v>
      </c>
      <c r="O5039" t="s">
        <v>116</v>
      </c>
    </row>
    <row r="5040" spans="1:15" x14ac:dyDescent="0.3">
      <c r="A5040" s="130">
        <v>25843</v>
      </c>
      <c r="B5040" s="130">
        <v>30</v>
      </c>
      <c r="C5040" s="130" t="s">
        <v>6664</v>
      </c>
      <c r="D5040">
        <v>39671</v>
      </c>
      <c r="E5040" s="130">
        <v>30653585</v>
      </c>
      <c r="F5040" t="s">
        <v>113</v>
      </c>
      <c r="G5040">
        <v>76</v>
      </c>
      <c r="H5040" t="s">
        <v>8952</v>
      </c>
      <c r="I5040" s="130">
        <v>9</v>
      </c>
      <c r="J5040" t="s">
        <v>6664</v>
      </c>
      <c r="K5040" t="s">
        <v>95</v>
      </c>
      <c r="L5040" t="s">
        <v>146</v>
      </c>
      <c r="M5040" t="s">
        <v>103</v>
      </c>
      <c r="N5040" t="s">
        <v>114</v>
      </c>
      <c r="O5040" t="s">
        <v>1256</v>
      </c>
    </row>
    <row r="5041" spans="1:15" x14ac:dyDescent="0.3">
      <c r="A5041" s="130">
        <v>25846</v>
      </c>
      <c r="B5041" s="130">
        <v>30</v>
      </c>
      <c r="C5041" s="130" t="s">
        <v>6665</v>
      </c>
      <c r="D5041">
        <v>39683</v>
      </c>
      <c r="E5041" s="131">
        <v>3998869</v>
      </c>
      <c r="F5041" t="s">
        <v>87</v>
      </c>
      <c r="G5041">
        <v>76</v>
      </c>
      <c r="H5041" t="s">
        <v>8953</v>
      </c>
      <c r="I5041" s="130">
        <v>24</v>
      </c>
      <c r="J5041" t="s">
        <v>6665</v>
      </c>
      <c r="K5041" t="s">
        <v>95</v>
      </c>
      <c r="L5041" t="s">
        <v>191</v>
      </c>
      <c r="M5041" t="s">
        <v>103</v>
      </c>
      <c r="N5041" t="s">
        <v>98</v>
      </c>
      <c r="O5041" t="s">
        <v>1256</v>
      </c>
    </row>
    <row r="5042" spans="1:15" x14ac:dyDescent="0.3">
      <c r="A5042" s="130">
        <v>25848</v>
      </c>
      <c r="B5042" s="130">
        <v>30</v>
      </c>
      <c r="C5042" s="130" t="s">
        <v>6666</v>
      </c>
      <c r="D5042">
        <v>39041</v>
      </c>
      <c r="E5042" s="131">
        <v>27093558</v>
      </c>
      <c r="F5042" t="s">
        <v>87</v>
      </c>
      <c r="G5042">
        <v>76</v>
      </c>
      <c r="H5042" t="s">
        <v>8951</v>
      </c>
      <c r="I5042" s="130">
        <v>24</v>
      </c>
      <c r="J5042" t="s">
        <v>6666</v>
      </c>
      <c r="K5042" t="s">
        <v>95</v>
      </c>
      <c r="L5042" t="s">
        <v>191</v>
      </c>
      <c r="M5042" t="s">
        <v>103</v>
      </c>
      <c r="N5042" t="s">
        <v>122</v>
      </c>
      <c r="O5042" t="s">
        <v>1256</v>
      </c>
    </row>
    <row r="5043" spans="1:15" x14ac:dyDescent="0.3">
      <c r="A5043" s="130">
        <v>25852</v>
      </c>
      <c r="B5043" s="130">
        <v>14</v>
      </c>
      <c r="C5043" s="130" t="s">
        <v>6667</v>
      </c>
      <c r="D5043">
        <v>39429</v>
      </c>
      <c r="E5043" s="130">
        <v>10397162</v>
      </c>
      <c r="F5043" t="s">
        <v>113</v>
      </c>
      <c r="G5043">
        <v>32947</v>
      </c>
      <c r="H5043" t="s">
        <v>8952</v>
      </c>
      <c r="I5043" s="131">
        <v>43</v>
      </c>
      <c r="J5043" t="s">
        <v>6667</v>
      </c>
      <c r="K5043" t="s">
        <v>108</v>
      </c>
      <c r="L5043" t="s">
        <v>1241</v>
      </c>
      <c r="M5043" t="s">
        <v>179</v>
      </c>
      <c r="N5043" t="s">
        <v>98</v>
      </c>
      <c r="O5043" t="s">
        <v>1256</v>
      </c>
    </row>
    <row r="5044" spans="1:15" x14ac:dyDescent="0.3">
      <c r="A5044" s="130">
        <v>25856</v>
      </c>
      <c r="B5044" s="130">
        <v>21</v>
      </c>
      <c r="C5044" s="130" t="s">
        <v>6668</v>
      </c>
      <c r="D5044">
        <v>39694</v>
      </c>
      <c r="E5044" s="131">
        <v>45076719</v>
      </c>
      <c r="F5044" t="s">
        <v>113</v>
      </c>
      <c r="G5044">
        <v>76</v>
      </c>
      <c r="H5044" t="s">
        <v>8953</v>
      </c>
      <c r="I5044" s="130">
        <v>24</v>
      </c>
      <c r="J5044" t="s">
        <v>6668</v>
      </c>
      <c r="K5044" t="s">
        <v>108</v>
      </c>
      <c r="L5044" t="s">
        <v>191</v>
      </c>
      <c r="M5044" t="s">
        <v>137</v>
      </c>
      <c r="N5044" t="s">
        <v>98</v>
      </c>
      <c r="O5044" t="s">
        <v>1256</v>
      </c>
    </row>
    <row r="5045" spans="1:15" x14ac:dyDescent="0.3">
      <c r="A5045" s="130">
        <v>25861</v>
      </c>
      <c r="B5045" s="130">
        <v>21</v>
      </c>
      <c r="C5045" s="130" t="s">
        <v>6669</v>
      </c>
      <c r="D5045">
        <v>39704</v>
      </c>
      <c r="E5045" s="130">
        <v>40989734</v>
      </c>
      <c r="F5045" t="s">
        <v>113</v>
      </c>
      <c r="G5045">
        <v>76</v>
      </c>
      <c r="H5045" t="s">
        <v>8951</v>
      </c>
      <c r="I5045" s="130">
        <v>24</v>
      </c>
      <c r="J5045" t="s">
        <v>6669</v>
      </c>
      <c r="K5045" t="s">
        <v>108</v>
      </c>
      <c r="L5045" t="s">
        <v>240</v>
      </c>
      <c r="M5045" t="s">
        <v>137</v>
      </c>
      <c r="N5045" t="s">
        <v>98</v>
      </c>
      <c r="O5045" t="s">
        <v>1256</v>
      </c>
    </row>
    <row r="5046" spans="1:15" x14ac:dyDescent="0.3">
      <c r="A5046" s="130">
        <v>25863</v>
      </c>
      <c r="B5046" s="130">
        <v>30</v>
      </c>
      <c r="C5046" s="130" t="s">
        <v>6670</v>
      </c>
      <c r="D5046">
        <v>39707</v>
      </c>
      <c r="E5046" s="131">
        <v>7533543</v>
      </c>
      <c r="F5046" t="s">
        <v>87</v>
      </c>
      <c r="G5046">
        <v>32947</v>
      </c>
      <c r="H5046" t="s">
        <v>8952</v>
      </c>
      <c r="I5046" s="131">
        <v>3</v>
      </c>
      <c r="J5046" t="s">
        <v>6670</v>
      </c>
      <c r="K5046" t="s">
        <v>108</v>
      </c>
      <c r="L5046" t="s">
        <v>109</v>
      </c>
      <c r="M5046" t="s">
        <v>103</v>
      </c>
      <c r="N5046" t="s">
        <v>98</v>
      </c>
      <c r="O5046" t="s">
        <v>244</v>
      </c>
    </row>
    <row r="5047" spans="1:15" x14ac:dyDescent="0.3">
      <c r="A5047" s="130">
        <v>25865</v>
      </c>
      <c r="C5047" s="130" t="s">
        <v>6671</v>
      </c>
      <c r="D5047">
        <v>39645</v>
      </c>
      <c r="E5047" s="131">
        <v>26860997</v>
      </c>
      <c r="F5047" t="s">
        <v>113</v>
      </c>
      <c r="G5047">
        <v>76</v>
      </c>
      <c r="H5047" t="s">
        <v>8953</v>
      </c>
      <c r="I5047" s="130">
        <v>19</v>
      </c>
      <c r="J5047" t="s">
        <v>6671</v>
      </c>
      <c r="K5047" t="s">
        <v>108</v>
      </c>
      <c r="L5047" t="s">
        <v>252</v>
      </c>
      <c r="N5047" t="s">
        <v>114</v>
      </c>
      <c r="O5047" t="s">
        <v>1256</v>
      </c>
    </row>
    <row r="5048" spans="1:15" x14ac:dyDescent="0.3">
      <c r="A5048" s="130">
        <v>25868</v>
      </c>
      <c r="B5048" s="130">
        <v>20</v>
      </c>
      <c r="C5048" s="130" t="s">
        <v>6672</v>
      </c>
      <c r="D5048">
        <v>39712</v>
      </c>
      <c r="E5048" s="130">
        <v>54438512</v>
      </c>
      <c r="F5048" t="s">
        <v>87</v>
      </c>
      <c r="G5048">
        <v>76</v>
      </c>
      <c r="H5048" t="s">
        <v>8951</v>
      </c>
      <c r="I5048" s="131">
        <v>19</v>
      </c>
      <c r="J5048" t="s">
        <v>6672</v>
      </c>
      <c r="K5048" t="s">
        <v>108</v>
      </c>
      <c r="L5048" t="s">
        <v>252</v>
      </c>
      <c r="M5048" t="s">
        <v>148</v>
      </c>
      <c r="N5048" t="s">
        <v>98</v>
      </c>
      <c r="O5048" t="s">
        <v>1256</v>
      </c>
    </row>
    <row r="5049" spans="1:15" x14ac:dyDescent="0.3">
      <c r="A5049" s="130">
        <v>25869</v>
      </c>
      <c r="B5049" s="130">
        <v>30</v>
      </c>
      <c r="C5049" s="130" t="s">
        <v>6673</v>
      </c>
      <c r="D5049">
        <v>39713</v>
      </c>
      <c r="E5049" s="130">
        <v>60701521</v>
      </c>
      <c r="F5049" t="s">
        <v>87</v>
      </c>
      <c r="G5049">
        <v>76</v>
      </c>
      <c r="H5049" t="s">
        <v>8952</v>
      </c>
      <c r="I5049" s="130">
        <v>43</v>
      </c>
      <c r="J5049" t="s">
        <v>6673</v>
      </c>
      <c r="K5049" t="s">
        <v>95</v>
      </c>
      <c r="L5049" t="s">
        <v>138</v>
      </c>
      <c r="M5049" t="s">
        <v>103</v>
      </c>
      <c r="N5049" t="s">
        <v>162</v>
      </c>
      <c r="O5049" t="s">
        <v>116</v>
      </c>
    </row>
    <row r="5050" spans="1:15" x14ac:dyDescent="0.3">
      <c r="A5050" s="130">
        <v>25872</v>
      </c>
      <c r="B5050" s="130">
        <v>21</v>
      </c>
      <c r="C5050" s="130" t="s">
        <v>6674</v>
      </c>
      <c r="D5050">
        <v>39717</v>
      </c>
      <c r="E5050" s="131">
        <v>5771717</v>
      </c>
      <c r="F5050" t="s">
        <v>113</v>
      </c>
      <c r="G5050">
        <v>76</v>
      </c>
      <c r="H5050" t="s">
        <v>8953</v>
      </c>
      <c r="I5050" s="131">
        <v>24</v>
      </c>
      <c r="J5050" t="s">
        <v>6674</v>
      </c>
      <c r="K5050" t="s">
        <v>108</v>
      </c>
      <c r="L5050" t="s">
        <v>240</v>
      </c>
      <c r="M5050" t="s">
        <v>137</v>
      </c>
      <c r="N5050" t="s">
        <v>152</v>
      </c>
      <c r="O5050" t="s">
        <v>1256</v>
      </c>
    </row>
    <row r="5051" spans="1:15" x14ac:dyDescent="0.3">
      <c r="A5051" s="130">
        <v>25875</v>
      </c>
      <c r="B5051" s="130">
        <v>30</v>
      </c>
      <c r="C5051" s="130" t="s">
        <v>6675</v>
      </c>
      <c r="D5051">
        <v>39721</v>
      </c>
      <c r="E5051" s="130">
        <v>29296671</v>
      </c>
      <c r="F5051" t="s">
        <v>87</v>
      </c>
      <c r="G5051">
        <v>32947</v>
      </c>
      <c r="H5051" t="s">
        <v>8951</v>
      </c>
      <c r="I5051" s="130">
        <v>10</v>
      </c>
      <c r="J5051" t="s">
        <v>6675</v>
      </c>
      <c r="K5051" t="s">
        <v>108</v>
      </c>
      <c r="L5051" t="s">
        <v>111</v>
      </c>
      <c r="M5051" t="s">
        <v>103</v>
      </c>
      <c r="N5051" t="s">
        <v>98</v>
      </c>
      <c r="O5051" t="s">
        <v>116</v>
      </c>
    </row>
    <row r="5052" spans="1:15" x14ac:dyDescent="0.3">
      <c r="A5052" s="130">
        <v>25876</v>
      </c>
      <c r="B5052" s="130">
        <v>30</v>
      </c>
      <c r="C5052" s="130" t="s">
        <v>6676</v>
      </c>
      <c r="D5052">
        <v>39643</v>
      </c>
      <c r="E5052" s="131">
        <v>28481219</v>
      </c>
      <c r="F5052" t="s">
        <v>113</v>
      </c>
      <c r="G5052">
        <v>32947</v>
      </c>
      <c r="H5052" t="s">
        <v>8952</v>
      </c>
      <c r="I5052" s="130">
        <v>3</v>
      </c>
      <c r="J5052" t="s">
        <v>6676</v>
      </c>
      <c r="K5052" t="s">
        <v>108</v>
      </c>
      <c r="L5052" t="s">
        <v>109</v>
      </c>
      <c r="M5052" t="s">
        <v>103</v>
      </c>
      <c r="N5052" t="s">
        <v>101</v>
      </c>
      <c r="O5052" t="s">
        <v>1256</v>
      </c>
    </row>
    <row r="5053" spans="1:15" x14ac:dyDescent="0.3">
      <c r="A5053" s="130">
        <v>25877</v>
      </c>
      <c r="C5053" s="130" t="s">
        <v>6677</v>
      </c>
      <c r="D5053">
        <v>39119</v>
      </c>
      <c r="E5053" s="130">
        <v>24903335</v>
      </c>
      <c r="F5053" t="s">
        <v>113</v>
      </c>
      <c r="G5053">
        <v>32947</v>
      </c>
      <c r="H5053" t="s">
        <v>8953</v>
      </c>
      <c r="I5053" s="130">
        <v>43</v>
      </c>
      <c r="J5053" t="s">
        <v>6677</v>
      </c>
      <c r="K5053" t="s">
        <v>108</v>
      </c>
      <c r="L5053" t="s">
        <v>1241</v>
      </c>
      <c r="N5053" t="s">
        <v>124</v>
      </c>
      <c r="O5053" t="s">
        <v>1256</v>
      </c>
    </row>
    <row r="5054" spans="1:15" x14ac:dyDescent="0.3">
      <c r="A5054" s="130">
        <v>25879</v>
      </c>
      <c r="B5054" s="130">
        <v>18</v>
      </c>
      <c r="C5054" s="130" t="s">
        <v>6678</v>
      </c>
      <c r="D5054">
        <v>39732</v>
      </c>
      <c r="E5054" s="130">
        <v>51623036</v>
      </c>
      <c r="F5054" t="s">
        <v>113</v>
      </c>
      <c r="G5054">
        <v>76</v>
      </c>
      <c r="H5054" t="s">
        <v>8951</v>
      </c>
      <c r="I5054" s="131">
        <v>26</v>
      </c>
      <c r="J5054" t="s">
        <v>6678</v>
      </c>
      <c r="K5054" t="s">
        <v>108</v>
      </c>
      <c r="L5054" t="s">
        <v>151</v>
      </c>
      <c r="M5054" t="s">
        <v>112</v>
      </c>
      <c r="N5054" t="s">
        <v>98</v>
      </c>
      <c r="O5054" t="s">
        <v>1256</v>
      </c>
    </row>
    <row r="5055" spans="1:15" x14ac:dyDescent="0.3">
      <c r="A5055" s="130">
        <v>25880</v>
      </c>
      <c r="B5055" s="130">
        <v>21</v>
      </c>
      <c r="C5055" s="130" t="s">
        <v>6679</v>
      </c>
      <c r="D5055">
        <v>39737</v>
      </c>
      <c r="E5055" s="130">
        <v>1869256</v>
      </c>
      <c r="F5055" t="s">
        <v>87</v>
      </c>
      <c r="G5055">
        <v>76</v>
      </c>
      <c r="H5055" t="s">
        <v>8952</v>
      </c>
      <c r="I5055" s="130">
        <v>24</v>
      </c>
      <c r="J5055" t="s">
        <v>6679</v>
      </c>
      <c r="K5055" t="s">
        <v>108</v>
      </c>
      <c r="L5055" t="s">
        <v>191</v>
      </c>
      <c r="M5055" t="s">
        <v>137</v>
      </c>
      <c r="N5055" t="s">
        <v>98</v>
      </c>
      <c r="O5055" t="s">
        <v>1256</v>
      </c>
    </row>
    <row r="5056" spans="1:15" x14ac:dyDescent="0.3">
      <c r="A5056" s="130">
        <v>25882</v>
      </c>
      <c r="B5056" s="130">
        <v>21</v>
      </c>
      <c r="C5056" s="130" t="s">
        <v>6680</v>
      </c>
      <c r="D5056">
        <v>39723</v>
      </c>
      <c r="E5056" s="130">
        <v>47745436</v>
      </c>
      <c r="F5056" t="s">
        <v>113</v>
      </c>
      <c r="G5056">
        <v>76</v>
      </c>
      <c r="H5056" t="s">
        <v>8953</v>
      </c>
      <c r="I5056" s="130">
        <v>24</v>
      </c>
      <c r="J5056" t="s">
        <v>6680</v>
      </c>
      <c r="K5056" t="s">
        <v>108</v>
      </c>
      <c r="L5056" t="s">
        <v>191</v>
      </c>
      <c r="M5056" t="s">
        <v>137</v>
      </c>
      <c r="N5056" t="s">
        <v>98</v>
      </c>
      <c r="O5056" t="s">
        <v>1256</v>
      </c>
    </row>
    <row r="5057" spans="1:15" x14ac:dyDescent="0.3">
      <c r="A5057" s="130">
        <v>25884</v>
      </c>
      <c r="B5057" s="130">
        <v>20</v>
      </c>
      <c r="C5057" s="130" t="s">
        <v>6681</v>
      </c>
      <c r="D5057">
        <v>39749</v>
      </c>
      <c r="E5057" s="130">
        <v>11923281</v>
      </c>
      <c r="F5057" t="s">
        <v>113</v>
      </c>
      <c r="G5057">
        <v>76</v>
      </c>
      <c r="H5057" t="s">
        <v>8951</v>
      </c>
      <c r="I5057" s="130">
        <v>19</v>
      </c>
      <c r="J5057" t="s">
        <v>6681</v>
      </c>
      <c r="K5057" t="s">
        <v>108</v>
      </c>
      <c r="L5057" t="s">
        <v>252</v>
      </c>
      <c r="M5057" t="s">
        <v>148</v>
      </c>
      <c r="N5057" t="s">
        <v>98</v>
      </c>
      <c r="O5057" t="s">
        <v>1256</v>
      </c>
    </row>
    <row r="5058" spans="1:15" x14ac:dyDescent="0.3">
      <c r="A5058" s="130">
        <v>25885</v>
      </c>
      <c r="B5058" s="130">
        <v>30</v>
      </c>
      <c r="C5058" s="130" t="s">
        <v>6682</v>
      </c>
      <c r="D5058">
        <v>39751</v>
      </c>
      <c r="E5058" s="131">
        <v>43817093</v>
      </c>
      <c r="F5058" t="s">
        <v>113</v>
      </c>
      <c r="G5058">
        <v>32947</v>
      </c>
      <c r="H5058" t="s">
        <v>8952</v>
      </c>
      <c r="I5058" s="131">
        <v>3</v>
      </c>
      <c r="J5058" t="s">
        <v>6682</v>
      </c>
      <c r="K5058" t="s">
        <v>108</v>
      </c>
      <c r="L5058" t="s">
        <v>109</v>
      </c>
      <c r="M5058" t="s">
        <v>103</v>
      </c>
      <c r="N5058" t="s">
        <v>118</v>
      </c>
      <c r="O5058" t="s">
        <v>1256</v>
      </c>
    </row>
    <row r="5059" spans="1:15" x14ac:dyDescent="0.3">
      <c r="A5059" s="130">
        <v>25887</v>
      </c>
      <c r="B5059" s="130">
        <v>21</v>
      </c>
      <c r="C5059" s="130" t="s">
        <v>6683</v>
      </c>
      <c r="D5059">
        <v>39753</v>
      </c>
      <c r="E5059" s="130">
        <v>11180512</v>
      </c>
      <c r="F5059" t="s">
        <v>87</v>
      </c>
      <c r="G5059">
        <v>76</v>
      </c>
      <c r="H5059" t="s">
        <v>8953</v>
      </c>
      <c r="I5059" s="130">
        <v>24</v>
      </c>
      <c r="J5059" t="s">
        <v>6683</v>
      </c>
      <c r="K5059" t="s">
        <v>108</v>
      </c>
      <c r="L5059" t="s">
        <v>191</v>
      </c>
      <c r="M5059" t="s">
        <v>137</v>
      </c>
      <c r="N5059" t="s">
        <v>98</v>
      </c>
      <c r="O5059" t="s">
        <v>1256</v>
      </c>
    </row>
    <row r="5060" spans="1:15" x14ac:dyDescent="0.3">
      <c r="A5060" s="130">
        <v>25888</v>
      </c>
      <c r="B5060" s="130">
        <v>30</v>
      </c>
      <c r="C5060" s="130" t="s">
        <v>6684</v>
      </c>
      <c r="D5060">
        <v>39754</v>
      </c>
      <c r="E5060" s="130">
        <v>13623957</v>
      </c>
      <c r="F5060" t="s">
        <v>87</v>
      </c>
      <c r="G5060">
        <v>76</v>
      </c>
      <c r="H5060" t="s">
        <v>8951</v>
      </c>
      <c r="I5060" s="130">
        <v>18</v>
      </c>
      <c r="J5060" t="s">
        <v>6684</v>
      </c>
      <c r="K5060" t="s">
        <v>95</v>
      </c>
      <c r="L5060" t="s">
        <v>123</v>
      </c>
      <c r="M5060" t="s">
        <v>103</v>
      </c>
      <c r="N5060" t="s">
        <v>98</v>
      </c>
      <c r="O5060" t="s">
        <v>1256</v>
      </c>
    </row>
    <row r="5061" spans="1:15" x14ac:dyDescent="0.3">
      <c r="A5061" s="130">
        <v>25891</v>
      </c>
      <c r="B5061" s="130">
        <v>18</v>
      </c>
      <c r="C5061" s="130" t="s">
        <v>6685</v>
      </c>
      <c r="D5061">
        <v>39759</v>
      </c>
      <c r="E5061" s="130">
        <v>53310834</v>
      </c>
      <c r="F5061" t="s">
        <v>113</v>
      </c>
      <c r="G5061">
        <v>76</v>
      </c>
      <c r="H5061" t="s">
        <v>8952</v>
      </c>
      <c r="I5061" s="130">
        <v>18</v>
      </c>
      <c r="J5061" t="s">
        <v>6685</v>
      </c>
      <c r="K5061" t="s">
        <v>108</v>
      </c>
      <c r="L5061" t="s">
        <v>123</v>
      </c>
      <c r="M5061" t="s">
        <v>112</v>
      </c>
      <c r="N5061" t="s">
        <v>98</v>
      </c>
      <c r="O5061" t="s">
        <v>1256</v>
      </c>
    </row>
    <row r="5062" spans="1:15" x14ac:dyDescent="0.3">
      <c r="A5062" s="130">
        <v>25893</v>
      </c>
      <c r="B5062" s="130">
        <v>21</v>
      </c>
      <c r="C5062" s="130" t="s">
        <v>6686</v>
      </c>
      <c r="D5062">
        <v>39762</v>
      </c>
      <c r="E5062" s="130">
        <v>7529827880</v>
      </c>
      <c r="F5062" t="s">
        <v>113</v>
      </c>
      <c r="G5062">
        <v>76</v>
      </c>
      <c r="H5062" t="s">
        <v>8953</v>
      </c>
      <c r="I5062" s="130">
        <v>24</v>
      </c>
      <c r="J5062" t="s">
        <v>6686</v>
      </c>
      <c r="K5062" t="s">
        <v>108</v>
      </c>
      <c r="L5062" t="s">
        <v>240</v>
      </c>
      <c r="M5062" t="s">
        <v>137</v>
      </c>
      <c r="N5062" t="s">
        <v>110</v>
      </c>
      <c r="O5062" t="s">
        <v>1256</v>
      </c>
    </row>
    <row r="5063" spans="1:15" x14ac:dyDescent="0.3">
      <c r="A5063" s="130">
        <v>25894</v>
      </c>
      <c r="B5063" s="130">
        <v>10</v>
      </c>
      <c r="C5063" s="130" t="s">
        <v>6687</v>
      </c>
      <c r="D5063">
        <v>39525</v>
      </c>
      <c r="E5063" s="130">
        <v>54016278</v>
      </c>
      <c r="F5063" t="s">
        <v>87</v>
      </c>
      <c r="G5063">
        <v>76</v>
      </c>
      <c r="H5063" t="s">
        <v>8951</v>
      </c>
      <c r="I5063" s="130">
        <v>24</v>
      </c>
      <c r="J5063" t="s">
        <v>6687</v>
      </c>
      <c r="K5063" t="s">
        <v>95</v>
      </c>
      <c r="L5063" t="s">
        <v>1293</v>
      </c>
      <c r="M5063" t="s">
        <v>133</v>
      </c>
      <c r="N5063" t="s">
        <v>98</v>
      </c>
      <c r="O5063" t="s">
        <v>1256</v>
      </c>
    </row>
    <row r="5064" spans="1:15" x14ac:dyDescent="0.3">
      <c r="A5064" s="130">
        <v>25895</v>
      </c>
      <c r="B5064" s="130">
        <v>15</v>
      </c>
      <c r="C5064" s="130" t="s">
        <v>6688</v>
      </c>
      <c r="D5064">
        <v>39764</v>
      </c>
      <c r="E5064" s="130">
        <v>7680258</v>
      </c>
      <c r="F5064" t="s">
        <v>87</v>
      </c>
      <c r="G5064">
        <v>76</v>
      </c>
      <c r="H5064" t="s">
        <v>8952</v>
      </c>
      <c r="I5064" s="130">
        <v>37</v>
      </c>
      <c r="J5064" t="s">
        <v>6688</v>
      </c>
      <c r="K5064" t="s">
        <v>108</v>
      </c>
      <c r="L5064" t="s">
        <v>138</v>
      </c>
      <c r="M5064" t="s">
        <v>145</v>
      </c>
      <c r="N5064" t="s">
        <v>98</v>
      </c>
      <c r="O5064" t="s">
        <v>1256</v>
      </c>
    </row>
    <row r="5065" spans="1:15" x14ac:dyDescent="0.3">
      <c r="A5065" s="130">
        <v>25897</v>
      </c>
      <c r="B5065" s="130">
        <v>30</v>
      </c>
      <c r="C5065" s="130" t="s">
        <v>6689</v>
      </c>
      <c r="D5065">
        <v>39767</v>
      </c>
      <c r="E5065" s="130">
        <v>27005711</v>
      </c>
      <c r="F5065" t="s">
        <v>113</v>
      </c>
      <c r="G5065">
        <v>32947</v>
      </c>
      <c r="H5065" t="s">
        <v>8953</v>
      </c>
      <c r="I5065" s="131">
        <v>3</v>
      </c>
      <c r="J5065" t="s">
        <v>6689</v>
      </c>
      <c r="K5065" t="s">
        <v>108</v>
      </c>
      <c r="L5065" t="s">
        <v>109</v>
      </c>
      <c r="M5065" t="s">
        <v>103</v>
      </c>
      <c r="N5065" t="s">
        <v>122</v>
      </c>
      <c r="O5065" t="s">
        <v>1256</v>
      </c>
    </row>
    <row r="5066" spans="1:15" x14ac:dyDescent="0.3">
      <c r="A5066" s="130">
        <v>25901</v>
      </c>
      <c r="B5066" s="130">
        <v>30</v>
      </c>
      <c r="C5066" s="130" t="s">
        <v>6690</v>
      </c>
      <c r="D5066">
        <v>39771</v>
      </c>
      <c r="E5066" s="131">
        <v>41770939</v>
      </c>
      <c r="F5066" t="s">
        <v>113</v>
      </c>
      <c r="G5066">
        <v>76</v>
      </c>
      <c r="H5066" t="s">
        <v>8951</v>
      </c>
      <c r="I5066" s="130">
        <v>24</v>
      </c>
      <c r="J5066" t="s">
        <v>6690</v>
      </c>
      <c r="K5066" t="s">
        <v>95</v>
      </c>
      <c r="L5066" t="s">
        <v>1253</v>
      </c>
      <c r="M5066" t="s">
        <v>103</v>
      </c>
      <c r="N5066" t="s">
        <v>114</v>
      </c>
      <c r="O5066" t="s">
        <v>1256</v>
      </c>
    </row>
    <row r="5067" spans="1:15" x14ac:dyDescent="0.3">
      <c r="A5067" s="130">
        <v>25903</v>
      </c>
      <c r="B5067" s="130">
        <v>30</v>
      </c>
      <c r="C5067" s="130" t="s">
        <v>6691</v>
      </c>
      <c r="D5067">
        <v>39778</v>
      </c>
      <c r="E5067" s="130">
        <v>30455661</v>
      </c>
      <c r="F5067" t="s">
        <v>87</v>
      </c>
      <c r="G5067">
        <v>32947</v>
      </c>
      <c r="H5067" t="s">
        <v>8952</v>
      </c>
      <c r="I5067" s="130">
        <v>3</v>
      </c>
      <c r="J5067" t="s">
        <v>6691</v>
      </c>
      <c r="K5067" t="s">
        <v>108</v>
      </c>
      <c r="L5067" t="s">
        <v>193</v>
      </c>
      <c r="M5067" t="s">
        <v>103</v>
      </c>
      <c r="N5067" t="s">
        <v>98</v>
      </c>
      <c r="O5067" t="s">
        <v>116</v>
      </c>
    </row>
    <row r="5068" spans="1:15" x14ac:dyDescent="0.3">
      <c r="A5068" s="130">
        <v>25906</v>
      </c>
      <c r="B5068" s="130">
        <v>14</v>
      </c>
      <c r="C5068" s="130" t="s">
        <v>6692</v>
      </c>
      <c r="D5068">
        <v>39783</v>
      </c>
      <c r="E5068" s="130">
        <v>26763852</v>
      </c>
      <c r="F5068" t="s">
        <v>113</v>
      </c>
      <c r="G5068">
        <v>32947</v>
      </c>
      <c r="H5068" t="s">
        <v>8953</v>
      </c>
      <c r="I5068" s="131">
        <v>43</v>
      </c>
      <c r="J5068" t="s">
        <v>6692</v>
      </c>
      <c r="K5068" t="s">
        <v>108</v>
      </c>
      <c r="L5068" t="s">
        <v>1241</v>
      </c>
      <c r="M5068" t="s">
        <v>179</v>
      </c>
      <c r="N5068" t="s">
        <v>101</v>
      </c>
      <c r="O5068" t="s">
        <v>1256</v>
      </c>
    </row>
    <row r="5069" spans="1:15" x14ac:dyDescent="0.3">
      <c r="A5069" s="130">
        <v>25907</v>
      </c>
      <c r="B5069" s="130">
        <v>18</v>
      </c>
      <c r="C5069" s="130" t="s">
        <v>6693</v>
      </c>
      <c r="D5069">
        <v>39791</v>
      </c>
      <c r="E5069" s="130">
        <v>23921007</v>
      </c>
      <c r="F5069" t="s">
        <v>87</v>
      </c>
      <c r="G5069">
        <v>32947</v>
      </c>
      <c r="H5069" t="s">
        <v>8951</v>
      </c>
      <c r="I5069" s="130">
        <v>3</v>
      </c>
      <c r="J5069" t="s">
        <v>6693</v>
      </c>
      <c r="K5069" t="s">
        <v>108</v>
      </c>
      <c r="L5069" t="s">
        <v>193</v>
      </c>
      <c r="M5069" t="s">
        <v>112</v>
      </c>
      <c r="N5069" t="s">
        <v>98</v>
      </c>
      <c r="O5069" t="s">
        <v>116</v>
      </c>
    </row>
    <row r="5070" spans="1:15" x14ac:dyDescent="0.3">
      <c r="A5070" s="130">
        <v>25908</v>
      </c>
      <c r="B5070" s="130">
        <v>30</v>
      </c>
      <c r="C5070" s="130" t="s">
        <v>6694</v>
      </c>
      <c r="D5070">
        <v>39792</v>
      </c>
      <c r="E5070" s="131">
        <v>13623957</v>
      </c>
      <c r="F5070" t="s">
        <v>87</v>
      </c>
      <c r="G5070">
        <v>76</v>
      </c>
      <c r="H5070" t="s">
        <v>8952</v>
      </c>
      <c r="I5070" s="131">
        <v>18</v>
      </c>
      <c r="J5070" t="s">
        <v>6694</v>
      </c>
      <c r="K5070" t="s">
        <v>95</v>
      </c>
      <c r="L5070" t="s">
        <v>123</v>
      </c>
      <c r="M5070" t="s">
        <v>103</v>
      </c>
      <c r="N5070" t="s">
        <v>98</v>
      </c>
      <c r="O5070" t="s">
        <v>1256</v>
      </c>
    </row>
    <row r="5071" spans="1:15" x14ac:dyDescent="0.3">
      <c r="A5071" s="130">
        <v>25910</v>
      </c>
      <c r="B5071" s="130">
        <v>30</v>
      </c>
      <c r="C5071" s="130" t="s">
        <v>6695</v>
      </c>
      <c r="D5071">
        <v>39797</v>
      </c>
      <c r="E5071" s="131">
        <v>33390659</v>
      </c>
      <c r="F5071" t="s">
        <v>113</v>
      </c>
      <c r="G5071">
        <v>76</v>
      </c>
      <c r="H5071" t="s">
        <v>8953</v>
      </c>
      <c r="I5071" s="131">
        <v>18</v>
      </c>
      <c r="J5071" t="s">
        <v>6695</v>
      </c>
      <c r="K5071" t="s">
        <v>108</v>
      </c>
      <c r="L5071" t="s">
        <v>123</v>
      </c>
      <c r="M5071" t="s">
        <v>103</v>
      </c>
      <c r="N5071" t="s">
        <v>152</v>
      </c>
      <c r="O5071" t="s">
        <v>1256</v>
      </c>
    </row>
    <row r="5072" spans="1:15" x14ac:dyDescent="0.3">
      <c r="A5072" s="130">
        <v>25914</v>
      </c>
      <c r="B5072" s="130">
        <v>21</v>
      </c>
      <c r="C5072" s="130" t="s">
        <v>6696</v>
      </c>
      <c r="D5072">
        <v>39803</v>
      </c>
      <c r="E5072" s="130">
        <v>50765288</v>
      </c>
      <c r="F5072" t="s">
        <v>113</v>
      </c>
      <c r="G5072">
        <v>76</v>
      </c>
      <c r="H5072" t="s">
        <v>8951</v>
      </c>
      <c r="I5072" s="130">
        <v>24</v>
      </c>
      <c r="J5072" t="s">
        <v>6696</v>
      </c>
      <c r="K5072" t="s">
        <v>108</v>
      </c>
      <c r="L5072" t="s">
        <v>240</v>
      </c>
      <c r="M5072" t="s">
        <v>137</v>
      </c>
      <c r="N5072" t="s">
        <v>98</v>
      </c>
      <c r="O5072" t="s">
        <v>1256</v>
      </c>
    </row>
    <row r="5073" spans="1:15" x14ac:dyDescent="0.3">
      <c r="A5073" s="130">
        <v>25915</v>
      </c>
      <c r="B5073" s="130">
        <v>10</v>
      </c>
      <c r="C5073" s="130" t="s">
        <v>6697</v>
      </c>
      <c r="D5073">
        <v>39750</v>
      </c>
      <c r="E5073" s="131">
        <v>21481303</v>
      </c>
      <c r="F5073" t="s">
        <v>113</v>
      </c>
      <c r="G5073">
        <v>76</v>
      </c>
      <c r="H5073" t="s">
        <v>8952</v>
      </c>
      <c r="I5073" s="130">
        <v>9</v>
      </c>
      <c r="J5073" t="s">
        <v>6697</v>
      </c>
      <c r="K5073" t="s">
        <v>108</v>
      </c>
      <c r="L5073" t="s">
        <v>163</v>
      </c>
      <c r="M5073" t="s">
        <v>133</v>
      </c>
      <c r="N5073" t="s">
        <v>98</v>
      </c>
      <c r="O5073" t="s">
        <v>1256</v>
      </c>
    </row>
    <row r="5074" spans="1:15" x14ac:dyDescent="0.3">
      <c r="A5074" s="130">
        <v>25924</v>
      </c>
      <c r="B5074" s="130">
        <v>30</v>
      </c>
      <c r="C5074" s="130" t="s">
        <v>6698</v>
      </c>
      <c r="D5074">
        <v>39818</v>
      </c>
      <c r="E5074" s="130">
        <v>13623957</v>
      </c>
      <c r="F5074" t="s">
        <v>87</v>
      </c>
      <c r="G5074">
        <v>76</v>
      </c>
      <c r="H5074" t="s">
        <v>8953</v>
      </c>
      <c r="I5074" s="130">
        <v>18</v>
      </c>
      <c r="J5074" t="s">
        <v>6698</v>
      </c>
      <c r="K5074" t="s">
        <v>95</v>
      </c>
      <c r="L5074" t="s">
        <v>123</v>
      </c>
      <c r="M5074" t="s">
        <v>103</v>
      </c>
      <c r="N5074" t="s">
        <v>98</v>
      </c>
      <c r="O5074" t="s">
        <v>116</v>
      </c>
    </row>
    <row r="5075" spans="1:15" x14ac:dyDescent="0.3">
      <c r="A5075" s="130">
        <v>25926</v>
      </c>
      <c r="B5075" s="130">
        <v>30</v>
      </c>
      <c r="C5075" s="130" t="s">
        <v>6699</v>
      </c>
      <c r="D5075">
        <v>39821</v>
      </c>
      <c r="E5075" s="130">
        <v>5515245</v>
      </c>
      <c r="F5075" t="s">
        <v>87</v>
      </c>
      <c r="G5075">
        <v>76</v>
      </c>
      <c r="H5075" t="s">
        <v>8951</v>
      </c>
      <c r="I5075" s="130">
        <v>9</v>
      </c>
      <c r="J5075" t="s">
        <v>6699</v>
      </c>
      <c r="K5075" t="s">
        <v>95</v>
      </c>
      <c r="L5075" t="s">
        <v>163</v>
      </c>
      <c r="M5075" t="s">
        <v>103</v>
      </c>
      <c r="N5075" t="s">
        <v>98</v>
      </c>
      <c r="O5075" t="s">
        <v>1256</v>
      </c>
    </row>
    <row r="5076" spans="1:15" x14ac:dyDescent="0.3">
      <c r="A5076" s="130">
        <v>25927</v>
      </c>
      <c r="B5076" s="130">
        <v>28</v>
      </c>
      <c r="C5076" s="130" t="s">
        <v>6700</v>
      </c>
      <c r="D5076">
        <v>39822</v>
      </c>
      <c r="E5076" s="130">
        <v>32159966</v>
      </c>
      <c r="F5076" t="s">
        <v>113</v>
      </c>
      <c r="G5076">
        <v>76</v>
      </c>
      <c r="H5076" t="s">
        <v>8952</v>
      </c>
      <c r="I5076" s="130">
        <v>18</v>
      </c>
      <c r="J5076" t="s">
        <v>6700</v>
      </c>
      <c r="K5076" t="s">
        <v>108</v>
      </c>
      <c r="L5076" t="s">
        <v>253</v>
      </c>
      <c r="M5076" t="s">
        <v>130</v>
      </c>
      <c r="N5076" t="s">
        <v>98</v>
      </c>
      <c r="O5076" t="s">
        <v>1256</v>
      </c>
    </row>
    <row r="5077" spans="1:15" x14ac:dyDescent="0.3">
      <c r="A5077" s="130">
        <v>25928</v>
      </c>
      <c r="B5077" s="130">
        <v>30</v>
      </c>
      <c r="C5077" s="130" t="s">
        <v>6701</v>
      </c>
      <c r="D5077">
        <v>39701</v>
      </c>
      <c r="E5077" s="130">
        <v>3091412</v>
      </c>
      <c r="F5077" t="s">
        <v>113</v>
      </c>
      <c r="G5077">
        <v>76</v>
      </c>
      <c r="H5077" t="s">
        <v>8953</v>
      </c>
      <c r="I5077" s="131">
        <v>24</v>
      </c>
      <c r="J5077" t="s">
        <v>6701</v>
      </c>
      <c r="K5077" t="s">
        <v>95</v>
      </c>
      <c r="L5077" t="s">
        <v>1253</v>
      </c>
      <c r="M5077" t="s">
        <v>103</v>
      </c>
      <c r="N5077" t="s">
        <v>98</v>
      </c>
      <c r="O5077" t="s">
        <v>1256</v>
      </c>
    </row>
    <row r="5078" spans="1:15" x14ac:dyDescent="0.3">
      <c r="A5078" s="130">
        <v>25929</v>
      </c>
      <c r="C5078" s="130" t="s">
        <v>6702</v>
      </c>
      <c r="D5078">
        <v>39823</v>
      </c>
      <c r="E5078" s="130">
        <v>21005318</v>
      </c>
      <c r="F5078" t="s">
        <v>113</v>
      </c>
      <c r="G5078">
        <v>32947</v>
      </c>
      <c r="H5078" t="s">
        <v>8951</v>
      </c>
      <c r="I5078" s="130">
        <v>3</v>
      </c>
      <c r="J5078" t="s">
        <v>6702</v>
      </c>
      <c r="K5078" t="s">
        <v>108</v>
      </c>
      <c r="L5078" t="s">
        <v>109</v>
      </c>
      <c r="N5078" t="s">
        <v>152</v>
      </c>
      <c r="O5078" t="s">
        <v>1256</v>
      </c>
    </row>
    <row r="5079" spans="1:15" x14ac:dyDescent="0.3">
      <c r="A5079" s="130">
        <v>25930</v>
      </c>
      <c r="B5079" s="130">
        <v>10</v>
      </c>
      <c r="C5079" s="130" t="s">
        <v>6703</v>
      </c>
      <c r="D5079">
        <v>39820</v>
      </c>
      <c r="E5079" s="131">
        <v>12669180</v>
      </c>
      <c r="F5079" t="s">
        <v>87</v>
      </c>
      <c r="G5079">
        <v>76</v>
      </c>
      <c r="H5079" t="s">
        <v>8952</v>
      </c>
      <c r="I5079" s="131">
        <v>9</v>
      </c>
      <c r="J5079" t="s">
        <v>6703</v>
      </c>
      <c r="K5079" t="s">
        <v>108</v>
      </c>
      <c r="L5079" t="s">
        <v>163</v>
      </c>
      <c r="M5079" t="s">
        <v>133</v>
      </c>
      <c r="N5079" t="s">
        <v>98</v>
      </c>
      <c r="O5079" t="s">
        <v>1256</v>
      </c>
    </row>
    <row r="5080" spans="1:15" x14ac:dyDescent="0.3">
      <c r="A5080" s="130">
        <v>25931</v>
      </c>
      <c r="B5080" s="130">
        <v>28</v>
      </c>
      <c r="C5080" s="130" t="s">
        <v>6704</v>
      </c>
      <c r="D5080">
        <v>39824</v>
      </c>
      <c r="E5080" s="130">
        <v>13477795</v>
      </c>
      <c r="F5080" t="s">
        <v>113</v>
      </c>
      <c r="G5080">
        <v>76</v>
      </c>
      <c r="H5080" t="s">
        <v>8953</v>
      </c>
      <c r="I5080" s="131">
        <v>18</v>
      </c>
      <c r="J5080" t="s">
        <v>6704</v>
      </c>
      <c r="K5080" t="s">
        <v>108</v>
      </c>
      <c r="L5080" t="s">
        <v>253</v>
      </c>
      <c r="M5080" t="s">
        <v>130</v>
      </c>
      <c r="N5080" t="s">
        <v>98</v>
      </c>
      <c r="O5080" t="s">
        <v>1256</v>
      </c>
    </row>
    <row r="5081" spans="1:15" x14ac:dyDescent="0.3">
      <c r="A5081" s="130">
        <v>25933</v>
      </c>
      <c r="B5081" s="130">
        <v>21</v>
      </c>
      <c r="C5081" s="130" t="s">
        <v>6705</v>
      </c>
      <c r="D5081">
        <v>39826</v>
      </c>
      <c r="E5081" s="130">
        <v>36027900</v>
      </c>
      <c r="F5081" t="s">
        <v>113</v>
      </c>
      <c r="G5081">
        <v>76</v>
      </c>
      <c r="H5081" t="s">
        <v>8951</v>
      </c>
      <c r="I5081" s="130">
        <v>24</v>
      </c>
      <c r="J5081" t="s">
        <v>6705</v>
      </c>
      <c r="K5081" t="s">
        <v>108</v>
      </c>
      <c r="L5081" t="s">
        <v>191</v>
      </c>
      <c r="M5081" t="s">
        <v>137</v>
      </c>
      <c r="N5081" t="s">
        <v>124</v>
      </c>
      <c r="O5081" t="s">
        <v>1256</v>
      </c>
    </row>
    <row r="5082" spans="1:15" x14ac:dyDescent="0.3">
      <c r="A5082" s="130">
        <v>25935</v>
      </c>
      <c r="B5082" s="130">
        <v>21</v>
      </c>
      <c r="C5082" s="130" t="s">
        <v>6706</v>
      </c>
      <c r="D5082">
        <v>39829</v>
      </c>
      <c r="E5082" s="130">
        <v>8165642</v>
      </c>
      <c r="F5082" t="s">
        <v>113</v>
      </c>
      <c r="G5082">
        <v>76</v>
      </c>
      <c r="H5082" t="s">
        <v>8952</v>
      </c>
      <c r="I5082" s="130">
        <v>24</v>
      </c>
      <c r="J5082" t="s">
        <v>6706</v>
      </c>
      <c r="K5082" t="s">
        <v>108</v>
      </c>
      <c r="L5082" t="s">
        <v>240</v>
      </c>
      <c r="M5082" t="s">
        <v>137</v>
      </c>
      <c r="N5082" t="s">
        <v>122</v>
      </c>
      <c r="O5082" t="s">
        <v>1256</v>
      </c>
    </row>
    <row r="5083" spans="1:15" x14ac:dyDescent="0.3">
      <c r="A5083" s="130">
        <v>25936</v>
      </c>
      <c r="B5083" s="130">
        <v>21</v>
      </c>
      <c r="C5083" s="130" t="s">
        <v>6707</v>
      </c>
      <c r="D5083">
        <v>39807</v>
      </c>
      <c r="E5083" s="131">
        <v>55023386</v>
      </c>
      <c r="F5083" t="s">
        <v>113</v>
      </c>
      <c r="G5083">
        <v>76</v>
      </c>
      <c r="H5083" t="s">
        <v>8953</v>
      </c>
      <c r="I5083" s="131">
        <v>24</v>
      </c>
      <c r="J5083" t="s">
        <v>6707</v>
      </c>
      <c r="K5083" t="s">
        <v>108</v>
      </c>
      <c r="L5083" t="s">
        <v>240</v>
      </c>
      <c r="M5083" t="s">
        <v>137</v>
      </c>
      <c r="N5083" t="s">
        <v>114</v>
      </c>
      <c r="O5083" t="s">
        <v>1256</v>
      </c>
    </row>
    <row r="5084" spans="1:15" x14ac:dyDescent="0.3">
      <c r="A5084" s="130">
        <v>25938</v>
      </c>
      <c r="B5084" s="130">
        <v>21</v>
      </c>
      <c r="C5084" s="130" t="s">
        <v>6708</v>
      </c>
      <c r="D5084">
        <v>39836</v>
      </c>
      <c r="E5084" s="130">
        <v>3852459</v>
      </c>
      <c r="F5084" t="s">
        <v>87</v>
      </c>
      <c r="G5084">
        <v>76</v>
      </c>
      <c r="H5084" t="s">
        <v>8951</v>
      </c>
      <c r="I5084" s="130">
        <v>24</v>
      </c>
      <c r="J5084" t="s">
        <v>6708</v>
      </c>
      <c r="K5084" t="s">
        <v>108</v>
      </c>
      <c r="L5084" t="s">
        <v>191</v>
      </c>
      <c r="M5084" t="s">
        <v>137</v>
      </c>
      <c r="N5084" t="s">
        <v>98</v>
      </c>
      <c r="O5084" t="s">
        <v>1256</v>
      </c>
    </row>
    <row r="5085" spans="1:15" x14ac:dyDescent="0.3">
      <c r="A5085" s="130">
        <v>25939</v>
      </c>
      <c r="B5085" s="130">
        <v>21</v>
      </c>
      <c r="C5085" s="130" t="s">
        <v>6709</v>
      </c>
      <c r="D5085">
        <v>39841</v>
      </c>
      <c r="E5085" s="131">
        <v>45096989</v>
      </c>
      <c r="F5085" t="s">
        <v>87</v>
      </c>
      <c r="G5085">
        <v>76</v>
      </c>
      <c r="H5085" t="s">
        <v>8952</v>
      </c>
      <c r="I5085" s="130">
        <v>24</v>
      </c>
      <c r="J5085" t="s">
        <v>6709</v>
      </c>
      <c r="K5085" t="s">
        <v>108</v>
      </c>
      <c r="L5085" t="s">
        <v>240</v>
      </c>
      <c r="M5085" t="s">
        <v>137</v>
      </c>
      <c r="N5085" t="s">
        <v>107</v>
      </c>
      <c r="O5085" t="s">
        <v>1256</v>
      </c>
    </row>
    <row r="5086" spans="1:15" x14ac:dyDescent="0.3">
      <c r="A5086" s="130">
        <v>25940</v>
      </c>
      <c r="B5086" s="130">
        <v>14</v>
      </c>
      <c r="C5086" s="130" t="s">
        <v>6710</v>
      </c>
      <c r="D5086">
        <v>39844</v>
      </c>
      <c r="E5086" s="130">
        <v>52830125</v>
      </c>
      <c r="F5086" t="s">
        <v>113</v>
      </c>
      <c r="G5086">
        <v>32947</v>
      </c>
      <c r="H5086" t="s">
        <v>8953</v>
      </c>
      <c r="I5086" s="130">
        <v>43</v>
      </c>
      <c r="J5086" t="s">
        <v>6710</v>
      </c>
      <c r="K5086" t="s">
        <v>108</v>
      </c>
      <c r="L5086" t="s">
        <v>1241</v>
      </c>
      <c r="M5086" t="s">
        <v>179</v>
      </c>
      <c r="N5086" t="s">
        <v>98</v>
      </c>
      <c r="O5086" t="s">
        <v>1256</v>
      </c>
    </row>
    <row r="5087" spans="1:15" x14ac:dyDescent="0.3">
      <c r="A5087" s="130">
        <v>25947</v>
      </c>
      <c r="B5087" s="130">
        <v>30</v>
      </c>
      <c r="C5087" s="130" t="s">
        <v>6711</v>
      </c>
      <c r="D5087">
        <v>39853</v>
      </c>
      <c r="E5087" s="130">
        <v>8054995</v>
      </c>
      <c r="F5087" t="s">
        <v>87</v>
      </c>
      <c r="G5087">
        <v>76</v>
      </c>
      <c r="H5087" t="s">
        <v>8951</v>
      </c>
      <c r="I5087" s="130">
        <v>10</v>
      </c>
      <c r="J5087" t="s">
        <v>6711</v>
      </c>
      <c r="K5087" t="s">
        <v>95</v>
      </c>
      <c r="L5087" t="s">
        <v>111</v>
      </c>
      <c r="M5087" t="s">
        <v>103</v>
      </c>
      <c r="N5087" t="s">
        <v>98</v>
      </c>
      <c r="O5087" t="s">
        <v>116</v>
      </c>
    </row>
    <row r="5088" spans="1:15" x14ac:dyDescent="0.3">
      <c r="A5088" s="130">
        <v>25954</v>
      </c>
      <c r="B5088" s="130">
        <v>18</v>
      </c>
      <c r="C5088" s="130" t="s">
        <v>6712</v>
      </c>
      <c r="D5088">
        <v>39869</v>
      </c>
      <c r="E5088" s="131">
        <v>41357178</v>
      </c>
      <c r="F5088" t="s">
        <v>87</v>
      </c>
      <c r="G5088">
        <v>76</v>
      </c>
      <c r="H5088" t="s">
        <v>8952</v>
      </c>
      <c r="I5088" s="130">
        <v>37</v>
      </c>
      <c r="J5088" t="s">
        <v>6712</v>
      </c>
      <c r="K5088" t="s">
        <v>108</v>
      </c>
      <c r="L5088" t="s">
        <v>138</v>
      </c>
      <c r="M5088" t="s">
        <v>112</v>
      </c>
      <c r="N5088" t="s">
        <v>150</v>
      </c>
      <c r="O5088" t="s">
        <v>116</v>
      </c>
    </row>
    <row r="5089" spans="1:15" x14ac:dyDescent="0.3">
      <c r="A5089" s="130">
        <v>25955</v>
      </c>
      <c r="B5089" s="130">
        <v>30</v>
      </c>
      <c r="C5089" s="130" t="s">
        <v>6713</v>
      </c>
      <c r="D5089">
        <v>39809</v>
      </c>
      <c r="E5089" s="130">
        <v>5793399</v>
      </c>
      <c r="F5089" t="s">
        <v>87</v>
      </c>
      <c r="G5089">
        <v>32947</v>
      </c>
      <c r="H5089" t="s">
        <v>8953</v>
      </c>
      <c r="I5089" s="130">
        <v>3</v>
      </c>
      <c r="J5089" t="s">
        <v>6713</v>
      </c>
      <c r="K5089" t="s">
        <v>108</v>
      </c>
      <c r="L5089" t="s">
        <v>193</v>
      </c>
      <c r="M5089" t="s">
        <v>103</v>
      </c>
      <c r="N5089" t="s">
        <v>98</v>
      </c>
      <c r="O5089" t="s">
        <v>116</v>
      </c>
    </row>
    <row r="5090" spans="1:15" x14ac:dyDescent="0.3">
      <c r="A5090" s="130">
        <v>25961</v>
      </c>
      <c r="B5090" s="130">
        <v>10</v>
      </c>
      <c r="C5090" s="130" t="s">
        <v>6714</v>
      </c>
      <c r="D5090">
        <v>39882</v>
      </c>
      <c r="E5090" s="130">
        <v>25618133</v>
      </c>
      <c r="F5090" t="s">
        <v>87</v>
      </c>
      <c r="G5090">
        <v>76</v>
      </c>
      <c r="H5090" t="s">
        <v>8951</v>
      </c>
      <c r="I5090" s="130">
        <v>3</v>
      </c>
      <c r="J5090" t="s">
        <v>6714</v>
      </c>
      <c r="K5090" t="s">
        <v>95</v>
      </c>
      <c r="L5090" t="s">
        <v>925</v>
      </c>
      <c r="M5090" t="s">
        <v>133</v>
      </c>
      <c r="N5090" t="s">
        <v>98</v>
      </c>
      <c r="O5090" t="s">
        <v>1256</v>
      </c>
    </row>
    <row r="5091" spans="1:15" x14ac:dyDescent="0.3">
      <c r="A5091" s="130">
        <v>25963</v>
      </c>
      <c r="B5091" s="130">
        <v>21</v>
      </c>
      <c r="C5091" s="130" t="s">
        <v>6715</v>
      </c>
      <c r="D5091">
        <v>39885</v>
      </c>
      <c r="E5091" s="130">
        <v>9480159</v>
      </c>
      <c r="F5091" t="s">
        <v>87</v>
      </c>
      <c r="G5091">
        <v>76</v>
      </c>
      <c r="H5091" t="s">
        <v>8952</v>
      </c>
      <c r="I5091" s="130">
        <v>24</v>
      </c>
      <c r="J5091" t="s">
        <v>6715</v>
      </c>
      <c r="K5091" t="s">
        <v>108</v>
      </c>
      <c r="L5091" t="s">
        <v>191</v>
      </c>
      <c r="M5091" t="s">
        <v>137</v>
      </c>
      <c r="N5091" t="s">
        <v>98</v>
      </c>
      <c r="O5091" t="s">
        <v>1256</v>
      </c>
    </row>
    <row r="5092" spans="1:15" x14ac:dyDescent="0.3">
      <c r="A5092" s="130">
        <v>25966</v>
      </c>
      <c r="B5092" s="130">
        <v>0</v>
      </c>
      <c r="C5092" s="130" t="s">
        <v>6716</v>
      </c>
      <c r="D5092">
        <v>39889</v>
      </c>
      <c r="E5092" s="130">
        <v>9247075</v>
      </c>
      <c r="F5092" t="s">
        <v>87</v>
      </c>
      <c r="G5092">
        <v>76</v>
      </c>
      <c r="H5092" t="s">
        <v>8953</v>
      </c>
      <c r="I5092" s="130">
        <v>1</v>
      </c>
      <c r="J5092" t="s">
        <v>6716</v>
      </c>
      <c r="K5092" t="s">
        <v>108</v>
      </c>
      <c r="L5092" t="s">
        <v>1298</v>
      </c>
      <c r="M5092" t="s">
        <v>100</v>
      </c>
      <c r="N5092" t="s">
        <v>98</v>
      </c>
      <c r="O5092" t="s">
        <v>1256</v>
      </c>
    </row>
    <row r="5093" spans="1:15" x14ac:dyDescent="0.3">
      <c r="A5093" s="130">
        <v>25969</v>
      </c>
      <c r="C5093" s="130" t="s">
        <v>6717</v>
      </c>
      <c r="D5093">
        <v>39894</v>
      </c>
      <c r="E5093" s="131">
        <v>53040642</v>
      </c>
      <c r="F5093" t="s">
        <v>87</v>
      </c>
      <c r="G5093">
        <v>32947</v>
      </c>
      <c r="H5093" t="s">
        <v>8951</v>
      </c>
      <c r="I5093" s="131">
        <v>3</v>
      </c>
      <c r="J5093" t="s">
        <v>6717</v>
      </c>
      <c r="K5093" t="s">
        <v>108</v>
      </c>
      <c r="L5093" t="s">
        <v>109</v>
      </c>
      <c r="N5093" t="s">
        <v>98</v>
      </c>
      <c r="O5093" t="s">
        <v>1256</v>
      </c>
    </row>
    <row r="5094" spans="1:15" x14ac:dyDescent="0.3">
      <c r="A5094" s="130">
        <v>25971</v>
      </c>
      <c r="B5094" s="130">
        <v>21</v>
      </c>
      <c r="C5094" s="130" t="s">
        <v>6718</v>
      </c>
      <c r="D5094">
        <v>39902</v>
      </c>
      <c r="E5094" s="130">
        <v>3264493</v>
      </c>
      <c r="F5094" t="s">
        <v>87</v>
      </c>
      <c r="G5094">
        <v>76</v>
      </c>
      <c r="H5094" t="s">
        <v>8952</v>
      </c>
      <c r="I5094" s="131">
        <v>24</v>
      </c>
      <c r="J5094" t="s">
        <v>6718</v>
      </c>
      <c r="K5094" t="s">
        <v>108</v>
      </c>
      <c r="L5094" t="s">
        <v>240</v>
      </c>
      <c r="M5094" t="s">
        <v>137</v>
      </c>
      <c r="N5094" t="s">
        <v>98</v>
      </c>
      <c r="O5094" t="s">
        <v>1256</v>
      </c>
    </row>
    <row r="5095" spans="1:15" x14ac:dyDescent="0.3">
      <c r="A5095" s="130">
        <v>25973</v>
      </c>
      <c r="B5095" s="130">
        <v>18</v>
      </c>
      <c r="C5095" s="130" t="s">
        <v>6719</v>
      </c>
      <c r="D5095">
        <v>39909</v>
      </c>
      <c r="E5095" s="130">
        <v>9247075</v>
      </c>
      <c r="F5095" t="s">
        <v>87</v>
      </c>
      <c r="G5095">
        <v>76</v>
      </c>
      <c r="H5095" t="s">
        <v>8953</v>
      </c>
      <c r="I5095" s="131">
        <v>9</v>
      </c>
      <c r="J5095" t="s">
        <v>6719</v>
      </c>
      <c r="K5095" t="s">
        <v>108</v>
      </c>
      <c r="L5095" t="s">
        <v>1298</v>
      </c>
      <c r="M5095" t="s">
        <v>112</v>
      </c>
      <c r="N5095" t="s">
        <v>98</v>
      </c>
      <c r="O5095" t="s">
        <v>1256</v>
      </c>
    </row>
    <row r="5096" spans="1:15" x14ac:dyDescent="0.3">
      <c r="A5096" s="130">
        <v>25974</v>
      </c>
      <c r="B5096" s="130">
        <v>30</v>
      </c>
      <c r="C5096" s="130" t="s">
        <v>6720</v>
      </c>
      <c r="D5096">
        <v>39911</v>
      </c>
      <c r="E5096" s="130">
        <v>1606606</v>
      </c>
      <c r="F5096" t="s">
        <v>87</v>
      </c>
      <c r="G5096">
        <v>76</v>
      </c>
      <c r="H5096" t="s">
        <v>8951</v>
      </c>
      <c r="I5096" s="130">
        <v>18</v>
      </c>
      <c r="J5096" t="s">
        <v>6720</v>
      </c>
      <c r="K5096" t="s">
        <v>108</v>
      </c>
      <c r="L5096" t="s">
        <v>123</v>
      </c>
      <c r="M5096" t="s">
        <v>103</v>
      </c>
      <c r="N5096" t="s">
        <v>121</v>
      </c>
      <c r="O5096" t="s">
        <v>1256</v>
      </c>
    </row>
    <row r="5097" spans="1:15" x14ac:dyDescent="0.3">
      <c r="A5097" s="130">
        <v>25976</v>
      </c>
      <c r="B5097" s="130">
        <v>10</v>
      </c>
      <c r="C5097" s="130" t="s">
        <v>6721</v>
      </c>
      <c r="D5097">
        <v>39917</v>
      </c>
      <c r="E5097" s="130">
        <v>11414555</v>
      </c>
      <c r="F5097" t="s">
        <v>87</v>
      </c>
      <c r="G5097">
        <v>32947</v>
      </c>
      <c r="H5097" t="s">
        <v>8952</v>
      </c>
      <c r="I5097" s="131">
        <v>24</v>
      </c>
      <c r="J5097" t="s">
        <v>6721</v>
      </c>
      <c r="K5097" t="s">
        <v>108</v>
      </c>
      <c r="L5097" t="s">
        <v>1293</v>
      </c>
      <c r="M5097" t="s">
        <v>133</v>
      </c>
      <c r="N5097" t="s">
        <v>98</v>
      </c>
      <c r="O5097" t="s">
        <v>1256</v>
      </c>
    </row>
    <row r="5098" spans="1:15" x14ac:dyDescent="0.3">
      <c r="A5098" s="130">
        <v>25977</v>
      </c>
      <c r="B5098" s="130">
        <v>30</v>
      </c>
      <c r="C5098" s="130" t="s">
        <v>6722</v>
      </c>
      <c r="D5098">
        <v>39922</v>
      </c>
      <c r="E5098" s="130">
        <v>17193590</v>
      </c>
      <c r="F5098" t="s">
        <v>87</v>
      </c>
      <c r="G5098">
        <v>76</v>
      </c>
      <c r="H5098" t="s">
        <v>8953</v>
      </c>
      <c r="I5098" s="131">
        <v>24</v>
      </c>
      <c r="J5098" t="s">
        <v>6722</v>
      </c>
      <c r="K5098" t="s">
        <v>95</v>
      </c>
      <c r="L5098" t="s">
        <v>191</v>
      </c>
      <c r="M5098" t="s">
        <v>103</v>
      </c>
      <c r="N5098" t="s">
        <v>98</v>
      </c>
      <c r="O5098" t="s">
        <v>1256</v>
      </c>
    </row>
    <row r="5099" spans="1:15" x14ac:dyDescent="0.3">
      <c r="A5099" s="130">
        <v>25978</v>
      </c>
      <c r="B5099" s="130">
        <v>21</v>
      </c>
      <c r="C5099" s="130" t="s">
        <v>6723</v>
      </c>
      <c r="D5099">
        <v>39924</v>
      </c>
      <c r="E5099" s="130">
        <v>58853169</v>
      </c>
      <c r="F5099" t="s">
        <v>87</v>
      </c>
      <c r="G5099">
        <v>76</v>
      </c>
      <c r="H5099" t="s">
        <v>8951</v>
      </c>
      <c r="I5099" s="130">
        <v>24</v>
      </c>
      <c r="J5099" t="s">
        <v>6723</v>
      </c>
      <c r="K5099" t="s">
        <v>108</v>
      </c>
      <c r="L5099" t="s">
        <v>240</v>
      </c>
      <c r="M5099" t="s">
        <v>137</v>
      </c>
      <c r="N5099" t="s">
        <v>98</v>
      </c>
      <c r="O5099" t="s">
        <v>1256</v>
      </c>
    </row>
    <row r="5100" spans="1:15" x14ac:dyDescent="0.3">
      <c r="A5100" s="130">
        <v>25979</v>
      </c>
      <c r="B5100" s="130">
        <v>21</v>
      </c>
      <c r="C5100" s="130" t="s">
        <v>6724</v>
      </c>
      <c r="D5100">
        <v>39925</v>
      </c>
      <c r="E5100" s="130">
        <v>34976494</v>
      </c>
      <c r="F5100" t="s">
        <v>113</v>
      </c>
      <c r="G5100">
        <v>76</v>
      </c>
      <c r="H5100" t="s">
        <v>8952</v>
      </c>
      <c r="I5100" s="130">
        <v>24</v>
      </c>
      <c r="J5100" t="s">
        <v>6724</v>
      </c>
      <c r="K5100" t="s">
        <v>108</v>
      </c>
      <c r="L5100" t="s">
        <v>191</v>
      </c>
      <c r="M5100" t="s">
        <v>137</v>
      </c>
      <c r="N5100" t="s">
        <v>98</v>
      </c>
      <c r="O5100" t="s">
        <v>1256</v>
      </c>
    </row>
    <row r="5101" spans="1:15" x14ac:dyDescent="0.3">
      <c r="A5101" s="130">
        <v>25980</v>
      </c>
      <c r="B5101" s="130">
        <v>21</v>
      </c>
      <c r="C5101" s="130" t="s">
        <v>6725</v>
      </c>
      <c r="D5101">
        <v>39926</v>
      </c>
      <c r="E5101" s="130">
        <v>30017321</v>
      </c>
      <c r="F5101" t="s">
        <v>87</v>
      </c>
      <c r="G5101">
        <v>76</v>
      </c>
      <c r="H5101" t="s">
        <v>8953</v>
      </c>
      <c r="I5101" s="130">
        <v>24</v>
      </c>
      <c r="J5101" t="s">
        <v>6725</v>
      </c>
      <c r="K5101" t="s">
        <v>108</v>
      </c>
      <c r="L5101" t="s">
        <v>240</v>
      </c>
      <c r="M5101" t="s">
        <v>137</v>
      </c>
      <c r="N5101" t="s">
        <v>114</v>
      </c>
      <c r="O5101" t="s">
        <v>1256</v>
      </c>
    </row>
    <row r="5102" spans="1:15" x14ac:dyDescent="0.3">
      <c r="A5102" s="130">
        <v>25982</v>
      </c>
      <c r="B5102" s="130">
        <v>21</v>
      </c>
      <c r="C5102" s="130" t="s">
        <v>6726</v>
      </c>
      <c r="D5102">
        <v>39930</v>
      </c>
      <c r="E5102" s="130">
        <v>3852459</v>
      </c>
      <c r="F5102" t="s">
        <v>87</v>
      </c>
      <c r="G5102">
        <v>76</v>
      </c>
      <c r="H5102" t="s">
        <v>8951</v>
      </c>
      <c r="I5102" s="131">
        <v>24</v>
      </c>
      <c r="J5102" t="s">
        <v>6726</v>
      </c>
      <c r="K5102" t="s">
        <v>108</v>
      </c>
      <c r="L5102" t="s">
        <v>191</v>
      </c>
      <c r="M5102" t="s">
        <v>137</v>
      </c>
      <c r="N5102" t="s">
        <v>98</v>
      </c>
      <c r="O5102" t="s">
        <v>1256</v>
      </c>
    </row>
    <row r="5103" spans="1:15" x14ac:dyDescent="0.3">
      <c r="A5103" s="130">
        <v>25983</v>
      </c>
      <c r="B5103" s="130">
        <v>30</v>
      </c>
      <c r="C5103" s="130" t="s">
        <v>6727</v>
      </c>
      <c r="D5103">
        <v>39938</v>
      </c>
      <c r="E5103" s="130">
        <v>52599336</v>
      </c>
      <c r="F5103" t="s">
        <v>113</v>
      </c>
      <c r="G5103">
        <v>32947</v>
      </c>
      <c r="H5103" t="s">
        <v>8952</v>
      </c>
      <c r="I5103" s="130">
        <v>3</v>
      </c>
      <c r="J5103" t="s">
        <v>6727</v>
      </c>
      <c r="K5103" t="s">
        <v>108</v>
      </c>
      <c r="L5103" t="s">
        <v>109</v>
      </c>
      <c r="M5103" t="s">
        <v>103</v>
      </c>
      <c r="N5103" t="s">
        <v>118</v>
      </c>
      <c r="O5103" t="s">
        <v>1256</v>
      </c>
    </row>
    <row r="5104" spans="1:15" x14ac:dyDescent="0.3">
      <c r="A5104" s="130">
        <v>25985</v>
      </c>
      <c r="B5104" s="130">
        <v>21</v>
      </c>
      <c r="C5104" s="130" t="s">
        <v>6728</v>
      </c>
      <c r="D5104">
        <v>39943</v>
      </c>
      <c r="E5104" s="130">
        <v>59893545</v>
      </c>
      <c r="F5104" t="s">
        <v>87</v>
      </c>
      <c r="G5104">
        <v>76</v>
      </c>
      <c r="H5104" t="s">
        <v>8953</v>
      </c>
      <c r="I5104" s="130">
        <v>24</v>
      </c>
      <c r="J5104" t="s">
        <v>6728</v>
      </c>
      <c r="K5104" t="s">
        <v>108</v>
      </c>
      <c r="L5104" t="s">
        <v>191</v>
      </c>
      <c r="M5104" t="s">
        <v>137</v>
      </c>
      <c r="N5104" t="s">
        <v>98</v>
      </c>
      <c r="O5104" t="s">
        <v>1256</v>
      </c>
    </row>
    <row r="5105" spans="1:15" x14ac:dyDescent="0.3">
      <c r="A5105" s="130">
        <v>25988</v>
      </c>
      <c r="B5105" s="130">
        <v>30</v>
      </c>
      <c r="C5105" s="130" t="s">
        <v>6729</v>
      </c>
      <c r="D5105">
        <v>39947</v>
      </c>
      <c r="E5105" s="131">
        <v>17164435</v>
      </c>
      <c r="F5105" t="s">
        <v>87</v>
      </c>
      <c r="G5105">
        <v>76</v>
      </c>
      <c r="H5105" t="s">
        <v>8951</v>
      </c>
      <c r="I5105" s="130">
        <v>24</v>
      </c>
      <c r="J5105" t="s">
        <v>6729</v>
      </c>
      <c r="K5105" t="s">
        <v>95</v>
      </c>
      <c r="L5105" t="s">
        <v>1253</v>
      </c>
      <c r="M5105" t="s">
        <v>103</v>
      </c>
      <c r="N5105" t="s">
        <v>98</v>
      </c>
      <c r="O5105" t="s">
        <v>1256</v>
      </c>
    </row>
    <row r="5106" spans="1:15" x14ac:dyDescent="0.3">
      <c r="A5106" s="130">
        <v>25992</v>
      </c>
      <c r="B5106" s="130">
        <v>28</v>
      </c>
      <c r="C5106" s="130" t="s">
        <v>6730</v>
      </c>
      <c r="D5106">
        <v>39933</v>
      </c>
      <c r="E5106" s="131">
        <v>89723977</v>
      </c>
      <c r="F5106" t="s">
        <v>87</v>
      </c>
      <c r="G5106">
        <v>32947</v>
      </c>
      <c r="H5106" t="s">
        <v>8952</v>
      </c>
      <c r="I5106" s="131">
        <v>43</v>
      </c>
      <c r="J5106" t="s">
        <v>6730</v>
      </c>
      <c r="K5106" t="s">
        <v>108</v>
      </c>
      <c r="L5106" t="s">
        <v>1241</v>
      </c>
      <c r="M5106" t="s">
        <v>130</v>
      </c>
      <c r="N5106" t="s">
        <v>98</v>
      </c>
      <c r="O5106" t="s">
        <v>244</v>
      </c>
    </row>
    <row r="5107" spans="1:15" x14ac:dyDescent="0.3">
      <c r="A5107" s="130">
        <v>25994</v>
      </c>
      <c r="B5107" s="130">
        <v>30</v>
      </c>
      <c r="C5107" s="130" t="s">
        <v>6731</v>
      </c>
      <c r="D5107">
        <v>39970</v>
      </c>
      <c r="E5107" s="130">
        <v>5642273</v>
      </c>
      <c r="F5107" t="s">
        <v>87</v>
      </c>
      <c r="G5107">
        <v>76</v>
      </c>
      <c r="H5107" t="s">
        <v>8953</v>
      </c>
      <c r="I5107" s="130">
        <v>10</v>
      </c>
      <c r="J5107" t="s">
        <v>6731</v>
      </c>
      <c r="K5107" t="s">
        <v>95</v>
      </c>
      <c r="L5107" t="s">
        <v>127</v>
      </c>
      <c r="M5107" t="s">
        <v>103</v>
      </c>
      <c r="N5107" t="s">
        <v>118</v>
      </c>
      <c r="O5107" t="s">
        <v>116</v>
      </c>
    </row>
    <row r="5108" spans="1:15" x14ac:dyDescent="0.3">
      <c r="A5108" s="130">
        <v>25996</v>
      </c>
      <c r="B5108" s="130">
        <v>30</v>
      </c>
      <c r="C5108" s="130" t="s">
        <v>6732</v>
      </c>
      <c r="D5108">
        <v>39976</v>
      </c>
      <c r="E5108" s="131">
        <v>74174095</v>
      </c>
      <c r="F5108" t="s">
        <v>87</v>
      </c>
      <c r="G5108">
        <v>76</v>
      </c>
      <c r="H5108" t="s">
        <v>8951</v>
      </c>
      <c r="I5108" s="131">
        <v>38</v>
      </c>
      <c r="J5108" t="s">
        <v>6732</v>
      </c>
      <c r="K5108" t="s">
        <v>108</v>
      </c>
      <c r="L5108" t="s">
        <v>126</v>
      </c>
      <c r="M5108" t="s">
        <v>103</v>
      </c>
      <c r="N5108" t="s">
        <v>98</v>
      </c>
      <c r="O5108" t="s">
        <v>116</v>
      </c>
    </row>
    <row r="5109" spans="1:15" x14ac:dyDescent="0.3">
      <c r="A5109" s="130">
        <v>25997</v>
      </c>
      <c r="B5109" s="130">
        <v>18</v>
      </c>
      <c r="C5109" s="130" t="s">
        <v>6733</v>
      </c>
      <c r="D5109">
        <v>39978</v>
      </c>
      <c r="E5109" s="131">
        <v>6291846</v>
      </c>
      <c r="F5109" t="s">
        <v>87</v>
      </c>
      <c r="G5109">
        <v>76</v>
      </c>
      <c r="H5109" t="s">
        <v>8952</v>
      </c>
      <c r="I5109" s="131">
        <v>37</v>
      </c>
      <c r="J5109" t="s">
        <v>6733</v>
      </c>
      <c r="K5109" t="s">
        <v>95</v>
      </c>
      <c r="L5109" t="s">
        <v>138</v>
      </c>
      <c r="M5109" t="s">
        <v>112</v>
      </c>
      <c r="N5109" t="s">
        <v>150</v>
      </c>
      <c r="O5109" t="s">
        <v>116</v>
      </c>
    </row>
    <row r="5110" spans="1:15" x14ac:dyDescent="0.3">
      <c r="A5110" s="130">
        <v>25999</v>
      </c>
      <c r="B5110" s="130">
        <v>18</v>
      </c>
      <c r="C5110" s="130" t="s">
        <v>6734</v>
      </c>
      <c r="D5110">
        <v>39980</v>
      </c>
      <c r="E5110" s="130">
        <v>15803597</v>
      </c>
      <c r="F5110" t="s">
        <v>87</v>
      </c>
      <c r="G5110">
        <v>76</v>
      </c>
      <c r="H5110" t="s">
        <v>8953</v>
      </c>
      <c r="I5110" s="131">
        <v>26</v>
      </c>
      <c r="J5110" t="s">
        <v>6734</v>
      </c>
      <c r="K5110" t="s">
        <v>108</v>
      </c>
      <c r="L5110" t="s">
        <v>151</v>
      </c>
      <c r="M5110" t="s">
        <v>112</v>
      </c>
      <c r="N5110" t="s">
        <v>98</v>
      </c>
      <c r="O5110" t="s">
        <v>116</v>
      </c>
    </row>
    <row r="5111" spans="1:15" x14ac:dyDescent="0.3">
      <c r="A5111" s="130">
        <v>26001</v>
      </c>
      <c r="B5111" s="130">
        <v>21</v>
      </c>
      <c r="C5111" s="130" t="s">
        <v>6735</v>
      </c>
      <c r="D5111">
        <v>39982</v>
      </c>
      <c r="E5111" s="130">
        <v>54288341</v>
      </c>
      <c r="F5111" t="s">
        <v>113</v>
      </c>
      <c r="G5111">
        <v>76</v>
      </c>
      <c r="H5111" t="s">
        <v>8951</v>
      </c>
      <c r="I5111" s="130">
        <v>24</v>
      </c>
      <c r="J5111" t="s">
        <v>6735</v>
      </c>
      <c r="K5111" t="s">
        <v>108</v>
      </c>
      <c r="L5111" t="s">
        <v>240</v>
      </c>
      <c r="M5111" t="s">
        <v>137</v>
      </c>
      <c r="N5111" t="s">
        <v>98</v>
      </c>
      <c r="O5111" t="s">
        <v>1256</v>
      </c>
    </row>
    <row r="5112" spans="1:15" x14ac:dyDescent="0.3">
      <c r="A5112" s="130">
        <v>26003</v>
      </c>
      <c r="C5112" s="130" t="s">
        <v>6736</v>
      </c>
      <c r="D5112">
        <v>39975</v>
      </c>
      <c r="E5112" s="130">
        <v>12875291</v>
      </c>
      <c r="F5112" t="s">
        <v>113</v>
      </c>
      <c r="G5112">
        <v>32947</v>
      </c>
      <c r="H5112" t="s">
        <v>8952</v>
      </c>
      <c r="I5112" s="130">
        <v>55</v>
      </c>
      <c r="J5112" t="s">
        <v>6736</v>
      </c>
      <c r="K5112" t="s">
        <v>108</v>
      </c>
      <c r="L5112" t="s">
        <v>193</v>
      </c>
      <c r="N5112" t="s">
        <v>114</v>
      </c>
      <c r="O5112" t="s">
        <v>1256</v>
      </c>
    </row>
    <row r="5113" spans="1:15" x14ac:dyDescent="0.3">
      <c r="A5113" s="130">
        <v>26005</v>
      </c>
      <c r="B5113" s="130">
        <v>30</v>
      </c>
      <c r="C5113" s="130" t="s">
        <v>6737</v>
      </c>
      <c r="D5113">
        <v>39986</v>
      </c>
      <c r="E5113" s="130">
        <v>24996733</v>
      </c>
      <c r="F5113" t="s">
        <v>113</v>
      </c>
      <c r="G5113">
        <v>32947</v>
      </c>
      <c r="H5113" t="s">
        <v>8953</v>
      </c>
      <c r="I5113" s="131">
        <v>3</v>
      </c>
      <c r="J5113" t="s">
        <v>6737</v>
      </c>
      <c r="K5113" t="s">
        <v>108</v>
      </c>
      <c r="L5113" t="s">
        <v>109</v>
      </c>
      <c r="M5113" t="s">
        <v>103</v>
      </c>
      <c r="N5113" t="s">
        <v>101</v>
      </c>
      <c r="O5113" t="s">
        <v>1256</v>
      </c>
    </row>
    <row r="5114" spans="1:15" x14ac:dyDescent="0.3">
      <c r="A5114" s="130">
        <v>26006</v>
      </c>
      <c r="B5114" s="130">
        <v>30</v>
      </c>
      <c r="C5114" s="130" t="s">
        <v>6738</v>
      </c>
      <c r="D5114">
        <v>39987</v>
      </c>
      <c r="E5114" s="131">
        <v>17193590</v>
      </c>
      <c r="F5114" t="s">
        <v>87</v>
      </c>
      <c r="G5114">
        <v>76</v>
      </c>
      <c r="H5114" t="s">
        <v>8951</v>
      </c>
      <c r="I5114" s="130">
        <v>19</v>
      </c>
      <c r="J5114" t="s">
        <v>6738</v>
      </c>
      <c r="K5114" t="s">
        <v>108</v>
      </c>
      <c r="L5114" t="s">
        <v>146</v>
      </c>
      <c r="M5114" t="s">
        <v>103</v>
      </c>
      <c r="N5114" t="s">
        <v>98</v>
      </c>
      <c r="O5114" t="s">
        <v>1256</v>
      </c>
    </row>
    <row r="5115" spans="1:15" x14ac:dyDescent="0.3">
      <c r="A5115" s="130">
        <v>26007</v>
      </c>
      <c r="B5115" s="130">
        <v>30</v>
      </c>
      <c r="C5115" s="130" t="s">
        <v>6739</v>
      </c>
      <c r="D5115">
        <v>39992</v>
      </c>
      <c r="E5115" s="130">
        <v>33467079</v>
      </c>
      <c r="F5115" t="s">
        <v>113</v>
      </c>
      <c r="G5115">
        <v>32947</v>
      </c>
      <c r="H5115" t="s">
        <v>8952</v>
      </c>
      <c r="I5115" s="131">
        <v>3</v>
      </c>
      <c r="J5115" t="s">
        <v>6739</v>
      </c>
      <c r="K5115" t="s">
        <v>108</v>
      </c>
      <c r="L5115" t="s">
        <v>109</v>
      </c>
      <c r="M5115" t="s">
        <v>103</v>
      </c>
      <c r="N5115" t="s">
        <v>98</v>
      </c>
      <c r="O5115" t="s">
        <v>1256</v>
      </c>
    </row>
    <row r="5116" spans="1:15" x14ac:dyDescent="0.3">
      <c r="A5116" s="130">
        <v>26008</v>
      </c>
      <c r="B5116" s="130">
        <v>30</v>
      </c>
      <c r="C5116" s="130" t="s">
        <v>6740</v>
      </c>
      <c r="D5116">
        <v>39994</v>
      </c>
      <c r="E5116" s="131">
        <v>16565897</v>
      </c>
      <c r="F5116" t="s">
        <v>113</v>
      </c>
      <c r="G5116">
        <v>32947</v>
      </c>
      <c r="H5116" t="s">
        <v>8953</v>
      </c>
      <c r="I5116" s="130">
        <v>3</v>
      </c>
      <c r="J5116" t="s">
        <v>6740</v>
      </c>
      <c r="K5116" t="s">
        <v>108</v>
      </c>
      <c r="L5116" t="s">
        <v>109</v>
      </c>
      <c r="M5116" t="s">
        <v>103</v>
      </c>
      <c r="N5116" t="s">
        <v>118</v>
      </c>
      <c r="O5116" t="s">
        <v>1256</v>
      </c>
    </row>
    <row r="5117" spans="1:15" x14ac:dyDescent="0.3">
      <c r="A5117" s="130">
        <v>26009</v>
      </c>
      <c r="B5117" s="130">
        <v>10</v>
      </c>
      <c r="C5117" s="130" t="s">
        <v>6741</v>
      </c>
      <c r="D5117">
        <v>39996</v>
      </c>
      <c r="E5117" s="131">
        <v>32516008</v>
      </c>
      <c r="F5117" t="s">
        <v>87</v>
      </c>
      <c r="G5117">
        <v>76</v>
      </c>
      <c r="H5117" t="s">
        <v>8951</v>
      </c>
      <c r="I5117" s="130">
        <v>9</v>
      </c>
      <c r="J5117" t="s">
        <v>6741</v>
      </c>
      <c r="K5117" t="s">
        <v>108</v>
      </c>
      <c r="L5117" t="s">
        <v>163</v>
      </c>
      <c r="M5117" t="s">
        <v>133</v>
      </c>
      <c r="N5117" t="s">
        <v>98</v>
      </c>
      <c r="O5117" t="s">
        <v>1256</v>
      </c>
    </row>
    <row r="5118" spans="1:15" x14ac:dyDescent="0.3">
      <c r="A5118" s="130">
        <v>26010</v>
      </c>
      <c r="B5118" s="130">
        <v>30</v>
      </c>
      <c r="C5118" s="130" t="s">
        <v>6742</v>
      </c>
      <c r="D5118">
        <v>39997</v>
      </c>
      <c r="E5118" s="131">
        <v>42249760</v>
      </c>
      <c r="F5118" t="s">
        <v>87</v>
      </c>
      <c r="G5118">
        <v>76</v>
      </c>
      <c r="H5118" t="s">
        <v>8952</v>
      </c>
      <c r="I5118" s="130">
        <v>38</v>
      </c>
      <c r="J5118" t="s">
        <v>6742</v>
      </c>
      <c r="K5118" t="s">
        <v>108</v>
      </c>
      <c r="L5118" t="s">
        <v>126</v>
      </c>
      <c r="M5118" t="s">
        <v>103</v>
      </c>
      <c r="N5118" t="s">
        <v>98</v>
      </c>
      <c r="O5118" t="s">
        <v>116</v>
      </c>
    </row>
    <row r="5119" spans="1:15" x14ac:dyDescent="0.3">
      <c r="A5119" s="130">
        <v>26011</v>
      </c>
      <c r="B5119" s="130">
        <v>30</v>
      </c>
      <c r="C5119" s="130" t="s">
        <v>6743</v>
      </c>
      <c r="D5119">
        <v>40001</v>
      </c>
      <c r="E5119" s="131">
        <v>41331709</v>
      </c>
      <c r="F5119" t="s">
        <v>87</v>
      </c>
      <c r="G5119">
        <v>76</v>
      </c>
      <c r="H5119" t="s">
        <v>8953</v>
      </c>
      <c r="I5119" s="130">
        <v>19</v>
      </c>
      <c r="J5119" t="s">
        <v>6743</v>
      </c>
      <c r="K5119" t="s">
        <v>108</v>
      </c>
      <c r="L5119" t="s">
        <v>252</v>
      </c>
      <c r="M5119" t="s">
        <v>103</v>
      </c>
      <c r="N5119" t="s">
        <v>98</v>
      </c>
      <c r="O5119" t="s">
        <v>1256</v>
      </c>
    </row>
    <row r="5120" spans="1:15" x14ac:dyDescent="0.3">
      <c r="A5120" s="130">
        <v>26012</v>
      </c>
      <c r="B5120" s="130">
        <v>28</v>
      </c>
      <c r="C5120" s="130" t="s">
        <v>6744</v>
      </c>
      <c r="D5120">
        <v>40006</v>
      </c>
      <c r="E5120" s="131">
        <v>89723977</v>
      </c>
      <c r="F5120" t="s">
        <v>87</v>
      </c>
      <c r="G5120">
        <v>32947</v>
      </c>
      <c r="H5120" t="s">
        <v>8951</v>
      </c>
      <c r="I5120" s="131">
        <v>43</v>
      </c>
      <c r="J5120" t="s">
        <v>6744</v>
      </c>
      <c r="K5120" t="s">
        <v>108</v>
      </c>
      <c r="L5120" t="s">
        <v>1241</v>
      </c>
      <c r="M5120" t="s">
        <v>130</v>
      </c>
      <c r="N5120" t="s">
        <v>98</v>
      </c>
      <c r="O5120" t="s">
        <v>244</v>
      </c>
    </row>
    <row r="5121" spans="1:15" x14ac:dyDescent="0.3">
      <c r="A5121" s="130">
        <v>26013</v>
      </c>
      <c r="B5121" s="130">
        <v>30</v>
      </c>
      <c r="C5121" s="130" t="s">
        <v>6745</v>
      </c>
      <c r="D5121">
        <v>40008</v>
      </c>
      <c r="E5121" s="130">
        <v>4954351</v>
      </c>
      <c r="F5121" t="s">
        <v>87</v>
      </c>
      <c r="G5121">
        <v>76</v>
      </c>
      <c r="H5121" t="s">
        <v>8952</v>
      </c>
      <c r="I5121" s="130">
        <v>18</v>
      </c>
      <c r="J5121" t="s">
        <v>6745</v>
      </c>
      <c r="K5121" t="s">
        <v>108</v>
      </c>
      <c r="L5121" t="s">
        <v>123</v>
      </c>
      <c r="M5121" t="s">
        <v>103</v>
      </c>
      <c r="N5121" t="s">
        <v>169</v>
      </c>
      <c r="O5121" t="s">
        <v>1256</v>
      </c>
    </row>
    <row r="5122" spans="1:15" x14ac:dyDescent="0.3">
      <c r="A5122" s="130">
        <v>26019</v>
      </c>
      <c r="B5122" s="130">
        <v>10</v>
      </c>
      <c r="C5122" s="130" t="s">
        <v>6746</v>
      </c>
      <c r="D5122">
        <v>39989</v>
      </c>
      <c r="E5122" s="131">
        <v>21481886</v>
      </c>
      <c r="F5122" t="s">
        <v>113</v>
      </c>
      <c r="G5122">
        <v>32947</v>
      </c>
      <c r="H5122" t="s">
        <v>8953</v>
      </c>
      <c r="I5122" s="131">
        <v>43</v>
      </c>
      <c r="J5122" t="s">
        <v>6746</v>
      </c>
      <c r="K5122" t="s">
        <v>108</v>
      </c>
      <c r="L5122" t="s">
        <v>1241</v>
      </c>
      <c r="M5122" t="s">
        <v>133</v>
      </c>
      <c r="N5122" t="s">
        <v>124</v>
      </c>
      <c r="O5122" t="s">
        <v>1256</v>
      </c>
    </row>
    <row r="5123" spans="1:15" x14ac:dyDescent="0.3">
      <c r="A5123" s="130">
        <v>26021</v>
      </c>
      <c r="B5123" s="130">
        <v>18</v>
      </c>
      <c r="C5123" s="130" t="s">
        <v>6747</v>
      </c>
      <c r="D5123">
        <v>40026</v>
      </c>
      <c r="E5123" s="130">
        <v>9625762</v>
      </c>
      <c r="F5123" t="s">
        <v>87</v>
      </c>
      <c r="G5123">
        <v>32947</v>
      </c>
      <c r="H5123" t="s">
        <v>8951</v>
      </c>
      <c r="I5123" s="130">
        <v>43</v>
      </c>
      <c r="J5123" t="s">
        <v>6747</v>
      </c>
      <c r="K5123" t="s">
        <v>108</v>
      </c>
      <c r="L5123" t="s">
        <v>1241</v>
      </c>
      <c r="M5123" t="s">
        <v>112</v>
      </c>
      <c r="N5123" t="s">
        <v>98</v>
      </c>
      <c r="O5123" t="s">
        <v>1256</v>
      </c>
    </row>
    <row r="5124" spans="1:15" x14ac:dyDescent="0.3">
      <c r="A5124" s="130">
        <v>26025</v>
      </c>
      <c r="B5124" s="130">
        <v>0</v>
      </c>
      <c r="C5124" s="130" t="s">
        <v>6748</v>
      </c>
      <c r="D5124">
        <v>40029</v>
      </c>
      <c r="E5124" s="131">
        <v>10230480</v>
      </c>
      <c r="F5124" t="s">
        <v>87</v>
      </c>
      <c r="G5124">
        <v>76</v>
      </c>
      <c r="H5124" t="s">
        <v>8952</v>
      </c>
      <c r="I5124" s="131">
        <v>19</v>
      </c>
      <c r="J5124" t="s">
        <v>6748</v>
      </c>
      <c r="K5124" t="s">
        <v>108</v>
      </c>
      <c r="L5124" t="s">
        <v>252</v>
      </c>
      <c r="M5124" t="s">
        <v>100</v>
      </c>
      <c r="N5124" t="s">
        <v>98</v>
      </c>
      <c r="O5124" t="s">
        <v>1256</v>
      </c>
    </row>
    <row r="5125" spans="1:15" x14ac:dyDescent="0.3">
      <c r="A5125" s="130">
        <v>26027</v>
      </c>
      <c r="B5125" s="130">
        <v>30</v>
      </c>
      <c r="C5125" s="130" t="s">
        <v>6749</v>
      </c>
      <c r="D5125">
        <v>40036</v>
      </c>
      <c r="E5125" s="130">
        <v>10230480</v>
      </c>
      <c r="F5125" t="s">
        <v>87</v>
      </c>
      <c r="G5125">
        <v>76</v>
      </c>
      <c r="H5125" t="s">
        <v>8953</v>
      </c>
      <c r="I5125" s="131">
        <v>19</v>
      </c>
      <c r="J5125" t="s">
        <v>6749</v>
      </c>
      <c r="K5125" t="s">
        <v>108</v>
      </c>
      <c r="L5125" t="s">
        <v>252</v>
      </c>
      <c r="M5125" t="s">
        <v>103</v>
      </c>
      <c r="N5125" t="s">
        <v>101</v>
      </c>
      <c r="O5125" t="s">
        <v>1256</v>
      </c>
    </row>
    <row r="5126" spans="1:15" x14ac:dyDescent="0.3">
      <c r="A5126" s="130">
        <v>26028</v>
      </c>
      <c r="C5126" s="130" t="s">
        <v>6750</v>
      </c>
      <c r="D5126">
        <v>39421</v>
      </c>
      <c r="E5126" s="131">
        <v>38282487</v>
      </c>
      <c r="F5126" t="s">
        <v>113</v>
      </c>
      <c r="G5126">
        <v>77</v>
      </c>
      <c r="H5126" t="s">
        <v>8951</v>
      </c>
      <c r="I5126" s="130">
        <v>3</v>
      </c>
      <c r="J5126" t="s">
        <v>6750</v>
      </c>
      <c r="K5126" t="s">
        <v>95</v>
      </c>
      <c r="L5126" t="s">
        <v>1252</v>
      </c>
      <c r="N5126" t="s">
        <v>98</v>
      </c>
      <c r="O5126" t="s">
        <v>1256</v>
      </c>
    </row>
    <row r="5127" spans="1:15" x14ac:dyDescent="0.3">
      <c r="A5127" s="130">
        <v>26029</v>
      </c>
      <c r="B5127" s="130">
        <v>21</v>
      </c>
      <c r="C5127" s="130" t="s">
        <v>6751</v>
      </c>
      <c r="D5127">
        <v>40041</v>
      </c>
      <c r="E5127" s="130">
        <v>2580316</v>
      </c>
      <c r="F5127" t="s">
        <v>87</v>
      </c>
      <c r="G5127">
        <v>76</v>
      </c>
      <c r="H5127" t="s">
        <v>8952</v>
      </c>
      <c r="I5127" s="131">
        <v>24</v>
      </c>
      <c r="J5127" t="s">
        <v>6751</v>
      </c>
      <c r="K5127" t="s">
        <v>108</v>
      </c>
      <c r="L5127" t="s">
        <v>191</v>
      </c>
      <c r="M5127" t="s">
        <v>137</v>
      </c>
      <c r="N5127" t="s">
        <v>152</v>
      </c>
      <c r="O5127" t="s">
        <v>1256</v>
      </c>
    </row>
    <row r="5128" spans="1:15" x14ac:dyDescent="0.3">
      <c r="A5128" s="130">
        <v>26035</v>
      </c>
      <c r="B5128" s="130">
        <v>28</v>
      </c>
      <c r="C5128" s="130" t="s">
        <v>6752</v>
      </c>
      <c r="D5128">
        <v>40049</v>
      </c>
      <c r="E5128" s="130">
        <v>51466860</v>
      </c>
      <c r="F5128" t="s">
        <v>87</v>
      </c>
      <c r="G5128">
        <v>76</v>
      </c>
      <c r="H5128" t="s">
        <v>8953</v>
      </c>
      <c r="I5128" s="130">
        <v>37</v>
      </c>
      <c r="J5128" t="s">
        <v>6752</v>
      </c>
      <c r="K5128" t="s">
        <v>108</v>
      </c>
      <c r="L5128" t="s">
        <v>144</v>
      </c>
      <c r="M5128" t="s">
        <v>130</v>
      </c>
      <c r="N5128" t="s">
        <v>141</v>
      </c>
      <c r="O5128" t="s">
        <v>1256</v>
      </c>
    </row>
    <row r="5129" spans="1:15" x14ac:dyDescent="0.3">
      <c r="A5129" s="130">
        <v>26036</v>
      </c>
      <c r="B5129" s="130">
        <v>0</v>
      </c>
      <c r="C5129" s="130" t="s">
        <v>6753</v>
      </c>
      <c r="D5129">
        <v>40051</v>
      </c>
      <c r="E5129" s="131">
        <v>4169215</v>
      </c>
      <c r="F5129" t="s">
        <v>87</v>
      </c>
      <c r="G5129">
        <v>76</v>
      </c>
      <c r="H5129" t="s">
        <v>8951</v>
      </c>
      <c r="I5129" s="130">
        <v>9</v>
      </c>
      <c r="J5129" t="s">
        <v>6753</v>
      </c>
      <c r="K5129" t="s">
        <v>108</v>
      </c>
      <c r="L5129" t="s">
        <v>1298</v>
      </c>
      <c r="M5129" t="s">
        <v>100</v>
      </c>
      <c r="N5129" t="s">
        <v>169</v>
      </c>
      <c r="O5129" t="s">
        <v>1256</v>
      </c>
    </row>
    <row r="5130" spans="1:15" x14ac:dyDescent="0.3">
      <c r="A5130" s="130">
        <v>26038</v>
      </c>
      <c r="B5130" s="130">
        <v>28</v>
      </c>
      <c r="C5130" s="130" t="s">
        <v>6754</v>
      </c>
      <c r="D5130">
        <v>40054</v>
      </c>
      <c r="E5130" s="130">
        <v>78954286</v>
      </c>
      <c r="F5130" t="s">
        <v>87</v>
      </c>
      <c r="G5130">
        <v>76</v>
      </c>
      <c r="H5130" t="s">
        <v>8952</v>
      </c>
      <c r="I5130" s="131">
        <v>18</v>
      </c>
      <c r="J5130" t="s">
        <v>6754</v>
      </c>
      <c r="K5130" t="s">
        <v>108</v>
      </c>
      <c r="L5130" t="s">
        <v>253</v>
      </c>
      <c r="M5130" t="s">
        <v>130</v>
      </c>
      <c r="N5130" t="s">
        <v>152</v>
      </c>
      <c r="O5130" t="s">
        <v>1256</v>
      </c>
    </row>
    <row r="5131" spans="1:15" x14ac:dyDescent="0.3">
      <c r="A5131" s="130">
        <v>26041</v>
      </c>
      <c r="B5131" s="130">
        <v>35</v>
      </c>
      <c r="C5131" s="130" t="s">
        <v>6755</v>
      </c>
      <c r="D5131">
        <v>40005</v>
      </c>
      <c r="E5131" s="130">
        <v>34692778</v>
      </c>
      <c r="F5131" t="s">
        <v>87</v>
      </c>
      <c r="G5131">
        <v>77</v>
      </c>
      <c r="H5131" t="s">
        <v>8953</v>
      </c>
      <c r="I5131" s="130">
        <v>18</v>
      </c>
      <c r="J5131" t="s">
        <v>6755</v>
      </c>
      <c r="K5131" t="s">
        <v>95</v>
      </c>
      <c r="L5131" t="s">
        <v>256</v>
      </c>
      <c r="M5131" t="s">
        <v>161</v>
      </c>
      <c r="N5131" t="s">
        <v>98</v>
      </c>
      <c r="O5131" t="s">
        <v>116</v>
      </c>
    </row>
    <row r="5132" spans="1:15" x14ac:dyDescent="0.3">
      <c r="A5132" s="130">
        <v>26042</v>
      </c>
      <c r="B5132" s="130">
        <v>0</v>
      </c>
      <c r="C5132" s="130" t="s">
        <v>6756</v>
      </c>
      <c r="D5132">
        <v>40045</v>
      </c>
      <c r="E5132" s="130">
        <v>5851921</v>
      </c>
      <c r="F5132" t="s">
        <v>87</v>
      </c>
      <c r="G5132">
        <v>76</v>
      </c>
      <c r="H5132" t="s">
        <v>8951</v>
      </c>
      <c r="I5132" s="130">
        <v>24</v>
      </c>
      <c r="J5132" t="s">
        <v>6756</v>
      </c>
      <c r="K5132" t="s">
        <v>95</v>
      </c>
      <c r="L5132" t="s">
        <v>1253</v>
      </c>
      <c r="M5132" t="s">
        <v>100</v>
      </c>
      <c r="N5132" t="s">
        <v>98</v>
      </c>
      <c r="O5132" t="s">
        <v>1256</v>
      </c>
    </row>
    <row r="5133" spans="1:15" x14ac:dyDescent="0.3">
      <c r="A5133" s="130">
        <v>26044</v>
      </c>
      <c r="B5133" s="130">
        <v>28</v>
      </c>
      <c r="C5133" s="130" t="s">
        <v>6757</v>
      </c>
      <c r="D5133">
        <v>40060</v>
      </c>
      <c r="E5133" s="130">
        <v>51466860</v>
      </c>
      <c r="F5133" t="s">
        <v>87</v>
      </c>
      <c r="G5133">
        <v>76</v>
      </c>
      <c r="H5133" t="s">
        <v>8952</v>
      </c>
      <c r="I5133" s="130">
        <v>37</v>
      </c>
      <c r="J5133" t="s">
        <v>6757</v>
      </c>
      <c r="K5133" t="s">
        <v>108</v>
      </c>
      <c r="L5133" t="s">
        <v>144</v>
      </c>
      <c r="M5133" t="s">
        <v>130</v>
      </c>
      <c r="N5133" t="s">
        <v>141</v>
      </c>
      <c r="O5133" t="s">
        <v>1256</v>
      </c>
    </row>
    <row r="5134" spans="1:15" x14ac:dyDescent="0.3">
      <c r="A5134" s="130">
        <v>26046</v>
      </c>
      <c r="B5134" s="130">
        <v>10</v>
      </c>
      <c r="C5134" s="130" t="s">
        <v>6758</v>
      </c>
      <c r="D5134">
        <v>40064</v>
      </c>
      <c r="E5134" s="130">
        <v>201144</v>
      </c>
      <c r="F5134" t="s">
        <v>87</v>
      </c>
      <c r="G5134">
        <v>76</v>
      </c>
      <c r="H5134" t="s">
        <v>8953</v>
      </c>
      <c r="I5134" s="130">
        <v>3</v>
      </c>
      <c r="J5134" t="s">
        <v>6758</v>
      </c>
      <c r="K5134" t="s">
        <v>108</v>
      </c>
      <c r="L5134" t="s">
        <v>925</v>
      </c>
      <c r="M5134" t="s">
        <v>133</v>
      </c>
      <c r="N5134" t="s">
        <v>104</v>
      </c>
      <c r="O5134" t="s">
        <v>1256</v>
      </c>
    </row>
    <row r="5135" spans="1:15" x14ac:dyDescent="0.3">
      <c r="A5135" s="130">
        <v>26047</v>
      </c>
      <c r="B5135" s="130">
        <v>0</v>
      </c>
      <c r="C5135" s="130" t="s">
        <v>6759</v>
      </c>
      <c r="D5135">
        <v>40066</v>
      </c>
      <c r="E5135" s="131">
        <v>4933552</v>
      </c>
      <c r="F5135" t="s">
        <v>87</v>
      </c>
      <c r="G5135">
        <v>33359</v>
      </c>
      <c r="H5135" t="s">
        <v>8951</v>
      </c>
      <c r="I5135" s="131">
        <v>10</v>
      </c>
      <c r="J5135" t="s">
        <v>6759</v>
      </c>
      <c r="K5135" t="s">
        <v>95</v>
      </c>
      <c r="L5135" t="s">
        <v>251</v>
      </c>
      <c r="M5135" t="s">
        <v>100</v>
      </c>
      <c r="N5135" t="s">
        <v>131</v>
      </c>
      <c r="O5135" t="s">
        <v>244</v>
      </c>
    </row>
    <row r="5136" spans="1:15" x14ac:dyDescent="0.3">
      <c r="A5136" s="130">
        <v>26049</v>
      </c>
      <c r="B5136" s="130">
        <v>18</v>
      </c>
      <c r="C5136" s="130" t="s">
        <v>6760</v>
      </c>
      <c r="D5136">
        <v>40068</v>
      </c>
      <c r="E5136" s="130">
        <v>17069832</v>
      </c>
      <c r="F5136" t="s">
        <v>87</v>
      </c>
      <c r="G5136">
        <v>32947</v>
      </c>
      <c r="H5136" t="s">
        <v>8952</v>
      </c>
      <c r="I5136" s="130">
        <v>3</v>
      </c>
      <c r="J5136" t="s">
        <v>6760</v>
      </c>
      <c r="K5136" t="s">
        <v>108</v>
      </c>
      <c r="L5136" t="s">
        <v>193</v>
      </c>
      <c r="M5136" t="s">
        <v>112</v>
      </c>
      <c r="N5136" t="s">
        <v>98</v>
      </c>
      <c r="O5136" t="s">
        <v>116</v>
      </c>
    </row>
    <row r="5137" spans="1:15" x14ac:dyDescent="0.3">
      <c r="A5137" s="130">
        <v>26051</v>
      </c>
      <c r="B5137" s="130">
        <v>0</v>
      </c>
      <c r="C5137" s="130" t="s">
        <v>6761</v>
      </c>
      <c r="D5137">
        <v>40020</v>
      </c>
      <c r="E5137" s="130">
        <v>18720938</v>
      </c>
      <c r="F5137" t="s">
        <v>87</v>
      </c>
      <c r="G5137">
        <v>33359</v>
      </c>
      <c r="H5137" t="s">
        <v>8953</v>
      </c>
      <c r="I5137" s="130">
        <v>13</v>
      </c>
      <c r="J5137" t="s">
        <v>6761</v>
      </c>
      <c r="K5137" t="s">
        <v>95</v>
      </c>
      <c r="L5137" t="s">
        <v>251</v>
      </c>
      <c r="M5137" t="s">
        <v>154</v>
      </c>
      <c r="N5137" t="s">
        <v>131</v>
      </c>
      <c r="O5137" t="s">
        <v>1256</v>
      </c>
    </row>
    <row r="5138" spans="1:15" x14ac:dyDescent="0.3">
      <c r="A5138" s="130">
        <v>26052</v>
      </c>
      <c r="B5138" s="130">
        <v>0</v>
      </c>
      <c r="C5138" s="130" t="s">
        <v>6762</v>
      </c>
      <c r="D5138">
        <v>40070</v>
      </c>
      <c r="E5138" s="130">
        <v>18720938</v>
      </c>
      <c r="F5138" t="s">
        <v>87</v>
      </c>
      <c r="G5138">
        <v>33359</v>
      </c>
      <c r="H5138" t="s">
        <v>8951</v>
      </c>
      <c r="I5138" s="130">
        <v>3</v>
      </c>
      <c r="J5138" t="s">
        <v>6762</v>
      </c>
      <c r="K5138" t="s">
        <v>95</v>
      </c>
      <c r="L5138" t="s">
        <v>251</v>
      </c>
      <c r="M5138" t="s">
        <v>100</v>
      </c>
      <c r="N5138" t="s">
        <v>131</v>
      </c>
      <c r="O5138" t="s">
        <v>244</v>
      </c>
    </row>
    <row r="5139" spans="1:15" x14ac:dyDescent="0.3">
      <c r="A5139" s="130">
        <v>26057</v>
      </c>
      <c r="B5139" s="130">
        <v>30</v>
      </c>
      <c r="C5139" s="130" t="s">
        <v>6763</v>
      </c>
      <c r="D5139">
        <v>40083</v>
      </c>
      <c r="E5139" s="130">
        <v>36111732</v>
      </c>
      <c r="F5139" t="s">
        <v>87</v>
      </c>
      <c r="G5139">
        <v>76</v>
      </c>
      <c r="H5139" t="s">
        <v>8952</v>
      </c>
      <c r="I5139" s="130">
        <v>24</v>
      </c>
      <c r="J5139" t="s">
        <v>6763</v>
      </c>
      <c r="K5139" t="s">
        <v>95</v>
      </c>
      <c r="L5139" t="s">
        <v>191</v>
      </c>
      <c r="M5139" t="s">
        <v>103</v>
      </c>
      <c r="N5139" t="s">
        <v>98</v>
      </c>
      <c r="O5139" t="s">
        <v>1256</v>
      </c>
    </row>
    <row r="5140" spans="1:15" x14ac:dyDescent="0.3">
      <c r="A5140" s="130">
        <v>26059</v>
      </c>
      <c r="B5140" s="130">
        <v>30</v>
      </c>
      <c r="C5140" s="130" t="s">
        <v>6764</v>
      </c>
      <c r="D5140">
        <v>40089</v>
      </c>
      <c r="E5140" s="130">
        <v>28763819</v>
      </c>
      <c r="F5140" t="s">
        <v>87</v>
      </c>
      <c r="G5140">
        <v>32947</v>
      </c>
      <c r="H5140" t="s">
        <v>8953</v>
      </c>
      <c r="I5140" s="130">
        <v>3</v>
      </c>
      <c r="J5140" t="s">
        <v>6764</v>
      </c>
      <c r="K5140" t="s">
        <v>108</v>
      </c>
      <c r="L5140" t="s">
        <v>109</v>
      </c>
      <c r="M5140" t="s">
        <v>103</v>
      </c>
      <c r="N5140" t="s">
        <v>101</v>
      </c>
      <c r="O5140" t="s">
        <v>1256</v>
      </c>
    </row>
    <row r="5141" spans="1:15" x14ac:dyDescent="0.3">
      <c r="A5141" s="130">
        <v>26060</v>
      </c>
      <c r="B5141" s="130">
        <v>21</v>
      </c>
      <c r="C5141" s="130" t="s">
        <v>6765</v>
      </c>
      <c r="D5141">
        <v>40096</v>
      </c>
      <c r="E5141" s="130">
        <v>33412792</v>
      </c>
      <c r="F5141" t="s">
        <v>87</v>
      </c>
      <c r="G5141">
        <v>76</v>
      </c>
      <c r="H5141" t="s">
        <v>8951</v>
      </c>
      <c r="I5141" s="130">
        <v>24</v>
      </c>
      <c r="J5141" t="s">
        <v>6765</v>
      </c>
      <c r="K5141" t="s">
        <v>108</v>
      </c>
      <c r="L5141" t="s">
        <v>191</v>
      </c>
      <c r="M5141" t="s">
        <v>137</v>
      </c>
      <c r="N5141" t="s">
        <v>98</v>
      </c>
      <c r="O5141" t="s">
        <v>1256</v>
      </c>
    </row>
    <row r="5142" spans="1:15" x14ac:dyDescent="0.3">
      <c r="A5142" s="130">
        <v>26062</v>
      </c>
      <c r="B5142" s="130">
        <v>21</v>
      </c>
      <c r="C5142" s="130" t="s">
        <v>6766</v>
      </c>
      <c r="D5142">
        <v>40017</v>
      </c>
      <c r="E5142" s="130">
        <v>4544529</v>
      </c>
      <c r="F5142" t="s">
        <v>113</v>
      </c>
      <c r="G5142">
        <v>76</v>
      </c>
      <c r="H5142" t="s">
        <v>8952</v>
      </c>
      <c r="I5142" s="131">
        <v>24</v>
      </c>
      <c r="J5142" t="s">
        <v>6766</v>
      </c>
      <c r="K5142" t="s">
        <v>108</v>
      </c>
      <c r="L5142" t="s">
        <v>191</v>
      </c>
      <c r="M5142" t="s">
        <v>137</v>
      </c>
      <c r="N5142" t="s">
        <v>98</v>
      </c>
      <c r="O5142" t="s">
        <v>1256</v>
      </c>
    </row>
    <row r="5143" spans="1:15" x14ac:dyDescent="0.3">
      <c r="A5143" s="130">
        <v>26063</v>
      </c>
      <c r="B5143" s="130">
        <v>21</v>
      </c>
      <c r="C5143" s="130" t="s">
        <v>6767</v>
      </c>
      <c r="D5143">
        <v>40099</v>
      </c>
      <c r="E5143" s="131">
        <v>51645055</v>
      </c>
      <c r="F5143" t="s">
        <v>113</v>
      </c>
      <c r="G5143">
        <v>76</v>
      </c>
      <c r="H5143" t="s">
        <v>8953</v>
      </c>
      <c r="I5143" s="130">
        <v>24</v>
      </c>
      <c r="J5143" t="s">
        <v>6767</v>
      </c>
      <c r="K5143" t="s">
        <v>95</v>
      </c>
      <c r="L5143" t="s">
        <v>1253</v>
      </c>
      <c r="M5143" t="s">
        <v>137</v>
      </c>
      <c r="N5143" t="s">
        <v>114</v>
      </c>
      <c r="O5143" t="s">
        <v>1256</v>
      </c>
    </row>
    <row r="5144" spans="1:15" x14ac:dyDescent="0.3">
      <c r="A5144" s="130">
        <v>26064</v>
      </c>
      <c r="B5144" s="130">
        <v>21</v>
      </c>
      <c r="C5144" s="130" t="s">
        <v>6768</v>
      </c>
      <c r="D5144">
        <v>40100</v>
      </c>
      <c r="E5144" s="130">
        <v>36111732</v>
      </c>
      <c r="F5144" t="s">
        <v>87</v>
      </c>
      <c r="G5144">
        <v>76</v>
      </c>
      <c r="H5144" t="s">
        <v>8951</v>
      </c>
      <c r="I5144" s="131">
        <v>24</v>
      </c>
      <c r="J5144" t="s">
        <v>6768</v>
      </c>
      <c r="K5144" t="s">
        <v>108</v>
      </c>
      <c r="L5144" t="s">
        <v>191</v>
      </c>
      <c r="M5144" t="s">
        <v>137</v>
      </c>
      <c r="N5144" t="s">
        <v>98</v>
      </c>
      <c r="O5144" t="s">
        <v>1256</v>
      </c>
    </row>
    <row r="5145" spans="1:15" x14ac:dyDescent="0.3">
      <c r="A5145" s="130">
        <v>26065</v>
      </c>
      <c r="B5145" s="130">
        <v>21</v>
      </c>
      <c r="C5145" s="130" t="s">
        <v>6769</v>
      </c>
      <c r="D5145">
        <v>40104</v>
      </c>
      <c r="E5145" s="130">
        <v>36111732</v>
      </c>
      <c r="F5145" t="s">
        <v>87</v>
      </c>
      <c r="G5145">
        <v>76</v>
      </c>
      <c r="H5145" t="s">
        <v>8952</v>
      </c>
      <c r="I5145" s="130">
        <v>37</v>
      </c>
      <c r="J5145" t="s">
        <v>6769</v>
      </c>
      <c r="K5145" t="s">
        <v>108</v>
      </c>
      <c r="L5145" t="s">
        <v>191</v>
      </c>
      <c r="M5145" t="s">
        <v>137</v>
      </c>
      <c r="N5145" t="s">
        <v>98</v>
      </c>
      <c r="O5145" t="s">
        <v>244</v>
      </c>
    </row>
    <row r="5146" spans="1:15" x14ac:dyDescent="0.3">
      <c r="A5146" s="130">
        <v>26066</v>
      </c>
      <c r="B5146" s="130">
        <v>21</v>
      </c>
      <c r="C5146" s="130" t="s">
        <v>6770</v>
      </c>
      <c r="D5146">
        <v>40106</v>
      </c>
      <c r="E5146" s="130">
        <v>36111732</v>
      </c>
      <c r="F5146" t="s">
        <v>87</v>
      </c>
      <c r="G5146">
        <v>76</v>
      </c>
      <c r="H5146" t="s">
        <v>8953</v>
      </c>
      <c r="I5146" s="131">
        <v>37</v>
      </c>
      <c r="J5146" t="s">
        <v>6770</v>
      </c>
      <c r="K5146" t="s">
        <v>108</v>
      </c>
      <c r="L5146" t="s">
        <v>191</v>
      </c>
      <c r="M5146" t="s">
        <v>137</v>
      </c>
      <c r="N5146" t="s">
        <v>98</v>
      </c>
      <c r="O5146" t="s">
        <v>244</v>
      </c>
    </row>
    <row r="5147" spans="1:15" x14ac:dyDescent="0.3">
      <c r="A5147" s="130">
        <v>26067</v>
      </c>
      <c r="B5147" s="130">
        <v>18</v>
      </c>
      <c r="C5147" s="130" t="s">
        <v>6771</v>
      </c>
      <c r="D5147">
        <v>40107</v>
      </c>
      <c r="E5147" s="130">
        <v>43200669</v>
      </c>
      <c r="F5147" t="s">
        <v>87</v>
      </c>
      <c r="G5147">
        <v>76</v>
      </c>
      <c r="H5147" t="s">
        <v>8951</v>
      </c>
      <c r="I5147" s="131">
        <v>10</v>
      </c>
      <c r="J5147" t="s">
        <v>6771</v>
      </c>
      <c r="K5147" t="s">
        <v>108</v>
      </c>
      <c r="L5147" t="s">
        <v>127</v>
      </c>
      <c r="M5147" t="s">
        <v>112</v>
      </c>
      <c r="N5147" t="s">
        <v>101</v>
      </c>
      <c r="O5147" t="s">
        <v>1345</v>
      </c>
    </row>
    <row r="5148" spans="1:15" x14ac:dyDescent="0.3">
      <c r="A5148" s="130">
        <v>26068</v>
      </c>
      <c r="B5148" s="130">
        <v>18</v>
      </c>
      <c r="C5148" s="130" t="s">
        <v>6772</v>
      </c>
      <c r="D5148">
        <v>40111</v>
      </c>
      <c r="E5148" s="131">
        <v>1313486</v>
      </c>
      <c r="F5148" t="s">
        <v>87</v>
      </c>
      <c r="G5148">
        <v>76</v>
      </c>
      <c r="H5148" t="s">
        <v>8952</v>
      </c>
      <c r="I5148" s="130">
        <v>9</v>
      </c>
      <c r="J5148" t="s">
        <v>6772</v>
      </c>
      <c r="K5148" t="s">
        <v>108</v>
      </c>
      <c r="L5148" t="s">
        <v>163</v>
      </c>
      <c r="M5148" t="s">
        <v>112</v>
      </c>
      <c r="N5148" t="s">
        <v>98</v>
      </c>
      <c r="O5148" t="s">
        <v>116</v>
      </c>
    </row>
    <row r="5149" spans="1:15" x14ac:dyDescent="0.3">
      <c r="A5149" s="130">
        <v>26069</v>
      </c>
      <c r="B5149" s="130">
        <v>21</v>
      </c>
      <c r="C5149" s="130" t="s">
        <v>6773</v>
      </c>
      <c r="D5149">
        <v>40114</v>
      </c>
      <c r="E5149" s="131">
        <v>19964462</v>
      </c>
      <c r="F5149" t="s">
        <v>113</v>
      </c>
      <c r="G5149">
        <v>76</v>
      </c>
      <c r="H5149" t="s">
        <v>8953</v>
      </c>
      <c r="I5149" s="130">
        <v>24</v>
      </c>
      <c r="J5149" t="s">
        <v>6773</v>
      </c>
      <c r="K5149" t="s">
        <v>108</v>
      </c>
      <c r="L5149" t="s">
        <v>240</v>
      </c>
      <c r="M5149" t="s">
        <v>137</v>
      </c>
      <c r="N5149" t="s">
        <v>114</v>
      </c>
      <c r="O5149" t="s">
        <v>1256</v>
      </c>
    </row>
    <row r="5150" spans="1:15" x14ac:dyDescent="0.3">
      <c r="A5150" s="130">
        <v>26071</v>
      </c>
      <c r="B5150" s="130">
        <v>21</v>
      </c>
      <c r="C5150" s="130" t="s">
        <v>6774</v>
      </c>
      <c r="D5150">
        <v>40118</v>
      </c>
      <c r="E5150" s="130">
        <v>19964462</v>
      </c>
      <c r="F5150" t="s">
        <v>113</v>
      </c>
      <c r="G5150">
        <v>76</v>
      </c>
      <c r="H5150" t="s">
        <v>8951</v>
      </c>
      <c r="I5150" s="131">
        <v>24</v>
      </c>
      <c r="J5150" t="s">
        <v>6774</v>
      </c>
      <c r="K5150" t="s">
        <v>95</v>
      </c>
      <c r="L5150" t="s">
        <v>1253</v>
      </c>
      <c r="M5150" t="s">
        <v>137</v>
      </c>
      <c r="N5150" t="s">
        <v>114</v>
      </c>
      <c r="O5150" t="s">
        <v>1256</v>
      </c>
    </row>
    <row r="5151" spans="1:15" x14ac:dyDescent="0.3">
      <c r="A5151" s="130">
        <v>26074</v>
      </c>
      <c r="B5151" s="130">
        <v>30</v>
      </c>
      <c r="C5151" s="130" t="s">
        <v>6775</v>
      </c>
      <c r="D5151">
        <v>40124</v>
      </c>
      <c r="E5151" s="130">
        <v>22451088</v>
      </c>
      <c r="F5151" t="s">
        <v>87</v>
      </c>
      <c r="G5151">
        <v>358</v>
      </c>
      <c r="H5151" t="s">
        <v>8952</v>
      </c>
      <c r="I5151" s="131">
        <v>61</v>
      </c>
      <c r="J5151" t="s">
        <v>6775</v>
      </c>
      <c r="K5151" t="s">
        <v>95</v>
      </c>
      <c r="L5151" t="s">
        <v>105</v>
      </c>
      <c r="M5151" t="s">
        <v>103</v>
      </c>
      <c r="N5151" t="s">
        <v>98</v>
      </c>
      <c r="O5151" t="s">
        <v>116</v>
      </c>
    </row>
    <row r="5152" spans="1:15" x14ac:dyDescent="0.3">
      <c r="A5152" s="130">
        <v>26075</v>
      </c>
      <c r="B5152" s="130">
        <v>30</v>
      </c>
      <c r="C5152" s="130" t="s">
        <v>6776</v>
      </c>
      <c r="D5152">
        <v>40126</v>
      </c>
      <c r="E5152" s="130">
        <v>8726496</v>
      </c>
      <c r="F5152" t="s">
        <v>87</v>
      </c>
      <c r="G5152">
        <v>76</v>
      </c>
      <c r="H5152" t="s">
        <v>8953</v>
      </c>
      <c r="I5152" s="131">
        <v>10</v>
      </c>
      <c r="J5152" t="s">
        <v>6776</v>
      </c>
      <c r="K5152" t="s">
        <v>95</v>
      </c>
      <c r="L5152" t="s">
        <v>127</v>
      </c>
      <c r="M5152" t="s">
        <v>103</v>
      </c>
      <c r="N5152" t="s">
        <v>118</v>
      </c>
      <c r="O5152" t="s">
        <v>116</v>
      </c>
    </row>
    <row r="5153" spans="1:15" x14ac:dyDescent="0.3">
      <c r="A5153" s="130">
        <v>26076</v>
      </c>
      <c r="B5153" s="130" t="s">
        <v>1259</v>
      </c>
      <c r="C5153" s="130" t="s">
        <v>6777</v>
      </c>
      <c r="D5153">
        <v>40127</v>
      </c>
      <c r="E5153" s="131">
        <v>16552703</v>
      </c>
      <c r="F5153" t="s">
        <v>87</v>
      </c>
      <c r="G5153">
        <v>76</v>
      </c>
      <c r="H5153" t="s">
        <v>8951</v>
      </c>
      <c r="I5153" s="131">
        <v>9</v>
      </c>
      <c r="J5153" t="s">
        <v>6777</v>
      </c>
      <c r="K5153" t="s">
        <v>108</v>
      </c>
      <c r="L5153" t="s">
        <v>1298</v>
      </c>
      <c r="M5153" t="s">
        <v>1260</v>
      </c>
      <c r="N5153" t="s">
        <v>107</v>
      </c>
      <c r="O5153" t="s">
        <v>1256</v>
      </c>
    </row>
    <row r="5154" spans="1:15" x14ac:dyDescent="0.3">
      <c r="A5154" s="130">
        <v>26077</v>
      </c>
      <c r="B5154" s="130">
        <v>30</v>
      </c>
      <c r="C5154" s="130" t="s">
        <v>6778</v>
      </c>
      <c r="D5154">
        <v>40128</v>
      </c>
      <c r="E5154" s="130">
        <v>779059</v>
      </c>
      <c r="F5154" t="s">
        <v>113</v>
      </c>
      <c r="G5154">
        <v>76</v>
      </c>
      <c r="H5154" t="s">
        <v>8952</v>
      </c>
      <c r="I5154" s="131">
        <v>19</v>
      </c>
      <c r="J5154" t="s">
        <v>6778</v>
      </c>
      <c r="K5154" t="s">
        <v>108</v>
      </c>
      <c r="L5154" t="s">
        <v>252</v>
      </c>
      <c r="M5154" t="s">
        <v>103</v>
      </c>
      <c r="N5154" t="s">
        <v>98</v>
      </c>
      <c r="O5154" t="s">
        <v>1256</v>
      </c>
    </row>
    <row r="5155" spans="1:15" x14ac:dyDescent="0.3">
      <c r="A5155" s="130">
        <v>26078</v>
      </c>
      <c r="B5155" s="130">
        <v>18</v>
      </c>
      <c r="C5155" s="130" t="s">
        <v>6779</v>
      </c>
      <c r="D5155">
        <v>40129</v>
      </c>
      <c r="E5155" s="130">
        <v>857492</v>
      </c>
      <c r="F5155" t="s">
        <v>87</v>
      </c>
      <c r="G5155">
        <v>76</v>
      </c>
      <c r="H5155" t="s">
        <v>8953</v>
      </c>
      <c r="I5155" s="130">
        <v>26</v>
      </c>
      <c r="J5155" t="s">
        <v>6779</v>
      </c>
      <c r="K5155" t="s">
        <v>108</v>
      </c>
      <c r="L5155" t="s">
        <v>151</v>
      </c>
      <c r="M5155" t="s">
        <v>112</v>
      </c>
      <c r="N5155" t="s">
        <v>98</v>
      </c>
      <c r="O5155" t="s">
        <v>1256</v>
      </c>
    </row>
    <row r="5156" spans="1:15" x14ac:dyDescent="0.3">
      <c r="A5156" s="130">
        <v>26081</v>
      </c>
      <c r="B5156" s="130">
        <v>21</v>
      </c>
      <c r="C5156" s="130" t="s">
        <v>6780</v>
      </c>
      <c r="D5156">
        <v>40133</v>
      </c>
      <c r="E5156" s="130">
        <v>5851921</v>
      </c>
      <c r="F5156" t="s">
        <v>87</v>
      </c>
      <c r="G5156">
        <v>76</v>
      </c>
      <c r="H5156" t="s">
        <v>8951</v>
      </c>
      <c r="I5156" s="131">
        <v>24</v>
      </c>
      <c r="J5156" t="s">
        <v>6780</v>
      </c>
      <c r="K5156" t="s">
        <v>108</v>
      </c>
      <c r="L5156" t="s">
        <v>240</v>
      </c>
      <c r="M5156" t="s">
        <v>137</v>
      </c>
      <c r="N5156" t="s">
        <v>98</v>
      </c>
      <c r="O5156" t="s">
        <v>1256</v>
      </c>
    </row>
    <row r="5157" spans="1:15" x14ac:dyDescent="0.3">
      <c r="A5157" s="130">
        <v>26088</v>
      </c>
      <c r="B5157" s="130">
        <v>30</v>
      </c>
      <c r="C5157" s="130" t="s">
        <v>6781</v>
      </c>
      <c r="D5157">
        <v>40145</v>
      </c>
      <c r="E5157" s="130">
        <v>40099077</v>
      </c>
      <c r="F5157" t="s">
        <v>113</v>
      </c>
      <c r="G5157">
        <v>76</v>
      </c>
      <c r="H5157" t="s">
        <v>8952</v>
      </c>
      <c r="I5157" s="130">
        <v>24</v>
      </c>
      <c r="J5157" t="s">
        <v>6781</v>
      </c>
      <c r="K5157" t="s">
        <v>95</v>
      </c>
      <c r="L5157" t="s">
        <v>1253</v>
      </c>
      <c r="M5157" t="s">
        <v>103</v>
      </c>
      <c r="N5157" t="s">
        <v>150</v>
      </c>
      <c r="O5157" t="s">
        <v>1256</v>
      </c>
    </row>
    <row r="5158" spans="1:15" x14ac:dyDescent="0.3">
      <c r="A5158" s="130">
        <v>26089</v>
      </c>
      <c r="B5158" s="130">
        <v>10</v>
      </c>
      <c r="C5158" s="130" t="s">
        <v>6782</v>
      </c>
      <c r="D5158">
        <v>40157</v>
      </c>
      <c r="E5158" s="130">
        <v>28966812</v>
      </c>
      <c r="F5158" t="s">
        <v>87</v>
      </c>
      <c r="G5158">
        <v>76</v>
      </c>
      <c r="H5158" t="s">
        <v>8953</v>
      </c>
      <c r="I5158" s="130">
        <v>24</v>
      </c>
      <c r="J5158" t="s">
        <v>6782</v>
      </c>
      <c r="K5158" t="s">
        <v>95</v>
      </c>
      <c r="L5158" t="s">
        <v>1253</v>
      </c>
      <c r="M5158" t="s">
        <v>133</v>
      </c>
      <c r="N5158" t="s">
        <v>98</v>
      </c>
      <c r="O5158" t="s">
        <v>1256</v>
      </c>
    </row>
    <row r="5159" spans="1:15" x14ac:dyDescent="0.3">
      <c r="A5159" s="130">
        <v>26091</v>
      </c>
      <c r="B5159" s="130">
        <v>18</v>
      </c>
      <c r="C5159" s="130" t="s">
        <v>6783</v>
      </c>
      <c r="D5159">
        <v>40161</v>
      </c>
      <c r="E5159" s="130">
        <v>15486199</v>
      </c>
      <c r="F5159" t="s">
        <v>87</v>
      </c>
      <c r="G5159">
        <v>76</v>
      </c>
      <c r="H5159" t="s">
        <v>8951</v>
      </c>
      <c r="I5159" s="130">
        <v>10</v>
      </c>
      <c r="J5159" t="s">
        <v>6783</v>
      </c>
      <c r="K5159" t="s">
        <v>108</v>
      </c>
      <c r="L5159" t="s">
        <v>127</v>
      </c>
      <c r="M5159" t="s">
        <v>112</v>
      </c>
      <c r="N5159" t="s">
        <v>101</v>
      </c>
      <c r="O5159" t="s">
        <v>1345</v>
      </c>
    </row>
    <row r="5160" spans="1:15" x14ac:dyDescent="0.3">
      <c r="A5160" s="130">
        <v>26094</v>
      </c>
      <c r="B5160" s="130">
        <v>30</v>
      </c>
      <c r="C5160" s="130" t="s">
        <v>6784</v>
      </c>
      <c r="D5160">
        <v>40165</v>
      </c>
      <c r="E5160" s="131">
        <v>7522191</v>
      </c>
      <c r="F5160" t="s">
        <v>87</v>
      </c>
      <c r="G5160">
        <v>76</v>
      </c>
      <c r="H5160" t="s">
        <v>8952</v>
      </c>
      <c r="I5160" s="130">
        <v>10</v>
      </c>
      <c r="J5160" t="s">
        <v>6784</v>
      </c>
      <c r="K5160" t="s">
        <v>95</v>
      </c>
      <c r="L5160" t="s">
        <v>127</v>
      </c>
      <c r="M5160" t="s">
        <v>103</v>
      </c>
      <c r="N5160" t="s">
        <v>118</v>
      </c>
      <c r="O5160" t="s">
        <v>116</v>
      </c>
    </row>
    <row r="5161" spans="1:15" x14ac:dyDescent="0.3">
      <c r="A5161" s="130">
        <v>26100</v>
      </c>
      <c r="B5161" s="130">
        <v>60</v>
      </c>
      <c r="C5161" s="130" t="s">
        <v>6785</v>
      </c>
      <c r="D5161">
        <v>40178</v>
      </c>
      <c r="E5161" s="130">
        <v>3176142</v>
      </c>
      <c r="F5161" t="s">
        <v>87</v>
      </c>
      <c r="G5161">
        <v>32947</v>
      </c>
      <c r="H5161" t="s">
        <v>8953</v>
      </c>
      <c r="I5161" s="131">
        <v>3</v>
      </c>
      <c r="J5161" t="s">
        <v>6785</v>
      </c>
      <c r="K5161" t="s">
        <v>95</v>
      </c>
      <c r="L5161" t="s">
        <v>109</v>
      </c>
      <c r="M5161" t="s">
        <v>97</v>
      </c>
      <c r="N5161" t="s">
        <v>98</v>
      </c>
      <c r="O5161" t="s">
        <v>1256</v>
      </c>
    </row>
    <row r="5162" spans="1:15" x14ac:dyDescent="0.3">
      <c r="A5162" s="130">
        <v>26101</v>
      </c>
      <c r="B5162" s="130">
        <v>0</v>
      </c>
      <c r="C5162" s="130" t="s">
        <v>6786</v>
      </c>
      <c r="D5162">
        <v>40173</v>
      </c>
      <c r="E5162" s="130">
        <v>29571567</v>
      </c>
      <c r="F5162" t="s">
        <v>87</v>
      </c>
      <c r="G5162">
        <v>76</v>
      </c>
      <c r="H5162" t="s">
        <v>8951</v>
      </c>
      <c r="I5162" s="131">
        <v>24</v>
      </c>
      <c r="J5162" t="s">
        <v>6786</v>
      </c>
      <c r="K5162" t="s">
        <v>95</v>
      </c>
      <c r="L5162" t="s">
        <v>1253</v>
      </c>
      <c r="M5162" t="s">
        <v>100</v>
      </c>
      <c r="N5162" t="s">
        <v>98</v>
      </c>
      <c r="O5162" t="s">
        <v>1256</v>
      </c>
    </row>
    <row r="5163" spans="1:15" x14ac:dyDescent="0.3">
      <c r="A5163" s="130">
        <v>26103</v>
      </c>
      <c r="C5163" s="130" t="s">
        <v>6787</v>
      </c>
      <c r="D5163">
        <v>40182</v>
      </c>
      <c r="E5163" s="130">
        <v>39730894</v>
      </c>
      <c r="F5163" t="s">
        <v>113</v>
      </c>
      <c r="G5163">
        <v>76</v>
      </c>
      <c r="H5163" t="s">
        <v>8952</v>
      </c>
      <c r="I5163" s="130">
        <v>24</v>
      </c>
      <c r="J5163" t="s">
        <v>6787</v>
      </c>
      <c r="K5163" t="s">
        <v>108</v>
      </c>
      <c r="L5163" t="s">
        <v>191</v>
      </c>
      <c r="N5163" t="s">
        <v>150</v>
      </c>
      <c r="O5163" t="s">
        <v>1256</v>
      </c>
    </row>
    <row r="5164" spans="1:15" x14ac:dyDescent="0.3">
      <c r="A5164" s="130">
        <v>26104</v>
      </c>
      <c r="B5164" s="130">
        <v>30</v>
      </c>
      <c r="C5164" s="130" t="s">
        <v>6788</v>
      </c>
      <c r="D5164">
        <v>40183</v>
      </c>
      <c r="E5164" s="131">
        <v>36178464</v>
      </c>
      <c r="F5164" t="s">
        <v>87</v>
      </c>
      <c r="G5164">
        <v>76</v>
      </c>
      <c r="H5164" t="s">
        <v>8953</v>
      </c>
      <c r="I5164" s="131">
        <v>37</v>
      </c>
      <c r="J5164" t="s">
        <v>6788</v>
      </c>
      <c r="K5164" t="s">
        <v>95</v>
      </c>
      <c r="L5164" t="s">
        <v>138</v>
      </c>
      <c r="M5164" t="s">
        <v>103</v>
      </c>
      <c r="N5164" t="s">
        <v>150</v>
      </c>
      <c r="O5164" t="s">
        <v>116</v>
      </c>
    </row>
    <row r="5165" spans="1:15" x14ac:dyDescent="0.3">
      <c r="A5165" s="130">
        <v>26105</v>
      </c>
      <c r="B5165" s="130">
        <v>0</v>
      </c>
      <c r="C5165" s="130" t="s">
        <v>6789</v>
      </c>
      <c r="D5165">
        <v>40148</v>
      </c>
      <c r="E5165" s="130">
        <v>6994509346</v>
      </c>
      <c r="F5165" t="s">
        <v>113</v>
      </c>
      <c r="G5165">
        <v>32947</v>
      </c>
      <c r="H5165" t="s">
        <v>8951</v>
      </c>
      <c r="I5165" s="131">
        <v>43</v>
      </c>
      <c r="J5165" t="s">
        <v>6789</v>
      </c>
      <c r="K5165" t="s">
        <v>108</v>
      </c>
      <c r="L5165" t="s">
        <v>1241</v>
      </c>
      <c r="M5165" t="s">
        <v>100</v>
      </c>
      <c r="N5165" t="s">
        <v>110</v>
      </c>
      <c r="O5165" t="s">
        <v>1256</v>
      </c>
    </row>
    <row r="5166" spans="1:15" x14ac:dyDescent="0.3">
      <c r="A5166" s="130">
        <v>26106</v>
      </c>
      <c r="B5166" s="130">
        <v>21</v>
      </c>
      <c r="C5166" s="130" t="s">
        <v>6790</v>
      </c>
      <c r="D5166">
        <v>40185</v>
      </c>
      <c r="E5166" s="130">
        <v>54726627</v>
      </c>
      <c r="F5166" t="s">
        <v>113</v>
      </c>
      <c r="G5166">
        <v>76</v>
      </c>
      <c r="H5166" t="s">
        <v>8952</v>
      </c>
      <c r="I5166" s="131">
        <v>24</v>
      </c>
      <c r="J5166" t="s">
        <v>6790</v>
      </c>
      <c r="K5166" t="s">
        <v>108</v>
      </c>
      <c r="L5166" t="s">
        <v>240</v>
      </c>
      <c r="M5166" t="s">
        <v>137</v>
      </c>
      <c r="N5166" t="s">
        <v>98</v>
      </c>
      <c r="O5166" t="s">
        <v>1256</v>
      </c>
    </row>
    <row r="5167" spans="1:15" x14ac:dyDescent="0.3">
      <c r="A5167" s="130">
        <v>26108</v>
      </c>
      <c r="B5167" s="130">
        <v>21</v>
      </c>
      <c r="C5167" s="130" t="s">
        <v>6791</v>
      </c>
      <c r="D5167">
        <v>40174</v>
      </c>
      <c r="E5167" s="131">
        <v>36375353</v>
      </c>
      <c r="F5167" t="s">
        <v>113</v>
      </c>
      <c r="G5167">
        <v>76</v>
      </c>
      <c r="H5167" t="s">
        <v>8953</v>
      </c>
      <c r="I5167" s="130">
        <v>24</v>
      </c>
      <c r="J5167" t="s">
        <v>6791</v>
      </c>
      <c r="K5167" t="s">
        <v>108</v>
      </c>
      <c r="L5167" t="s">
        <v>240</v>
      </c>
      <c r="M5167" t="s">
        <v>137</v>
      </c>
      <c r="N5167" t="s">
        <v>98</v>
      </c>
      <c r="O5167" t="s">
        <v>1256</v>
      </c>
    </row>
    <row r="5168" spans="1:15" x14ac:dyDescent="0.3">
      <c r="A5168" s="130">
        <v>26109</v>
      </c>
      <c r="B5168" s="130">
        <v>30</v>
      </c>
      <c r="C5168" s="130" t="s">
        <v>6792</v>
      </c>
      <c r="D5168">
        <v>39544</v>
      </c>
      <c r="E5168" s="131">
        <v>61870580</v>
      </c>
      <c r="F5168" t="s">
        <v>87</v>
      </c>
      <c r="G5168">
        <v>76</v>
      </c>
      <c r="H5168" t="s">
        <v>8951</v>
      </c>
      <c r="I5168" s="131">
        <v>18</v>
      </c>
      <c r="J5168" t="s">
        <v>6792</v>
      </c>
      <c r="K5168" t="s">
        <v>95</v>
      </c>
      <c r="L5168" t="s">
        <v>123</v>
      </c>
      <c r="M5168" t="s">
        <v>103</v>
      </c>
      <c r="N5168" t="s">
        <v>98</v>
      </c>
      <c r="O5168" t="s">
        <v>1256</v>
      </c>
    </row>
    <row r="5169" spans="1:15" x14ac:dyDescent="0.3">
      <c r="A5169" s="130">
        <v>26110</v>
      </c>
      <c r="B5169" s="130">
        <v>30</v>
      </c>
      <c r="C5169" s="130" t="s">
        <v>6793</v>
      </c>
      <c r="D5169">
        <v>40189</v>
      </c>
      <c r="E5169" s="131">
        <v>60701521</v>
      </c>
      <c r="F5169" t="s">
        <v>87</v>
      </c>
      <c r="G5169">
        <v>76</v>
      </c>
      <c r="H5169" t="s">
        <v>8952</v>
      </c>
      <c r="I5169" s="131">
        <v>43</v>
      </c>
      <c r="J5169" t="s">
        <v>6793</v>
      </c>
      <c r="K5169" t="s">
        <v>95</v>
      </c>
      <c r="L5169" t="s">
        <v>138</v>
      </c>
      <c r="M5169" t="s">
        <v>103</v>
      </c>
      <c r="N5169" t="s">
        <v>162</v>
      </c>
      <c r="O5169" t="s">
        <v>116</v>
      </c>
    </row>
    <row r="5170" spans="1:15" x14ac:dyDescent="0.3">
      <c r="A5170" s="130">
        <v>26114</v>
      </c>
      <c r="B5170" s="130">
        <v>28</v>
      </c>
      <c r="C5170" s="130" t="s">
        <v>6794</v>
      </c>
      <c r="D5170">
        <v>40172</v>
      </c>
      <c r="E5170" s="130">
        <v>41723099</v>
      </c>
      <c r="F5170" t="s">
        <v>113</v>
      </c>
      <c r="G5170">
        <v>76</v>
      </c>
      <c r="H5170" t="s">
        <v>8953</v>
      </c>
      <c r="I5170" s="130">
        <v>18</v>
      </c>
      <c r="J5170" t="s">
        <v>6794</v>
      </c>
      <c r="K5170" t="s">
        <v>108</v>
      </c>
      <c r="L5170" t="s">
        <v>253</v>
      </c>
      <c r="M5170" t="s">
        <v>130</v>
      </c>
      <c r="N5170" t="s">
        <v>98</v>
      </c>
      <c r="O5170" t="s">
        <v>1256</v>
      </c>
    </row>
    <row r="5171" spans="1:15" x14ac:dyDescent="0.3">
      <c r="A5171" s="130">
        <v>26117</v>
      </c>
      <c r="B5171" s="130">
        <v>21</v>
      </c>
      <c r="C5171" s="130" t="s">
        <v>6795</v>
      </c>
      <c r="D5171">
        <v>40200</v>
      </c>
      <c r="E5171" s="130">
        <v>5567711</v>
      </c>
      <c r="F5171" t="s">
        <v>87</v>
      </c>
      <c r="G5171">
        <v>76</v>
      </c>
      <c r="H5171" t="s">
        <v>8951</v>
      </c>
      <c r="I5171" s="130">
        <v>24</v>
      </c>
      <c r="J5171" t="s">
        <v>6795</v>
      </c>
      <c r="K5171" t="s">
        <v>108</v>
      </c>
      <c r="L5171" t="s">
        <v>191</v>
      </c>
      <c r="M5171" t="s">
        <v>137</v>
      </c>
      <c r="N5171" t="s">
        <v>132</v>
      </c>
      <c r="O5171" t="s">
        <v>1256</v>
      </c>
    </row>
    <row r="5172" spans="1:15" x14ac:dyDescent="0.3">
      <c r="A5172" s="130">
        <v>26120</v>
      </c>
      <c r="B5172" s="130">
        <v>21</v>
      </c>
      <c r="C5172" s="130" t="s">
        <v>6796</v>
      </c>
      <c r="D5172">
        <v>40205</v>
      </c>
      <c r="E5172" s="130">
        <v>43592115</v>
      </c>
      <c r="F5172" t="s">
        <v>113</v>
      </c>
      <c r="G5172">
        <v>76</v>
      </c>
      <c r="H5172" t="s">
        <v>8952</v>
      </c>
      <c r="I5172" s="130">
        <v>24</v>
      </c>
      <c r="J5172" t="s">
        <v>6796</v>
      </c>
      <c r="K5172" t="s">
        <v>108</v>
      </c>
      <c r="L5172" t="s">
        <v>191</v>
      </c>
      <c r="M5172" t="s">
        <v>137</v>
      </c>
      <c r="N5172" t="s">
        <v>150</v>
      </c>
      <c r="O5172" t="s">
        <v>1256</v>
      </c>
    </row>
    <row r="5173" spans="1:15" x14ac:dyDescent="0.3">
      <c r="A5173" s="130">
        <v>26121</v>
      </c>
      <c r="B5173" s="130">
        <v>20</v>
      </c>
      <c r="C5173" s="130" t="s">
        <v>6797</v>
      </c>
      <c r="D5173">
        <v>40206</v>
      </c>
      <c r="E5173" s="130">
        <v>2864219</v>
      </c>
      <c r="F5173" t="s">
        <v>87</v>
      </c>
      <c r="G5173">
        <v>76</v>
      </c>
      <c r="H5173" t="s">
        <v>8953</v>
      </c>
      <c r="I5173" s="130">
        <v>19</v>
      </c>
      <c r="J5173" t="s">
        <v>6797</v>
      </c>
      <c r="K5173" t="s">
        <v>108</v>
      </c>
      <c r="L5173" t="s">
        <v>252</v>
      </c>
      <c r="M5173" t="s">
        <v>148</v>
      </c>
      <c r="N5173" t="s">
        <v>98</v>
      </c>
      <c r="O5173" t="s">
        <v>1256</v>
      </c>
    </row>
    <row r="5174" spans="1:15" x14ac:dyDescent="0.3">
      <c r="A5174" s="130">
        <v>26125</v>
      </c>
      <c r="B5174" s="130">
        <v>21</v>
      </c>
      <c r="C5174" s="130" t="s">
        <v>6798</v>
      </c>
      <c r="D5174">
        <v>40211</v>
      </c>
      <c r="E5174" s="130">
        <v>59104901</v>
      </c>
      <c r="F5174" t="s">
        <v>113</v>
      </c>
      <c r="G5174">
        <v>76</v>
      </c>
      <c r="H5174" t="s">
        <v>8951</v>
      </c>
      <c r="I5174" s="130">
        <v>24</v>
      </c>
      <c r="J5174" t="s">
        <v>6798</v>
      </c>
      <c r="K5174" t="s">
        <v>108</v>
      </c>
      <c r="L5174" t="s">
        <v>191</v>
      </c>
      <c r="M5174" t="s">
        <v>137</v>
      </c>
      <c r="N5174" t="s">
        <v>114</v>
      </c>
      <c r="O5174" t="s">
        <v>1256</v>
      </c>
    </row>
    <row r="5175" spans="1:15" x14ac:dyDescent="0.3">
      <c r="A5175" s="130">
        <v>26127</v>
      </c>
      <c r="B5175" s="130">
        <v>30</v>
      </c>
      <c r="C5175" s="130" t="s">
        <v>6799</v>
      </c>
      <c r="D5175">
        <v>40213</v>
      </c>
      <c r="E5175" s="130">
        <v>18540906</v>
      </c>
      <c r="F5175" t="s">
        <v>87</v>
      </c>
      <c r="G5175">
        <v>76</v>
      </c>
      <c r="H5175" t="s">
        <v>8952</v>
      </c>
      <c r="I5175" s="130">
        <v>10</v>
      </c>
      <c r="J5175" t="s">
        <v>6799</v>
      </c>
      <c r="K5175" t="s">
        <v>95</v>
      </c>
      <c r="L5175" t="s">
        <v>127</v>
      </c>
      <c r="M5175" t="s">
        <v>103</v>
      </c>
      <c r="N5175" t="s">
        <v>118</v>
      </c>
      <c r="O5175" t="s">
        <v>116</v>
      </c>
    </row>
    <row r="5176" spans="1:15" x14ac:dyDescent="0.3">
      <c r="A5176" s="130">
        <v>26130</v>
      </c>
      <c r="B5176" s="130">
        <v>10</v>
      </c>
      <c r="C5176" s="130" t="s">
        <v>6800</v>
      </c>
      <c r="D5176">
        <v>40216</v>
      </c>
      <c r="E5176" s="130">
        <v>27702723</v>
      </c>
      <c r="F5176" t="s">
        <v>87</v>
      </c>
      <c r="G5176">
        <v>32947</v>
      </c>
      <c r="H5176" t="s">
        <v>8953</v>
      </c>
      <c r="I5176" s="130">
        <v>19</v>
      </c>
      <c r="J5176" t="s">
        <v>6800</v>
      </c>
      <c r="K5176" t="s">
        <v>95</v>
      </c>
      <c r="L5176" t="s">
        <v>252</v>
      </c>
      <c r="M5176" t="s">
        <v>133</v>
      </c>
      <c r="N5176" t="s">
        <v>150</v>
      </c>
      <c r="O5176" t="s">
        <v>1256</v>
      </c>
    </row>
    <row r="5177" spans="1:15" x14ac:dyDescent="0.3">
      <c r="A5177" s="130">
        <v>26131</v>
      </c>
      <c r="B5177" s="130">
        <v>21</v>
      </c>
      <c r="C5177" s="130" t="s">
        <v>6801</v>
      </c>
      <c r="D5177">
        <v>40217</v>
      </c>
      <c r="E5177" s="130">
        <v>66092370</v>
      </c>
      <c r="F5177" t="s">
        <v>113</v>
      </c>
      <c r="G5177">
        <v>76</v>
      </c>
      <c r="H5177" t="s">
        <v>8951</v>
      </c>
      <c r="I5177" s="130">
        <v>24</v>
      </c>
      <c r="J5177" t="s">
        <v>6801</v>
      </c>
      <c r="K5177" t="s">
        <v>108</v>
      </c>
      <c r="L5177" t="s">
        <v>240</v>
      </c>
      <c r="M5177" t="s">
        <v>137</v>
      </c>
      <c r="O5177" t="s">
        <v>1256</v>
      </c>
    </row>
    <row r="5178" spans="1:15" x14ac:dyDescent="0.3">
      <c r="A5178" s="130">
        <v>26133</v>
      </c>
      <c r="B5178" s="130">
        <v>21</v>
      </c>
      <c r="C5178" s="130" t="s">
        <v>6802</v>
      </c>
      <c r="D5178">
        <v>40191</v>
      </c>
      <c r="E5178" s="130">
        <v>4597289</v>
      </c>
      <c r="F5178" t="s">
        <v>113</v>
      </c>
      <c r="G5178">
        <v>76</v>
      </c>
      <c r="H5178" t="s">
        <v>8952</v>
      </c>
      <c r="I5178" s="130">
        <v>24</v>
      </c>
      <c r="J5178" t="s">
        <v>6802</v>
      </c>
      <c r="K5178" t="s">
        <v>108</v>
      </c>
      <c r="L5178" t="s">
        <v>191</v>
      </c>
      <c r="M5178" t="s">
        <v>137</v>
      </c>
      <c r="N5178" t="s">
        <v>107</v>
      </c>
      <c r="O5178" t="s">
        <v>1256</v>
      </c>
    </row>
    <row r="5179" spans="1:15" x14ac:dyDescent="0.3">
      <c r="A5179" s="130">
        <v>26135</v>
      </c>
      <c r="B5179" s="130">
        <v>20</v>
      </c>
      <c r="C5179" s="130" t="s">
        <v>6803</v>
      </c>
      <c r="D5179">
        <v>40115</v>
      </c>
      <c r="E5179" s="130">
        <v>18634407</v>
      </c>
      <c r="F5179" t="s">
        <v>113</v>
      </c>
      <c r="G5179">
        <v>76</v>
      </c>
      <c r="H5179" t="s">
        <v>8953</v>
      </c>
      <c r="I5179" s="130">
        <v>19</v>
      </c>
      <c r="J5179" t="s">
        <v>6803</v>
      </c>
      <c r="K5179" t="s">
        <v>108</v>
      </c>
      <c r="L5179" t="s">
        <v>252</v>
      </c>
      <c r="M5179" t="s">
        <v>148</v>
      </c>
      <c r="N5179" t="s">
        <v>114</v>
      </c>
      <c r="O5179" t="s">
        <v>1256</v>
      </c>
    </row>
    <row r="5180" spans="1:15" x14ac:dyDescent="0.3">
      <c r="A5180" s="130">
        <v>26136</v>
      </c>
      <c r="B5180" s="130">
        <v>21</v>
      </c>
      <c r="C5180" s="130" t="s">
        <v>6804</v>
      </c>
      <c r="D5180">
        <v>40082</v>
      </c>
      <c r="E5180" s="130">
        <v>35625050</v>
      </c>
      <c r="F5180" t="s">
        <v>113</v>
      </c>
      <c r="G5180">
        <v>76</v>
      </c>
      <c r="H5180" t="s">
        <v>8951</v>
      </c>
      <c r="I5180" s="130">
        <v>24</v>
      </c>
      <c r="J5180" t="s">
        <v>6804</v>
      </c>
      <c r="K5180" t="s">
        <v>108</v>
      </c>
      <c r="L5180" t="s">
        <v>191</v>
      </c>
      <c r="M5180" t="s">
        <v>137</v>
      </c>
      <c r="N5180" t="s">
        <v>122</v>
      </c>
      <c r="O5180" t="s">
        <v>1256</v>
      </c>
    </row>
    <row r="5181" spans="1:15" x14ac:dyDescent="0.3">
      <c r="A5181" s="130">
        <v>26139</v>
      </c>
      <c r="B5181" s="130">
        <v>18</v>
      </c>
      <c r="C5181" s="130" t="s">
        <v>6805</v>
      </c>
      <c r="D5181">
        <v>40227</v>
      </c>
      <c r="E5181" s="130">
        <v>46155662</v>
      </c>
      <c r="F5181" t="s">
        <v>87</v>
      </c>
      <c r="G5181">
        <v>76</v>
      </c>
      <c r="H5181" t="s">
        <v>8952</v>
      </c>
      <c r="I5181" s="130">
        <v>26</v>
      </c>
      <c r="J5181" t="s">
        <v>6805</v>
      </c>
      <c r="K5181" t="s">
        <v>95</v>
      </c>
      <c r="L5181" t="s">
        <v>151</v>
      </c>
      <c r="M5181" t="s">
        <v>112</v>
      </c>
      <c r="N5181" t="s">
        <v>98</v>
      </c>
      <c r="O5181" t="s">
        <v>1256</v>
      </c>
    </row>
    <row r="5182" spans="1:15" x14ac:dyDescent="0.3">
      <c r="A5182" s="130">
        <v>26149</v>
      </c>
      <c r="B5182" s="130">
        <v>18</v>
      </c>
      <c r="C5182" s="130" t="s">
        <v>6806</v>
      </c>
      <c r="D5182">
        <v>40241</v>
      </c>
      <c r="E5182" s="130">
        <v>9625762</v>
      </c>
      <c r="F5182" t="s">
        <v>87</v>
      </c>
      <c r="G5182">
        <v>32947</v>
      </c>
      <c r="H5182" t="s">
        <v>8953</v>
      </c>
      <c r="I5182" s="130">
        <v>43</v>
      </c>
      <c r="J5182" t="s">
        <v>6806</v>
      </c>
      <c r="K5182" t="s">
        <v>108</v>
      </c>
      <c r="L5182" t="s">
        <v>1241</v>
      </c>
      <c r="M5182" t="s">
        <v>112</v>
      </c>
      <c r="N5182" t="s">
        <v>98</v>
      </c>
      <c r="O5182" t="s">
        <v>1256</v>
      </c>
    </row>
    <row r="5183" spans="1:15" x14ac:dyDescent="0.3">
      <c r="A5183" s="130">
        <v>26151</v>
      </c>
      <c r="B5183" s="130">
        <v>-1</v>
      </c>
      <c r="C5183" s="130" t="s">
        <v>6807</v>
      </c>
      <c r="D5183">
        <v>40244</v>
      </c>
      <c r="E5183" s="130">
        <v>1310250</v>
      </c>
      <c r="F5183" t="s">
        <v>87</v>
      </c>
      <c r="G5183">
        <v>32947</v>
      </c>
      <c r="H5183" t="s">
        <v>8951</v>
      </c>
      <c r="I5183" s="130">
        <v>43</v>
      </c>
      <c r="J5183" t="s">
        <v>6807</v>
      </c>
      <c r="K5183" t="s">
        <v>108</v>
      </c>
      <c r="L5183" t="s">
        <v>1241</v>
      </c>
      <c r="M5183" t="s">
        <v>174</v>
      </c>
      <c r="N5183" t="s">
        <v>98</v>
      </c>
      <c r="O5183" t="s">
        <v>244</v>
      </c>
    </row>
    <row r="5184" spans="1:15" x14ac:dyDescent="0.3">
      <c r="A5184" s="130">
        <v>26152</v>
      </c>
      <c r="B5184" s="130">
        <v>-1</v>
      </c>
      <c r="C5184" s="130" t="s">
        <v>6808</v>
      </c>
      <c r="D5184">
        <v>40245</v>
      </c>
      <c r="E5184" s="131">
        <v>2612590</v>
      </c>
      <c r="F5184" t="s">
        <v>87</v>
      </c>
      <c r="G5184">
        <v>76</v>
      </c>
      <c r="H5184" t="s">
        <v>8952</v>
      </c>
      <c r="I5184" s="131">
        <v>3</v>
      </c>
      <c r="J5184" t="s">
        <v>6808</v>
      </c>
      <c r="K5184" t="s">
        <v>108</v>
      </c>
      <c r="L5184" t="s">
        <v>120</v>
      </c>
      <c r="M5184" t="s">
        <v>174</v>
      </c>
      <c r="N5184" t="s">
        <v>152</v>
      </c>
      <c r="O5184" t="s">
        <v>1345</v>
      </c>
    </row>
    <row r="5185" spans="1:15" x14ac:dyDescent="0.3">
      <c r="A5185" s="130">
        <v>26153</v>
      </c>
      <c r="B5185" s="130">
        <v>30</v>
      </c>
      <c r="C5185" s="130" t="s">
        <v>6809</v>
      </c>
      <c r="D5185">
        <v>40246</v>
      </c>
      <c r="E5185" s="130">
        <v>48546859</v>
      </c>
      <c r="F5185" t="s">
        <v>87</v>
      </c>
      <c r="G5185">
        <v>77</v>
      </c>
      <c r="H5185" t="s">
        <v>8953</v>
      </c>
      <c r="I5185" s="130">
        <v>10</v>
      </c>
      <c r="J5185" t="s">
        <v>6809</v>
      </c>
      <c r="K5185" t="s">
        <v>95</v>
      </c>
      <c r="L5185" t="s">
        <v>235</v>
      </c>
      <c r="M5185" t="s">
        <v>103</v>
      </c>
      <c r="N5185" t="s">
        <v>98</v>
      </c>
      <c r="O5185" t="s">
        <v>1256</v>
      </c>
    </row>
    <row r="5186" spans="1:15" x14ac:dyDescent="0.3">
      <c r="A5186" s="130">
        <v>26155</v>
      </c>
      <c r="B5186" s="130">
        <v>18</v>
      </c>
      <c r="C5186" s="130" t="s">
        <v>6810</v>
      </c>
      <c r="D5186">
        <v>40252</v>
      </c>
      <c r="E5186" s="130">
        <v>31835974</v>
      </c>
      <c r="F5186" t="s">
        <v>87</v>
      </c>
      <c r="G5186">
        <v>76</v>
      </c>
      <c r="H5186" t="s">
        <v>8951</v>
      </c>
      <c r="I5186" s="130">
        <v>26</v>
      </c>
      <c r="J5186" t="s">
        <v>6810</v>
      </c>
      <c r="K5186" t="s">
        <v>108</v>
      </c>
      <c r="L5186" t="s">
        <v>151</v>
      </c>
      <c r="M5186" t="s">
        <v>112</v>
      </c>
      <c r="N5186" t="s">
        <v>98</v>
      </c>
      <c r="O5186" t="s">
        <v>1256</v>
      </c>
    </row>
    <row r="5187" spans="1:15" x14ac:dyDescent="0.3">
      <c r="A5187" s="130">
        <v>26156</v>
      </c>
      <c r="B5187" s="130">
        <v>30</v>
      </c>
      <c r="C5187" s="130" t="s">
        <v>6811</v>
      </c>
      <c r="D5187">
        <v>40253</v>
      </c>
      <c r="E5187" s="131">
        <v>44418599</v>
      </c>
      <c r="F5187" t="s">
        <v>87</v>
      </c>
      <c r="G5187">
        <v>76</v>
      </c>
      <c r="H5187" t="s">
        <v>8952</v>
      </c>
      <c r="I5187" s="130">
        <v>19</v>
      </c>
      <c r="J5187" t="s">
        <v>6811</v>
      </c>
      <c r="K5187" t="s">
        <v>108</v>
      </c>
      <c r="L5187" t="s">
        <v>252</v>
      </c>
      <c r="M5187" t="s">
        <v>103</v>
      </c>
      <c r="N5187" t="s">
        <v>98</v>
      </c>
      <c r="O5187" t="s">
        <v>244</v>
      </c>
    </row>
    <row r="5188" spans="1:15" x14ac:dyDescent="0.3">
      <c r="A5188" s="130">
        <v>26157</v>
      </c>
      <c r="B5188" s="130">
        <v>21</v>
      </c>
      <c r="C5188" s="130" t="s">
        <v>6812</v>
      </c>
      <c r="D5188">
        <v>40257</v>
      </c>
      <c r="E5188" s="131">
        <v>49437809</v>
      </c>
      <c r="F5188" t="s">
        <v>87</v>
      </c>
      <c r="G5188">
        <v>76</v>
      </c>
      <c r="H5188" t="s">
        <v>8953</v>
      </c>
      <c r="I5188" s="130">
        <v>24</v>
      </c>
      <c r="J5188" t="s">
        <v>6812</v>
      </c>
      <c r="K5188" t="s">
        <v>108</v>
      </c>
      <c r="L5188" t="s">
        <v>240</v>
      </c>
      <c r="M5188" t="s">
        <v>137</v>
      </c>
      <c r="N5188" t="s">
        <v>98</v>
      </c>
      <c r="O5188" t="s">
        <v>1256</v>
      </c>
    </row>
    <row r="5189" spans="1:15" x14ac:dyDescent="0.3">
      <c r="A5189" s="130">
        <v>26158</v>
      </c>
      <c r="B5189" s="130">
        <v>20</v>
      </c>
      <c r="C5189" s="130" t="s">
        <v>6813</v>
      </c>
      <c r="D5189">
        <v>40258</v>
      </c>
      <c r="E5189" s="131">
        <v>53270764</v>
      </c>
      <c r="F5189" t="s">
        <v>87</v>
      </c>
      <c r="G5189">
        <v>76</v>
      </c>
      <c r="H5189" t="s">
        <v>8951</v>
      </c>
      <c r="I5189" s="131">
        <v>19</v>
      </c>
      <c r="J5189" t="s">
        <v>6813</v>
      </c>
      <c r="K5189" t="s">
        <v>108</v>
      </c>
      <c r="L5189" t="s">
        <v>252</v>
      </c>
      <c r="M5189" t="s">
        <v>148</v>
      </c>
      <c r="N5189" t="s">
        <v>98</v>
      </c>
      <c r="O5189" t="s">
        <v>1256</v>
      </c>
    </row>
    <row r="5190" spans="1:15" x14ac:dyDescent="0.3">
      <c r="A5190" s="130">
        <v>26159</v>
      </c>
      <c r="B5190" s="130">
        <v>21</v>
      </c>
      <c r="C5190" s="130" t="s">
        <v>6814</v>
      </c>
      <c r="D5190">
        <v>40259</v>
      </c>
      <c r="E5190" s="130">
        <v>49437809</v>
      </c>
      <c r="F5190" t="s">
        <v>87</v>
      </c>
      <c r="G5190">
        <v>76</v>
      </c>
      <c r="H5190" t="s">
        <v>8952</v>
      </c>
      <c r="I5190" s="130">
        <v>24</v>
      </c>
      <c r="J5190" t="s">
        <v>6814</v>
      </c>
      <c r="K5190" t="s">
        <v>108</v>
      </c>
      <c r="L5190" t="s">
        <v>240</v>
      </c>
      <c r="M5190" t="s">
        <v>137</v>
      </c>
      <c r="N5190" t="s">
        <v>98</v>
      </c>
      <c r="O5190" t="s">
        <v>1256</v>
      </c>
    </row>
    <row r="5191" spans="1:15" x14ac:dyDescent="0.3">
      <c r="A5191" s="130">
        <v>26162</v>
      </c>
      <c r="B5191" s="130">
        <v>21</v>
      </c>
      <c r="C5191" s="130" t="s">
        <v>6815</v>
      </c>
      <c r="D5191">
        <v>40263</v>
      </c>
      <c r="E5191" s="130">
        <v>24946352</v>
      </c>
      <c r="F5191" t="s">
        <v>87</v>
      </c>
      <c r="G5191">
        <v>76</v>
      </c>
      <c r="H5191" t="s">
        <v>8953</v>
      </c>
      <c r="I5191" s="130">
        <v>10</v>
      </c>
      <c r="J5191" t="s">
        <v>6815</v>
      </c>
      <c r="K5191" t="s">
        <v>95</v>
      </c>
      <c r="L5191" t="s">
        <v>127</v>
      </c>
      <c r="M5191" t="s">
        <v>137</v>
      </c>
      <c r="N5191" t="s">
        <v>118</v>
      </c>
      <c r="O5191" t="s">
        <v>116</v>
      </c>
    </row>
    <row r="5192" spans="1:15" x14ac:dyDescent="0.3">
      <c r="A5192" s="130">
        <v>26163</v>
      </c>
      <c r="B5192" s="130">
        <v>21</v>
      </c>
      <c r="C5192" s="130" t="s">
        <v>6816</v>
      </c>
      <c r="D5192">
        <v>40270</v>
      </c>
      <c r="E5192" s="130">
        <v>49437809</v>
      </c>
      <c r="F5192" t="s">
        <v>87</v>
      </c>
      <c r="G5192">
        <v>76</v>
      </c>
      <c r="H5192" t="s">
        <v>8951</v>
      </c>
      <c r="I5192" s="130">
        <v>24</v>
      </c>
      <c r="J5192" t="s">
        <v>6816</v>
      </c>
      <c r="K5192" t="s">
        <v>108</v>
      </c>
      <c r="L5192" t="s">
        <v>240</v>
      </c>
      <c r="M5192" t="s">
        <v>137</v>
      </c>
      <c r="N5192" t="s">
        <v>98</v>
      </c>
      <c r="O5192" t="s">
        <v>1256</v>
      </c>
    </row>
    <row r="5193" spans="1:15" x14ac:dyDescent="0.3">
      <c r="A5193" s="130">
        <v>26164</v>
      </c>
      <c r="B5193" s="130">
        <v>28</v>
      </c>
      <c r="C5193" s="130" t="s">
        <v>6817</v>
      </c>
      <c r="D5193">
        <v>40269</v>
      </c>
      <c r="E5193" s="131">
        <v>10220039</v>
      </c>
      <c r="F5193" t="s">
        <v>87</v>
      </c>
      <c r="G5193">
        <v>76</v>
      </c>
      <c r="H5193" t="s">
        <v>8952</v>
      </c>
      <c r="I5193" s="130">
        <v>18</v>
      </c>
      <c r="J5193" t="s">
        <v>6817</v>
      </c>
      <c r="K5193" t="s">
        <v>95</v>
      </c>
      <c r="L5193" t="s">
        <v>253</v>
      </c>
      <c r="M5193" t="s">
        <v>130</v>
      </c>
      <c r="N5193" t="s">
        <v>98</v>
      </c>
      <c r="O5193" t="s">
        <v>1256</v>
      </c>
    </row>
    <row r="5194" spans="1:15" x14ac:dyDescent="0.3">
      <c r="A5194" s="130">
        <v>26165</v>
      </c>
      <c r="B5194" s="130">
        <v>21</v>
      </c>
      <c r="C5194" s="130" t="s">
        <v>6818</v>
      </c>
      <c r="D5194">
        <v>40271</v>
      </c>
      <c r="E5194" s="130">
        <v>49437809</v>
      </c>
      <c r="F5194" t="s">
        <v>87</v>
      </c>
      <c r="G5194">
        <v>76</v>
      </c>
      <c r="H5194" t="s">
        <v>8953</v>
      </c>
      <c r="I5194" s="131">
        <v>24</v>
      </c>
      <c r="J5194" t="s">
        <v>6818</v>
      </c>
      <c r="K5194" t="s">
        <v>108</v>
      </c>
      <c r="L5194" t="s">
        <v>240</v>
      </c>
      <c r="M5194" t="s">
        <v>137</v>
      </c>
      <c r="N5194" t="s">
        <v>98</v>
      </c>
      <c r="O5194" t="s">
        <v>1256</v>
      </c>
    </row>
    <row r="5195" spans="1:15" x14ac:dyDescent="0.3">
      <c r="A5195" s="130">
        <v>26167</v>
      </c>
      <c r="B5195" s="130">
        <v>20</v>
      </c>
      <c r="C5195" s="130" t="s">
        <v>6819</v>
      </c>
      <c r="D5195">
        <v>40273</v>
      </c>
      <c r="E5195" s="130">
        <v>27396528</v>
      </c>
      <c r="F5195" t="s">
        <v>113</v>
      </c>
      <c r="G5195">
        <v>76</v>
      </c>
      <c r="H5195" t="s">
        <v>8951</v>
      </c>
      <c r="I5195" s="130">
        <v>19</v>
      </c>
      <c r="J5195" t="s">
        <v>6819</v>
      </c>
      <c r="K5195" t="s">
        <v>108</v>
      </c>
      <c r="L5195" t="s">
        <v>252</v>
      </c>
      <c r="M5195" t="s">
        <v>148</v>
      </c>
      <c r="N5195" t="s">
        <v>98</v>
      </c>
      <c r="O5195" t="s">
        <v>1256</v>
      </c>
    </row>
    <row r="5196" spans="1:15" x14ac:dyDescent="0.3">
      <c r="A5196" s="130">
        <v>26169</v>
      </c>
      <c r="B5196" s="130">
        <v>90</v>
      </c>
      <c r="C5196" s="130" t="s">
        <v>6820</v>
      </c>
      <c r="D5196">
        <v>40278</v>
      </c>
      <c r="E5196" s="130">
        <v>655209</v>
      </c>
      <c r="F5196" t="s">
        <v>87</v>
      </c>
      <c r="G5196">
        <v>76</v>
      </c>
      <c r="H5196" t="s">
        <v>8952</v>
      </c>
      <c r="I5196" s="130">
        <v>9</v>
      </c>
      <c r="J5196" t="s">
        <v>6820</v>
      </c>
      <c r="K5196" t="s">
        <v>95</v>
      </c>
      <c r="L5196" t="s">
        <v>1298</v>
      </c>
      <c r="M5196" t="s">
        <v>170</v>
      </c>
      <c r="N5196" t="s">
        <v>114</v>
      </c>
      <c r="O5196" t="s">
        <v>244</v>
      </c>
    </row>
    <row r="5197" spans="1:15" x14ac:dyDescent="0.3">
      <c r="A5197" s="130">
        <v>26171</v>
      </c>
      <c r="B5197" s="130">
        <v>21</v>
      </c>
      <c r="C5197" s="130" t="s">
        <v>6821</v>
      </c>
      <c r="D5197">
        <v>40281</v>
      </c>
      <c r="E5197" s="130">
        <v>6696624</v>
      </c>
      <c r="F5197" t="s">
        <v>113</v>
      </c>
      <c r="G5197">
        <v>76</v>
      </c>
      <c r="H5197" t="s">
        <v>8953</v>
      </c>
      <c r="I5197" s="131">
        <v>24</v>
      </c>
      <c r="J5197" t="s">
        <v>6821</v>
      </c>
      <c r="K5197" t="s">
        <v>108</v>
      </c>
      <c r="L5197" t="s">
        <v>191</v>
      </c>
      <c r="M5197" t="s">
        <v>137</v>
      </c>
      <c r="N5197" t="s">
        <v>124</v>
      </c>
      <c r="O5197" t="s">
        <v>1256</v>
      </c>
    </row>
    <row r="5198" spans="1:15" x14ac:dyDescent="0.3">
      <c r="A5198" s="130">
        <v>26174</v>
      </c>
      <c r="B5198" s="130">
        <v>0</v>
      </c>
      <c r="C5198" s="130" t="s">
        <v>6822</v>
      </c>
      <c r="D5198">
        <v>40237</v>
      </c>
      <c r="E5198" s="131">
        <v>34051746</v>
      </c>
      <c r="F5198" t="s">
        <v>87</v>
      </c>
      <c r="G5198">
        <v>76</v>
      </c>
      <c r="H5198" t="s">
        <v>8951</v>
      </c>
      <c r="I5198" s="131">
        <v>9</v>
      </c>
      <c r="J5198" t="s">
        <v>6822</v>
      </c>
      <c r="K5198" t="s">
        <v>108</v>
      </c>
      <c r="L5198" t="s">
        <v>163</v>
      </c>
      <c r="M5198" t="s">
        <v>100</v>
      </c>
      <c r="N5198" t="s">
        <v>118</v>
      </c>
      <c r="O5198" t="s">
        <v>1256</v>
      </c>
    </row>
    <row r="5199" spans="1:15" x14ac:dyDescent="0.3">
      <c r="A5199" s="130">
        <v>26177</v>
      </c>
      <c r="B5199" s="130">
        <v>10</v>
      </c>
      <c r="C5199" s="130" t="s">
        <v>6823</v>
      </c>
      <c r="D5199">
        <v>40288</v>
      </c>
      <c r="E5199" s="131">
        <v>8562228</v>
      </c>
      <c r="F5199" t="s">
        <v>113</v>
      </c>
      <c r="G5199">
        <v>32947</v>
      </c>
      <c r="H5199" t="s">
        <v>8952</v>
      </c>
      <c r="I5199" s="131">
        <v>3</v>
      </c>
      <c r="J5199" t="s">
        <v>6823</v>
      </c>
      <c r="K5199" t="s">
        <v>108</v>
      </c>
      <c r="L5199" t="s">
        <v>193</v>
      </c>
      <c r="M5199" t="s">
        <v>133</v>
      </c>
      <c r="N5199" t="s">
        <v>98</v>
      </c>
      <c r="O5199" t="s">
        <v>1256</v>
      </c>
    </row>
    <row r="5200" spans="1:15" x14ac:dyDescent="0.3">
      <c r="A5200" s="130">
        <v>26178</v>
      </c>
      <c r="B5200" s="130">
        <v>30</v>
      </c>
      <c r="C5200" s="130" t="s">
        <v>6824</v>
      </c>
      <c r="D5200">
        <v>40291</v>
      </c>
      <c r="E5200" s="130">
        <v>37181061</v>
      </c>
      <c r="F5200" t="s">
        <v>87</v>
      </c>
      <c r="G5200">
        <v>76</v>
      </c>
      <c r="H5200" t="s">
        <v>8953</v>
      </c>
      <c r="I5200" s="130">
        <v>10</v>
      </c>
      <c r="J5200" t="s">
        <v>6824</v>
      </c>
      <c r="K5200" t="s">
        <v>95</v>
      </c>
      <c r="L5200" t="s">
        <v>111</v>
      </c>
      <c r="M5200" t="s">
        <v>103</v>
      </c>
      <c r="N5200" t="s">
        <v>114</v>
      </c>
      <c r="O5200" t="s">
        <v>116</v>
      </c>
    </row>
    <row r="5201" spans="1:15" x14ac:dyDescent="0.3">
      <c r="A5201" s="130">
        <v>26179</v>
      </c>
      <c r="B5201" s="130">
        <v>90</v>
      </c>
      <c r="C5201" s="130" t="s">
        <v>6825</v>
      </c>
      <c r="D5201">
        <v>40292</v>
      </c>
      <c r="E5201" s="130">
        <v>655209</v>
      </c>
      <c r="F5201" t="s">
        <v>87</v>
      </c>
      <c r="G5201">
        <v>76</v>
      </c>
      <c r="H5201" t="s">
        <v>8951</v>
      </c>
      <c r="I5201" s="130">
        <v>9</v>
      </c>
      <c r="J5201" t="s">
        <v>6825</v>
      </c>
      <c r="K5201" t="s">
        <v>95</v>
      </c>
      <c r="L5201" t="s">
        <v>1298</v>
      </c>
      <c r="M5201" t="s">
        <v>170</v>
      </c>
      <c r="N5201" t="s">
        <v>114</v>
      </c>
      <c r="O5201" t="s">
        <v>1256</v>
      </c>
    </row>
    <row r="5202" spans="1:15" x14ac:dyDescent="0.3">
      <c r="A5202" s="130">
        <v>26181</v>
      </c>
      <c r="C5202" s="130" t="s">
        <v>6826</v>
      </c>
      <c r="D5202">
        <v>40284</v>
      </c>
      <c r="E5202" s="130">
        <v>17381049</v>
      </c>
      <c r="F5202" t="s">
        <v>113</v>
      </c>
      <c r="G5202">
        <v>32947</v>
      </c>
      <c r="H5202" t="s">
        <v>8952</v>
      </c>
      <c r="I5202" s="131">
        <v>24</v>
      </c>
      <c r="J5202" t="s">
        <v>6826</v>
      </c>
      <c r="K5202" t="s">
        <v>108</v>
      </c>
      <c r="L5202" t="s">
        <v>1293</v>
      </c>
      <c r="N5202" t="s">
        <v>98</v>
      </c>
      <c r="O5202" t="s">
        <v>1256</v>
      </c>
    </row>
    <row r="5203" spans="1:15" x14ac:dyDescent="0.3">
      <c r="A5203" s="130">
        <v>26183</v>
      </c>
      <c r="B5203" s="130">
        <v>30</v>
      </c>
      <c r="C5203" s="130" t="s">
        <v>6827</v>
      </c>
      <c r="D5203">
        <v>40298</v>
      </c>
      <c r="E5203" s="130">
        <v>9396731</v>
      </c>
      <c r="F5203" t="s">
        <v>87</v>
      </c>
      <c r="G5203">
        <v>76</v>
      </c>
      <c r="H5203" t="s">
        <v>8953</v>
      </c>
      <c r="I5203" s="131">
        <v>3</v>
      </c>
      <c r="J5203" t="s">
        <v>6827</v>
      </c>
      <c r="K5203" t="s">
        <v>95</v>
      </c>
      <c r="L5203" t="s">
        <v>102</v>
      </c>
      <c r="M5203" t="s">
        <v>103</v>
      </c>
      <c r="N5203" t="s">
        <v>101</v>
      </c>
      <c r="O5203" t="s">
        <v>116</v>
      </c>
    </row>
    <row r="5204" spans="1:15" x14ac:dyDescent="0.3">
      <c r="A5204" s="130">
        <v>26186</v>
      </c>
      <c r="B5204" s="130">
        <v>21</v>
      </c>
      <c r="C5204" s="130" t="s">
        <v>6828</v>
      </c>
      <c r="D5204">
        <v>40304</v>
      </c>
      <c r="E5204" s="130">
        <v>33113646</v>
      </c>
      <c r="F5204" t="s">
        <v>113</v>
      </c>
      <c r="G5204">
        <v>76</v>
      </c>
      <c r="H5204" t="s">
        <v>8951</v>
      </c>
      <c r="I5204" s="130">
        <v>24</v>
      </c>
      <c r="J5204" t="s">
        <v>6828</v>
      </c>
      <c r="K5204" t="s">
        <v>108</v>
      </c>
      <c r="L5204" t="s">
        <v>191</v>
      </c>
      <c r="M5204" t="s">
        <v>137</v>
      </c>
      <c r="N5204" t="s">
        <v>98</v>
      </c>
      <c r="O5204" t="s">
        <v>1256</v>
      </c>
    </row>
    <row r="5205" spans="1:15" x14ac:dyDescent="0.3">
      <c r="A5205" s="130">
        <v>26188</v>
      </c>
      <c r="C5205" s="130" t="s">
        <v>6829</v>
      </c>
      <c r="D5205">
        <v>40308</v>
      </c>
      <c r="E5205" s="130">
        <v>8678642</v>
      </c>
      <c r="F5205" t="s">
        <v>113</v>
      </c>
      <c r="G5205">
        <v>32947</v>
      </c>
      <c r="H5205" t="s">
        <v>8952</v>
      </c>
      <c r="I5205" s="130">
        <v>43</v>
      </c>
      <c r="J5205" t="s">
        <v>6829</v>
      </c>
      <c r="K5205" t="s">
        <v>108</v>
      </c>
      <c r="L5205" t="s">
        <v>1241</v>
      </c>
      <c r="N5205" t="s">
        <v>150</v>
      </c>
      <c r="O5205" t="s">
        <v>1256</v>
      </c>
    </row>
    <row r="5206" spans="1:15" x14ac:dyDescent="0.3">
      <c r="A5206" s="130">
        <v>26189</v>
      </c>
      <c r="B5206" s="130">
        <v>15</v>
      </c>
      <c r="C5206" s="130" t="s">
        <v>6830</v>
      </c>
      <c r="D5206">
        <v>40309</v>
      </c>
      <c r="E5206" s="131">
        <v>7447225</v>
      </c>
      <c r="F5206" t="s">
        <v>87</v>
      </c>
      <c r="G5206">
        <v>76</v>
      </c>
      <c r="H5206" t="s">
        <v>8953</v>
      </c>
      <c r="I5206" s="131">
        <v>24</v>
      </c>
      <c r="J5206" t="s">
        <v>6830</v>
      </c>
      <c r="K5206" t="s">
        <v>108</v>
      </c>
      <c r="L5206" t="s">
        <v>240</v>
      </c>
      <c r="M5206" t="s">
        <v>145</v>
      </c>
      <c r="N5206" t="s">
        <v>98</v>
      </c>
      <c r="O5206" t="s">
        <v>1256</v>
      </c>
    </row>
    <row r="5207" spans="1:15" x14ac:dyDescent="0.3">
      <c r="A5207" s="130">
        <v>26190</v>
      </c>
      <c r="B5207" s="130">
        <v>28</v>
      </c>
      <c r="C5207" s="130" t="s">
        <v>6831</v>
      </c>
      <c r="D5207">
        <v>40310</v>
      </c>
      <c r="E5207" s="131">
        <v>60625829</v>
      </c>
      <c r="F5207" t="s">
        <v>87</v>
      </c>
      <c r="G5207">
        <v>76</v>
      </c>
      <c r="H5207" t="s">
        <v>8951</v>
      </c>
      <c r="I5207" s="130">
        <v>18</v>
      </c>
      <c r="J5207" t="s">
        <v>6831</v>
      </c>
      <c r="K5207" t="s">
        <v>108</v>
      </c>
      <c r="L5207" t="s">
        <v>120</v>
      </c>
      <c r="M5207" t="s">
        <v>130</v>
      </c>
      <c r="N5207" t="s">
        <v>98</v>
      </c>
      <c r="O5207" t="s">
        <v>116</v>
      </c>
    </row>
    <row r="5208" spans="1:15" x14ac:dyDescent="0.3">
      <c r="A5208" s="130">
        <v>26191</v>
      </c>
      <c r="C5208" s="130" t="s">
        <v>6832</v>
      </c>
      <c r="D5208">
        <v>40312</v>
      </c>
      <c r="E5208" s="130">
        <v>8433116</v>
      </c>
      <c r="F5208" t="s">
        <v>113</v>
      </c>
      <c r="G5208">
        <v>32947</v>
      </c>
      <c r="H5208" t="s">
        <v>8952</v>
      </c>
      <c r="I5208" s="131">
        <v>24</v>
      </c>
      <c r="J5208" t="s">
        <v>6832</v>
      </c>
      <c r="K5208" t="s">
        <v>108</v>
      </c>
      <c r="L5208" t="s">
        <v>1293</v>
      </c>
      <c r="N5208" t="s">
        <v>98</v>
      </c>
      <c r="O5208" t="s">
        <v>1256</v>
      </c>
    </row>
    <row r="5209" spans="1:15" x14ac:dyDescent="0.3">
      <c r="A5209" s="130">
        <v>26193</v>
      </c>
      <c r="B5209" s="130">
        <v>30</v>
      </c>
      <c r="C5209" s="130" t="s">
        <v>6833</v>
      </c>
      <c r="D5209">
        <v>37649</v>
      </c>
      <c r="E5209" s="131">
        <v>34209835</v>
      </c>
      <c r="F5209" t="s">
        <v>87</v>
      </c>
      <c r="G5209">
        <v>77</v>
      </c>
      <c r="H5209" t="s">
        <v>8953</v>
      </c>
      <c r="I5209" s="130">
        <v>3</v>
      </c>
      <c r="J5209" t="s">
        <v>6833</v>
      </c>
      <c r="K5209" t="s">
        <v>95</v>
      </c>
      <c r="L5209" t="s">
        <v>117</v>
      </c>
      <c r="M5209" t="s">
        <v>103</v>
      </c>
      <c r="N5209" t="s">
        <v>98</v>
      </c>
      <c r="O5209" t="s">
        <v>1256</v>
      </c>
    </row>
    <row r="5210" spans="1:15" x14ac:dyDescent="0.3">
      <c r="A5210" s="130">
        <v>26194</v>
      </c>
      <c r="B5210" s="130">
        <v>28</v>
      </c>
      <c r="C5210" s="130" t="s">
        <v>6834</v>
      </c>
      <c r="D5210">
        <v>40302</v>
      </c>
      <c r="E5210" s="130">
        <v>43927354</v>
      </c>
      <c r="F5210" t="s">
        <v>87</v>
      </c>
      <c r="G5210">
        <v>76</v>
      </c>
      <c r="H5210" t="s">
        <v>8951</v>
      </c>
      <c r="I5210" s="130">
        <v>18</v>
      </c>
      <c r="J5210" t="s">
        <v>6834</v>
      </c>
      <c r="K5210" t="s">
        <v>108</v>
      </c>
      <c r="L5210" t="s">
        <v>253</v>
      </c>
      <c r="M5210" t="s">
        <v>130</v>
      </c>
      <c r="N5210" t="s">
        <v>150</v>
      </c>
      <c r="O5210" t="s">
        <v>1256</v>
      </c>
    </row>
    <row r="5211" spans="1:15" x14ac:dyDescent="0.3">
      <c r="A5211" s="130">
        <v>26196</v>
      </c>
      <c r="B5211" s="130">
        <v>28</v>
      </c>
      <c r="C5211" s="130" t="s">
        <v>6835</v>
      </c>
      <c r="D5211">
        <v>40316</v>
      </c>
      <c r="E5211" s="130">
        <v>30013346</v>
      </c>
      <c r="F5211" t="s">
        <v>113</v>
      </c>
      <c r="G5211">
        <v>76</v>
      </c>
      <c r="H5211" t="s">
        <v>8952</v>
      </c>
      <c r="I5211" s="130">
        <v>18</v>
      </c>
      <c r="J5211" t="s">
        <v>6835</v>
      </c>
      <c r="K5211" t="s">
        <v>108</v>
      </c>
      <c r="L5211" t="s">
        <v>253</v>
      </c>
      <c r="M5211" t="s">
        <v>130</v>
      </c>
      <c r="N5211" t="s">
        <v>98</v>
      </c>
      <c r="O5211" t="s">
        <v>1256</v>
      </c>
    </row>
    <row r="5212" spans="1:15" x14ac:dyDescent="0.3">
      <c r="A5212" s="130">
        <v>26200</v>
      </c>
      <c r="B5212" s="130">
        <v>30</v>
      </c>
      <c r="C5212" s="130" t="s">
        <v>6836</v>
      </c>
      <c r="D5212">
        <v>40326</v>
      </c>
      <c r="E5212" s="131">
        <v>76487222</v>
      </c>
      <c r="F5212" t="s">
        <v>87</v>
      </c>
      <c r="G5212">
        <v>32947</v>
      </c>
      <c r="H5212" t="s">
        <v>8953</v>
      </c>
      <c r="I5212" s="130">
        <v>24</v>
      </c>
      <c r="J5212" t="s">
        <v>6836</v>
      </c>
      <c r="K5212" t="s">
        <v>95</v>
      </c>
      <c r="L5212" t="s">
        <v>193</v>
      </c>
      <c r="M5212" t="s">
        <v>103</v>
      </c>
      <c r="N5212" t="s">
        <v>98</v>
      </c>
      <c r="O5212" t="s">
        <v>116</v>
      </c>
    </row>
    <row r="5213" spans="1:15" x14ac:dyDescent="0.3">
      <c r="A5213" s="130">
        <v>26202</v>
      </c>
      <c r="B5213" s="130">
        <v>10</v>
      </c>
      <c r="C5213" s="130" t="s">
        <v>6837</v>
      </c>
      <c r="D5213">
        <v>40330</v>
      </c>
      <c r="E5213" s="130">
        <v>5208211</v>
      </c>
      <c r="F5213" t="s">
        <v>87</v>
      </c>
      <c r="G5213">
        <v>32947</v>
      </c>
      <c r="H5213" t="s">
        <v>8951</v>
      </c>
      <c r="I5213" s="131">
        <v>3</v>
      </c>
      <c r="J5213" t="s">
        <v>6837</v>
      </c>
      <c r="K5213" t="s">
        <v>95</v>
      </c>
      <c r="L5213" t="s">
        <v>109</v>
      </c>
      <c r="M5213" t="s">
        <v>133</v>
      </c>
      <c r="N5213" t="s">
        <v>114</v>
      </c>
      <c r="O5213" t="s">
        <v>1256</v>
      </c>
    </row>
    <row r="5214" spans="1:15" x14ac:dyDescent="0.3">
      <c r="A5214" s="130">
        <v>26204</v>
      </c>
      <c r="B5214" s="130">
        <v>10</v>
      </c>
      <c r="C5214" s="130" t="s">
        <v>6838</v>
      </c>
      <c r="D5214">
        <v>40335</v>
      </c>
      <c r="E5214" s="130">
        <v>5208211</v>
      </c>
      <c r="F5214" t="s">
        <v>87</v>
      </c>
      <c r="G5214">
        <v>32947</v>
      </c>
      <c r="H5214" t="s">
        <v>8952</v>
      </c>
      <c r="I5214" s="130">
        <v>3</v>
      </c>
      <c r="J5214" t="s">
        <v>6838</v>
      </c>
      <c r="K5214" t="s">
        <v>95</v>
      </c>
      <c r="L5214" t="s">
        <v>109</v>
      </c>
      <c r="M5214" t="s">
        <v>133</v>
      </c>
      <c r="N5214" t="s">
        <v>114</v>
      </c>
      <c r="O5214" t="s">
        <v>1256</v>
      </c>
    </row>
    <row r="5215" spans="1:15" x14ac:dyDescent="0.3">
      <c r="A5215" s="130">
        <v>26207</v>
      </c>
      <c r="B5215" s="130">
        <v>60</v>
      </c>
      <c r="C5215" s="130" t="s">
        <v>6839</v>
      </c>
      <c r="D5215">
        <v>40339</v>
      </c>
      <c r="E5215" s="130">
        <v>532740</v>
      </c>
      <c r="F5215" t="s">
        <v>87</v>
      </c>
      <c r="G5215">
        <v>76</v>
      </c>
      <c r="H5215" t="s">
        <v>8953</v>
      </c>
      <c r="I5215" s="131">
        <v>10</v>
      </c>
      <c r="J5215" t="s">
        <v>6839</v>
      </c>
      <c r="K5215" t="s">
        <v>95</v>
      </c>
      <c r="L5215" t="s">
        <v>127</v>
      </c>
      <c r="M5215" t="s">
        <v>97</v>
      </c>
      <c r="N5215" t="s">
        <v>118</v>
      </c>
      <c r="O5215" t="s">
        <v>116</v>
      </c>
    </row>
    <row r="5216" spans="1:15" x14ac:dyDescent="0.3">
      <c r="A5216" s="130">
        <v>26208</v>
      </c>
      <c r="B5216" s="130">
        <v>30</v>
      </c>
      <c r="C5216" s="130" t="s">
        <v>6840</v>
      </c>
      <c r="D5216">
        <v>40345</v>
      </c>
      <c r="E5216" s="130">
        <v>27426196</v>
      </c>
      <c r="F5216" t="s">
        <v>87</v>
      </c>
      <c r="G5216">
        <v>76</v>
      </c>
      <c r="H5216" t="s">
        <v>8951</v>
      </c>
      <c r="I5216" s="131">
        <v>9</v>
      </c>
      <c r="J5216" t="s">
        <v>6840</v>
      </c>
      <c r="K5216" t="s">
        <v>95</v>
      </c>
      <c r="L5216" t="s">
        <v>163</v>
      </c>
      <c r="M5216" t="s">
        <v>103</v>
      </c>
      <c r="N5216" t="s">
        <v>98</v>
      </c>
      <c r="O5216" t="s">
        <v>1256</v>
      </c>
    </row>
    <row r="5217" spans="1:15" x14ac:dyDescent="0.3">
      <c r="A5217" s="130">
        <v>26210</v>
      </c>
      <c r="B5217" s="130">
        <v>30</v>
      </c>
      <c r="C5217" s="130" t="s">
        <v>6841</v>
      </c>
      <c r="D5217">
        <v>40347</v>
      </c>
      <c r="E5217" s="131">
        <v>37364162</v>
      </c>
      <c r="F5217" t="s">
        <v>87</v>
      </c>
      <c r="G5217">
        <v>76</v>
      </c>
      <c r="H5217" t="s">
        <v>8952</v>
      </c>
      <c r="I5217" s="131">
        <v>19</v>
      </c>
      <c r="J5217" t="s">
        <v>6841</v>
      </c>
      <c r="K5217" t="s">
        <v>108</v>
      </c>
      <c r="L5217" t="s">
        <v>146</v>
      </c>
      <c r="M5217" t="s">
        <v>103</v>
      </c>
      <c r="N5217" t="s">
        <v>124</v>
      </c>
      <c r="O5217" t="s">
        <v>116</v>
      </c>
    </row>
    <row r="5218" spans="1:15" x14ac:dyDescent="0.3">
      <c r="A5218" s="130">
        <v>26212</v>
      </c>
      <c r="B5218" s="130">
        <v>-1</v>
      </c>
      <c r="C5218" s="130" t="s">
        <v>6842</v>
      </c>
      <c r="D5218">
        <v>40297</v>
      </c>
      <c r="E5218" s="130">
        <v>46194388</v>
      </c>
      <c r="F5218" t="s">
        <v>113</v>
      </c>
      <c r="G5218">
        <v>76</v>
      </c>
      <c r="H5218" t="s">
        <v>8953</v>
      </c>
      <c r="I5218" s="130">
        <v>9</v>
      </c>
      <c r="J5218" t="s">
        <v>6842</v>
      </c>
      <c r="K5218" t="s">
        <v>108</v>
      </c>
      <c r="L5218" t="s">
        <v>163</v>
      </c>
      <c r="M5218" t="s">
        <v>174</v>
      </c>
      <c r="N5218" t="s">
        <v>152</v>
      </c>
      <c r="O5218" t="s">
        <v>1256</v>
      </c>
    </row>
    <row r="5219" spans="1:15" x14ac:dyDescent="0.3">
      <c r="A5219" s="130">
        <v>26213</v>
      </c>
      <c r="B5219" s="130">
        <v>30</v>
      </c>
      <c r="C5219" s="130" t="s">
        <v>6843</v>
      </c>
      <c r="D5219">
        <v>40350</v>
      </c>
      <c r="E5219" s="131">
        <v>2783217</v>
      </c>
      <c r="F5219" t="s">
        <v>87</v>
      </c>
      <c r="G5219">
        <v>76</v>
      </c>
      <c r="H5219" t="s">
        <v>8951</v>
      </c>
      <c r="I5219" s="130">
        <v>19</v>
      </c>
      <c r="J5219" t="s">
        <v>6843</v>
      </c>
      <c r="K5219" t="s">
        <v>108</v>
      </c>
      <c r="L5219" t="s">
        <v>146</v>
      </c>
      <c r="M5219" t="s">
        <v>103</v>
      </c>
      <c r="N5219" t="s">
        <v>114</v>
      </c>
      <c r="O5219" t="s">
        <v>116</v>
      </c>
    </row>
    <row r="5220" spans="1:15" x14ac:dyDescent="0.3">
      <c r="A5220" s="130">
        <v>26215</v>
      </c>
      <c r="B5220" s="130">
        <v>21</v>
      </c>
      <c r="C5220" s="130" t="s">
        <v>6844</v>
      </c>
      <c r="D5220">
        <v>40357</v>
      </c>
      <c r="E5220" s="130">
        <v>88309620</v>
      </c>
      <c r="F5220" t="s">
        <v>87</v>
      </c>
      <c r="G5220">
        <v>76</v>
      </c>
      <c r="H5220" t="s">
        <v>8952</v>
      </c>
      <c r="I5220" s="130">
        <v>24</v>
      </c>
      <c r="J5220" t="s">
        <v>6844</v>
      </c>
      <c r="K5220" t="s">
        <v>108</v>
      </c>
      <c r="L5220" t="s">
        <v>241</v>
      </c>
      <c r="M5220" t="s">
        <v>137</v>
      </c>
      <c r="N5220" t="s">
        <v>122</v>
      </c>
      <c r="O5220" t="s">
        <v>1256</v>
      </c>
    </row>
    <row r="5221" spans="1:15" x14ac:dyDescent="0.3">
      <c r="A5221" s="130">
        <v>26216</v>
      </c>
      <c r="B5221" s="130">
        <v>10</v>
      </c>
      <c r="C5221" s="130" t="s">
        <v>6845</v>
      </c>
      <c r="D5221">
        <v>40359</v>
      </c>
      <c r="E5221" s="130">
        <v>4892580</v>
      </c>
      <c r="F5221" t="s">
        <v>87</v>
      </c>
      <c r="G5221">
        <v>76</v>
      </c>
      <c r="H5221" t="s">
        <v>8953</v>
      </c>
      <c r="I5221" s="130">
        <v>9</v>
      </c>
      <c r="J5221" t="s">
        <v>6845</v>
      </c>
      <c r="K5221" t="s">
        <v>108</v>
      </c>
      <c r="L5221" t="s">
        <v>1298</v>
      </c>
      <c r="M5221" t="s">
        <v>133</v>
      </c>
      <c r="N5221" t="s">
        <v>98</v>
      </c>
      <c r="O5221" t="s">
        <v>1256</v>
      </c>
    </row>
    <row r="5222" spans="1:15" x14ac:dyDescent="0.3">
      <c r="A5222" s="130">
        <v>26222</v>
      </c>
      <c r="B5222" s="130">
        <v>10</v>
      </c>
      <c r="C5222" s="130" t="s">
        <v>6846</v>
      </c>
      <c r="D5222">
        <v>40370</v>
      </c>
      <c r="E5222" s="130">
        <v>53469728</v>
      </c>
      <c r="F5222" t="s">
        <v>113</v>
      </c>
      <c r="G5222">
        <v>32947</v>
      </c>
      <c r="H5222" t="s">
        <v>8951</v>
      </c>
      <c r="I5222" s="131">
        <v>43</v>
      </c>
      <c r="J5222" t="s">
        <v>6846</v>
      </c>
      <c r="K5222" t="s">
        <v>108</v>
      </c>
      <c r="L5222" t="s">
        <v>1241</v>
      </c>
      <c r="M5222" t="s">
        <v>133</v>
      </c>
      <c r="N5222" t="s">
        <v>124</v>
      </c>
      <c r="O5222" t="s">
        <v>1256</v>
      </c>
    </row>
    <row r="5223" spans="1:15" x14ac:dyDescent="0.3">
      <c r="A5223" s="130">
        <v>26223</v>
      </c>
      <c r="B5223" s="130">
        <v>25</v>
      </c>
      <c r="C5223" s="130" t="s">
        <v>6847</v>
      </c>
      <c r="D5223">
        <v>40371</v>
      </c>
      <c r="E5223" s="130">
        <v>55006866</v>
      </c>
      <c r="F5223" t="s">
        <v>87</v>
      </c>
      <c r="G5223">
        <v>76</v>
      </c>
      <c r="H5223" t="s">
        <v>8952</v>
      </c>
      <c r="I5223" s="130">
        <v>24</v>
      </c>
      <c r="J5223" t="s">
        <v>6847</v>
      </c>
      <c r="K5223" t="s">
        <v>95</v>
      </c>
      <c r="L5223" t="s">
        <v>1253</v>
      </c>
      <c r="M5223" t="s">
        <v>164</v>
      </c>
      <c r="N5223" t="s">
        <v>98</v>
      </c>
      <c r="O5223" t="s">
        <v>1256</v>
      </c>
    </row>
    <row r="5224" spans="1:15" x14ac:dyDescent="0.3">
      <c r="A5224" s="130">
        <v>26224</v>
      </c>
      <c r="B5224" s="130">
        <v>10</v>
      </c>
      <c r="C5224" s="130" t="s">
        <v>6848</v>
      </c>
      <c r="D5224">
        <v>40372</v>
      </c>
      <c r="E5224" s="131">
        <v>53469728</v>
      </c>
      <c r="F5224" t="s">
        <v>113</v>
      </c>
      <c r="G5224">
        <v>32947</v>
      </c>
      <c r="H5224" t="s">
        <v>8953</v>
      </c>
      <c r="I5224" s="130">
        <v>43</v>
      </c>
      <c r="J5224" t="s">
        <v>6848</v>
      </c>
      <c r="K5224" t="s">
        <v>108</v>
      </c>
      <c r="L5224" t="s">
        <v>1241</v>
      </c>
      <c r="M5224" t="s">
        <v>133</v>
      </c>
      <c r="N5224" t="s">
        <v>124</v>
      </c>
      <c r="O5224" t="s">
        <v>1256</v>
      </c>
    </row>
    <row r="5225" spans="1:15" x14ac:dyDescent="0.3">
      <c r="A5225" s="130">
        <v>26226</v>
      </c>
      <c r="B5225" s="130">
        <v>18</v>
      </c>
      <c r="C5225" s="130" t="s">
        <v>6849</v>
      </c>
      <c r="D5225">
        <v>40378</v>
      </c>
      <c r="E5225" s="130">
        <v>18160661</v>
      </c>
      <c r="F5225" t="s">
        <v>87</v>
      </c>
      <c r="G5225">
        <v>32947</v>
      </c>
      <c r="H5225" t="s">
        <v>8951</v>
      </c>
      <c r="I5225" s="131">
        <v>37</v>
      </c>
      <c r="J5225" t="s">
        <v>6849</v>
      </c>
      <c r="K5225" t="s">
        <v>108</v>
      </c>
      <c r="L5225" t="s">
        <v>193</v>
      </c>
      <c r="M5225" t="s">
        <v>112</v>
      </c>
      <c r="N5225" t="s">
        <v>98</v>
      </c>
      <c r="O5225" t="s">
        <v>1256</v>
      </c>
    </row>
    <row r="5226" spans="1:15" x14ac:dyDescent="0.3">
      <c r="A5226" s="130">
        <v>26228</v>
      </c>
      <c r="B5226" s="130">
        <v>30</v>
      </c>
      <c r="C5226" s="130" t="s">
        <v>6850</v>
      </c>
      <c r="D5226">
        <v>40381</v>
      </c>
      <c r="E5226" s="130">
        <v>61186888</v>
      </c>
      <c r="F5226" t="s">
        <v>87</v>
      </c>
      <c r="G5226">
        <v>77</v>
      </c>
      <c r="H5226" t="s">
        <v>8952</v>
      </c>
      <c r="I5226" s="131">
        <v>3</v>
      </c>
      <c r="J5226" t="s">
        <v>6850</v>
      </c>
      <c r="K5226" t="s">
        <v>95</v>
      </c>
      <c r="L5226" t="s">
        <v>256</v>
      </c>
      <c r="M5226" t="s">
        <v>103</v>
      </c>
      <c r="N5226" t="s">
        <v>114</v>
      </c>
      <c r="O5226" t="s">
        <v>116</v>
      </c>
    </row>
    <row r="5227" spans="1:15" x14ac:dyDescent="0.3">
      <c r="A5227" s="130">
        <v>26232</v>
      </c>
      <c r="C5227" s="130" t="s">
        <v>6851</v>
      </c>
      <c r="D5227">
        <v>40362</v>
      </c>
      <c r="E5227" s="130">
        <v>691905</v>
      </c>
      <c r="F5227" t="s">
        <v>113</v>
      </c>
      <c r="G5227">
        <v>32947</v>
      </c>
      <c r="H5227" t="s">
        <v>8953</v>
      </c>
      <c r="I5227" s="131">
        <v>55</v>
      </c>
      <c r="J5227" t="s">
        <v>6851</v>
      </c>
      <c r="K5227" t="s">
        <v>108</v>
      </c>
      <c r="L5227" t="s">
        <v>193</v>
      </c>
      <c r="N5227" t="s">
        <v>122</v>
      </c>
      <c r="O5227" t="s">
        <v>1256</v>
      </c>
    </row>
    <row r="5228" spans="1:15" x14ac:dyDescent="0.3">
      <c r="A5228" s="130">
        <v>26233</v>
      </c>
      <c r="B5228" s="130">
        <v>30</v>
      </c>
      <c r="C5228" s="130" t="s">
        <v>6852</v>
      </c>
      <c r="D5228">
        <v>40387</v>
      </c>
      <c r="E5228" s="130">
        <v>13623957</v>
      </c>
      <c r="F5228" t="s">
        <v>87</v>
      </c>
      <c r="G5228">
        <v>76</v>
      </c>
      <c r="H5228" t="s">
        <v>8951</v>
      </c>
      <c r="I5228" s="130">
        <v>18</v>
      </c>
      <c r="J5228" t="s">
        <v>6852</v>
      </c>
      <c r="K5228" t="s">
        <v>95</v>
      </c>
      <c r="L5228" t="s">
        <v>123</v>
      </c>
      <c r="M5228" t="s">
        <v>103</v>
      </c>
      <c r="N5228" t="s">
        <v>98</v>
      </c>
      <c r="O5228" t="s">
        <v>1256</v>
      </c>
    </row>
    <row r="5229" spans="1:15" x14ac:dyDescent="0.3">
      <c r="A5229" s="130">
        <v>26234</v>
      </c>
      <c r="B5229" s="130">
        <v>30</v>
      </c>
      <c r="C5229" s="130" t="s">
        <v>6853</v>
      </c>
      <c r="D5229">
        <v>40388</v>
      </c>
      <c r="E5229" s="131">
        <v>8588859</v>
      </c>
      <c r="F5229" t="s">
        <v>87</v>
      </c>
      <c r="G5229">
        <v>76</v>
      </c>
      <c r="H5229" t="s">
        <v>8952</v>
      </c>
      <c r="I5229" s="131">
        <v>24</v>
      </c>
      <c r="J5229" t="s">
        <v>6853</v>
      </c>
      <c r="K5229" t="s">
        <v>108</v>
      </c>
      <c r="L5229" t="s">
        <v>191</v>
      </c>
      <c r="M5229" t="s">
        <v>103</v>
      </c>
      <c r="N5229" t="s">
        <v>98</v>
      </c>
      <c r="O5229" t="s">
        <v>116</v>
      </c>
    </row>
    <row r="5230" spans="1:15" x14ac:dyDescent="0.3">
      <c r="A5230" s="130">
        <v>26236</v>
      </c>
      <c r="B5230" s="130">
        <v>0</v>
      </c>
      <c r="C5230" s="130" t="s">
        <v>6854</v>
      </c>
      <c r="D5230">
        <v>38471</v>
      </c>
      <c r="E5230" s="131">
        <v>42184226</v>
      </c>
      <c r="F5230" t="s">
        <v>87</v>
      </c>
      <c r="G5230">
        <v>77</v>
      </c>
      <c r="H5230" t="s">
        <v>8953</v>
      </c>
      <c r="I5230" s="130">
        <v>14</v>
      </c>
      <c r="J5230" t="s">
        <v>6854</v>
      </c>
      <c r="K5230" t="s">
        <v>95</v>
      </c>
      <c r="L5230" t="s">
        <v>235</v>
      </c>
      <c r="M5230" t="s">
        <v>154</v>
      </c>
      <c r="N5230" t="s">
        <v>118</v>
      </c>
      <c r="O5230" t="s">
        <v>1256</v>
      </c>
    </row>
    <row r="5231" spans="1:15" x14ac:dyDescent="0.3">
      <c r="A5231" s="130">
        <v>26237</v>
      </c>
      <c r="B5231" s="130">
        <v>28</v>
      </c>
      <c r="C5231" s="130" t="s">
        <v>6855</v>
      </c>
      <c r="D5231">
        <v>40392</v>
      </c>
      <c r="E5231" s="130">
        <v>37000444</v>
      </c>
      <c r="F5231" t="s">
        <v>87</v>
      </c>
      <c r="G5231">
        <v>76</v>
      </c>
      <c r="H5231" t="s">
        <v>8951</v>
      </c>
      <c r="I5231" s="130">
        <v>18</v>
      </c>
      <c r="J5231" t="s">
        <v>6855</v>
      </c>
      <c r="K5231" t="s">
        <v>108</v>
      </c>
      <c r="L5231" t="s">
        <v>253</v>
      </c>
      <c r="M5231" t="s">
        <v>130</v>
      </c>
      <c r="N5231" t="s">
        <v>98</v>
      </c>
      <c r="O5231" t="s">
        <v>1256</v>
      </c>
    </row>
    <row r="5232" spans="1:15" x14ac:dyDescent="0.3">
      <c r="A5232" s="130">
        <v>26239</v>
      </c>
      <c r="B5232" s="130">
        <v>20</v>
      </c>
      <c r="C5232" s="130" t="s">
        <v>6856</v>
      </c>
      <c r="D5232">
        <v>40396</v>
      </c>
      <c r="E5232" s="130">
        <v>35594305</v>
      </c>
      <c r="F5232" t="s">
        <v>87</v>
      </c>
      <c r="G5232">
        <v>76</v>
      </c>
      <c r="H5232" t="s">
        <v>8952</v>
      </c>
      <c r="I5232" s="130">
        <v>19</v>
      </c>
      <c r="J5232" t="s">
        <v>6856</v>
      </c>
      <c r="K5232" t="s">
        <v>108</v>
      </c>
      <c r="L5232" t="s">
        <v>252</v>
      </c>
      <c r="M5232" t="s">
        <v>148</v>
      </c>
      <c r="N5232" t="s">
        <v>98</v>
      </c>
      <c r="O5232" t="s">
        <v>116</v>
      </c>
    </row>
    <row r="5233" spans="1:15" x14ac:dyDescent="0.3">
      <c r="A5233" s="130">
        <v>26240</v>
      </c>
      <c r="B5233" s="130">
        <v>18</v>
      </c>
      <c r="C5233" s="130" t="s">
        <v>6857</v>
      </c>
      <c r="D5233">
        <v>40403</v>
      </c>
      <c r="E5233" s="130">
        <v>8807683</v>
      </c>
      <c r="F5233" t="s">
        <v>87</v>
      </c>
      <c r="G5233">
        <v>76</v>
      </c>
      <c r="H5233" t="s">
        <v>8953</v>
      </c>
      <c r="I5233" s="130">
        <v>26</v>
      </c>
      <c r="J5233" t="s">
        <v>6857</v>
      </c>
      <c r="K5233" t="s">
        <v>95</v>
      </c>
      <c r="L5233" t="s">
        <v>151</v>
      </c>
      <c r="M5233" t="s">
        <v>112</v>
      </c>
      <c r="N5233" t="s">
        <v>118</v>
      </c>
      <c r="O5233" t="s">
        <v>1256</v>
      </c>
    </row>
    <row r="5234" spans="1:15" x14ac:dyDescent="0.3">
      <c r="A5234" s="130">
        <v>26241</v>
      </c>
      <c r="B5234" s="130">
        <v>20</v>
      </c>
      <c r="C5234" s="130" t="s">
        <v>6858</v>
      </c>
      <c r="D5234">
        <v>40404</v>
      </c>
      <c r="E5234" s="131">
        <v>2980212</v>
      </c>
      <c r="F5234" t="s">
        <v>87</v>
      </c>
      <c r="G5234">
        <v>76</v>
      </c>
      <c r="H5234" t="s">
        <v>8951</v>
      </c>
      <c r="I5234" s="130">
        <v>19</v>
      </c>
      <c r="J5234" t="s">
        <v>6858</v>
      </c>
      <c r="K5234" t="s">
        <v>108</v>
      </c>
      <c r="L5234" t="s">
        <v>252</v>
      </c>
      <c r="M5234" t="s">
        <v>148</v>
      </c>
      <c r="N5234" t="s">
        <v>98</v>
      </c>
      <c r="O5234" t="s">
        <v>1256</v>
      </c>
    </row>
    <row r="5235" spans="1:15" x14ac:dyDescent="0.3">
      <c r="A5235" s="130">
        <v>26242</v>
      </c>
      <c r="B5235" s="130">
        <v>30</v>
      </c>
      <c r="C5235" s="130" t="s">
        <v>6859</v>
      </c>
      <c r="D5235">
        <v>40405</v>
      </c>
      <c r="E5235" s="130">
        <v>53043524</v>
      </c>
      <c r="F5235" t="s">
        <v>113</v>
      </c>
      <c r="G5235">
        <v>76</v>
      </c>
      <c r="H5235" t="s">
        <v>8952</v>
      </c>
      <c r="I5235" s="131">
        <v>18</v>
      </c>
      <c r="J5235" t="s">
        <v>6859</v>
      </c>
      <c r="K5235" t="s">
        <v>95</v>
      </c>
      <c r="L5235" t="s">
        <v>123</v>
      </c>
      <c r="M5235" t="s">
        <v>103</v>
      </c>
      <c r="N5235" t="s">
        <v>98</v>
      </c>
      <c r="O5235" t="s">
        <v>1256</v>
      </c>
    </row>
    <row r="5236" spans="1:15" x14ac:dyDescent="0.3">
      <c r="A5236" s="130">
        <v>26243</v>
      </c>
      <c r="B5236" s="130">
        <v>20</v>
      </c>
      <c r="C5236" s="130" t="s">
        <v>6860</v>
      </c>
      <c r="D5236">
        <v>40406</v>
      </c>
      <c r="E5236" s="130">
        <v>53412791</v>
      </c>
      <c r="F5236" t="s">
        <v>87</v>
      </c>
      <c r="G5236">
        <v>76</v>
      </c>
      <c r="H5236" t="s">
        <v>8953</v>
      </c>
      <c r="I5236" s="131">
        <v>19</v>
      </c>
      <c r="J5236" t="s">
        <v>6860</v>
      </c>
      <c r="K5236" t="s">
        <v>108</v>
      </c>
      <c r="L5236" t="s">
        <v>252</v>
      </c>
      <c r="M5236" t="s">
        <v>148</v>
      </c>
      <c r="N5236" t="s">
        <v>98</v>
      </c>
      <c r="O5236" t="s">
        <v>1256</v>
      </c>
    </row>
    <row r="5237" spans="1:15" x14ac:dyDescent="0.3">
      <c r="A5237" s="130">
        <v>26244</v>
      </c>
      <c r="B5237" s="130">
        <v>30</v>
      </c>
      <c r="C5237" s="130" t="s">
        <v>6861</v>
      </c>
      <c r="D5237">
        <v>40407</v>
      </c>
      <c r="E5237" s="131">
        <v>12096667</v>
      </c>
      <c r="F5237" t="s">
        <v>87</v>
      </c>
      <c r="G5237">
        <v>76</v>
      </c>
      <c r="H5237" t="s">
        <v>8951</v>
      </c>
      <c r="I5237" s="130">
        <v>38</v>
      </c>
      <c r="J5237" t="s">
        <v>6861</v>
      </c>
      <c r="K5237" t="s">
        <v>108</v>
      </c>
      <c r="L5237" t="s">
        <v>126</v>
      </c>
      <c r="M5237" t="s">
        <v>103</v>
      </c>
      <c r="N5237" t="s">
        <v>98</v>
      </c>
      <c r="O5237" t="s">
        <v>116</v>
      </c>
    </row>
    <row r="5238" spans="1:15" x14ac:dyDescent="0.3">
      <c r="A5238" s="130">
        <v>26245</v>
      </c>
      <c r="B5238" s="130">
        <v>21</v>
      </c>
      <c r="C5238" s="130" t="s">
        <v>6862</v>
      </c>
      <c r="D5238">
        <v>40409</v>
      </c>
      <c r="E5238" s="130">
        <v>2385674</v>
      </c>
      <c r="F5238" t="s">
        <v>87</v>
      </c>
      <c r="G5238">
        <v>76</v>
      </c>
      <c r="H5238" t="s">
        <v>8952</v>
      </c>
      <c r="I5238" s="130">
        <v>24</v>
      </c>
      <c r="J5238" t="s">
        <v>6862</v>
      </c>
      <c r="K5238" t="s">
        <v>108</v>
      </c>
      <c r="L5238" t="s">
        <v>240</v>
      </c>
      <c r="M5238" t="s">
        <v>137</v>
      </c>
      <c r="N5238" t="s">
        <v>114</v>
      </c>
      <c r="O5238" t="s">
        <v>1256</v>
      </c>
    </row>
    <row r="5239" spans="1:15" x14ac:dyDescent="0.3">
      <c r="A5239" s="130">
        <v>26246</v>
      </c>
      <c r="B5239" s="130">
        <v>21</v>
      </c>
      <c r="C5239" s="130" t="s">
        <v>6863</v>
      </c>
      <c r="D5239">
        <v>40248</v>
      </c>
      <c r="E5239" s="130">
        <v>28197147</v>
      </c>
      <c r="F5239" t="s">
        <v>113</v>
      </c>
      <c r="G5239">
        <v>76</v>
      </c>
      <c r="H5239" t="s">
        <v>8953</v>
      </c>
      <c r="I5239" s="130">
        <v>24</v>
      </c>
      <c r="J5239" t="s">
        <v>6863</v>
      </c>
      <c r="K5239" t="s">
        <v>108</v>
      </c>
      <c r="L5239" t="s">
        <v>240</v>
      </c>
      <c r="M5239" t="s">
        <v>137</v>
      </c>
      <c r="N5239" t="s">
        <v>98</v>
      </c>
      <c r="O5239" t="s">
        <v>1256</v>
      </c>
    </row>
    <row r="5240" spans="1:15" x14ac:dyDescent="0.3">
      <c r="A5240" s="130">
        <v>26248</v>
      </c>
      <c r="B5240" s="130">
        <v>18</v>
      </c>
      <c r="C5240" s="130" t="s">
        <v>6864</v>
      </c>
      <c r="D5240">
        <v>40411</v>
      </c>
      <c r="E5240" s="130">
        <v>12665836</v>
      </c>
      <c r="F5240" t="s">
        <v>87</v>
      </c>
      <c r="G5240">
        <v>76</v>
      </c>
      <c r="H5240" t="s">
        <v>8951</v>
      </c>
      <c r="I5240" s="130">
        <v>26</v>
      </c>
      <c r="J5240" t="s">
        <v>6864</v>
      </c>
      <c r="K5240" t="s">
        <v>108</v>
      </c>
      <c r="L5240" t="s">
        <v>151</v>
      </c>
      <c r="M5240" t="s">
        <v>112</v>
      </c>
      <c r="N5240" t="s">
        <v>98</v>
      </c>
      <c r="O5240" t="s">
        <v>1256</v>
      </c>
    </row>
    <row r="5241" spans="1:15" x14ac:dyDescent="0.3">
      <c r="A5241" s="130">
        <v>26249</v>
      </c>
      <c r="B5241" s="130">
        <v>21</v>
      </c>
      <c r="C5241" s="130" t="s">
        <v>6865</v>
      </c>
      <c r="D5241">
        <v>40412</v>
      </c>
      <c r="E5241" s="130">
        <v>22074486</v>
      </c>
      <c r="F5241" t="s">
        <v>87</v>
      </c>
      <c r="G5241">
        <v>76</v>
      </c>
      <c r="H5241" t="s">
        <v>8952</v>
      </c>
      <c r="I5241" s="130">
        <v>14</v>
      </c>
      <c r="J5241" t="s">
        <v>6865</v>
      </c>
      <c r="K5241" t="s">
        <v>108</v>
      </c>
      <c r="L5241" t="s">
        <v>191</v>
      </c>
      <c r="M5241" t="s">
        <v>137</v>
      </c>
      <c r="N5241" t="s">
        <v>98</v>
      </c>
      <c r="O5241" t="s">
        <v>1256</v>
      </c>
    </row>
    <row r="5242" spans="1:15" x14ac:dyDescent="0.3">
      <c r="A5242" s="130">
        <v>26252</v>
      </c>
      <c r="B5242" s="130">
        <v>18</v>
      </c>
      <c r="C5242" s="130" t="s">
        <v>6866</v>
      </c>
      <c r="D5242">
        <v>40423</v>
      </c>
      <c r="E5242" s="130">
        <v>8021949</v>
      </c>
      <c r="F5242" t="s">
        <v>87</v>
      </c>
      <c r="G5242">
        <v>76</v>
      </c>
      <c r="H5242" t="s">
        <v>8953</v>
      </c>
      <c r="I5242" s="131">
        <v>26</v>
      </c>
      <c r="J5242" t="s">
        <v>6866</v>
      </c>
      <c r="K5242" t="s">
        <v>108</v>
      </c>
      <c r="L5242" t="s">
        <v>151</v>
      </c>
      <c r="M5242" t="s">
        <v>112</v>
      </c>
      <c r="N5242" t="s">
        <v>118</v>
      </c>
      <c r="O5242" t="s">
        <v>116</v>
      </c>
    </row>
    <row r="5243" spans="1:15" x14ac:dyDescent="0.3">
      <c r="A5243" s="130">
        <v>26257</v>
      </c>
      <c r="B5243" s="130">
        <v>20</v>
      </c>
      <c r="C5243" s="130" t="s">
        <v>6867</v>
      </c>
      <c r="D5243">
        <v>40434</v>
      </c>
      <c r="E5243" s="130">
        <v>11654165</v>
      </c>
      <c r="F5243" t="s">
        <v>87</v>
      </c>
      <c r="G5243">
        <v>76</v>
      </c>
      <c r="H5243" t="s">
        <v>8951</v>
      </c>
      <c r="I5243" s="130">
        <v>19</v>
      </c>
      <c r="J5243" t="s">
        <v>6867</v>
      </c>
      <c r="K5243" t="s">
        <v>108</v>
      </c>
      <c r="L5243" t="s">
        <v>252</v>
      </c>
      <c r="M5243" t="s">
        <v>148</v>
      </c>
      <c r="N5243" t="s">
        <v>98</v>
      </c>
      <c r="O5243" t="s">
        <v>1256</v>
      </c>
    </row>
    <row r="5244" spans="1:15" x14ac:dyDescent="0.3">
      <c r="A5244" s="130">
        <v>26258</v>
      </c>
      <c r="B5244" s="130">
        <v>30</v>
      </c>
      <c r="C5244" s="130" t="s">
        <v>6868</v>
      </c>
      <c r="D5244">
        <v>40436</v>
      </c>
      <c r="E5244" s="130">
        <v>8807683</v>
      </c>
      <c r="F5244" t="s">
        <v>87</v>
      </c>
      <c r="G5244">
        <v>76</v>
      </c>
      <c r="H5244" t="s">
        <v>8952</v>
      </c>
      <c r="I5244" s="131">
        <v>26</v>
      </c>
      <c r="J5244" t="s">
        <v>6868</v>
      </c>
      <c r="K5244" t="s">
        <v>95</v>
      </c>
      <c r="L5244" t="s">
        <v>151</v>
      </c>
      <c r="M5244" t="s">
        <v>103</v>
      </c>
      <c r="N5244" t="s">
        <v>118</v>
      </c>
      <c r="O5244" t="s">
        <v>116</v>
      </c>
    </row>
    <row r="5245" spans="1:15" x14ac:dyDescent="0.3">
      <c r="A5245" s="130">
        <v>26259</v>
      </c>
      <c r="B5245" s="130">
        <v>10</v>
      </c>
      <c r="C5245" s="130" t="s">
        <v>6869</v>
      </c>
      <c r="D5245">
        <v>40435</v>
      </c>
      <c r="E5245" s="130">
        <v>8546789</v>
      </c>
      <c r="F5245" t="s">
        <v>87</v>
      </c>
      <c r="G5245">
        <v>32947</v>
      </c>
      <c r="H5245" t="s">
        <v>8953</v>
      </c>
      <c r="I5245" s="130">
        <v>3</v>
      </c>
      <c r="J5245" t="s">
        <v>6869</v>
      </c>
      <c r="K5245" t="s">
        <v>108</v>
      </c>
      <c r="L5245" t="s">
        <v>193</v>
      </c>
      <c r="M5245" t="s">
        <v>133</v>
      </c>
      <c r="N5245" t="s">
        <v>98</v>
      </c>
      <c r="O5245" t="s">
        <v>1256</v>
      </c>
    </row>
    <row r="5246" spans="1:15" x14ac:dyDescent="0.3">
      <c r="A5246" s="130">
        <v>26260</v>
      </c>
      <c r="B5246" s="130">
        <v>20</v>
      </c>
      <c r="C5246" s="130" t="s">
        <v>6870</v>
      </c>
      <c r="D5246">
        <v>40438</v>
      </c>
      <c r="E5246" s="130">
        <v>15151317</v>
      </c>
      <c r="F5246" t="s">
        <v>87</v>
      </c>
      <c r="G5246">
        <v>76</v>
      </c>
      <c r="H5246" t="s">
        <v>8951</v>
      </c>
      <c r="I5246" s="130">
        <v>19</v>
      </c>
      <c r="J5246" t="s">
        <v>6870</v>
      </c>
      <c r="K5246" t="s">
        <v>108</v>
      </c>
      <c r="L5246" t="s">
        <v>252</v>
      </c>
      <c r="M5246" t="s">
        <v>148</v>
      </c>
      <c r="N5246" t="s">
        <v>98</v>
      </c>
      <c r="O5246" t="s">
        <v>244</v>
      </c>
    </row>
    <row r="5247" spans="1:15" x14ac:dyDescent="0.3">
      <c r="A5247" s="130">
        <v>26261</v>
      </c>
      <c r="B5247" s="130">
        <v>21</v>
      </c>
      <c r="C5247" s="130" t="s">
        <v>6871</v>
      </c>
      <c r="D5247">
        <v>40437</v>
      </c>
      <c r="E5247" s="130">
        <v>48510185</v>
      </c>
      <c r="F5247" t="s">
        <v>87</v>
      </c>
      <c r="G5247">
        <v>32947</v>
      </c>
      <c r="H5247" t="s">
        <v>8952</v>
      </c>
      <c r="I5247" s="130">
        <v>3</v>
      </c>
      <c r="J5247" t="s">
        <v>6871</v>
      </c>
      <c r="K5247" t="s">
        <v>108</v>
      </c>
      <c r="L5247" t="s">
        <v>1293</v>
      </c>
      <c r="M5247" t="s">
        <v>137</v>
      </c>
      <c r="N5247" t="s">
        <v>98</v>
      </c>
      <c r="O5247" t="s">
        <v>116</v>
      </c>
    </row>
    <row r="5248" spans="1:15" x14ac:dyDescent="0.3">
      <c r="A5248" s="130">
        <v>26263</v>
      </c>
      <c r="B5248" s="130">
        <v>18</v>
      </c>
      <c r="C5248" s="130" t="s">
        <v>6872</v>
      </c>
      <c r="D5248">
        <v>40443</v>
      </c>
      <c r="E5248" s="131">
        <v>9625762</v>
      </c>
      <c r="F5248" t="s">
        <v>87</v>
      </c>
      <c r="G5248">
        <v>32947</v>
      </c>
      <c r="H5248" t="s">
        <v>8953</v>
      </c>
      <c r="I5248" s="130">
        <v>43</v>
      </c>
      <c r="J5248" t="s">
        <v>6872</v>
      </c>
      <c r="K5248" t="s">
        <v>108</v>
      </c>
      <c r="L5248" t="s">
        <v>1241</v>
      </c>
      <c r="M5248" t="s">
        <v>112</v>
      </c>
      <c r="N5248" t="s">
        <v>98</v>
      </c>
      <c r="O5248" t="s">
        <v>1256</v>
      </c>
    </row>
    <row r="5249" spans="1:15" x14ac:dyDescent="0.3">
      <c r="A5249" s="130">
        <v>26267</v>
      </c>
      <c r="B5249" s="130">
        <v>0</v>
      </c>
      <c r="C5249" s="130" t="s">
        <v>6873</v>
      </c>
      <c r="D5249">
        <v>40446</v>
      </c>
      <c r="E5249" s="131">
        <v>1310250</v>
      </c>
      <c r="F5249" t="s">
        <v>87</v>
      </c>
      <c r="G5249">
        <v>32947</v>
      </c>
      <c r="H5249" t="s">
        <v>8951</v>
      </c>
      <c r="I5249" s="130">
        <v>43</v>
      </c>
      <c r="J5249" t="s">
        <v>6873</v>
      </c>
      <c r="K5249" t="s">
        <v>108</v>
      </c>
      <c r="L5249" t="s">
        <v>1241</v>
      </c>
      <c r="M5249" t="s">
        <v>100</v>
      </c>
      <c r="N5249" t="s">
        <v>98</v>
      </c>
      <c r="O5249" t="s">
        <v>1256</v>
      </c>
    </row>
    <row r="5250" spans="1:15" x14ac:dyDescent="0.3">
      <c r="A5250" s="130">
        <v>26268</v>
      </c>
      <c r="B5250" s="130">
        <v>30</v>
      </c>
      <c r="C5250" s="130" t="s">
        <v>6874</v>
      </c>
      <c r="D5250">
        <v>40447</v>
      </c>
      <c r="E5250" s="130">
        <v>5451102</v>
      </c>
      <c r="F5250" t="s">
        <v>87</v>
      </c>
      <c r="G5250">
        <v>76</v>
      </c>
      <c r="H5250" t="s">
        <v>8952</v>
      </c>
      <c r="I5250" s="131">
        <v>42</v>
      </c>
      <c r="J5250" t="s">
        <v>6874</v>
      </c>
      <c r="K5250" t="s">
        <v>95</v>
      </c>
      <c r="L5250" t="s">
        <v>144</v>
      </c>
      <c r="M5250" t="s">
        <v>103</v>
      </c>
      <c r="N5250" t="s">
        <v>114</v>
      </c>
      <c r="O5250" t="s">
        <v>1256</v>
      </c>
    </row>
    <row r="5251" spans="1:15" x14ac:dyDescent="0.3">
      <c r="A5251" s="130">
        <v>26274</v>
      </c>
      <c r="B5251" s="130">
        <v>21</v>
      </c>
      <c r="C5251" s="130" t="s">
        <v>6875</v>
      </c>
      <c r="D5251">
        <v>40454</v>
      </c>
      <c r="E5251" s="130">
        <v>31447967</v>
      </c>
      <c r="F5251" t="s">
        <v>113</v>
      </c>
      <c r="G5251">
        <v>76</v>
      </c>
      <c r="H5251" t="s">
        <v>8953</v>
      </c>
      <c r="I5251" s="131">
        <v>24</v>
      </c>
      <c r="J5251" t="s">
        <v>6875</v>
      </c>
      <c r="K5251" t="s">
        <v>108</v>
      </c>
      <c r="L5251" t="s">
        <v>191</v>
      </c>
      <c r="M5251" t="s">
        <v>137</v>
      </c>
      <c r="N5251" t="s">
        <v>150</v>
      </c>
      <c r="O5251" t="s">
        <v>1256</v>
      </c>
    </row>
    <row r="5252" spans="1:15" x14ac:dyDescent="0.3">
      <c r="A5252" s="130">
        <v>26275</v>
      </c>
      <c r="B5252" s="130">
        <v>30</v>
      </c>
      <c r="C5252" s="130" t="s">
        <v>6876</v>
      </c>
      <c r="D5252">
        <v>40459</v>
      </c>
      <c r="E5252" s="130">
        <v>23341686</v>
      </c>
      <c r="F5252" t="s">
        <v>87</v>
      </c>
      <c r="G5252">
        <v>76</v>
      </c>
      <c r="H5252" t="s">
        <v>8951</v>
      </c>
      <c r="I5252" s="131">
        <v>18</v>
      </c>
      <c r="J5252" t="s">
        <v>6876</v>
      </c>
      <c r="K5252" t="s">
        <v>108</v>
      </c>
      <c r="L5252" t="s">
        <v>123</v>
      </c>
      <c r="M5252" t="s">
        <v>103</v>
      </c>
      <c r="N5252" t="s">
        <v>98</v>
      </c>
      <c r="O5252" t="s">
        <v>244</v>
      </c>
    </row>
    <row r="5253" spans="1:15" x14ac:dyDescent="0.3">
      <c r="A5253" s="130">
        <v>26277</v>
      </c>
      <c r="B5253" s="130">
        <v>30</v>
      </c>
      <c r="C5253" s="130" t="s">
        <v>6877</v>
      </c>
      <c r="D5253">
        <v>40466</v>
      </c>
      <c r="E5253" s="130">
        <v>13278976</v>
      </c>
      <c r="F5253" t="s">
        <v>87</v>
      </c>
      <c r="G5253">
        <v>32947</v>
      </c>
      <c r="H5253" t="s">
        <v>8952</v>
      </c>
      <c r="I5253" s="130">
        <v>3</v>
      </c>
      <c r="J5253" t="s">
        <v>6877</v>
      </c>
      <c r="K5253" t="s">
        <v>108</v>
      </c>
      <c r="L5253" t="s">
        <v>109</v>
      </c>
      <c r="M5253" t="s">
        <v>103</v>
      </c>
      <c r="N5253" t="s">
        <v>98</v>
      </c>
      <c r="O5253" t="s">
        <v>1256</v>
      </c>
    </row>
    <row r="5254" spans="1:15" x14ac:dyDescent="0.3">
      <c r="A5254" s="130">
        <v>26278</v>
      </c>
      <c r="B5254" s="130">
        <v>30</v>
      </c>
      <c r="C5254" s="130" t="s">
        <v>6878</v>
      </c>
      <c r="D5254">
        <v>40468</v>
      </c>
      <c r="E5254" s="130">
        <v>78023116</v>
      </c>
      <c r="F5254" t="s">
        <v>87</v>
      </c>
      <c r="G5254">
        <v>32947</v>
      </c>
      <c r="H5254" t="s">
        <v>8953</v>
      </c>
      <c r="I5254" s="131">
        <v>3</v>
      </c>
      <c r="J5254" t="s">
        <v>6878</v>
      </c>
      <c r="K5254" t="s">
        <v>108</v>
      </c>
      <c r="L5254" t="s">
        <v>109</v>
      </c>
      <c r="M5254" t="s">
        <v>103</v>
      </c>
      <c r="N5254" t="s">
        <v>98</v>
      </c>
      <c r="O5254" t="s">
        <v>1256</v>
      </c>
    </row>
    <row r="5255" spans="1:15" x14ac:dyDescent="0.3">
      <c r="A5255" s="130">
        <v>26280</v>
      </c>
      <c r="B5255" s="130">
        <v>30</v>
      </c>
      <c r="C5255" s="130" t="s">
        <v>6879</v>
      </c>
      <c r="D5255">
        <v>40470</v>
      </c>
      <c r="E5255" s="130">
        <v>78023116</v>
      </c>
      <c r="F5255" t="s">
        <v>87</v>
      </c>
      <c r="G5255">
        <v>32947</v>
      </c>
      <c r="H5255" t="s">
        <v>8951</v>
      </c>
      <c r="I5255" s="130">
        <v>3</v>
      </c>
      <c r="J5255" t="s">
        <v>6879</v>
      </c>
      <c r="K5255" t="s">
        <v>108</v>
      </c>
      <c r="L5255" t="s">
        <v>109</v>
      </c>
      <c r="M5255" t="s">
        <v>103</v>
      </c>
      <c r="N5255" t="s">
        <v>98</v>
      </c>
      <c r="O5255" t="s">
        <v>1256</v>
      </c>
    </row>
    <row r="5256" spans="1:15" x14ac:dyDescent="0.3">
      <c r="A5256" s="130">
        <v>26282</v>
      </c>
      <c r="B5256" s="130">
        <v>30</v>
      </c>
      <c r="C5256" s="130" t="s">
        <v>6880</v>
      </c>
      <c r="D5256">
        <v>40473</v>
      </c>
      <c r="E5256" s="130">
        <v>78023116</v>
      </c>
      <c r="F5256" t="s">
        <v>87</v>
      </c>
      <c r="G5256">
        <v>32947</v>
      </c>
      <c r="H5256" t="s">
        <v>8952</v>
      </c>
      <c r="I5256" s="130">
        <v>3</v>
      </c>
      <c r="J5256" t="s">
        <v>6880</v>
      </c>
      <c r="K5256" t="s">
        <v>108</v>
      </c>
      <c r="L5256" t="s">
        <v>109</v>
      </c>
      <c r="M5256" t="s">
        <v>103</v>
      </c>
      <c r="N5256" t="s">
        <v>98</v>
      </c>
      <c r="O5256" t="s">
        <v>1256</v>
      </c>
    </row>
    <row r="5257" spans="1:15" x14ac:dyDescent="0.3">
      <c r="A5257" s="130">
        <v>26288</v>
      </c>
      <c r="B5257" s="130">
        <v>21</v>
      </c>
      <c r="C5257" s="130" t="s">
        <v>6881</v>
      </c>
      <c r="D5257">
        <v>40627</v>
      </c>
      <c r="E5257" s="130">
        <v>11468344</v>
      </c>
      <c r="F5257" t="s">
        <v>87</v>
      </c>
      <c r="G5257">
        <v>76</v>
      </c>
      <c r="H5257" t="s">
        <v>8953</v>
      </c>
      <c r="I5257" s="131">
        <v>10</v>
      </c>
      <c r="J5257" t="s">
        <v>6881</v>
      </c>
      <c r="K5257" t="s">
        <v>95</v>
      </c>
      <c r="M5257" t="s">
        <v>137</v>
      </c>
      <c r="N5257" t="s">
        <v>118</v>
      </c>
      <c r="O5257" t="s">
        <v>1256</v>
      </c>
    </row>
    <row r="5258" spans="1:15" x14ac:dyDescent="0.3">
      <c r="A5258" s="130">
        <v>26289</v>
      </c>
      <c r="B5258" s="130">
        <v>10</v>
      </c>
      <c r="C5258" s="130" t="s">
        <v>6882</v>
      </c>
      <c r="D5258">
        <v>40557</v>
      </c>
      <c r="E5258" s="130">
        <v>48510185</v>
      </c>
      <c r="F5258" t="s">
        <v>87</v>
      </c>
      <c r="G5258">
        <v>1096</v>
      </c>
      <c r="H5258" t="s">
        <v>8951</v>
      </c>
      <c r="I5258" s="130">
        <v>3</v>
      </c>
      <c r="J5258" t="s">
        <v>6882</v>
      </c>
      <c r="K5258" t="s">
        <v>108</v>
      </c>
      <c r="L5258" t="s">
        <v>1293</v>
      </c>
      <c r="M5258" t="s">
        <v>133</v>
      </c>
      <c r="N5258" t="s">
        <v>98</v>
      </c>
      <c r="O5258" t="s">
        <v>116</v>
      </c>
    </row>
    <row r="5259" spans="1:15" x14ac:dyDescent="0.3">
      <c r="A5259" s="130">
        <v>26292</v>
      </c>
      <c r="B5259" s="130">
        <v>18</v>
      </c>
      <c r="C5259" s="130" t="s">
        <v>6883</v>
      </c>
      <c r="D5259">
        <v>40743</v>
      </c>
      <c r="E5259" s="130">
        <v>42930395</v>
      </c>
      <c r="F5259" t="s">
        <v>87</v>
      </c>
      <c r="G5259">
        <v>76</v>
      </c>
      <c r="H5259" t="s">
        <v>8952</v>
      </c>
      <c r="I5259" s="130">
        <v>10</v>
      </c>
      <c r="J5259" t="s">
        <v>6883</v>
      </c>
      <c r="K5259" t="s">
        <v>108</v>
      </c>
      <c r="M5259" t="s">
        <v>112</v>
      </c>
      <c r="N5259" t="s">
        <v>124</v>
      </c>
      <c r="O5259" t="s">
        <v>1256</v>
      </c>
    </row>
    <row r="5260" spans="1:15" x14ac:dyDescent="0.3">
      <c r="A5260" s="130">
        <v>26293</v>
      </c>
      <c r="B5260" s="130">
        <v>30</v>
      </c>
      <c r="C5260" s="130" t="s">
        <v>6884</v>
      </c>
      <c r="D5260">
        <v>40721</v>
      </c>
      <c r="E5260" s="130">
        <v>532740</v>
      </c>
      <c r="F5260" t="s">
        <v>87</v>
      </c>
      <c r="G5260">
        <v>76</v>
      </c>
      <c r="H5260" t="s">
        <v>8953</v>
      </c>
      <c r="I5260" s="130">
        <v>3</v>
      </c>
      <c r="J5260" t="s">
        <v>6884</v>
      </c>
      <c r="K5260" t="s">
        <v>95</v>
      </c>
      <c r="L5260" t="s">
        <v>193</v>
      </c>
      <c r="M5260" t="s">
        <v>103</v>
      </c>
      <c r="N5260" t="s">
        <v>98</v>
      </c>
      <c r="O5260" t="s">
        <v>116</v>
      </c>
    </row>
    <row r="5261" spans="1:15" x14ac:dyDescent="0.3">
      <c r="A5261" s="130">
        <v>26294</v>
      </c>
      <c r="B5261" s="130">
        <v>30</v>
      </c>
      <c r="C5261" s="130" t="s">
        <v>6885</v>
      </c>
      <c r="D5261">
        <v>40746</v>
      </c>
      <c r="E5261" s="130">
        <v>21764807</v>
      </c>
      <c r="F5261" t="s">
        <v>87</v>
      </c>
      <c r="G5261">
        <v>77</v>
      </c>
      <c r="H5261" t="s">
        <v>8951</v>
      </c>
      <c r="I5261" s="130">
        <v>3</v>
      </c>
      <c r="J5261" t="s">
        <v>6885</v>
      </c>
      <c r="K5261" t="s">
        <v>95</v>
      </c>
      <c r="L5261" t="s">
        <v>256</v>
      </c>
      <c r="M5261" t="s">
        <v>103</v>
      </c>
      <c r="N5261" t="s">
        <v>98</v>
      </c>
      <c r="O5261" t="s">
        <v>116</v>
      </c>
    </row>
    <row r="5262" spans="1:15" x14ac:dyDescent="0.3">
      <c r="A5262" s="130">
        <v>26295</v>
      </c>
      <c r="B5262" s="130">
        <v>30</v>
      </c>
      <c r="C5262" s="130" t="s">
        <v>6886</v>
      </c>
      <c r="D5262">
        <v>40750</v>
      </c>
      <c r="E5262" s="130">
        <v>50030001</v>
      </c>
      <c r="F5262" t="s">
        <v>87</v>
      </c>
      <c r="G5262">
        <v>77</v>
      </c>
      <c r="H5262" t="s">
        <v>8952</v>
      </c>
      <c r="I5262" s="130">
        <v>37</v>
      </c>
      <c r="J5262" t="s">
        <v>6886</v>
      </c>
      <c r="K5262" t="s">
        <v>95</v>
      </c>
      <c r="L5262" t="s">
        <v>1251</v>
      </c>
      <c r="M5262" t="s">
        <v>103</v>
      </c>
      <c r="N5262" t="s">
        <v>98</v>
      </c>
      <c r="O5262" t="s">
        <v>116</v>
      </c>
    </row>
    <row r="5263" spans="1:15" x14ac:dyDescent="0.3">
      <c r="A5263" s="130">
        <v>26299</v>
      </c>
      <c r="B5263" s="130">
        <v>18</v>
      </c>
      <c r="C5263" s="130" t="s">
        <v>6887</v>
      </c>
      <c r="D5263">
        <v>40797</v>
      </c>
      <c r="E5263" s="130">
        <v>7073042</v>
      </c>
      <c r="F5263" t="s">
        <v>87</v>
      </c>
      <c r="G5263">
        <v>76</v>
      </c>
      <c r="H5263" t="s">
        <v>8953</v>
      </c>
      <c r="I5263" s="130">
        <v>10</v>
      </c>
      <c r="J5263" t="s">
        <v>6887</v>
      </c>
      <c r="K5263" t="s">
        <v>108</v>
      </c>
      <c r="M5263" t="s">
        <v>112</v>
      </c>
      <c r="N5263" t="s">
        <v>118</v>
      </c>
      <c r="O5263" t="s">
        <v>1256</v>
      </c>
    </row>
    <row r="5264" spans="1:15" x14ac:dyDescent="0.3">
      <c r="A5264" s="130">
        <v>26300</v>
      </c>
      <c r="B5264" s="130">
        <v>30</v>
      </c>
      <c r="C5264" s="130" t="s">
        <v>6888</v>
      </c>
      <c r="D5264">
        <v>40540</v>
      </c>
      <c r="E5264" s="130">
        <v>36178464</v>
      </c>
      <c r="F5264" t="s">
        <v>87</v>
      </c>
      <c r="G5264">
        <v>1096</v>
      </c>
      <c r="H5264" t="s">
        <v>8951</v>
      </c>
      <c r="I5264" s="131">
        <v>37</v>
      </c>
      <c r="J5264" t="s">
        <v>6888</v>
      </c>
      <c r="K5264" t="s">
        <v>95</v>
      </c>
      <c r="L5264" t="s">
        <v>138</v>
      </c>
      <c r="M5264" t="s">
        <v>103</v>
      </c>
      <c r="N5264" t="s">
        <v>98</v>
      </c>
      <c r="O5264" t="s">
        <v>116</v>
      </c>
    </row>
    <row r="5265" spans="1:15" x14ac:dyDescent="0.3">
      <c r="A5265" s="130">
        <v>26301</v>
      </c>
      <c r="B5265" s="130">
        <v>0</v>
      </c>
      <c r="C5265" s="130" t="s">
        <v>6889</v>
      </c>
      <c r="D5265">
        <v>40671</v>
      </c>
      <c r="E5265" s="130">
        <v>16636260572</v>
      </c>
      <c r="F5265" t="s">
        <v>87</v>
      </c>
      <c r="G5265">
        <v>1096</v>
      </c>
      <c r="H5265" t="s">
        <v>8952</v>
      </c>
      <c r="I5265" s="131">
        <v>3</v>
      </c>
      <c r="J5265" t="s">
        <v>6889</v>
      </c>
      <c r="K5265" t="s">
        <v>95</v>
      </c>
      <c r="L5265" t="s">
        <v>96</v>
      </c>
      <c r="M5265" t="s">
        <v>100</v>
      </c>
      <c r="N5265" t="s">
        <v>152</v>
      </c>
      <c r="O5265" t="s">
        <v>1345</v>
      </c>
    </row>
    <row r="5266" spans="1:15" x14ac:dyDescent="0.3">
      <c r="A5266" s="130">
        <v>26302</v>
      </c>
      <c r="B5266" s="130">
        <v>30</v>
      </c>
      <c r="C5266" s="130" t="s">
        <v>6890</v>
      </c>
      <c r="D5266">
        <v>40587</v>
      </c>
      <c r="E5266" s="131">
        <v>16628281</v>
      </c>
      <c r="F5266" t="s">
        <v>87</v>
      </c>
      <c r="G5266">
        <v>1096</v>
      </c>
      <c r="H5266" t="s">
        <v>8953</v>
      </c>
      <c r="I5266" s="131">
        <v>3</v>
      </c>
      <c r="J5266" t="s">
        <v>6890</v>
      </c>
      <c r="K5266" t="s">
        <v>95</v>
      </c>
      <c r="L5266" t="s">
        <v>1251</v>
      </c>
      <c r="M5266" t="s">
        <v>103</v>
      </c>
      <c r="N5266" t="s">
        <v>118</v>
      </c>
      <c r="O5266" t="s">
        <v>116</v>
      </c>
    </row>
    <row r="5267" spans="1:15" x14ac:dyDescent="0.3">
      <c r="A5267" s="130">
        <v>26304</v>
      </c>
      <c r="C5267" s="130" t="s">
        <v>6891</v>
      </c>
      <c r="D5267">
        <v>40825</v>
      </c>
      <c r="E5267" s="130">
        <v>6238804</v>
      </c>
      <c r="F5267" t="s">
        <v>87</v>
      </c>
      <c r="G5267">
        <v>76</v>
      </c>
      <c r="H5267" t="s">
        <v>8951</v>
      </c>
      <c r="I5267" s="130">
        <v>38</v>
      </c>
      <c r="J5267" t="s">
        <v>6891</v>
      </c>
      <c r="K5267" t="s">
        <v>108</v>
      </c>
      <c r="L5267" t="s">
        <v>126</v>
      </c>
      <c r="N5267" t="s">
        <v>98</v>
      </c>
      <c r="O5267" t="s">
        <v>1256</v>
      </c>
    </row>
    <row r="5268" spans="1:15" x14ac:dyDescent="0.3">
      <c r="A5268" s="130">
        <v>26305</v>
      </c>
      <c r="B5268" s="130">
        <v>30</v>
      </c>
      <c r="C5268" s="130" t="s">
        <v>6892</v>
      </c>
      <c r="D5268">
        <v>40834</v>
      </c>
      <c r="E5268" s="130">
        <v>54337487</v>
      </c>
      <c r="F5268" t="s">
        <v>87</v>
      </c>
      <c r="G5268">
        <v>76</v>
      </c>
      <c r="H5268" t="s">
        <v>8952</v>
      </c>
      <c r="I5268" s="130">
        <v>3</v>
      </c>
      <c r="J5268" t="s">
        <v>6892</v>
      </c>
      <c r="K5268" t="s">
        <v>95</v>
      </c>
      <c r="L5268" t="s">
        <v>105</v>
      </c>
      <c r="M5268" t="s">
        <v>103</v>
      </c>
      <c r="N5268" t="s">
        <v>98</v>
      </c>
      <c r="O5268" t="s">
        <v>116</v>
      </c>
    </row>
    <row r="5269" spans="1:15" x14ac:dyDescent="0.3">
      <c r="A5269" s="130">
        <v>26307</v>
      </c>
      <c r="B5269" s="130">
        <v>10</v>
      </c>
      <c r="C5269" s="130" t="s">
        <v>6893</v>
      </c>
      <c r="D5269">
        <v>40736</v>
      </c>
      <c r="E5269" s="130">
        <v>12199337</v>
      </c>
      <c r="F5269" t="s">
        <v>87</v>
      </c>
      <c r="G5269">
        <v>1096</v>
      </c>
      <c r="H5269" t="s">
        <v>8953</v>
      </c>
      <c r="I5269" s="131">
        <v>24</v>
      </c>
      <c r="J5269" t="s">
        <v>6893</v>
      </c>
      <c r="K5269" t="s">
        <v>108</v>
      </c>
      <c r="L5269" t="s">
        <v>1293</v>
      </c>
      <c r="M5269" t="s">
        <v>133</v>
      </c>
      <c r="N5269" t="s">
        <v>98</v>
      </c>
      <c r="O5269" t="s">
        <v>116</v>
      </c>
    </row>
    <row r="5270" spans="1:15" x14ac:dyDescent="0.3">
      <c r="A5270" s="130">
        <v>26308</v>
      </c>
      <c r="B5270" s="130">
        <v>30</v>
      </c>
      <c r="C5270" s="130" t="s">
        <v>6894</v>
      </c>
      <c r="D5270">
        <v>40586</v>
      </c>
      <c r="E5270" s="130">
        <v>91894774</v>
      </c>
      <c r="F5270" t="s">
        <v>87</v>
      </c>
      <c r="G5270">
        <v>1096</v>
      </c>
      <c r="H5270" t="s">
        <v>8951</v>
      </c>
      <c r="I5270" s="131">
        <v>3</v>
      </c>
      <c r="J5270" t="s">
        <v>6894</v>
      </c>
      <c r="K5270" t="s">
        <v>95</v>
      </c>
      <c r="L5270" t="s">
        <v>117</v>
      </c>
      <c r="M5270" t="s">
        <v>103</v>
      </c>
      <c r="N5270" t="s">
        <v>98</v>
      </c>
      <c r="O5270" t="s">
        <v>116</v>
      </c>
    </row>
    <row r="5271" spans="1:15" x14ac:dyDescent="0.3">
      <c r="A5271" s="130">
        <v>26310</v>
      </c>
      <c r="B5271" s="130">
        <v>0</v>
      </c>
      <c r="C5271" s="130" t="s">
        <v>6895</v>
      </c>
      <c r="D5271">
        <v>40642</v>
      </c>
      <c r="E5271" s="130">
        <v>31766794831</v>
      </c>
      <c r="F5271" t="s">
        <v>87</v>
      </c>
      <c r="G5271">
        <v>1096</v>
      </c>
      <c r="H5271" t="s">
        <v>8952</v>
      </c>
      <c r="I5271" s="131">
        <v>3</v>
      </c>
      <c r="J5271" t="s">
        <v>6895</v>
      </c>
      <c r="K5271" t="s">
        <v>95</v>
      </c>
      <c r="L5271" t="s">
        <v>96</v>
      </c>
      <c r="M5271" t="s">
        <v>100</v>
      </c>
      <c r="O5271" t="s">
        <v>1345</v>
      </c>
    </row>
    <row r="5272" spans="1:15" x14ac:dyDescent="0.3">
      <c r="A5272" s="130">
        <v>26312</v>
      </c>
      <c r="B5272" s="130">
        <v>0</v>
      </c>
      <c r="C5272" s="130" t="s">
        <v>6896</v>
      </c>
      <c r="D5272">
        <v>40901</v>
      </c>
      <c r="E5272" s="130">
        <v>83416862600</v>
      </c>
      <c r="F5272" t="s">
        <v>87</v>
      </c>
      <c r="G5272">
        <v>76</v>
      </c>
      <c r="H5272" t="s">
        <v>8953</v>
      </c>
      <c r="I5272" s="131">
        <v>3</v>
      </c>
      <c r="J5272" t="s">
        <v>6896</v>
      </c>
      <c r="K5272" t="s">
        <v>95</v>
      </c>
      <c r="L5272" t="s">
        <v>96</v>
      </c>
      <c r="M5272" t="s">
        <v>100</v>
      </c>
      <c r="N5272" t="s">
        <v>110</v>
      </c>
      <c r="O5272" t="s">
        <v>1345</v>
      </c>
    </row>
    <row r="5273" spans="1:15" x14ac:dyDescent="0.3">
      <c r="A5273" s="130">
        <v>26313</v>
      </c>
      <c r="B5273" s="130">
        <v>0</v>
      </c>
      <c r="C5273" s="130" t="s">
        <v>6897</v>
      </c>
      <c r="D5273">
        <v>40902</v>
      </c>
      <c r="E5273" s="131">
        <v>83416862600</v>
      </c>
      <c r="F5273" t="s">
        <v>87</v>
      </c>
      <c r="G5273">
        <v>76</v>
      </c>
      <c r="H5273" t="s">
        <v>8951</v>
      </c>
      <c r="I5273" s="131">
        <v>3</v>
      </c>
      <c r="J5273" t="s">
        <v>6897</v>
      </c>
      <c r="K5273" t="s">
        <v>95</v>
      </c>
      <c r="L5273" t="s">
        <v>96</v>
      </c>
      <c r="M5273" t="s">
        <v>100</v>
      </c>
      <c r="N5273" t="s">
        <v>110</v>
      </c>
      <c r="O5273" t="s">
        <v>1345</v>
      </c>
    </row>
    <row r="5274" spans="1:15" x14ac:dyDescent="0.3">
      <c r="A5274" s="130">
        <v>26314</v>
      </c>
      <c r="B5274" s="130">
        <v>0</v>
      </c>
      <c r="C5274" s="130" t="s">
        <v>6898</v>
      </c>
      <c r="D5274">
        <v>40903</v>
      </c>
      <c r="E5274" s="131">
        <v>83416862600</v>
      </c>
      <c r="F5274" t="s">
        <v>87</v>
      </c>
      <c r="G5274">
        <v>76</v>
      </c>
      <c r="H5274" t="s">
        <v>8952</v>
      </c>
      <c r="I5274" s="131">
        <v>3</v>
      </c>
      <c r="J5274" t="s">
        <v>6898</v>
      </c>
      <c r="K5274" t="s">
        <v>95</v>
      </c>
      <c r="L5274" t="s">
        <v>96</v>
      </c>
      <c r="M5274" t="s">
        <v>100</v>
      </c>
      <c r="N5274" t="s">
        <v>110</v>
      </c>
      <c r="O5274" t="s">
        <v>1345</v>
      </c>
    </row>
    <row r="5275" spans="1:15" x14ac:dyDescent="0.3">
      <c r="A5275" s="130">
        <v>26315</v>
      </c>
      <c r="B5275" s="130">
        <v>0</v>
      </c>
      <c r="C5275" s="130" t="s">
        <v>6899</v>
      </c>
      <c r="D5275">
        <v>40904</v>
      </c>
      <c r="E5275" s="130">
        <v>83416862600</v>
      </c>
      <c r="F5275" t="s">
        <v>87</v>
      </c>
      <c r="G5275">
        <v>76</v>
      </c>
      <c r="H5275" t="s">
        <v>8953</v>
      </c>
      <c r="I5275" s="130">
        <v>3</v>
      </c>
      <c r="J5275" t="s">
        <v>6899</v>
      </c>
      <c r="K5275" t="s">
        <v>95</v>
      </c>
      <c r="L5275" t="s">
        <v>96</v>
      </c>
      <c r="M5275" t="s">
        <v>100</v>
      </c>
      <c r="N5275" t="s">
        <v>110</v>
      </c>
      <c r="O5275" t="s">
        <v>1345</v>
      </c>
    </row>
    <row r="5276" spans="1:15" x14ac:dyDescent="0.3">
      <c r="A5276" s="130">
        <v>26317</v>
      </c>
      <c r="B5276" s="130">
        <v>18</v>
      </c>
      <c r="C5276" s="130" t="s">
        <v>6900</v>
      </c>
      <c r="D5276">
        <v>40913</v>
      </c>
      <c r="E5276" s="130">
        <v>23511065</v>
      </c>
      <c r="F5276" t="s">
        <v>87</v>
      </c>
      <c r="G5276">
        <v>76</v>
      </c>
      <c r="H5276" t="s">
        <v>8951</v>
      </c>
      <c r="I5276" s="130">
        <v>10</v>
      </c>
      <c r="J5276" t="s">
        <v>6900</v>
      </c>
      <c r="K5276" t="s">
        <v>108</v>
      </c>
      <c r="M5276" t="s">
        <v>112</v>
      </c>
      <c r="N5276" t="s">
        <v>118</v>
      </c>
      <c r="O5276" t="s">
        <v>1256</v>
      </c>
    </row>
    <row r="5277" spans="1:15" x14ac:dyDescent="0.3">
      <c r="A5277" s="130">
        <v>26318</v>
      </c>
      <c r="B5277" s="130">
        <v>0</v>
      </c>
      <c r="C5277" s="130" t="s">
        <v>6901</v>
      </c>
      <c r="D5277">
        <v>40930</v>
      </c>
      <c r="E5277" s="131">
        <v>83416862600</v>
      </c>
      <c r="F5277" t="s">
        <v>87</v>
      </c>
      <c r="G5277">
        <v>76</v>
      </c>
      <c r="H5277" t="s">
        <v>8952</v>
      </c>
      <c r="I5277" s="130">
        <v>3</v>
      </c>
      <c r="J5277" t="s">
        <v>6901</v>
      </c>
      <c r="K5277" t="s">
        <v>95</v>
      </c>
      <c r="L5277" t="s">
        <v>96</v>
      </c>
      <c r="M5277" t="s">
        <v>100</v>
      </c>
      <c r="N5277" t="s">
        <v>110</v>
      </c>
      <c r="O5277" t="s">
        <v>1345</v>
      </c>
    </row>
    <row r="5278" spans="1:15" x14ac:dyDescent="0.3">
      <c r="A5278" s="130">
        <v>26319</v>
      </c>
      <c r="B5278" s="130">
        <v>10</v>
      </c>
      <c r="C5278" s="130" t="s">
        <v>6902</v>
      </c>
      <c r="D5278">
        <v>40866</v>
      </c>
      <c r="E5278" s="130">
        <v>1276156</v>
      </c>
      <c r="F5278" t="s">
        <v>87</v>
      </c>
      <c r="G5278">
        <v>1096</v>
      </c>
      <c r="H5278" t="s">
        <v>8953</v>
      </c>
      <c r="I5278" s="130">
        <v>3</v>
      </c>
      <c r="J5278" t="s">
        <v>6902</v>
      </c>
      <c r="K5278" t="s">
        <v>108</v>
      </c>
      <c r="L5278" t="s">
        <v>1293</v>
      </c>
      <c r="M5278" t="s">
        <v>133</v>
      </c>
      <c r="N5278" t="s">
        <v>98</v>
      </c>
      <c r="O5278" t="s">
        <v>116</v>
      </c>
    </row>
    <row r="5279" spans="1:15" x14ac:dyDescent="0.3">
      <c r="A5279" s="130">
        <v>26321</v>
      </c>
      <c r="B5279" s="130">
        <v>0</v>
      </c>
      <c r="C5279" s="130" t="s">
        <v>6903</v>
      </c>
      <c r="D5279">
        <v>40966</v>
      </c>
      <c r="E5279" s="130">
        <v>19731366</v>
      </c>
      <c r="F5279" t="s">
        <v>87</v>
      </c>
      <c r="G5279">
        <v>76</v>
      </c>
      <c r="H5279" t="s">
        <v>8951</v>
      </c>
      <c r="I5279" s="131">
        <v>3</v>
      </c>
      <c r="J5279" t="s">
        <v>6903</v>
      </c>
      <c r="K5279" t="s">
        <v>95</v>
      </c>
      <c r="L5279" t="s">
        <v>96</v>
      </c>
      <c r="M5279" t="s">
        <v>100</v>
      </c>
      <c r="N5279" t="s">
        <v>101</v>
      </c>
      <c r="O5279" t="s">
        <v>116</v>
      </c>
    </row>
    <row r="5280" spans="1:15" x14ac:dyDescent="0.3">
      <c r="A5280" s="130">
        <v>26322</v>
      </c>
      <c r="B5280" s="130">
        <v>10</v>
      </c>
      <c r="C5280" s="130" t="s">
        <v>6904</v>
      </c>
      <c r="D5280">
        <v>40786</v>
      </c>
      <c r="E5280" s="130">
        <v>46722660</v>
      </c>
      <c r="F5280" t="s">
        <v>87</v>
      </c>
      <c r="G5280">
        <v>1096</v>
      </c>
      <c r="H5280" t="s">
        <v>8952</v>
      </c>
      <c r="I5280" s="130">
        <v>10</v>
      </c>
      <c r="J5280" t="s">
        <v>6904</v>
      </c>
      <c r="K5280" t="s">
        <v>108</v>
      </c>
      <c r="L5280" t="s">
        <v>111</v>
      </c>
      <c r="M5280" t="s">
        <v>133</v>
      </c>
      <c r="N5280" t="s">
        <v>101</v>
      </c>
      <c r="O5280" t="s">
        <v>1345</v>
      </c>
    </row>
    <row r="5281" spans="1:15" x14ac:dyDescent="0.3">
      <c r="A5281" s="130">
        <v>26324</v>
      </c>
      <c r="B5281" s="130">
        <v>10</v>
      </c>
      <c r="C5281" s="130" t="s">
        <v>6905</v>
      </c>
      <c r="D5281">
        <v>41032</v>
      </c>
      <c r="E5281" s="130">
        <v>3241423</v>
      </c>
      <c r="F5281" t="s">
        <v>87</v>
      </c>
      <c r="G5281">
        <v>32947</v>
      </c>
      <c r="H5281" t="s">
        <v>8953</v>
      </c>
      <c r="I5281" s="131">
        <v>3</v>
      </c>
      <c r="J5281" t="s">
        <v>6905</v>
      </c>
      <c r="K5281" t="s">
        <v>108</v>
      </c>
      <c r="L5281" t="s">
        <v>193</v>
      </c>
      <c r="M5281" t="s">
        <v>133</v>
      </c>
      <c r="N5281" t="s">
        <v>98</v>
      </c>
      <c r="O5281" t="s">
        <v>116</v>
      </c>
    </row>
    <row r="5282" spans="1:15" x14ac:dyDescent="0.3">
      <c r="A5282" s="130">
        <v>26325</v>
      </c>
      <c r="B5282" s="130">
        <v>10</v>
      </c>
      <c r="C5282" s="130" t="s">
        <v>6906</v>
      </c>
      <c r="D5282">
        <v>40607</v>
      </c>
      <c r="E5282" s="130">
        <v>21630536</v>
      </c>
      <c r="F5282" t="s">
        <v>87</v>
      </c>
      <c r="G5282">
        <v>1096</v>
      </c>
      <c r="H5282" t="s">
        <v>8951</v>
      </c>
      <c r="I5282" s="131">
        <v>18</v>
      </c>
      <c r="J5282" t="s">
        <v>6906</v>
      </c>
      <c r="K5282" t="s">
        <v>108</v>
      </c>
      <c r="L5282" t="s">
        <v>1293</v>
      </c>
      <c r="M5282" t="s">
        <v>133</v>
      </c>
      <c r="N5282" t="s">
        <v>114</v>
      </c>
      <c r="O5282" t="s">
        <v>116</v>
      </c>
    </row>
    <row r="5283" spans="1:15" x14ac:dyDescent="0.3">
      <c r="A5283" s="130">
        <v>26326</v>
      </c>
      <c r="B5283" s="130">
        <v>0</v>
      </c>
      <c r="C5283" s="130" t="s">
        <v>6907</v>
      </c>
      <c r="D5283">
        <v>41060</v>
      </c>
      <c r="E5283" s="131">
        <v>19731366</v>
      </c>
      <c r="F5283" t="s">
        <v>87</v>
      </c>
      <c r="G5283">
        <v>76</v>
      </c>
      <c r="H5283" t="s">
        <v>8952</v>
      </c>
      <c r="I5283" s="131">
        <v>3</v>
      </c>
      <c r="J5283" t="s">
        <v>6907</v>
      </c>
      <c r="K5283" t="s">
        <v>95</v>
      </c>
      <c r="L5283" t="s">
        <v>96</v>
      </c>
      <c r="M5283" t="s">
        <v>100</v>
      </c>
      <c r="N5283" t="s">
        <v>101</v>
      </c>
      <c r="O5283" t="s">
        <v>1345</v>
      </c>
    </row>
    <row r="5284" spans="1:15" x14ac:dyDescent="0.3">
      <c r="A5284" s="130">
        <v>26327</v>
      </c>
      <c r="B5284" s="130">
        <v>30</v>
      </c>
      <c r="C5284" s="130" t="s">
        <v>6908</v>
      </c>
      <c r="D5284">
        <v>41072</v>
      </c>
      <c r="E5284" s="130">
        <v>9625762</v>
      </c>
      <c r="F5284" t="s">
        <v>87</v>
      </c>
      <c r="G5284">
        <v>32947</v>
      </c>
      <c r="H5284" t="s">
        <v>8953</v>
      </c>
      <c r="I5284" s="131">
        <v>43</v>
      </c>
      <c r="J5284" t="s">
        <v>6908</v>
      </c>
      <c r="K5284" t="s">
        <v>95</v>
      </c>
      <c r="L5284" t="s">
        <v>1241</v>
      </c>
      <c r="M5284" t="s">
        <v>103</v>
      </c>
      <c r="N5284" t="s">
        <v>98</v>
      </c>
      <c r="O5284" t="s">
        <v>116</v>
      </c>
    </row>
    <row r="5285" spans="1:15" x14ac:dyDescent="0.3">
      <c r="A5285" s="130">
        <v>26328</v>
      </c>
      <c r="B5285" s="130">
        <v>28</v>
      </c>
      <c r="C5285" s="130" t="s">
        <v>6909</v>
      </c>
      <c r="D5285">
        <v>40585</v>
      </c>
      <c r="E5285" s="130">
        <v>43927354</v>
      </c>
      <c r="F5285" t="s">
        <v>87</v>
      </c>
      <c r="G5285">
        <v>1096</v>
      </c>
      <c r="H5285" t="s">
        <v>8951</v>
      </c>
      <c r="I5285" s="131">
        <v>18</v>
      </c>
      <c r="J5285" t="s">
        <v>6909</v>
      </c>
      <c r="K5285" t="s">
        <v>95</v>
      </c>
      <c r="L5285" t="s">
        <v>253</v>
      </c>
      <c r="M5285" t="s">
        <v>130</v>
      </c>
      <c r="N5285" t="s">
        <v>98</v>
      </c>
      <c r="O5285" t="s">
        <v>116</v>
      </c>
    </row>
    <row r="5286" spans="1:15" x14ac:dyDescent="0.3">
      <c r="A5286" s="130">
        <v>26329</v>
      </c>
      <c r="B5286" s="130">
        <v>10</v>
      </c>
      <c r="C5286" s="130" t="s">
        <v>6910</v>
      </c>
      <c r="D5286">
        <v>41110</v>
      </c>
      <c r="E5286" s="130">
        <v>21630536</v>
      </c>
      <c r="F5286" t="s">
        <v>87</v>
      </c>
      <c r="G5286">
        <v>76</v>
      </c>
      <c r="H5286" t="s">
        <v>8952</v>
      </c>
      <c r="I5286" s="131">
        <v>18</v>
      </c>
      <c r="J5286" t="s">
        <v>6910</v>
      </c>
      <c r="K5286" t="s">
        <v>108</v>
      </c>
      <c r="L5286" t="s">
        <v>1293</v>
      </c>
      <c r="M5286" t="s">
        <v>133</v>
      </c>
      <c r="N5286" t="s">
        <v>114</v>
      </c>
      <c r="O5286" t="s">
        <v>116</v>
      </c>
    </row>
    <row r="5287" spans="1:15" x14ac:dyDescent="0.3">
      <c r="A5287" s="130">
        <v>26330</v>
      </c>
      <c r="B5287" s="130">
        <v>18</v>
      </c>
      <c r="C5287" s="130" t="s">
        <v>6911</v>
      </c>
      <c r="D5287">
        <v>41111</v>
      </c>
      <c r="E5287" s="131">
        <v>63813000</v>
      </c>
      <c r="F5287" t="s">
        <v>87</v>
      </c>
      <c r="G5287">
        <v>76</v>
      </c>
      <c r="H5287" t="s">
        <v>8953</v>
      </c>
      <c r="I5287" s="130">
        <v>10</v>
      </c>
      <c r="J5287" t="s">
        <v>6911</v>
      </c>
      <c r="K5287" t="s">
        <v>108</v>
      </c>
      <c r="L5287" t="s">
        <v>127</v>
      </c>
      <c r="M5287" t="s">
        <v>112</v>
      </c>
      <c r="N5287" t="s">
        <v>118</v>
      </c>
      <c r="O5287" t="s">
        <v>116</v>
      </c>
    </row>
    <row r="5288" spans="1:15" x14ac:dyDescent="0.3">
      <c r="A5288" s="130">
        <v>26331</v>
      </c>
      <c r="B5288" s="130">
        <v>20</v>
      </c>
      <c r="C5288" s="130" t="s">
        <v>6912</v>
      </c>
      <c r="D5288">
        <v>41114</v>
      </c>
      <c r="E5288" s="131">
        <v>1934441</v>
      </c>
      <c r="F5288" t="s">
        <v>87</v>
      </c>
      <c r="G5288">
        <v>76</v>
      </c>
      <c r="H5288" t="s">
        <v>8951</v>
      </c>
      <c r="I5288" s="131">
        <v>3</v>
      </c>
      <c r="J5288" t="s">
        <v>6912</v>
      </c>
      <c r="K5288" t="s">
        <v>95</v>
      </c>
      <c r="L5288" t="s">
        <v>105</v>
      </c>
      <c r="M5288" t="s">
        <v>148</v>
      </c>
      <c r="N5288" t="s">
        <v>98</v>
      </c>
      <c r="O5288" t="s">
        <v>1345</v>
      </c>
    </row>
    <row r="5289" spans="1:15" x14ac:dyDescent="0.3">
      <c r="A5289" s="130">
        <v>26332</v>
      </c>
      <c r="B5289" s="130">
        <v>28</v>
      </c>
      <c r="C5289" s="130" t="s">
        <v>6913</v>
      </c>
      <c r="D5289">
        <v>40957</v>
      </c>
      <c r="E5289" s="130">
        <v>17274840</v>
      </c>
      <c r="F5289" t="s">
        <v>87</v>
      </c>
      <c r="G5289">
        <v>1096</v>
      </c>
      <c r="H5289" t="s">
        <v>8952</v>
      </c>
      <c r="I5289" s="131">
        <v>37</v>
      </c>
      <c r="J5289" t="s">
        <v>6913</v>
      </c>
      <c r="K5289" t="s">
        <v>108</v>
      </c>
      <c r="L5289" t="s">
        <v>138</v>
      </c>
      <c r="M5289" t="s">
        <v>130</v>
      </c>
      <c r="N5289" t="s">
        <v>141</v>
      </c>
      <c r="O5289" t="s">
        <v>116</v>
      </c>
    </row>
    <row r="5290" spans="1:15" x14ac:dyDescent="0.3">
      <c r="A5290" s="130">
        <v>26333</v>
      </c>
      <c r="B5290" s="130">
        <v>30</v>
      </c>
      <c r="C5290" s="130" t="s">
        <v>6914</v>
      </c>
      <c r="D5290">
        <v>40881</v>
      </c>
      <c r="E5290" s="131">
        <v>42099777</v>
      </c>
      <c r="F5290" t="s">
        <v>87</v>
      </c>
      <c r="G5290">
        <v>1096</v>
      </c>
      <c r="H5290" t="s">
        <v>8953</v>
      </c>
      <c r="I5290" s="130">
        <v>19</v>
      </c>
      <c r="J5290" t="s">
        <v>6914</v>
      </c>
      <c r="K5290" t="s">
        <v>108</v>
      </c>
      <c r="L5290" t="s">
        <v>146</v>
      </c>
      <c r="M5290" t="s">
        <v>103</v>
      </c>
      <c r="N5290" t="s">
        <v>98</v>
      </c>
      <c r="O5290" t="s">
        <v>116</v>
      </c>
    </row>
    <row r="5291" spans="1:15" x14ac:dyDescent="0.3">
      <c r="A5291" s="130">
        <v>26334</v>
      </c>
      <c r="B5291" s="130">
        <v>15</v>
      </c>
      <c r="C5291" s="130" t="s">
        <v>6915</v>
      </c>
      <c r="D5291">
        <v>40882</v>
      </c>
      <c r="E5291" s="131">
        <v>3122300</v>
      </c>
      <c r="F5291" t="s">
        <v>87</v>
      </c>
      <c r="G5291">
        <v>1096</v>
      </c>
      <c r="H5291" t="s">
        <v>8951</v>
      </c>
      <c r="I5291" s="130">
        <v>24</v>
      </c>
      <c r="J5291" t="s">
        <v>6915</v>
      </c>
      <c r="K5291" t="s">
        <v>108</v>
      </c>
      <c r="L5291" t="s">
        <v>240</v>
      </c>
      <c r="M5291" t="s">
        <v>145</v>
      </c>
      <c r="N5291" t="s">
        <v>114</v>
      </c>
      <c r="O5291" t="s">
        <v>116</v>
      </c>
    </row>
    <row r="5292" spans="1:15" x14ac:dyDescent="0.3">
      <c r="A5292" s="130">
        <v>26335</v>
      </c>
      <c r="B5292" s="130">
        <v>30</v>
      </c>
      <c r="C5292" s="130" t="s">
        <v>6916</v>
      </c>
      <c r="D5292">
        <v>41148</v>
      </c>
      <c r="E5292" s="130">
        <v>13457942</v>
      </c>
      <c r="F5292" t="s">
        <v>87</v>
      </c>
      <c r="G5292">
        <v>77</v>
      </c>
      <c r="H5292" t="s">
        <v>8952</v>
      </c>
      <c r="I5292" s="130">
        <v>3</v>
      </c>
      <c r="J5292" t="s">
        <v>6916</v>
      </c>
      <c r="K5292" t="s">
        <v>95</v>
      </c>
      <c r="L5292" t="s">
        <v>256</v>
      </c>
      <c r="M5292" t="s">
        <v>103</v>
      </c>
      <c r="N5292" t="s">
        <v>98</v>
      </c>
      <c r="O5292" t="s">
        <v>1345</v>
      </c>
    </row>
    <row r="5293" spans="1:15" x14ac:dyDescent="0.3">
      <c r="A5293" s="130">
        <v>26338</v>
      </c>
      <c r="B5293" s="130">
        <v>0</v>
      </c>
      <c r="C5293" s="130" t="s">
        <v>6917</v>
      </c>
      <c r="D5293">
        <v>41150</v>
      </c>
      <c r="E5293" s="130">
        <v>34209835</v>
      </c>
      <c r="F5293" t="s">
        <v>87</v>
      </c>
      <c r="G5293">
        <v>1096</v>
      </c>
      <c r="H5293" t="s">
        <v>8953</v>
      </c>
      <c r="I5293" s="131">
        <v>61</v>
      </c>
      <c r="J5293" t="s">
        <v>6917</v>
      </c>
      <c r="K5293" t="s">
        <v>95</v>
      </c>
      <c r="L5293" t="s">
        <v>102</v>
      </c>
      <c r="M5293" t="s">
        <v>100</v>
      </c>
      <c r="N5293" t="s">
        <v>98</v>
      </c>
      <c r="O5293" t="s">
        <v>116</v>
      </c>
    </row>
    <row r="5294" spans="1:15" x14ac:dyDescent="0.3">
      <c r="A5294" s="130">
        <v>26339</v>
      </c>
      <c r="B5294" s="130">
        <v>28</v>
      </c>
      <c r="C5294" s="130" t="s">
        <v>6918</v>
      </c>
      <c r="D5294">
        <v>41000</v>
      </c>
      <c r="E5294" s="131">
        <v>17445321</v>
      </c>
      <c r="F5294" t="s">
        <v>87</v>
      </c>
      <c r="G5294">
        <v>32947</v>
      </c>
      <c r="H5294" t="s">
        <v>8951</v>
      </c>
      <c r="I5294" s="130">
        <v>3</v>
      </c>
      <c r="J5294" t="s">
        <v>6918</v>
      </c>
      <c r="K5294" t="s">
        <v>95</v>
      </c>
      <c r="L5294" t="s">
        <v>102</v>
      </c>
      <c r="M5294" t="s">
        <v>130</v>
      </c>
      <c r="N5294" t="s">
        <v>162</v>
      </c>
      <c r="O5294" t="s">
        <v>116</v>
      </c>
    </row>
    <row r="5295" spans="1:15" x14ac:dyDescent="0.3">
      <c r="A5295" s="130">
        <v>26340</v>
      </c>
      <c r="B5295" s="130">
        <v>21</v>
      </c>
      <c r="C5295" s="130" t="s">
        <v>6919</v>
      </c>
      <c r="D5295">
        <v>41052</v>
      </c>
      <c r="E5295" s="130">
        <v>1529272</v>
      </c>
      <c r="F5295" t="s">
        <v>87</v>
      </c>
      <c r="G5295">
        <v>1096</v>
      </c>
      <c r="H5295" t="s">
        <v>8952</v>
      </c>
      <c r="I5295" s="130">
        <v>24</v>
      </c>
      <c r="J5295" t="s">
        <v>6919</v>
      </c>
      <c r="K5295" t="s">
        <v>108</v>
      </c>
      <c r="L5295" t="s">
        <v>191</v>
      </c>
      <c r="M5295" t="s">
        <v>137</v>
      </c>
      <c r="N5295" t="s">
        <v>98</v>
      </c>
      <c r="O5295" t="s">
        <v>116</v>
      </c>
    </row>
    <row r="5296" spans="1:15" x14ac:dyDescent="0.3">
      <c r="A5296" s="130">
        <v>26341</v>
      </c>
      <c r="B5296" s="130">
        <v>30</v>
      </c>
      <c r="C5296" s="130" t="s">
        <v>6920</v>
      </c>
      <c r="D5296">
        <v>41028</v>
      </c>
      <c r="E5296" s="130">
        <v>20239662</v>
      </c>
      <c r="F5296" t="s">
        <v>87</v>
      </c>
      <c r="G5296">
        <v>1096</v>
      </c>
      <c r="H5296" t="s">
        <v>8953</v>
      </c>
      <c r="I5296" s="130">
        <v>10</v>
      </c>
      <c r="J5296" t="s">
        <v>6920</v>
      </c>
      <c r="K5296" t="s">
        <v>95</v>
      </c>
      <c r="L5296" t="s">
        <v>111</v>
      </c>
      <c r="M5296" t="s">
        <v>103</v>
      </c>
      <c r="N5296" t="s">
        <v>98</v>
      </c>
      <c r="O5296" t="s">
        <v>1345</v>
      </c>
    </row>
    <row r="5297" spans="1:15" x14ac:dyDescent="0.3">
      <c r="A5297" s="130">
        <v>26342</v>
      </c>
      <c r="B5297" s="130">
        <v>18</v>
      </c>
      <c r="C5297" s="130" t="s">
        <v>6921</v>
      </c>
      <c r="D5297">
        <v>41181</v>
      </c>
      <c r="E5297" s="130">
        <v>4606250</v>
      </c>
      <c r="F5297" t="s">
        <v>87</v>
      </c>
      <c r="G5297">
        <v>32947</v>
      </c>
      <c r="H5297" t="s">
        <v>8951</v>
      </c>
      <c r="I5297" s="130">
        <v>24</v>
      </c>
      <c r="J5297" t="s">
        <v>6921</v>
      </c>
      <c r="K5297" t="s">
        <v>108</v>
      </c>
      <c r="L5297" t="s">
        <v>191</v>
      </c>
      <c r="M5297" t="s">
        <v>112</v>
      </c>
      <c r="N5297" t="s">
        <v>101</v>
      </c>
      <c r="O5297" t="s">
        <v>116</v>
      </c>
    </row>
    <row r="5298" spans="1:15" x14ac:dyDescent="0.3">
      <c r="A5298" s="130">
        <v>26343</v>
      </c>
      <c r="B5298" s="130">
        <v>30</v>
      </c>
      <c r="C5298" s="130" t="s">
        <v>6922</v>
      </c>
      <c r="D5298">
        <v>41192</v>
      </c>
      <c r="E5298" s="131">
        <v>5515245</v>
      </c>
      <c r="F5298" t="s">
        <v>87</v>
      </c>
      <c r="G5298">
        <v>32947</v>
      </c>
      <c r="H5298" t="s">
        <v>8952</v>
      </c>
      <c r="I5298" s="131">
        <v>9</v>
      </c>
      <c r="J5298" t="s">
        <v>6922</v>
      </c>
      <c r="K5298" t="s">
        <v>95</v>
      </c>
      <c r="L5298" t="s">
        <v>163</v>
      </c>
      <c r="M5298" t="s">
        <v>103</v>
      </c>
      <c r="N5298" t="s">
        <v>98</v>
      </c>
      <c r="O5298" t="s">
        <v>116</v>
      </c>
    </row>
    <row r="5299" spans="1:15" x14ac:dyDescent="0.3">
      <c r="A5299" s="130">
        <v>26344</v>
      </c>
      <c r="B5299" s="130">
        <v>18</v>
      </c>
      <c r="C5299" s="130" t="s">
        <v>6923</v>
      </c>
      <c r="D5299">
        <v>41195</v>
      </c>
      <c r="E5299" s="131">
        <v>19596251</v>
      </c>
      <c r="F5299" t="s">
        <v>87</v>
      </c>
      <c r="G5299">
        <v>76</v>
      </c>
      <c r="H5299" t="s">
        <v>8953</v>
      </c>
      <c r="I5299" s="130">
        <v>10</v>
      </c>
      <c r="J5299" t="s">
        <v>6923</v>
      </c>
      <c r="K5299" t="s">
        <v>108</v>
      </c>
      <c r="M5299" t="s">
        <v>112</v>
      </c>
      <c r="N5299" t="s">
        <v>141</v>
      </c>
      <c r="O5299" t="s">
        <v>1256</v>
      </c>
    </row>
    <row r="5300" spans="1:15" x14ac:dyDescent="0.3">
      <c r="A5300" s="130">
        <v>26345</v>
      </c>
      <c r="B5300" s="130">
        <v>35</v>
      </c>
      <c r="C5300" s="130" t="s">
        <v>6924</v>
      </c>
      <c r="D5300">
        <v>41197</v>
      </c>
      <c r="E5300" s="130">
        <v>49930514</v>
      </c>
      <c r="F5300" t="s">
        <v>87</v>
      </c>
      <c r="G5300">
        <v>76</v>
      </c>
      <c r="H5300" t="s">
        <v>8951</v>
      </c>
      <c r="I5300" s="130">
        <v>43</v>
      </c>
      <c r="J5300" t="s">
        <v>6924</v>
      </c>
      <c r="K5300" t="s">
        <v>95</v>
      </c>
      <c r="L5300" t="s">
        <v>120</v>
      </c>
      <c r="M5300" t="s">
        <v>161</v>
      </c>
      <c r="N5300" t="s">
        <v>216</v>
      </c>
      <c r="O5300" t="s">
        <v>116</v>
      </c>
    </row>
    <row r="5301" spans="1:15" x14ac:dyDescent="0.3">
      <c r="A5301" s="130">
        <v>26346</v>
      </c>
      <c r="B5301" s="130">
        <v>0</v>
      </c>
      <c r="C5301" s="130" t="s">
        <v>6925</v>
      </c>
      <c r="D5301">
        <v>41225</v>
      </c>
      <c r="E5301" s="130">
        <v>472355</v>
      </c>
      <c r="F5301" t="s">
        <v>87</v>
      </c>
      <c r="G5301">
        <v>32947</v>
      </c>
      <c r="H5301" t="s">
        <v>8952</v>
      </c>
      <c r="I5301" s="130">
        <v>9</v>
      </c>
      <c r="J5301" t="s">
        <v>6925</v>
      </c>
      <c r="K5301" t="s">
        <v>108</v>
      </c>
      <c r="M5301" t="s">
        <v>100</v>
      </c>
      <c r="N5301" t="s">
        <v>98</v>
      </c>
      <c r="O5301" t="s">
        <v>1256</v>
      </c>
    </row>
    <row r="5302" spans="1:15" x14ac:dyDescent="0.3">
      <c r="A5302" s="130">
        <v>26347</v>
      </c>
      <c r="B5302" s="130">
        <v>30</v>
      </c>
      <c r="C5302" s="130" t="s">
        <v>6926</v>
      </c>
      <c r="D5302">
        <v>41226</v>
      </c>
      <c r="E5302" s="131">
        <v>29060647</v>
      </c>
      <c r="F5302" t="s">
        <v>87</v>
      </c>
      <c r="G5302">
        <v>76</v>
      </c>
      <c r="H5302" t="s">
        <v>8953</v>
      </c>
      <c r="I5302" s="130">
        <v>10</v>
      </c>
      <c r="J5302" t="s">
        <v>6926</v>
      </c>
      <c r="K5302" t="s">
        <v>95</v>
      </c>
      <c r="M5302" t="s">
        <v>103</v>
      </c>
      <c r="N5302" t="s">
        <v>118</v>
      </c>
      <c r="O5302" t="s">
        <v>1256</v>
      </c>
    </row>
    <row r="5303" spans="1:15" x14ac:dyDescent="0.3">
      <c r="A5303" s="130">
        <v>26348</v>
      </c>
      <c r="B5303" s="130">
        <v>10</v>
      </c>
      <c r="C5303" s="130" t="s">
        <v>6927</v>
      </c>
      <c r="D5303">
        <v>40942</v>
      </c>
      <c r="E5303" s="130">
        <v>66380148</v>
      </c>
      <c r="F5303" t="s">
        <v>87</v>
      </c>
      <c r="G5303">
        <v>1096</v>
      </c>
      <c r="H5303" t="s">
        <v>8951</v>
      </c>
      <c r="I5303" s="131">
        <v>3</v>
      </c>
      <c r="J5303" t="s">
        <v>6927</v>
      </c>
      <c r="K5303" t="s">
        <v>108</v>
      </c>
      <c r="L5303" t="s">
        <v>1293</v>
      </c>
      <c r="M5303" t="s">
        <v>133</v>
      </c>
      <c r="N5303" t="s">
        <v>101</v>
      </c>
      <c r="O5303" t="s">
        <v>116</v>
      </c>
    </row>
    <row r="5304" spans="1:15" x14ac:dyDescent="0.3">
      <c r="A5304" s="130">
        <v>26349</v>
      </c>
      <c r="B5304" s="130">
        <v>10</v>
      </c>
      <c r="C5304" s="130" t="s">
        <v>6928</v>
      </c>
      <c r="D5304">
        <v>41166</v>
      </c>
      <c r="E5304" s="130">
        <v>7533543</v>
      </c>
      <c r="F5304" t="s">
        <v>87</v>
      </c>
      <c r="G5304">
        <v>1096</v>
      </c>
      <c r="H5304" t="s">
        <v>8952</v>
      </c>
      <c r="I5304" s="131">
        <v>3</v>
      </c>
      <c r="J5304" t="s">
        <v>6928</v>
      </c>
      <c r="K5304" t="s">
        <v>108</v>
      </c>
      <c r="L5304" t="s">
        <v>1293</v>
      </c>
      <c r="M5304" t="s">
        <v>133</v>
      </c>
      <c r="O5304" t="s">
        <v>116</v>
      </c>
    </row>
    <row r="5305" spans="1:15" x14ac:dyDescent="0.3">
      <c r="A5305" s="130">
        <v>26350</v>
      </c>
      <c r="B5305" s="130">
        <v>18</v>
      </c>
      <c r="C5305" s="130" t="s">
        <v>6929</v>
      </c>
      <c r="D5305">
        <v>41261</v>
      </c>
      <c r="E5305" s="130">
        <v>2602726</v>
      </c>
      <c r="F5305" t="s">
        <v>87</v>
      </c>
      <c r="G5305">
        <v>76</v>
      </c>
      <c r="H5305" t="s">
        <v>8953</v>
      </c>
      <c r="I5305" s="130">
        <v>10</v>
      </c>
      <c r="J5305" t="s">
        <v>6929</v>
      </c>
      <c r="K5305" t="s">
        <v>108</v>
      </c>
      <c r="L5305" t="s">
        <v>127</v>
      </c>
      <c r="M5305" t="s">
        <v>112</v>
      </c>
      <c r="N5305" t="s">
        <v>118</v>
      </c>
      <c r="O5305" t="s">
        <v>116</v>
      </c>
    </row>
    <row r="5306" spans="1:15" x14ac:dyDescent="0.3">
      <c r="A5306" s="130">
        <v>26351</v>
      </c>
      <c r="B5306" s="130">
        <v>30</v>
      </c>
      <c r="C5306" s="130" t="s">
        <v>6930</v>
      </c>
      <c r="D5306">
        <v>41270</v>
      </c>
      <c r="E5306" s="130">
        <v>3130160</v>
      </c>
      <c r="F5306" t="s">
        <v>87</v>
      </c>
      <c r="G5306">
        <v>76</v>
      </c>
      <c r="H5306" t="s">
        <v>8951</v>
      </c>
      <c r="I5306" s="131">
        <v>43</v>
      </c>
      <c r="J5306" t="s">
        <v>6930</v>
      </c>
      <c r="K5306" t="s">
        <v>95</v>
      </c>
      <c r="L5306" t="s">
        <v>111</v>
      </c>
      <c r="M5306" t="s">
        <v>103</v>
      </c>
      <c r="N5306" t="s">
        <v>98</v>
      </c>
      <c r="O5306" t="s">
        <v>116</v>
      </c>
    </row>
    <row r="5307" spans="1:15" x14ac:dyDescent="0.3">
      <c r="A5307" s="130">
        <v>26352</v>
      </c>
      <c r="B5307" s="130">
        <v>30</v>
      </c>
      <c r="C5307" s="130" t="s">
        <v>6931</v>
      </c>
      <c r="D5307">
        <v>41208</v>
      </c>
      <c r="E5307" s="130">
        <v>1136104</v>
      </c>
      <c r="F5307" t="s">
        <v>87</v>
      </c>
      <c r="G5307">
        <v>76</v>
      </c>
      <c r="H5307" t="s">
        <v>8952</v>
      </c>
      <c r="I5307" s="131">
        <v>38</v>
      </c>
      <c r="J5307" t="s">
        <v>6931</v>
      </c>
      <c r="K5307" t="s">
        <v>108</v>
      </c>
      <c r="L5307" t="s">
        <v>251</v>
      </c>
      <c r="M5307" t="s">
        <v>103</v>
      </c>
      <c r="N5307" t="s">
        <v>98</v>
      </c>
      <c r="O5307" t="s">
        <v>116</v>
      </c>
    </row>
    <row r="5308" spans="1:15" x14ac:dyDescent="0.3">
      <c r="A5308" s="130">
        <v>26353</v>
      </c>
      <c r="B5308" s="130">
        <v>30</v>
      </c>
      <c r="C5308" s="130" t="s">
        <v>6932</v>
      </c>
      <c r="D5308">
        <v>41137</v>
      </c>
      <c r="E5308" s="130">
        <v>83646547</v>
      </c>
      <c r="F5308" t="s">
        <v>87</v>
      </c>
      <c r="G5308">
        <v>1096</v>
      </c>
      <c r="H5308" t="s">
        <v>8953</v>
      </c>
      <c r="I5308" s="130">
        <v>10</v>
      </c>
      <c r="J5308" t="s">
        <v>6932</v>
      </c>
      <c r="K5308" t="s">
        <v>95</v>
      </c>
      <c r="L5308" t="s">
        <v>111</v>
      </c>
      <c r="M5308" t="s">
        <v>103</v>
      </c>
      <c r="N5308" t="s">
        <v>114</v>
      </c>
      <c r="O5308" t="s">
        <v>116</v>
      </c>
    </row>
    <row r="5309" spans="1:15" x14ac:dyDescent="0.3">
      <c r="A5309" s="130">
        <v>26354</v>
      </c>
      <c r="B5309" s="130">
        <v>60</v>
      </c>
      <c r="C5309" s="130" t="s">
        <v>6933</v>
      </c>
      <c r="D5309">
        <v>41301</v>
      </c>
      <c r="E5309" s="130">
        <v>17164435</v>
      </c>
      <c r="F5309" t="s">
        <v>87</v>
      </c>
      <c r="G5309">
        <v>76</v>
      </c>
      <c r="H5309" t="s">
        <v>8951</v>
      </c>
      <c r="I5309" s="130">
        <v>10</v>
      </c>
      <c r="J5309" t="s">
        <v>6933</v>
      </c>
      <c r="K5309" t="s">
        <v>95</v>
      </c>
      <c r="L5309" t="s">
        <v>105</v>
      </c>
      <c r="M5309" t="s">
        <v>97</v>
      </c>
      <c r="N5309" t="s">
        <v>98</v>
      </c>
      <c r="O5309" t="s">
        <v>116</v>
      </c>
    </row>
    <row r="5310" spans="1:15" x14ac:dyDescent="0.3">
      <c r="A5310" s="130">
        <v>26355</v>
      </c>
      <c r="B5310" s="130">
        <v>-1</v>
      </c>
      <c r="C5310" s="130" t="s">
        <v>6934</v>
      </c>
      <c r="D5310">
        <v>41302</v>
      </c>
      <c r="E5310" s="130">
        <v>43507435</v>
      </c>
      <c r="F5310" t="s">
        <v>87</v>
      </c>
      <c r="G5310">
        <v>32947</v>
      </c>
      <c r="H5310" t="s">
        <v>8952</v>
      </c>
      <c r="I5310" s="131">
        <v>3</v>
      </c>
      <c r="J5310" t="s">
        <v>6934</v>
      </c>
      <c r="K5310" t="s">
        <v>95</v>
      </c>
      <c r="L5310" t="s">
        <v>102</v>
      </c>
      <c r="M5310" t="s">
        <v>174</v>
      </c>
      <c r="N5310" t="s">
        <v>152</v>
      </c>
      <c r="O5310" t="s">
        <v>1345</v>
      </c>
    </row>
    <row r="5311" spans="1:15" x14ac:dyDescent="0.3">
      <c r="A5311" s="130">
        <v>26356</v>
      </c>
      <c r="B5311" s="130">
        <v>-1</v>
      </c>
      <c r="C5311" s="130" t="s">
        <v>6935</v>
      </c>
      <c r="D5311">
        <v>41307</v>
      </c>
      <c r="E5311" s="130">
        <v>46390711</v>
      </c>
      <c r="F5311" t="s">
        <v>87</v>
      </c>
      <c r="G5311">
        <v>32947</v>
      </c>
      <c r="H5311" t="s">
        <v>8953</v>
      </c>
      <c r="I5311" s="130">
        <v>3</v>
      </c>
      <c r="J5311" t="s">
        <v>6935</v>
      </c>
      <c r="K5311" t="s">
        <v>95</v>
      </c>
      <c r="L5311" t="s">
        <v>102</v>
      </c>
      <c r="M5311" t="s">
        <v>174</v>
      </c>
      <c r="N5311" t="s">
        <v>152</v>
      </c>
      <c r="O5311" t="s">
        <v>1345</v>
      </c>
    </row>
    <row r="5312" spans="1:15" x14ac:dyDescent="0.3">
      <c r="A5312" s="130">
        <v>26358</v>
      </c>
      <c r="B5312" s="130">
        <v>30</v>
      </c>
      <c r="C5312" s="130" t="s">
        <v>6936</v>
      </c>
      <c r="D5312">
        <v>41176</v>
      </c>
      <c r="E5312" s="131">
        <v>37325799</v>
      </c>
      <c r="F5312" t="s">
        <v>87</v>
      </c>
      <c r="G5312">
        <v>1096</v>
      </c>
      <c r="H5312" t="s">
        <v>8951</v>
      </c>
      <c r="I5312" s="130">
        <v>18</v>
      </c>
      <c r="J5312" t="s">
        <v>6936</v>
      </c>
      <c r="K5312" t="s">
        <v>95</v>
      </c>
      <c r="L5312" t="s">
        <v>123</v>
      </c>
      <c r="M5312" t="s">
        <v>103</v>
      </c>
      <c r="N5312" t="s">
        <v>98</v>
      </c>
      <c r="O5312" t="s">
        <v>116</v>
      </c>
    </row>
    <row r="5313" spans="1:15" x14ac:dyDescent="0.3">
      <c r="A5313" s="130">
        <v>26360</v>
      </c>
      <c r="B5313" s="130">
        <v>-1</v>
      </c>
      <c r="C5313" s="130" t="s">
        <v>6937</v>
      </c>
      <c r="D5313">
        <v>40888</v>
      </c>
      <c r="E5313" s="130">
        <v>37084095</v>
      </c>
      <c r="F5313" t="s">
        <v>87</v>
      </c>
      <c r="G5313">
        <v>1096</v>
      </c>
      <c r="H5313" t="s">
        <v>8952</v>
      </c>
      <c r="I5313" s="130">
        <v>10</v>
      </c>
      <c r="J5313" t="s">
        <v>6937</v>
      </c>
      <c r="K5313" t="s">
        <v>108</v>
      </c>
      <c r="L5313" t="s">
        <v>111</v>
      </c>
      <c r="M5313" t="s">
        <v>174</v>
      </c>
      <c r="N5313" t="s">
        <v>98</v>
      </c>
      <c r="O5313" t="s">
        <v>116</v>
      </c>
    </row>
    <row r="5314" spans="1:15" x14ac:dyDescent="0.3">
      <c r="A5314" s="130">
        <v>26363</v>
      </c>
      <c r="B5314" s="130">
        <v>30</v>
      </c>
      <c r="C5314" s="130" t="s">
        <v>6938</v>
      </c>
      <c r="D5314">
        <v>41316</v>
      </c>
      <c r="E5314" s="130">
        <v>36178464</v>
      </c>
      <c r="F5314" t="s">
        <v>87</v>
      </c>
      <c r="G5314">
        <v>1096</v>
      </c>
      <c r="H5314" t="s">
        <v>8953</v>
      </c>
      <c r="I5314" s="130">
        <v>37</v>
      </c>
      <c r="J5314" t="s">
        <v>6938</v>
      </c>
      <c r="K5314" t="s">
        <v>95</v>
      </c>
      <c r="L5314" t="s">
        <v>138</v>
      </c>
      <c r="M5314" t="s">
        <v>103</v>
      </c>
      <c r="N5314" t="s">
        <v>98</v>
      </c>
      <c r="O5314" t="s">
        <v>116</v>
      </c>
    </row>
    <row r="5315" spans="1:15" x14ac:dyDescent="0.3">
      <c r="A5315" s="130">
        <v>26364</v>
      </c>
      <c r="B5315" s="130">
        <v>30</v>
      </c>
      <c r="C5315" s="130" t="s">
        <v>6939</v>
      </c>
      <c r="D5315">
        <v>41134</v>
      </c>
      <c r="E5315" s="130">
        <v>37480915</v>
      </c>
      <c r="F5315" t="s">
        <v>87</v>
      </c>
      <c r="G5315">
        <v>1096</v>
      </c>
      <c r="H5315" t="s">
        <v>8951</v>
      </c>
      <c r="I5315" s="131">
        <v>10</v>
      </c>
      <c r="J5315" t="s">
        <v>6939</v>
      </c>
      <c r="K5315" t="s">
        <v>108</v>
      </c>
      <c r="L5315" t="s">
        <v>111</v>
      </c>
      <c r="M5315" t="s">
        <v>103</v>
      </c>
      <c r="N5315" t="s">
        <v>98</v>
      </c>
      <c r="O5315" t="s">
        <v>116</v>
      </c>
    </row>
    <row r="5316" spans="1:15" x14ac:dyDescent="0.3">
      <c r="A5316" s="130">
        <v>26365</v>
      </c>
      <c r="B5316" s="130">
        <v>35</v>
      </c>
      <c r="C5316" s="130" t="s">
        <v>6940</v>
      </c>
      <c r="D5316">
        <v>41347</v>
      </c>
      <c r="E5316" s="131">
        <v>34692778</v>
      </c>
      <c r="F5316" t="s">
        <v>87</v>
      </c>
      <c r="G5316">
        <v>77</v>
      </c>
      <c r="H5316" t="s">
        <v>8952</v>
      </c>
      <c r="I5316" s="131">
        <v>18</v>
      </c>
      <c r="J5316" t="s">
        <v>6940</v>
      </c>
      <c r="K5316" t="s">
        <v>95</v>
      </c>
      <c r="L5316" t="s">
        <v>256</v>
      </c>
      <c r="M5316" t="s">
        <v>161</v>
      </c>
      <c r="N5316" t="s">
        <v>98</v>
      </c>
      <c r="O5316" t="s">
        <v>116</v>
      </c>
    </row>
    <row r="5317" spans="1:15" x14ac:dyDescent="0.3">
      <c r="A5317" s="130">
        <v>26366</v>
      </c>
      <c r="B5317" s="130">
        <v>10</v>
      </c>
      <c r="C5317" s="130" t="s">
        <v>6941</v>
      </c>
      <c r="D5317">
        <v>41275</v>
      </c>
      <c r="E5317" s="131">
        <v>6328935</v>
      </c>
      <c r="F5317" t="s">
        <v>87</v>
      </c>
      <c r="G5317">
        <v>1096</v>
      </c>
      <c r="H5317" t="s">
        <v>8953</v>
      </c>
      <c r="I5317" s="131">
        <v>26</v>
      </c>
      <c r="J5317" t="s">
        <v>6941</v>
      </c>
      <c r="K5317" t="s">
        <v>108</v>
      </c>
      <c r="L5317" t="s">
        <v>1247</v>
      </c>
      <c r="M5317" t="s">
        <v>133</v>
      </c>
      <c r="N5317" t="s">
        <v>98</v>
      </c>
      <c r="O5317" t="s">
        <v>1256</v>
      </c>
    </row>
    <row r="5318" spans="1:15" x14ac:dyDescent="0.3">
      <c r="A5318" s="130">
        <v>26367</v>
      </c>
      <c r="B5318" s="130">
        <v>18</v>
      </c>
      <c r="C5318" s="130" t="s">
        <v>6942</v>
      </c>
      <c r="D5318">
        <v>40697</v>
      </c>
      <c r="E5318" s="131">
        <v>34375501</v>
      </c>
      <c r="F5318" t="s">
        <v>87</v>
      </c>
      <c r="G5318">
        <v>1096</v>
      </c>
      <c r="H5318" t="s">
        <v>8951</v>
      </c>
      <c r="I5318" s="130">
        <v>9</v>
      </c>
      <c r="J5318" t="s">
        <v>6942</v>
      </c>
      <c r="K5318" t="s">
        <v>108</v>
      </c>
      <c r="L5318" t="s">
        <v>163</v>
      </c>
      <c r="M5318" t="s">
        <v>112</v>
      </c>
      <c r="N5318" t="s">
        <v>98</v>
      </c>
      <c r="O5318" t="s">
        <v>116</v>
      </c>
    </row>
    <row r="5319" spans="1:15" x14ac:dyDescent="0.3">
      <c r="A5319" s="130">
        <v>26368</v>
      </c>
      <c r="B5319" s="130">
        <v>30</v>
      </c>
      <c r="C5319" s="130" t="s">
        <v>6943</v>
      </c>
      <c r="D5319">
        <v>40899</v>
      </c>
      <c r="E5319" s="131">
        <v>37181061</v>
      </c>
      <c r="F5319" t="s">
        <v>87</v>
      </c>
      <c r="G5319">
        <v>1096</v>
      </c>
      <c r="H5319" t="s">
        <v>8952</v>
      </c>
      <c r="I5319" s="130">
        <v>10</v>
      </c>
      <c r="J5319" t="s">
        <v>6943</v>
      </c>
      <c r="K5319" t="s">
        <v>95</v>
      </c>
      <c r="L5319" t="s">
        <v>111</v>
      </c>
      <c r="M5319" t="s">
        <v>103</v>
      </c>
      <c r="N5319" t="s">
        <v>114</v>
      </c>
      <c r="O5319" t="s">
        <v>116</v>
      </c>
    </row>
    <row r="5320" spans="1:15" x14ac:dyDescent="0.3">
      <c r="A5320" s="130">
        <v>26369</v>
      </c>
      <c r="B5320" s="130">
        <v>10</v>
      </c>
      <c r="C5320" s="130" t="s">
        <v>6944</v>
      </c>
      <c r="D5320">
        <v>41387</v>
      </c>
      <c r="E5320" s="130">
        <v>42509581</v>
      </c>
      <c r="F5320" t="s">
        <v>87</v>
      </c>
      <c r="G5320">
        <v>76</v>
      </c>
      <c r="H5320" t="s">
        <v>8953</v>
      </c>
      <c r="I5320" s="130">
        <v>38</v>
      </c>
      <c r="J5320" t="s">
        <v>6944</v>
      </c>
      <c r="K5320" t="s">
        <v>108</v>
      </c>
      <c r="L5320" t="s">
        <v>126</v>
      </c>
      <c r="M5320" t="s">
        <v>133</v>
      </c>
      <c r="N5320" t="s">
        <v>150</v>
      </c>
      <c r="O5320" t="s">
        <v>1256</v>
      </c>
    </row>
    <row r="5321" spans="1:15" x14ac:dyDescent="0.3">
      <c r="A5321" s="130">
        <v>26370</v>
      </c>
      <c r="B5321" s="130">
        <v>0</v>
      </c>
      <c r="C5321" s="130" t="s">
        <v>6945</v>
      </c>
      <c r="D5321">
        <v>41096</v>
      </c>
      <c r="E5321" s="130">
        <v>40147196</v>
      </c>
      <c r="F5321" t="s">
        <v>87</v>
      </c>
      <c r="G5321">
        <v>1096</v>
      </c>
      <c r="H5321" t="s">
        <v>8951</v>
      </c>
      <c r="I5321" s="131">
        <v>9</v>
      </c>
      <c r="J5321" t="s">
        <v>6945</v>
      </c>
      <c r="K5321" t="s">
        <v>108</v>
      </c>
      <c r="L5321" t="s">
        <v>163</v>
      </c>
      <c r="M5321" t="s">
        <v>100</v>
      </c>
      <c r="N5321" t="s">
        <v>152</v>
      </c>
      <c r="O5321" t="s">
        <v>116</v>
      </c>
    </row>
    <row r="5322" spans="1:15" x14ac:dyDescent="0.3">
      <c r="A5322" s="130">
        <v>26371</v>
      </c>
      <c r="B5322" s="130" t="s">
        <v>135</v>
      </c>
      <c r="C5322" s="130" t="s">
        <v>6946</v>
      </c>
      <c r="D5322">
        <v>41303</v>
      </c>
      <c r="E5322" s="131">
        <v>1704488</v>
      </c>
      <c r="F5322" t="s">
        <v>87</v>
      </c>
      <c r="G5322">
        <v>1096</v>
      </c>
      <c r="H5322" t="s">
        <v>8952</v>
      </c>
      <c r="I5322" s="130">
        <v>10</v>
      </c>
      <c r="J5322" t="s">
        <v>6946</v>
      </c>
      <c r="K5322" t="s">
        <v>95</v>
      </c>
      <c r="L5322" t="s">
        <v>111</v>
      </c>
      <c r="M5322" t="s">
        <v>136</v>
      </c>
      <c r="N5322" t="s">
        <v>98</v>
      </c>
      <c r="O5322" t="s">
        <v>116</v>
      </c>
    </row>
    <row r="5323" spans="1:15" x14ac:dyDescent="0.3">
      <c r="A5323" s="130">
        <v>26372</v>
      </c>
      <c r="B5323" s="130">
        <v>0</v>
      </c>
      <c r="C5323" s="130" t="s">
        <v>6947</v>
      </c>
      <c r="D5323">
        <v>40697</v>
      </c>
      <c r="E5323" s="130">
        <v>34375501</v>
      </c>
      <c r="F5323" t="s">
        <v>87</v>
      </c>
      <c r="G5323">
        <v>1096</v>
      </c>
      <c r="H5323" t="s">
        <v>8953</v>
      </c>
      <c r="I5323" s="130">
        <v>9</v>
      </c>
      <c r="J5323" t="s">
        <v>6947</v>
      </c>
      <c r="K5323" t="s">
        <v>108</v>
      </c>
      <c r="L5323" t="s">
        <v>1247</v>
      </c>
      <c r="M5323" t="s">
        <v>100</v>
      </c>
      <c r="N5323" t="s">
        <v>98</v>
      </c>
      <c r="O5323" t="s">
        <v>1256</v>
      </c>
    </row>
    <row r="5324" spans="1:15" x14ac:dyDescent="0.3">
      <c r="A5324" s="130">
        <v>26373</v>
      </c>
      <c r="B5324" s="130">
        <v>60</v>
      </c>
      <c r="C5324" s="130" t="s">
        <v>6948</v>
      </c>
      <c r="D5324">
        <v>41358</v>
      </c>
      <c r="E5324" s="130">
        <v>3130160</v>
      </c>
      <c r="F5324" t="s">
        <v>87</v>
      </c>
      <c r="G5324">
        <v>1096</v>
      </c>
      <c r="H5324" t="s">
        <v>8951</v>
      </c>
      <c r="I5324" s="130">
        <v>43</v>
      </c>
      <c r="J5324" t="s">
        <v>6948</v>
      </c>
      <c r="K5324" t="s">
        <v>95</v>
      </c>
      <c r="L5324" t="s">
        <v>111</v>
      </c>
      <c r="M5324" t="s">
        <v>97</v>
      </c>
      <c r="N5324" t="s">
        <v>98</v>
      </c>
      <c r="O5324" t="s">
        <v>116</v>
      </c>
    </row>
    <row r="5325" spans="1:15" x14ac:dyDescent="0.3">
      <c r="A5325" s="130">
        <v>26374</v>
      </c>
      <c r="B5325" s="130">
        <v>18</v>
      </c>
      <c r="C5325" s="130" t="s">
        <v>6949</v>
      </c>
      <c r="D5325">
        <v>41281</v>
      </c>
      <c r="E5325" s="130">
        <v>12363277</v>
      </c>
      <c r="F5325" t="s">
        <v>87</v>
      </c>
      <c r="G5325">
        <v>1096</v>
      </c>
      <c r="H5325" t="s">
        <v>8952</v>
      </c>
      <c r="I5325" s="130">
        <v>37</v>
      </c>
      <c r="J5325" t="s">
        <v>6949</v>
      </c>
      <c r="K5325" t="s">
        <v>108</v>
      </c>
      <c r="L5325" t="s">
        <v>138</v>
      </c>
      <c r="M5325" t="s">
        <v>112</v>
      </c>
      <c r="N5325" t="s">
        <v>114</v>
      </c>
      <c r="O5325" t="s">
        <v>116</v>
      </c>
    </row>
    <row r="5326" spans="1:15" x14ac:dyDescent="0.3">
      <c r="A5326" s="130">
        <v>26375</v>
      </c>
      <c r="B5326" s="130">
        <v>0</v>
      </c>
      <c r="C5326" s="130" t="s">
        <v>6950</v>
      </c>
      <c r="D5326">
        <v>41406</v>
      </c>
      <c r="E5326" s="130">
        <v>40147196</v>
      </c>
      <c r="F5326" t="s">
        <v>87</v>
      </c>
      <c r="G5326">
        <v>1096</v>
      </c>
      <c r="H5326" t="s">
        <v>8953</v>
      </c>
      <c r="I5326" s="130">
        <v>9</v>
      </c>
      <c r="J5326" t="s">
        <v>6950</v>
      </c>
      <c r="K5326" t="s">
        <v>108</v>
      </c>
      <c r="L5326" t="s">
        <v>163</v>
      </c>
      <c r="M5326" t="s">
        <v>100</v>
      </c>
      <c r="N5326" t="s">
        <v>152</v>
      </c>
      <c r="O5326" t="s">
        <v>116</v>
      </c>
    </row>
    <row r="5327" spans="1:15" x14ac:dyDescent="0.3">
      <c r="A5327" s="130">
        <v>26377</v>
      </c>
      <c r="B5327" s="130">
        <v>60</v>
      </c>
      <c r="C5327" s="130" t="s">
        <v>6951</v>
      </c>
      <c r="D5327">
        <v>41381</v>
      </c>
      <c r="E5327" s="130">
        <v>3130160</v>
      </c>
      <c r="F5327" t="s">
        <v>87</v>
      </c>
      <c r="G5327">
        <v>1096</v>
      </c>
      <c r="H5327" t="s">
        <v>8951</v>
      </c>
      <c r="I5327" s="131">
        <v>43</v>
      </c>
      <c r="J5327" t="s">
        <v>6951</v>
      </c>
      <c r="K5327" t="s">
        <v>95</v>
      </c>
      <c r="L5327" t="s">
        <v>111</v>
      </c>
      <c r="M5327" t="s">
        <v>97</v>
      </c>
      <c r="N5327" t="s">
        <v>98</v>
      </c>
      <c r="O5327" t="s">
        <v>116</v>
      </c>
    </row>
    <row r="5328" spans="1:15" x14ac:dyDescent="0.3">
      <c r="A5328" s="130">
        <v>26378</v>
      </c>
      <c r="B5328" s="130">
        <v>10</v>
      </c>
      <c r="C5328" s="130" t="s">
        <v>6952</v>
      </c>
      <c r="D5328">
        <v>41227</v>
      </c>
      <c r="E5328" s="130">
        <v>11414118</v>
      </c>
      <c r="F5328" t="s">
        <v>87</v>
      </c>
      <c r="G5328">
        <v>1096</v>
      </c>
      <c r="H5328" t="s">
        <v>8952</v>
      </c>
      <c r="I5328" s="130">
        <v>26</v>
      </c>
      <c r="J5328" t="s">
        <v>6952</v>
      </c>
      <c r="K5328" t="s">
        <v>108</v>
      </c>
      <c r="L5328" t="s">
        <v>1293</v>
      </c>
      <c r="M5328" t="s">
        <v>133</v>
      </c>
      <c r="N5328" t="s">
        <v>98</v>
      </c>
      <c r="O5328" t="s">
        <v>116</v>
      </c>
    </row>
    <row r="5329" spans="1:15" x14ac:dyDescent="0.3">
      <c r="A5329" s="130">
        <v>26379</v>
      </c>
      <c r="B5329" s="130">
        <v>60</v>
      </c>
      <c r="C5329" s="130" t="s">
        <v>6953</v>
      </c>
      <c r="D5329">
        <v>41372</v>
      </c>
      <c r="E5329" s="130">
        <v>3130160</v>
      </c>
      <c r="F5329" t="s">
        <v>87</v>
      </c>
      <c r="G5329">
        <v>1096</v>
      </c>
      <c r="H5329" t="s">
        <v>8953</v>
      </c>
      <c r="I5329" s="131">
        <v>43</v>
      </c>
      <c r="J5329" t="s">
        <v>6953</v>
      </c>
      <c r="K5329" t="s">
        <v>95</v>
      </c>
      <c r="L5329" t="s">
        <v>111</v>
      </c>
      <c r="M5329" t="s">
        <v>97</v>
      </c>
      <c r="N5329" t="s">
        <v>98</v>
      </c>
      <c r="O5329" t="s">
        <v>116</v>
      </c>
    </row>
    <row r="5330" spans="1:15" x14ac:dyDescent="0.3">
      <c r="A5330" s="130">
        <v>26380</v>
      </c>
      <c r="B5330" s="130">
        <v>60</v>
      </c>
      <c r="C5330" s="130" t="s">
        <v>6954</v>
      </c>
      <c r="D5330">
        <v>41362</v>
      </c>
      <c r="E5330" s="130">
        <v>3130160</v>
      </c>
      <c r="F5330" t="s">
        <v>87</v>
      </c>
      <c r="G5330">
        <v>1096</v>
      </c>
      <c r="H5330" t="s">
        <v>8951</v>
      </c>
      <c r="I5330" s="130">
        <v>43</v>
      </c>
      <c r="J5330" t="s">
        <v>6954</v>
      </c>
      <c r="K5330" t="s">
        <v>95</v>
      </c>
      <c r="L5330" t="s">
        <v>111</v>
      </c>
      <c r="M5330" t="s">
        <v>97</v>
      </c>
      <c r="N5330" t="s">
        <v>98</v>
      </c>
      <c r="O5330" t="s">
        <v>116</v>
      </c>
    </row>
    <row r="5331" spans="1:15" x14ac:dyDescent="0.3">
      <c r="A5331" s="130">
        <v>26381</v>
      </c>
      <c r="B5331" s="130">
        <v>60</v>
      </c>
      <c r="C5331" s="130" t="s">
        <v>6955</v>
      </c>
      <c r="D5331">
        <v>41360</v>
      </c>
      <c r="E5331" s="130">
        <v>3130160</v>
      </c>
      <c r="F5331" t="s">
        <v>87</v>
      </c>
      <c r="G5331">
        <v>1096</v>
      </c>
      <c r="H5331" t="s">
        <v>8952</v>
      </c>
      <c r="I5331" s="131">
        <v>43</v>
      </c>
      <c r="J5331" t="s">
        <v>6955</v>
      </c>
      <c r="K5331" t="s">
        <v>95</v>
      </c>
      <c r="L5331" t="s">
        <v>111</v>
      </c>
      <c r="M5331" t="s">
        <v>97</v>
      </c>
      <c r="N5331" t="s">
        <v>98</v>
      </c>
      <c r="O5331" t="s">
        <v>116</v>
      </c>
    </row>
    <row r="5332" spans="1:15" x14ac:dyDescent="0.3">
      <c r="A5332" s="130">
        <v>26382</v>
      </c>
      <c r="B5332" s="130">
        <v>30</v>
      </c>
      <c r="C5332" s="130" t="s">
        <v>6956</v>
      </c>
      <c r="D5332">
        <v>40914</v>
      </c>
      <c r="E5332" s="130">
        <v>17185786</v>
      </c>
      <c r="F5332" t="s">
        <v>87</v>
      </c>
      <c r="G5332">
        <v>1096</v>
      </c>
      <c r="H5332" t="s">
        <v>8953</v>
      </c>
      <c r="I5332" s="130">
        <v>3</v>
      </c>
      <c r="J5332" t="s">
        <v>6956</v>
      </c>
      <c r="K5332" t="s">
        <v>95</v>
      </c>
      <c r="L5332" t="s">
        <v>109</v>
      </c>
      <c r="M5332" t="s">
        <v>103</v>
      </c>
      <c r="N5332" t="s">
        <v>98</v>
      </c>
      <c r="O5332" t="s">
        <v>116</v>
      </c>
    </row>
    <row r="5333" spans="1:15" x14ac:dyDescent="0.3">
      <c r="A5333" s="130">
        <v>26383</v>
      </c>
      <c r="B5333" s="130">
        <v>30</v>
      </c>
      <c r="C5333" s="130" t="s">
        <v>6957</v>
      </c>
      <c r="D5333">
        <v>41427</v>
      </c>
      <c r="E5333" s="130">
        <v>33000167</v>
      </c>
      <c r="F5333" t="s">
        <v>87</v>
      </c>
      <c r="G5333">
        <v>1096</v>
      </c>
      <c r="H5333" t="s">
        <v>8951</v>
      </c>
      <c r="I5333" s="131">
        <v>18</v>
      </c>
      <c r="J5333" t="s">
        <v>6957</v>
      </c>
      <c r="K5333" t="s">
        <v>95</v>
      </c>
      <c r="L5333" t="s">
        <v>1293</v>
      </c>
      <c r="M5333" t="s">
        <v>103</v>
      </c>
      <c r="N5333" t="s">
        <v>114</v>
      </c>
      <c r="O5333" t="s">
        <v>1345</v>
      </c>
    </row>
    <row r="5334" spans="1:15" x14ac:dyDescent="0.3">
      <c r="A5334" s="130">
        <v>26384</v>
      </c>
      <c r="B5334" s="130">
        <v>10</v>
      </c>
      <c r="C5334" s="130" t="s">
        <v>6958</v>
      </c>
      <c r="D5334">
        <v>41411</v>
      </c>
      <c r="E5334" s="131">
        <v>8928273</v>
      </c>
      <c r="F5334" t="s">
        <v>87</v>
      </c>
      <c r="G5334">
        <v>1096</v>
      </c>
      <c r="H5334" t="s">
        <v>8952</v>
      </c>
      <c r="I5334" s="130">
        <v>3</v>
      </c>
      <c r="J5334" t="s">
        <v>6958</v>
      </c>
      <c r="K5334" t="s">
        <v>95</v>
      </c>
      <c r="L5334" t="s">
        <v>1293</v>
      </c>
      <c r="M5334" t="s">
        <v>133</v>
      </c>
      <c r="N5334" t="s">
        <v>124</v>
      </c>
      <c r="O5334" t="s">
        <v>116</v>
      </c>
    </row>
    <row r="5335" spans="1:15" x14ac:dyDescent="0.3">
      <c r="A5335" s="130">
        <v>26385</v>
      </c>
      <c r="B5335" s="130">
        <v>30</v>
      </c>
      <c r="C5335" s="130" t="s">
        <v>6959</v>
      </c>
      <c r="D5335">
        <v>41319</v>
      </c>
      <c r="E5335" s="130">
        <v>2864219</v>
      </c>
      <c r="F5335" t="s">
        <v>87</v>
      </c>
      <c r="G5335">
        <v>1096</v>
      </c>
      <c r="H5335" t="s">
        <v>8953</v>
      </c>
      <c r="I5335" s="130">
        <v>19</v>
      </c>
      <c r="J5335" t="s">
        <v>6959</v>
      </c>
      <c r="K5335" t="s">
        <v>108</v>
      </c>
      <c r="L5335" t="s">
        <v>252</v>
      </c>
      <c r="M5335" t="s">
        <v>103</v>
      </c>
      <c r="N5335" t="s">
        <v>98</v>
      </c>
      <c r="O5335" t="s">
        <v>116</v>
      </c>
    </row>
    <row r="5336" spans="1:15" x14ac:dyDescent="0.3">
      <c r="A5336" s="130">
        <v>26387</v>
      </c>
      <c r="B5336" s="130">
        <v>0</v>
      </c>
      <c r="C5336" s="130" t="s">
        <v>6960</v>
      </c>
      <c r="D5336">
        <v>41221</v>
      </c>
      <c r="E5336" s="131">
        <v>6037700</v>
      </c>
      <c r="F5336" t="s">
        <v>87</v>
      </c>
      <c r="G5336">
        <v>1096</v>
      </c>
      <c r="H5336" t="s">
        <v>8951</v>
      </c>
      <c r="I5336" s="131">
        <v>24</v>
      </c>
      <c r="J5336" t="s">
        <v>6960</v>
      </c>
      <c r="K5336" t="s">
        <v>108</v>
      </c>
      <c r="L5336" t="s">
        <v>191</v>
      </c>
      <c r="M5336" t="s">
        <v>100</v>
      </c>
      <c r="N5336" t="s">
        <v>114</v>
      </c>
      <c r="O5336" t="s">
        <v>116</v>
      </c>
    </row>
    <row r="5337" spans="1:15" x14ac:dyDescent="0.3">
      <c r="A5337" s="130">
        <v>26388</v>
      </c>
      <c r="B5337" s="130">
        <v>10</v>
      </c>
      <c r="C5337" s="130" t="s">
        <v>6961</v>
      </c>
      <c r="D5337">
        <v>41426</v>
      </c>
      <c r="E5337" s="131">
        <v>8928273</v>
      </c>
      <c r="F5337" t="s">
        <v>87</v>
      </c>
      <c r="G5337">
        <v>1096</v>
      </c>
      <c r="H5337" t="s">
        <v>8952</v>
      </c>
      <c r="I5337" s="130">
        <v>3</v>
      </c>
      <c r="J5337" t="s">
        <v>6961</v>
      </c>
      <c r="K5337" t="s">
        <v>95</v>
      </c>
      <c r="L5337" t="s">
        <v>1293</v>
      </c>
      <c r="M5337" t="s">
        <v>133</v>
      </c>
      <c r="N5337" t="s">
        <v>124</v>
      </c>
      <c r="O5337" t="s">
        <v>116</v>
      </c>
    </row>
    <row r="5338" spans="1:15" x14ac:dyDescent="0.3">
      <c r="A5338" s="130">
        <v>26389</v>
      </c>
      <c r="B5338" s="130">
        <v>10</v>
      </c>
      <c r="C5338" s="130" t="s">
        <v>6962</v>
      </c>
      <c r="D5338">
        <v>41434</v>
      </c>
      <c r="E5338" s="131">
        <v>8928273</v>
      </c>
      <c r="F5338" t="s">
        <v>87</v>
      </c>
      <c r="G5338">
        <v>1096</v>
      </c>
      <c r="H5338" t="s">
        <v>8953</v>
      </c>
      <c r="I5338" s="131">
        <v>3</v>
      </c>
      <c r="J5338" t="s">
        <v>6962</v>
      </c>
      <c r="K5338" t="s">
        <v>95</v>
      </c>
      <c r="L5338" t="s">
        <v>1293</v>
      </c>
      <c r="M5338" t="s">
        <v>133</v>
      </c>
      <c r="N5338" t="s">
        <v>124</v>
      </c>
      <c r="O5338" t="s">
        <v>116</v>
      </c>
    </row>
    <row r="5339" spans="1:15" x14ac:dyDescent="0.3">
      <c r="A5339" s="130">
        <v>26390</v>
      </c>
      <c r="B5339" s="130">
        <v>10</v>
      </c>
      <c r="C5339" s="130" t="s">
        <v>6963</v>
      </c>
      <c r="D5339">
        <v>41432</v>
      </c>
      <c r="E5339" s="130">
        <v>8928273</v>
      </c>
      <c r="F5339" t="s">
        <v>87</v>
      </c>
      <c r="G5339">
        <v>1096</v>
      </c>
      <c r="H5339" t="s">
        <v>8951</v>
      </c>
      <c r="I5339" s="130">
        <v>3</v>
      </c>
      <c r="J5339" t="s">
        <v>6963</v>
      </c>
      <c r="K5339" t="s">
        <v>95</v>
      </c>
      <c r="L5339" t="s">
        <v>1293</v>
      </c>
      <c r="M5339" t="s">
        <v>133</v>
      </c>
      <c r="N5339" t="s">
        <v>124</v>
      </c>
      <c r="O5339" t="s">
        <v>116</v>
      </c>
    </row>
    <row r="5340" spans="1:15" x14ac:dyDescent="0.3">
      <c r="A5340" s="130">
        <v>26391</v>
      </c>
      <c r="B5340" s="130">
        <v>10</v>
      </c>
      <c r="C5340" s="130" t="s">
        <v>6964</v>
      </c>
      <c r="D5340">
        <v>41436</v>
      </c>
      <c r="E5340" s="131">
        <v>8928273</v>
      </c>
      <c r="F5340" t="s">
        <v>87</v>
      </c>
      <c r="G5340">
        <v>1096</v>
      </c>
      <c r="H5340" t="s">
        <v>8952</v>
      </c>
      <c r="I5340" s="130">
        <v>3</v>
      </c>
      <c r="J5340" t="s">
        <v>6964</v>
      </c>
      <c r="K5340" t="s">
        <v>95</v>
      </c>
      <c r="L5340" t="s">
        <v>1293</v>
      </c>
      <c r="M5340" t="s">
        <v>133</v>
      </c>
      <c r="N5340" t="s">
        <v>124</v>
      </c>
      <c r="O5340" t="s">
        <v>116</v>
      </c>
    </row>
    <row r="5341" spans="1:15" x14ac:dyDescent="0.3">
      <c r="A5341" s="130">
        <v>26392</v>
      </c>
      <c r="B5341" s="130">
        <v>45</v>
      </c>
      <c r="C5341" s="130" t="s">
        <v>6965</v>
      </c>
      <c r="D5341">
        <v>41382</v>
      </c>
      <c r="E5341" s="130">
        <v>13812133</v>
      </c>
      <c r="F5341" t="s">
        <v>87</v>
      </c>
      <c r="G5341">
        <v>1096</v>
      </c>
      <c r="H5341" t="s">
        <v>8953</v>
      </c>
      <c r="I5341" s="131">
        <v>26</v>
      </c>
      <c r="J5341" t="s">
        <v>6965</v>
      </c>
      <c r="K5341" t="s">
        <v>108</v>
      </c>
      <c r="L5341" t="s">
        <v>151</v>
      </c>
      <c r="M5341" t="s">
        <v>106</v>
      </c>
      <c r="N5341" t="s">
        <v>114</v>
      </c>
      <c r="O5341" t="s">
        <v>116</v>
      </c>
    </row>
    <row r="5342" spans="1:15" x14ac:dyDescent="0.3">
      <c r="A5342" s="130">
        <v>26394</v>
      </c>
      <c r="B5342" s="130">
        <v>30</v>
      </c>
      <c r="C5342" s="130" t="s">
        <v>6966</v>
      </c>
      <c r="D5342">
        <v>41351</v>
      </c>
      <c r="E5342" s="131">
        <v>37235077</v>
      </c>
      <c r="F5342" t="s">
        <v>87</v>
      </c>
      <c r="G5342">
        <v>1096</v>
      </c>
      <c r="H5342" t="s">
        <v>8951</v>
      </c>
      <c r="I5342" s="130">
        <v>19</v>
      </c>
      <c r="J5342" t="s">
        <v>6966</v>
      </c>
      <c r="K5342" t="s">
        <v>108</v>
      </c>
      <c r="L5342" t="s">
        <v>252</v>
      </c>
      <c r="M5342" t="s">
        <v>103</v>
      </c>
      <c r="N5342" t="s">
        <v>98</v>
      </c>
      <c r="O5342" t="s">
        <v>116</v>
      </c>
    </row>
    <row r="5343" spans="1:15" x14ac:dyDescent="0.3">
      <c r="A5343" s="130">
        <v>26395</v>
      </c>
      <c r="B5343" s="130">
        <v>60</v>
      </c>
      <c r="C5343" s="130" t="s">
        <v>6967</v>
      </c>
      <c r="D5343">
        <v>40965</v>
      </c>
      <c r="E5343" s="131">
        <v>3130160</v>
      </c>
      <c r="F5343" t="s">
        <v>87</v>
      </c>
      <c r="G5343">
        <v>1096</v>
      </c>
      <c r="H5343" t="s">
        <v>8952</v>
      </c>
      <c r="I5343" s="130">
        <v>43</v>
      </c>
      <c r="J5343" t="s">
        <v>6967</v>
      </c>
      <c r="K5343" t="s">
        <v>95</v>
      </c>
      <c r="L5343" t="s">
        <v>111</v>
      </c>
      <c r="M5343" t="s">
        <v>97</v>
      </c>
      <c r="N5343" t="s">
        <v>98</v>
      </c>
      <c r="O5343" t="s">
        <v>116</v>
      </c>
    </row>
    <row r="5344" spans="1:15" x14ac:dyDescent="0.3">
      <c r="A5344" s="130">
        <v>26396</v>
      </c>
      <c r="B5344" s="130">
        <v>60</v>
      </c>
      <c r="C5344" s="130" t="s">
        <v>6968</v>
      </c>
      <c r="D5344">
        <v>40991</v>
      </c>
      <c r="E5344" s="130">
        <v>3130160</v>
      </c>
      <c r="F5344" t="s">
        <v>87</v>
      </c>
      <c r="G5344">
        <v>1096</v>
      </c>
      <c r="H5344" t="s">
        <v>8953</v>
      </c>
      <c r="I5344" s="130">
        <v>43</v>
      </c>
      <c r="J5344" t="s">
        <v>6968</v>
      </c>
      <c r="K5344" t="s">
        <v>95</v>
      </c>
      <c r="L5344" t="s">
        <v>111</v>
      </c>
      <c r="M5344" t="s">
        <v>97</v>
      </c>
      <c r="N5344" t="s">
        <v>98</v>
      </c>
      <c r="O5344" t="s">
        <v>116</v>
      </c>
    </row>
    <row r="5345" spans="1:15" x14ac:dyDescent="0.3">
      <c r="A5345" s="130">
        <v>26397</v>
      </c>
      <c r="B5345" s="130">
        <v>10</v>
      </c>
      <c r="C5345" s="130" t="s">
        <v>6969</v>
      </c>
      <c r="D5345">
        <v>41055</v>
      </c>
      <c r="E5345" s="130">
        <v>92779503</v>
      </c>
      <c r="F5345" t="s">
        <v>87</v>
      </c>
      <c r="G5345">
        <v>1096</v>
      </c>
      <c r="H5345" t="s">
        <v>8951</v>
      </c>
      <c r="I5345" s="131">
        <v>24</v>
      </c>
      <c r="J5345" t="s">
        <v>6969</v>
      </c>
      <c r="K5345" t="s">
        <v>108</v>
      </c>
      <c r="L5345" t="s">
        <v>1293</v>
      </c>
      <c r="M5345" t="s">
        <v>133</v>
      </c>
      <c r="N5345" t="s">
        <v>98</v>
      </c>
      <c r="O5345" t="s">
        <v>116</v>
      </c>
    </row>
    <row r="5346" spans="1:15" x14ac:dyDescent="0.3">
      <c r="A5346" s="130">
        <v>26398</v>
      </c>
      <c r="B5346" s="130">
        <v>10</v>
      </c>
      <c r="C5346" s="130" t="s">
        <v>6970</v>
      </c>
      <c r="D5346">
        <v>41158</v>
      </c>
      <c r="E5346" s="131">
        <v>39740084</v>
      </c>
      <c r="F5346" t="s">
        <v>87</v>
      </c>
      <c r="G5346">
        <v>1096</v>
      </c>
      <c r="H5346" t="s">
        <v>8952</v>
      </c>
      <c r="I5346" s="131">
        <v>9</v>
      </c>
      <c r="J5346" t="s">
        <v>6970</v>
      </c>
      <c r="K5346" t="s">
        <v>108</v>
      </c>
      <c r="L5346" t="s">
        <v>1298</v>
      </c>
      <c r="M5346" t="s">
        <v>133</v>
      </c>
      <c r="N5346" t="s">
        <v>98</v>
      </c>
      <c r="O5346" t="s">
        <v>116</v>
      </c>
    </row>
    <row r="5347" spans="1:15" x14ac:dyDescent="0.3">
      <c r="A5347" s="130">
        <v>26399</v>
      </c>
      <c r="B5347" s="130">
        <v>10</v>
      </c>
      <c r="C5347" s="130" t="s">
        <v>6971</v>
      </c>
      <c r="D5347">
        <v>40980</v>
      </c>
      <c r="E5347" s="130">
        <v>92779503</v>
      </c>
      <c r="F5347" t="s">
        <v>87</v>
      </c>
      <c r="G5347">
        <v>1096</v>
      </c>
      <c r="H5347" t="s">
        <v>8953</v>
      </c>
      <c r="I5347" s="130">
        <v>24</v>
      </c>
      <c r="J5347" t="s">
        <v>6971</v>
      </c>
      <c r="K5347" t="s">
        <v>95</v>
      </c>
      <c r="L5347" t="s">
        <v>1293</v>
      </c>
      <c r="M5347" t="s">
        <v>133</v>
      </c>
      <c r="N5347" t="s">
        <v>98</v>
      </c>
      <c r="O5347" t="s">
        <v>116</v>
      </c>
    </row>
    <row r="5348" spans="1:15" x14ac:dyDescent="0.3">
      <c r="A5348" s="130">
        <v>26400</v>
      </c>
      <c r="B5348" s="130">
        <v>30</v>
      </c>
      <c r="C5348" s="130" t="s">
        <v>6972</v>
      </c>
      <c r="D5348">
        <v>41524</v>
      </c>
      <c r="E5348" s="130">
        <v>9625762</v>
      </c>
      <c r="F5348" t="s">
        <v>87</v>
      </c>
      <c r="G5348">
        <v>32947</v>
      </c>
      <c r="H5348" t="s">
        <v>8951</v>
      </c>
      <c r="I5348" s="131">
        <v>19</v>
      </c>
      <c r="J5348" t="s">
        <v>6972</v>
      </c>
      <c r="K5348" t="s">
        <v>95</v>
      </c>
      <c r="L5348" t="s">
        <v>1241</v>
      </c>
      <c r="M5348" t="s">
        <v>103</v>
      </c>
      <c r="N5348" t="s">
        <v>150</v>
      </c>
      <c r="O5348" t="s">
        <v>116</v>
      </c>
    </row>
    <row r="5349" spans="1:15" x14ac:dyDescent="0.3">
      <c r="A5349" s="130">
        <v>26401</v>
      </c>
      <c r="B5349" s="130">
        <v>21</v>
      </c>
      <c r="C5349" s="130" t="s">
        <v>6973</v>
      </c>
      <c r="D5349">
        <v>41425</v>
      </c>
      <c r="E5349" s="131">
        <v>8928273</v>
      </c>
      <c r="F5349" t="s">
        <v>87</v>
      </c>
      <c r="G5349">
        <v>1096</v>
      </c>
      <c r="H5349" t="s">
        <v>8952</v>
      </c>
      <c r="I5349" s="131">
        <v>3</v>
      </c>
      <c r="J5349" t="s">
        <v>6973</v>
      </c>
      <c r="K5349" t="s">
        <v>95</v>
      </c>
      <c r="L5349" t="s">
        <v>1293</v>
      </c>
      <c r="M5349" t="s">
        <v>137</v>
      </c>
      <c r="N5349" t="s">
        <v>124</v>
      </c>
      <c r="O5349" t="s">
        <v>116</v>
      </c>
    </row>
    <row r="5350" spans="1:15" x14ac:dyDescent="0.3">
      <c r="A5350" s="130">
        <v>26402</v>
      </c>
      <c r="B5350" s="130">
        <v>30</v>
      </c>
      <c r="C5350" s="130" t="s">
        <v>6974</v>
      </c>
      <c r="D5350">
        <v>41306</v>
      </c>
      <c r="E5350" s="131">
        <v>1424017</v>
      </c>
      <c r="F5350" t="s">
        <v>87</v>
      </c>
      <c r="G5350">
        <v>1096</v>
      </c>
      <c r="H5350" t="s">
        <v>8953</v>
      </c>
      <c r="I5350" s="131">
        <v>43</v>
      </c>
      <c r="J5350" t="s">
        <v>6974</v>
      </c>
      <c r="K5350" t="s">
        <v>95</v>
      </c>
      <c r="L5350" t="s">
        <v>111</v>
      </c>
      <c r="M5350" t="s">
        <v>103</v>
      </c>
      <c r="N5350" t="s">
        <v>98</v>
      </c>
      <c r="O5350" t="s">
        <v>116</v>
      </c>
    </row>
    <row r="5351" spans="1:15" x14ac:dyDescent="0.3">
      <c r="A5351" s="130">
        <v>26403</v>
      </c>
      <c r="B5351" s="130">
        <v>30</v>
      </c>
      <c r="C5351" s="130" t="s">
        <v>6975</v>
      </c>
      <c r="D5351">
        <v>41211</v>
      </c>
      <c r="E5351" s="131">
        <v>54097839</v>
      </c>
      <c r="F5351" t="s">
        <v>87</v>
      </c>
      <c r="G5351">
        <v>1096</v>
      </c>
      <c r="H5351" t="s">
        <v>8951</v>
      </c>
      <c r="I5351" s="130">
        <v>38</v>
      </c>
      <c r="J5351" t="s">
        <v>6975</v>
      </c>
      <c r="K5351" t="s">
        <v>108</v>
      </c>
      <c r="L5351" t="s">
        <v>126</v>
      </c>
      <c r="M5351" t="s">
        <v>103</v>
      </c>
      <c r="N5351" t="s">
        <v>101</v>
      </c>
      <c r="O5351" t="s">
        <v>116</v>
      </c>
    </row>
    <row r="5352" spans="1:15" x14ac:dyDescent="0.3">
      <c r="A5352" s="130">
        <v>26404</v>
      </c>
      <c r="B5352" s="130">
        <v>10</v>
      </c>
      <c r="C5352" s="130" t="s">
        <v>6976</v>
      </c>
      <c r="D5352">
        <v>41599</v>
      </c>
      <c r="E5352" s="130">
        <v>92779503</v>
      </c>
      <c r="F5352" t="s">
        <v>87</v>
      </c>
      <c r="G5352">
        <v>32947</v>
      </c>
      <c r="H5352" t="s">
        <v>8952</v>
      </c>
      <c r="I5352" s="130">
        <v>24</v>
      </c>
      <c r="J5352" t="s">
        <v>6976</v>
      </c>
      <c r="K5352" t="s">
        <v>95</v>
      </c>
      <c r="L5352" t="s">
        <v>1293</v>
      </c>
      <c r="M5352" t="s">
        <v>133</v>
      </c>
      <c r="N5352" t="s">
        <v>98</v>
      </c>
      <c r="O5352" t="s">
        <v>116</v>
      </c>
    </row>
    <row r="5353" spans="1:15" x14ac:dyDescent="0.3">
      <c r="A5353" s="130">
        <v>26405</v>
      </c>
      <c r="B5353" s="130">
        <v>28</v>
      </c>
      <c r="C5353" s="130" t="s">
        <v>6977</v>
      </c>
      <c r="D5353">
        <v>41615</v>
      </c>
      <c r="E5353" s="130">
        <v>40263170</v>
      </c>
      <c r="F5353" t="s">
        <v>87</v>
      </c>
      <c r="G5353">
        <v>32947</v>
      </c>
      <c r="H5353" t="s">
        <v>8953</v>
      </c>
      <c r="I5353" s="131">
        <v>18</v>
      </c>
      <c r="J5353" t="s">
        <v>6977</v>
      </c>
      <c r="K5353" t="s">
        <v>95</v>
      </c>
      <c r="L5353" t="s">
        <v>253</v>
      </c>
      <c r="M5353" t="s">
        <v>130</v>
      </c>
      <c r="N5353" t="s">
        <v>132</v>
      </c>
      <c r="O5353" t="s">
        <v>116</v>
      </c>
    </row>
    <row r="5354" spans="1:15" x14ac:dyDescent="0.3">
      <c r="A5354" s="130">
        <v>26407</v>
      </c>
      <c r="B5354" s="130">
        <v>30</v>
      </c>
      <c r="C5354" s="130" t="s">
        <v>6978</v>
      </c>
      <c r="D5354">
        <v>41556</v>
      </c>
      <c r="E5354" s="131">
        <v>37325799</v>
      </c>
      <c r="F5354" t="s">
        <v>87</v>
      </c>
      <c r="G5354">
        <v>1096</v>
      </c>
      <c r="H5354" t="s">
        <v>8951</v>
      </c>
      <c r="I5354" s="130">
        <v>18</v>
      </c>
      <c r="J5354" t="s">
        <v>6978</v>
      </c>
      <c r="K5354" t="s">
        <v>95</v>
      </c>
      <c r="L5354" t="s">
        <v>123</v>
      </c>
      <c r="M5354" t="s">
        <v>103</v>
      </c>
      <c r="N5354" t="s">
        <v>98</v>
      </c>
      <c r="O5354" t="s">
        <v>116</v>
      </c>
    </row>
    <row r="5355" spans="1:15" x14ac:dyDescent="0.3">
      <c r="A5355" s="130">
        <v>26408</v>
      </c>
      <c r="B5355" s="130">
        <v>30</v>
      </c>
      <c r="C5355" s="130" t="s">
        <v>6979</v>
      </c>
      <c r="D5355">
        <v>41508</v>
      </c>
      <c r="E5355" s="130">
        <v>3152281</v>
      </c>
      <c r="F5355" t="s">
        <v>87</v>
      </c>
      <c r="G5355">
        <v>1096</v>
      </c>
      <c r="H5355" t="s">
        <v>8952</v>
      </c>
      <c r="I5355" s="130">
        <v>9</v>
      </c>
      <c r="J5355" t="s">
        <v>6979</v>
      </c>
      <c r="K5355" t="s">
        <v>95</v>
      </c>
      <c r="L5355" t="s">
        <v>163</v>
      </c>
      <c r="M5355" t="s">
        <v>103</v>
      </c>
      <c r="N5355" t="s">
        <v>118</v>
      </c>
      <c r="O5355" t="s">
        <v>116</v>
      </c>
    </row>
    <row r="5356" spans="1:15" x14ac:dyDescent="0.3">
      <c r="A5356" s="130">
        <v>26409</v>
      </c>
      <c r="B5356" s="130">
        <v>30</v>
      </c>
      <c r="C5356" s="130" t="s">
        <v>6980</v>
      </c>
      <c r="D5356">
        <v>41422</v>
      </c>
      <c r="E5356" s="130">
        <v>48426169</v>
      </c>
      <c r="F5356" t="s">
        <v>87</v>
      </c>
      <c r="G5356">
        <v>1096</v>
      </c>
      <c r="H5356" t="s">
        <v>8953</v>
      </c>
      <c r="I5356" s="130">
        <v>18</v>
      </c>
      <c r="J5356" t="s">
        <v>6980</v>
      </c>
      <c r="K5356" t="s">
        <v>95</v>
      </c>
      <c r="L5356" t="s">
        <v>123</v>
      </c>
      <c r="M5356" t="s">
        <v>103</v>
      </c>
      <c r="N5356" t="s">
        <v>98</v>
      </c>
      <c r="O5356" t="s">
        <v>116</v>
      </c>
    </row>
    <row r="5357" spans="1:15" x14ac:dyDescent="0.3">
      <c r="A5357" s="130">
        <v>26411</v>
      </c>
      <c r="B5357" s="130">
        <v>30</v>
      </c>
      <c r="C5357" s="130" t="s">
        <v>6981</v>
      </c>
      <c r="D5357">
        <v>41589</v>
      </c>
      <c r="E5357" s="130">
        <v>7308747</v>
      </c>
      <c r="F5357" t="s">
        <v>87</v>
      </c>
      <c r="G5357">
        <v>1096</v>
      </c>
      <c r="H5357" t="s">
        <v>8951</v>
      </c>
      <c r="I5357" s="130">
        <v>38</v>
      </c>
      <c r="J5357" t="s">
        <v>6981</v>
      </c>
      <c r="K5357" t="s">
        <v>108</v>
      </c>
      <c r="L5357" t="s">
        <v>126</v>
      </c>
      <c r="M5357" t="s">
        <v>103</v>
      </c>
      <c r="N5357" t="s">
        <v>98</v>
      </c>
      <c r="O5357" t="s">
        <v>116</v>
      </c>
    </row>
    <row r="5358" spans="1:15" x14ac:dyDescent="0.3">
      <c r="A5358" s="130">
        <v>26412</v>
      </c>
      <c r="B5358" s="130">
        <v>30</v>
      </c>
      <c r="C5358" s="130" t="s">
        <v>6982</v>
      </c>
      <c r="D5358">
        <v>41239</v>
      </c>
      <c r="E5358" s="130">
        <v>37364162</v>
      </c>
      <c r="F5358" t="s">
        <v>87</v>
      </c>
      <c r="G5358">
        <v>1096</v>
      </c>
      <c r="H5358" t="s">
        <v>8952</v>
      </c>
      <c r="I5358" s="131">
        <v>19</v>
      </c>
      <c r="J5358" t="s">
        <v>6982</v>
      </c>
      <c r="K5358" t="s">
        <v>108</v>
      </c>
      <c r="L5358" t="s">
        <v>146</v>
      </c>
      <c r="M5358" t="s">
        <v>103</v>
      </c>
      <c r="N5358" t="s">
        <v>98</v>
      </c>
      <c r="O5358" t="s">
        <v>116</v>
      </c>
    </row>
    <row r="5359" spans="1:15" x14ac:dyDescent="0.3">
      <c r="A5359" s="130">
        <v>26413</v>
      </c>
      <c r="B5359" s="130">
        <v>30</v>
      </c>
      <c r="C5359" s="130" t="s">
        <v>6983</v>
      </c>
      <c r="D5359">
        <v>41365</v>
      </c>
      <c r="E5359" s="130">
        <v>42909339</v>
      </c>
      <c r="F5359" t="s">
        <v>87</v>
      </c>
      <c r="G5359">
        <v>1096</v>
      </c>
      <c r="H5359" t="s">
        <v>8953</v>
      </c>
      <c r="I5359" s="131">
        <v>18</v>
      </c>
      <c r="J5359" t="s">
        <v>6983</v>
      </c>
      <c r="K5359" t="s">
        <v>95</v>
      </c>
      <c r="L5359" t="s">
        <v>123</v>
      </c>
      <c r="M5359" t="s">
        <v>103</v>
      </c>
      <c r="N5359" t="s">
        <v>98</v>
      </c>
      <c r="O5359" t="s">
        <v>116</v>
      </c>
    </row>
    <row r="5360" spans="1:15" x14ac:dyDescent="0.3">
      <c r="A5360" s="130">
        <v>26414</v>
      </c>
      <c r="B5360" s="130">
        <v>60</v>
      </c>
      <c r="C5360" s="130" t="s">
        <v>6984</v>
      </c>
      <c r="D5360">
        <v>41678</v>
      </c>
      <c r="E5360" s="130">
        <v>6147451</v>
      </c>
      <c r="F5360" t="s">
        <v>87</v>
      </c>
      <c r="G5360">
        <v>76</v>
      </c>
      <c r="H5360" t="s">
        <v>8951</v>
      </c>
      <c r="I5360" s="131">
        <v>24</v>
      </c>
      <c r="J5360" t="s">
        <v>6984</v>
      </c>
      <c r="K5360" t="s">
        <v>95</v>
      </c>
      <c r="L5360" t="s">
        <v>191</v>
      </c>
      <c r="M5360" t="s">
        <v>97</v>
      </c>
      <c r="N5360" t="s">
        <v>114</v>
      </c>
      <c r="O5360" t="s">
        <v>244</v>
      </c>
    </row>
    <row r="5361" spans="1:15" x14ac:dyDescent="0.3">
      <c r="A5361" s="130">
        <v>26415</v>
      </c>
      <c r="B5361" s="130">
        <v>18</v>
      </c>
      <c r="C5361" s="130" t="s">
        <v>6985</v>
      </c>
      <c r="D5361">
        <v>41682</v>
      </c>
      <c r="E5361" s="130">
        <v>20239662</v>
      </c>
      <c r="F5361" t="s">
        <v>87</v>
      </c>
      <c r="G5361">
        <v>76</v>
      </c>
      <c r="H5361" t="s">
        <v>8952</v>
      </c>
      <c r="I5361" s="130">
        <v>10</v>
      </c>
      <c r="J5361" t="s">
        <v>6985</v>
      </c>
      <c r="K5361" t="s">
        <v>95</v>
      </c>
      <c r="M5361" t="s">
        <v>112</v>
      </c>
      <c r="N5361" t="s">
        <v>98</v>
      </c>
      <c r="O5361" t="s">
        <v>1256</v>
      </c>
    </row>
    <row r="5362" spans="1:15" x14ac:dyDescent="0.3">
      <c r="A5362" s="130">
        <v>26416</v>
      </c>
      <c r="B5362" s="130">
        <v>90</v>
      </c>
      <c r="C5362" s="130" t="s">
        <v>6986</v>
      </c>
      <c r="D5362">
        <v>41607</v>
      </c>
      <c r="E5362" s="131">
        <v>655209</v>
      </c>
      <c r="F5362" t="s">
        <v>87</v>
      </c>
      <c r="G5362">
        <v>1096</v>
      </c>
      <c r="H5362" t="s">
        <v>8953</v>
      </c>
      <c r="I5362" s="131">
        <v>9</v>
      </c>
      <c r="J5362" t="s">
        <v>6986</v>
      </c>
      <c r="K5362" t="s">
        <v>95</v>
      </c>
      <c r="L5362" t="s">
        <v>1298</v>
      </c>
      <c r="M5362" t="s">
        <v>170</v>
      </c>
      <c r="N5362" t="s">
        <v>118</v>
      </c>
      <c r="O5362" t="s">
        <v>116</v>
      </c>
    </row>
    <row r="5363" spans="1:15" x14ac:dyDescent="0.3">
      <c r="A5363" s="130">
        <v>26417</v>
      </c>
      <c r="B5363" s="130">
        <v>10</v>
      </c>
      <c r="C5363" s="130" t="s">
        <v>6987</v>
      </c>
      <c r="D5363">
        <v>41520</v>
      </c>
      <c r="E5363" s="130">
        <v>6885761</v>
      </c>
      <c r="F5363" t="s">
        <v>87</v>
      </c>
      <c r="G5363">
        <v>1096</v>
      </c>
      <c r="H5363" t="s">
        <v>8951</v>
      </c>
      <c r="I5363" s="130">
        <v>3</v>
      </c>
      <c r="J5363" t="s">
        <v>6987</v>
      </c>
      <c r="K5363" t="s">
        <v>108</v>
      </c>
      <c r="L5363" t="s">
        <v>193</v>
      </c>
      <c r="M5363" t="s">
        <v>133</v>
      </c>
      <c r="N5363" t="s">
        <v>98</v>
      </c>
      <c r="O5363" t="s">
        <v>116</v>
      </c>
    </row>
    <row r="5364" spans="1:15" x14ac:dyDescent="0.3">
      <c r="A5364" s="130">
        <v>26418</v>
      </c>
      <c r="B5364" s="130">
        <v>30</v>
      </c>
      <c r="C5364" s="130" t="s">
        <v>6988</v>
      </c>
      <c r="D5364">
        <v>41152</v>
      </c>
      <c r="E5364" s="130">
        <v>10763773</v>
      </c>
      <c r="F5364" t="s">
        <v>87</v>
      </c>
      <c r="G5364">
        <v>1096</v>
      </c>
      <c r="H5364" t="s">
        <v>8952</v>
      </c>
      <c r="I5364" s="130">
        <v>9</v>
      </c>
      <c r="J5364" t="s">
        <v>6988</v>
      </c>
      <c r="K5364" t="s">
        <v>95</v>
      </c>
      <c r="L5364" t="s">
        <v>111</v>
      </c>
      <c r="M5364" t="s">
        <v>103</v>
      </c>
      <c r="N5364" t="s">
        <v>114</v>
      </c>
      <c r="O5364" t="s">
        <v>116</v>
      </c>
    </row>
    <row r="5365" spans="1:15" x14ac:dyDescent="0.3">
      <c r="A5365" s="130">
        <v>26419</v>
      </c>
      <c r="B5365" s="130" t="s">
        <v>135</v>
      </c>
      <c r="C5365" s="130" t="s">
        <v>6989</v>
      </c>
      <c r="D5365">
        <v>41136</v>
      </c>
      <c r="E5365" s="130">
        <v>83646547</v>
      </c>
      <c r="F5365" t="s">
        <v>87</v>
      </c>
      <c r="G5365">
        <v>1096</v>
      </c>
      <c r="H5365" t="s">
        <v>8953</v>
      </c>
      <c r="I5365" s="131">
        <v>10</v>
      </c>
      <c r="J5365" t="s">
        <v>6989</v>
      </c>
      <c r="K5365" t="s">
        <v>95</v>
      </c>
      <c r="L5365" t="s">
        <v>111</v>
      </c>
      <c r="M5365" t="s">
        <v>136</v>
      </c>
      <c r="N5365" t="s">
        <v>114</v>
      </c>
      <c r="O5365" t="s">
        <v>116</v>
      </c>
    </row>
    <row r="5366" spans="1:15" x14ac:dyDescent="0.3">
      <c r="A5366" s="130">
        <v>26420</v>
      </c>
      <c r="B5366" s="130">
        <v>18</v>
      </c>
      <c r="C5366" s="130" t="s">
        <v>6990</v>
      </c>
      <c r="D5366">
        <v>41451</v>
      </c>
      <c r="E5366" s="130">
        <v>472355</v>
      </c>
      <c r="F5366" t="s">
        <v>87</v>
      </c>
      <c r="G5366">
        <v>32947</v>
      </c>
      <c r="H5366" t="s">
        <v>8951</v>
      </c>
      <c r="I5366" s="130">
        <v>9</v>
      </c>
      <c r="J5366" t="s">
        <v>6990</v>
      </c>
      <c r="K5366" t="s">
        <v>95</v>
      </c>
      <c r="L5366" t="s">
        <v>163</v>
      </c>
      <c r="M5366" t="s">
        <v>112</v>
      </c>
      <c r="N5366" t="s">
        <v>98</v>
      </c>
      <c r="O5366" t="s">
        <v>116</v>
      </c>
    </row>
    <row r="5367" spans="1:15" x14ac:dyDescent="0.3">
      <c r="A5367" s="130">
        <v>26421</v>
      </c>
      <c r="B5367" s="130">
        <v>30</v>
      </c>
      <c r="C5367" s="130" t="s">
        <v>6991</v>
      </c>
      <c r="D5367">
        <v>40890</v>
      </c>
      <c r="E5367" s="130">
        <v>52480015</v>
      </c>
      <c r="F5367" t="s">
        <v>87</v>
      </c>
      <c r="G5367">
        <v>1096</v>
      </c>
      <c r="H5367" t="s">
        <v>8952</v>
      </c>
      <c r="I5367" s="130">
        <v>24</v>
      </c>
      <c r="J5367" t="s">
        <v>6991</v>
      </c>
      <c r="K5367" t="s">
        <v>95</v>
      </c>
      <c r="L5367" t="s">
        <v>240</v>
      </c>
      <c r="M5367" t="s">
        <v>103</v>
      </c>
      <c r="O5367" t="s">
        <v>116</v>
      </c>
    </row>
    <row r="5368" spans="1:15" x14ac:dyDescent="0.3">
      <c r="A5368" s="130">
        <v>26422</v>
      </c>
      <c r="B5368" s="130">
        <v>30</v>
      </c>
      <c r="C5368" s="130" t="s">
        <v>6992</v>
      </c>
      <c r="D5368">
        <v>40876</v>
      </c>
      <c r="E5368" s="130">
        <v>23341686</v>
      </c>
      <c r="F5368" t="s">
        <v>87</v>
      </c>
      <c r="G5368">
        <v>1096</v>
      </c>
      <c r="H5368" t="s">
        <v>8953</v>
      </c>
      <c r="I5368" s="131">
        <v>18</v>
      </c>
      <c r="J5368" t="s">
        <v>6992</v>
      </c>
      <c r="K5368" t="s">
        <v>108</v>
      </c>
      <c r="L5368" t="s">
        <v>123</v>
      </c>
      <c r="M5368" t="s">
        <v>103</v>
      </c>
      <c r="N5368" t="s">
        <v>114</v>
      </c>
      <c r="O5368" t="s">
        <v>116</v>
      </c>
    </row>
    <row r="5369" spans="1:15" x14ac:dyDescent="0.3">
      <c r="A5369" s="130">
        <v>26423</v>
      </c>
      <c r="B5369" s="130">
        <v>30</v>
      </c>
      <c r="C5369" s="130" t="s">
        <v>6993</v>
      </c>
      <c r="D5369">
        <v>40787</v>
      </c>
      <c r="E5369" s="130">
        <v>20700368</v>
      </c>
      <c r="F5369" t="s">
        <v>87</v>
      </c>
      <c r="G5369">
        <v>76</v>
      </c>
      <c r="H5369" t="s">
        <v>8951</v>
      </c>
      <c r="I5369" s="130">
        <v>9</v>
      </c>
      <c r="J5369" t="s">
        <v>6993</v>
      </c>
      <c r="K5369" t="s">
        <v>108</v>
      </c>
      <c r="L5369" t="s">
        <v>163</v>
      </c>
      <c r="M5369" t="s">
        <v>103</v>
      </c>
      <c r="N5369" t="s">
        <v>114</v>
      </c>
      <c r="O5369" t="s">
        <v>116</v>
      </c>
    </row>
    <row r="5370" spans="1:15" x14ac:dyDescent="0.3">
      <c r="A5370" s="130">
        <v>26424</v>
      </c>
      <c r="B5370" s="130">
        <v>30</v>
      </c>
      <c r="C5370" s="130" t="s">
        <v>6994</v>
      </c>
      <c r="D5370">
        <v>41751</v>
      </c>
      <c r="E5370" s="131">
        <v>21854112</v>
      </c>
      <c r="F5370" t="s">
        <v>87</v>
      </c>
      <c r="G5370">
        <v>1096</v>
      </c>
      <c r="H5370" t="s">
        <v>8952</v>
      </c>
      <c r="I5370" s="130">
        <v>3</v>
      </c>
      <c r="J5370" t="s">
        <v>6994</v>
      </c>
      <c r="K5370" t="s">
        <v>108</v>
      </c>
      <c r="L5370" t="s">
        <v>111</v>
      </c>
      <c r="M5370" t="s">
        <v>103</v>
      </c>
      <c r="N5370" t="s">
        <v>114</v>
      </c>
      <c r="O5370" t="s">
        <v>116</v>
      </c>
    </row>
    <row r="5371" spans="1:15" x14ac:dyDescent="0.3">
      <c r="A5371" s="130">
        <v>26425</v>
      </c>
      <c r="B5371" s="130">
        <v>18</v>
      </c>
      <c r="C5371" s="130" t="s">
        <v>6995</v>
      </c>
      <c r="D5371">
        <v>41826</v>
      </c>
      <c r="E5371" s="130">
        <v>3353341</v>
      </c>
      <c r="F5371" t="s">
        <v>87</v>
      </c>
      <c r="G5371">
        <v>32947</v>
      </c>
      <c r="H5371" t="s">
        <v>8953</v>
      </c>
      <c r="I5371" s="131">
        <v>3</v>
      </c>
      <c r="J5371" t="s">
        <v>6995</v>
      </c>
      <c r="K5371" t="s">
        <v>95</v>
      </c>
      <c r="L5371" t="s">
        <v>193</v>
      </c>
      <c r="M5371" t="s">
        <v>112</v>
      </c>
      <c r="N5371" t="s">
        <v>98</v>
      </c>
      <c r="O5371" t="s">
        <v>116</v>
      </c>
    </row>
    <row r="5372" spans="1:15" x14ac:dyDescent="0.3">
      <c r="A5372" s="130">
        <v>26426</v>
      </c>
      <c r="B5372" s="130">
        <v>30</v>
      </c>
      <c r="C5372" s="130" t="s">
        <v>6996</v>
      </c>
      <c r="D5372">
        <v>41586</v>
      </c>
      <c r="E5372" s="130">
        <v>10242636</v>
      </c>
      <c r="F5372" t="s">
        <v>87</v>
      </c>
      <c r="G5372">
        <v>76</v>
      </c>
      <c r="H5372" t="s">
        <v>8951</v>
      </c>
      <c r="I5372" s="130">
        <v>10</v>
      </c>
      <c r="J5372" t="s">
        <v>6996</v>
      </c>
      <c r="K5372" t="s">
        <v>95</v>
      </c>
      <c r="L5372" t="s">
        <v>127</v>
      </c>
      <c r="M5372" t="s">
        <v>103</v>
      </c>
      <c r="N5372" t="s">
        <v>118</v>
      </c>
      <c r="O5372" t="s">
        <v>116</v>
      </c>
    </row>
    <row r="5373" spans="1:15" x14ac:dyDescent="0.3">
      <c r="A5373" s="130">
        <v>26427</v>
      </c>
      <c r="B5373" s="130">
        <v>30</v>
      </c>
      <c r="C5373" s="130" t="s">
        <v>6997</v>
      </c>
      <c r="D5373">
        <v>41840</v>
      </c>
      <c r="E5373" s="130">
        <v>21854112</v>
      </c>
      <c r="F5373" t="s">
        <v>87</v>
      </c>
      <c r="G5373">
        <v>32947</v>
      </c>
      <c r="H5373" t="s">
        <v>8952</v>
      </c>
      <c r="I5373" s="130">
        <v>3</v>
      </c>
      <c r="J5373" t="s">
        <v>6997</v>
      </c>
      <c r="K5373" t="s">
        <v>108</v>
      </c>
      <c r="L5373" t="s">
        <v>111</v>
      </c>
      <c r="M5373" t="s">
        <v>103</v>
      </c>
      <c r="N5373" t="s">
        <v>114</v>
      </c>
      <c r="O5373" t="s">
        <v>116</v>
      </c>
    </row>
    <row r="5374" spans="1:15" x14ac:dyDescent="0.3">
      <c r="A5374" s="130">
        <v>26428</v>
      </c>
      <c r="B5374" s="130">
        <v>30</v>
      </c>
      <c r="C5374" s="130" t="s">
        <v>6998</v>
      </c>
      <c r="D5374">
        <v>41748</v>
      </c>
      <c r="E5374" s="130">
        <v>22648300</v>
      </c>
      <c r="F5374" t="s">
        <v>87</v>
      </c>
      <c r="G5374">
        <v>1096</v>
      </c>
      <c r="H5374" t="s">
        <v>8953</v>
      </c>
      <c r="I5374" s="130">
        <v>43</v>
      </c>
      <c r="J5374" t="s">
        <v>6998</v>
      </c>
      <c r="K5374" t="s">
        <v>108</v>
      </c>
      <c r="L5374" t="s">
        <v>111</v>
      </c>
      <c r="M5374" t="s">
        <v>103</v>
      </c>
      <c r="N5374" t="s">
        <v>114</v>
      </c>
      <c r="O5374" t="s">
        <v>116</v>
      </c>
    </row>
    <row r="5375" spans="1:15" x14ac:dyDescent="0.3">
      <c r="A5375" s="130">
        <v>26430</v>
      </c>
      <c r="B5375" s="130">
        <v>30</v>
      </c>
      <c r="C5375" s="130" t="s">
        <v>6999</v>
      </c>
      <c r="D5375">
        <v>41525</v>
      </c>
      <c r="E5375" s="130">
        <v>9329077</v>
      </c>
      <c r="F5375" t="s">
        <v>87</v>
      </c>
      <c r="G5375">
        <v>1096</v>
      </c>
      <c r="H5375" t="s">
        <v>8951</v>
      </c>
      <c r="I5375" s="130">
        <v>3</v>
      </c>
      <c r="J5375" t="s">
        <v>6999</v>
      </c>
      <c r="K5375" t="s">
        <v>108</v>
      </c>
      <c r="L5375" t="s">
        <v>193</v>
      </c>
      <c r="M5375" t="s">
        <v>103</v>
      </c>
      <c r="N5375" t="s">
        <v>98</v>
      </c>
      <c r="O5375" t="s">
        <v>116</v>
      </c>
    </row>
    <row r="5376" spans="1:15" x14ac:dyDescent="0.3">
      <c r="A5376" s="130">
        <v>26431</v>
      </c>
      <c r="B5376" s="130">
        <v>10</v>
      </c>
      <c r="C5376" s="130" t="s">
        <v>7000</v>
      </c>
      <c r="D5376">
        <v>41646</v>
      </c>
      <c r="E5376" s="130">
        <v>584462</v>
      </c>
      <c r="F5376" t="s">
        <v>87</v>
      </c>
      <c r="G5376">
        <v>1096</v>
      </c>
      <c r="H5376" t="s">
        <v>8952</v>
      </c>
      <c r="I5376" s="130">
        <v>3</v>
      </c>
      <c r="J5376" t="s">
        <v>7000</v>
      </c>
      <c r="K5376" t="s">
        <v>108</v>
      </c>
      <c r="L5376" t="s">
        <v>193</v>
      </c>
      <c r="M5376" t="s">
        <v>133</v>
      </c>
      <c r="N5376" t="s">
        <v>98</v>
      </c>
      <c r="O5376" t="s">
        <v>116</v>
      </c>
    </row>
    <row r="5377" spans="1:15" x14ac:dyDescent="0.3">
      <c r="A5377" s="130">
        <v>26432</v>
      </c>
      <c r="B5377" s="130">
        <v>30</v>
      </c>
      <c r="C5377" s="130" t="s">
        <v>7001</v>
      </c>
      <c r="D5377">
        <v>41658</v>
      </c>
      <c r="E5377" s="131">
        <v>8319968</v>
      </c>
      <c r="F5377" t="s">
        <v>87</v>
      </c>
      <c r="G5377">
        <v>1096</v>
      </c>
      <c r="H5377" t="s">
        <v>8953</v>
      </c>
      <c r="I5377" s="130">
        <v>18</v>
      </c>
      <c r="J5377" t="s">
        <v>7001</v>
      </c>
      <c r="K5377" t="s">
        <v>95</v>
      </c>
      <c r="L5377" t="s">
        <v>123</v>
      </c>
      <c r="M5377" t="s">
        <v>103</v>
      </c>
      <c r="N5377" t="s">
        <v>98</v>
      </c>
      <c r="O5377" t="s">
        <v>116</v>
      </c>
    </row>
    <row r="5378" spans="1:15" x14ac:dyDescent="0.3">
      <c r="A5378" s="130">
        <v>26433</v>
      </c>
      <c r="B5378" s="130">
        <v>35</v>
      </c>
      <c r="C5378" s="130" t="s">
        <v>7002</v>
      </c>
      <c r="D5378">
        <v>41349</v>
      </c>
      <c r="E5378" s="130">
        <v>36837702</v>
      </c>
      <c r="F5378" t="s">
        <v>87</v>
      </c>
      <c r="G5378">
        <v>1096</v>
      </c>
      <c r="H5378" t="s">
        <v>8951</v>
      </c>
      <c r="I5378" s="130">
        <v>3</v>
      </c>
      <c r="J5378" t="s">
        <v>7002</v>
      </c>
      <c r="K5378" t="s">
        <v>95</v>
      </c>
      <c r="L5378" t="s">
        <v>256</v>
      </c>
      <c r="M5378" t="s">
        <v>161</v>
      </c>
      <c r="N5378" t="s">
        <v>98</v>
      </c>
      <c r="O5378" t="s">
        <v>116</v>
      </c>
    </row>
    <row r="5379" spans="1:15" x14ac:dyDescent="0.3">
      <c r="A5379" s="130">
        <v>26435</v>
      </c>
      <c r="B5379" s="130">
        <v>28</v>
      </c>
      <c r="C5379" s="130" t="s">
        <v>7003</v>
      </c>
      <c r="D5379">
        <v>41513</v>
      </c>
      <c r="E5379" s="130">
        <v>45512955</v>
      </c>
      <c r="F5379" t="s">
        <v>87</v>
      </c>
      <c r="G5379">
        <v>1096</v>
      </c>
      <c r="H5379" t="s">
        <v>8952</v>
      </c>
      <c r="I5379" s="131">
        <v>18</v>
      </c>
      <c r="J5379" t="s">
        <v>7003</v>
      </c>
      <c r="K5379" t="s">
        <v>108</v>
      </c>
      <c r="L5379" t="s">
        <v>253</v>
      </c>
      <c r="M5379" t="s">
        <v>130</v>
      </c>
      <c r="N5379" t="s">
        <v>152</v>
      </c>
      <c r="O5379" t="s">
        <v>116</v>
      </c>
    </row>
    <row r="5380" spans="1:15" x14ac:dyDescent="0.3">
      <c r="A5380" s="130">
        <v>26436</v>
      </c>
      <c r="B5380" s="130">
        <v>30</v>
      </c>
      <c r="C5380" s="130" t="s">
        <v>7004</v>
      </c>
      <c r="D5380">
        <v>41560</v>
      </c>
      <c r="E5380" s="130">
        <v>5353545</v>
      </c>
      <c r="F5380" t="s">
        <v>87</v>
      </c>
      <c r="G5380">
        <v>1096</v>
      </c>
      <c r="H5380" t="s">
        <v>8953</v>
      </c>
      <c r="I5380" s="130">
        <v>18</v>
      </c>
      <c r="J5380" t="s">
        <v>7004</v>
      </c>
      <c r="K5380" t="s">
        <v>95</v>
      </c>
      <c r="L5380" t="s">
        <v>111</v>
      </c>
      <c r="M5380" t="s">
        <v>103</v>
      </c>
      <c r="N5380" t="s">
        <v>98</v>
      </c>
      <c r="O5380" t="s">
        <v>116</v>
      </c>
    </row>
    <row r="5381" spans="1:15" x14ac:dyDescent="0.3">
      <c r="A5381" s="130">
        <v>26437</v>
      </c>
      <c r="B5381" s="130">
        <v>28</v>
      </c>
      <c r="C5381" s="130" t="s">
        <v>7005</v>
      </c>
      <c r="D5381">
        <v>41887</v>
      </c>
      <c r="E5381" s="130">
        <v>3471864</v>
      </c>
      <c r="F5381" t="s">
        <v>87</v>
      </c>
      <c r="G5381">
        <v>1096</v>
      </c>
      <c r="H5381" t="s">
        <v>8951</v>
      </c>
      <c r="I5381" s="131">
        <v>18</v>
      </c>
      <c r="J5381" t="s">
        <v>7005</v>
      </c>
      <c r="K5381" t="s">
        <v>108</v>
      </c>
      <c r="L5381" t="s">
        <v>253</v>
      </c>
      <c r="M5381" t="s">
        <v>130</v>
      </c>
      <c r="N5381" t="s">
        <v>98</v>
      </c>
      <c r="O5381" t="s">
        <v>116</v>
      </c>
    </row>
    <row r="5382" spans="1:15" x14ac:dyDescent="0.3">
      <c r="A5382" s="130">
        <v>26438</v>
      </c>
      <c r="B5382" s="130">
        <v>28</v>
      </c>
      <c r="C5382" s="130" t="s">
        <v>7006</v>
      </c>
      <c r="D5382">
        <v>41283</v>
      </c>
      <c r="E5382" s="131">
        <v>6020141</v>
      </c>
      <c r="F5382" t="s">
        <v>87</v>
      </c>
      <c r="G5382">
        <v>1096</v>
      </c>
      <c r="H5382" t="s">
        <v>8952</v>
      </c>
      <c r="I5382" s="131">
        <v>18</v>
      </c>
      <c r="J5382" t="s">
        <v>7006</v>
      </c>
      <c r="K5382" t="s">
        <v>108</v>
      </c>
      <c r="L5382" t="s">
        <v>253</v>
      </c>
      <c r="M5382" t="s">
        <v>130</v>
      </c>
      <c r="N5382" t="s">
        <v>98</v>
      </c>
      <c r="O5382" t="s">
        <v>116</v>
      </c>
    </row>
    <row r="5383" spans="1:15" x14ac:dyDescent="0.3">
      <c r="A5383" s="130">
        <v>26439</v>
      </c>
      <c r="B5383" s="130" t="s">
        <v>135</v>
      </c>
      <c r="C5383" s="130" t="s">
        <v>7007</v>
      </c>
      <c r="D5383">
        <v>41902</v>
      </c>
      <c r="E5383" s="131">
        <v>1704488</v>
      </c>
      <c r="F5383" t="s">
        <v>87</v>
      </c>
      <c r="G5383">
        <v>1096</v>
      </c>
      <c r="H5383" t="s">
        <v>8953</v>
      </c>
      <c r="I5383" s="130">
        <v>19</v>
      </c>
      <c r="J5383" t="s">
        <v>7007</v>
      </c>
      <c r="K5383" t="s">
        <v>95</v>
      </c>
      <c r="L5383" t="s">
        <v>111</v>
      </c>
      <c r="M5383" t="s">
        <v>136</v>
      </c>
      <c r="N5383" t="s">
        <v>98</v>
      </c>
      <c r="O5383" t="s">
        <v>116</v>
      </c>
    </row>
    <row r="5384" spans="1:15" x14ac:dyDescent="0.3">
      <c r="A5384" s="130">
        <v>26440</v>
      </c>
      <c r="B5384" s="130">
        <v>10</v>
      </c>
      <c r="C5384" s="130" t="s">
        <v>7008</v>
      </c>
      <c r="D5384">
        <v>41978</v>
      </c>
      <c r="E5384" s="130">
        <v>39740084</v>
      </c>
      <c r="F5384" t="s">
        <v>87</v>
      </c>
      <c r="G5384">
        <v>32947</v>
      </c>
      <c r="H5384" t="s">
        <v>8951</v>
      </c>
      <c r="I5384" s="130">
        <v>9</v>
      </c>
      <c r="J5384" t="s">
        <v>7008</v>
      </c>
      <c r="K5384" t="s">
        <v>108</v>
      </c>
      <c r="L5384" t="s">
        <v>1298</v>
      </c>
      <c r="M5384" t="s">
        <v>133</v>
      </c>
      <c r="N5384" t="s">
        <v>98</v>
      </c>
      <c r="O5384" t="s">
        <v>116</v>
      </c>
    </row>
    <row r="5385" spans="1:15" x14ac:dyDescent="0.3">
      <c r="A5385" s="130">
        <v>26441</v>
      </c>
      <c r="B5385" s="130">
        <v>30</v>
      </c>
      <c r="C5385" s="130" t="s">
        <v>7009</v>
      </c>
      <c r="D5385">
        <v>41905</v>
      </c>
      <c r="E5385" s="131">
        <v>14763956</v>
      </c>
      <c r="F5385" t="s">
        <v>87</v>
      </c>
      <c r="G5385">
        <v>1096</v>
      </c>
      <c r="H5385" t="s">
        <v>8952</v>
      </c>
      <c r="I5385" s="131">
        <v>18</v>
      </c>
      <c r="J5385" t="s">
        <v>7009</v>
      </c>
      <c r="K5385" t="s">
        <v>108</v>
      </c>
      <c r="L5385" t="s">
        <v>123</v>
      </c>
      <c r="M5385" t="s">
        <v>103</v>
      </c>
      <c r="N5385" t="s">
        <v>122</v>
      </c>
      <c r="O5385" t="s">
        <v>116</v>
      </c>
    </row>
    <row r="5386" spans="1:15" x14ac:dyDescent="0.3">
      <c r="A5386" s="130">
        <v>26442</v>
      </c>
      <c r="B5386" s="130">
        <v>30</v>
      </c>
      <c r="C5386" s="130" t="s">
        <v>7010</v>
      </c>
      <c r="D5386">
        <v>41975</v>
      </c>
      <c r="E5386" s="130">
        <v>49457168</v>
      </c>
      <c r="F5386" t="s">
        <v>87</v>
      </c>
      <c r="G5386">
        <v>1096</v>
      </c>
      <c r="H5386" t="s">
        <v>8953</v>
      </c>
      <c r="I5386" s="130">
        <v>3</v>
      </c>
      <c r="J5386" t="s">
        <v>7010</v>
      </c>
      <c r="K5386" t="s">
        <v>95</v>
      </c>
      <c r="L5386" t="s">
        <v>105</v>
      </c>
      <c r="M5386" t="s">
        <v>103</v>
      </c>
      <c r="N5386" t="s">
        <v>114</v>
      </c>
      <c r="O5386" t="s">
        <v>1345</v>
      </c>
    </row>
    <row r="5387" spans="1:15" x14ac:dyDescent="0.3">
      <c r="A5387" s="130">
        <v>26443</v>
      </c>
      <c r="B5387" s="130">
        <v>30</v>
      </c>
      <c r="C5387" s="130" t="s">
        <v>7011</v>
      </c>
      <c r="D5387">
        <v>41801</v>
      </c>
      <c r="E5387" s="130">
        <v>9360928</v>
      </c>
      <c r="F5387" t="s">
        <v>87</v>
      </c>
      <c r="G5387">
        <v>1096</v>
      </c>
      <c r="H5387" t="s">
        <v>8951</v>
      </c>
      <c r="I5387" s="130">
        <v>9</v>
      </c>
      <c r="J5387" t="s">
        <v>7011</v>
      </c>
      <c r="K5387" t="s">
        <v>95</v>
      </c>
      <c r="L5387" t="s">
        <v>111</v>
      </c>
      <c r="M5387" t="s">
        <v>103</v>
      </c>
      <c r="N5387" t="s">
        <v>101</v>
      </c>
      <c r="O5387" t="s">
        <v>116</v>
      </c>
    </row>
    <row r="5388" spans="1:15" x14ac:dyDescent="0.3">
      <c r="A5388" s="130">
        <v>26444</v>
      </c>
      <c r="B5388" s="130">
        <v>18</v>
      </c>
      <c r="C5388" s="130" t="s">
        <v>7012</v>
      </c>
      <c r="D5388">
        <v>41990</v>
      </c>
      <c r="E5388" s="130">
        <v>8054995</v>
      </c>
      <c r="F5388" t="s">
        <v>87</v>
      </c>
      <c r="G5388">
        <v>1096</v>
      </c>
      <c r="H5388" t="s">
        <v>8952</v>
      </c>
      <c r="I5388" s="130">
        <v>10</v>
      </c>
      <c r="J5388" t="s">
        <v>7012</v>
      </c>
      <c r="K5388" t="s">
        <v>95</v>
      </c>
      <c r="L5388" t="s">
        <v>105</v>
      </c>
      <c r="M5388" t="s">
        <v>112</v>
      </c>
      <c r="N5388" t="s">
        <v>98</v>
      </c>
      <c r="O5388" t="s">
        <v>116</v>
      </c>
    </row>
    <row r="5389" spans="1:15" x14ac:dyDescent="0.3">
      <c r="A5389" s="130">
        <v>26445</v>
      </c>
      <c r="B5389" s="130">
        <v>30</v>
      </c>
      <c r="C5389" s="130" t="s">
        <v>7013</v>
      </c>
      <c r="D5389">
        <v>41297</v>
      </c>
      <c r="E5389" s="130">
        <v>23921007</v>
      </c>
      <c r="F5389" t="s">
        <v>87</v>
      </c>
      <c r="G5389">
        <v>1096</v>
      </c>
      <c r="H5389" t="s">
        <v>8953</v>
      </c>
      <c r="I5389" s="130">
        <v>3</v>
      </c>
      <c r="J5389" t="s">
        <v>7013</v>
      </c>
      <c r="K5389" t="s">
        <v>95</v>
      </c>
      <c r="L5389" t="s">
        <v>1293</v>
      </c>
      <c r="M5389" t="s">
        <v>103</v>
      </c>
      <c r="N5389" t="s">
        <v>124</v>
      </c>
      <c r="O5389" t="s">
        <v>116</v>
      </c>
    </row>
    <row r="5390" spans="1:15" x14ac:dyDescent="0.3">
      <c r="A5390" s="130">
        <v>26446</v>
      </c>
      <c r="B5390" s="130">
        <v>30</v>
      </c>
      <c r="C5390" s="130" t="s">
        <v>7014</v>
      </c>
      <c r="D5390">
        <v>41298</v>
      </c>
      <c r="E5390" s="131">
        <v>23921007</v>
      </c>
      <c r="F5390" t="s">
        <v>87</v>
      </c>
      <c r="G5390">
        <v>1096</v>
      </c>
      <c r="H5390" t="s">
        <v>8951</v>
      </c>
      <c r="I5390" s="130">
        <v>3</v>
      </c>
      <c r="J5390" t="s">
        <v>7014</v>
      </c>
      <c r="K5390" t="s">
        <v>95</v>
      </c>
      <c r="L5390" t="s">
        <v>1293</v>
      </c>
      <c r="M5390" t="s">
        <v>103</v>
      </c>
      <c r="N5390" t="s">
        <v>124</v>
      </c>
      <c r="O5390" t="s">
        <v>116</v>
      </c>
    </row>
    <row r="5391" spans="1:15" x14ac:dyDescent="0.3">
      <c r="A5391" s="130">
        <v>26447</v>
      </c>
      <c r="B5391" s="130">
        <v>30</v>
      </c>
      <c r="C5391" s="130" t="s">
        <v>7015</v>
      </c>
      <c r="D5391">
        <v>41444</v>
      </c>
      <c r="E5391" s="131">
        <v>8606901</v>
      </c>
      <c r="F5391" t="s">
        <v>87</v>
      </c>
      <c r="G5391">
        <v>1096</v>
      </c>
      <c r="H5391" t="s">
        <v>8952</v>
      </c>
      <c r="I5391" s="130">
        <v>24</v>
      </c>
      <c r="J5391" t="s">
        <v>7015</v>
      </c>
      <c r="K5391" t="s">
        <v>95</v>
      </c>
      <c r="L5391" t="s">
        <v>240</v>
      </c>
      <c r="M5391" t="s">
        <v>103</v>
      </c>
      <c r="N5391" t="s">
        <v>98</v>
      </c>
      <c r="O5391" t="s">
        <v>116</v>
      </c>
    </row>
    <row r="5392" spans="1:15" x14ac:dyDescent="0.3">
      <c r="A5392" s="130">
        <v>26448</v>
      </c>
      <c r="B5392" s="130">
        <v>30</v>
      </c>
      <c r="C5392" s="130" t="s">
        <v>7016</v>
      </c>
      <c r="D5392">
        <v>41412</v>
      </c>
      <c r="E5392" s="131">
        <v>20059618</v>
      </c>
      <c r="F5392" t="s">
        <v>87</v>
      </c>
      <c r="G5392">
        <v>1096</v>
      </c>
      <c r="H5392" t="s">
        <v>8953</v>
      </c>
      <c r="I5392" s="131">
        <v>3</v>
      </c>
      <c r="J5392" t="s">
        <v>7016</v>
      </c>
      <c r="K5392" t="s">
        <v>95</v>
      </c>
      <c r="L5392" t="s">
        <v>111</v>
      </c>
      <c r="M5392" t="s">
        <v>103</v>
      </c>
      <c r="N5392" t="s">
        <v>131</v>
      </c>
      <c r="O5392" t="s">
        <v>116</v>
      </c>
    </row>
    <row r="5393" spans="1:15" x14ac:dyDescent="0.3">
      <c r="A5393" s="130">
        <v>26449</v>
      </c>
      <c r="B5393" s="130">
        <v>30</v>
      </c>
      <c r="C5393" s="130" t="s">
        <v>7017</v>
      </c>
      <c r="D5393">
        <v>42068</v>
      </c>
      <c r="E5393" s="130">
        <v>47419874</v>
      </c>
      <c r="F5393" t="s">
        <v>87</v>
      </c>
      <c r="G5393">
        <v>76</v>
      </c>
      <c r="H5393" t="s">
        <v>8951</v>
      </c>
      <c r="I5393" s="131">
        <v>38</v>
      </c>
      <c r="J5393" t="s">
        <v>7017</v>
      </c>
      <c r="K5393" t="s">
        <v>108</v>
      </c>
      <c r="L5393" t="s">
        <v>126</v>
      </c>
      <c r="M5393" t="s">
        <v>103</v>
      </c>
      <c r="N5393" t="s">
        <v>118</v>
      </c>
      <c r="O5393" t="s">
        <v>116</v>
      </c>
    </row>
    <row r="5394" spans="1:15" x14ac:dyDescent="0.3">
      <c r="A5394" s="130">
        <v>26450</v>
      </c>
      <c r="B5394" s="130">
        <v>30</v>
      </c>
      <c r="C5394" s="130" t="s">
        <v>7018</v>
      </c>
      <c r="D5394">
        <v>40973</v>
      </c>
      <c r="E5394" s="130">
        <v>49472451</v>
      </c>
      <c r="F5394" t="s">
        <v>87</v>
      </c>
      <c r="G5394">
        <v>1096</v>
      </c>
      <c r="H5394" t="s">
        <v>8952</v>
      </c>
      <c r="I5394" s="130">
        <v>10</v>
      </c>
      <c r="J5394" t="s">
        <v>7018</v>
      </c>
      <c r="K5394" t="s">
        <v>95</v>
      </c>
      <c r="L5394" t="s">
        <v>105</v>
      </c>
      <c r="M5394" t="s">
        <v>103</v>
      </c>
      <c r="N5394" t="s">
        <v>98</v>
      </c>
      <c r="O5394" t="s">
        <v>116</v>
      </c>
    </row>
    <row r="5395" spans="1:15" x14ac:dyDescent="0.3">
      <c r="A5395" s="130">
        <v>26451</v>
      </c>
      <c r="B5395" s="130">
        <v>30</v>
      </c>
      <c r="C5395" s="130" t="s">
        <v>7019</v>
      </c>
      <c r="D5395">
        <v>42048</v>
      </c>
      <c r="E5395" s="130">
        <v>37235077</v>
      </c>
      <c r="F5395" t="s">
        <v>87</v>
      </c>
      <c r="G5395">
        <v>1096</v>
      </c>
      <c r="H5395" t="s">
        <v>8953</v>
      </c>
      <c r="I5395" s="130">
        <v>19</v>
      </c>
      <c r="J5395" t="s">
        <v>7019</v>
      </c>
      <c r="K5395" t="s">
        <v>108</v>
      </c>
      <c r="L5395" t="s">
        <v>252</v>
      </c>
      <c r="M5395" t="s">
        <v>103</v>
      </c>
      <c r="N5395" t="s">
        <v>98</v>
      </c>
      <c r="O5395" t="s">
        <v>116</v>
      </c>
    </row>
    <row r="5396" spans="1:15" x14ac:dyDescent="0.3">
      <c r="A5396" s="130">
        <v>26452</v>
      </c>
      <c r="B5396" s="130">
        <v>30</v>
      </c>
      <c r="C5396" s="130" t="s">
        <v>7020</v>
      </c>
      <c r="D5396">
        <v>41253</v>
      </c>
      <c r="E5396" s="131">
        <v>19942283</v>
      </c>
      <c r="F5396" t="s">
        <v>87</v>
      </c>
      <c r="G5396">
        <v>1096</v>
      </c>
      <c r="H5396" t="s">
        <v>8951</v>
      </c>
      <c r="I5396" s="131">
        <v>3</v>
      </c>
      <c r="J5396" t="s">
        <v>7020</v>
      </c>
      <c r="K5396" t="s">
        <v>108</v>
      </c>
      <c r="L5396" t="s">
        <v>193</v>
      </c>
      <c r="M5396" t="s">
        <v>103</v>
      </c>
      <c r="N5396" t="s">
        <v>98</v>
      </c>
      <c r="O5396" t="s">
        <v>116</v>
      </c>
    </row>
    <row r="5397" spans="1:15" x14ac:dyDescent="0.3">
      <c r="A5397" s="130">
        <v>26453</v>
      </c>
      <c r="B5397" s="130">
        <v>30</v>
      </c>
      <c r="C5397" s="130" t="s">
        <v>7021</v>
      </c>
      <c r="D5397">
        <v>42111</v>
      </c>
      <c r="E5397" s="130">
        <v>17159856</v>
      </c>
      <c r="F5397" t="s">
        <v>87</v>
      </c>
      <c r="G5397">
        <v>1096</v>
      </c>
      <c r="H5397" t="s">
        <v>8952</v>
      </c>
      <c r="I5397" s="130">
        <v>3</v>
      </c>
      <c r="J5397" t="s">
        <v>7021</v>
      </c>
      <c r="K5397" t="s">
        <v>95</v>
      </c>
      <c r="L5397" t="s">
        <v>193</v>
      </c>
      <c r="M5397" t="s">
        <v>103</v>
      </c>
      <c r="N5397" t="s">
        <v>98</v>
      </c>
      <c r="O5397" t="s">
        <v>116</v>
      </c>
    </row>
    <row r="5398" spans="1:15" x14ac:dyDescent="0.3">
      <c r="A5398" s="130">
        <v>26454</v>
      </c>
      <c r="B5398" s="130">
        <v>30</v>
      </c>
      <c r="C5398" s="130" t="s">
        <v>7022</v>
      </c>
      <c r="D5398">
        <v>41333</v>
      </c>
      <c r="E5398" s="130">
        <v>92660604</v>
      </c>
      <c r="F5398" t="s">
        <v>87</v>
      </c>
      <c r="G5398">
        <v>1096</v>
      </c>
      <c r="H5398" t="s">
        <v>8953</v>
      </c>
      <c r="I5398" s="130">
        <v>24</v>
      </c>
      <c r="J5398" t="s">
        <v>7022</v>
      </c>
      <c r="K5398" t="s">
        <v>95</v>
      </c>
      <c r="L5398" t="s">
        <v>117</v>
      </c>
      <c r="M5398" t="s">
        <v>103</v>
      </c>
      <c r="N5398" t="s">
        <v>114</v>
      </c>
      <c r="O5398" t="s">
        <v>116</v>
      </c>
    </row>
    <row r="5399" spans="1:15" x14ac:dyDescent="0.3">
      <c r="A5399" s="130">
        <v>26455</v>
      </c>
      <c r="B5399" s="130">
        <v>30</v>
      </c>
      <c r="C5399" s="130" t="s">
        <v>7023</v>
      </c>
      <c r="D5399">
        <v>41535</v>
      </c>
      <c r="E5399" s="130">
        <v>7582472</v>
      </c>
      <c r="F5399" t="s">
        <v>87</v>
      </c>
      <c r="G5399">
        <v>1096</v>
      </c>
      <c r="H5399" t="s">
        <v>8951</v>
      </c>
      <c r="I5399" s="130">
        <v>18</v>
      </c>
      <c r="J5399" t="s">
        <v>7023</v>
      </c>
      <c r="K5399" t="s">
        <v>108</v>
      </c>
      <c r="L5399" t="s">
        <v>123</v>
      </c>
      <c r="M5399" t="s">
        <v>103</v>
      </c>
      <c r="N5399" t="s">
        <v>101</v>
      </c>
      <c r="O5399" t="s">
        <v>116</v>
      </c>
    </row>
    <row r="5400" spans="1:15" x14ac:dyDescent="0.3">
      <c r="A5400" s="130">
        <v>26456</v>
      </c>
      <c r="B5400" s="130">
        <v>30</v>
      </c>
      <c r="C5400" s="130" t="s">
        <v>7024</v>
      </c>
      <c r="D5400">
        <v>42082</v>
      </c>
      <c r="E5400" s="131">
        <v>2617158</v>
      </c>
      <c r="F5400" t="s">
        <v>87</v>
      </c>
      <c r="G5400">
        <v>1096</v>
      </c>
      <c r="H5400" t="s">
        <v>8952</v>
      </c>
      <c r="I5400" s="130">
        <v>3</v>
      </c>
      <c r="J5400" t="s">
        <v>7024</v>
      </c>
      <c r="K5400" t="s">
        <v>95</v>
      </c>
      <c r="L5400" t="s">
        <v>111</v>
      </c>
      <c r="M5400" t="s">
        <v>103</v>
      </c>
      <c r="N5400" t="s">
        <v>98</v>
      </c>
      <c r="O5400" t="s">
        <v>116</v>
      </c>
    </row>
    <row r="5401" spans="1:15" x14ac:dyDescent="0.3">
      <c r="A5401" s="130">
        <v>26457</v>
      </c>
      <c r="B5401" s="130">
        <v>30</v>
      </c>
      <c r="C5401" s="130" t="s">
        <v>7025</v>
      </c>
      <c r="D5401">
        <v>42116</v>
      </c>
      <c r="E5401" s="131">
        <v>16956443</v>
      </c>
      <c r="F5401" t="s">
        <v>87</v>
      </c>
      <c r="G5401">
        <v>1096</v>
      </c>
      <c r="H5401" t="s">
        <v>8953</v>
      </c>
      <c r="I5401" s="131">
        <v>3</v>
      </c>
      <c r="J5401" t="s">
        <v>7025</v>
      </c>
      <c r="K5401" t="s">
        <v>95</v>
      </c>
      <c r="L5401" t="s">
        <v>105</v>
      </c>
      <c r="M5401" t="s">
        <v>103</v>
      </c>
      <c r="N5401" t="s">
        <v>98</v>
      </c>
      <c r="O5401" t="s">
        <v>116</v>
      </c>
    </row>
    <row r="5402" spans="1:15" x14ac:dyDescent="0.3">
      <c r="A5402" s="130">
        <v>26458</v>
      </c>
      <c r="B5402" s="130">
        <v>60</v>
      </c>
      <c r="C5402" s="130" t="s">
        <v>7026</v>
      </c>
      <c r="D5402">
        <v>42196</v>
      </c>
      <c r="E5402" s="130">
        <v>3176142</v>
      </c>
      <c r="F5402" t="s">
        <v>87</v>
      </c>
      <c r="G5402">
        <v>1096</v>
      </c>
      <c r="H5402" t="s">
        <v>8951</v>
      </c>
      <c r="I5402" s="130">
        <v>9</v>
      </c>
      <c r="J5402" t="s">
        <v>7026</v>
      </c>
      <c r="K5402" t="s">
        <v>95</v>
      </c>
      <c r="L5402" t="s">
        <v>163</v>
      </c>
      <c r="M5402" t="s">
        <v>97</v>
      </c>
      <c r="N5402" t="s">
        <v>114</v>
      </c>
      <c r="O5402" t="s">
        <v>116</v>
      </c>
    </row>
    <row r="5403" spans="1:15" x14ac:dyDescent="0.3">
      <c r="A5403" s="130">
        <v>26461</v>
      </c>
      <c r="B5403" s="130" t="s">
        <v>246</v>
      </c>
      <c r="C5403" s="130" t="s">
        <v>7027</v>
      </c>
      <c r="D5403">
        <v>42265</v>
      </c>
      <c r="E5403" s="130">
        <v>3411712</v>
      </c>
      <c r="F5403" t="s">
        <v>87</v>
      </c>
      <c r="G5403">
        <v>32947</v>
      </c>
      <c r="H5403" t="s">
        <v>8952</v>
      </c>
      <c r="I5403" s="131">
        <v>3</v>
      </c>
      <c r="J5403" t="s">
        <v>7027</v>
      </c>
      <c r="K5403" t="s">
        <v>95</v>
      </c>
      <c r="L5403" t="s">
        <v>102</v>
      </c>
      <c r="M5403" t="s">
        <v>246</v>
      </c>
      <c r="N5403" t="s">
        <v>152</v>
      </c>
      <c r="O5403" t="s">
        <v>116</v>
      </c>
    </row>
    <row r="5404" spans="1:15" x14ac:dyDescent="0.3">
      <c r="A5404" s="130">
        <v>26462</v>
      </c>
      <c r="B5404" s="130">
        <v>18</v>
      </c>
      <c r="C5404" s="130" t="s">
        <v>7028</v>
      </c>
      <c r="D5404">
        <v>41812</v>
      </c>
      <c r="E5404" s="130">
        <v>47397699</v>
      </c>
      <c r="F5404" t="s">
        <v>87</v>
      </c>
      <c r="G5404">
        <v>1096</v>
      </c>
      <c r="H5404" t="s">
        <v>8953</v>
      </c>
      <c r="I5404" s="131">
        <v>3</v>
      </c>
      <c r="J5404" t="s">
        <v>7028</v>
      </c>
      <c r="K5404" t="s">
        <v>108</v>
      </c>
      <c r="L5404" t="s">
        <v>193</v>
      </c>
      <c r="M5404" t="s">
        <v>112</v>
      </c>
      <c r="N5404" t="s">
        <v>114</v>
      </c>
      <c r="O5404" t="s">
        <v>116</v>
      </c>
    </row>
    <row r="5405" spans="1:15" x14ac:dyDescent="0.3">
      <c r="A5405" s="130">
        <v>26465</v>
      </c>
      <c r="B5405" s="130">
        <v>60</v>
      </c>
      <c r="C5405" s="130" t="s">
        <v>7029</v>
      </c>
      <c r="D5405">
        <v>42244</v>
      </c>
      <c r="E5405" s="130">
        <v>3176142</v>
      </c>
      <c r="F5405" t="s">
        <v>87</v>
      </c>
      <c r="G5405">
        <v>76</v>
      </c>
      <c r="H5405" t="s">
        <v>8951</v>
      </c>
      <c r="I5405" s="130">
        <v>10</v>
      </c>
      <c r="J5405" t="s">
        <v>7029</v>
      </c>
      <c r="K5405" t="s">
        <v>95</v>
      </c>
      <c r="L5405" t="s">
        <v>127</v>
      </c>
      <c r="M5405" t="s">
        <v>97</v>
      </c>
      <c r="N5405" t="s">
        <v>114</v>
      </c>
      <c r="O5405" t="s">
        <v>116</v>
      </c>
    </row>
    <row r="5406" spans="1:15" x14ac:dyDescent="0.3">
      <c r="A5406" s="130">
        <v>26466</v>
      </c>
      <c r="B5406" s="130">
        <v>60</v>
      </c>
      <c r="C5406" s="130" t="s">
        <v>7030</v>
      </c>
      <c r="D5406">
        <v>42315</v>
      </c>
      <c r="E5406" s="130">
        <v>532740</v>
      </c>
      <c r="F5406" t="s">
        <v>87</v>
      </c>
      <c r="G5406">
        <v>76</v>
      </c>
      <c r="H5406" t="s">
        <v>8952</v>
      </c>
      <c r="I5406" s="131">
        <v>10</v>
      </c>
      <c r="J5406" t="s">
        <v>7030</v>
      </c>
      <c r="K5406" t="s">
        <v>95</v>
      </c>
      <c r="L5406" t="s">
        <v>127</v>
      </c>
      <c r="M5406" t="s">
        <v>97</v>
      </c>
      <c r="N5406" t="s">
        <v>118</v>
      </c>
      <c r="O5406" t="s">
        <v>116</v>
      </c>
    </row>
    <row r="5407" spans="1:15" x14ac:dyDescent="0.3">
      <c r="A5407" s="130">
        <v>26468</v>
      </c>
      <c r="B5407" s="130">
        <v>10</v>
      </c>
      <c r="C5407" s="130" t="s">
        <v>7031</v>
      </c>
      <c r="D5407">
        <v>42326</v>
      </c>
      <c r="E5407" s="130">
        <v>13278976</v>
      </c>
      <c r="F5407" t="s">
        <v>87</v>
      </c>
      <c r="G5407">
        <v>32947</v>
      </c>
      <c r="H5407" t="s">
        <v>8953</v>
      </c>
      <c r="I5407" s="131">
        <v>3</v>
      </c>
      <c r="J5407" t="s">
        <v>7031</v>
      </c>
      <c r="K5407" t="s">
        <v>108</v>
      </c>
      <c r="L5407" t="s">
        <v>1293</v>
      </c>
      <c r="M5407" t="s">
        <v>133</v>
      </c>
      <c r="N5407" t="s">
        <v>98</v>
      </c>
      <c r="O5407" t="s">
        <v>116</v>
      </c>
    </row>
    <row r="5408" spans="1:15" x14ac:dyDescent="0.3">
      <c r="A5408" s="130">
        <v>26469</v>
      </c>
      <c r="B5408" s="130">
        <v>30</v>
      </c>
      <c r="C5408" s="130" t="s">
        <v>7032</v>
      </c>
      <c r="D5408">
        <v>42134</v>
      </c>
      <c r="E5408" s="130">
        <v>55476959</v>
      </c>
      <c r="F5408" t="s">
        <v>87</v>
      </c>
      <c r="G5408">
        <v>1096</v>
      </c>
      <c r="H5408" t="s">
        <v>8951</v>
      </c>
      <c r="I5408" s="131">
        <v>3</v>
      </c>
      <c r="J5408" t="s">
        <v>7032</v>
      </c>
      <c r="K5408" t="s">
        <v>95</v>
      </c>
      <c r="L5408" t="s">
        <v>193</v>
      </c>
      <c r="M5408" t="s">
        <v>103</v>
      </c>
      <c r="N5408" t="s">
        <v>98</v>
      </c>
      <c r="O5408" t="s">
        <v>116</v>
      </c>
    </row>
    <row r="5409" spans="1:15" x14ac:dyDescent="0.3">
      <c r="A5409" s="130">
        <v>26470</v>
      </c>
      <c r="B5409" s="130">
        <v>30</v>
      </c>
      <c r="C5409" s="130" t="s">
        <v>7033</v>
      </c>
      <c r="D5409">
        <v>42230</v>
      </c>
      <c r="E5409" s="131">
        <v>60701521</v>
      </c>
      <c r="F5409" t="s">
        <v>87</v>
      </c>
      <c r="G5409">
        <v>1096</v>
      </c>
      <c r="H5409" t="s">
        <v>8952</v>
      </c>
      <c r="I5409" s="130">
        <v>37</v>
      </c>
      <c r="J5409" t="s">
        <v>7033</v>
      </c>
      <c r="K5409" t="s">
        <v>95</v>
      </c>
      <c r="L5409" t="s">
        <v>138</v>
      </c>
      <c r="M5409" t="s">
        <v>103</v>
      </c>
      <c r="N5409" t="s">
        <v>162</v>
      </c>
      <c r="O5409" t="s">
        <v>116</v>
      </c>
    </row>
    <row r="5410" spans="1:15" x14ac:dyDescent="0.3">
      <c r="A5410" s="130">
        <v>26472</v>
      </c>
      <c r="B5410" s="130">
        <v>30</v>
      </c>
      <c r="C5410" s="130" t="s">
        <v>7034</v>
      </c>
      <c r="D5410">
        <v>42352</v>
      </c>
      <c r="E5410" s="130">
        <v>25247459</v>
      </c>
      <c r="F5410" t="s">
        <v>87</v>
      </c>
      <c r="G5410">
        <v>32947</v>
      </c>
      <c r="H5410" t="s">
        <v>8953</v>
      </c>
      <c r="I5410" s="130">
        <v>19</v>
      </c>
      <c r="J5410" t="s">
        <v>7034</v>
      </c>
      <c r="K5410" t="s">
        <v>108</v>
      </c>
      <c r="L5410" t="s">
        <v>252</v>
      </c>
      <c r="M5410" t="s">
        <v>103</v>
      </c>
      <c r="N5410" t="s">
        <v>98</v>
      </c>
      <c r="O5410" t="s">
        <v>116</v>
      </c>
    </row>
    <row r="5411" spans="1:15" x14ac:dyDescent="0.3">
      <c r="A5411" s="130">
        <v>26473</v>
      </c>
      <c r="B5411" s="130">
        <v>30</v>
      </c>
      <c r="C5411" s="130" t="s">
        <v>7035</v>
      </c>
      <c r="D5411">
        <v>42126</v>
      </c>
      <c r="E5411" s="131">
        <v>55476959</v>
      </c>
      <c r="F5411" t="s">
        <v>87</v>
      </c>
      <c r="G5411">
        <v>1096</v>
      </c>
      <c r="H5411" t="s">
        <v>8951</v>
      </c>
      <c r="I5411" s="131">
        <v>10</v>
      </c>
      <c r="J5411" t="s">
        <v>7035</v>
      </c>
      <c r="K5411" t="s">
        <v>95</v>
      </c>
      <c r="L5411" t="s">
        <v>193</v>
      </c>
      <c r="M5411" t="s">
        <v>103</v>
      </c>
      <c r="N5411" t="s">
        <v>98</v>
      </c>
      <c r="O5411" t="s">
        <v>116</v>
      </c>
    </row>
    <row r="5412" spans="1:15" x14ac:dyDescent="0.3">
      <c r="A5412" s="130">
        <v>26474</v>
      </c>
      <c r="B5412" s="130">
        <v>21</v>
      </c>
      <c r="C5412" s="130" t="s">
        <v>7036</v>
      </c>
      <c r="D5412">
        <v>42192</v>
      </c>
      <c r="E5412" s="130">
        <v>76125244</v>
      </c>
      <c r="F5412" t="s">
        <v>87</v>
      </c>
      <c r="G5412">
        <v>1096</v>
      </c>
      <c r="H5412" t="s">
        <v>8952</v>
      </c>
      <c r="I5412" s="130">
        <v>24</v>
      </c>
      <c r="J5412" t="s">
        <v>7036</v>
      </c>
      <c r="K5412" t="s">
        <v>108</v>
      </c>
      <c r="L5412" t="s">
        <v>191</v>
      </c>
      <c r="M5412" t="s">
        <v>137</v>
      </c>
      <c r="N5412" t="s">
        <v>114</v>
      </c>
      <c r="O5412" t="s">
        <v>116</v>
      </c>
    </row>
    <row r="5413" spans="1:15" x14ac:dyDescent="0.3">
      <c r="A5413" s="130">
        <v>26477</v>
      </c>
      <c r="B5413" s="130">
        <v>30</v>
      </c>
      <c r="C5413" s="130" t="s">
        <v>7037</v>
      </c>
      <c r="D5413">
        <v>42396</v>
      </c>
      <c r="E5413" s="130">
        <v>36541241</v>
      </c>
      <c r="F5413" t="s">
        <v>87</v>
      </c>
      <c r="G5413">
        <v>32947</v>
      </c>
      <c r="H5413" t="s">
        <v>8953</v>
      </c>
      <c r="I5413" s="130">
        <v>18</v>
      </c>
      <c r="J5413" t="s">
        <v>7037</v>
      </c>
      <c r="K5413" t="s">
        <v>108</v>
      </c>
      <c r="L5413" t="s">
        <v>123</v>
      </c>
      <c r="M5413" t="s">
        <v>103</v>
      </c>
      <c r="N5413" t="s">
        <v>98</v>
      </c>
      <c r="O5413" t="s">
        <v>116</v>
      </c>
    </row>
    <row r="5414" spans="1:15" x14ac:dyDescent="0.3">
      <c r="A5414" s="130">
        <v>26478</v>
      </c>
      <c r="B5414" s="130">
        <v>28</v>
      </c>
      <c r="C5414" s="130" t="s">
        <v>7038</v>
      </c>
      <c r="D5414">
        <v>42096</v>
      </c>
      <c r="E5414" s="130">
        <v>35480095</v>
      </c>
      <c r="F5414" t="s">
        <v>87</v>
      </c>
      <c r="G5414">
        <v>1096</v>
      </c>
      <c r="H5414" t="s">
        <v>8951</v>
      </c>
      <c r="I5414" s="130">
        <v>18</v>
      </c>
      <c r="J5414" t="s">
        <v>7038</v>
      </c>
      <c r="K5414" t="s">
        <v>108</v>
      </c>
      <c r="L5414" t="s">
        <v>253</v>
      </c>
      <c r="M5414" t="s">
        <v>130</v>
      </c>
      <c r="N5414" t="s">
        <v>98</v>
      </c>
      <c r="O5414" t="s">
        <v>116</v>
      </c>
    </row>
    <row r="5415" spans="1:15" x14ac:dyDescent="0.3">
      <c r="A5415" s="130">
        <v>26479</v>
      </c>
      <c r="B5415" s="130">
        <v>28</v>
      </c>
      <c r="C5415" s="130" t="s">
        <v>7039</v>
      </c>
      <c r="D5415">
        <v>42404</v>
      </c>
      <c r="E5415" s="130">
        <v>35480095</v>
      </c>
      <c r="F5415" t="s">
        <v>87</v>
      </c>
      <c r="G5415">
        <v>32947</v>
      </c>
      <c r="H5415" t="s">
        <v>8952</v>
      </c>
      <c r="I5415" s="130">
        <v>18</v>
      </c>
      <c r="J5415" t="s">
        <v>7039</v>
      </c>
      <c r="K5415" t="s">
        <v>108</v>
      </c>
      <c r="L5415" t="s">
        <v>253</v>
      </c>
      <c r="M5415" t="s">
        <v>130</v>
      </c>
      <c r="N5415" t="s">
        <v>98</v>
      </c>
      <c r="O5415" t="s">
        <v>116</v>
      </c>
    </row>
    <row r="5416" spans="1:15" x14ac:dyDescent="0.3">
      <c r="A5416" s="130">
        <v>26480</v>
      </c>
      <c r="B5416" s="130">
        <v>30</v>
      </c>
      <c r="C5416" s="130" t="s">
        <v>7040</v>
      </c>
      <c r="D5416">
        <v>42367</v>
      </c>
      <c r="E5416" s="131">
        <v>37235077</v>
      </c>
      <c r="F5416" t="s">
        <v>87</v>
      </c>
      <c r="G5416">
        <v>1096</v>
      </c>
      <c r="H5416" t="s">
        <v>8953</v>
      </c>
      <c r="I5416" s="130">
        <v>19</v>
      </c>
      <c r="J5416" t="s">
        <v>7040</v>
      </c>
      <c r="K5416" t="s">
        <v>108</v>
      </c>
      <c r="L5416" t="s">
        <v>252</v>
      </c>
      <c r="M5416" t="s">
        <v>103</v>
      </c>
      <c r="N5416" t="s">
        <v>98</v>
      </c>
      <c r="O5416" t="s">
        <v>116</v>
      </c>
    </row>
    <row r="5417" spans="1:15" x14ac:dyDescent="0.3">
      <c r="A5417" s="130">
        <v>26482</v>
      </c>
      <c r="B5417" s="130" t="s">
        <v>234</v>
      </c>
      <c r="C5417" s="130" t="s">
        <v>7041</v>
      </c>
      <c r="D5417">
        <v>42391</v>
      </c>
      <c r="E5417" s="130">
        <v>57559387</v>
      </c>
      <c r="F5417" t="s">
        <v>87</v>
      </c>
      <c r="G5417">
        <v>1096</v>
      </c>
      <c r="H5417" t="s">
        <v>8951</v>
      </c>
      <c r="I5417" s="130">
        <v>3</v>
      </c>
      <c r="J5417" t="s">
        <v>7041</v>
      </c>
      <c r="K5417" t="s">
        <v>108</v>
      </c>
      <c r="L5417" t="s">
        <v>109</v>
      </c>
      <c r="M5417" t="s">
        <v>234</v>
      </c>
      <c r="N5417" t="s">
        <v>121</v>
      </c>
      <c r="O5417" t="s">
        <v>116</v>
      </c>
    </row>
    <row r="5418" spans="1:15" x14ac:dyDescent="0.3">
      <c r="A5418" s="130">
        <v>26484</v>
      </c>
      <c r="B5418" s="130">
        <v>18</v>
      </c>
      <c r="C5418" s="130" t="s">
        <v>7042</v>
      </c>
      <c r="D5418">
        <v>42190</v>
      </c>
      <c r="E5418" s="130">
        <v>10714060</v>
      </c>
      <c r="F5418" t="s">
        <v>87</v>
      </c>
      <c r="G5418">
        <v>1096</v>
      </c>
      <c r="H5418" t="s">
        <v>8952</v>
      </c>
      <c r="I5418" s="130">
        <v>3</v>
      </c>
      <c r="J5418" t="s">
        <v>7042</v>
      </c>
      <c r="K5418" t="s">
        <v>108</v>
      </c>
      <c r="L5418" t="s">
        <v>193</v>
      </c>
      <c r="M5418" t="s">
        <v>112</v>
      </c>
      <c r="N5418" t="s">
        <v>98</v>
      </c>
      <c r="O5418" t="s">
        <v>116</v>
      </c>
    </row>
    <row r="5419" spans="1:15" x14ac:dyDescent="0.3">
      <c r="A5419" s="130">
        <v>26485</v>
      </c>
      <c r="B5419" s="130">
        <v>60</v>
      </c>
      <c r="C5419" s="130" t="s">
        <v>7043</v>
      </c>
      <c r="D5419">
        <v>41465</v>
      </c>
      <c r="E5419" s="130">
        <v>33592510</v>
      </c>
      <c r="F5419" t="s">
        <v>87</v>
      </c>
      <c r="G5419">
        <v>1096</v>
      </c>
      <c r="H5419" t="s">
        <v>8953</v>
      </c>
      <c r="I5419" s="130">
        <v>3</v>
      </c>
      <c r="J5419" t="s">
        <v>7043</v>
      </c>
      <c r="K5419" t="s">
        <v>95</v>
      </c>
      <c r="L5419" t="s">
        <v>117</v>
      </c>
      <c r="M5419" t="s">
        <v>97</v>
      </c>
      <c r="N5419" t="s">
        <v>118</v>
      </c>
      <c r="O5419" t="s">
        <v>116</v>
      </c>
    </row>
    <row r="5420" spans="1:15" x14ac:dyDescent="0.3">
      <c r="A5420" s="130">
        <v>26487</v>
      </c>
      <c r="B5420" s="130">
        <v>10</v>
      </c>
      <c r="C5420" s="130" t="s">
        <v>7044</v>
      </c>
      <c r="D5420">
        <v>42460</v>
      </c>
      <c r="E5420" s="130">
        <v>3584565</v>
      </c>
      <c r="F5420" t="s">
        <v>87</v>
      </c>
      <c r="G5420">
        <v>1096</v>
      </c>
      <c r="H5420" t="s">
        <v>8951</v>
      </c>
      <c r="I5420" s="131">
        <v>3</v>
      </c>
      <c r="J5420" t="s">
        <v>7044</v>
      </c>
      <c r="K5420" t="s">
        <v>108</v>
      </c>
      <c r="L5420" t="s">
        <v>1293</v>
      </c>
      <c r="M5420" t="s">
        <v>133</v>
      </c>
      <c r="N5420" t="s">
        <v>98</v>
      </c>
      <c r="O5420" t="s">
        <v>116</v>
      </c>
    </row>
    <row r="5421" spans="1:15" x14ac:dyDescent="0.3">
      <c r="A5421" s="130">
        <v>26489</v>
      </c>
      <c r="B5421" s="130">
        <v>21</v>
      </c>
      <c r="C5421" s="130" t="s">
        <v>7045</v>
      </c>
      <c r="D5421">
        <v>42448</v>
      </c>
      <c r="E5421" s="131">
        <v>22192546</v>
      </c>
      <c r="F5421" t="s">
        <v>87</v>
      </c>
      <c r="G5421">
        <v>1096</v>
      </c>
      <c r="H5421" t="s">
        <v>8952</v>
      </c>
      <c r="I5421" s="130">
        <v>9</v>
      </c>
      <c r="J5421" t="s">
        <v>7045</v>
      </c>
      <c r="K5421" t="s">
        <v>95</v>
      </c>
      <c r="L5421" t="s">
        <v>111</v>
      </c>
      <c r="M5421" t="s">
        <v>137</v>
      </c>
      <c r="N5421" t="s">
        <v>118</v>
      </c>
      <c r="O5421" t="s">
        <v>116</v>
      </c>
    </row>
    <row r="5422" spans="1:15" x14ac:dyDescent="0.3">
      <c r="A5422" s="130">
        <v>26492</v>
      </c>
      <c r="B5422" s="130">
        <v>30</v>
      </c>
      <c r="C5422" s="130" t="s">
        <v>7046</v>
      </c>
      <c r="D5422">
        <v>40601</v>
      </c>
      <c r="E5422" s="130">
        <v>35594305</v>
      </c>
      <c r="F5422" t="s">
        <v>87</v>
      </c>
      <c r="G5422">
        <v>1096</v>
      </c>
      <c r="H5422" t="s">
        <v>8953</v>
      </c>
      <c r="I5422" s="131">
        <v>19</v>
      </c>
      <c r="J5422" t="s">
        <v>7046</v>
      </c>
      <c r="K5422" t="s">
        <v>108</v>
      </c>
      <c r="L5422" t="s">
        <v>252</v>
      </c>
      <c r="M5422" t="s">
        <v>103</v>
      </c>
      <c r="O5422" t="s">
        <v>116</v>
      </c>
    </row>
    <row r="5423" spans="1:15" x14ac:dyDescent="0.3">
      <c r="A5423" s="130">
        <v>26493</v>
      </c>
      <c r="B5423" s="130">
        <v>30</v>
      </c>
      <c r="C5423" s="130" t="s">
        <v>7047</v>
      </c>
      <c r="D5423">
        <v>41407</v>
      </c>
      <c r="E5423" s="130">
        <v>92660604</v>
      </c>
      <c r="F5423" t="s">
        <v>87</v>
      </c>
      <c r="G5423">
        <v>1096</v>
      </c>
      <c r="H5423" t="s">
        <v>8951</v>
      </c>
      <c r="I5423" s="130">
        <v>24</v>
      </c>
      <c r="J5423" t="s">
        <v>7047</v>
      </c>
      <c r="K5423" t="s">
        <v>95</v>
      </c>
      <c r="L5423" t="s">
        <v>117</v>
      </c>
      <c r="M5423" t="s">
        <v>103</v>
      </c>
      <c r="N5423" t="s">
        <v>114</v>
      </c>
      <c r="O5423" t="s">
        <v>116</v>
      </c>
    </row>
    <row r="5424" spans="1:15" x14ac:dyDescent="0.3">
      <c r="A5424" s="130">
        <v>26495</v>
      </c>
      <c r="B5424" s="130">
        <v>30</v>
      </c>
      <c r="C5424" s="130" t="s">
        <v>7048</v>
      </c>
      <c r="D5424">
        <v>40830</v>
      </c>
      <c r="E5424" s="130">
        <v>2502844</v>
      </c>
      <c r="F5424" t="s">
        <v>87</v>
      </c>
      <c r="G5424">
        <v>1096</v>
      </c>
      <c r="H5424" t="s">
        <v>8952</v>
      </c>
      <c r="I5424" s="130">
        <v>24</v>
      </c>
      <c r="J5424" t="s">
        <v>7048</v>
      </c>
      <c r="K5424" t="s">
        <v>95</v>
      </c>
      <c r="L5424" t="s">
        <v>144</v>
      </c>
      <c r="M5424" t="s">
        <v>103</v>
      </c>
      <c r="N5424" t="s">
        <v>98</v>
      </c>
      <c r="O5424" t="s">
        <v>116</v>
      </c>
    </row>
    <row r="5425" spans="1:15" x14ac:dyDescent="0.3">
      <c r="A5425" s="130">
        <v>26496</v>
      </c>
      <c r="B5425" s="130">
        <v>30</v>
      </c>
      <c r="C5425" s="130" t="s">
        <v>7049</v>
      </c>
      <c r="D5425">
        <v>42381</v>
      </c>
      <c r="E5425" s="131">
        <v>10250053</v>
      </c>
      <c r="F5425" t="s">
        <v>87</v>
      </c>
      <c r="G5425">
        <v>1096</v>
      </c>
      <c r="H5425" t="s">
        <v>8953</v>
      </c>
      <c r="I5425" s="130">
        <v>18</v>
      </c>
      <c r="J5425" t="s">
        <v>7049</v>
      </c>
      <c r="K5425" t="s">
        <v>108</v>
      </c>
      <c r="L5425" t="s">
        <v>123</v>
      </c>
      <c r="M5425" t="s">
        <v>103</v>
      </c>
      <c r="N5425" t="s">
        <v>114</v>
      </c>
      <c r="O5425" t="s">
        <v>116</v>
      </c>
    </row>
    <row r="5426" spans="1:15" x14ac:dyDescent="0.3">
      <c r="A5426" s="130">
        <v>26497</v>
      </c>
      <c r="B5426" s="130">
        <v>30</v>
      </c>
      <c r="C5426" s="130" t="s">
        <v>7050</v>
      </c>
      <c r="D5426">
        <v>42004</v>
      </c>
      <c r="E5426" s="130">
        <v>37181061</v>
      </c>
      <c r="F5426" t="s">
        <v>87</v>
      </c>
      <c r="G5426">
        <v>1096</v>
      </c>
      <c r="H5426" t="s">
        <v>8951</v>
      </c>
      <c r="I5426" s="130">
        <v>10</v>
      </c>
      <c r="J5426" t="s">
        <v>7050</v>
      </c>
      <c r="K5426" t="s">
        <v>95</v>
      </c>
      <c r="L5426" t="s">
        <v>111</v>
      </c>
      <c r="M5426" t="s">
        <v>103</v>
      </c>
      <c r="N5426" t="s">
        <v>114</v>
      </c>
      <c r="O5426" t="s">
        <v>116</v>
      </c>
    </row>
    <row r="5427" spans="1:15" x14ac:dyDescent="0.3">
      <c r="A5427" s="130">
        <v>26498</v>
      </c>
      <c r="B5427" s="130">
        <v>30</v>
      </c>
      <c r="C5427" s="130" t="s">
        <v>7051</v>
      </c>
      <c r="D5427">
        <v>42507</v>
      </c>
      <c r="E5427" s="130">
        <v>18153723</v>
      </c>
      <c r="F5427" t="s">
        <v>87</v>
      </c>
      <c r="G5427">
        <v>1096</v>
      </c>
      <c r="H5427" t="s">
        <v>8952</v>
      </c>
      <c r="I5427" s="130">
        <v>18</v>
      </c>
      <c r="J5427" t="s">
        <v>7051</v>
      </c>
      <c r="K5427" t="s">
        <v>95</v>
      </c>
      <c r="L5427" t="s">
        <v>1293</v>
      </c>
      <c r="M5427" t="s">
        <v>103</v>
      </c>
      <c r="O5427" t="s">
        <v>116</v>
      </c>
    </row>
    <row r="5428" spans="1:15" x14ac:dyDescent="0.3">
      <c r="A5428" s="130">
        <v>26499</v>
      </c>
      <c r="B5428" s="130">
        <v>15</v>
      </c>
      <c r="C5428" s="130" t="s">
        <v>7052</v>
      </c>
      <c r="D5428">
        <v>42530</v>
      </c>
      <c r="E5428" s="131">
        <v>17256512</v>
      </c>
      <c r="F5428" t="s">
        <v>87</v>
      </c>
      <c r="G5428">
        <v>32947</v>
      </c>
      <c r="H5428" t="s">
        <v>8953</v>
      </c>
      <c r="I5428" s="130">
        <v>3</v>
      </c>
      <c r="J5428" t="s">
        <v>7052</v>
      </c>
      <c r="K5428" t="s">
        <v>108</v>
      </c>
      <c r="L5428" t="s">
        <v>109</v>
      </c>
      <c r="M5428" t="s">
        <v>145</v>
      </c>
      <c r="N5428" t="s">
        <v>101</v>
      </c>
      <c r="O5428" t="s">
        <v>116</v>
      </c>
    </row>
    <row r="5429" spans="1:15" x14ac:dyDescent="0.3">
      <c r="A5429" s="130">
        <v>26500</v>
      </c>
      <c r="B5429" s="130">
        <v>30</v>
      </c>
      <c r="C5429" s="130" t="s">
        <v>7053</v>
      </c>
      <c r="D5429">
        <v>42489</v>
      </c>
      <c r="E5429" s="130">
        <v>10242636</v>
      </c>
      <c r="F5429" t="s">
        <v>87</v>
      </c>
      <c r="G5429">
        <v>76</v>
      </c>
      <c r="H5429" t="s">
        <v>8951</v>
      </c>
      <c r="I5429" s="131">
        <v>10</v>
      </c>
      <c r="J5429" t="s">
        <v>7053</v>
      </c>
      <c r="K5429" t="s">
        <v>95</v>
      </c>
      <c r="L5429" t="s">
        <v>127</v>
      </c>
      <c r="M5429" t="s">
        <v>103</v>
      </c>
      <c r="N5429" t="s">
        <v>118</v>
      </c>
      <c r="O5429" t="s">
        <v>116</v>
      </c>
    </row>
    <row r="5430" spans="1:15" x14ac:dyDescent="0.3">
      <c r="A5430" s="130">
        <v>26501</v>
      </c>
      <c r="B5430" s="130">
        <v>30</v>
      </c>
      <c r="C5430" s="130" t="s">
        <v>7054</v>
      </c>
      <c r="D5430">
        <v>42433</v>
      </c>
      <c r="E5430" s="130">
        <v>56679871</v>
      </c>
      <c r="F5430" t="s">
        <v>87</v>
      </c>
      <c r="G5430">
        <v>1096</v>
      </c>
      <c r="H5430" t="s">
        <v>8952</v>
      </c>
      <c r="I5430" s="131">
        <v>3</v>
      </c>
      <c r="J5430" t="s">
        <v>7054</v>
      </c>
      <c r="K5430" t="s">
        <v>95</v>
      </c>
      <c r="L5430" t="s">
        <v>144</v>
      </c>
      <c r="M5430" t="s">
        <v>103</v>
      </c>
      <c r="N5430" t="s">
        <v>114</v>
      </c>
      <c r="O5430" t="s">
        <v>116</v>
      </c>
    </row>
    <row r="5431" spans="1:15" x14ac:dyDescent="0.3">
      <c r="A5431" s="130">
        <v>26502</v>
      </c>
      <c r="B5431" s="130">
        <v>30</v>
      </c>
      <c r="C5431" s="130" t="s">
        <v>7055</v>
      </c>
      <c r="D5431">
        <v>42436</v>
      </c>
      <c r="E5431" s="130">
        <v>20059618</v>
      </c>
      <c r="F5431" t="s">
        <v>87</v>
      </c>
      <c r="G5431">
        <v>1096</v>
      </c>
      <c r="H5431" t="s">
        <v>8953</v>
      </c>
      <c r="I5431" s="131">
        <v>3</v>
      </c>
      <c r="J5431" t="s">
        <v>7055</v>
      </c>
      <c r="K5431" t="s">
        <v>95</v>
      </c>
      <c r="L5431" t="s">
        <v>111</v>
      </c>
      <c r="M5431" t="s">
        <v>103</v>
      </c>
      <c r="N5431" t="s">
        <v>131</v>
      </c>
      <c r="O5431" t="s">
        <v>116</v>
      </c>
    </row>
    <row r="5432" spans="1:15" x14ac:dyDescent="0.3">
      <c r="A5432" s="130">
        <v>26503</v>
      </c>
      <c r="B5432" s="130">
        <v>-1</v>
      </c>
      <c r="C5432" s="130" t="s">
        <v>7056</v>
      </c>
      <c r="D5432">
        <v>41798</v>
      </c>
      <c r="E5432" s="130">
        <v>884554</v>
      </c>
      <c r="F5432" t="s">
        <v>87</v>
      </c>
      <c r="G5432">
        <v>1096</v>
      </c>
      <c r="H5432" t="s">
        <v>8951</v>
      </c>
      <c r="I5432" s="130">
        <v>24</v>
      </c>
      <c r="J5432" t="s">
        <v>7056</v>
      </c>
      <c r="K5432" t="s">
        <v>108</v>
      </c>
      <c r="L5432" t="s">
        <v>240</v>
      </c>
      <c r="M5432" t="s">
        <v>174</v>
      </c>
      <c r="N5432" t="s">
        <v>98</v>
      </c>
      <c r="O5432" t="s">
        <v>116</v>
      </c>
    </row>
    <row r="5433" spans="1:15" x14ac:dyDescent="0.3">
      <c r="A5433" s="130">
        <v>26504</v>
      </c>
      <c r="B5433" s="130">
        <v>18</v>
      </c>
      <c r="C5433" s="130" t="s">
        <v>7057</v>
      </c>
      <c r="D5433">
        <v>42496</v>
      </c>
      <c r="E5433" s="131">
        <v>472355</v>
      </c>
      <c r="F5433" t="s">
        <v>87</v>
      </c>
      <c r="G5433">
        <v>1096</v>
      </c>
      <c r="H5433" t="s">
        <v>8952</v>
      </c>
      <c r="I5433" s="130">
        <v>9</v>
      </c>
      <c r="J5433" t="s">
        <v>7057</v>
      </c>
      <c r="K5433" t="s">
        <v>108</v>
      </c>
      <c r="L5433" t="s">
        <v>163</v>
      </c>
      <c r="M5433" t="s">
        <v>112</v>
      </c>
      <c r="N5433" t="s">
        <v>98</v>
      </c>
      <c r="O5433" t="s">
        <v>116</v>
      </c>
    </row>
    <row r="5434" spans="1:15" x14ac:dyDescent="0.3">
      <c r="A5434" s="130">
        <v>26505</v>
      </c>
      <c r="B5434" s="130">
        <v>30</v>
      </c>
      <c r="C5434" s="130" t="s">
        <v>7058</v>
      </c>
      <c r="D5434">
        <v>42235</v>
      </c>
      <c r="E5434" s="131">
        <v>45130701</v>
      </c>
      <c r="F5434" t="s">
        <v>87</v>
      </c>
      <c r="G5434">
        <v>1096</v>
      </c>
      <c r="H5434" t="s">
        <v>8953</v>
      </c>
      <c r="I5434" s="130">
        <v>19</v>
      </c>
      <c r="J5434" t="s">
        <v>7058</v>
      </c>
      <c r="K5434" t="s">
        <v>108</v>
      </c>
      <c r="L5434" t="s">
        <v>252</v>
      </c>
      <c r="M5434" t="s">
        <v>103</v>
      </c>
      <c r="O5434" t="s">
        <v>116</v>
      </c>
    </row>
    <row r="5435" spans="1:15" x14ac:dyDescent="0.3">
      <c r="A5435" s="130">
        <v>26506</v>
      </c>
      <c r="B5435" s="130">
        <v>18</v>
      </c>
      <c r="C5435" s="130" t="s">
        <v>7059</v>
      </c>
      <c r="D5435">
        <v>42577</v>
      </c>
      <c r="E5435" s="130">
        <v>472355</v>
      </c>
      <c r="F5435" t="s">
        <v>87</v>
      </c>
      <c r="G5435">
        <v>32947</v>
      </c>
      <c r="H5435" t="s">
        <v>8951</v>
      </c>
      <c r="I5435" s="131">
        <v>9</v>
      </c>
      <c r="J5435" t="s">
        <v>7059</v>
      </c>
      <c r="K5435" t="s">
        <v>108</v>
      </c>
      <c r="L5435" t="s">
        <v>163</v>
      </c>
      <c r="M5435" t="s">
        <v>112</v>
      </c>
      <c r="N5435" t="s">
        <v>98</v>
      </c>
      <c r="O5435" t="s">
        <v>116</v>
      </c>
    </row>
    <row r="5436" spans="1:15" x14ac:dyDescent="0.3">
      <c r="A5436" s="130">
        <v>26507</v>
      </c>
      <c r="B5436" s="130">
        <v>18</v>
      </c>
      <c r="C5436" s="130" t="s">
        <v>7060</v>
      </c>
      <c r="D5436">
        <v>42493</v>
      </c>
      <c r="E5436" s="131">
        <v>472355</v>
      </c>
      <c r="F5436" t="s">
        <v>87</v>
      </c>
      <c r="G5436">
        <v>1096</v>
      </c>
      <c r="H5436" t="s">
        <v>8952</v>
      </c>
      <c r="I5436" s="130">
        <v>9</v>
      </c>
      <c r="J5436" t="s">
        <v>7060</v>
      </c>
      <c r="K5436" t="s">
        <v>95</v>
      </c>
      <c r="L5436" t="s">
        <v>163</v>
      </c>
      <c r="M5436" t="s">
        <v>112</v>
      </c>
      <c r="N5436" t="s">
        <v>98</v>
      </c>
      <c r="O5436" t="s">
        <v>116</v>
      </c>
    </row>
    <row r="5437" spans="1:15" x14ac:dyDescent="0.3">
      <c r="A5437" s="130">
        <v>26508</v>
      </c>
      <c r="B5437" s="130">
        <v>10</v>
      </c>
      <c r="C5437" s="130" t="s">
        <v>7061</v>
      </c>
      <c r="D5437">
        <v>42594</v>
      </c>
      <c r="E5437" s="131">
        <v>3584565</v>
      </c>
      <c r="F5437" t="s">
        <v>87</v>
      </c>
      <c r="G5437">
        <v>32947</v>
      </c>
      <c r="H5437" t="s">
        <v>8953</v>
      </c>
      <c r="I5437" s="131">
        <v>3</v>
      </c>
      <c r="J5437" t="s">
        <v>7061</v>
      </c>
      <c r="K5437" t="s">
        <v>108</v>
      </c>
      <c r="L5437" t="s">
        <v>1293</v>
      </c>
      <c r="M5437" t="s">
        <v>133</v>
      </c>
      <c r="N5437" t="s">
        <v>98</v>
      </c>
      <c r="O5437" t="s">
        <v>116</v>
      </c>
    </row>
    <row r="5438" spans="1:15" x14ac:dyDescent="0.3">
      <c r="A5438" s="130">
        <v>26510</v>
      </c>
      <c r="B5438" s="130">
        <v>30</v>
      </c>
      <c r="C5438" s="130" t="s">
        <v>7062</v>
      </c>
      <c r="D5438">
        <v>42229</v>
      </c>
      <c r="E5438" s="130">
        <v>20651311</v>
      </c>
      <c r="F5438" t="s">
        <v>87</v>
      </c>
      <c r="G5438">
        <v>1096</v>
      </c>
      <c r="H5438" t="s">
        <v>8951</v>
      </c>
      <c r="I5438" s="131">
        <v>43</v>
      </c>
      <c r="J5438" t="s">
        <v>7062</v>
      </c>
      <c r="K5438" t="s">
        <v>95</v>
      </c>
      <c r="L5438" t="s">
        <v>111</v>
      </c>
      <c r="M5438" t="s">
        <v>103</v>
      </c>
      <c r="N5438" t="s">
        <v>98</v>
      </c>
      <c r="O5438" t="s">
        <v>116</v>
      </c>
    </row>
    <row r="5439" spans="1:15" x14ac:dyDescent="0.3">
      <c r="A5439" s="130">
        <v>26513</v>
      </c>
      <c r="B5439" s="130">
        <v>30</v>
      </c>
      <c r="C5439" s="130" t="s">
        <v>7063</v>
      </c>
      <c r="D5439">
        <v>42539</v>
      </c>
      <c r="E5439" s="130">
        <v>33193996</v>
      </c>
      <c r="F5439" t="s">
        <v>87</v>
      </c>
      <c r="G5439">
        <v>1096</v>
      </c>
      <c r="H5439" t="s">
        <v>8952</v>
      </c>
      <c r="I5439" s="130">
        <v>3</v>
      </c>
      <c r="J5439" t="s">
        <v>7063</v>
      </c>
      <c r="K5439" t="s">
        <v>95</v>
      </c>
      <c r="L5439" t="s">
        <v>1293</v>
      </c>
      <c r="M5439" t="s">
        <v>103</v>
      </c>
      <c r="N5439" t="s">
        <v>98</v>
      </c>
      <c r="O5439" t="s">
        <v>116</v>
      </c>
    </row>
    <row r="5440" spans="1:15" x14ac:dyDescent="0.3">
      <c r="A5440" s="130">
        <v>26514</v>
      </c>
      <c r="B5440" s="130">
        <v>18</v>
      </c>
      <c r="C5440" s="130" t="s">
        <v>7064</v>
      </c>
      <c r="D5440">
        <v>40828</v>
      </c>
      <c r="E5440" s="130">
        <v>12665836</v>
      </c>
      <c r="F5440" t="s">
        <v>87</v>
      </c>
      <c r="G5440">
        <v>1096</v>
      </c>
      <c r="H5440" t="s">
        <v>8953</v>
      </c>
      <c r="I5440" s="130">
        <v>26</v>
      </c>
      <c r="J5440" t="s">
        <v>7064</v>
      </c>
      <c r="K5440" t="s">
        <v>108</v>
      </c>
      <c r="L5440" t="s">
        <v>151</v>
      </c>
      <c r="M5440" t="s">
        <v>112</v>
      </c>
      <c r="N5440" t="s">
        <v>98</v>
      </c>
      <c r="O5440" t="s">
        <v>116</v>
      </c>
    </row>
    <row r="5441" spans="1:15" x14ac:dyDescent="0.3">
      <c r="A5441" s="130">
        <v>26515</v>
      </c>
      <c r="B5441" s="130">
        <v>-1</v>
      </c>
      <c r="C5441" s="130" t="s">
        <v>7065</v>
      </c>
      <c r="D5441">
        <v>42232</v>
      </c>
      <c r="E5441" s="130">
        <v>30620619</v>
      </c>
      <c r="F5441" t="s">
        <v>87</v>
      </c>
      <c r="G5441">
        <v>1096</v>
      </c>
      <c r="H5441" t="s">
        <v>8951</v>
      </c>
      <c r="I5441" s="130">
        <v>10</v>
      </c>
      <c r="J5441" t="s">
        <v>7065</v>
      </c>
      <c r="K5441" t="s">
        <v>108</v>
      </c>
      <c r="L5441" t="s">
        <v>111</v>
      </c>
      <c r="M5441" t="s">
        <v>174</v>
      </c>
      <c r="N5441" t="s">
        <v>98</v>
      </c>
      <c r="O5441" t="s">
        <v>116</v>
      </c>
    </row>
    <row r="5442" spans="1:15" x14ac:dyDescent="0.3">
      <c r="A5442" s="130">
        <v>26517</v>
      </c>
      <c r="B5442" s="130" t="s">
        <v>201</v>
      </c>
      <c r="C5442" s="130" t="s">
        <v>7066</v>
      </c>
      <c r="D5442">
        <v>42627</v>
      </c>
      <c r="E5442" s="130">
        <v>73186900</v>
      </c>
      <c r="F5442" t="s">
        <v>87</v>
      </c>
      <c r="G5442">
        <v>32947</v>
      </c>
      <c r="H5442" t="s">
        <v>8952</v>
      </c>
      <c r="I5442" s="130">
        <v>18</v>
      </c>
      <c r="J5442" t="s">
        <v>7066</v>
      </c>
      <c r="K5442" t="s">
        <v>108</v>
      </c>
      <c r="L5442" t="s">
        <v>1293</v>
      </c>
      <c r="M5442" t="s">
        <v>201</v>
      </c>
      <c r="N5442" t="s">
        <v>98</v>
      </c>
      <c r="O5442" t="s">
        <v>116</v>
      </c>
    </row>
    <row r="5443" spans="1:15" x14ac:dyDescent="0.3">
      <c r="A5443" s="130">
        <v>26519</v>
      </c>
      <c r="B5443" s="130">
        <v>0</v>
      </c>
      <c r="C5443" s="130" t="s">
        <v>7067</v>
      </c>
      <c r="D5443">
        <v>42675</v>
      </c>
      <c r="E5443" s="130">
        <v>73262706515</v>
      </c>
      <c r="F5443" t="s">
        <v>87</v>
      </c>
      <c r="G5443">
        <v>32947</v>
      </c>
      <c r="H5443" t="s">
        <v>8953</v>
      </c>
      <c r="I5443" s="131">
        <v>19</v>
      </c>
      <c r="J5443" t="s">
        <v>7067</v>
      </c>
      <c r="K5443" t="s">
        <v>108</v>
      </c>
      <c r="L5443" t="s">
        <v>252</v>
      </c>
      <c r="M5443" t="s">
        <v>100</v>
      </c>
      <c r="N5443" t="s">
        <v>110</v>
      </c>
      <c r="O5443" t="s">
        <v>116</v>
      </c>
    </row>
    <row r="5444" spans="1:15" x14ac:dyDescent="0.3">
      <c r="A5444" s="130">
        <v>26520</v>
      </c>
      <c r="B5444" s="130">
        <v>30</v>
      </c>
      <c r="C5444" s="130" t="s">
        <v>7068</v>
      </c>
      <c r="D5444">
        <v>42641</v>
      </c>
      <c r="E5444" s="130">
        <v>60498706</v>
      </c>
      <c r="F5444" t="s">
        <v>87</v>
      </c>
      <c r="G5444">
        <v>1096</v>
      </c>
      <c r="H5444" t="s">
        <v>8951</v>
      </c>
      <c r="I5444" s="131">
        <v>38</v>
      </c>
      <c r="J5444" t="s">
        <v>7068</v>
      </c>
      <c r="K5444" t="s">
        <v>108</v>
      </c>
      <c r="L5444" t="s">
        <v>126</v>
      </c>
      <c r="M5444" t="s">
        <v>103</v>
      </c>
      <c r="N5444" t="s">
        <v>114</v>
      </c>
      <c r="O5444" t="s">
        <v>116</v>
      </c>
    </row>
    <row r="5445" spans="1:15" x14ac:dyDescent="0.3">
      <c r="A5445" s="130">
        <v>26521</v>
      </c>
      <c r="B5445" s="130">
        <v>30</v>
      </c>
      <c r="C5445" s="130" t="s">
        <v>7069</v>
      </c>
      <c r="D5445">
        <v>41380</v>
      </c>
      <c r="E5445" s="130">
        <v>88309620</v>
      </c>
      <c r="F5445" t="s">
        <v>87</v>
      </c>
      <c r="G5445">
        <v>32947</v>
      </c>
      <c r="H5445" t="s">
        <v>8952</v>
      </c>
      <c r="I5445" s="131">
        <v>3</v>
      </c>
      <c r="J5445" t="s">
        <v>7069</v>
      </c>
      <c r="K5445" t="s">
        <v>108</v>
      </c>
      <c r="L5445" t="s">
        <v>191</v>
      </c>
      <c r="M5445" t="s">
        <v>103</v>
      </c>
      <c r="N5445" t="s">
        <v>122</v>
      </c>
      <c r="O5445" t="s">
        <v>116</v>
      </c>
    </row>
    <row r="5446" spans="1:15" x14ac:dyDescent="0.3">
      <c r="A5446" s="130">
        <v>26522</v>
      </c>
      <c r="B5446" s="130">
        <v>28</v>
      </c>
      <c r="C5446" s="130" t="s">
        <v>7070</v>
      </c>
      <c r="D5446">
        <v>41851</v>
      </c>
      <c r="E5446" s="130">
        <v>78954286</v>
      </c>
      <c r="F5446" t="s">
        <v>87</v>
      </c>
      <c r="G5446">
        <v>1096</v>
      </c>
      <c r="H5446" t="s">
        <v>8953</v>
      </c>
      <c r="I5446" s="130">
        <v>18</v>
      </c>
      <c r="J5446" t="s">
        <v>7070</v>
      </c>
      <c r="K5446" t="s">
        <v>108</v>
      </c>
      <c r="L5446" t="s">
        <v>253</v>
      </c>
      <c r="M5446" t="s">
        <v>130</v>
      </c>
      <c r="N5446" t="s">
        <v>152</v>
      </c>
      <c r="O5446" t="s">
        <v>116</v>
      </c>
    </row>
    <row r="5447" spans="1:15" x14ac:dyDescent="0.3">
      <c r="A5447" s="130">
        <v>26524</v>
      </c>
      <c r="B5447" s="130">
        <v>30</v>
      </c>
      <c r="C5447" s="130" t="s">
        <v>7071</v>
      </c>
      <c r="D5447">
        <v>42725</v>
      </c>
      <c r="E5447" s="130">
        <v>36178464</v>
      </c>
      <c r="F5447" t="s">
        <v>87</v>
      </c>
      <c r="G5447">
        <v>32947</v>
      </c>
      <c r="H5447" t="s">
        <v>8951</v>
      </c>
      <c r="I5447" s="131">
        <v>37</v>
      </c>
      <c r="J5447" t="s">
        <v>7071</v>
      </c>
      <c r="K5447" t="s">
        <v>95</v>
      </c>
      <c r="L5447" t="s">
        <v>138</v>
      </c>
      <c r="M5447" t="s">
        <v>103</v>
      </c>
      <c r="N5447" t="s">
        <v>98</v>
      </c>
      <c r="O5447" t="s">
        <v>116</v>
      </c>
    </row>
    <row r="5448" spans="1:15" x14ac:dyDescent="0.3">
      <c r="A5448" s="130">
        <v>26525</v>
      </c>
      <c r="B5448" s="130">
        <v>10</v>
      </c>
      <c r="C5448" s="130" t="s">
        <v>7072</v>
      </c>
      <c r="D5448">
        <v>42413</v>
      </c>
      <c r="E5448" s="131">
        <v>10571491</v>
      </c>
      <c r="F5448" t="s">
        <v>87</v>
      </c>
      <c r="G5448">
        <v>76</v>
      </c>
      <c r="H5448" t="s">
        <v>8952</v>
      </c>
      <c r="I5448" s="131">
        <v>10</v>
      </c>
      <c r="J5448" t="s">
        <v>7072</v>
      </c>
      <c r="K5448" t="s">
        <v>108</v>
      </c>
      <c r="L5448" t="s">
        <v>127</v>
      </c>
      <c r="M5448" t="s">
        <v>133</v>
      </c>
      <c r="N5448" t="s">
        <v>98</v>
      </c>
      <c r="O5448" t="s">
        <v>116</v>
      </c>
    </row>
    <row r="5449" spans="1:15" x14ac:dyDescent="0.3">
      <c r="A5449" s="130">
        <v>26526</v>
      </c>
      <c r="B5449" s="130">
        <v>30</v>
      </c>
      <c r="C5449" s="130" t="s">
        <v>7073</v>
      </c>
      <c r="D5449">
        <v>41325</v>
      </c>
      <c r="E5449" s="130">
        <v>41795584</v>
      </c>
      <c r="F5449" t="s">
        <v>87</v>
      </c>
      <c r="G5449">
        <v>1096</v>
      </c>
      <c r="H5449" t="s">
        <v>8953</v>
      </c>
      <c r="I5449" s="131">
        <v>3</v>
      </c>
      <c r="J5449" t="s">
        <v>7073</v>
      </c>
      <c r="K5449" t="s">
        <v>108</v>
      </c>
      <c r="L5449" t="s">
        <v>109</v>
      </c>
      <c r="M5449" t="s">
        <v>103</v>
      </c>
      <c r="N5449" t="s">
        <v>98</v>
      </c>
      <c r="O5449" t="s">
        <v>116</v>
      </c>
    </row>
    <row r="5450" spans="1:15" x14ac:dyDescent="0.3">
      <c r="A5450" s="130">
        <v>26527</v>
      </c>
      <c r="B5450" s="130">
        <v>30</v>
      </c>
      <c r="C5450" s="130" t="s">
        <v>7074</v>
      </c>
      <c r="D5450">
        <v>42700</v>
      </c>
      <c r="E5450" s="130">
        <v>3152281</v>
      </c>
      <c r="F5450" t="s">
        <v>87</v>
      </c>
      <c r="G5450">
        <v>1096</v>
      </c>
      <c r="H5450" t="s">
        <v>8951</v>
      </c>
      <c r="I5450" s="130">
        <v>9</v>
      </c>
      <c r="J5450" t="s">
        <v>7074</v>
      </c>
      <c r="K5450" t="s">
        <v>95</v>
      </c>
      <c r="L5450" t="s">
        <v>163</v>
      </c>
      <c r="M5450" t="s">
        <v>103</v>
      </c>
      <c r="N5450" t="s">
        <v>118</v>
      </c>
      <c r="O5450" t="s">
        <v>116</v>
      </c>
    </row>
    <row r="5451" spans="1:15" x14ac:dyDescent="0.3">
      <c r="A5451" s="130">
        <v>26529</v>
      </c>
      <c r="B5451" s="130">
        <v>30</v>
      </c>
      <c r="C5451" s="130" t="s">
        <v>7075</v>
      </c>
      <c r="D5451">
        <v>42715</v>
      </c>
      <c r="E5451" s="131">
        <v>42249760</v>
      </c>
      <c r="F5451" t="s">
        <v>87</v>
      </c>
      <c r="G5451">
        <v>1096</v>
      </c>
      <c r="H5451" t="s">
        <v>8952</v>
      </c>
      <c r="I5451" s="131">
        <v>38</v>
      </c>
      <c r="J5451" t="s">
        <v>7075</v>
      </c>
      <c r="K5451" t="s">
        <v>108</v>
      </c>
      <c r="L5451" t="s">
        <v>126</v>
      </c>
      <c r="M5451" t="s">
        <v>103</v>
      </c>
      <c r="N5451" t="s">
        <v>98</v>
      </c>
      <c r="O5451" t="s">
        <v>116</v>
      </c>
    </row>
    <row r="5452" spans="1:15" x14ac:dyDescent="0.3">
      <c r="A5452" s="130">
        <v>26530</v>
      </c>
      <c r="B5452" s="130">
        <v>21</v>
      </c>
      <c r="C5452" s="130" t="s">
        <v>7076</v>
      </c>
      <c r="D5452">
        <v>42509</v>
      </c>
      <c r="E5452" s="130">
        <v>8304356</v>
      </c>
      <c r="F5452" t="s">
        <v>87</v>
      </c>
      <c r="G5452">
        <v>1096</v>
      </c>
      <c r="H5452" t="s">
        <v>8953</v>
      </c>
      <c r="I5452" s="131">
        <v>24</v>
      </c>
      <c r="J5452" t="s">
        <v>7076</v>
      </c>
      <c r="K5452" t="s">
        <v>108</v>
      </c>
      <c r="L5452" t="s">
        <v>191</v>
      </c>
      <c r="M5452" t="s">
        <v>137</v>
      </c>
      <c r="N5452" t="s">
        <v>101</v>
      </c>
      <c r="O5452" t="s">
        <v>116</v>
      </c>
    </row>
    <row r="5453" spans="1:15" x14ac:dyDescent="0.3">
      <c r="A5453" s="130">
        <v>26532</v>
      </c>
      <c r="B5453" s="130">
        <v>30</v>
      </c>
      <c r="C5453" s="130" t="s">
        <v>7077</v>
      </c>
      <c r="D5453">
        <v>42766</v>
      </c>
      <c r="E5453" s="130">
        <v>41910379</v>
      </c>
      <c r="F5453" t="s">
        <v>87</v>
      </c>
      <c r="G5453">
        <v>32947</v>
      </c>
      <c r="H5453" t="s">
        <v>8951</v>
      </c>
      <c r="I5453" s="131">
        <v>3</v>
      </c>
      <c r="J5453" t="s">
        <v>7077</v>
      </c>
      <c r="K5453" t="s">
        <v>108</v>
      </c>
      <c r="L5453" t="s">
        <v>109</v>
      </c>
      <c r="M5453" t="s">
        <v>103</v>
      </c>
      <c r="N5453" t="s">
        <v>98</v>
      </c>
      <c r="O5453" t="s">
        <v>116</v>
      </c>
    </row>
    <row r="5454" spans="1:15" x14ac:dyDescent="0.3">
      <c r="A5454" s="130">
        <v>26533</v>
      </c>
      <c r="B5454" s="130">
        <v>28</v>
      </c>
      <c r="C5454" s="130" t="s">
        <v>7078</v>
      </c>
      <c r="D5454">
        <v>42679</v>
      </c>
      <c r="E5454" s="130">
        <v>35002300</v>
      </c>
      <c r="F5454" t="s">
        <v>87</v>
      </c>
      <c r="G5454">
        <v>1096</v>
      </c>
      <c r="H5454" t="s">
        <v>8952</v>
      </c>
      <c r="I5454" s="130">
        <v>37</v>
      </c>
      <c r="J5454" t="s">
        <v>7078</v>
      </c>
      <c r="K5454" t="s">
        <v>95</v>
      </c>
      <c r="L5454" t="s">
        <v>138</v>
      </c>
      <c r="M5454" t="s">
        <v>130</v>
      </c>
      <c r="N5454" t="s">
        <v>150</v>
      </c>
      <c r="O5454" t="s">
        <v>116</v>
      </c>
    </row>
    <row r="5455" spans="1:15" x14ac:dyDescent="0.3">
      <c r="A5455" s="130">
        <v>26534</v>
      </c>
      <c r="B5455" s="130">
        <v>35</v>
      </c>
      <c r="C5455" s="130" t="s">
        <v>7079</v>
      </c>
      <c r="D5455">
        <v>42751</v>
      </c>
      <c r="E5455" s="131">
        <v>36837702</v>
      </c>
      <c r="F5455" t="s">
        <v>87</v>
      </c>
      <c r="G5455">
        <v>1096</v>
      </c>
      <c r="H5455" t="s">
        <v>8953</v>
      </c>
      <c r="I5455" s="131">
        <v>3</v>
      </c>
      <c r="J5455" t="s">
        <v>7079</v>
      </c>
      <c r="K5455" t="s">
        <v>95</v>
      </c>
      <c r="L5455" t="s">
        <v>256</v>
      </c>
      <c r="M5455" t="s">
        <v>161</v>
      </c>
      <c r="N5455" t="s">
        <v>98</v>
      </c>
      <c r="O5455" t="s">
        <v>116</v>
      </c>
    </row>
    <row r="5456" spans="1:15" x14ac:dyDescent="0.3">
      <c r="A5456" s="130">
        <v>26535</v>
      </c>
      <c r="B5456" s="130">
        <v>30</v>
      </c>
      <c r="C5456" s="130" t="s">
        <v>7080</v>
      </c>
      <c r="D5456">
        <v>42774</v>
      </c>
      <c r="E5456" s="130">
        <v>23664494</v>
      </c>
      <c r="F5456" t="s">
        <v>87</v>
      </c>
      <c r="G5456">
        <v>32947</v>
      </c>
      <c r="H5456" t="s">
        <v>8951</v>
      </c>
      <c r="I5456" s="130">
        <v>18</v>
      </c>
      <c r="J5456" t="s">
        <v>7080</v>
      </c>
      <c r="K5456" t="s">
        <v>108</v>
      </c>
      <c r="L5456" t="s">
        <v>123</v>
      </c>
      <c r="M5456" t="s">
        <v>103</v>
      </c>
      <c r="N5456" t="s">
        <v>98</v>
      </c>
      <c r="O5456" t="s">
        <v>116</v>
      </c>
    </row>
    <row r="5457" spans="1:15" x14ac:dyDescent="0.3">
      <c r="A5457" s="130">
        <v>26536</v>
      </c>
      <c r="B5457" s="130">
        <v>30</v>
      </c>
      <c r="C5457" s="130" t="s">
        <v>7081</v>
      </c>
      <c r="D5457">
        <v>42765</v>
      </c>
      <c r="E5457" s="131">
        <v>7733194</v>
      </c>
      <c r="F5457" t="s">
        <v>87</v>
      </c>
      <c r="G5457">
        <v>1096</v>
      </c>
      <c r="H5457" t="s">
        <v>8952</v>
      </c>
      <c r="I5457" s="130">
        <v>19</v>
      </c>
      <c r="J5457" t="s">
        <v>7081</v>
      </c>
      <c r="K5457" t="s">
        <v>108</v>
      </c>
      <c r="L5457" t="s">
        <v>252</v>
      </c>
      <c r="M5457" t="s">
        <v>103</v>
      </c>
      <c r="N5457" t="s">
        <v>107</v>
      </c>
      <c r="O5457" t="s">
        <v>116</v>
      </c>
    </row>
    <row r="5458" spans="1:15" x14ac:dyDescent="0.3">
      <c r="A5458" s="130">
        <v>26539</v>
      </c>
      <c r="B5458" s="130">
        <v>30</v>
      </c>
      <c r="C5458" s="130" t="s">
        <v>7082</v>
      </c>
      <c r="D5458">
        <v>42792</v>
      </c>
      <c r="E5458" s="130">
        <v>7570671</v>
      </c>
      <c r="F5458" t="s">
        <v>87</v>
      </c>
      <c r="G5458">
        <v>32947</v>
      </c>
      <c r="H5458" t="s">
        <v>8953</v>
      </c>
      <c r="I5458" s="130">
        <v>38</v>
      </c>
      <c r="J5458" t="s">
        <v>7082</v>
      </c>
      <c r="K5458" t="s">
        <v>108</v>
      </c>
      <c r="L5458" t="s">
        <v>126</v>
      </c>
      <c r="M5458" t="s">
        <v>103</v>
      </c>
      <c r="N5458" t="s">
        <v>98</v>
      </c>
      <c r="O5458" t="s">
        <v>116</v>
      </c>
    </row>
    <row r="5459" spans="1:15" x14ac:dyDescent="0.3">
      <c r="A5459" s="130">
        <v>26540</v>
      </c>
      <c r="B5459" s="130">
        <v>18</v>
      </c>
      <c r="C5459" s="130" t="s">
        <v>7083</v>
      </c>
      <c r="D5459">
        <v>42795</v>
      </c>
      <c r="E5459" s="130">
        <v>3460174</v>
      </c>
      <c r="F5459" t="s">
        <v>87</v>
      </c>
      <c r="G5459">
        <v>32947</v>
      </c>
      <c r="H5459" t="s">
        <v>8951</v>
      </c>
      <c r="I5459" s="131">
        <v>3</v>
      </c>
      <c r="J5459" t="s">
        <v>7083</v>
      </c>
      <c r="K5459" t="s">
        <v>108</v>
      </c>
      <c r="L5459" t="s">
        <v>193</v>
      </c>
      <c r="M5459" t="s">
        <v>112</v>
      </c>
      <c r="N5459" t="s">
        <v>169</v>
      </c>
      <c r="O5459" t="s">
        <v>116</v>
      </c>
    </row>
    <row r="5460" spans="1:15" x14ac:dyDescent="0.3">
      <c r="A5460" s="130">
        <v>26541</v>
      </c>
      <c r="B5460" s="130">
        <v>15</v>
      </c>
      <c r="C5460" s="130" t="s">
        <v>7084</v>
      </c>
      <c r="D5460">
        <v>42796</v>
      </c>
      <c r="E5460" s="130">
        <v>7376851</v>
      </c>
      <c r="F5460" t="s">
        <v>87</v>
      </c>
      <c r="G5460">
        <v>32947</v>
      </c>
      <c r="H5460" t="s">
        <v>8952</v>
      </c>
      <c r="I5460" s="131">
        <v>24</v>
      </c>
      <c r="J5460" t="s">
        <v>7084</v>
      </c>
      <c r="K5460" t="s">
        <v>108</v>
      </c>
      <c r="L5460" t="s">
        <v>240</v>
      </c>
      <c r="M5460" t="s">
        <v>145</v>
      </c>
      <c r="N5460" t="s">
        <v>114</v>
      </c>
      <c r="O5460" t="s">
        <v>116</v>
      </c>
    </row>
    <row r="5461" spans="1:15" x14ac:dyDescent="0.3">
      <c r="A5461" s="130">
        <v>26542</v>
      </c>
      <c r="B5461" s="130">
        <v>10</v>
      </c>
      <c r="C5461" s="130" t="s">
        <v>7085</v>
      </c>
      <c r="D5461">
        <v>42797</v>
      </c>
      <c r="E5461" s="130">
        <v>35002300</v>
      </c>
      <c r="F5461" t="s">
        <v>87</v>
      </c>
      <c r="G5461">
        <v>32947</v>
      </c>
      <c r="H5461" t="s">
        <v>8953</v>
      </c>
      <c r="I5461" s="130">
        <v>37</v>
      </c>
      <c r="J5461" t="s">
        <v>7085</v>
      </c>
      <c r="K5461" t="s">
        <v>95</v>
      </c>
      <c r="L5461" t="s">
        <v>138</v>
      </c>
      <c r="M5461" t="s">
        <v>133</v>
      </c>
      <c r="N5461" t="s">
        <v>98</v>
      </c>
      <c r="O5461" t="s">
        <v>1345</v>
      </c>
    </row>
    <row r="5462" spans="1:15" x14ac:dyDescent="0.3">
      <c r="A5462" s="130">
        <v>26543</v>
      </c>
      <c r="B5462" s="130">
        <v>0</v>
      </c>
      <c r="C5462" s="130" t="s">
        <v>7086</v>
      </c>
      <c r="D5462">
        <v>42741</v>
      </c>
      <c r="E5462" s="130">
        <v>13161079</v>
      </c>
      <c r="F5462" t="s">
        <v>87</v>
      </c>
      <c r="G5462">
        <v>1096</v>
      </c>
      <c r="H5462" t="s">
        <v>8951</v>
      </c>
      <c r="I5462" s="130">
        <v>19</v>
      </c>
      <c r="J5462" t="s">
        <v>7086</v>
      </c>
      <c r="K5462" t="s">
        <v>108</v>
      </c>
      <c r="L5462" t="s">
        <v>146</v>
      </c>
      <c r="M5462" t="s">
        <v>100</v>
      </c>
      <c r="N5462" t="s">
        <v>101</v>
      </c>
      <c r="O5462" t="s">
        <v>116</v>
      </c>
    </row>
    <row r="5463" spans="1:15" x14ac:dyDescent="0.3">
      <c r="A5463" s="130">
        <v>26544</v>
      </c>
      <c r="B5463" s="130">
        <v>30</v>
      </c>
      <c r="C5463" s="130" t="s">
        <v>7087</v>
      </c>
      <c r="D5463">
        <v>42661</v>
      </c>
      <c r="E5463" s="130">
        <v>29296671</v>
      </c>
      <c r="F5463" t="s">
        <v>87</v>
      </c>
      <c r="G5463">
        <v>1096</v>
      </c>
      <c r="H5463" t="s">
        <v>8952</v>
      </c>
      <c r="I5463" s="130">
        <v>10</v>
      </c>
      <c r="J5463" t="s">
        <v>7087</v>
      </c>
      <c r="K5463" t="s">
        <v>108</v>
      </c>
      <c r="L5463" t="s">
        <v>111</v>
      </c>
      <c r="M5463" t="s">
        <v>103</v>
      </c>
      <c r="N5463" t="s">
        <v>98</v>
      </c>
      <c r="O5463" t="s">
        <v>116</v>
      </c>
    </row>
    <row r="5464" spans="1:15" x14ac:dyDescent="0.3">
      <c r="A5464" s="130">
        <v>26545</v>
      </c>
      <c r="B5464" s="130">
        <v>10</v>
      </c>
      <c r="C5464" s="130" t="s">
        <v>7088</v>
      </c>
      <c r="D5464">
        <v>42330</v>
      </c>
      <c r="E5464" s="130">
        <v>32870995</v>
      </c>
      <c r="F5464" t="s">
        <v>87</v>
      </c>
      <c r="G5464">
        <v>1096</v>
      </c>
      <c r="H5464" t="s">
        <v>8953</v>
      </c>
      <c r="I5464" s="130">
        <v>3</v>
      </c>
      <c r="J5464" t="s">
        <v>7088</v>
      </c>
      <c r="K5464" t="s">
        <v>108</v>
      </c>
      <c r="L5464" t="s">
        <v>1293</v>
      </c>
      <c r="M5464" t="s">
        <v>133</v>
      </c>
      <c r="N5464" t="s">
        <v>98</v>
      </c>
      <c r="O5464" t="s">
        <v>116</v>
      </c>
    </row>
    <row r="5465" spans="1:15" x14ac:dyDescent="0.3">
      <c r="A5465" s="130">
        <v>26547</v>
      </c>
      <c r="B5465" s="130">
        <v>60</v>
      </c>
      <c r="C5465" s="130" t="s">
        <v>7089</v>
      </c>
      <c r="D5465">
        <v>40570</v>
      </c>
      <c r="E5465" s="131">
        <v>92660604</v>
      </c>
      <c r="F5465" t="s">
        <v>87</v>
      </c>
      <c r="G5465">
        <v>1096</v>
      </c>
      <c r="H5465" t="s">
        <v>8951</v>
      </c>
      <c r="I5465" s="130">
        <v>24</v>
      </c>
      <c r="J5465" t="s">
        <v>7089</v>
      </c>
      <c r="K5465" t="s">
        <v>95</v>
      </c>
      <c r="L5465" t="s">
        <v>117</v>
      </c>
      <c r="M5465" t="s">
        <v>97</v>
      </c>
      <c r="N5465" t="s">
        <v>114</v>
      </c>
      <c r="O5465" t="s">
        <v>116</v>
      </c>
    </row>
    <row r="5466" spans="1:15" x14ac:dyDescent="0.3">
      <c r="A5466" s="130">
        <v>26548</v>
      </c>
      <c r="B5466" s="130">
        <v>30</v>
      </c>
      <c r="C5466" s="130" t="s">
        <v>7090</v>
      </c>
      <c r="D5466">
        <v>42858</v>
      </c>
      <c r="E5466" s="130">
        <v>10736565</v>
      </c>
      <c r="F5466" t="s">
        <v>87</v>
      </c>
      <c r="G5466">
        <v>32947</v>
      </c>
      <c r="H5466" t="s">
        <v>8952</v>
      </c>
      <c r="I5466" s="130">
        <v>9</v>
      </c>
      <c r="J5466" t="s">
        <v>7090</v>
      </c>
      <c r="K5466" t="s">
        <v>95</v>
      </c>
      <c r="L5466" t="s">
        <v>163</v>
      </c>
      <c r="M5466" t="s">
        <v>103</v>
      </c>
      <c r="N5466" t="s">
        <v>114</v>
      </c>
      <c r="O5466" t="s">
        <v>116</v>
      </c>
    </row>
    <row r="5467" spans="1:15" x14ac:dyDescent="0.3">
      <c r="A5467" s="130">
        <v>26549</v>
      </c>
      <c r="B5467" s="130">
        <v>30</v>
      </c>
      <c r="C5467" s="130" t="s">
        <v>7091</v>
      </c>
      <c r="D5467">
        <v>42861</v>
      </c>
      <c r="E5467" s="130">
        <v>20041620</v>
      </c>
      <c r="F5467" t="s">
        <v>87</v>
      </c>
      <c r="G5467">
        <v>32947</v>
      </c>
      <c r="H5467" t="s">
        <v>8953</v>
      </c>
      <c r="I5467" s="130">
        <v>3</v>
      </c>
      <c r="J5467" t="s">
        <v>7091</v>
      </c>
      <c r="K5467" t="s">
        <v>95</v>
      </c>
      <c r="L5467" t="s">
        <v>102</v>
      </c>
      <c r="M5467" t="s">
        <v>103</v>
      </c>
      <c r="N5467" t="s">
        <v>152</v>
      </c>
      <c r="O5467" t="s">
        <v>116</v>
      </c>
    </row>
    <row r="5468" spans="1:15" x14ac:dyDescent="0.3">
      <c r="A5468" s="130">
        <v>26550</v>
      </c>
      <c r="B5468" s="130">
        <v>21</v>
      </c>
      <c r="C5468" s="130" t="s">
        <v>7092</v>
      </c>
      <c r="D5468">
        <v>42312</v>
      </c>
      <c r="E5468" s="131">
        <v>2385674</v>
      </c>
      <c r="F5468" t="s">
        <v>87</v>
      </c>
      <c r="G5468">
        <v>1096</v>
      </c>
      <c r="H5468" t="s">
        <v>8951</v>
      </c>
      <c r="I5468" s="130">
        <v>10</v>
      </c>
      <c r="J5468" t="s">
        <v>7092</v>
      </c>
      <c r="K5468" t="s">
        <v>95</v>
      </c>
      <c r="L5468" t="s">
        <v>111</v>
      </c>
      <c r="M5468" t="s">
        <v>137</v>
      </c>
      <c r="N5468" t="s">
        <v>98</v>
      </c>
      <c r="O5468" t="s">
        <v>116</v>
      </c>
    </row>
    <row r="5469" spans="1:15" x14ac:dyDescent="0.3">
      <c r="A5469" s="130">
        <v>26551</v>
      </c>
      <c r="B5469" s="130">
        <v>30</v>
      </c>
      <c r="C5469" s="130" t="s">
        <v>7093</v>
      </c>
      <c r="D5469">
        <v>42772</v>
      </c>
      <c r="E5469" s="130">
        <v>20239662</v>
      </c>
      <c r="F5469" t="s">
        <v>87</v>
      </c>
      <c r="G5469">
        <v>1096</v>
      </c>
      <c r="H5469" t="s">
        <v>8952</v>
      </c>
      <c r="I5469" s="131">
        <v>10</v>
      </c>
      <c r="J5469" t="s">
        <v>7093</v>
      </c>
      <c r="K5469" t="s">
        <v>95</v>
      </c>
      <c r="L5469" t="s">
        <v>111</v>
      </c>
      <c r="M5469" t="s">
        <v>103</v>
      </c>
      <c r="N5469" t="s">
        <v>98</v>
      </c>
      <c r="O5469" t="s">
        <v>116</v>
      </c>
    </row>
    <row r="5470" spans="1:15" x14ac:dyDescent="0.3">
      <c r="A5470" s="130">
        <v>26552</v>
      </c>
      <c r="B5470" s="130">
        <v>30</v>
      </c>
      <c r="C5470" s="130" t="s">
        <v>7094</v>
      </c>
      <c r="D5470">
        <v>42877</v>
      </c>
      <c r="E5470" s="130">
        <v>8807683</v>
      </c>
      <c r="F5470" t="s">
        <v>87</v>
      </c>
      <c r="G5470">
        <v>32947</v>
      </c>
      <c r="H5470" t="s">
        <v>8953</v>
      </c>
      <c r="I5470" s="131">
        <v>26</v>
      </c>
      <c r="J5470" t="s">
        <v>7094</v>
      </c>
      <c r="K5470" t="s">
        <v>95</v>
      </c>
      <c r="L5470" t="s">
        <v>151</v>
      </c>
      <c r="M5470" t="s">
        <v>103</v>
      </c>
      <c r="N5470" t="s">
        <v>122</v>
      </c>
      <c r="O5470" t="s">
        <v>116</v>
      </c>
    </row>
    <row r="5471" spans="1:15" x14ac:dyDescent="0.3">
      <c r="A5471" s="130">
        <v>26553</v>
      </c>
      <c r="B5471" s="130">
        <v>30</v>
      </c>
      <c r="C5471" s="130" t="s">
        <v>7095</v>
      </c>
      <c r="D5471">
        <v>42881</v>
      </c>
      <c r="E5471" s="130">
        <v>8807683</v>
      </c>
      <c r="F5471" t="s">
        <v>87</v>
      </c>
      <c r="G5471">
        <v>32947</v>
      </c>
      <c r="H5471" t="s">
        <v>8951</v>
      </c>
      <c r="I5471" s="130">
        <v>26</v>
      </c>
      <c r="J5471" t="s">
        <v>7095</v>
      </c>
      <c r="K5471" t="s">
        <v>95</v>
      </c>
      <c r="L5471" t="s">
        <v>151</v>
      </c>
      <c r="M5471" t="s">
        <v>103</v>
      </c>
      <c r="N5471" t="s">
        <v>122</v>
      </c>
      <c r="O5471" t="s">
        <v>116</v>
      </c>
    </row>
    <row r="5472" spans="1:15" x14ac:dyDescent="0.3">
      <c r="A5472" s="130">
        <v>26554</v>
      </c>
      <c r="B5472" s="130">
        <v>45</v>
      </c>
      <c r="C5472" s="130" t="s">
        <v>7096</v>
      </c>
      <c r="D5472">
        <v>42863</v>
      </c>
      <c r="E5472" s="130">
        <v>10279488</v>
      </c>
      <c r="F5472" t="s">
        <v>87</v>
      </c>
      <c r="G5472">
        <v>1096</v>
      </c>
      <c r="H5472" t="s">
        <v>8952</v>
      </c>
      <c r="I5472" s="130">
        <v>37</v>
      </c>
      <c r="J5472" t="s">
        <v>7096</v>
      </c>
      <c r="K5472" t="s">
        <v>95</v>
      </c>
      <c r="L5472" t="s">
        <v>96</v>
      </c>
      <c r="M5472" t="s">
        <v>106</v>
      </c>
      <c r="N5472" t="s">
        <v>114</v>
      </c>
      <c r="O5472" t="s">
        <v>116</v>
      </c>
    </row>
    <row r="5473" spans="1:15" x14ac:dyDescent="0.3">
      <c r="A5473" s="130">
        <v>26555</v>
      </c>
      <c r="B5473" s="130">
        <v>45</v>
      </c>
      <c r="C5473" s="130" t="s">
        <v>7097</v>
      </c>
      <c r="D5473">
        <v>42866</v>
      </c>
      <c r="E5473" s="131">
        <v>10279488</v>
      </c>
      <c r="F5473" t="s">
        <v>87</v>
      </c>
      <c r="G5473">
        <v>1096</v>
      </c>
      <c r="H5473" t="s">
        <v>8953</v>
      </c>
      <c r="I5473" s="131">
        <v>3</v>
      </c>
      <c r="J5473" t="s">
        <v>7097</v>
      </c>
      <c r="K5473" t="s">
        <v>95</v>
      </c>
      <c r="L5473" t="s">
        <v>96</v>
      </c>
      <c r="M5473" t="s">
        <v>106</v>
      </c>
      <c r="N5473" t="s">
        <v>114</v>
      </c>
      <c r="O5473" t="s">
        <v>116</v>
      </c>
    </row>
    <row r="5474" spans="1:15" x14ac:dyDescent="0.3">
      <c r="A5474" s="130">
        <v>26557</v>
      </c>
      <c r="B5474" s="130">
        <v>30</v>
      </c>
      <c r="C5474" s="130" t="s">
        <v>7098</v>
      </c>
      <c r="D5474">
        <v>42829</v>
      </c>
      <c r="E5474" s="131">
        <v>42107017</v>
      </c>
      <c r="F5474" t="s">
        <v>87</v>
      </c>
      <c r="G5474">
        <v>1096</v>
      </c>
      <c r="H5474" t="s">
        <v>8951</v>
      </c>
      <c r="I5474" s="130">
        <v>42</v>
      </c>
      <c r="J5474" t="s">
        <v>7098</v>
      </c>
      <c r="K5474" t="s">
        <v>95</v>
      </c>
      <c r="L5474" t="s">
        <v>144</v>
      </c>
      <c r="M5474" t="s">
        <v>103</v>
      </c>
      <c r="N5474" t="s">
        <v>98</v>
      </c>
      <c r="O5474" t="s">
        <v>116</v>
      </c>
    </row>
    <row r="5475" spans="1:15" x14ac:dyDescent="0.3">
      <c r="A5475" s="130">
        <v>26558</v>
      </c>
      <c r="B5475" s="130">
        <v>30</v>
      </c>
      <c r="C5475" s="130" t="s">
        <v>7099</v>
      </c>
      <c r="D5475">
        <v>42769</v>
      </c>
      <c r="E5475" s="130">
        <v>52568183</v>
      </c>
      <c r="F5475" t="s">
        <v>87</v>
      </c>
      <c r="G5475">
        <v>1096</v>
      </c>
      <c r="H5475" t="s">
        <v>8952</v>
      </c>
      <c r="I5475" s="130">
        <v>10</v>
      </c>
      <c r="J5475" t="s">
        <v>7099</v>
      </c>
      <c r="K5475" t="s">
        <v>95</v>
      </c>
      <c r="L5475" t="s">
        <v>111</v>
      </c>
      <c r="M5475" t="s">
        <v>103</v>
      </c>
      <c r="N5475" t="s">
        <v>98</v>
      </c>
      <c r="O5475" t="s">
        <v>116</v>
      </c>
    </row>
    <row r="5476" spans="1:15" x14ac:dyDescent="0.3">
      <c r="A5476" s="130">
        <v>26559</v>
      </c>
      <c r="B5476" s="130">
        <v>45</v>
      </c>
      <c r="C5476" s="130" t="s">
        <v>7100</v>
      </c>
      <c r="D5476">
        <v>42897</v>
      </c>
      <c r="E5476" s="131">
        <v>2502844</v>
      </c>
      <c r="F5476" t="s">
        <v>87</v>
      </c>
      <c r="G5476">
        <v>1096</v>
      </c>
      <c r="H5476" t="s">
        <v>8953</v>
      </c>
      <c r="I5476" s="131">
        <v>24</v>
      </c>
      <c r="J5476" t="s">
        <v>7100</v>
      </c>
      <c r="K5476" t="s">
        <v>95</v>
      </c>
      <c r="L5476" t="s">
        <v>144</v>
      </c>
      <c r="M5476" t="s">
        <v>106</v>
      </c>
      <c r="N5476" t="s">
        <v>98</v>
      </c>
      <c r="O5476" t="s">
        <v>116</v>
      </c>
    </row>
    <row r="5477" spans="1:15" x14ac:dyDescent="0.3">
      <c r="A5477" s="130">
        <v>26560</v>
      </c>
      <c r="B5477" s="130">
        <v>18</v>
      </c>
      <c r="C5477" s="130" t="s">
        <v>7101</v>
      </c>
      <c r="D5477">
        <v>42919</v>
      </c>
      <c r="E5477" s="130">
        <v>56144808</v>
      </c>
      <c r="F5477" t="s">
        <v>87</v>
      </c>
      <c r="G5477">
        <v>1096</v>
      </c>
      <c r="H5477" t="s">
        <v>8951</v>
      </c>
      <c r="I5477" s="130">
        <v>3</v>
      </c>
      <c r="J5477" t="s">
        <v>7101</v>
      </c>
      <c r="K5477" t="s">
        <v>108</v>
      </c>
      <c r="L5477" t="s">
        <v>193</v>
      </c>
      <c r="M5477" t="s">
        <v>112</v>
      </c>
      <c r="N5477" t="s">
        <v>98</v>
      </c>
      <c r="O5477" t="s">
        <v>116</v>
      </c>
    </row>
    <row r="5478" spans="1:15" x14ac:dyDescent="0.3">
      <c r="A5478" s="130">
        <v>26561</v>
      </c>
      <c r="B5478" s="130">
        <v>10</v>
      </c>
      <c r="C5478" s="130" t="s">
        <v>7102</v>
      </c>
      <c r="D5478">
        <v>42822</v>
      </c>
      <c r="E5478" s="130">
        <v>18322925</v>
      </c>
      <c r="F5478" t="s">
        <v>87</v>
      </c>
      <c r="G5478">
        <v>1096</v>
      </c>
      <c r="H5478" t="s">
        <v>8952</v>
      </c>
      <c r="I5478" s="131">
        <v>3</v>
      </c>
      <c r="J5478" t="s">
        <v>7102</v>
      </c>
      <c r="K5478" t="s">
        <v>95</v>
      </c>
      <c r="L5478" t="s">
        <v>109</v>
      </c>
      <c r="M5478" t="s">
        <v>133</v>
      </c>
      <c r="N5478" t="s">
        <v>98</v>
      </c>
      <c r="O5478" t="s">
        <v>116</v>
      </c>
    </row>
    <row r="5479" spans="1:15" x14ac:dyDescent="0.3">
      <c r="A5479" s="130">
        <v>26562</v>
      </c>
      <c r="B5479" s="130">
        <v>30</v>
      </c>
      <c r="C5479" s="130" t="s">
        <v>7103</v>
      </c>
      <c r="D5479">
        <v>42867</v>
      </c>
      <c r="E5479" s="131">
        <v>9625762</v>
      </c>
      <c r="F5479" t="s">
        <v>87</v>
      </c>
      <c r="G5479">
        <v>32947</v>
      </c>
      <c r="H5479" t="s">
        <v>8953</v>
      </c>
      <c r="I5479" s="130">
        <v>43</v>
      </c>
      <c r="J5479" t="s">
        <v>7103</v>
      </c>
      <c r="K5479" t="s">
        <v>95</v>
      </c>
      <c r="L5479" t="s">
        <v>111</v>
      </c>
      <c r="M5479" t="s">
        <v>103</v>
      </c>
      <c r="N5479" t="s">
        <v>150</v>
      </c>
      <c r="O5479" t="s">
        <v>116</v>
      </c>
    </row>
    <row r="5480" spans="1:15" x14ac:dyDescent="0.3">
      <c r="A5480" s="130">
        <v>26563</v>
      </c>
      <c r="B5480" s="130">
        <v>18</v>
      </c>
      <c r="C5480" s="130" t="s">
        <v>7104</v>
      </c>
      <c r="D5480">
        <v>42903</v>
      </c>
      <c r="E5480" s="131">
        <v>11155874</v>
      </c>
      <c r="F5480" t="s">
        <v>87</v>
      </c>
      <c r="G5480">
        <v>1096</v>
      </c>
      <c r="H5480" t="s">
        <v>8951</v>
      </c>
      <c r="I5480" s="130">
        <v>26</v>
      </c>
      <c r="J5480" t="s">
        <v>7104</v>
      </c>
      <c r="K5480" t="s">
        <v>108</v>
      </c>
      <c r="L5480" t="s">
        <v>151</v>
      </c>
      <c r="M5480" t="s">
        <v>112</v>
      </c>
      <c r="N5480" t="s">
        <v>98</v>
      </c>
      <c r="O5480" t="s">
        <v>116</v>
      </c>
    </row>
    <row r="5481" spans="1:15" x14ac:dyDescent="0.3">
      <c r="A5481" s="130">
        <v>26565</v>
      </c>
      <c r="B5481" s="130">
        <v>90</v>
      </c>
      <c r="C5481" s="130" t="s">
        <v>7105</v>
      </c>
      <c r="D5481">
        <v>42952</v>
      </c>
      <c r="E5481" s="130">
        <v>9538989</v>
      </c>
      <c r="F5481" t="s">
        <v>87</v>
      </c>
      <c r="G5481">
        <v>32947</v>
      </c>
      <c r="H5481" t="s">
        <v>8952</v>
      </c>
      <c r="I5481" s="130">
        <v>24</v>
      </c>
      <c r="J5481" t="s">
        <v>7105</v>
      </c>
      <c r="K5481" t="s">
        <v>95</v>
      </c>
      <c r="L5481" t="s">
        <v>191</v>
      </c>
      <c r="M5481" t="s">
        <v>170</v>
      </c>
      <c r="N5481" t="s">
        <v>124</v>
      </c>
      <c r="O5481" t="s">
        <v>116</v>
      </c>
    </row>
    <row r="5482" spans="1:15" x14ac:dyDescent="0.3">
      <c r="A5482" s="130">
        <v>26566</v>
      </c>
      <c r="B5482" s="130">
        <v>21</v>
      </c>
      <c r="C5482" s="130" t="s">
        <v>7106</v>
      </c>
      <c r="D5482">
        <v>42916</v>
      </c>
      <c r="E5482" s="130">
        <v>94480480</v>
      </c>
      <c r="F5482" t="s">
        <v>87</v>
      </c>
      <c r="G5482">
        <v>32947</v>
      </c>
      <c r="H5482" t="s">
        <v>8953</v>
      </c>
      <c r="I5482" s="130">
        <v>24</v>
      </c>
      <c r="J5482" t="s">
        <v>7106</v>
      </c>
      <c r="K5482" t="s">
        <v>108</v>
      </c>
      <c r="L5482" t="s">
        <v>191</v>
      </c>
      <c r="M5482" t="s">
        <v>137</v>
      </c>
      <c r="N5482" t="s">
        <v>114</v>
      </c>
      <c r="O5482" t="s">
        <v>116</v>
      </c>
    </row>
    <row r="5483" spans="1:15" x14ac:dyDescent="0.3">
      <c r="A5483" s="130">
        <v>26567</v>
      </c>
      <c r="B5483" s="130">
        <v>30</v>
      </c>
      <c r="C5483" s="130" t="s">
        <v>7107</v>
      </c>
      <c r="D5483">
        <v>42955</v>
      </c>
      <c r="E5483" s="130">
        <v>44013159</v>
      </c>
      <c r="F5483" t="s">
        <v>87</v>
      </c>
      <c r="G5483">
        <v>32947</v>
      </c>
      <c r="H5483" t="s">
        <v>8951</v>
      </c>
      <c r="I5483" s="130">
        <v>26</v>
      </c>
      <c r="J5483" t="s">
        <v>7107</v>
      </c>
      <c r="K5483" t="s">
        <v>108</v>
      </c>
      <c r="L5483" t="s">
        <v>151</v>
      </c>
      <c r="M5483" t="s">
        <v>103</v>
      </c>
      <c r="N5483" t="s">
        <v>98</v>
      </c>
      <c r="O5483" t="s">
        <v>116</v>
      </c>
    </row>
    <row r="5484" spans="1:15" x14ac:dyDescent="0.3">
      <c r="A5484" s="130">
        <v>26568</v>
      </c>
      <c r="B5484" s="130">
        <v>30</v>
      </c>
      <c r="C5484" s="130" t="s">
        <v>7108</v>
      </c>
      <c r="D5484">
        <v>42724</v>
      </c>
      <c r="E5484" s="131">
        <v>10714060</v>
      </c>
      <c r="F5484" t="s">
        <v>87</v>
      </c>
      <c r="G5484">
        <v>1096</v>
      </c>
      <c r="H5484" t="s">
        <v>8952</v>
      </c>
      <c r="I5484" s="130">
        <v>3</v>
      </c>
      <c r="J5484" t="s">
        <v>7108</v>
      </c>
      <c r="K5484" t="s">
        <v>108</v>
      </c>
      <c r="L5484" t="s">
        <v>193</v>
      </c>
      <c r="M5484" t="s">
        <v>103</v>
      </c>
      <c r="N5484" t="s">
        <v>98</v>
      </c>
      <c r="O5484" t="s">
        <v>116</v>
      </c>
    </row>
    <row r="5485" spans="1:15" x14ac:dyDescent="0.3">
      <c r="A5485" s="130">
        <v>26569</v>
      </c>
      <c r="B5485" s="130">
        <v>-1</v>
      </c>
      <c r="C5485" s="130" t="s">
        <v>7109</v>
      </c>
      <c r="D5485">
        <v>42815</v>
      </c>
      <c r="E5485" s="130">
        <v>30620619</v>
      </c>
      <c r="F5485" t="s">
        <v>87</v>
      </c>
      <c r="G5485">
        <v>1096</v>
      </c>
      <c r="H5485" t="s">
        <v>8953</v>
      </c>
      <c r="I5485" s="130">
        <v>10</v>
      </c>
      <c r="J5485" t="s">
        <v>7109</v>
      </c>
      <c r="K5485" t="s">
        <v>108</v>
      </c>
      <c r="L5485" t="s">
        <v>111</v>
      </c>
      <c r="M5485" t="s">
        <v>174</v>
      </c>
      <c r="N5485" t="s">
        <v>98</v>
      </c>
      <c r="O5485" t="s">
        <v>116</v>
      </c>
    </row>
    <row r="5486" spans="1:15" x14ac:dyDescent="0.3">
      <c r="A5486" s="130">
        <v>26570</v>
      </c>
      <c r="B5486" s="130">
        <v>18</v>
      </c>
      <c r="C5486" s="130" t="s">
        <v>7110</v>
      </c>
      <c r="D5486">
        <v>42345</v>
      </c>
      <c r="E5486" s="130">
        <v>59225698</v>
      </c>
      <c r="F5486" t="s">
        <v>87</v>
      </c>
      <c r="G5486">
        <v>1096</v>
      </c>
      <c r="H5486" t="s">
        <v>8951</v>
      </c>
      <c r="I5486" s="130">
        <v>37</v>
      </c>
      <c r="J5486" t="s">
        <v>7110</v>
      </c>
      <c r="K5486" t="s">
        <v>108</v>
      </c>
      <c r="L5486" t="s">
        <v>138</v>
      </c>
      <c r="M5486" t="s">
        <v>112</v>
      </c>
      <c r="N5486" t="s">
        <v>101</v>
      </c>
      <c r="O5486" t="s">
        <v>116</v>
      </c>
    </row>
    <row r="5487" spans="1:15" x14ac:dyDescent="0.3">
      <c r="A5487" s="130">
        <v>26572</v>
      </c>
      <c r="B5487" s="130">
        <v>18</v>
      </c>
      <c r="C5487" s="130" t="s">
        <v>7111</v>
      </c>
      <c r="D5487">
        <v>42912</v>
      </c>
      <c r="E5487" s="130">
        <v>1868396</v>
      </c>
      <c r="F5487" t="s">
        <v>87</v>
      </c>
      <c r="G5487">
        <v>76</v>
      </c>
      <c r="H5487" t="s">
        <v>8952</v>
      </c>
      <c r="I5487" s="131">
        <v>26</v>
      </c>
      <c r="J5487" t="s">
        <v>7111</v>
      </c>
      <c r="K5487" t="s">
        <v>108</v>
      </c>
      <c r="L5487" t="s">
        <v>151</v>
      </c>
      <c r="M5487" t="s">
        <v>112</v>
      </c>
      <c r="N5487" t="s">
        <v>98</v>
      </c>
      <c r="O5487" t="s">
        <v>116</v>
      </c>
    </row>
    <row r="5488" spans="1:15" x14ac:dyDescent="0.3">
      <c r="A5488" s="130">
        <v>26573</v>
      </c>
      <c r="B5488" s="130">
        <v>18</v>
      </c>
      <c r="C5488" s="130" t="s">
        <v>7112</v>
      </c>
      <c r="D5488">
        <v>42945</v>
      </c>
      <c r="E5488" s="131">
        <v>43649038</v>
      </c>
      <c r="F5488" t="s">
        <v>87</v>
      </c>
      <c r="G5488">
        <v>1096</v>
      </c>
      <c r="H5488" t="s">
        <v>8953</v>
      </c>
      <c r="I5488" s="131">
        <v>37</v>
      </c>
      <c r="J5488" t="s">
        <v>7112</v>
      </c>
      <c r="K5488" t="s">
        <v>108</v>
      </c>
      <c r="L5488" t="s">
        <v>138</v>
      </c>
      <c r="M5488" t="s">
        <v>112</v>
      </c>
      <c r="N5488" t="s">
        <v>150</v>
      </c>
      <c r="O5488" t="s">
        <v>116</v>
      </c>
    </row>
    <row r="5489" spans="1:15" x14ac:dyDescent="0.3">
      <c r="A5489" s="130">
        <v>26574</v>
      </c>
      <c r="B5489" s="130">
        <v>30</v>
      </c>
      <c r="C5489" s="130" t="s">
        <v>7113</v>
      </c>
      <c r="D5489">
        <v>43072</v>
      </c>
      <c r="E5489" s="131">
        <v>6232484</v>
      </c>
      <c r="F5489" t="s">
        <v>87</v>
      </c>
      <c r="G5489">
        <v>32947</v>
      </c>
      <c r="H5489" t="s">
        <v>8951</v>
      </c>
      <c r="I5489" s="131">
        <v>3</v>
      </c>
      <c r="J5489" t="s">
        <v>7113</v>
      </c>
      <c r="K5489" t="s">
        <v>95</v>
      </c>
      <c r="L5489" t="s">
        <v>105</v>
      </c>
      <c r="M5489" t="s">
        <v>103</v>
      </c>
      <c r="N5489" t="s">
        <v>98</v>
      </c>
      <c r="O5489" t="s">
        <v>116</v>
      </c>
    </row>
    <row r="5490" spans="1:15" x14ac:dyDescent="0.3">
      <c r="A5490" s="130">
        <v>26575</v>
      </c>
      <c r="B5490" s="130">
        <v>30</v>
      </c>
      <c r="C5490" s="130" t="s">
        <v>7114</v>
      </c>
      <c r="D5490">
        <v>41265</v>
      </c>
      <c r="E5490" s="130">
        <v>35693541</v>
      </c>
      <c r="F5490" t="s">
        <v>87</v>
      </c>
      <c r="G5490">
        <v>1096</v>
      </c>
      <c r="H5490" t="s">
        <v>8952</v>
      </c>
      <c r="I5490" s="131">
        <v>10</v>
      </c>
      <c r="J5490" t="s">
        <v>7114</v>
      </c>
      <c r="K5490" t="s">
        <v>108</v>
      </c>
      <c r="L5490" t="s">
        <v>111</v>
      </c>
      <c r="M5490" t="s">
        <v>103</v>
      </c>
      <c r="N5490" t="s">
        <v>101</v>
      </c>
      <c r="O5490" t="s">
        <v>116</v>
      </c>
    </row>
    <row r="5491" spans="1:15" x14ac:dyDescent="0.3">
      <c r="A5491" s="130">
        <v>26576</v>
      </c>
      <c r="B5491" s="130">
        <v>60</v>
      </c>
      <c r="C5491" s="130" t="s">
        <v>7115</v>
      </c>
      <c r="D5491">
        <v>43066</v>
      </c>
      <c r="E5491" s="131">
        <v>532740</v>
      </c>
      <c r="F5491" t="s">
        <v>87</v>
      </c>
      <c r="G5491">
        <v>76</v>
      </c>
      <c r="H5491" t="s">
        <v>8953</v>
      </c>
      <c r="I5491" s="131">
        <v>10</v>
      </c>
      <c r="J5491" t="s">
        <v>7115</v>
      </c>
      <c r="K5491" t="s">
        <v>95</v>
      </c>
      <c r="L5491" t="s">
        <v>127</v>
      </c>
      <c r="M5491" t="s">
        <v>97</v>
      </c>
      <c r="N5491" t="s">
        <v>118</v>
      </c>
      <c r="O5491" t="s">
        <v>116</v>
      </c>
    </row>
    <row r="5492" spans="1:15" x14ac:dyDescent="0.3">
      <c r="A5492" s="130">
        <v>26577</v>
      </c>
      <c r="B5492" s="130">
        <v>21</v>
      </c>
      <c r="C5492" s="130" t="s">
        <v>7116</v>
      </c>
      <c r="D5492">
        <v>42883</v>
      </c>
      <c r="E5492" s="130">
        <v>59456095</v>
      </c>
      <c r="F5492" t="s">
        <v>87</v>
      </c>
      <c r="G5492">
        <v>1096</v>
      </c>
      <c r="H5492" t="s">
        <v>8951</v>
      </c>
      <c r="I5492" s="130">
        <v>24</v>
      </c>
      <c r="J5492" t="s">
        <v>7116</v>
      </c>
      <c r="K5492" t="s">
        <v>108</v>
      </c>
      <c r="L5492" t="s">
        <v>191</v>
      </c>
      <c r="M5492" t="s">
        <v>137</v>
      </c>
      <c r="O5492" t="s">
        <v>116</v>
      </c>
    </row>
    <row r="5493" spans="1:15" x14ac:dyDescent="0.3">
      <c r="A5493" s="130">
        <v>26578</v>
      </c>
      <c r="B5493" s="130">
        <v>30</v>
      </c>
      <c r="C5493" s="130" t="s">
        <v>7117</v>
      </c>
      <c r="D5493">
        <v>43081</v>
      </c>
      <c r="E5493" s="130">
        <v>3992929</v>
      </c>
      <c r="F5493" t="s">
        <v>87</v>
      </c>
      <c r="G5493">
        <v>1096</v>
      </c>
      <c r="H5493" t="s">
        <v>8952</v>
      </c>
      <c r="I5493" s="130">
        <v>9</v>
      </c>
      <c r="J5493" t="s">
        <v>7117</v>
      </c>
      <c r="K5493" t="s">
        <v>95</v>
      </c>
      <c r="L5493" t="s">
        <v>1298</v>
      </c>
      <c r="M5493" t="s">
        <v>103</v>
      </c>
      <c r="N5493" t="s">
        <v>98</v>
      </c>
      <c r="O5493" t="s">
        <v>116</v>
      </c>
    </row>
    <row r="5494" spans="1:15" x14ac:dyDescent="0.3">
      <c r="A5494" s="130">
        <v>26579</v>
      </c>
      <c r="B5494" s="130">
        <v>30</v>
      </c>
      <c r="C5494" s="130" t="s">
        <v>7118</v>
      </c>
      <c r="D5494">
        <v>42746</v>
      </c>
      <c r="E5494" s="130">
        <v>41109336</v>
      </c>
      <c r="F5494" t="s">
        <v>87</v>
      </c>
      <c r="G5494">
        <v>1096</v>
      </c>
      <c r="H5494" t="s">
        <v>8953</v>
      </c>
      <c r="I5494" s="131">
        <v>19</v>
      </c>
      <c r="J5494" t="s">
        <v>7118</v>
      </c>
      <c r="K5494" t="s">
        <v>108</v>
      </c>
      <c r="L5494" t="s">
        <v>252</v>
      </c>
      <c r="M5494" t="s">
        <v>103</v>
      </c>
      <c r="N5494" t="s">
        <v>98</v>
      </c>
      <c r="O5494" t="s">
        <v>116</v>
      </c>
    </row>
    <row r="5495" spans="1:15" x14ac:dyDescent="0.3">
      <c r="A5495" s="130">
        <v>26580</v>
      </c>
      <c r="B5495" s="130">
        <v>30</v>
      </c>
      <c r="C5495" s="130" t="s">
        <v>7119</v>
      </c>
      <c r="D5495">
        <v>43068</v>
      </c>
      <c r="E5495" s="130">
        <v>31259449</v>
      </c>
      <c r="F5495" t="s">
        <v>87</v>
      </c>
      <c r="G5495">
        <v>1096</v>
      </c>
      <c r="H5495" t="s">
        <v>8951</v>
      </c>
      <c r="I5495" s="130">
        <v>18</v>
      </c>
      <c r="J5495" t="s">
        <v>7119</v>
      </c>
      <c r="K5495" t="s">
        <v>95</v>
      </c>
      <c r="L5495" t="s">
        <v>123</v>
      </c>
      <c r="M5495" t="s">
        <v>103</v>
      </c>
      <c r="N5495" t="s">
        <v>98</v>
      </c>
      <c r="O5495" t="s">
        <v>116</v>
      </c>
    </row>
    <row r="5496" spans="1:15" x14ac:dyDescent="0.3">
      <c r="A5496" s="130">
        <v>26581</v>
      </c>
      <c r="B5496" s="130">
        <v>30</v>
      </c>
      <c r="C5496" s="130" t="s">
        <v>7120</v>
      </c>
      <c r="D5496">
        <v>42933</v>
      </c>
      <c r="E5496" s="130">
        <v>8319968</v>
      </c>
      <c r="F5496" t="s">
        <v>87</v>
      </c>
      <c r="G5496">
        <v>1096</v>
      </c>
      <c r="H5496" t="s">
        <v>8952</v>
      </c>
      <c r="I5496" s="131">
        <v>18</v>
      </c>
      <c r="J5496" t="s">
        <v>7120</v>
      </c>
      <c r="K5496" t="s">
        <v>108</v>
      </c>
      <c r="L5496" t="s">
        <v>123</v>
      </c>
      <c r="M5496" t="s">
        <v>103</v>
      </c>
      <c r="N5496" t="s">
        <v>98</v>
      </c>
      <c r="O5496" t="s">
        <v>116</v>
      </c>
    </row>
    <row r="5497" spans="1:15" x14ac:dyDescent="0.3">
      <c r="A5497" s="130">
        <v>26582</v>
      </c>
      <c r="B5497" s="130">
        <v>28</v>
      </c>
      <c r="C5497" s="130" t="s">
        <v>7121</v>
      </c>
      <c r="D5497">
        <v>43115</v>
      </c>
      <c r="E5497" s="130">
        <v>50620917</v>
      </c>
      <c r="F5497" t="s">
        <v>87</v>
      </c>
      <c r="G5497">
        <v>1096</v>
      </c>
      <c r="H5497" t="s">
        <v>8953</v>
      </c>
      <c r="I5497" s="130">
        <v>37</v>
      </c>
      <c r="J5497" t="s">
        <v>7121</v>
      </c>
      <c r="K5497" t="s">
        <v>95</v>
      </c>
      <c r="L5497" t="s">
        <v>138</v>
      </c>
      <c r="M5497" t="s">
        <v>130</v>
      </c>
      <c r="N5497" t="s">
        <v>150</v>
      </c>
      <c r="O5497" t="s">
        <v>116</v>
      </c>
    </row>
    <row r="5498" spans="1:15" x14ac:dyDescent="0.3">
      <c r="A5498" s="130">
        <v>26584</v>
      </c>
      <c r="B5498" s="130">
        <v>30</v>
      </c>
      <c r="C5498" s="130" t="s">
        <v>7122</v>
      </c>
      <c r="D5498">
        <v>43142</v>
      </c>
      <c r="E5498" s="131">
        <v>31259449</v>
      </c>
      <c r="F5498" t="s">
        <v>87</v>
      </c>
      <c r="G5498">
        <v>32947</v>
      </c>
      <c r="H5498" t="s">
        <v>8951</v>
      </c>
      <c r="I5498" s="131">
        <v>18</v>
      </c>
      <c r="J5498" t="s">
        <v>7122</v>
      </c>
      <c r="K5498" t="s">
        <v>95</v>
      </c>
      <c r="L5498" t="s">
        <v>123</v>
      </c>
      <c r="M5498" t="s">
        <v>103</v>
      </c>
      <c r="N5498" t="s">
        <v>98</v>
      </c>
      <c r="O5498" t="s">
        <v>116</v>
      </c>
    </row>
    <row r="5499" spans="1:15" x14ac:dyDescent="0.3">
      <c r="A5499" s="130">
        <v>26585</v>
      </c>
      <c r="B5499" s="130">
        <v>30</v>
      </c>
      <c r="C5499" s="130" t="s">
        <v>7123</v>
      </c>
      <c r="D5499">
        <v>42678</v>
      </c>
      <c r="E5499" s="130">
        <v>21062047</v>
      </c>
      <c r="F5499" t="s">
        <v>87</v>
      </c>
      <c r="G5499">
        <v>1096</v>
      </c>
      <c r="H5499" t="s">
        <v>8952</v>
      </c>
      <c r="I5499" s="131">
        <v>3</v>
      </c>
      <c r="J5499" t="s">
        <v>7123</v>
      </c>
      <c r="K5499" t="s">
        <v>95</v>
      </c>
      <c r="L5499" t="s">
        <v>111</v>
      </c>
      <c r="M5499" t="s">
        <v>103</v>
      </c>
      <c r="N5499" t="s">
        <v>98</v>
      </c>
      <c r="O5499" t="s">
        <v>116</v>
      </c>
    </row>
    <row r="5500" spans="1:15" x14ac:dyDescent="0.3">
      <c r="A5500" s="130">
        <v>26586</v>
      </c>
      <c r="B5500" s="130">
        <v>18</v>
      </c>
      <c r="C5500" s="130" t="s">
        <v>7124</v>
      </c>
      <c r="D5500">
        <v>42805</v>
      </c>
      <c r="E5500" s="130">
        <v>3353341</v>
      </c>
      <c r="F5500" t="s">
        <v>87</v>
      </c>
      <c r="G5500">
        <v>76</v>
      </c>
      <c r="H5500" t="s">
        <v>8953</v>
      </c>
      <c r="I5500" s="131">
        <v>10</v>
      </c>
      <c r="J5500" t="s">
        <v>7124</v>
      </c>
      <c r="K5500" t="s">
        <v>108</v>
      </c>
      <c r="L5500" t="s">
        <v>127</v>
      </c>
      <c r="M5500" t="s">
        <v>112</v>
      </c>
      <c r="N5500" t="s">
        <v>118</v>
      </c>
      <c r="O5500" t="s">
        <v>116</v>
      </c>
    </row>
    <row r="5501" spans="1:15" x14ac:dyDescent="0.3">
      <c r="A5501" s="130">
        <v>26588</v>
      </c>
      <c r="B5501" s="130">
        <v>30</v>
      </c>
      <c r="C5501" s="130" t="s">
        <v>7125</v>
      </c>
      <c r="D5501">
        <v>43088</v>
      </c>
      <c r="E5501" s="130">
        <v>14742012</v>
      </c>
      <c r="F5501" t="s">
        <v>87</v>
      </c>
      <c r="G5501">
        <v>1096</v>
      </c>
      <c r="H5501" t="s">
        <v>8951</v>
      </c>
      <c r="I5501" s="130">
        <v>19</v>
      </c>
      <c r="J5501" t="s">
        <v>7125</v>
      </c>
      <c r="K5501" t="s">
        <v>108</v>
      </c>
      <c r="L5501" t="s">
        <v>252</v>
      </c>
      <c r="M5501" t="s">
        <v>103</v>
      </c>
      <c r="N5501" t="s">
        <v>98</v>
      </c>
      <c r="O5501" t="s">
        <v>116</v>
      </c>
    </row>
    <row r="5502" spans="1:15" x14ac:dyDescent="0.3">
      <c r="A5502" s="130">
        <v>26590</v>
      </c>
      <c r="B5502" s="130" t="s">
        <v>246</v>
      </c>
      <c r="C5502" s="130" t="s">
        <v>7126</v>
      </c>
      <c r="D5502">
        <v>43210</v>
      </c>
      <c r="E5502" s="130">
        <v>19759554</v>
      </c>
      <c r="F5502" t="s">
        <v>87</v>
      </c>
      <c r="G5502">
        <v>32947</v>
      </c>
      <c r="H5502" t="s">
        <v>8952</v>
      </c>
      <c r="I5502" s="130">
        <v>3</v>
      </c>
      <c r="J5502" t="s">
        <v>7126</v>
      </c>
      <c r="K5502" t="s">
        <v>108</v>
      </c>
      <c r="L5502" t="s">
        <v>96</v>
      </c>
      <c r="M5502" t="s">
        <v>246</v>
      </c>
      <c r="N5502" t="s">
        <v>118</v>
      </c>
      <c r="O5502" t="s">
        <v>116</v>
      </c>
    </row>
    <row r="5503" spans="1:15" x14ac:dyDescent="0.3">
      <c r="A5503" s="130">
        <v>26591</v>
      </c>
      <c r="B5503" s="130">
        <v>30</v>
      </c>
      <c r="C5503" s="130" t="s">
        <v>7127</v>
      </c>
      <c r="D5503">
        <v>42818</v>
      </c>
      <c r="E5503" s="130">
        <v>9625762</v>
      </c>
      <c r="F5503" t="s">
        <v>87</v>
      </c>
      <c r="G5503">
        <v>1096</v>
      </c>
      <c r="H5503" t="s">
        <v>8953</v>
      </c>
      <c r="I5503" s="130">
        <v>43</v>
      </c>
      <c r="J5503" t="s">
        <v>7127</v>
      </c>
      <c r="K5503" t="s">
        <v>95</v>
      </c>
      <c r="L5503" t="s">
        <v>111</v>
      </c>
      <c r="M5503" t="s">
        <v>103</v>
      </c>
      <c r="N5503" t="s">
        <v>150</v>
      </c>
      <c r="O5503" t="s">
        <v>116</v>
      </c>
    </row>
    <row r="5504" spans="1:15" x14ac:dyDescent="0.3">
      <c r="A5504" s="130">
        <v>26592</v>
      </c>
      <c r="B5504" s="130">
        <v>35</v>
      </c>
      <c r="C5504" s="130" t="s">
        <v>7128</v>
      </c>
      <c r="D5504">
        <v>43112</v>
      </c>
      <c r="E5504" s="130">
        <v>34692778</v>
      </c>
      <c r="F5504" t="s">
        <v>87</v>
      </c>
      <c r="G5504">
        <v>1096</v>
      </c>
      <c r="H5504" t="s">
        <v>8951</v>
      </c>
      <c r="I5504" s="130">
        <v>18</v>
      </c>
      <c r="J5504" t="s">
        <v>7128</v>
      </c>
      <c r="K5504" t="s">
        <v>95</v>
      </c>
      <c r="L5504" t="s">
        <v>256</v>
      </c>
      <c r="M5504" t="s">
        <v>161</v>
      </c>
      <c r="N5504" t="s">
        <v>98</v>
      </c>
      <c r="O5504" t="s">
        <v>116</v>
      </c>
    </row>
    <row r="5505" spans="1:15" x14ac:dyDescent="0.3">
      <c r="A5505" s="130">
        <v>26593</v>
      </c>
      <c r="B5505" s="130">
        <v>30</v>
      </c>
      <c r="C5505" s="130" t="s">
        <v>7129</v>
      </c>
      <c r="D5505">
        <v>43241</v>
      </c>
      <c r="E5505" s="130">
        <v>24219445</v>
      </c>
      <c r="F5505" t="s">
        <v>87</v>
      </c>
      <c r="G5505">
        <v>32947</v>
      </c>
      <c r="H5505" t="s">
        <v>8952</v>
      </c>
      <c r="I5505" s="131">
        <v>19</v>
      </c>
      <c r="J5505" t="s">
        <v>7129</v>
      </c>
      <c r="K5505" t="s">
        <v>108</v>
      </c>
      <c r="L5505" t="s">
        <v>146</v>
      </c>
      <c r="M5505" t="s">
        <v>103</v>
      </c>
      <c r="N5505" t="s">
        <v>101</v>
      </c>
      <c r="O5505" t="s">
        <v>116</v>
      </c>
    </row>
    <row r="5506" spans="1:15" x14ac:dyDescent="0.3">
      <c r="A5506" s="130">
        <v>26594</v>
      </c>
      <c r="B5506" s="130">
        <v>30</v>
      </c>
      <c r="C5506" s="130" t="s">
        <v>7130</v>
      </c>
      <c r="D5506">
        <v>43040</v>
      </c>
      <c r="E5506" s="131">
        <v>21681150</v>
      </c>
      <c r="F5506" t="s">
        <v>87</v>
      </c>
      <c r="G5506">
        <v>1096</v>
      </c>
      <c r="H5506" t="s">
        <v>8953</v>
      </c>
      <c r="I5506" s="130">
        <v>3</v>
      </c>
      <c r="J5506" t="s">
        <v>7130</v>
      </c>
      <c r="K5506" t="s">
        <v>95</v>
      </c>
      <c r="L5506" t="s">
        <v>105</v>
      </c>
      <c r="M5506" t="s">
        <v>103</v>
      </c>
      <c r="N5506" t="s">
        <v>98</v>
      </c>
      <c r="O5506" t="s">
        <v>1345</v>
      </c>
    </row>
    <row r="5507" spans="1:15" x14ac:dyDescent="0.3">
      <c r="A5507" s="130">
        <v>26595</v>
      </c>
      <c r="B5507" s="130">
        <v>30</v>
      </c>
      <c r="C5507" s="130" t="s">
        <v>7131</v>
      </c>
      <c r="D5507">
        <v>42207</v>
      </c>
      <c r="E5507" s="130">
        <v>83646547</v>
      </c>
      <c r="F5507" t="s">
        <v>87</v>
      </c>
      <c r="G5507">
        <v>1096</v>
      </c>
      <c r="H5507" t="s">
        <v>8951</v>
      </c>
      <c r="I5507" s="130">
        <v>10</v>
      </c>
      <c r="J5507" t="s">
        <v>7131</v>
      </c>
      <c r="K5507" t="s">
        <v>95</v>
      </c>
      <c r="L5507" t="s">
        <v>111</v>
      </c>
      <c r="M5507" t="s">
        <v>103</v>
      </c>
      <c r="N5507" t="s">
        <v>114</v>
      </c>
      <c r="O5507" t="s">
        <v>116</v>
      </c>
    </row>
    <row r="5508" spans="1:15" x14ac:dyDescent="0.3">
      <c r="A5508" s="130">
        <v>26596</v>
      </c>
      <c r="B5508" s="130">
        <v>18</v>
      </c>
      <c r="C5508" s="130" t="s">
        <v>7132</v>
      </c>
      <c r="D5508">
        <v>42764</v>
      </c>
      <c r="E5508" s="131">
        <v>472355</v>
      </c>
      <c r="F5508" t="s">
        <v>87</v>
      </c>
      <c r="G5508">
        <v>1096</v>
      </c>
      <c r="H5508" t="s">
        <v>8952</v>
      </c>
      <c r="I5508" s="131">
        <v>9</v>
      </c>
      <c r="J5508" t="s">
        <v>7132</v>
      </c>
      <c r="K5508" t="s">
        <v>95</v>
      </c>
      <c r="L5508" t="s">
        <v>163</v>
      </c>
      <c r="M5508" t="s">
        <v>112</v>
      </c>
      <c r="N5508" t="s">
        <v>98</v>
      </c>
      <c r="O5508" t="s">
        <v>116</v>
      </c>
    </row>
    <row r="5509" spans="1:15" x14ac:dyDescent="0.3">
      <c r="A5509" s="130">
        <v>26598</v>
      </c>
      <c r="B5509" s="130" t="s">
        <v>1497</v>
      </c>
      <c r="C5509" s="130" t="s">
        <v>7133</v>
      </c>
      <c r="D5509">
        <v>43179</v>
      </c>
      <c r="E5509" s="130">
        <v>17399602</v>
      </c>
      <c r="F5509" t="s">
        <v>87</v>
      </c>
      <c r="G5509">
        <v>76</v>
      </c>
      <c r="H5509" t="s">
        <v>8953</v>
      </c>
      <c r="I5509" s="130">
        <v>10</v>
      </c>
      <c r="J5509" t="s">
        <v>7133</v>
      </c>
      <c r="K5509" t="s">
        <v>95</v>
      </c>
      <c r="L5509" t="s">
        <v>127</v>
      </c>
      <c r="M5509" t="s">
        <v>1498</v>
      </c>
      <c r="N5509" t="s">
        <v>118</v>
      </c>
      <c r="O5509" t="s">
        <v>116</v>
      </c>
    </row>
    <row r="5510" spans="1:15" x14ac:dyDescent="0.3">
      <c r="A5510" s="130">
        <v>26599</v>
      </c>
      <c r="B5510" s="130">
        <v>18</v>
      </c>
      <c r="C5510" s="130" t="s">
        <v>7134</v>
      </c>
      <c r="D5510">
        <v>42647</v>
      </c>
      <c r="E5510" s="131">
        <v>472355</v>
      </c>
      <c r="F5510" t="s">
        <v>87</v>
      </c>
      <c r="G5510">
        <v>1096</v>
      </c>
      <c r="H5510" t="s">
        <v>8951</v>
      </c>
      <c r="I5510" s="131">
        <v>9</v>
      </c>
      <c r="J5510" t="s">
        <v>7134</v>
      </c>
      <c r="K5510" t="s">
        <v>95</v>
      </c>
      <c r="L5510" t="s">
        <v>163</v>
      </c>
      <c r="M5510" t="s">
        <v>112</v>
      </c>
      <c r="N5510" t="s">
        <v>98</v>
      </c>
      <c r="O5510" t="s">
        <v>116</v>
      </c>
    </row>
    <row r="5511" spans="1:15" x14ac:dyDescent="0.3">
      <c r="A5511" s="130">
        <v>26600</v>
      </c>
      <c r="B5511" s="130">
        <v>30</v>
      </c>
      <c r="C5511" s="130" t="s">
        <v>7135</v>
      </c>
      <c r="D5511">
        <v>42492</v>
      </c>
      <c r="E5511" s="130">
        <v>11561855</v>
      </c>
      <c r="F5511" t="s">
        <v>87</v>
      </c>
      <c r="G5511">
        <v>1096</v>
      </c>
      <c r="H5511" t="s">
        <v>8952</v>
      </c>
      <c r="I5511" s="131">
        <v>26</v>
      </c>
      <c r="J5511" t="s">
        <v>7135</v>
      </c>
      <c r="K5511" t="s">
        <v>108</v>
      </c>
      <c r="L5511" t="s">
        <v>123</v>
      </c>
      <c r="M5511" t="s">
        <v>103</v>
      </c>
      <c r="N5511" t="s">
        <v>98</v>
      </c>
      <c r="O5511" t="s">
        <v>116</v>
      </c>
    </row>
    <row r="5512" spans="1:15" x14ac:dyDescent="0.3">
      <c r="A5512" s="130">
        <v>26601</v>
      </c>
      <c r="B5512" s="130">
        <v>10</v>
      </c>
      <c r="C5512" s="130" t="s">
        <v>7136</v>
      </c>
      <c r="D5512">
        <v>43091</v>
      </c>
      <c r="E5512" s="130">
        <v>5638550</v>
      </c>
      <c r="F5512" t="s">
        <v>87</v>
      </c>
      <c r="G5512">
        <v>1096</v>
      </c>
      <c r="H5512" t="s">
        <v>8953</v>
      </c>
      <c r="I5512" s="130">
        <v>9</v>
      </c>
      <c r="J5512" t="s">
        <v>7136</v>
      </c>
      <c r="K5512" t="s">
        <v>108</v>
      </c>
      <c r="L5512" t="s">
        <v>1298</v>
      </c>
      <c r="M5512" t="s">
        <v>133</v>
      </c>
      <c r="N5512" t="s">
        <v>98</v>
      </c>
      <c r="O5512" t="s">
        <v>116</v>
      </c>
    </row>
    <row r="5513" spans="1:15" x14ac:dyDescent="0.3">
      <c r="A5513" s="130">
        <v>26602</v>
      </c>
      <c r="B5513" s="130">
        <v>10</v>
      </c>
      <c r="C5513" s="130" t="s">
        <v>7137</v>
      </c>
      <c r="D5513">
        <v>43094</v>
      </c>
      <c r="E5513" s="131">
        <v>71218598</v>
      </c>
      <c r="F5513" t="s">
        <v>87</v>
      </c>
      <c r="G5513">
        <v>1096</v>
      </c>
      <c r="H5513" t="s">
        <v>8951</v>
      </c>
      <c r="I5513" s="131">
        <v>10</v>
      </c>
      <c r="J5513" t="s">
        <v>7137</v>
      </c>
      <c r="K5513" t="s">
        <v>108</v>
      </c>
      <c r="L5513" t="s">
        <v>120</v>
      </c>
      <c r="M5513" t="s">
        <v>133</v>
      </c>
      <c r="N5513" t="s">
        <v>98</v>
      </c>
      <c r="O5513" t="s">
        <v>116</v>
      </c>
    </row>
    <row r="5514" spans="1:15" x14ac:dyDescent="0.3">
      <c r="A5514" s="130">
        <v>26604</v>
      </c>
      <c r="B5514" s="130">
        <v>10</v>
      </c>
      <c r="C5514" s="130" t="s">
        <v>7138</v>
      </c>
      <c r="D5514">
        <v>42646</v>
      </c>
      <c r="E5514" s="130">
        <v>2983550</v>
      </c>
      <c r="F5514" t="s">
        <v>87</v>
      </c>
      <c r="G5514">
        <v>1096</v>
      </c>
      <c r="H5514" t="s">
        <v>8952</v>
      </c>
      <c r="I5514" s="131">
        <v>9</v>
      </c>
      <c r="J5514" t="s">
        <v>7138</v>
      </c>
      <c r="K5514" t="s">
        <v>108</v>
      </c>
      <c r="L5514" t="s">
        <v>1298</v>
      </c>
      <c r="M5514" t="s">
        <v>133</v>
      </c>
      <c r="N5514" t="s">
        <v>98</v>
      </c>
      <c r="O5514" t="s">
        <v>116</v>
      </c>
    </row>
    <row r="5515" spans="1:15" x14ac:dyDescent="0.3">
      <c r="A5515" s="130">
        <v>26605</v>
      </c>
      <c r="B5515" s="130">
        <v>30</v>
      </c>
      <c r="C5515" s="130" t="s">
        <v>7139</v>
      </c>
      <c r="D5515">
        <v>43246</v>
      </c>
      <c r="E5515" s="130">
        <v>18098243</v>
      </c>
      <c r="F5515" t="s">
        <v>87</v>
      </c>
      <c r="G5515">
        <v>1096</v>
      </c>
      <c r="H5515" t="s">
        <v>8953</v>
      </c>
      <c r="I5515" s="131">
        <v>43</v>
      </c>
      <c r="J5515" t="s">
        <v>7139</v>
      </c>
      <c r="K5515" t="s">
        <v>95</v>
      </c>
      <c r="L5515" t="s">
        <v>111</v>
      </c>
      <c r="M5515" t="s">
        <v>103</v>
      </c>
      <c r="N5515" t="s">
        <v>98</v>
      </c>
      <c r="O5515" t="s">
        <v>116</v>
      </c>
    </row>
    <row r="5516" spans="1:15" x14ac:dyDescent="0.3">
      <c r="A5516" s="130">
        <v>26606</v>
      </c>
      <c r="B5516" s="130">
        <v>30</v>
      </c>
      <c r="C5516" s="130" t="s">
        <v>7140</v>
      </c>
      <c r="D5516">
        <v>42845</v>
      </c>
      <c r="E5516" s="130">
        <v>5451496</v>
      </c>
      <c r="F5516" t="s">
        <v>87</v>
      </c>
      <c r="G5516">
        <v>32947</v>
      </c>
      <c r="H5516" t="s">
        <v>8951</v>
      </c>
      <c r="I5516" s="131">
        <v>3</v>
      </c>
      <c r="J5516" t="s">
        <v>7140</v>
      </c>
      <c r="K5516" t="s">
        <v>95</v>
      </c>
      <c r="L5516" t="s">
        <v>109</v>
      </c>
      <c r="M5516" t="s">
        <v>103</v>
      </c>
      <c r="N5516" t="s">
        <v>98</v>
      </c>
      <c r="O5516" t="s">
        <v>116</v>
      </c>
    </row>
    <row r="5517" spans="1:15" x14ac:dyDescent="0.3">
      <c r="A5517" s="130">
        <v>26607</v>
      </c>
      <c r="B5517" s="130">
        <v>0</v>
      </c>
      <c r="C5517" s="130" t="s">
        <v>7141</v>
      </c>
      <c r="D5517">
        <v>43238</v>
      </c>
      <c r="E5517" s="130">
        <v>47418119</v>
      </c>
      <c r="F5517" t="s">
        <v>87</v>
      </c>
      <c r="G5517">
        <v>1096</v>
      </c>
      <c r="H5517" t="s">
        <v>8952</v>
      </c>
      <c r="I5517" s="130">
        <v>18</v>
      </c>
      <c r="J5517" t="s">
        <v>7141</v>
      </c>
      <c r="K5517" t="s">
        <v>108</v>
      </c>
      <c r="L5517" t="s">
        <v>253</v>
      </c>
      <c r="M5517" t="s">
        <v>100</v>
      </c>
      <c r="N5517" t="s">
        <v>98</v>
      </c>
      <c r="O5517" t="s">
        <v>116</v>
      </c>
    </row>
    <row r="5518" spans="1:15" x14ac:dyDescent="0.3">
      <c r="A5518" s="130">
        <v>26608</v>
      </c>
      <c r="B5518" s="130">
        <v>10</v>
      </c>
      <c r="C5518" s="130" t="s">
        <v>7142</v>
      </c>
      <c r="D5518">
        <v>43367</v>
      </c>
      <c r="E5518" s="131">
        <v>5638550</v>
      </c>
      <c r="F5518" t="s">
        <v>87</v>
      </c>
      <c r="G5518">
        <v>32947</v>
      </c>
      <c r="H5518" t="s">
        <v>8953</v>
      </c>
      <c r="I5518" s="131">
        <v>9</v>
      </c>
      <c r="J5518" t="s">
        <v>7142</v>
      </c>
      <c r="K5518" t="s">
        <v>108</v>
      </c>
      <c r="L5518" t="s">
        <v>1298</v>
      </c>
      <c r="M5518" t="s">
        <v>133</v>
      </c>
      <c r="N5518" t="s">
        <v>98</v>
      </c>
      <c r="O5518" t="s">
        <v>116</v>
      </c>
    </row>
    <row r="5519" spans="1:15" x14ac:dyDescent="0.3">
      <c r="A5519" s="130">
        <v>26609</v>
      </c>
      <c r="B5519" s="130">
        <v>21</v>
      </c>
      <c r="C5519" s="130" t="s">
        <v>7143</v>
      </c>
      <c r="D5519">
        <v>42552</v>
      </c>
      <c r="E5519" s="130">
        <v>7899139</v>
      </c>
      <c r="F5519" t="s">
        <v>87</v>
      </c>
      <c r="G5519">
        <v>1096</v>
      </c>
      <c r="H5519" t="s">
        <v>8951</v>
      </c>
      <c r="I5519" s="130">
        <v>3</v>
      </c>
      <c r="J5519" t="s">
        <v>7143</v>
      </c>
      <c r="K5519" t="s">
        <v>108</v>
      </c>
      <c r="L5519" t="s">
        <v>111</v>
      </c>
      <c r="M5519" t="s">
        <v>137</v>
      </c>
      <c r="N5519" t="s">
        <v>101</v>
      </c>
      <c r="O5519" t="s">
        <v>116</v>
      </c>
    </row>
    <row r="5520" spans="1:15" x14ac:dyDescent="0.3">
      <c r="A5520" s="130">
        <v>26610</v>
      </c>
      <c r="B5520" s="130">
        <v>30</v>
      </c>
      <c r="C5520" s="130" t="s">
        <v>7144</v>
      </c>
      <c r="D5520">
        <v>42817</v>
      </c>
      <c r="E5520" s="130">
        <v>41014039</v>
      </c>
      <c r="F5520" t="s">
        <v>87</v>
      </c>
      <c r="G5520">
        <v>1096</v>
      </c>
      <c r="H5520" t="s">
        <v>8952</v>
      </c>
      <c r="I5520" s="130">
        <v>19</v>
      </c>
      <c r="J5520" t="s">
        <v>7144</v>
      </c>
      <c r="K5520" t="s">
        <v>108</v>
      </c>
      <c r="L5520" t="s">
        <v>252</v>
      </c>
      <c r="M5520" t="s">
        <v>103</v>
      </c>
      <c r="N5520" t="s">
        <v>150</v>
      </c>
      <c r="O5520" t="s">
        <v>116</v>
      </c>
    </row>
    <row r="5521" spans="1:15" x14ac:dyDescent="0.3">
      <c r="A5521" s="130">
        <v>26611</v>
      </c>
      <c r="B5521" s="130">
        <v>60</v>
      </c>
      <c r="C5521" s="130" t="s">
        <v>7145</v>
      </c>
      <c r="D5521">
        <v>40989</v>
      </c>
      <c r="E5521" s="130">
        <v>17185786</v>
      </c>
      <c r="F5521" t="s">
        <v>87</v>
      </c>
      <c r="G5521">
        <v>1096</v>
      </c>
      <c r="H5521" t="s">
        <v>8953</v>
      </c>
      <c r="I5521" s="130">
        <v>3</v>
      </c>
      <c r="J5521" t="s">
        <v>7145</v>
      </c>
      <c r="K5521" t="s">
        <v>95</v>
      </c>
      <c r="L5521" t="s">
        <v>109</v>
      </c>
      <c r="M5521" t="s">
        <v>97</v>
      </c>
      <c r="N5521" t="s">
        <v>98</v>
      </c>
      <c r="O5521" t="s">
        <v>116</v>
      </c>
    </row>
    <row r="5522" spans="1:15" x14ac:dyDescent="0.3">
      <c r="A5522" s="130">
        <v>26613</v>
      </c>
      <c r="B5522" s="130">
        <v>30</v>
      </c>
      <c r="C5522" s="130" t="s">
        <v>7146</v>
      </c>
      <c r="D5522">
        <v>43389</v>
      </c>
      <c r="E5522" s="130">
        <v>50030001</v>
      </c>
      <c r="F5522" t="s">
        <v>87</v>
      </c>
      <c r="G5522">
        <v>1096</v>
      </c>
      <c r="H5522" t="s">
        <v>8951</v>
      </c>
      <c r="I5522" s="131">
        <v>3</v>
      </c>
      <c r="J5522" t="s">
        <v>7146</v>
      </c>
      <c r="K5522" t="s">
        <v>95</v>
      </c>
      <c r="L5522" t="s">
        <v>256</v>
      </c>
      <c r="M5522" t="s">
        <v>103</v>
      </c>
      <c r="N5522" t="s">
        <v>98</v>
      </c>
      <c r="O5522" t="s">
        <v>1345</v>
      </c>
    </row>
    <row r="5523" spans="1:15" x14ac:dyDescent="0.3">
      <c r="A5523" s="130">
        <v>26614</v>
      </c>
      <c r="B5523" s="130">
        <v>-1</v>
      </c>
      <c r="C5523" s="130" t="s">
        <v>7147</v>
      </c>
      <c r="D5523">
        <v>43429</v>
      </c>
      <c r="E5523" s="130">
        <v>40772913</v>
      </c>
      <c r="F5523" t="s">
        <v>87</v>
      </c>
      <c r="G5523">
        <v>32947</v>
      </c>
      <c r="H5523" t="s">
        <v>8952</v>
      </c>
      <c r="I5523" s="131">
        <v>26</v>
      </c>
      <c r="J5523" t="s">
        <v>7147</v>
      </c>
      <c r="K5523" t="s">
        <v>108</v>
      </c>
      <c r="L5523" t="s">
        <v>151</v>
      </c>
      <c r="M5523" t="s">
        <v>174</v>
      </c>
      <c r="N5523" t="s">
        <v>101</v>
      </c>
      <c r="O5523" t="s">
        <v>116</v>
      </c>
    </row>
    <row r="5524" spans="1:15" x14ac:dyDescent="0.3">
      <c r="A5524" s="130">
        <v>26615</v>
      </c>
      <c r="B5524" s="130">
        <v>18</v>
      </c>
      <c r="C5524" s="130" t="s">
        <v>7148</v>
      </c>
      <c r="D5524">
        <v>43378</v>
      </c>
      <c r="E5524" s="130">
        <v>19381283</v>
      </c>
      <c r="F5524" t="s">
        <v>87</v>
      </c>
      <c r="G5524">
        <v>1096</v>
      </c>
      <c r="H5524" t="s">
        <v>8953</v>
      </c>
      <c r="I5524" s="131">
        <v>9</v>
      </c>
      <c r="J5524" t="s">
        <v>7148</v>
      </c>
      <c r="K5524" t="s">
        <v>108</v>
      </c>
      <c r="L5524" t="s">
        <v>163</v>
      </c>
      <c r="M5524" t="s">
        <v>112</v>
      </c>
      <c r="N5524" t="s">
        <v>98</v>
      </c>
      <c r="O5524" t="s">
        <v>116</v>
      </c>
    </row>
    <row r="5525" spans="1:15" x14ac:dyDescent="0.3">
      <c r="A5525" s="130">
        <v>26616</v>
      </c>
      <c r="B5525" s="130">
        <v>10</v>
      </c>
      <c r="C5525" s="130" t="s">
        <v>7149</v>
      </c>
      <c r="D5525">
        <v>43405</v>
      </c>
      <c r="E5525" s="130">
        <v>21998472</v>
      </c>
      <c r="F5525" t="s">
        <v>87</v>
      </c>
      <c r="G5525">
        <v>1096</v>
      </c>
      <c r="H5525" t="s">
        <v>8951</v>
      </c>
      <c r="I5525" s="130">
        <v>18</v>
      </c>
      <c r="J5525" t="s">
        <v>7149</v>
      </c>
      <c r="K5525" t="s">
        <v>108</v>
      </c>
      <c r="L5525" t="s">
        <v>1293</v>
      </c>
      <c r="M5525" t="s">
        <v>133</v>
      </c>
      <c r="N5525" t="s">
        <v>114</v>
      </c>
      <c r="O5525" t="s">
        <v>116</v>
      </c>
    </row>
    <row r="5526" spans="1:15" x14ac:dyDescent="0.3">
      <c r="A5526" s="130">
        <v>26617</v>
      </c>
      <c r="B5526" s="130">
        <v>30</v>
      </c>
      <c r="C5526" s="130" t="s">
        <v>7150</v>
      </c>
      <c r="D5526">
        <v>42399</v>
      </c>
      <c r="E5526" s="131">
        <v>15731984</v>
      </c>
      <c r="F5526" t="s">
        <v>87</v>
      </c>
      <c r="G5526">
        <v>1096</v>
      </c>
      <c r="H5526" t="s">
        <v>8952</v>
      </c>
      <c r="I5526" s="130">
        <v>9</v>
      </c>
      <c r="J5526" t="s">
        <v>7150</v>
      </c>
      <c r="K5526" t="s">
        <v>108</v>
      </c>
      <c r="L5526" t="s">
        <v>163</v>
      </c>
      <c r="M5526" t="s">
        <v>103</v>
      </c>
      <c r="O5526" t="s">
        <v>116</v>
      </c>
    </row>
    <row r="5527" spans="1:15" x14ac:dyDescent="0.3">
      <c r="A5527" s="130">
        <v>26619</v>
      </c>
      <c r="B5527" s="130">
        <v>30</v>
      </c>
      <c r="C5527" s="130" t="s">
        <v>7151</v>
      </c>
      <c r="D5527">
        <v>43477</v>
      </c>
      <c r="E5527" s="130">
        <v>21062047</v>
      </c>
      <c r="F5527" t="s">
        <v>87</v>
      </c>
      <c r="G5527">
        <v>32947</v>
      </c>
      <c r="H5527" t="s">
        <v>8953</v>
      </c>
      <c r="I5527" s="131">
        <v>55</v>
      </c>
      <c r="J5527" t="s">
        <v>7151</v>
      </c>
      <c r="K5527" t="s">
        <v>95</v>
      </c>
      <c r="L5527" t="s">
        <v>109</v>
      </c>
      <c r="M5527" t="s">
        <v>103</v>
      </c>
      <c r="N5527" t="s">
        <v>98</v>
      </c>
      <c r="O5527" t="s">
        <v>116</v>
      </c>
    </row>
    <row r="5528" spans="1:15" x14ac:dyDescent="0.3">
      <c r="A5528" s="130">
        <v>26620</v>
      </c>
      <c r="B5528" s="130">
        <v>18</v>
      </c>
      <c r="C5528" s="130" t="s">
        <v>7152</v>
      </c>
      <c r="D5528">
        <v>43443</v>
      </c>
      <c r="E5528" s="130">
        <v>31953284</v>
      </c>
      <c r="F5528" t="s">
        <v>87</v>
      </c>
      <c r="G5528">
        <v>76</v>
      </c>
      <c r="H5528" t="s">
        <v>8951</v>
      </c>
      <c r="I5528" s="130">
        <v>26</v>
      </c>
      <c r="J5528" t="s">
        <v>7152</v>
      </c>
      <c r="K5528" t="s">
        <v>108</v>
      </c>
      <c r="L5528" t="s">
        <v>151</v>
      </c>
      <c r="M5528" t="s">
        <v>112</v>
      </c>
      <c r="N5528" t="s">
        <v>98</v>
      </c>
      <c r="O5528" t="s">
        <v>116</v>
      </c>
    </row>
    <row r="5529" spans="1:15" x14ac:dyDescent="0.3">
      <c r="A5529" s="130">
        <v>26622</v>
      </c>
      <c r="B5529" s="130">
        <v>10</v>
      </c>
      <c r="C5529" s="130" t="s">
        <v>7153</v>
      </c>
      <c r="D5529">
        <v>43448</v>
      </c>
      <c r="E5529" s="131">
        <v>50123818</v>
      </c>
      <c r="F5529" t="s">
        <v>87</v>
      </c>
      <c r="G5529">
        <v>1096</v>
      </c>
      <c r="H5529" t="s">
        <v>8952</v>
      </c>
      <c r="I5529" s="130">
        <v>3</v>
      </c>
      <c r="J5529" t="s">
        <v>7153</v>
      </c>
      <c r="K5529" t="s">
        <v>108</v>
      </c>
      <c r="L5529" t="s">
        <v>120</v>
      </c>
      <c r="M5529" t="s">
        <v>133</v>
      </c>
      <c r="N5529" t="s">
        <v>98</v>
      </c>
      <c r="O5529" t="s">
        <v>116</v>
      </c>
    </row>
    <row r="5530" spans="1:15" x14ac:dyDescent="0.3">
      <c r="A5530" s="130">
        <v>26623</v>
      </c>
      <c r="B5530" s="130">
        <v>30</v>
      </c>
      <c r="C5530" s="130" t="s">
        <v>7154</v>
      </c>
      <c r="D5530">
        <v>43426</v>
      </c>
      <c r="E5530" s="130">
        <v>2864219</v>
      </c>
      <c r="F5530" t="s">
        <v>87</v>
      </c>
      <c r="G5530">
        <v>1096</v>
      </c>
      <c r="H5530" t="s">
        <v>8953</v>
      </c>
      <c r="I5530" s="130">
        <v>19</v>
      </c>
      <c r="J5530" t="s">
        <v>7154</v>
      </c>
      <c r="K5530" t="s">
        <v>108</v>
      </c>
      <c r="L5530" t="s">
        <v>252</v>
      </c>
      <c r="M5530" t="s">
        <v>103</v>
      </c>
      <c r="N5530" t="s">
        <v>98</v>
      </c>
      <c r="O5530" t="s">
        <v>116</v>
      </c>
    </row>
    <row r="5531" spans="1:15" x14ac:dyDescent="0.3">
      <c r="A5531" s="130">
        <v>26624</v>
      </c>
      <c r="B5531" s="130">
        <v>30</v>
      </c>
      <c r="C5531" s="130" t="s">
        <v>7155</v>
      </c>
      <c r="D5531">
        <v>40790</v>
      </c>
      <c r="E5531" s="131">
        <v>8928273</v>
      </c>
      <c r="F5531" t="s">
        <v>87</v>
      </c>
      <c r="G5531">
        <v>1096</v>
      </c>
      <c r="H5531" t="s">
        <v>8951</v>
      </c>
      <c r="I5531" s="130">
        <v>3</v>
      </c>
      <c r="J5531" t="s">
        <v>7155</v>
      </c>
      <c r="K5531" t="s">
        <v>95</v>
      </c>
      <c r="L5531" t="s">
        <v>1293</v>
      </c>
      <c r="M5531" t="s">
        <v>103</v>
      </c>
      <c r="N5531" t="s">
        <v>124</v>
      </c>
      <c r="O5531" t="s">
        <v>116</v>
      </c>
    </row>
    <row r="5532" spans="1:15" x14ac:dyDescent="0.3">
      <c r="A5532" s="130">
        <v>26625</v>
      </c>
      <c r="B5532" s="130">
        <v>28</v>
      </c>
      <c r="C5532" s="130" t="s">
        <v>7156</v>
      </c>
      <c r="D5532">
        <v>40963</v>
      </c>
      <c r="E5532" s="131">
        <v>78954286</v>
      </c>
      <c r="F5532" t="s">
        <v>87</v>
      </c>
      <c r="G5532">
        <v>1096</v>
      </c>
      <c r="H5532" t="s">
        <v>8952</v>
      </c>
      <c r="I5532" s="131">
        <v>18</v>
      </c>
      <c r="J5532" t="s">
        <v>7156</v>
      </c>
      <c r="K5532" t="s">
        <v>108</v>
      </c>
      <c r="L5532" t="s">
        <v>253</v>
      </c>
      <c r="M5532" t="s">
        <v>130</v>
      </c>
      <c r="N5532" t="s">
        <v>152</v>
      </c>
      <c r="O5532" t="s">
        <v>116</v>
      </c>
    </row>
    <row r="5533" spans="1:15" x14ac:dyDescent="0.3">
      <c r="A5533" s="130">
        <v>26626</v>
      </c>
      <c r="B5533" s="130">
        <v>28</v>
      </c>
      <c r="C5533" s="130" t="s">
        <v>7157</v>
      </c>
      <c r="D5533">
        <v>43463</v>
      </c>
      <c r="E5533" s="130">
        <v>78954286</v>
      </c>
      <c r="F5533" t="s">
        <v>87</v>
      </c>
      <c r="G5533">
        <v>1096</v>
      </c>
      <c r="H5533" t="s">
        <v>8953</v>
      </c>
      <c r="I5533" s="130">
        <v>18</v>
      </c>
      <c r="J5533" t="s">
        <v>7157</v>
      </c>
      <c r="K5533" t="s">
        <v>108</v>
      </c>
      <c r="L5533" t="s">
        <v>253</v>
      </c>
      <c r="M5533" t="s">
        <v>130</v>
      </c>
      <c r="N5533" t="s">
        <v>152</v>
      </c>
      <c r="O5533" t="s">
        <v>116</v>
      </c>
    </row>
    <row r="5534" spans="1:15" x14ac:dyDescent="0.3">
      <c r="A5534" s="130">
        <v>26627</v>
      </c>
      <c r="B5534" s="130">
        <v>30</v>
      </c>
      <c r="C5534" s="130" t="s">
        <v>7158</v>
      </c>
      <c r="D5534">
        <v>43408</v>
      </c>
      <c r="E5534" s="130">
        <v>10421584</v>
      </c>
      <c r="F5534" t="s">
        <v>87</v>
      </c>
      <c r="G5534">
        <v>1096</v>
      </c>
      <c r="H5534" t="s">
        <v>8951</v>
      </c>
      <c r="I5534" s="131">
        <v>19</v>
      </c>
      <c r="J5534" t="s">
        <v>7158</v>
      </c>
      <c r="K5534" t="s">
        <v>108</v>
      </c>
      <c r="L5534" t="s">
        <v>146</v>
      </c>
      <c r="M5534" t="s">
        <v>103</v>
      </c>
      <c r="N5534" t="s">
        <v>114</v>
      </c>
      <c r="O5534" t="s">
        <v>116</v>
      </c>
    </row>
    <row r="5535" spans="1:15" x14ac:dyDescent="0.3">
      <c r="A5535" s="130">
        <v>26630</v>
      </c>
      <c r="B5535" s="130">
        <v>30</v>
      </c>
      <c r="C5535" s="130" t="s">
        <v>7159</v>
      </c>
      <c r="D5535">
        <v>43548</v>
      </c>
      <c r="E5535" s="130">
        <v>15063096</v>
      </c>
      <c r="F5535" t="s">
        <v>87</v>
      </c>
      <c r="G5535">
        <v>32947</v>
      </c>
      <c r="H5535" t="s">
        <v>8952</v>
      </c>
      <c r="I5535" s="130">
        <v>55</v>
      </c>
      <c r="J5535" t="s">
        <v>7159</v>
      </c>
      <c r="K5535" t="s">
        <v>95</v>
      </c>
      <c r="L5535" t="s">
        <v>193</v>
      </c>
      <c r="M5535" t="s">
        <v>103</v>
      </c>
      <c r="N5535" t="s">
        <v>114</v>
      </c>
      <c r="O5535" t="s">
        <v>116</v>
      </c>
    </row>
    <row r="5536" spans="1:15" x14ac:dyDescent="0.3">
      <c r="A5536" s="130">
        <v>26631</v>
      </c>
      <c r="B5536" s="130">
        <v>30</v>
      </c>
      <c r="C5536" s="130" t="s">
        <v>7160</v>
      </c>
      <c r="D5536">
        <v>43229</v>
      </c>
      <c r="E5536" s="130">
        <v>43711951</v>
      </c>
      <c r="F5536" t="s">
        <v>87</v>
      </c>
      <c r="G5536">
        <v>1096</v>
      </c>
      <c r="H5536" t="s">
        <v>8953</v>
      </c>
      <c r="I5536" s="131">
        <v>10</v>
      </c>
      <c r="J5536" t="s">
        <v>7160</v>
      </c>
      <c r="K5536" t="s">
        <v>95</v>
      </c>
      <c r="L5536" t="s">
        <v>111</v>
      </c>
      <c r="M5536" t="s">
        <v>103</v>
      </c>
      <c r="N5536" t="s">
        <v>114</v>
      </c>
      <c r="O5536" t="s">
        <v>116</v>
      </c>
    </row>
    <row r="5537" spans="1:15" x14ac:dyDescent="0.3">
      <c r="A5537" s="130">
        <v>26632</v>
      </c>
      <c r="B5537" s="130">
        <v>30</v>
      </c>
      <c r="C5537" s="130" t="s">
        <v>7161</v>
      </c>
      <c r="D5537">
        <v>42886</v>
      </c>
      <c r="E5537" s="130">
        <v>969103</v>
      </c>
      <c r="F5537" t="s">
        <v>87</v>
      </c>
      <c r="G5537">
        <v>1096</v>
      </c>
      <c r="H5537" t="s">
        <v>8951</v>
      </c>
      <c r="I5537" s="131">
        <v>19</v>
      </c>
      <c r="J5537" t="s">
        <v>7161</v>
      </c>
      <c r="K5537" t="s">
        <v>108</v>
      </c>
      <c r="L5537" t="s">
        <v>146</v>
      </c>
      <c r="M5537" t="s">
        <v>103</v>
      </c>
      <c r="N5537" t="s">
        <v>114</v>
      </c>
      <c r="O5537" t="s">
        <v>116</v>
      </c>
    </row>
    <row r="5538" spans="1:15" x14ac:dyDescent="0.3">
      <c r="A5538" s="130">
        <v>26633</v>
      </c>
      <c r="B5538" s="130">
        <v>21</v>
      </c>
      <c r="C5538" s="130" t="s">
        <v>7162</v>
      </c>
      <c r="D5538">
        <v>43397</v>
      </c>
      <c r="E5538" s="130">
        <v>40105171</v>
      </c>
      <c r="F5538" t="s">
        <v>87</v>
      </c>
      <c r="G5538">
        <v>1096</v>
      </c>
      <c r="H5538" t="s">
        <v>8952</v>
      </c>
      <c r="I5538" s="130">
        <v>10</v>
      </c>
      <c r="J5538" t="s">
        <v>7162</v>
      </c>
      <c r="K5538" t="s">
        <v>95</v>
      </c>
      <c r="L5538" t="s">
        <v>111</v>
      </c>
      <c r="M5538" t="s">
        <v>137</v>
      </c>
      <c r="O5538" t="s">
        <v>116</v>
      </c>
    </row>
    <row r="5539" spans="1:15" x14ac:dyDescent="0.3">
      <c r="A5539" s="130">
        <v>26634</v>
      </c>
      <c r="B5539" s="130">
        <v>30</v>
      </c>
      <c r="C5539" s="130" t="s">
        <v>7163</v>
      </c>
      <c r="D5539">
        <v>43322</v>
      </c>
      <c r="E5539" s="130">
        <v>9625762</v>
      </c>
      <c r="F5539" t="s">
        <v>87</v>
      </c>
      <c r="G5539">
        <v>1096</v>
      </c>
      <c r="H5539" t="s">
        <v>8953</v>
      </c>
      <c r="I5539" s="130">
        <v>19</v>
      </c>
      <c r="J5539" t="s">
        <v>7163</v>
      </c>
      <c r="K5539" t="s">
        <v>95</v>
      </c>
      <c r="L5539" t="s">
        <v>111</v>
      </c>
      <c r="M5539" t="s">
        <v>103</v>
      </c>
      <c r="N5539" t="s">
        <v>150</v>
      </c>
      <c r="O5539" t="s">
        <v>116</v>
      </c>
    </row>
    <row r="5540" spans="1:15" x14ac:dyDescent="0.3">
      <c r="A5540" s="130">
        <v>26635</v>
      </c>
      <c r="B5540" s="130">
        <v>30</v>
      </c>
      <c r="C5540" s="130" t="s">
        <v>7164</v>
      </c>
      <c r="D5540">
        <v>43321</v>
      </c>
      <c r="E5540" s="131">
        <v>9625762</v>
      </c>
      <c r="F5540" t="s">
        <v>87</v>
      </c>
      <c r="G5540">
        <v>1096</v>
      </c>
      <c r="H5540" t="s">
        <v>8951</v>
      </c>
      <c r="I5540" s="131">
        <v>19</v>
      </c>
      <c r="J5540" t="s">
        <v>7164</v>
      </c>
      <c r="K5540" t="s">
        <v>95</v>
      </c>
      <c r="L5540" t="s">
        <v>111</v>
      </c>
      <c r="M5540" t="s">
        <v>103</v>
      </c>
      <c r="N5540" t="s">
        <v>150</v>
      </c>
      <c r="O5540" t="s">
        <v>116</v>
      </c>
    </row>
    <row r="5541" spans="1:15" x14ac:dyDescent="0.3">
      <c r="A5541" s="130">
        <v>26637</v>
      </c>
      <c r="B5541" s="130">
        <v>30</v>
      </c>
      <c r="C5541" s="130" t="s">
        <v>7165</v>
      </c>
      <c r="D5541">
        <v>42964</v>
      </c>
      <c r="E5541" s="130">
        <v>43711951</v>
      </c>
      <c r="F5541" t="s">
        <v>87</v>
      </c>
      <c r="G5541">
        <v>1096</v>
      </c>
      <c r="H5541" t="s">
        <v>8952</v>
      </c>
      <c r="I5541" s="130">
        <v>10</v>
      </c>
      <c r="J5541" t="s">
        <v>7165</v>
      </c>
      <c r="K5541" t="s">
        <v>95</v>
      </c>
      <c r="L5541" t="s">
        <v>111</v>
      </c>
      <c r="M5541" t="s">
        <v>103</v>
      </c>
      <c r="N5541" t="s">
        <v>114</v>
      </c>
      <c r="O5541" t="s">
        <v>116</v>
      </c>
    </row>
    <row r="5542" spans="1:15" x14ac:dyDescent="0.3">
      <c r="A5542" s="130">
        <v>26638</v>
      </c>
      <c r="B5542" s="130">
        <v>18</v>
      </c>
      <c r="C5542" s="130" t="s">
        <v>7166</v>
      </c>
      <c r="D5542">
        <v>43639</v>
      </c>
      <c r="E5542" s="131">
        <v>7277777</v>
      </c>
      <c r="F5542" t="s">
        <v>87</v>
      </c>
      <c r="G5542">
        <v>32947</v>
      </c>
      <c r="H5542" t="s">
        <v>8953</v>
      </c>
      <c r="I5542" s="130">
        <v>26</v>
      </c>
      <c r="J5542" t="s">
        <v>7166</v>
      </c>
      <c r="K5542" t="s">
        <v>108</v>
      </c>
      <c r="L5542" t="s">
        <v>151</v>
      </c>
      <c r="M5542" t="s">
        <v>112</v>
      </c>
      <c r="N5542" t="s">
        <v>107</v>
      </c>
      <c r="O5542" t="s">
        <v>116</v>
      </c>
    </row>
    <row r="5543" spans="1:15" x14ac:dyDescent="0.3">
      <c r="A5543" s="130">
        <v>26641</v>
      </c>
      <c r="B5543" s="130">
        <v>10</v>
      </c>
      <c r="C5543" s="130" t="s">
        <v>7167</v>
      </c>
      <c r="D5543">
        <v>43650</v>
      </c>
      <c r="E5543" s="130">
        <v>17723933</v>
      </c>
      <c r="F5543" t="s">
        <v>87</v>
      </c>
      <c r="G5543">
        <v>32947</v>
      </c>
      <c r="H5543" t="s">
        <v>8951</v>
      </c>
      <c r="I5543" s="131">
        <v>3</v>
      </c>
      <c r="J5543" t="s">
        <v>7167</v>
      </c>
      <c r="K5543" t="s">
        <v>108</v>
      </c>
      <c r="L5543" t="s">
        <v>1293</v>
      </c>
      <c r="M5543" t="s">
        <v>133</v>
      </c>
      <c r="N5543" t="s">
        <v>98</v>
      </c>
      <c r="O5543" t="s">
        <v>116</v>
      </c>
    </row>
    <row r="5544" spans="1:15" x14ac:dyDescent="0.3">
      <c r="A5544" s="130">
        <v>26642</v>
      </c>
      <c r="B5544" s="130">
        <v>30</v>
      </c>
      <c r="C5544" s="130" t="s">
        <v>7168</v>
      </c>
      <c r="D5544">
        <v>43519</v>
      </c>
      <c r="E5544" s="131">
        <v>13623957</v>
      </c>
      <c r="F5544" t="s">
        <v>87</v>
      </c>
      <c r="G5544">
        <v>1096</v>
      </c>
      <c r="H5544" t="s">
        <v>8952</v>
      </c>
      <c r="I5544" s="131">
        <v>18</v>
      </c>
      <c r="J5544" t="s">
        <v>7168</v>
      </c>
      <c r="K5544" t="s">
        <v>95</v>
      </c>
      <c r="L5544" t="s">
        <v>123</v>
      </c>
      <c r="M5544" t="s">
        <v>103</v>
      </c>
      <c r="N5544" t="s">
        <v>98</v>
      </c>
      <c r="O5544" t="s">
        <v>116</v>
      </c>
    </row>
    <row r="5545" spans="1:15" x14ac:dyDescent="0.3">
      <c r="A5545" s="130">
        <v>26644</v>
      </c>
      <c r="B5545" s="130">
        <v>30</v>
      </c>
      <c r="C5545" s="130" t="s">
        <v>7169</v>
      </c>
      <c r="D5545">
        <v>43691</v>
      </c>
      <c r="E5545" s="131">
        <v>17217001</v>
      </c>
      <c r="F5545" t="s">
        <v>87</v>
      </c>
      <c r="G5545">
        <v>32947</v>
      </c>
      <c r="H5545" t="s">
        <v>8953</v>
      </c>
      <c r="I5545" s="130">
        <v>3</v>
      </c>
      <c r="J5545" t="s">
        <v>7169</v>
      </c>
      <c r="K5545" t="s">
        <v>95</v>
      </c>
      <c r="L5545" t="s">
        <v>96</v>
      </c>
      <c r="M5545" t="s">
        <v>103</v>
      </c>
      <c r="N5545" t="s">
        <v>152</v>
      </c>
      <c r="O5545" t="s">
        <v>116</v>
      </c>
    </row>
    <row r="5546" spans="1:15" x14ac:dyDescent="0.3">
      <c r="A5546" s="130">
        <v>26645</v>
      </c>
      <c r="B5546" s="130">
        <v>30</v>
      </c>
      <c r="C5546" s="130" t="s">
        <v>7170</v>
      </c>
      <c r="D5546">
        <v>43692</v>
      </c>
      <c r="E5546" s="130">
        <v>19814734</v>
      </c>
      <c r="F5546" t="s">
        <v>87</v>
      </c>
      <c r="G5546">
        <v>32947</v>
      </c>
      <c r="H5546" t="s">
        <v>8951</v>
      </c>
      <c r="I5546" s="131">
        <v>38</v>
      </c>
      <c r="J5546" t="s">
        <v>7170</v>
      </c>
      <c r="K5546" t="s">
        <v>108</v>
      </c>
      <c r="L5546" t="s">
        <v>126</v>
      </c>
      <c r="M5546" t="s">
        <v>103</v>
      </c>
      <c r="N5546" t="s">
        <v>98</v>
      </c>
      <c r="O5546" t="s">
        <v>116</v>
      </c>
    </row>
    <row r="5547" spans="1:15" x14ac:dyDescent="0.3">
      <c r="A5547" s="130">
        <v>26646</v>
      </c>
      <c r="B5547" s="130">
        <v>45</v>
      </c>
      <c r="C5547" s="130" t="s">
        <v>7171</v>
      </c>
      <c r="D5547">
        <v>43338</v>
      </c>
      <c r="E5547" s="131">
        <v>67706853</v>
      </c>
      <c r="F5547" t="s">
        <v>87</v>
      </c>
      <c r="G5547">
        <v>1096</v>
      </c>
      <c r="H5547" t="s">
        <v>8952</v>
      </c>
      <c r="I5547" s="130">
        <v>19</v>
      </c>
      <c r="J5547" t="s">
        <v>7171</v>
      </c>
      <c r="K5547" t="s">
        <v>95</v>
      </c>
      <c r="L5547" t="s">
        <v>111</v>
      </c>
      <c r="M5547" t="s">
        <v>106</v>
      </c>
      <c r="N5547" t="s">
        <v>98</v>
      </c>
      <c r="O5547" t="s">
        <v>116</v>
      </c>
    </row>
    <row r="5548" spans="1:15" x14ac:dyDescent="0.3">
      <c r="A5548" s="130">
        <v>26648</v>
      </c>
      <c r="B5548" s="130">
        <v>21</v>
      </c>
      <c r="C5548" s="130" t="s">
        <v>7172</v>
      </c>
      <c r="D5548">
        <v>43447</v>
      </c>
      <c r="E5548" s="130">
        <v>16750498</v>
      </c>
      <c r="F5548" t="s">
        <v>87</v>
      </c>
      <c r="G5548">
        <v>1096</v>
      </c>
      <c r="H5548" t="s">
        <v>8953</v>
      </c>
      <c r="I5548" s="130">
        <v>18</v>
      </c>
      <c r="J5548" t="s">
        <v>7172</v>
      </c>
      <c r="K5548" t="s">
        <v>108</v>
      </c>
      <c r="L5548" t="s">
        <v>1293</v>
      </c>
      <c r="M5548" t="s">
        <v>137</v>
      </c>
      <c r="N5548" t="s">
        <v>114</v>
      </c>
      <c r="O5548" t="s">
        <v>116</v>
      </c>
    </row>
    <row r="5549" spans="1:15" x14ac:dyDescent="0.3">
      <c r="A5549" s="130">
        <v>26649</v>
      </c>
      <c r="B5549" s="130">
        <v>30</v>
      </c>
      <c r="C5549" s="130" t="s">
        <v>7173</v>
      </c>
      <c r="D5549">
        <v>43671</v>
      </c>
      <c r="E5549" s="130">
        <v>6939058</v>
      </c>
      <c r="F5549" t="s">
        <v>87</v>
      </c>
      <c r="G5549">
        <v>1096</v>
      </c>
      <c r="H5549" t="s">
        <v>8951</v>
      </c>
      <c r="I5549" s="131">
        <v>38</v>
      </c>
      <c r="J5549" t="s">
        <v>7173</v>
      </c>
      <c r="K5549" t="s">
        <v>108</v>
      </c>
      <c r="L5549" t="s">
        <v>126</v>
      </c>
      <c r="M5549" t="s">
        <v>103</v>
      </c>
      <c r="N5549" t="s">
        <v>98</v>
      </c>
      <c r="O5549" t="s">
        <v>116</v>
      </c>
    </row>
    <row r="5550" spans="1:15" x14ac:dyDescent="0.3">
      <c r="A5550" s="130">
        <v>26650</v>
      </c>
      <c r="B5550" s="130">
        <v>30</v>
      </c>
      <c r="C5550" s="130" t="s">
        <v>7174</v>
      </c>
      <c r="D5550">
        <v>43600</v>
      </c>
      <c r="E5550" s="130">
        <v>4311533</v>
      </c>
      <c r="F5550" t="s">
        <v>87</v>
      </c>
      <c r="G5550">
        <v>32947</v>
      </c>
      <c r="H5550" t="s">
        <v>8952</v>
      </c>
      <c r="I5550" s="131">
        <v>61</v>
      </c>
      <c r="J5550" t="s">
        <v>7174</v>
      </c>
      <c r="K5550" t="s">
        <v>108</v>
      </c>
      <c r="L5550" t="s">
        <v>1293</v>
      </c>
      <c r="M5550" t="s">
        <v>103</v>
      </c>
      <c r="N5550" t="s">
        <v>101</v>
      </c>
      <c r="O5550" t="s">
        <v>116</v>
      </c>
    </row>
    <row r="5551" spans="1:15" x14ac:dyDescent="0.3">
      <c r="A5551" s="130">
        <v>26651</v>
      </c>
      <c r="B5551" s="130">
        <v>10</v>
      </c>
      <c r="C5551" s="130" t="s">
        <v>7175</v>
      </c>
      <c r="D5551">
        <v>43651</v>
      </c>
      <c r="E5551" s="130">
        <v>8575085</v>
      </c>
      <c r="F5551" t="s">
        <v>87</v>
      </c>
      <c r="G5551">
        <v>32947</v>
      </c>
      <c r="H5551" t="s">
        <v>8953</v>
      </c>
      <c r="I5551" s="130">
        <v>3</v>
      </c>
      <c r="J5551" t="s">
        <v>7175</v>
      </c>
      <c r="K5551" t="s">
        <v>108</v>
      </c>
      <c r="L5551" t="s">
        <v>1293</v>
      </c>
      <c r="M5551" t="s">
        <v>133</v>
      </c>
      <c r="N5551" t="s">
        <v>98</v>
      </c>
      <c r="O5551" t="s">
        <v>244</v>
      </c>
    </row>
    <row r="5552" spans="1:15" x14ac:dyDescent="0.3">
      <c r="A5552" s="130">
        <v>26653</v>
      </c>
      <c r="B5552" s="130">
        <v>60</v>
      </c>
      <c r="C5552" s="130" t="s">
        <v>7176</v>
      </c>
      <c r="D5552">
        <v>43739</v>
      </c>
      <c r="E5552" s="130">
        <v>6147451</v>
      </c>
      <c r="F5552" t="s">
        <v>87</v>
      </c>
      <c r="G5552">
        <v>32947</v>
      </c>
      <c r="H5552" t="s">
        <v>8951</v>
      </c>
      <c r="I5552" s="131">
        <v>24</v>
      </c>
      <c r="J5552" t="s">
        <v>7176</v>
      </c>
      <c r="K5552" t="s">
        <v>95</v>
      </c>
      <c r="L5552" t="s">
        <v>191</v>
      </c>
      <c r="M5552" t="s">
        <v>97</v>
      </c>
      <c r="N5552" t="s">
        <v>114</v>
      </c>
      <c r="O5552" t="s">
        <v>116</v>
      </c>
    </row>
    <row r="5553" spans="1:15" x14ac:dyDescent="0.3">
      <c r="A5553" s="130">
        <v>26654</v>
      </c>
      <c r="B5553" s="130">
        <v>30</v>
      </c>
      <c r="C5553" s="130" t="s">
        <v>7177</v>
      </c>
      <c r="D5553">
        <v>43623</v>
      </c>
      <c r="E5553" s="131">
        <v>19346566</v>
      </c>
      <c r="F5553" t="s">
        <v>87</v>
      </c>
      <c r="G5553">
        <v>1096</v>
      </c>
      <c r="H5553" t="s">
        <v>8952</v>
      </c>
      <c r="I5553" s="131">
        <v>3</v>
      </c>
      <c r="J5553" t="s">
        <v>7177</v>
      </c>
      <c r="K5553" t="s">
        <v>95</v>
      </c>
      <c r="L5553" t="s">
        <v>111</v>
      </c>
      <c r="M5553" t="s">
        <v>103</v>
      </c>
      <c r="O5553" t="s">
        <v>116</v>
      </c>
    </row>
    <row r="5554" spans="1:15" x14ac:dyDescent="0.3">
      <c r="A5554" s="130">
        <v>26657</v>
      </c>
      <c r="B5554" s="130">
        <v>30</v>
      </c>
      <c r="C5554" s="130" t="s">
        <v>7178</v>
      </c>
      <c r="D5554">
        <v>42564</v>
      </c>
      <c r="E5554" s="130">
        <v>60619202</v>
      </c>
      <c r="F5554" t="s">
        <v>87</v>
      </c>
      <c r="G5554">
        <v>32947</v>
      </c>
      <c r="H5554" t="s">
        <v>8953</v>
      </c>
      <c r="I5554" s="131">
        <v>18</v>
      </c>
      <c r="J5554" t="s">
        <v>7178</v>
      </c>
      <c r="K5554" t="s">
        <v>108</v>
      </c>
      <c r="L5554" t="s">
        <v>123</v>
      </c>
      <c r="M5554" t="s">
        <v>103</v>
      </c>
      <c r="O5554" t="s">
        <v>116</v>
      </c>
    </row>
    <row r="5555" spans="1:15" x14ac:dyDescent="0.3">
      <c r="A5555" s="130">
        <v>26658</v>
      </c>
      <c r="B5555" s="130">
        <v>30</v>
      </c>
      <c r="C5555" s="130" t="s">
        <v>7179</v>
      </c>
      <c r="D5555">
        <v>43752</v>
      </c>
      <c r="E5555" s="130">
        <v>19346566</v>
      </c>
      <c r="F5555" t="s">
        <v>87</v>
      </c>
      <c r="G5555">
        <v>1096</v>
      </c>
      <c r="H5555" t="s">
        <v>8951</v>
      </c>
      <c r="I5555" s="130">
        <v>43</v>
      </c>
      <c r="J5555" t="s">
        <v>7179</v>
      </c>
      <c r="K5555" t="s">
        <v>95</v>
      </c>
      <c r="L5555" t="s">
        <v>111</v>
      </c>
      <c r="M5555" t="s">
        <v>103</v>
      </c>
      <c r="O5555" t="s">
        <v>116</v>
      </c>
    </row>
    <row r="5556" spans="1:15" x14ac:dyDescent="0.3">
      <c r="A5556" s="130">
        <v>26659</v>
      </c>
      <c r="B5556" s="130">
        <v>30</v>
      </c>
      <c r="C5556" s="130" t="s">
        <v>7180</v>
      </c>
      <c r="D5556">
        <v>43760</v>
      </c>
      <c r="E5556" s="130">
        <v>19314966</v>
      </c>
      <c r="F5556" t="s">
        <v>87</v>
      </c>
      <c r="G5556">
        <v>32947</v>
      </c>
      <c r="H5556" t="s">
        <v>8952</v>
      </c>
      <c r="I5556" s="131">
        <v>19</v>
      </c>
      <c r="J5556" t="s">
        <v>7180</v>
      </c>
      <c r="K5556" t="s">
        <v>108</v>
      </c>
      <c r="L5556" t="s">
        <v>252</v>
      </c>
      <c r="M5556" t="s">
        <v>103</v>
      </c>
      <c r="N5556" t="s">
        <v>98</v>
      </c>
      <c r="O5556" t="s">
        <v>116</v>
      </c>
    </row>
    <row r="5557" spans="1:15" x14ac:dyDescent="0.3">
      <c r="A5557" s="130">
        <v>26660</v>
      </c>
      <c r="B5557" s="130">
        <v>30</v>
      </c>
      <c r="C5557" s="130" t="s">
        <v>7181</v>
      </c>
      <c r="D5557">
        <v>43696</v>
      </c>
      <c r="E5557" s="130">
        <v>36245221</v>
      </c>
      <c r="F5557" t="s">
        <v>87</v>
      </c>
      <c r="G5557">
        <v>1096</v>
      </c>
      <c r="H5557" t="s">
        <v>8953</v>
      </c>
      <c r="I5557" s="130">
        <v>3</v>
      </c>
      <c r="J5557" t="s">
        <v>7181</v>
      </c>
      <c r="K5557" t="s">
        <v>95</v>
      </c>
      <c r="L5557" t="s">
        <v>105</v>
      </c>
      <c r="M5557" t="s">
        <v>103</v>
      </c>
      <c r="N5557" t="s">
        <v>98</v>
      </c>
      <c r="O5557" t="s">
        <v>116</v>
      </c>
    </row>
    <row r="5558" spans="1:15" x14ac:dyDescent="0.3">
      <c r="A5558" s="130">
        <v>26661</v>
      </c>
      <c r="B5558" s="130">
        <v>30</v>
      </c>
      <c r="C5558" s="130" t="s">
        <v>7182</v>
      </c>
      <c r="D5558">
        <v>42926</v>
      </c>
      <c r="E5558" s="130">
        <v>9579650</v>
      </c>
      <c r="F5558" t="s">
        <v>87</v>
      </c>
      <c r="G5558">
        <v>32947</v>
      </c>
      <c r="H5558" t="s">
        <v>8951</v>
      </c>
      <c r="I5558" s="130">
        <v>19</v>
      </c>
      <c r="J5558" t="s">
        <v>7182</v>
      </c>
      <c r="K5558" t="s">
        <v>108</v>
      </c>
      <c r="L5558" t="s">
        <v>252</v>
      </c>
      <c r="M5558" t="s">
        <v>103</v>
      </c>
      <c r="N5558" t="s">
        <v>98</v>
      </c>
      <c r="O5558" t="s">
        <v>116</v>
      </c>
    </row>
    <row r="5559" spans="1:15" x14ac:dyDescent="0.3">
      <c r="A5559" s="130">
        <v>26662</v>
      </c>
      <c r="B5559" s="130">
        <v>30</v>
      </c>
      <c r="C5559" s="130" t="s">
        <v>7183</v>
      </c>
      <c r="D5559">
        <v>43783</v>
      </c>
      <c r="E5559" s="131">
        <v>19346566</v>
      </c>
      <c r="F5559" t="s">
        <v>87</v>
      </c>
      <c r="G5559">
        <v>1096</v>
      </c>
      <c r="H5559" t="s">
        <v>8952</v>
      </c>
      <c r="I5559" s="131">
        <v>3</v>
      </c>
      <c r="J5559" t="s">
        <v>7183</v>
      </c>
      <c r="K5559" t="s">
        <v>108</v>
      </c>
      <c r="L5559" t="s">
        <v>111</v>
      </c>
      <c r="M5559" t="s">
        <v>103</v>
      </c>
      <c r="O5559" t="s">
        <v>116</v>
      </c>
    </row>
    <row r="5560" spans="1:15" x14ac:dyDescent="0.3">
      <c r="A5560" s="130">
        <v>26663</v>
      </c>
      <c r="B5560" s="130">
        <v>30</v>
      </c>
      <c r="C5560" s="130" t="s">
        <v>7184</v>
      </c>
      <c r="D5560">
        <v>43571</v>
      </c>
      <c r="E5560" s="130">
        <v>10736565</v>
      </c>
      <c r="F5560" t="s">
        <v>87</v>
      </c>
      <c r="G5560">
        <v>1096</v>
      </c>
      <c r="H5560" t="s">
        <v>8953</v>
      </c>
      <c r="I5560" s="131">
        <v>9</v>
      </c>
      <c r="J5560" t="s">
        <v>7184</v>
      </c>
      <c r="K5560" t="s">
        <v>95</v>
      </c>
      <c r="L5560" t="s">
        <v>163</v>
      </c>
      <c r="M5560" t="s">
        <v>103</v>
      </c>
      <c r="N5560" t="s">
        <v>114</v>
      </c>
      <c r="O5560" t="s">
        <v>116</v>
      </c>
    </row>
    <row r="5561" spans="1:15" x14ac:dyDescent="0.3">
      <c r="A5561" s="130">
        <v>26664</v>
      </c>
      <c r="B5561" s="130">
        <v>18</v>
      </c>
      <c r="C5561" s="130" t="s">
        <v>7185</v>
      </c>
      <c r="D5561">
        <v>43151</v>
      </c>
      <c r="E5561" s="130">
        <v>13405183</v>
      </c>
      <c r="F5561" t="s">
        <v>87</v>
      </c>
      <c r="G5561">
        <v>32947</v>
      </c>
      <c r="H5561" t="s">
        <v>8951</v>
      </c>
      <c r="I5561" s="131">
        <v>26</v>
      </c>
      <c r="J5561" t="s">
        <v>7185</v>
      </c>
      <c r="K5561" t="s">
        <v>108</v>
      </c>
      <c r="L5561" t="s">
        <v>151</v>
      </c>
      <c r="M5561" t="s">
        <v>112</v>
      </c>
      <c r="O5561" t="s">
        <v>116</v>
      </c>
    </row>
    <row r="5562" spans="1:15" x14ac:dyDescent="0.3">
      <c r="A5562" s="130">
        <v>26665</v>
      </c>
      <c r="B5562" s="130">
        <v>-1</v>
      </c>
      <c r="C5562" s="130" t="s">
        <v>7186</v>
      </c>
      <c r="D5562">
        <v>42296</v>
      </c>
      <c r="E5562" s="130">
        <v>34718715</v>
      </c>
      <c r="F5562" t="s">
        <v>87</v>
      </c>
      <c r="G5562">
        <v>32947</v>
      </c>
      <c r="H5562" t="s">
        <v>8952</v>
      </c>
      <c r="I5562" s="130">
        <v>18</v>
      </c>
      <c r="J5562" t="s">
        <v>7186</v>
      </c>
      <c r="K5562" t="s">
        <v>108</v>
      </c>
      <c r="L5562" t="s">
        <v>111</v>
      </c>
      <c r="M5562" t="s">
        <v>174</v>
      </c>
      <c r="N5562" t="s">
        <v>98</v>
      </c>
      <c r="O5562" t="s">
        <v>116</v>
      </c>
    </row>
    <row r="5563" spans="1:15" x14ac:dyDescent="0.3">
      <c r="A5563" s="130">
        <v>26666</v>
      </c>
      <c r="B5563" s="130">
        <v>30</v>
      </c>
      <c r="C5563" s="130" t="s">
        <v>7187</v>
      </c>
      <c r="D5563">
        <v>42961</v>
      </c>
      <c r="E5563" s="130">
        <v>9579650</v>
      </c>
      <c r="F5563" t="s">
        <v>87</v>
      </c>
      <c r="G5563">
        <v>32947</v>
      </c>
      <c r="H5563" t="s">
        <v>8953</v>
      </c>
      <c r="I5563" s="130">
        <v>19</v>
      </c>
      <c r="J5563" t="s">
        <v>7187</v>
      </c>
      <c r="K5563" t="s">
        <v>108</v>
      </c>
      <c r="L5563" t="s">
        <v>252</v>
      </c>
      <c r="M5563" t="s">
        <v>103</v>
      </c>
      <c r="N5563" t="s">
        <v>98</v>
      </c>
      <c r="O5563" t="s">
        <v>116</v>
      </c>
    </row>
    <row r="5564" spans="1:15" x14ac:dyDescent="0.3">
      <c r="A5564" s="130">
        <v>26667</v>
      </c>
      <c r="B5564" s="130">
        <v>28</v>
      </c>
      <c r="C5564" s="130" t="s">
        <v>7188</v>
      </c>
      <c r="D5564">
        <v>43123</v>
      </c>
      <c r="E5564" s="130">
        <v>32184263</v>
      </c>
      <c r="F5564" t="s">
        <v>87</v>
      </c>
      <c r="G5564">
        <v>32947</v>
      </c>
      <c r="H5564" t="s">
        <v>8951</v>
      </c>
      <c r="I5564" s="130">
        <v>18</v>
      </c>
      <c r="J5564" t="s">
        <v>7188</v>
      </c>
      <c r="K5564" t="s">
        <v>108</v>
      </c>
      <c r="L5564" t="s">
        <v>253</v>
      </c>
      <c r="M5564" t="s">
        <v>130</v>
      </c>
      <c r="N5564" t="s">
        <v>216</v>
      </c>
      <c r="O5564" t="s">
        <v>116</v>
      </c>
    </row>
    <row r="5565" spans="1:15" x14ac:dyDescent="0.3">
      <c r="A5565" s="130">
        <v>26668</v>
      </c>
      <c r="B5565" s="130">
        <v>30</v>
      </c>
      <c r="C5565" s="130" t="s">
        <v>7189</v>
      </c>
      <c r="D5565">
        <v>43524</v>
      </c>
      <c r="E5565" s="130">
        <v>13623957</v>
      </c>
      <c r="F5565" t="s">
        <v>87</v>
      </c>
      <c r="G5565">
        <v>32947</v>
      </c>
      <c r="H5565" t="s">
        <v>8952</v>
      </c>
      <c r="I5565" s="131">
        <v>18</v>
      </c>
      <c r="J5565" t="s">
        <v>7189</v>
      </c>
      <c r="K5565" t="s">
        <v>95</v>
      </c>
      <c r="L5565" t="s">
        <v>123</v>
      </c>
      <c r="M5565" t="s">
        <v>103</v>
      </c>
      <c r="N5565" t="s">
        <v>98</v>
      </c>
      <c r="O5565" t="s">
        <v>116</v>
      </c>
    </row>
    <row r="5566" spans="1:15" x14ac:dyDescent="0.3">
      <c r="A5566" s="130">
        <v>26670</v>
      </c>
      <c r="B5566" s="130">
        <v>30</v>
      </c>
      <c r="C5566" s="130" t="s">
        <v>7190</v>
      </c>
      <c r="D5566">
        <v>43653</v>
      </c>
      <c r="E5566" s="131">
        <v>969103</v>
      </c>
      <c r="F5566" t="s">
        <v>87</v>
      </c>
      <c r="G5566">
        <v>1096</v>
      </c>
      <c r="H5566" t="s">
        <v>8953</v>
      </c>
      <c r="I5566" s="131">
        <v>19</v>
      </c>
      <c r="J5566" t="s">
        <v>7190</v>
      </c>
      <c r="K5566" t="s">
        <v>95</v>
      </c>
      <c r="L5566" t="s">
        <v>146</v>
      </c>
      <c r="M5566" t="s">
        <v>103</v>
      </c>
      <c r="N5566" t="s">
        <v>114</v>
      </c>
      <c r="O5566" t="s">
        <v>116</v>
      </c>
    </row>
    <row r="5567" spans="1:15" x14ac:dyDescent="0.3">
      <c r="A5567" s="130">
        <v>26671</v>
      </c>
      <c r="B5567" s="130">
        <v>30</v>
      </c>
      <c r="C5567" s="130" t="s">
        <v>7191</v>
      </c>
      <c r="D5567">
        <v>43883</v>
      </c>
      <c r="E5567" s="130">
        <v>61584223</v>
      </c>
      <c r="F5567" t="s">
        <v>87</v>
      </c>
      <c r="G5567">
        <v>32947</v>
      </c>
      <c r="H5567" t="s">
        <v>8951</v>
      </c>
      <c r="I5567" s="130">
        <v>3</v>
      </c>
      <c r="J5567" t="s">
        <v>7191</v>
      </c>
      <c r="K5567" t="s">
        <v>95</v>
      </c>
      <c r="L5567" t="s">
        <v>109</v>
      </c>
      <c r="M5567" t="s">
        <v>103</v>
      </c>
      <c r="N5567" t="s">
        <v>98</v>
      </c>
      <c r="O5567" t="s">
        <v>116</v>
      </c>
    </row>
    <row r="5568" spans="1:15" x14ac:dyDescent="0.3">
      <c r="A5568" s="130">
        <v>26672</v>
      </c>
      <c r="B5568" s="130">
        <v>45</v>
      </c>
      <c r="C5568" s="130" t="s">
        <v>7192</v>
      </c>
      <c r="D5568">
        <v>43862</v>
      </c>
      <c r="E5568" s="130">
        <v>44159557</v>
      </c>
      <c r="F5568" t="s">
        <v>87</v>
      </c>
      <c r="G5568">
        <v>1096</v>
      </c>
      <c r="H5568" t="s">
        <v>8952</v>
      </c>
      <c r="I5568" s="130">
        <v>3</v>
      </c>
      <c r="J5568" t="s">
        <v>7192</v>
      </c>
      <c r="K5568" t="s">
        <v>95</v>
      </c>
      <c r="L5568" t="s">
        <v>105</v>
      </c>
      <c r="M5568" t="s">
        <v>106</v>
      </c>
      <c r="N5568" t="s">
        <v>98</v>
      </c>
      <c r="O5568" t="s">
        <v>116</v>
      </c>
    </row>
    <row r="5569" spans="1:15" x14ac:dyDescent="0.3">
      <c r="A5569" s="130">
        <v>26673</v>
      </c>
      <c r="B5569" s="130">
        <v>30</v>
      </c>
      <c r="C5569" s="130" t="s">
        <v>7193</v>
      </c>
      <c r="D5569">
        <v>43796</v>
      </c>
      <c r="E5569" s="130">
        <v>45130701</v>
      </c>
      <c r="F5569" t="s">
        <v>87</v>
      </c>
      <c r="G5569">
        <v>1096</v>
      </c>
      <c r="H5569" t="s">
        <v>8953</v>
      </c>
      <c r="I5569" s="130">
        <v>19</v>
      </c>
      <c r="J5569" t="s">
        <v>7193</v>
      </c>
      <c r="K5569" t="s">
        <v>108</v>
      </c>
      <c r="L5569" t="s">
        <v>252</v>
      </c>
      <c r="M5569" t="s">
        <v>103</v>
      </c>
      <c r="O5569" t="s">
        <v>116</v>
      </c>
    </row>
    <row r="5570" spans="1:15" x14ac:dyDescent="0.3">
      <c r="A5570" s="130">
        <v>26674</v>
      </c>
      <c r="B5570" s="130">
        <v>30</v>
      </c>
      <c r="C5570" s="130" t="s">
        <v>7194</v>
      </c>
      <c r="D5570">
        <v>42932</v>
      </c>
      <c r="E5570" s="131">
        <v>46927082</v>
      </c>
      <c r="F5570" t="s">
        <v>87</v>
      </c>
      <c r="G5570">
        <v>1096</v>
      </c>
      <c r="H5570" t="s">
        <v>8951</v>
      </c>
      <c r="I5570" s="130">
        <v>43</v>
      </c>
      <c r="J5570" t="s">
        <v>7194</v>
      </c>
      <c r="K5570" t="s">
        <v>108</v>
      </c>
      <c r="L5570" t="s">
        <v>1368</v>
      </c>
      <c r="M5570" t="s">
        <v>103</v>
      </c>
      <c r="N5570" t="s">
        <v>114</v>
      </c>
      <c r="O5570" t="s">
        <v>116</v>
      </c>
    </row>
    <row r="5571" spans="1:15" x14ac:dyDescent="0.3">
      <c r="A5571" s="130">
        <v>26676</v>
      </c>
      <c r="B5571" s="130">
        <v>28</v>
      </c>
      <c r="C5571" s="130" t="s">
        <v>7195</v>
      </c>
      <c r="D5571">
        <v>42149</v>
      </c>
      <c r="E5571" s="131">
        <v>53932692</v>
      </c>
      <c r="F5571" t="s">
        <v>87</v>
      </c>
      <c r="G5571">
        <v>1096</v>
      </c>
      <c r="H5571" t="s">
        <v>8952</v>
      </c>
      <c r="I5571" s="130">
        <v>37</v>
      </c>
      <c r="J5571" t="s">
        <v>7195</v>
      </c>
      <c r="K5571" t="s">
        <v>95</v>
      </c>
      <c r="L5571" t="s">
        <v>138</v>
      </c>
      <c r="M5571" t="s">
        <v>130</v>
      </c>
      <c r="N5571" t="s">
        <v>150</v>
      </c>
      <c r="O5571" t="s">
        <v>116</v>
      </c>
    </row>
    <row r="5572" spans="1:15" x14ac:dyDescent="0.3">
      <c r="A5572" s="130">
        <v>26678</v>
      </c>
      <c r="B5572" s="130">
        <v>30</v>
      </c>
      <c r="C5572" s="130" t="s">
        <v>7196</v>
      </c>
      <c r="D5572">
        <v>43638</v>
      </c>
      <c r="E5572" s="130">
        <v>8807683</v>
      </c>
      <c r="F5572" t="s">
        <v>87</v>
      </c>
      <c r="G5572">
        <v>76</v>
      </c>
      <c r="H5572" t="s">
        <v>8953</v>
      </c>
      <c r="I5572" s="130">
        <v>26</v>
      </c>
      <c r="J5572" t="s">
        <v>7196</v>
      </c>
      <c r="K5572" t="s">
        <v>95</v>
      </c>
      <c r="L5572" t="s">
        <v>151</v>
      </c>
      <c r="M5572" t="s">
        <v>103</v>
      </c>
      <c r="N5572" t="s">
        <v>122</v>
      </c>
      <c r="O5572" t="s">
        <v>116</v>
      </c>
    </row>
    <row r="5573" spans="1:15" x14ac:dyDescent="0.3">
      <c r="A5573" s="130">
        <v>26679</v>
      </c>
      <c r="B5573" s="130">
        <v>18</v>
      </c>
      <c r="C5573" s="130" t="s">
        <v>7197</v>
      </c>
      <c r="D5573">
        <v>44010</v>
      </c>
      <c r="E5573" s="130">
        <v>83495275</v>
      </c>
      <c r="F5573" t="s">
        <v>87</v>
      </c>
      <c r="G5573">
        <v>32947</v>
      </c>
      <c r="H5573" t="s">
        <v>8951</v>
      </c>
      <c r="I5573" s="130">
        <v>26</v>
      </c>
      <c r="J5573" t="s">
        <v>7197</v>
      </c>
      <c r="K5573" t="s">
        <v>108</v>
      </c>
      <c r="L5573" t="s">
        <v>151</v>
      </c>
      <c r="M5573" t="s">
        <v>112</v>
      </c>
      <c r="N5573" t="s">
        <v>98</v>
      </c>
      <c r="O5573" t="s">
        <v>116</v>
      </c>
    </row>
    <row r="5574" spans="1:15" x14ac:dyDescent="0.3">
      <c r="A5574" s="130">
        <v>26680</v>
      </c>
      <c r="B5574" s="130">
        <v>30</v>
      </c>
      <c r="C5574" s="130" t="s">
        <v>7198</v>
      </c>
      <c r="D5574">
        <v>43195</v>
      </c>
      <c r="E5574" s="130">
        <v>12049631</v>
      </c>
      <c r="F5574" t="s">
        <v>87</v>
      </c>
      <c r="G5574">
        <v>32947</v>
      </c>
      <c r="H5574" t="s">
        <v>8952</v>
      </c>
      <c r="I5574" s="131">
        <v>19</v>
      </c>
      <c r="J5574" t="s">
        <v>7198</v>
      </c>
      <c r="K5574" t="s">
        <v>108</v>
      </c>
      <c r="L5574" t="s">
        <v>252</v>
      </c>
      <c r="M5574" t="s">
        <v>103</v>
      </c>
      <c r="N5574" t="s">
        <v>98</v>
      </c>
      <c r="O5574" t="s">
        <v>116</v>
      </c>
    </row>
    <row r="5575" spans="1:15" x14ac:dyDescent="0.3">
      <c r="A5575" s="130">
        <v>26681</v>
      </c>
      <c r="B5575" s="130">
        <v>30</v>
      </c>
      <c r="C5575" s="130" t="s">
        <v>7199</v>
      </c>
      <c r="D5575">
        <v>43965</v>
      </c>
      <c r="E5575" s="130">
        <v>27093558</v>
      </c>
      <c r="F5575" t="s">
        <v>87</v>
      </c>
      <c r="G5575">
        <v>32947</v>
      </c>
      <c r="H5575" t="s">
        <v>8953</v>
      </c>
      <c r="I5575" s="130">
        <v>26</v>
      </c>
      <c r="J5575" t="s">
        <v>7199</v>
      </c>
      <c r="K5575" t="s">
        <v>108</v>
      </c>
      <c r="L5575" t="s">
        <v>123</v>
      </c>
      <c r="M5575" t="s">
        <v>103</v>
      </c>
      <c r="N5575" t="s">
        <v>98</v>
      </c>
      <c r="O5575" t="s">
        <v>244</v>
      </c>
    </row>
    <row r="5576" spans="1:15" x14ac:dyDescent="0.3">
      <c r="A5576" s="130">
        <v>26682</v>
      </c>
      <c r="B5576" s="130">
        <v>30</v>
      </c>
      <c r="C5576" s="130" t="s">
        <v>7200</v>
      </c>
      <c r="D5576">
        <v>44011</v>
      </c>
      <c r="E5576" s="131">
        <v>37235077</v>
      </c>
      <c r="F5576" t="s">
        <v>87</v>
      </c>
      <c r="G5576">
        <v>1096</v>
      </c>
      <c r="H5576" t="s">
        <v>8951</v>
      </c>
      <c r="I5576" s="130">
        <v>19</v>
      </c>
      <c r="J5576" t="s">
        <v>7200</v>
      </c>
      <c r="K5576" t="s">
        <v>108</v>
      </c>
      <c r="L5576" t="s">
        <v>252</v>
      </c>
      <c r="M5576" t="s">
        <v>103</v>
      </c>
      <c r="N5576" t="s">
        <v>98</v>
      </c>
      <c r="O5576" t="s">
        <v>116</v>
      </c>
    </row>
    <row r="5577" spans="1:15" x14ac:dyDescent="0.3">
      <c r="A5577" s="130">
        <v>26683</v>
      </c>
      <c r="B5577" s="130">
        <v>90</v>
      </c>
      <c r="C5577" s="130" t="s">
        <v>7201</v>
      </c>
      <c r="D5577">
        <v>43798</v>
      </c>
      <c r="E5577" s="130">
        <v>655209</v>
      </c>
      <c r="F5577" t="s">
        <v>87</v>
      </c>
      <c r="G5577">
        <v>32947</v>
      </c>
      <c r="H5577" t="s">
        <v>8952</v>
      </c>
      <c r="I5577" s="130">
        <v>9</v>
      </c>
      <c r="J5577" t="s">
        <v>7201</v>
      </c>
      <c r="K5577" t="s">
        <v>95</v>
      </c>
      <c r="L5577" t="s">
        <v>1298</v>
      </c>
      <c r="M5577" t="s">
        <v>170</v>
      </c>
      <c r="N5577" t="s">
        <v>118</v>
      </c>
      <c r="O5577" t="s">
        <v>116</v>
      </c>
    </row>
    <row r="5578" spans="1:15" x14ac:dyDescent="0.3">
      <c r="A5578" s="130">
        <v>26684</v>
      </c>
      <c r="B5578" s="130">
        <v>10</v>
      </c>
      <c r="C5578" s="130" t="s">
        <v>7202</v>
      </c>
      <c r="D5578">
        <v>43262</v>
      </c>
      <c r="E5578" s="130">
        <v>22113908</v>
      </c>
      <c r="F5578" t="s">
        <v>87</v>
      </c>
      <c r="G5578">
        <v>32947</v>
      </c>
      <c r="H5578" t="s">
        <v>8953</v>
      </c>
      <c r="I5578" s="130">
        <v>3</v>
      </c>
      <c r="J5578" t="s">
        <v>7202</v>
      </c>
      <c r="K5578" t="s">
        <v>108</v>
      </c>
      <c r="L5578" t="s">
        <v>109</v>
      </c>
      <c r="M5578" t="s">
        <v>133</v>
      </c>
      <c r="N5578" t="s">
        <v>98</v>
      </c>
      <c r="O5578" t="s">
        <v>116</v>
      </c>
    </row>
    <row r="5579" spans="1:15" x14ac:dyDescent="0.3">
      <c r="A5579" s="130">
        <v>26685</v>
      </c>
      <c r="B5579" s="130">
        <v>21</v>
      </c>
      <c r="C5579" s="130" t="s">
        <v>7203</v>
      </c>
      <c r="D5579">
        <v>44024</v>
      </c>
      <c r="E5579" s="130">
        <v>76624584</v>
      </c>
      <c r="F5579" t="s">
        <v>87</v>
      </c>
      <c r="G5579">
        <v>1096</v>
      </c>
      <c r="H5579" t="s">
        <v>8951</v>
      </c>
      <c r="I5579" s="131">
        <v>3</v>
      </c>
      <c r="J5579" t="s">
        <v>7203</v>
      </c>
      <c r="K5579" t="s">
        <v>108</v>
      </c>
      <c r="L5579" t="s">
        <v>111</v>
      </c>
      <c r="M5579" t="s">
        <v>137</v>
      </c>
      <c r="O5579" t="s">
        <v>116</v>
      </c>
    </row>
    <row r="5580" spans="1:15" x14ac:dyDescent="0.3">
      <c r="A5580" s="130">
        <v>26686</v>
      </c>
      <c r="B5580" s="130">
        <v>21</v>
      </c>
      <c r="C5580" s="130" t="s">
        <v>7204</v>
      </c>
      <c r="D5580">
        <v>43392</v>
      </c>
      <c r="E5580" s="130">
        <v>10736565</v>
      </c>
      <c r="F5580" t="s">
        <v>87</v>
      </c>
      <c r="G5580">
        <v>1096</v>
      </c>
      <c r="H5580" t="s">
        <v>8952</v>
      </c>
      <c r="I5580" s="131">
        <v>43</v>
      </c>
      <c r="J5580" t="s">
        <v>7204</v>
      </c>
      <c r="K5580" t="s">
        <v>95</v>
      </c>
      <c r="L5580" t="s">
        <v>111</v>
      </c>
      <c r="M5580" t="s">
        <v>137</v>
      </c>
      <c r="N5580" t="s">
        <v>114</v>
      </c>
      <c r="O5580" t="s">
        <v>116</v>
      </c>
    </row>
    <row r="5581" spans="1:15" x14ac:dyDescent="0.3">
      <c r="A5581" s="130">
        <v>26687</v>
      </c>
      <c r="B5581" s="130">
        <v>30</v>
      </c>
      <c r="C5581" s="130" t="s">
        <v>7205</v>
      </c>
      <c r="D5581">
        <v>44070</v>
      </c>
      <c r="E5581" s="131">
        <v>15563826</v>
      </c>
      <c r="F5581" t="s">
        <v>87</v>
      </c>
      <c r="G5581">
        <v>1096</v>
      </c>
      <c r="H5581" t="s">
        <v>8953</v>
      </c>
      <c r="I5581" s="130">
        <v>3</v>
      </c>
      <c r="J5581" t="s">
        <v>7205</v>
      </c>
      <c r="K5581" t="s">
        <v>95</v>
      </c>
      <c r="L5581" t="s">
        <v>111</v>
      </c>
      <c r="M5581" t="s">
        <v>103</v>
      </c>
      <c r="N5581" t="s">
        <v>98</v>
      </c>
      <c r="O5581" t="s">
        <v>116</v>
      </c>
    </row>
    <row r="5582" spans="1:15" x14ac:dyDescent="0.3">
      <c r="A5582" s="130">
        <v>26688</v>
      </c>
      <c r="B5582" s="130">
        <v>30</v>
      </c>
      <c r="C5582" s="130" t="s">
        <v>7206</v>
      </c>
      <c r="D5582">
        <v>43710</v>
      </c>
      <c r="E5582" s="131">
        <v>15563826</v>
      </c>
      <c r="F5582" t="s">
        <v>87</v>
      </c>
      <c r="G5582">
        <v>1096</v>
      </c>
      <c r="H5582" t="s">
        <v>8951</v>
      </c>
      <c r="I5582" s="130">
        <v>3</v>
      </c>
      <c r="J5582" t="s">
        <v>7206</v>
      </c>
      <c r="K5582" t="s">
        <v>95</v>
      </c>
      <c r="L5582" t="s">
        <v>111</v>
      </c>
      <c r="M5582" t="s">
        <v>103</v>
      </c>
      <c r="N5582" t="s">
        <v>98</v>
      </c>
      <c r="O5582" t="s">
        <v>116</v>
      </c>
    </row>
    <row r="5583" spans="1:15" x14ac:dyDescent="0.3">
      <c r="A5583" s="130">
        <v>26689</v>
      </c>
      <c r="B5583" s="130">
        <v>18</v>
      </c>
      <c r="C5583" s="130" t="s">
        <v>7207</v>
      </c>
      <c r="D5583">
        <v>43875</v>
      </c>
      <c r="E5583" s="130">
        <v>21441058</v>
      </c>
      <c r="F5583" t="s">
        <v>87</v>
      </c>
      <c r="G5583">
        <v>1096</v>
      </c>
      <c r="H5583" t="s">
        <v>8952</v>
      </c>
      <c r="I5583" s="131">
        <v>9</v>
      </c>
      <c r="J5583" t="s">
        <v>7207</v>
      </c>
      <c r="K5583" t="s">
        <v>108</v>
      </c>
      <c r="L5583" t="s">
        <v>163</v>
      </c>
      <c r="M5583" t="s">
        <v>112</v>
      </c>
      <c r="N5583" t="s">
        <v>124</v>
      </c>
      <c r="O5583" t="s">
        <v>116</v>
      </c>
    </row>
    <row r="5584" spans="1:15" x14ac:dyDescent="0.3">
      <c r="A5584" s="130">
        <v>26690</v>
      </c>
      <c r="B5584" s="130">
        <v>30</v>
      </c>
      <c r="C5584" s="130" t="s">
        <v>7208</v>
      </c>
      <c r="D5584">
        <v>42710</v>
      </c>
      <c r="E5584" s="130">
        <v>55779382</v>
      </c>
      <c r="F5584" t="s">
        <v>87</v>
      </c>
      <c r="G5584">
        <v>1096</v>
      </c>
      <c r="H5584" t="s">
        <v>8953</v>
      </c>
      <c r="I5584" s="130">
        <v>43</v>
      </c>
      <c r="J5584" t="s">
        <v>7208</v>
      </c>
      <c r="K5584" t="s">
        <v>95</v>
      </c>
      <c r="L5584" t="s">
        <v>1368</v>
      </c>
      <c r="M5584" t="s">
        <v>103</v>
      </c>
      <c r="N5584" t="s">
        <v>98</v>
      </c>
      <c r="O5584" t="s">
        <v>116</v>
      </c>
    </row>
    <row r="5585" spans="1:15" x14ac:dyDescent="0.3">
      <c r="A5585" s="130">
        <v>26691</v>
      </c>
      <c r="B5585" s="130">
        <v>30</v>
      </c>
      <c r="C5585" s="130" t="s">
        <v>7209</v>
      </c>
      <c r="D5585">
        <v>44120</v>
      </c>
      <c r="E5585" s="130">
        <v>23921007</v>
      </c>
      <c r="F5585" t="s">
        <v>87</v>
      </c>
      <c r="G5585">
        <v>32947</v>
      </c>
      <c r="H5585" t="s">
        <v>8951</v>
      </c>
      <c r="I5585" s="131">
        <v>3</v>
      </c>
      <c r="J5585" t="s">
        <v>7209</v>
      </c>
      <c r="K5585" t="s">
        <v>95</v>
      </c>
      <c r="L5585" t="s">
        <v>1293</v>
      </c>
      <c r="M5585" t="s">
        <v>103</v>
      </c>
      <c r="N5585" t="s">
        <v>124</v>
      </c>
      <c r="O5585" t="s">
        <v>116</v>
      </c>
    </row>
    <row r="5586" spans="1:15" x14ac:dyDescent="0.3">
      <c r="A5586" s="130">
        <v>26692</v>
      </c>
      <c r="B5586" s="130">
        <v>30</v>
      </c>
      <c r="C5586" s="130" t="s">
        <v>7210</v>
      </c>
      <c r="D5586">
        <v>44117</v>
      </c>
      <c r="E5586" s="131">
        <v>23921007</v>
      </c>
      <c r="F5586" t="s">
        <v>87</v>
      </c>
      <c r="G5586">
        <v>32947</v>
      </c>
      <c r="H5586" t="s">
        <v>8952</v>
      </c>
      <c r="I5586" s="130">
        <v>3</v>
      </c>
      <c r="J5586" t="s">
        <v>7210</v>
      </c>
      <c r="K5586" t="s">
        <v>95</v>
      </c>
      <c r="L5586" t="s">
        <v>1293</v>
      </c>
      <c r="M5586" t="s">
        <v>103</v>
      </c>
      <c r="N5586" t="s">
        <v>124</v>
      </c>
      <c r="O5586" t="s">
        <v>116</v>
      </c>
    </row>
    <row r="5587" spans="1:15" x14ac:dyDescent="0.3">
      <c r="A5587" s="130">
        <v>26693</v>
      </c>
      <c r="B5587" s="130">
        <v>30</v>
      </c>
      <c r="C5587" s="130" t="s">
        <v>7211</v>
      </c>
      <c r="D5587">
        <v>43885</v>
      </c>
      <c r="E5587" s="130">
        <v>903166</v>
      </c>
      <c r="F5587" t="s">
        <v>87</v>
      </c>
      <c r="G5587">
        <v>32947</v>
      </c>
      <c r="H5587" t="s">
        <v>8953</v>
      </c>
      <c r="I5587" s="130">
        <v>19</v>
      </c>
      <c r="J5587" t="s">
        <v>7211</v>
      </c>
      <c r="K5587" t="s">
        <v>108</v>
      </c>
      <c r="L5587" t="s">
        <v>146</v>
      </c>
      <c r="M5587" t="s">
        <v>103</v>
      </c>
      <c r="N5587" t="s">
        <v>169</v>
      </c>
      <c r="O5587" t="s">
        <v>116</v>
      </c>
    </row>
    <row r="5588" spans="1:15" x14ac:dyDescent="0.3">
      <c r="A5588" s="130">
        <v>26694</v>
      </c>
      <c r="B5588" s="130">
        <v>30</v>
      </c>
      <c r="C5588" s="130" t="s">
        <v>7212</v>
      </c>
      <c r="D5588">
        <v>44151</v>
      </c>
      <c r="E5588" s="130">
        <v>37235077</v>
      </c>
      <c r="F5588" t="s">
        <v>87</v>
      </c>
      <c r="G5588">
        <v>1096</v>
      </c>
      <c r="H5588" t="s">
        <v>8951</v>
      </c>
      <c r="I5588" s="130">
        <v>19</v>
      </c>
      <c r="J5588" t="s">
        <v>7212</v>
      </c>
      <c r="K5588" t="s">
        <v>108</v>
      </c>
      <c r="L5588" t="s">
        <v>252</v>
      </c>
      <c r="M5588" t="s">
        <v>103</v>
      </c>
      <c r="N5588" t="s">
        <v>98</v>
      </c>
      <c r="O5588" t="s">
        <v>116</v>
      </c>
    </row>
    <row r="5589" spans="1:15" x14ac:dyDescent="0.3">
      <c r="A5589" s="130">
        <v>26695</v>
      </c>
      <c r="B5589" s="130">
        <v>30</v>
      </c>
      <c r="C5589" s="130" t="s">
        <v>7213</v>
      </c>
      <c r="D5589">
        <v>43054</v>
      </c>
      <c r="E5589" s="130">
        <v>21090090</v>
      </c>
      <c r="F5589" t="s">
        <v>87</v>
      </c>
      <c r="G5589">
        <v>1096</v>
      </c>
      <c r="H5589" t="s">
        <v>8952</v>
      </c>
      <c r="I5589" s="131">
        <v>43</v>
      </c>
      <c r="J5589" t="s">
        <v>7213</v>
      </c>
      <c r="K5589" t="s">
        <v>108</v>
      </c>
      <c r="L5589" t="s">
        <v>1368</v>
      </c>
      <c r="M5589" t="s">
        <v>103</v>
      </c>
      <c r="N5589" t="s">
        <v>98</v>
      </c>
      <c r="O5589" t="s">
        <v>244</v>
      </c>
    </row>
    <row r="5590" spans="1:15" x14ac:dyDescent="0.3">
      <c r="A5590" s="130">
        <v>26697</v>
      </c>
      <c r="B5590" s="130">
        <v>18</v>
      </c>
      <c r="C5590" s="130" t="s">
        <v>7214</v>
      </c>
      <c r="D5590">
        <v>43990</v>
      </c>
      <c r="E5590" s="130">
        <v>28917962</v>
      </c>
      <c r="F5590" t="s">
        <v>87</v>
      </c>
      <c r="G5590">
        <v>1096</v>
      </c>
      <c r="H5590" t="s">
        <v>8953</v>
      </c>
      <c r="I5590" s="131">
        <v>9</v>
      </c>
      <c r="J5590" t="s">
        <v>7214</v>
      </c>
      <c r="K5590" t="s">
        <v>95</v>
      </c>
      <c r="L5590" t="s">
        <v>163</v>
      </c>
      <c r="M5590" t="s">
        <v>112</v>
      </c>
      <c r="N5590" t="s">
        <v>98</v>
      </c>
      <c r="O5590" t="s">
        <v>116</v>
      </c>
    </row>
    <row r="5591" spans="1:15" x14ac:dyDescent="0.3">
      <c r="A5591" s="130">
        <v>26698</v>
      </c>
      <c r="B5591" s="130">
        <v>10</v>
      </c>
      <c r="C5591" s="130" t="s">
        <v>7215</v>
      </c>
      <c r="D5591">
        <v>44169</v>
      </c>
      <c r="E5591" s="130">
        <v>10291580</v>
      </c>
      <c r="F5591" t="s">
        <v>87</v>
      </c>
      <c r="G5591">
        <v>1096</v>
      </c>
      <c r="H5591" t="s">
        <v>8951</v>
      </c>
      <c r="I5591" s="130">
        <v>3</v>
      </c>
      <c r="J5591" t="s">
        <v>7215</v>
      </c>
      <c r="K5591" t="s">
        <v>108</v>
      </c>
      <c r="L5591" t="s">
        <v>1293</v>
      </c>
      <c r="M5591" t="s">
        <v>133</v>
      </c>
      <c r="O5591" t="s">
        <v>116</v>
      </c>
    </row>
    <row r="5592" spans="1:15" x14ac:dyDescent="0.3">
      <c r="A5592" s="130">
        <v>26699</v>
      </c>
      <c r="B5592" s="130">
        <v>30</v>
      </c>
      <c r="C5592" s="130" t="s">
        <v>7216</v>
      </c>
      <c r="D5592">
        <v>44225</v>
      </c>
      <c r="E5592" s="130">
        <v>25125373</v>
      </c>
      <c r="F5592" t="s">
        <v>87</v>
      </c>
      <c r="G5592">
        <v>77</v>
      </c>
      <c r="H5592" t="s">
        <v>8952</v>
      </c>
      <c r="I5592" s="130">
        <v>26</v>
      </c>
      <c r="J5592" t="s">
        <v>7216</v>
      </c>
      <c r="K5592" t="s">
        <v>95</v>
      </c>
      <c r="L5592" t="s">
        <v>1465</v>
      </c>
      <c r="M5592" t="s">
        <v>103</v>
      </c>
      <c r="N5592" t="s">
        <v>98</v>
      </c>
      <c r="O5592" t="s">
        <v>116</v>
      </c>
    </row>
    <row r="5593" spans="1:15" x14ac:dyDescent="0.3">
      <c r="A5593" s="130">
        <v>26700</v>
      </c>
      <c r="B5593" s="130">
        <v>30</v>
      </c>
      <c r="C5593" s="130" t="s">
        <v>7217</v>
      </c>
      <c r="D5593">
        <v>44183</v>
      </c>
      <c r="E5593" s="131">
        <v>55779382</v>
      </c>
      <c r="F5593" t="s">
        <v>87</v>
      </c>
      <c r="G5593">
        <v>32947</v>
      </c>
      <c r="H5593" t="s">
        <v>8953</v>
      </c>
      <c r="I5593" s="131">
        <v>43</v>
      </c>
      <c r="J5593" t="s">
        <v>7217</v>
      </c>
      <c r="K5593" t="s">
        <v>95</v>
      </c>
      <c r="L5593" t="s">
        <v>1368</v>
      </c>
      <c r="M5593" t="s">
        <v>103</v>
      </c>
      <c r="N5593" t="s">
        <v>98</v>
      </c>
      <c r="O5593" t="s">
        <v>116</v>
      </c>
    </row>
    <row r="5594" spans="1:15" x14ac:dyDescent="0.3">
      <c r="A5594" s="130">
        <v>26701</v>
      </c>
      <c r="B5594" s="130">
        <v>30</v>
      </c>
      <c r="C5594" s="130" t="s">
        <v>7218</v>
      </c>
      <c r="D5594">
        <v>44189</v>
      </c>
      <c r="E5594" s="130">
        <v>55779382</v>
      </c>
      <c r="F5594" t="s">
        <v>87</v>
      </c>
      <c r="G5594">
        <v>1096</v>
      </c>
      <c r="H5594" t="s">
        <v>8951</v>
      </c>
      <c r="I5594" s="130">
        <v>3</v>
      </c>
      <c r="J5594" t="s">
        <v>7218</v>
      </c>
      <c r="K5594" t="s">
        <v>95</v>
      </c>
      <c r="L5594" t="s">
        <v>1368</v>
      </c>
      <c r="M5594" t="s">
        <v>103</v>
      </c>
      <c r="N5594" t="s">
        <v>98</v>
      </c>
      <c r="O5594" t="s">
        <v>116</v>
      </c>
    </row>
    <row r="5595" spans="1:15" x14ac:dyDescent="0.3">
      <c r="A5595" s="130">
        <v>26702</v>
      </c>
      <c r="B5595" s="130">
        <v>18</v>
      </c>
      <c r="C5595" s="130" t="s">
        <v>7219</v>
      </c>
      <c r="D5595">
        <v>44200</v>
      </c>
      <c r="E5595" s="130">
        <v>47389879</v>
      </c>
      <c r="F5595" t="s">
        <v>87</v>
      </c>
      <c r="G5595">
        <v>76</v>
      </c>
      <c r="H5595" t="s">
        <v>8952</v>
      </c>
      <c r="I5595" s="130">
        <v>10</v>
      </c>
      <c r="J5595" t="s">
        <v>7219</v>
      </c>
      <c r="K5595" t="s">
        <v>108</v>
      </c>
      <c r="L5595" t="s">
        <v>127</v>
      </c>
      <c r="M5595" t="s">
        <v>112</v>
      </c>
      <c r="N5595" t="s">
        <v>118</v>
      </c>
      <c r="O5595" t="s">
        <v>116</v>
      </c>
    </row>
    <row r="5596" spans="1:15" x14ac:dyDescent="0.3">
      <c r="A5596" s="130">
        <v>26703</v>
      </c>
      <c r="B5596" s="130">
        <v>10</v>
      </c>
      <c r="C5596" s="130" t="s">
        <v>7220</v>
      </c>
      <c r="D5596">
        <v>44227</v>
      </c>
      <c r="E5596" s="130">
        <v>5638550</v>
      </c>
      <c r="F5596" t="s">
        <v>87</v>
      </c>
      <c r="G5596">
        <v>1096</v>
      </c>
      <c r="H5596" t="s">
        <v>8953</v>
      </c>
      <c r="I5596" s="130">
        <v>9</v>
      </c>
      <c r="J5596" t="s">
        <v>7220</v>
      </c>
      <c r="K5596" t="s">
        <v>108</v>
      </c>
      <c r="L5596" t="s">
        <v>1298</v>
      </c>
      <c r="M5596" t="s">
        <v>133</v>
      </c>
      <c r="N5596" t="s">
        <v>98</v>
      </c>
      <c r="O5596" t="s">
        <v>116</v>
      </c>
    </row>
    <row r="5597" spans="1:15" x14ac:dyDescent="0.3">
      <c r="A5597" s="130">
        <v>26704</v>
      </c>
      <c r="B5597" s="130">
        <v>10</v>
      </c>
      <c r="C5597" s="130" t="s">
        <v>7221</v>
      </c>
      <c r="D5597">
        <v>44250</v>
      </c>
      <c r="E5597" s="130">
        <v>5793399</v>
      </c>
      <c r="F5597" t="s">
        <v>87</v>
      </c>
      <c r="G5597">
        <v>1096</v>
      </c>
      <c r="H5597" t="s">
        <v>8951</v>
      </c>
      <c r="I5597" s="130">
        <v>3</v>
      </c>
      <c r="J5597" t="s">
        <v>7221</v>
      </c>
      <c r="K5597" t="s">
        <v>108</v>
      </c>
      <c r="L5597" t="s">
        <v>1293</v>
      </c>
      <c r="M5597" t="s">
        <v>133</v>
      </c>
      <c r="N5597" t="s">
        <v>98</v>
      </c>
      <c r="O5597" t="s">
        <v>116</v>
      </c>
    </row>
    <row r="5598" spans="1:15" x14ac:dyDescent="0.3">
      <c r="A5598" s="130">
        <v>26705</v>
      </c>
      <c r="B5598" s="130">
        <v>45</v>
      </c>
      <c r="C5598" s="130" t="s">
        <v>7222</v>
      </c>
      <c r="D5598">
        <v>43043</v>
      </c>
      <c r="E5598" s="130">
        <v>13623957</v>
      </c>
      <c r="F5598" t="s">
        <v>87</v>
      </c>
      <c r="G5598">
        <v>32947</v>
      </c>
      <c r="H5598" t="s">
        <v>8952</v>
      </c>
      <c r="I5598" s="130">
        <v>18</v>
      </c>
      <c r="J5598" t="s">
        <v>7222</v>
      </c>
      <c r="K5598" t="s">
        <v>95</v>
      </c>
      <c r="L5598" t="s">
        <v>123</v>
      </c>
      <c r="M5598" t="s">
        <v>106</v>
      </c>
      <c r="N5598" t="s">
        <v>98</v>
      </c>
      <c r="O5598" t="s">
        <v>116</v>
      </c>
    </row>
    <row r="5599" spans="1:15" x14ac:dyDescent="0.3">
      <c r="A5599" s="130">
        <v>26706</v>
      </c>
      <c r="B5599" s="130">
        <v>30</v>
      </c>
      <c r="C5599" s="130" t="s">
        <v>7223</v>
      </c>
      <c r="D5599">
        <v>41600</v>
      </c>
      <c r="E5599" s="130">
        <v>23878457</v>
      </c>
      <c r="F5599" t="s">
        <v>87</v>
      </c>
      <c r="G5599">
        <v>1096</v>
      </c>
      <c r="H5599" t="s">
        <v>8953</v>
      </c>
      <c r="I5599" s="130">
        <v>3</v>
      </c>
      <c r="J5599" t="s">
        <v>7223</v>
      </c>
      <c r="K5599" t="s">
        <v>108</v>
      </c>
      <c r="L5599" t="s">
        <v>111</v>
      </c>
      <c r="M5599" t="s">
        <v>103</v>
      </c>
      <c r="O5599" t="s">
        <v>116</v>
      </c>
    </row>
    <row r="5600" spans="1:15" x14ac:dyDescent="0.3">
      <c r="A5600" s="130">
        <v>26707</v>
      </c>
      <c r="B5600" s="130">
        <v>30</v>
      </c>
      <c r="C5600" s="130" t="s">
        <v>7224</v>
      </c>
      <c r="D5600">
        <v>42979</v>
      </c>
      <c r="E5600" s="130">
        <v>26772122</v>
      </c>
      <c r="F5600" t="s">
        <v>87</v>
      </c>
      <c r="G5600">
        <v>1096</v>
      </c>
      <c r="H5600" t="s">
        <v>8951</v>
      </c>
      <c r="I5600" s="130">
        <v>43</v>
      </c>
      <c r="J5600" t="s">
        <v>7224</v>
      </c>
      <c r="K5600" t="s">
        <v>108</v>
      </c>
      <c r="L5600" t="s">
        <v>1368</v>
      </c>
      <c r="M5600" t="s">
        <v>103</v>
      </c>
      <c r="N5600" t="s">
        <v>98</v>
      </c>
      <c r="O5600" t="s">
        <v>116</v>
      </c>
    </row>
    <row r="5601" spans="1:15" x14ac:dyDescent="0.3">
      <c r="A5601" s="130">
        <v>26710</v>
      </c>
      <c r="B5601" s="130">
        <v>10</v>
      </c>
      <c r="C5601" s="130" t="s">
        <v>7225</v>
      </c>
      <c r="D5601">
        <v>43489</v>
      </c>
      <c r="E5601" s="130">
        <v>19024253</v>
      </c>
      <c r="F5601" t="s">
        <v>87</v>
      </c>
      <c r="G5601">
        <v>1096</v>
      </c>
      <c r="H5601" t="s">
        <v>8952</v>
      </c>
      <c r="I5601" s="130">
        <v>18</v>
      </c>
      <c r="J5601" t="s">
        <v>7225</v>
      </c>
      <c r="K5601" t="s">
        <v>108</v>
      </c>
      <c r="L5601" t="s">
        <v>1293</v>
      </c>
      <c r="M5601" t="s">
        <v>133</v>
      </c>
      <c r="O5601" t="s">
        <v>1256</v>
      </c>
    </row>
    <row r="5602" spans="1:15" x14ac:dyDescent="0.3">
      <c r="A5602" s="130">
        <v>26711</v>
      </c>
      <c r="B5602" s="130">
        <v>30</v>
      </c>
      <c r="C5602" s="130" t="s">
        <v>7226</v>
      </c>
      <c r="D5602">
        <v>43820</v>
      </c>
      <c r="E5602" s="131">
        <v>9246068</v>
      </c>
      <c r="F5602" t="s">
        <v>87</v>
      </c>
      <c r="G5602">
        <v>32947</v>
      </c>
      <c r="H5602" t="s">
        <v>8953</v>
      </c>
      <c r="I5602" s="130">
        <v>19</v>
      </c>
      <c r="J5602" t="s">
        <v>7226</v>
      </c>
      <c r="K5602" t="s">
        <v>108</v>
      </c>
      <c r="L5602" t="s">
        <v>252</v>
      </c>
      <c r="M5602" t="s">
        <v>103</v>
      </c>
      <c r="N5602" t="s">
        <v>101</v>
      </c>
      <c r="O5602" t="s">
        <v>116</v>
      </c>
    </row>
    <row r="5603" spans="1:15" x14ac:dyDescent="0.3">
      <c r="A5603" s="130">
        <v>26713</v>
      </c>
      <c r="B5603" s="130">
        <v>30</v>
      </c>
      <c r="C5603" s="130" t="s">
        <v>7227</v>
      </c>
      <c r="D5603">
        <v>41871</v>
      </c>
      <c r="E5603" s="131">
        <v>8217851</v>
      </c>
      <c r="F5603" t="s">
        <v>87</v>
      </c>
      <c r="G5603">
        <v>32947</v>
      </c>
      <c r="H5603" t="s">
        <v>8951</v>
      </c>
      <c r="I5603" s="130">
        <v>18</v>
      </c>
      <c r="J5603" t="s">
        <v>7227</v>
      </c>
      <c r="K5603" t="s">
        <v>108</v>
      </c>
      <c r="L5603" t="s">
        <v>123</v>
      </c>
      <c r="M5603" t="s">
        <v>103</v>
      </c>
      <c r="N5603" t="s">
        <v>98</v>
      </c>
      <c r="O5603" t="s">
        <v>116</v>
      </c>
    </row>
    <row r="5604" spans="1:15" x14ac:dyDescent="0.3">
      <c r="A5604" s="130">
        <v>26715</v>
      </c>
      <c r="B5604" s="130">
        <v>30</v>
      </c>
      <c r="C5604" s="130" t="s">
        <v>7228</v>
      </c>
      <c r="D5604">
        <v>44376</v>
      </c>
      <c r="E5604" s="130">
        <v>24925723</v>
      </c>
      <c r="F5604" t="s">
        <v>87</v>
      </c>
      <c r="G5604">
        <v>32947</v>
      </c>
      <c r="H5604" t="s">
        <v>8952</v>
      </c>
      <c r="I5604" s="131">
        <v>38</v>
      </c>
      <c r="J5604" t="s">
        <v>7228</v>
      </c>
      <c r="K5604" t="s">
        <v>108</v>
      </c>
      <c r="L5604" t="s">
        <v>126</v>
      </c>
      <c r="M5604" t="s">
        <v>103</v>
      </c>
      <c r="N5604" t="s">
        <v>98</v>
      </c>
      <c r="O5604" t="s">
        <v>116</v>
      </c>
    </row>
    <row r="5605" spans="1:15" x14ac:dyDescent="0.3">
      <c r="A5605" s="130">
        <v>26718</v>
      </c>
      <c r="B5605" s="130">
        <v>10</v>
      </c>
      <c r="C5605" s="130" t="s">
        <v>7229</v>
      </c>
      <c r="D5605">
        <v>44394</v>
      </c>
      <c r="E5605" s="130">
        <v>5158344</v>
      </c>
      <c r="F5605" t="s">
        <v>87</v>
      </c>
      <c r="G5605">
        <v>32947</v>
      </c>
      <c r="H5605" t="s">
        <v>8953</v>
      </c>
      <c r="I5605" s="130">
        <v>3</v>
      </c>
      <c r="J5605" t="s">
        <v>7229</v>
      </c>
      <c r="K5605" t="s">
        <v>108</v>
      </c>
      <c r="L5605" t="s">
        <v>109</v>
      </c>
      <c r="M5605" t="s">
        <v>133</v>
      </c>
      <c r="N5605" t="s">
        <v>101</v>
      </c>
      <c r="O5605" t="s">
        <v>116</v>
      </c>
    </row>
    <row r="5606" spans="1:15" x14ac:dyDescent="0.3">
      <c r="A5606" s="130">
        <v>26719</v>
      </c>
      <c r="B5606" s="130">
        <v>30</v>
      </c>
      <c r="C5606" s="130" t="s">
        <v>7230</v>
      </c>
      <c r="D5606">
        <v>44393</v>
      </c>
      <c r="E5606" s="131">
        <v>7522191</v>
      </c>
      <c r="F5606" t="s">
        <v>87</v>
      </c>
      <c r="G5606">
        <v>32947</v>
      </c>
      <c r="H5606" t="s">
        <v>8951</v>
      </c>
      <c r="I5606" s="130">
        <v>3</v>
      </c>
      <c r="J5606" t="s">
        <v>7230</v>
      </c>
      <c r="K5606" t="s">
        <v>95</v>
      </c>
      <c r="L5606" t="s">
        <v>109</v>
      </c>
      <c r="M5606" t="s">
        <v>103</v>
      </c>
      <c r="N5606" t="s">
        <v>114</v>
      </c>
      <c r="O5606" t="s">
        <v>116</v>
      </c>
    </row>
    <row r="5607" spans="1:15" x14ac:dyDescent="0.3">
      <c r="A5607" s="130">
        <v>26721</v>
      </c>
      <c r="B5607" s="130">
        <v>21</v>
      </c>
      <c r="C5607" s="130" t="s">
        <v>7231</v>
      </c>
      <c r="D5607">
        <v>44329</v>
      </c>
      <c r="E5607" s="130">
        <v>47144548</v>
      </c>
      <c r="F5607" t="s">
        <v>87</v>
      </c>
      <c r="G5607">
        <v>1096</v>
      </c>
      <c r="H5607" t="s">
        <v>8952</v>
      </c>
      <c r="I5607" s="130">
        <v>3</v>
      </c>
      <c r="J5607" t="s">
        <v>7231</v>
      </c>
      <c r="K5607" t="s">
        <v>108</v>
      </c>
      <c r="L5607" t="s">
        <v>191</v>
      </c>
      <c r="M5607" t="s">
        <v>137</v>
      </c>
      <c r="N5607" t="s">
        <v>114</v>
      </c>
      <c r="O5607" t="s">
        <v>116</v>
      </c>
    </row>
    <row r="5608" spans="1:15" x14ac:dyDescent="0.3">
      <c r="A5608" s="130">
        <v>26722</v>
      </c>
      <c r="B5608" s="130">
        <v>28</v>
      </c>
      <c r="C5608" s="130" t="s">
        <v>7232</v>
      </c>
      <c r="D5608">
        <v>44270</v>
      </c>
      <c r="E5608" s="130">
        <v>78954286</v>
      </c>
      <c r="F5608" t="s">
        <v>87</v>
      </c>
      <c r="G5608">
        <v>32947</v>
      </c>
      <c r="H5608" t="s">
        <v>8953</v>
      </c>
      <c r="I5608" s="131">
        <v>18</v>
      </c>
      <c r="J5608" t="s">
        <v>7232</v>
      </c>
      <c r="K5608" t="s">
        <v>108</v>
      </c>
      <c r="L5608" t="s">
        <v>253</v>
      </c>
      <c r="M5608" t="s">
        <v>130</v>
      </c>
      <c r="N5608" t="s">
        <v>152</v>
      </c>
      <c r="O5608" t="s">
        <v>116</v>
      </c>
    </row>
    <row r="5609" spans="1:15" x14ac:dyDescent="0.3">
      <c r="A5609" s="130">
        <v>26724</v>
      </c>
      <c r="B5609" s="130">
        <v>10</v>
      </c>
      <c r="C5609" s="130" t="s">
        <v>7233</v>
      </c>
      <c r="D5609">
        <v>43896</v>
      </c>
      <c r="E5609" s="130">
        <v>13429102</v>
      </c>
      <c r="F5609" t="s">
        <v>87</v>
      </c>
      <c r="G5609">
        <v>1096</v>
      </c>
      <c r="H5609" t="s">
        <v>8951</v>
      </c>
      <c r="I5609" s="131">
        <v>3</v>
      </c>
      <c r="J5609" t="s">
        <v>7233</v>
      </c>
      <c r="K5609" t="s">
        <v>108</v>
      </c>
      <c r="L5609" t="s">
        <v>1293</v>
      </c>
      <c r="M5609" t="s">
        <v>133</v>
      </c>
      <c r="N5609" t="s">
        <v>114</v>
      </c>
      <c r="O5609" t="s">
        <v>116</v>
      </c>
    </row>
    <row r="5610" spans="1:15" x14ac:dyDescent="0.3">
      <c r="A5610" s="130">
        <v>26728</v>
      </c>
      <c r="B5610" s="130">
        <v>30</v>
      </c>
      <c r="C5610" s="130" t="s">
        <v>7234</v>
      </c>
      <c r="D5610">
        <v>44378</v>
      </c>
      <c r="E5610" s="130">
        <v>21471093</v>
      </c>
      <c r="F5610" t="s">
        <v>87</v>
      </c>
      <c r="G5610">
        <v>1096</v>
      </c>
      <c r="H5610" t="s">
        <v>8952</v>
      </c>
      <c r="I5610" s="131">
        <v>3</v>
      </c>
      <c r="J5610" t="s">
        <v>7234</v>
      </c>
      <c r="K5610" t="s">
        <v>95</v>
      </c>
      <c r="L5610" t="s">
        <v>111</v>
      </c>
      <c r="M5610" t="s">
        <v>103</v>
      </c>
      <c r="N5610" t="s">
        <v>98</v>
      </c>
      <c r="O5610" t="s">
        <v>116</v>
      </c>
    </row>
    <row r="5611" spans="1:15" x14ac:dyDescent="0.3">
      <c r="A5611" s="130">
        <v>26730</v>
      </c>
      <c r="B5611" s="130">
        <v>18</v>
      </c>
      <c r="C5611" s="130" t="s">
        <v>7235</v>
      </c>
      <c r="D5611">
        <v>44415</v>
      </c>
      <c r="E5611" s="130">
        <v>83495275</v>
      </c>
      <c r="F5611" t="s">
        <v>87</v>
      </c>
      <c r="G5611">
        <v>76</v>
      </c>
      <c r="H5611" t="s">
        <v>8953</v>
      </c>
      <c r="I5611" s="131">
        <v>26</v>
      </c>
      <c r="J5611" t="s">
        <v>7235</v>
      </c>
      <c r="K5611" t="s">
        <v>108</v>
      </c>
      <c r="L5611" t="s">
        <v>151</v>
      </c>
      <c r="M5611" t="s">
        <v>112</v>
      </c>
      <c r="N5611" t="s">
        <v>98</v>
      </c>
      <c r="O5611" t="s">
        <v>116</v>
      </c>
    </row>
    <row r="5612" spans="1:15" x14ac:dyDescent="0.3">
      <c r="A5612" s="130">
        <v>26732</v>
      </c>
      <c r="B5612" s="130">
        <v>90</v>
      </c>
      <c r="C5612" s="130" t="s">
        <v>7236</v>
      </c>
      <c r="D5612">
        <v>44404</v>
      </c>
      <c r="E5612" s="130">
        <v>655209</v>
      </c>
      <c r="F5612" t="s">
        <v>87</v>
      </c>
      <c r="G5612">
        <v>32947</v>
      </c>
      <c r="H5612" t="s">
        <v>8951</v>
      </c>
      <c r="I5612" s="130">
        <v>9</v>
      </c>
      <c r="J5612" t="s">
        <v>7236</v>
      </c>
      <c r="K5612" t="s">
        <v>95</v>
      </c>
      <c r="L5612" t="s">
        <v>1298</v>
      </c>
      <c r="M5612" t="s">
        <v>170</v>
      </c>
      <c r="N5612" t="s">
        <v>118</v>
      </c>
      <c r="O5612" t="s">
        <v>116</v>
      </c>
    </row>
    <row r="5613" spans="1:15" x14ac:dyDescent="0.3">
      <c r="A5613" s="130">
        <v>26733</v>
      </c>
      <c r="B5613" s="130">
        <v>30</v>
      </c>
      <c r="C5613" s="130" t="s">
        <v>7237</v>
      </c>
      <c r="D5613">
        <v>44184</v>
      </c>
      <c r="E5613" s="130">
        <v>8726496</v>
      </c>
      <c r="F5613" t="s">
        <v>87</v>
      </c>
      <c r="G5613">
        <v>32947</v>
      </c>
      <c r="H5613" t="s">
        <v>8952</v>
      </c>
      <c r="I5613" s="130">
        <v>43</v>
      </c>
      <c r="J5613" t="s">
        <v>7237</v>
      </c>
      <c r="K5613" t="s">
        <v>108</v>
      </c>
      <c r="L5613" t="s">
        <v>1368</v>
      </c>
      <c r="M5613" t="s">
        <v>103</v>
      </c>
      <c r="N5613" t="s">
        <v>98</v>
      </c>
      <c r="O5613" t="s">
        <v>244</v>
      </c>
    </row>
    <row r="5614" spans="1:15" x14ac:dyDescent="0.3">
      <c r="A5614" s="130">
        <v>26734</v>
      </c>
      <c r="B5614" s="130">
        <v>30</v>
      </c>
      <c r="C5614" s="130" t="s">
        <v>7238</v>
      </c>
      <c r="D5614">
        <v>44476</v>
      </c>
      <c r="E5614" s="130">
        <v>8726496</v>
      </c>
      <c r="F5614" t="s">
        <v>87</v>
      </c>
      <c r="G5614">
        <v>32947</v>
      </c>
      <c r="H5614" t="s">
        <v>8953</v>
      </c>
      <c r="I5614" s="130">
        <v>43</v>
      </c>
      <c r="J5614" t="s">
        <v>7238</v>
      </c>
      <c r="K5614" t="s">
        <v>108</v>
      </c>
      <c r="L5614" t="s">
        <v>1368</v>
      </c>
      <c r="M5614" t="s">
        <v>103</v>
      </c>
      <c r="N5614" t="s">
        <v>98</v>
      </c>
      <c r="O5614" t="s">
        <v>244</v>
      </c>
    </row>
    <row r="5615" spans="1:15" x14ac:dyDescent="0.3">
      <c r="A5615" s="130">
        <v>26735</v>
      </c>
      <c r="B5615" s="130">
        <v>21</v>
      </c>
      <c r="C5615" s="130" t="s">
        <v>7239</v>
      </c>
      <c r="D5615">
        <v>44173</v>
      </c>
      <c r="E5615" s="130">
        <v>56679871</v>
      </c>
      <c r="F5615" t="s">
        <v>87</v>
      </c>
      <c r="G5615">
        <v>1096</v>
      </c>
      <c r="H5615" t="s">
        <v>8951</v>
      </c>
      <c r="I5615" s="131">
        <v>24</v>
      </c>
      <c r="J5615" t="s">
        <v>7239</v>
      </c>
      <c r="K5615" t="s">
        <v>108</v>
      </c>
      <c r="L5615" t="s">
        <v>191</v>
      </c>
      <c r="M5615" t="s">
        <v>137</v>
      </c>
      <c r="N5615" t="s">
        <v>114</v>
      </c>
      <c r="O5615" t="s">
        <v>116</v>
      </c>
    </row>
    <row r="5616" spans="1:15" x14ac:dyDescent="0.3">
      <c r="A5616" s="130">
        <v>26736</v>
      </c>
      <c r="B5616" s="130">
        <v>30</v>
      </c>
      <c r="C5616" s="130" t="s">
        <v>7240</v>
      </c>
      <c r="D5616">
        <v>44495</v>
      </c>
      <c r="E5616" s="130">
        <v>38164906</v>
      </c>
      <c r="F5616" t="s">
        <v>87</v>
      </c>
      <c r="G5616">
        <v>1096</v>
      </c>
      <c r="H5616" t="s">
        <v>8952</v>
      </c>
      <c r="I5616" s="130">
        <v>37</v>
      </c>
      <c r="J5616" t="s">
        <v>7240</v>
      </c>
      <c r="K5616" t="s">
        <v>95</v>
      </c>
      <c r="L5616" t="s">
        <v>96</v>
      </c>
      <c r="M5616" t="s">
        <v>103</v>
      </c>
      <c r="N5616" t="s">
        <v>150</v>
      </c>
      <c r="O5616" t="s">
        <v>116</v>
      </c>
    </row>
    <row r="5617" spans="1:15" x14ac:dyDescent="0.3">
      <c r="A5617" s="130">
        <v>26737</v>
      </c>
      <c r="B5617" s="130">
        <v>10</v>
      </c>
      <c r="C5617" s="130" t="s">
        <v>7241</v>
      </c>
      <c r="D5617">
        <v>44181</v>
      </c>
      <c r="E5617" s="130">
        <v>36188051</v>
      </c>
      <c r="F5617" t="s">
        <v>87</v>
      </c>
      <c r="G5617">
        <v>32947</v>
      </c>
      <c r="H5617" t="s">
        <v>8953</v>
      </c>
      <c r="I5617" s="130">
        <v>3</v>
      </c>
      <c r="J5617" t="s">
        <v>7241</v>
      </c>
      <c r="K5617" t="s">
        <v>108</v>
      </c>
      <c r="L5617" t="s">
        <v>1293</v>
      </c>
      <c r="M5617" t="s">
        <v>133</v>
      </c>
      <c r="N5617" t="s">
        <v>150</v>
      </c>
      <c r="O5617" t="s">
        <v>116</v>
      </c>
    </row>
    <row r="5618" spans="1:15" x14ac:dyDescent="0.3">
      <c r="A5618" s="130">
        <v>26739</v>
      </c>
      <c r="B5618" s="130">
        <v>15</v>
      </c>
      <c r="C5618" s="130" t="s">
        <v>7242</v>
      </c>
      <c r="D5618">
        <v>43843</v>
      </c>
      <c r="E5618" s="130">
        <v>4583502</v>
      </c>
      <c r="F5618" t="s">
        <v>87</v>
      </c>
      <c r="G5618">
        <v>32947</v>
      </c>
      <c r="H5618" t="s">
        <v>8951</v>
      </c>
      <c r="I5618" s="130">
        <v>24</v>
      </c>
      <c r="J5618" t="s">
        <v>7242</v>
      </c>
      <c r="K5618" t="s">
        <v>108</v>
      </c>
      <c r="L5618" t="s">
        <v>240</v>
      </c>
      <c r="M5618" t="s">
        <v>145</v>
      </c>
      <c r="N5618" t="s">
        <v>98</v>
      </c>
      <c r="O5618" t="s">
        <v>116</v>
      </c>
    </row>
    <row r="5619" spans="1:15" x14ac:dyDescent="0.3">
      <c r="A5619" s="130">
        <v>26743</v>
      </c>
      <c r="B5619" s="131">
        <v>10</v>
      </c>
      <c r="C5619" s="130" t="s">
        <v>7243</v>
      </c>
      <c r="D5619">
        <v>44482</v>
      </c>
      <c r="E5619" s="131">
        <v>7345063</v>
      </c>
      <c r="F5619" t="s">
        <v>87</v>
      </c>
      <c r="G5619">
        <v>32947</v>
      </c>
      <c r="H5619" t="s">
        <v>8952</v>
      </c>
      <c r="I5619" s="131">
        <v>3</v>
      </c>
      <c r="J5619" t="s">
        <v>7243</v>
      </c>
      <c r="K5619" t="s">
        <v>108</v>
      </c>
      <c r="L5619" t="s">
        <v>1293</v>
      </c>
      <c r="M5619" t="s">
        <v>133</v>
      </c>
      <c r="N5619" t="s">
        <v>122</v>
      </c>
      <c r="O5619" t="s">
        <v>116</v>
      </c>
    </row>
    <row r="5620" spans="1:15" x14ac:dyDescent="0.3">
      <c r="A5620" s="130">
        <v>26744</v>
      </c>
      <c r="B5620" s="130">
        <v>30</v>
      </c>
      <c r="C5620" s="130" t="s">
        <v>7244</v>
      </c>
      <c r="D5620">
        <v>44450</v>
      </c>
      <c r="E5620" s="131">
        <v>8928273</v>
      </c>
      <c r="F5620" t="s">
        <v>87</v>
      </c>
      <c r="G5620">
        <v>1096</v>
      </c>
      <c r="H5620" t="s">
        <v>8953</v>
      </c>
      <c r="I5620" s="130">
        <v>3</v>
      </c>
      <c r="J5620" t="s">
        <v>7244</v>
      </c>
      <c r="K5620" t="s">
        <v>95</v>
      </c>
      <c r="L5620" t="s">
        <v>1293</v>
      </c>
      <c r="M5620" t="s">
        <v>103</v>
      </c>
      <c r="N5620" t="s">
        <v>124</v>
      </c>
      <c r="O5620" t="s">
        <v>116</v>
      </c>
    </row>
    <row r="5621" spans="1:15" x14ac:dyDescent="0.3">
      <c r="A5621" s="130">
        <v>26746</v>
      </c>
      <c r="B5621" s="130">
        <v>45</v>
      </c>
      <c r="C5621" s="130" t="s">
        <v>7245</v>
      </c>
      <c r="D5621">
        <v>44519</v>
      </c>
      <c r="E5621" s="130">
        <v>67706853</v>
      </c>
      <c r="F5621" t="s">
        <v>87</v>
      </c>
      <c r="G5621">
        <v>1096</v>
      </c>
      <c r="H5621" t="s">
        <v>8951</v>
      </c>
      <c r="I5621" s="130">
        <v>19</v>
      </c>
      <c r="J5621" t="s">
        <v>7245</v>
      </c>
      <c r="K5621" t="s">
        <v>95</v>
      </c>
      <c r="L5621" t="s">
        <v>111</v>
      </c>
      <c r="M5621" t="s">
        <v>106</v>
      </c>
      <c r="N5621" t="s">
        <v>98</v>
      </c>
      <c r="O5621" t="s">
        <v>116</v>
      </c>
    </row>
    <row r="5622" spans="1:15" x14ac:dyDescent="0.3">
      <c r="A5622" s="130">
        <v>26747</v>
      </c>
      <c r="B5622" s="130">
        <v>10</v>
      </c>
      <c r="C5622" s="130" t="s">
        <v>7246</v>
      </c>
      <c r="D5622">
        <v>44577</v>
      </c>
      <c r="E5622" s="130">
        <v>32909546</v>
      </c>
      <c r="F5622" t="s">
        <v>87</v>
      </c>
      <c r="G5622">
        <v>32947</v>
      </c>
      <c r="H5622" t="s">
        <v>8952</v>
      </c>
      <c r="I5622" s="131">
        <v>3</v>
      </c>
      <c r="J5622" t="s">
        <v>7246</v>
      </c>
      <c r="K5622" t="s">
        <v>95</v>
      </c>
      <c r="L5622" t="s">
        <v>109</v>
      </c>
      <c r="M5622" t="s">
        <v>133</v>
      </c>
      <c r="N5622" t="s">
        <v>98</v>
      </c>
      <c r="O5622" t="s">
        <v>116</v>
      </c>
    </row>
    <row r="5623" spans="1:15" x14ac:dyDescent="0.3">
      <c r="A5623" s="130">
        <v>26748</v>
      </c>
      <c r="B5623" s="130">
        <v>-1</v>
      </c>
      <c r="C5623" s="130" t="s">
        <v>7247</v>
      </c>
      <c r="D5623">
        <v>44545</v>
      </c>
      <c r="E5623" s="130">
        <v>32216252</v>
      </c>
      <c r="F5623" t="s">
        <v>87</v>
      </c>
      <c r="G5623">
        <v>32947</v>
      </c>
      <c r="H5623" t="s">
        <v>8953</v>
      </c>
      <c r="I5623" s="130">
        <v>19</v>
      </c>
      <c r="J5623" t="s">
        <v>7247</v>
      </c>
      <c r="K5623" t="s">
        <v>108</v>
      </c>
      <c r="L5623" t="s">
        <v>252</v>
      </c>
      <c r="M5623" t="s">
        <v>174</v>
      </c>
      <c r="N5623" t="s">
        <v>98</v>
      </c>
      <c r="O5623" t="s">
        <v>116</v>
      </c>
    </row>
    <row r="5624" spans="1:15" x14ac:dyDescent="0.3">
      <c r="A5624" s="130">
        <v>26749</v>
      </c>
      <c r="B5624" s="131">
        <v>30</v>
      </c>
      <c r="C5624" s="130" t="s">
        <v>7248</v>
      </c>
      <c r="D5624">
        <v>44187</v>
      </c>
      <c r="E5624" s="130">
        <v>27708929</v>
      </c>
      <c r="F5624" t="s">
        <v>87</v>
      </c>
      <c r="G5624">
        <v>32947</v>
      </c>
      <c r="H5624" t="s">
        <v>8951</v>
      </c>
      <c r="I5624" s="131">
        <v>19</v>
      </c>
      <c r="J5624" t="s">
        <v>7248</v>
      </c>
      <c r="K5624" t="s">
        <v>108</v>
      </c>
      <c r="L5624" t="s">
        <v>252</v>
      </c>
      <c r="M5624" t="s">
        <v>103</v>
      </c>
      <c r="N5624" t="s">
        <v>98</v>
      </c>
      <c r="O5624" t="s">
        <v>116</v>
      </c>
    </row>
    <row r="5625" spans="1:15" x14ac:dyDescent="0.3">
      <c r="A5625" s="130">
        <v>26751</v>
      </c>
      <c r="B5625" s="130">
        <v>30</v>
      </c>
      <c r="C5625" s="130" t="s">
        <v>7249</v>
      </c>
      <c r="D5625">
        <v>44488</v>
      </c>
      <c r="E5625" s="131">
        <v>32602227</v>
      </c>
      <c r="F5625" t="s">
        <v>87</v>
      </c>
      <c r="G5625">
        <v>1096</v>
      </c>
      <c r="H5625" t="s">
        <v>8952</v>
      </c>
      <c r="I5625" s="131">
        <v>18</v>
      </c>
      <c r="J5625" t="s">
        <v>7249</v>
      </c>
      <c r="K5625" t="s">
        <v>95</v>
      </c>
      <c r="L5625" t="s">
        <v>123</v>
      </c>
      <c r="M5625" t="s">
        <v>103</v>
      </c>
      <c r="N5625" t="s">
        <v>150</v>
      </c>
      <c r="O5625" t="s">
        <v>116</v>
      </c>
    </row>
    <row r="5626" spans="1:15" x14ac:dyDescent="0.3">
      <c r="A5626" s="130">
        <v>26752</v>
      </c>
      <c r="B5626" s="130">
        <v>30</v>
      </c>
      <c r="C5626" s="130" t="s">
        <v>7250</v>
      </c>
      <c r="D5626">
        <v>44579</v>
      </c>
      <c r="E5626" s="130">
        <v>9625762</v>
      </c>
      <c r="F5626" t="s">
        <v>87</v>
      </c>
      <c r="G5626">
        <v>1096</v>
      </c>
      <c r="H5626" t="s">
        <v>8953</v>
      </c>
      <c r="I5626" s="131">
        <v>43</v>
      </c>
      <c r="J5626" t="s">
        <v>7250</v>
      </c>
      <c r="K5626" t="s">
        <v>95</v>
      </c>
      <c r="L5626" t="s">
        <v>111</v>
      </c>
      <c r="M5626" t="s">
        <v>103</v>
      </c>
      <c r="N5626" t="s">
        <v>150</v>
      </c>
      <c r="O5626" t="s">
        <v>116</v>
      </c>
    </row>
    <row r="5627" spans="1:15" x14ac:dyDescent="0.3">
      <c r="A5627" s="130">
        <v>26753</v>
      </c>
      <c r="B5627" s="130">
        <v>30</v>
      </c>
      <c r="C5627" s="130" t="s">
        <v>7251</v>
      </c>
      <c r="D5627">
        <v>44547</v>
      </c>
      <c r="E5627" s="130">
        <v>55779382</v>
      </c>
      <c r="F5627" t="s">
        <v>87</v>
      </c>
      <c r="G5627">
        <v>1096</v>
      </c>
      <c r="H5627" t="s">
        <v>8951</v>
      </c>
      <c r="I5627" s="131">
        <v>24</v>
      </c>
      <c r="J5627" t="s">
        <v>7251</v>
      </c>
      <c r="K5627" t="s">
        <v>95</v>
      </c>
      <c r="L5627" t="s">
        <v>111</v>
      </c>
      <c r="M5627" t="s">
        <v>103</v>
      </c>
      <c r="N5627" t="s">
        <v>98</v>
      </c>
      <c r="O5627" t="s">
        <v>116</v>
      </c>
    </row>
    <row r="5628" spans="1:15" x14ac:dyDescent="0.3">
      <c r="A5628" s="130">
        <v>26754</v>
      </c>
      <c r="B5628" s="130">
        <v>30</v>
      </c>
      <c r="C5628" s="130" t="s">
        <v>7252</v>
      </c>
      <c r="D5628">
        <v>44607</v>
      </c>
      <c r="E5628" s="130">
        <v>26772122</v>
      </c>
      <c r="F5628" t="s">
        <v>87</v>
      </c>
      <c r="G5628">
        <v>1096</v>
      </c>
      <c r="H5628" t="s">
        <v>8952</v>
      </c>
      <c r="I5628" s="130">
        <v>43</v>
      </c>
      <c r="J5628" t="s">
        <v>7252</v>
      </c>
      <c r="K5628" t="s">
        <v>108</v>
      </c>
      <c r="L5628" t="s">
        <v>1368</v>
      </c>
      <c r="M5628" t="s">
        <v>103</v>
      </c>
      <c r="N5628" t="s">
        <v>98</v>
      </c>
      <c r="O5628" t="s">
        <v>116</v>
      </c>
    </row>
    <row r="5629" spans="1:15" x14ac:dyDescent="0.3">
      <c r="A5629" s="130">
        <v>26755</v>
      </c>
      <c r="B5629" s="130">
        <v>10</v>
      </c>
      <c r="C5629" s="130" t="s">
        <v>7253</v>
      </c>
      <c r="D5629">
        <v>44555</v>
      </c>
      <c r="E5629" s="130">
        <v>4446397</v>
      </c>
      <c r="F5629" t="s">
        <v>87</v>
      </c>
      <c r="G5629">
        <v>1096</v>
      </c>
      <c r="H5629" t="s">
        <v>8953</v>
      </c>
      <c r="I5629" s="131">
        <v>9</v>
      </c>
      <c r="J5629" t="s">
        <v>7253</v>
      </c>
      <c r="K5629" t="s">
        <v>95</v>
      </c>
      <c r="L5629" t="s">
        <v>1298</v>
      </c>
      <c r="M5629" t="s">
        <v>133</v>
      </c>
      <c r="N5629" t="s">
        <v>1468</v>
      </c>
      <c r="O5629" t="s">
        <v>116</v>
      </c>
    </row>
    <row r="5630" spans="1:15" x14ac:dyDescent="0.3">
      <c r="A5630" s="130">
        <v>26756</v>
      </c>
      <c r="B5630" s="130">
        <v>28</v>
      </c>
      <c r="C5630" s="130" t="s">
        <v>7254</v>
      </c>
      <c r="D5630">
        <v>44623</v>
      </c>
      <c r="E5630" s="131">
        <v>35003614</v>
      </c>
      <c r="F5630" t="s">
        <v>87</v>
      </c>
      <c r="G5630">
        <v>1096</v>
      </c>
      <c r="H5630" t="s">
        <v>8951</v>
      </c>
      <c r="I5630" s="130">
        <v>61</v>
      </c>
      <c r="J5630" t="s">
        <v>7254</v>
      </c>
      <c r="K5630" t="s">
        <v>95</v>
      </c>
      <c r="L5630" t="s">
        <v>138</v>
      </c>
      <c r="M5630" t="s">
        <v>130</v>
      </c>
      <c r="N5630" t="s">
        <v>150</v>
      </c>
      <c r="O5630" t="s">
        <v>116</v>
      </c>
    </row>
    <row r="5631" spans="1:15" x14ac:dyDescent="0.3">
      <c r="A5631" s="130">
        <v>26757</v>
      </c>
      <c r="B5631" s="130" t="s">
        <v>1375</v>
      </c>
      <c r="C5631" s="130" t="s">
        <v>7255</v>
      </c>
      <c r="D5631">
        <v>44634</v>
      </c>
      <c r="E5631" s="130">
        <v>73647943</v>
      </c>
      <c r="F5631" t="s">
        <v>87</v>
      </c>
      <c r="G5631">
        <v>32947</v>
      </c>
      <c r="H5631" t="s">
        <v>8952</v>
      </c>
      <c r="I5631" s="130">
        <v>3</v>
      </c>
      <c r="J5631" t="s">
        <v>7255</v>
      </c>
      <c r="K5631" t="s">
        <v>108</v>
      </c>
      <c r="L5631" t="s">
        <v>96</v>
      </c>
      <c r="M5631" t="s">
        <v>1375</v>
      </c>
      <c r="N5631" t="s">
        <v>162</v>
      </c>
      <c r="O5631" t="s">
        <v>116</v>
      </c>
    </row>
    <row r="5632" spans="1:15" x14ac:dyDescent="0.3">
      <c r="A5632" s="130">
        <v>26758</v>
      </c>
      <c r="B5632" s="130">
        <v>28</v>
      </c>
      <c r="C5632" s="130" t="s">
        <v>7256</v>
      </c>
      <c r="D5632">
        <v>44629</v>
      </c>
      <c r="E5632" s="130">
        <v>35003614</v>
      </c>
      <c r="F5632" t="s">
        <v>87</v>
      </c>
      <c r="G5632">
        <v>1096</v>
      </c>
      <c r="H5632" t="s">
        <v>8953</v>
      </c>
      <c r="I5632" s="130">
        <v>61</v>
      </c>
      <c r="J5632" t="s">
        <v>7256</v>
      </c>
      <c r="K5632" t="s">
        <v>95</v>
      </c>
      <c r="L5632" t="s">
        <v>138</v>
      </c>
      <c r="M5632" t="s">
        <v>130</v>
      </c>
      <c r="N5632" t="s">
        <v>150</v>
      </c>
      <c r="O5632" t="s">
        <v>116</v>
      </c>
    </row>
    <row r="5633" spans="1:15" x14ac:dyDescent="0.3">
      <c r="A5633" s="130">
        <v>26759</v>
      </c>
      <c r="B5633" s="130">
        <v>-1</v>
      </c>
      <c r="C5633" s="130" t="s">
        <v>7257</v>
      </c>
      <c r="D5633">
        <v>44037</v>
      </c>
      <c r="E5633" s="130">
        <v>9473993</v>
      </c>
      <c r="F5633" t="s">
        <v>87</v>
      </c>
      <c r="G5633">
        <v>1096</v>
      </c>
      <c r="H5633" t="s">
        <v>8951</v>
      </c>
      <c r="I5633" s="130">
        <v>24</v>
      </c>
      <c r="J5633" t="s">
        <v>7257</v>
      </c>
      <c r="K5633" t="s">
        <v>108</v>
      </c>
      <c r="L5633" t="s">
        <v>191</v>
      </c>
      <c r="M5633" t="s">
        <v>174</v>
      </c>
      <c r="N5633" t="s">
        <v>152</v>
      </c>
      <c r="O5633" t="s">
        <v>116</v>
      </c>
    </row>
    <row r="5634" spans="1:15" x14ac:dyDescent="0.3">
      <c r="A5634" s="130">
        <v>26760</v>
      </c>
      <c r="B5634" s="130">
        <v>30</v>
      </c>
      <c r="C5634" s="130" t="s">
        <v>7258</v>
      </c>
      <c r="D5634">
        <v>44637</v>
      </c>
      <c r="E5634" s="131">
        <v>32602227</v>
      </c>
      <c r="F5634" t="s">
        <v>87</v>
      </c>
      <c r="G5634">
        <v>32947</v>
      </c>
      <c r="H5634" t="s">
        <v>8952</v>
      </c>
      <c r="I5634" s="130">
        <v>18</v>
      </c>
      <c r="J5634" t="s">
        <v>7258</v>
      </c>
      <c r="K5634" t="s">
        <v>95</v>
      </c>
      <c r="L5634" t="s">
        <v>123</v>
      </c>
      <c r="M5634" t="s">
        <v>103</v>
      </c>
      <c r="N5634" t="s">
        <v>150</v>
      </c>
      <c r="O5634" t="s">
        <v>116</v>
      </c>
    </row>
    <row r="5635" spans="1:15" x14ac:dyDescent="0.3">
      <c r="A5635" s="130">
        <v>26761</v>
      </c>
      <c r="B5635" s="130">
        <v>10</v>
      </c>
      <c r="C5635" s="130" t="s">
        <v>7259</v>
      </c>
      <c r="D5635">
        <v>44673</v>
      </c>
      <c r="E5635" s="130">
        <v>1276156</v>
      </c>
      <c r="F5635" t="s">
        <v>87</v>
      </c>
      <c r="G5635">
        <v>1096</v>
      </c>
      <c r="H5635" t="s">
        <v>8953</v>
      </c>
      <c r="I5635" s="130">
        <v>3</v>
      </c>
      <c r="J5635" t="s">
        <v>7259</v>
      </c>
      <c r="K5635" t="s">
        <v>108</v>
      </c>
      <c r="L5635" t="s">
        <v>1293</v>
      </c>
      <c r="M5635" t="s">
        <v>133</v>
      </c>
      <c r="N5635" t="s">
        <v>98</v>
      </c>
      <c r="O5635" t="s">
        <v>116</v>
      </c>
    </row>
    <row r="5636" spans="1:15" x14ac:dyDescent="0.3">
      <c r="A5636" s="130">
        <v>26762</v>
      </c>
      <c r="B5636" s="130">
        <v>18</v>
      </c>
      <c r="C5636" s="130" t="s">
        <v>7260</v>
      </c>
      <c r="D5636">
        <v>44141</v>
      </c>
      <c r="E5636" s="130">
        <v>14046062</v>
      </c>
      <c r="F5636" t="s">
        <v>87</v>
      </c>
      <c r="G5636">
        <v>1096</v>
      </c>
      <c r="H5636" t="s">
        <v>8951</v>
      </c>
      <c r="I5636" s="131">
        <v>9</v>
      </c>
      <c r="J5636" t="s">
        <v>7260</v>
      </c>
      <c r="K5636" t="s">
        <v>108</v>
      </c>
      <c r="L5636" t="s">
        <v>163</v>
      </c>
      <c r="M5636" t="s">
        <v>112</v>
      </c>
      <c r="N5636" t="s">
        <v>98</v>
      </c>
      <c r="O5636" t="s">
        <v>244</v>
      </c>
    </row>
    <row r="5637" spans="1:15" x14ac:dyDescent="0.3">
      <c r="A5637" s="130">
        <v>26765</v>
      </c>
      <c r="B5637" s="130">
        <v>28</v>
      </c>
      <c r="C5637" s="130" t="s">
        <v>7261</v>
      </c>
      <c r="D5637">
        <v>43592</v>
      </c>
      <c r="E5637" s="131">
        <v>11812931</v>
      </c>
      <c r="F5637" t="s">
        <v>87</v>
      </c>
      <c r="G5637">
        <v>1096</v>
      </c>
      <c r="H5637" t="s">
        <v>8952</v>
      </c>
      <c r="I5637" s="131">
        <v>3</v>
      </c>
      <c r="J5637" t="s">
        <v>7261</v>
      </c>
      <c r="K5637" t="s">
        <v>108</v>
      </c>
      <c r="L5637" t="s">
        <v>1293</v>
      </c>
      <c r="M5637" t="s">
        <v>130</v>
      </c>
      <c r="O5637" t="s">
        <v>116</v>
      </c>
    </row>
    <row r="5638" spans="1:15" x14ac:dyDescent="0.3">
      <c r="A5638" s="130">
        <v>26766</v>
      </c>
      <c r="B5638" s="130">
        <v>10</v>
      </c>
      <c r="C5638" s="130" t="s">
        <v>7262</v>
      </c>
      <c r="D5638">
        <v>43552</v>
      </c>
      <c r="E5638" s="130">
        <v>201144</v>
      </c>
      <c r="F5638" t="s">
        <v>87</v>
      </c>
      <c r="G5638">
        <v>1096</v>
      </c>
      <c r="H5638" t="s">
        <v>8953</v>
      </c>
      <c r="I5638" s="130">
        <v>55</v>
      </c>
      <c r="J5638" t="s">
        <v>7262</v>
      </c>
      <c r="K5638" t="s">
        <v>108</v>
      </c>
      <c r="L5638" t="s">
        <v>1293</v>
      </c>
      <c r="M5638" t="s">
        <v>133</v>
      </c>
      <c r="O5638" t="s">
        <v>116</v>
      </c>
    </row>
    <row r="5639" spans="1:15" x14ac:dyDescent="0.3">
      <c r="A5639" s="130">
        <v>26768</v>
      </c>
      <c r="B5639" s="130">
        <v>10</v>
      </c>
      <c r="C5639" s="130" t="s">
        <v>7263</v>
      </c>
      <c r="D5639">
        <v>44675</v>
      </c>
      <c r="E5639" s="130">
        <v>36912947</v>
      </c>
      <c r="F5639" t="s">
        <v>87</v>
      </c>
      <c r="G5639">
        <v>1096</v>
      </c>
      <c r="H5639" t="s">
        <v>8951</v>
      </c>
      <c r="I5639" s="131">
        <v>61</v>
      </c>
      <c r="J5639" t="s">
        <v>7263</v>
      </c>
      <c r="K5639" t="s">
        <v>108</v>
      </c>
      <c r="L5639" t="s">
        <v>1293</v>
      </c>
      <c r="M5639" t="s">
        <v>133</v>
      </c>
      <c r="O5639" t="s">
        <v>116</v>
      </c>
    </row>
    <row r="5640" spans="1:15" x14ac:dyDescent="0.3">
      <c r="A5640" s="130">
        <v>26769</v>
      </c>
      <c r="B5640" s="130" t="s">
        <v>1375</v>
      </c>
      <c r="C5640" s="130" t="s">
        <v>7264</v>
      </c>
      <c r="D5640">
        <v>44785</v>
      </c>
      <c r="E5640" s="130">
        <v>394429</v>
      </c>
      <c r="F5640" t="s">
        <v>87</v>
      </c>
      <c r="G5640">
        <v>32947</v>
      </c>
      <c r="H5640" t="s">
        <v>8952</v>
      </c>
      <c r="I5640" s="130">
        <v>18</v>
      </c>
      <c r="J5640" t="s">
        <v>7264</v>
      </c>
      <c r="K5640" t="s">
        <v>108</v>
      </c>
      <c r="L5640" t="s">
        <v>96</v>
      </c>
      <c r="M5640" t="s">
        <v>1375</v>
      </c>
      <c r="N5640" t="s">
        <v>131</v>
      </c>
      <c r="O5640" t="s">
        <v>116</v>
      </c>
    </row>
    <row r="5641" spans="1:15" x14ac:dyDescent="0.3">
      <c r="A5641" s="130">
        <v>26770</v>
      </c>
      <c r="B5641" s="130">
        <v>21</v>
      </c>
      <c r="C5641" s="130" t="s">
        <v>7265</v>
      </c>
      <c r="D5641">
        <v>44786</v>
      </c>
      <c r="E5641" s="131">
        <v>8533503</v>
      </c>
      <c r="F5641" t="s">
        <v>87</v>
      </c>
      <c r="G5641">
        <v>76</v>
      </c>
      <c r="H5641" t="s">
        <v>8953</v>
      </c>
      <c r="I5641" s="130">
        <v>10</v>
      </c>
      <c r="J5641" t="s">
        <v>7265</v>
      </c>
      <c r="K5641" t="s">
        <v>95</v>
      </c>
      <c r="L5641" t="s">
        <v>127</v>
      </c>
      <c r="M5641" t="s">
        <v>137</v>
      </c>
      <c r="N5641" t="s">
        <v>101</v>
      </c>
      <c r="O5641" t="s">
        <v>116</v>
      </c>
    </row>
    <row r="5642" spans="1:15" x14ac:dyDescent="0.3">
      <c r="A5642" s="130">
        <v>26771</v>
      </c>
      <c r="B5642" s="130">
        <v>30</v>
      </c>
      <c r="C5642" s="130" t="s">
        <v>7266</v>
      </c>
      <c r="D5642">
        <v>44738</v>
      </c>
      <c r="E5642" s="130">
        <v>15063096</v>
      </c>
      <c r="F5642" t="s">
        <v>87</v>
      </c>
      <c r="G5642">
        <v>32947</v>
      </c>
      <c r="H5642" t="s">
        <v>8951</v>
      </c>
      <c r="I5642" s="130">
        <v>3</v>
      </c>
      <c r="J5642" t="s">
        <v>7266</v>
      </c>
      <c r="K5642" t="s">
        <v>95</v>
      </c>
      <c r="L5642" t="s">
        <v>111</v>
      </c>
      <c r="M5642" t="s">
        <v>103</v>
      </c>
      <c r="N5642" t="s">
        <v>114</v>
      </c>
      <c r="O5642" t="s">
        <v>116</v>
      </c>
    </row>
    <row r="5643" spans="1:15" x14ac:dyDescent="0.3">
      <c r="A5643" s="130">
        <v>26772</v>
      </c>
      <c r="B5643" s="130">
        <v>10</v>
      </c>
      <c r="C5643" s="130" t="s">
        <v>7267</v>
      </c>
      <c r="D5643">
        <v>44665</v>
      </c>
      <c r="E5643" s="130">
        <v>13429102</v>
      </c>
      <c r="F5643" t="s">
        <v>87</v>
      </c>
      <c r="G5643">
        <v>32947</v>
      </c>
      <c r="H5643" t="s">
        <v>8952</v>
      </c>
      <c r="I5643" s="130">
        <v>3</v>
      </c>
      <c r="J5643" t="s">
        <v>7267</v>
      </c>
      <c r="K5643" t="s">
        <v>108</v>
      </c>
      <c r="L5643" t="s">
        <v>1293</v>
      </c>
      <c r="M5643" t="s">
        <v>133</v>
      </c>
      <c r="N5643" t="s">
        <v>114</v>
      </c>
      <c r="O5643" t="s">
        <v>116</v>
      </c>
    </row>
    <row r="5644" spans="1:15" x14ac:dyDescent="0.3">
      <c r="A5644" s="130">
        <v>26773</v>
      </c>
      <c r="B5644" s="130">
        <v>21</v>
      </c>
      <c r="C5644" s="130" t="s">
        <v>7268</v>
      </c>
      <c r="D5644">
        <v>44585</v>
      </c>
      <c r="E5644" s="130">
        <v>35207378</v>
      </c>
      <c r="F5644" t="s">
        <v>87</v>
      </c>
      <c r="G5644">
        <v>1096</v>
      </c>
      <c r="H5644" t="s">
        <v>8953</v>
      </c>
      <c r="I5644" s="130">
        <v>24</v>
      </c>
      <c r="J5644" t="s">
        <v>7268</v>
      </c>
      <c r="K5644" t="s">
        <v>108</v>
      </c>
      <c r="L5644" t="s">
        <v>191</v>
      </c>
      <c r="M5644" t="s">
        <v>137</v>
      </c>
      <c r="N5644" t="s">
        <v>98</v>
      </c>
      <c r="O5644" t="s">
        <v>116</v>
      </c>
    </row>
    <row r="5645" spans="1:15" x14ac:dyDescent="0.3">
      <c r="A5645" s="130">
        <v>26774</v>
      </c>
      <c r="B5645" s="130">
        <v>30</v>
      </c>
      <c r="C5645" s="130" t="s">
        <v>7269</v>
      </c>
      <c r="D5645">
        <v>44767</v>
      </c>
      <c r="E5645" s="131">
        <v>17193590</v>
      </c>
      <c r="F5645" t="s">
        <v>87</v>
      </c>
      <c r="G5645">
        <v>1096</v>
      </c>
      <c r="H5645" t="s">
        <v>8951</v>
      </c>
      <c r="I5645" s="131">
        <v>3</v>
      </c>
      <c r="J5645" t="s">
        <v>7269</v>
      </c>
      <c r="K5645" t="s">
        <v>95</v>
      </c>
      <c r="L5645" t="s">
        <v>1293</v>
      </c>
      <c r="M5645" t="s">
        <v>103</v>
      </c>
      <c r="N5645" t="s">
        <v>98</v>
      </c>
      <c r="O5645" t="s">
        <v>116</v>
      </c>
    </row>
    <row r="5646" spans="1:15" x14ac:dyDescent="0.3">
      <c r="A5646" s="130">
        <v>26775</v>
      </c>
      <c r="B5646" s="130">
        <v>10</v>
      </c>
      <c r="C5646" s="130" t="s">
        <v>7270</v>
      </c>
      <c r="D5646">
        <v>44746</v>
      </c>
      <c r="E5646" s="130">
        <v>4892580</v>
      </c>
      <c r="F5646" t="s">
        <v>87</v>
      </c>
      <c r="G5646">
        <v>32947</v>
      </c>
      <c r="H5646" t="s">
        <v>8952</v>
      </c>
      <c r="I5646" s="130">
        <v>9</v>
      </c>
      <c r="J5646" t="s">
        <v>7270</v>
      </c>
      <c r="K5646" t="s">
        <v>108</v>
      </c>
      <c r="L5646" t="s">
        <v>1298</v>
      </c>
      <c r="M5646" t="s">
        <v>133</v>
      </c>
      <c r="N5646" t="s">
        <v>107</v>
      </c>
      <c r="O5646" t="s">
        <v>116</v>
      </c>
    </row>
    <row r="5647" spans="1:15" x14ac:dyDescent="0.3">
      <c r="A5647" s="130">
        <v>26776</v>
      </c>
      <c r="B5647" s="130">
        <v>10</v>
      </c>
      <c r="C5647" s="130" t="s">
        <v>7271</v>
      </c>
      <c r="D5647">
        <v>44799</v>
      </c>
      <c r="E5647" s="130">
        <v>17723933</v>
      </c>
      <c r="F5647" t="s">
        <v>87</v>
      </c>
      <c r="G5647">
        <v>32947</v>
      </c>
      <c r="H5647" t="s">
        <v>8953</v>
      </c>
      <c r="I5647" s="130">
        <v>3</v>
      </c>
      <c r="J5647" t="s">
        <v>7271</v>
      </c>
      <c r="K5647" t="s">
        <v>108</v>
      </c>
      <c r="L5647" t="s">
        <v>1293</v>
      </c>
      <c r="M5647" t="s">
        <v>133</v>
      </c>
      <c r="N5647" t="s">
        <v>98</v>
      </c>
      <c r="O5647" t="s">
        <v>116</v>
      </c>
    </row>
    <row r="5648" spans="1:15" x14ac:dyDescent="0.3">
      <c r="A5648" s="130">
        <v>26777</v>
      </c>
      <c r="B5648" s="130">
        <v>30</v>
      </c>
      <c r="C5648" s="130" t="s">
        <v>7272</v>
      </c>
      <c r="D5648">
        <v>44764</v>
      </c>
      <c r="E5648" s="130">
        <v>45130701</v>
      </c>
      <c r="F5648" t="s">
        <v>87</v>
      </c>
      <c r="G5648">
        <v>1096</v>
      </c>
      <c r="H5648" t="s">
        <v>8951</v>
      </c>
      <c r="I5648" s="130">
        <v>19</v>
      </c>
      <c r="J5648" t="s">
        <v>7272</v>
      </c>
      <c r="K5648" t="s">
        <v>108</v>
      </c>
      <c r="L5648" t="s">
        <v>252</v>
      </c>
      <c r="M5648" t="s">
        <v>103</v>
      </c>
      <c r="O5648" t="s">
        <v>116</v>
      </c>
    </row>
    <row r="5649" spans="1:15" x14ac:dyDescent="0.3">
      <c r="A5649" s="130">
        <v>26778</v>
      </c>
      <c r="B5649" s="130">
        <v>30</v>
      </c>
      <c r="C5649" s="130" t="s">
        <v>7273</v>
      </c>
      <c r="D5649">
        <v>44685</v>
      </c>
      <c r="E5649" s="130">
        <v>21109697</v>
      </c>
      <c r="F5649" t="s">
        <v>87</v>
      </c>
      <c r="G5649">
        <v>77</v>
      </c>
      <c r="H5649" t="s">
        <v>8952</v>
      </c>
      <c r="I5649" s="130">
        <v>3</v>
      </c>
      <c r="J5649" t="s">
        <v>7273</v>
      </c>
      <c r="K5649" t="s">
        <v>95</v>
      </c>
      <c r="L5649" t="s">
        <v>117</v>
      </c>
      <c r="M5649" t="s">
        <v>103</v>
      </c>
      <c r="N5649" t="s">
        <v>114</v>
      </c>
      <c r="O5649" t="s">
        <v>244</v>
      </c>
    </row>
    <row r="5650" spans="1:15" x14ac:dyDescent="0.3">
      <c r="A5650" s="130">
        <v>26779</v>
      </c>
      <c r="B5650" s="130">
        <v>30</v>
      </c>
      <c r="C5650" s="130" t="s">
        <v>7274</v>
      </c>
      <c r="D5650">
        <v>40726</v>
      </c>
      <c r="E5650" s="130">
        <v>11989750</v>
      </c>
      <c r="F5650" t="s">
        <v>87</v>
      </c>
      <c r="G5650">
        <v>32947</v>
      </c>
      <c r="H5650" t="s">
        <v>8953</v>
      </c>
      <c r="I5650" s="131">
        <v>18</v>
      </c>
      <c r="J5650" t="s">
        <v>7274</v>
      </c>
      <c r="K5650" t="s">
        <v>108</v>
      </c>
      <c r="L5650" t="s">
        <v>253</v>
      </c>
      <c r="M5650" t="s">
        <v>103</v>
      </c>
      <c r="N5650" t="s">
        <v>169</v>
      </c>
      <c r="O5650" t="s">
        <v>116</v>
      </c>
    </row>
    <row r="5651" spans="1:15" x14ac:dyDescent="0.3">
      <c r="A5651" s="130">
        <v>26780</v>
      </c>
      <c r="B5651" s="130">
        <v>30</v>
      </c>
      <c r="C5651" s="130" t="s">
        <v>7275</v>
      </c>
      <c r="D5651">
        <v>43767</v>
      </c>
      <c r="E5651" s="130">
        <v>10764189</v>
      </c>
      <c r="F5651" t="s">
        <v>87</v>
      </c>
      <c r="G5651">
        <v>1096</v>
      </c>
      <c r="H5651" t="s">
        <v>8951</v>
      </c>
      <c r="I5651" s="130">
        <v>3</v>
      </c>
      <c r="J5651" t="s">
        <v>7275</v>
      </c>
      <c r="K5651" t="s">
        <v>108</v>
      </c>
      <c r="L5651" t="s">
        <v>111</v>
      </c>
      <c r="M5651" t="s">
        <v>103</v>
      </c>
      <c r="N5651" t="s">
        <v>114</v>
      </c>
      <c r="O5651" t="s">
        <v>116</v>
      </c>
    </row>
    <row r="5652" spans="1:15" x14ac:dyDescent="0.3">
      <c r="A5652" s="130">
        <v>26781</v>
      </c>
      <c r="B5652" s="130">
        <v>45</v>
      </c>
      <c r="C5652" s="130" t="s">
        <v>7276</v>
      </c>
      <c r="D5652">
        <v>41993</v>
      </c>
      <c r="E5652" s="130">
        <v>2888032</v>
      </c>
      <c r="F5652" t="s">
        <v>87</v>
      </c>
      <c r="G5652">
        <v>77</v>
      </c>
      <c r="H5652" t="s">
        <v>8952</v>
      </c>
      <c r="I5652" s="131">
        <v>18</v>
      </c>
      <c r="J5652" t="s">
        <v>7276</v>
      </c>
      <c r="K5652" t="s">
        <v>95</v>
      </c>
      <c r="L5652" t="s">
        <v>1251</v>
      </c>
      <c r="M5652" t="s">
        <v>106</v>
      </c>
      <c r="N5652" t="s">
        <v>98</v>
      </c>
      <c r="O5652" t="s">
        <v>116</v>
      </c>
    </row>
    <row r="5653" spans="1:15" x14ac:dyDescent="0.3">
      <c r="A5653" s="130">
        <v>26782</v>
      </c>
      <c r="B5653" s="130">
        <v>30</v>
      </c>
      <c r="C5653" s="130" t="s">
        <v>7277</v>
      </c>
      <c r="D5653">
        <v>44914</v>
      </c>
      <c r="E5653" s="131">
        <v>21109697</v>
      </c>
      <c r="F5653" t="s">
        <v>87</v>
      </c>
      <c r="G5653">
        <v>77</v>
      </c>
      <c r="H5653" t="s">
        <v>8953</v>
      </c>
      <c r="I5653" s="130">
        <v>3</v>
      </c>
      <c r="J5653" t="s">
        <v>7277</v>
      </c>
      <c r="K5653" t="s">
        <v>95</v>
      </c>
      <c r="L5653" t="s">
        <v>117</v>
      </c>
      <c r="M5653" t="s">
        <v>103</v>
      </c>
      <c r="N5653" t="s">
        <v>114</v>
      </c>
      <c r="O5653" t="s">
        <v>116</v>
      </c>
    </row>
    <row r="5654" spans="1:15" x14ac:dyDescent="0.3">
      <c r="A5654" s="130">
        <v>26784</v>
      </c>
      <c r="B5654" s="130">
        <v>30</v>
      </c>
      <c r="C5654" s="130" t="s">
        <v>7278</v>
      </c>
      <c r="D5654">
        <v>44971</v>
      </c>
      <c r="E5654" s="130">
        <v>4311533</v>
      </c>
      <c r="F5654" t="s">
        <v>87</v>
      </c>
      <c r="G5654">
        <v>32947</v>
      </c>
      <c r="H5654" t="s">
        <v>8951</v>
      </c>
      <c r="I5654" s="131">
        <v>3</v>
      </c>
      <c r="J5654" t="s">
        <v>7278</v>
      </c>
      <c r="K5654" t="s">
        <v>108</v>
      </c>
      <c r="L5654" t="s">
        <v>1293</v>
      </c>
      <c r="M5654" t="s">
        <v>103</v>
      </c>
      <c r="N5654" t="s">
        <v>101</v>
      </c>
      <c r="O5654" t="s">
        <v>116</v>
      </c>
    </row>
    <row r="5655" spans="1:15" x14ac:dyDescent="0.3">
      <c r="A5655" s="130">
        <v>26785</v>
      </c>
      <c r="B5655" s="130">
        <v>30</v>
      </c>
      <c r="C5655" s="130" t="s">
        <v>7279</v>
      </c>
      <c r="D5655">
        <v>44384</v>
      </c>
      <c r="E5655" s="131">
        <v>13623957</v>
      </c>
      <c r="F5655" t="s">
        <v>87</v>
      </c>
      <c r="G5655">
        <v>32947</v>
      </c>
      <c r="H5655" t="s">
        <v>8952</v>
      </c>
      <c r="I5655" s="131">
        <v>18</v>
      </c>
      <c r="J5655" t="s">
        <v>7279</v>
      </c>
      <c r="K5655" t="s">
        <v>95</v>
      </c>
      <c r="L5655" t="s">
        <v>123</v>
      </c>
      <c r="M5655" t="s">
        <v>103</v>
      </c>
      <c r="N5655" t="s">
        <v>98</v>
      </c>
      <c r="O5655" t="s">
        <v>116</v>
      </c>
    </row>
    <row r="5656" spans="1:15" x14ac:dyDescent="0.3">
      <c r="A5656" s="130">
        <v>26789</v>
      </c>
      <c r="B5656" s="130">
        <v>30</v>
      </c>
      <c r="C5656" s="130" t="s">
        <v>7280</v>
      </c>
      <c r="D5656">
        <v>44959</v>
      </c>
      <c r="E5656" s="130">
        <v>9452900</v>
      </c>
      <c r="F5656" t="s">
        <v>87</v>
      </c>
      <c r="G5656">
        <v>32947</v>
      </c>
      <c r="H5656" t="s">
        <v>8953</v>
      </c>
      <c r="I5656" s="130">
        <v>18</v>
      </c>
      <c r="J5656" t="s">
        <v>7280</v>
      </c>
      <c r="K5656" t="s">
        <v>108</v>
      </c>
      <c r="L5656" t="s">
        <v>123</v>
      </c>
      <c r="M5656" t="s">
        <v>103</v>
      </c>
      <c r="N5656" t="s">
        <v>122</v>
      </c>
      <c r="O5656" t="s">
        <v>116</v>
      </c>
    </row>
    <row r="5657" spans="1:15" x14ac:dyDescent="0.3">
      <c r="A5657" s="130">
        <v>26790</v>
      </c>
      <c r="B5657" s="130">
        <v>21</v>
      </c>
      <c r="C5657" s="130" t="s">
        <v>7281</v>
      </c>
      <c r="D5657">
        <v>44543</v>
      </c>
      <c r="E5657" s="130">
        <v>26853805</v>
      </c>
      <c r="F5657" t="s">
        <v>87</v>
      </c>
      <c r="G5657">
        <v>1096</v>
      </c>
      <c r="H5657" t="s">
        <v>8951</v>
      </c>
      <c r="I5657" s="130">
        <v>10</v>
      </c>
      <c r="J5657" t="s">
        <v>7281</v>
      </c>
      <c r="K5657" t="s">
        <v>108</v>
      </c>
      <c r="L5657" t="s">
        <v>111</v>
      </c>
      <c r="M5657" t="s">
        <v>137</v>
      </c>
      <c r="N5657" t="s">
        <v>107</v>
      </c>
      <c r="O5657" t="s">
        <v>116</v>
      </c>
    </row>
    <row r="5658" spans="1:15" x14ac:dyDescent="0.3">
      <c r="A5658" s="130">
        <v>26791</v>
      </c>
      <c r="B5658" s="130">
        <v>18</v>
      </c>
      <c r="C5658" s="130" t="s">
        <v>7282</v>
      </c>
      <c r="D5658">
        <v>44012</v>
      </c>
      <c r="E5658" s="130">
        <v>7207251</v>
      </c>
      <c r="F5658" t="s">
        <v>87</v>
      </c>
      <c r="G5658">
        <v>1096</v>
      </c>
      <c r="H5658" t="s">
        <v>8952</v>
      </c>
      <c r="I5658" s="131">
        <v>9</v>
      </c>
      <c r="J5658" t="s">
        <v>7282</v>
      </c>
      <c r="K5658" t="s">
        <v>108</v>
      </c>
      <c r="L5658" t="s">
        <v>163</v>
      </c>
      <c r="M5658" t="s">
        <v>112</v>
      </c>
      <c r="N5658" t="s">
        <v>98</v>
      </c>
      <c r="O5658" t="s">
        <v>116</v>
      </c>
    </row>
    <row r="5659" spans="1:15" x14ac:dyDescent="0.3">
      <c r="A5659" s="130">
        <v>26792</v>
      </c>
      <c r="B5659" s="130">
        <v>18</v>
      </c>
      <c r="C5659" s="130" t="s">
        <v>7283</v>
      </c>
      <c r="D5659">
        <v>44704</v>
      </c>
      <c r="E5659" s="131">
        <v>10454877</v>
      </c>
      <c r="F5659" t="s">
        <v>87</v>
      </c>
      <c r="G5659">
        <v>76</v>
      </c>
      <c r="H5659" t="s">
        <v>8953</v>
      </c>
      <c r="I5659" s="130">
        <v>10</v>
      </c>
      <c r="J5659" t="s">
        <v>7283</v>
      </c>
      <c r="K5659" t="s">
        <v>108</v>
      </c>
      <c r="L5659" t="s">
        <v>127</v>
      </c>
      <c r="M5659" t="s">
        <v>112</v>
      </c>
      <c r="N5659" t="s">
        <v>118</v>
      </c>
      <c r="O5659" t="s">
        <v>116</v>
      </c>
    </row>
    <row r="5660" spans="1:15" x14ac:dyDescent="0.3">
      <c r="A5660" s="130">
        <v>26794</v>
      </c>
      <c r="B5660" s="130">
        <v>10</v>
      </c>
      <c r="C5660" s="130" t="s">
        <v>7284</v>
      </c>
      <c r="D5660">
        <v>44357</v>
      </c>
      <c r="E5660" s="130">
        <v>34692778</v>
      </c>
      <c r="F5660" t="s">
        <v>87</v>
      </c>
      <c r="G5660">
        <v>32947</v>
      </c>
      <c r="H5660" t="s">
        <v>8951</v>
      </c>
      <c r="I5660" s="130">
        <v>18</v>
      </c>
      <c r="J5660" t="s">
        <v>7284</v>
      </c>
      <c r="K5660" t="s">
        <v>108</v>
      </c>
      <c r="L5660" t="s">
        <v>1293</v>
      </c>
      <c r="M5660" t="s">
        <v>133</v>
      </c>
      <c r="N5660" t="s">
        <v>98</v>
      </c>
      <c r="O5660" t="s">
        <v>116</v>
      </c>
    </row>
    <row r="5661" spans="1:15" x14ac:dyDescent="0.3">
      <c r="A5661" s="130">
        <v>26795</v>
      </c>
      <c r="B5661" s="130">
        <v>10</v>
      </c>
      <c r="C5661" s="130" t="s">
        <v>7285</v>
      </c>
      <c r="D5661">
        <v>44871</v>
      </c>
      <c r="E5661" s="130">
        <v>30778013</v>
      </c>
      <c r="F5661" t="s">
        <v>87</v>
      </c>
      <c r="G5661">
        <v>1096</v>
      </c>
      <c r="H5661" t="s">
        <v>8952</v>
      </c>
      <c r="I5661" s="130">
        <v>9</v>
      </c>
      <c r="J5661" t="s">
        <v>7285</v>
      </c>
      <c r="K5661" t="s">
        <v>95</v>
      </c>
      <c r="L5661" t="s">
        <v>163</v>
      </c>
      <c r="M5661" t="s">
        <v>133</v>
      </c>
      <c r="N5661" t="s">
        <v>98</v>
      </c>
      <c r="O5661" t="s">
        <v>116</v>
      </c>
    </row>
    <row r="5662" spans="1:15" x14ac:dyDescent="0.3">
      <c r="A5662" s="130">
        <v>26796</v>
      </c>
      <c r="B5662" s="130">
        <v>30</v>
      </c>
      <c r="C5662" s="130" t="s">
        <v>7286</v>
      </c>
      <c r="D5662">
        <v>44829</v>
      </c>
      <c r="E5662" s="130">
        <v>52885089</v>
      </c>
      <c r="F5662" t="s">
        <v>87</v>
      </c>
      <c r="G5662">
        <v>1096</v>
      </c>
      <c r="H5662" t="s">
        <v>8953</v>
      </c>
      <c r="I5662" s="131">
        <v>3</v>
      </c>
      <c r="J5662" t="s">
        <v>7286</v>
      </c>
      <c r="K5662" t="s">
        <v>95</v>
      </c>
      <c r="L5662" t="s">
        <v>191</v>
      </c>
      <c r="M5662" t="s">
        <v>103</v>
      </c>
      <c r="O5662" t="s">
        <v>116</v>
      </c>
    </row>
    <row r="5663" spans="1:15" x14ac:dyDescent="0.3">
      <c r="A5663" s="130">
        <v>26797</v>
      </c>
      <c r="B5663" s="130">
        <v>30</v>
      </c>
      <c r="C5663" s="130" t="s">
        <v>7287</v>
      </c>
      <c r="D5663">
        <v>44828</v>
      </c>
      <c r="E5663" s="130">
        <v>52885089</v>
      </c>
      <c r="F5663" t="s">
        <v>87</v>
      </c>
      <c r="G5663">
        <v>1096</v>
      </c>
      <c r="H5663" t="s">
        <v>8951</v>
      </c>
      <c r="I5663" s="131">
        <v>3</v>
      </c>
      <c r="J5663" t="s">
        <v>7287</v>
      </c>
      <c r="K5663" t="s">
        <v>95</v>
      </c>
      <c r="L5663" t="s">
        <v>191</v>
      </c>
      <c r="M5663" t="s">
        <v>103</v>
      </c>
      <c r="O5663" t="s">
        <v>116</v>
      </c>
    </row>
    <row r="5664" spans="1:15" x14ac:dyDescent="0.3">
      <c r="A5664" s="130">
        <v>26798</v>
      </c>
      <c r="B5664" s="130">
        <v>28</v>
      </c>
      <c r="C5664" s="130" t="s">
        <v>7288</v>
      </c>
      <c r="D5664">
        <v>44018</v>
      </c>
      <c r="E5664" s="131">
        <v>26475981</v>
      </c>
      <c r="F5664" t="s">
        <v>87</v>
      </c>
      <c r="G5664">
        <v>32947</v>
      </c>
      <c r="H5664" t="s">
        <v>8952</v>
      </c>
      <c r="I5664" s="131">
        <v>18</v>
      </c>
      <c r="J5664" t="s">
        <v>7288</v>
      </c>
      <c r="K5664" t="s">
        <v>95</v>
      </c>
      <c r="L5664" t="s">
        <v>253</v>
      </c>
      <c r="M5664" t="s">
        <v>130</v>
      </c>
      <c r="O5664" t="s">
        <v>116</v>
      </c>
    </row>
    <row r="5665" spans="1:15" x14ac:dyDescent="0.3">
      <c r="A5665" s="130">
        <v>26799</v>
      </c>
      <c r="B5665" s="130">
        <v>30</v>
      </c>
      <c r="C5665" s="130" t="s">
        <v>7289</v>
      </c>
      <c r="D5665">
        <v>43601</v>
      </c>
      <c r="E5665" s="130">
        <v>10405464</v>
      </c>
      <c r="F5665" t="s">
        <v>87</v>
      </c>
      <c r="G5665">
        <v>1096</v>
      </c>
      <c r="H5665" t="s">
        <v>8953</v>
      </c>
      <c r="I5665" s="131">
        <v>10</v>
      </c>
      <c r="J5665" t="s">
        <v>7289</v>
      </c>
      <c r="K5665" t="s">
        <v>95</v>
      </c>
      <c r="L5665" t="s">
        <v>111</v>
      </c>
      <c r="M5665" t="s">
        <v>103</v>
      </c>
      <c r="N5665" t="s">
        <v>114</v>
      </c>
      <c r="O5665" t="s">
        <v>116</v>
      </c>
    </row>
    <row r="5666" spans="1:15" x14ac:dyDescent="0.3">
      <c r="A5666" s="130">
        <v>26802</v>
      </c>
      <c r="B5666" s="130">
        <v>30</v>
      </c>
      <c r="C5666" s="130" t="s">
        <v>7290</v>
      </c>
      <c r="D5666">
        <v>45149</v>
      </c>
      <c r="E5666" s="130">
        <v>52885089</v>
      </c>
      <c r="F5666" t="s">
        <v>87</v>
      </c>
      <c r="G5666">
        <v>32947</v>
      </c>
      <c r="H5666" t="s">
        <v>8951</v>
      </c>
      <c r="I5666" s="130">
        <v>3</v>
      </c>
      <c r="J5666" t="s">
        <v>7290</v>
      </c>
      <c r="K5666" t="s">
        <v>95</v>
      </c>
      <c r="L5666" t="s">
        <v>191</v>
      </c>
      <c r="M5666" t="s">
        <v>103</v>
      </c>
      <c r="N5666" t="s">
        <v>98</v>
      </c>
      <c r="O5666" t="s">
        <v>116</v>
      </c>
    </row>
    <row r="5667" spans="1:15" x14ac:dyDescent="0.3">
      <c r="A5667" s="130">
        <v>26803</v>
      </c>
      <c r="B5667" s="130">
        <v>30</v>
      </c>
      <c r="C5667" s="130" t="s">
        <v>7291</v>
      </c>
      <c r="D5667">
        <v>45143</v>
      </c>
      <c r="E5667" s="130">
        <v>45877254</v>
      </c>
      <c r="F5667" t="s">
        <v>87</v>
      </c>
      <c r="G5667">
        <v>32947</v>
      </c>
      <c r="H5667" t="s">
        <v>8952</v>
      </c>
      <c r="I5667" s="130">
        <v>43</v>
      </c>
      <c r="J5667" t="s">
        <v>7291</v>
      </c>
      <c r="K5667" t="s">
        <v>108</v>
      </c>
      <c r="L5667" t="s">
        <v>252</v>
      </c>
      <c r="M5667" t="s">
        <v>103</v>
      </c>
      <c r="N5667" t="s">
        <v>101</v>
      </c>
      <c r="O5667" t="s">
        <v>116</v>
      </c>
    </row>
    <row r="5668" spans="1:15" x14ac:dyDescent="0.3">
      <c r="A5668" s="130">
        <v>26805</v>
      </c>
      <c r="B5668" s="130">
        <v>21</v>
      </c>
      <c r="C5668" s="130" t="s">
        <v>7292</v>
      </c>
      <c r="D5668">
        <v>44374</v>
      </c>
      <c r="E5668" s="131">
        <v>3353341</v>
      </c>
      <c r="F5668" t="s">
        <v>87</v>
      </c>
      <c r="G5668">
        <v>76</v>
      </c>
      <c r="H5668" t="s">
        <v>8953</v>
      </c>
      <c r="I5668" s="131">
        <v>10</v>
      </c>
      <c r="J5668" t="s">
        <v>7292</v>
      </c>
      <c r="K5668" t="s">
        <v>95</v>
      </c>
      <c r="L5668" t="s">
        <v>127</v>
      </c>
      <c r="M5668" t="s">
        <v>137</v>
      </c>
      <c r="N5668" t="s">
        <v>118</v>
      </c>
      <c r="O5668" t="s">
        <v>116</v>
      </c>
    </row>
    <row r="5669" spans="1:15" x14ac:dyDescent="0.3">
      <c r="A5669" s="130">
        <v>26806</v>
      </c>
      <c r="B5669" s="130">
        <v>30</v>
      </c>
      <c r="C5669" s="130" t="s">
        <v>7293</v>
      </c>
      <c r="D5669">
        <v>44383</v>
      </c>
      <c r="E5669" s="131">
        <v>5353545</v>
      </c>
      <c r="F5669" t="s">
        <v>87</v>
      </c>
      <c r="G5669">
        <v>32947</v>
      </c>
      <c r="H5669" t="s">
        <v>8951</v>
      </c>
      <c r="I5669" s="131">
        <v>19</v>
      </c>
      <c r="J5669" t="s">
        <v>7293</v>
      </c>
      <c r="K5669" t="s">
        <v>108</v>
      </c>
      <c r="L5669" t="s">
        <v>252</v>
      </c>
      <c r="M5669" t="s">
        <v>103</v>
      </c>
      <c r="N5669" t="s">
        <v>98</v>
      </c>
      <c r="O5669" t="s">
        <v>116</v>
      </c>
    </row>
    <row r="5670" spans="1:15" x14ac:dyDescent="0.3">
      <c r="A5670" s="130">
        <v>26808</v>
      </c>
      <c r="B5670" s="130">
        <v>30</v>
      </c>
      <c r="C5670" s="130" t="s">
        <v>7294</v>
      </c>
      <c r="D5670">
        <v>44906</v>
      </c>
      <c r="E5670" s="131">
        <v>4179384</v>
      </c>
      <c r="F5670" t="s">
        <v>87</v>
      </c>
      <c r="G5670">
        <v>1096</v>
      </c>
      <c r="H5670" t="s">
        <v>8952</v>
      </c>
      <c r="I5670" s="130">
        <v>10</v>
      </c>
      <c r="J5670" t="s">
        <v>7294</v>
      </c>
      <c r="K5670" t="s">
        <v>95</v>
      </c>
      <c r="L5670" t="s">
        <v>111</v>
      </c>
      <c r="M5670" t="s">
        <v>103</v>
      </c>
      <c r="N5670" t="s">
        <v>98</v>
      </c>
      <c r="O5670" t="s">
        <v>116</v>
      </c>
    </row>
    <row r="5671" spans="1:15" x14ac:dyDescent="0.3">
      <c r="A5671" s="130">
        <v>26809</v>
      </c>
      <c r="B5671" s="130">
        <v>21</v>
      </c>
      <c r="C5671" s="130" t="s">
        <v>7295</v>
      </c>
      <c r="D5671">
        <v>44846</v>
      </c>
      <c r="E5671" s="130">
        <v>731155</v>
      </c>
      <c r="F5671" t="s">
        <v>87</v>
      </c>
      <c r="G5671">
        <v>1096</v>
      </c>
      <c r="H5671" t="s">
        <v>8953</v>
      </c>
      <c r="I5671" s="131">
        <v>10</v>
      </c>
      <c r="J5671" t="s">
        <v>7295</v>
      </c>
      <c r="K5671" t="s">
        <v>108</v>
      </c>
      <c r="L5671" t="s">
        <v>111</v>
      </c>
      <c r="M5671" t="s">
        <v>137</v>
      </c>
      <c r="N5671" t="s">
        <v>98</v>
      </c>
      <c r="O5671" t="s">
        <v>116</v>
      </c>
    </row>
    <row r="5672" spans="1:15" x14ac:dyDescent="0.3">
      <c r="A5672" s="130">
        <v>26810</v>
      </c>
      <c r="B5672" s="130">
        <v>30</v>
      </c>
      <c r="C5672" s="130" t="s">
        <v>7296</v>
      </c>
      <c r="D5672">
        <v>45006</v>
      </c>
      <c r="E5672" s="131">
        <v>53640270</v>
      </c>
      <c r="F5672" t="s">
        <v>87</v>
      </c>
      <c r="G5672">
        <v>1096</v>
      </c>
      <c r="H5672" t="s">
        <v>8951</v>
      </c>
      <c r="I5672" s="131">
        <v>37</v>
      </c>
      <c r="J5672" t="s">
        <v>7296</v>
      </c>
      <c r="K5672" t="s">
        <v>95</v>
      </c>
      <c r="L5672" t="s">
        <v>240</v>
      </c>
      <c r="M5672" t="s">
        <v>103</v>
      </c>
      <c r="N5672" t="s">
        <v>101</v>
      </c>
      <c r="O5672" t="s">
        <v>116</v>
      </c>
    </row>
    <row r="5673" spans="1:15" x14ac:dyDescent="0.3">
      <c r="A5673" s="130">
        <v>26811</v>
      </c>
      <c r="B5673" s="130">
        <v>30</v>
      </c>
      <c r="C5673" s="130" t="s">
        <v>7297</v>
      </c>
      <c r="D5673">
        <v>45292</v>
      </c>
      <c r="E5673" s="131">
        <v>17193590</v>
      </c>
      <c r="F5673" t="s">
        <v>87</v>
      </c>
      <c r="G5673">
        <v>1096</v>
      </c>
      <c r="H5673" t="s">
        <v>8952</v>
      </c>
      <c r="I5673" s="130">
        <v>3</v>
      </c>
      <c r="J5673" t="s">
        <v>7297</v>
      </c>
      <c r="K5673" t="s">
        <v>95</v>
      </c>
      <c r="L5673" t="s">
        <v>1293</v>
      </c>
      <c r="M5673" t="s">
        <v>103</v>
      </c>
      <c r="N5673" t="s">
        <v>98</v>
      </c>
      <c r="O5673" t="s">
        <v>116</v>
      </c>
    </row>
    <row r="5674" spans="1:15" x14ac:dyDescent="0.3">
      <c r="A5674" s="130">
        <v>26812</v>
      </c>
      <c r="B5674" s="130">
        <v>30</v>
      </c>
      <c r="C5674" s="130" t="s">
        <v>7298</v>
      </c>
      <c r="D5674">
        <v>45383</v>
      </c>
      <c r="E5674" s="131">
        <v>17469701</v>
      </c>
      <c r="F5674" t="s">
        <v>87</v>
      </c>
      <c r="G5674">
        <v>77</v>
      </c>
      <c r="H5674" t="s">
        <v>8953</v>
      </c>
      <c r="I5674" s="130">
        <v>26</v>
      </c>
      <c r="J5674" t="s">
        <v>7298</v>
      </c>
      <c r="K5674" t="s">
        <v>95</v>
      </c>
      <c r="L5674" t="s">
        <v>1251</v>
      </c>
      <c r="M5674" t="s">
        <v>103</v>
      </c>
      <c r="N5674" t="s">
        <v>98</v>
      </c>
      <c r="O5674" t="s">
        <v>116</v>
      </c>
    </row>
    <row r="5675" spans="1:15" x14ac:dyDescent="0.3">
      <c r="A5675" s="130">
        <v>26813</v>
      </c>
      <c r="B5675" s="130">
        <v>18</v>
      </c>
      <c r="C5675" s="130" t="s">
        <v>7299</v>
      </c>
      <c r="D5675">
        <v>42649</v>
      </c>
      <c r="E5675" s="130">
        <v>16599987</v>
      </c>
      <c r="F5675" t="s">
        <v>87</v>
      </c>
      <c r="G5675">
        <v>1096</v>
      </c>
      <c r="H5675" t="s">
        <v>8951</v>
      </c>
      <c r="I5675" s="130">
        <v>9</v>
      </c>
      <c r="J5675" t="s">
        <v>7299</v>
      </c>
      <c r="K5675" t="s">
        <v>108</v>
      </c>
      <c r="L5675" t="s">
        <v>163</v>
      </c>
      <c r="M5675" t="s">
        <v>112</v>
      </c>
      <c r="O5675" t="s">
        <v>116</v>
      </c>
    </row>
    <row r="5676" spans="1:15" x14ac:dyDescent="0.3">
      <c r="A5676" s="130">
        <v>26814</v>
      </c>
      <c r="B5676" s="130">
        <v>30</v>
      </c>
      <c r="C5676" s="130" t="s">
        <v>7300</v>
      </c>
      <c r="D5676">
        <v>45307</v>
      </c>
      <c r="E5676" s="131">
        <v>49472451</v>
      </c>
      <c r="F5676" t="s">
        <v>87</v>
      </c>
      <c r="G5676">
        <v>1096</v>
      </c>
      <c r="H5676" t="s">
        <v>8952</v>
      </c>
      <c r="I5676" s="130">
        <v>10</v>
      </c>
      <c r="J5676" t="s">
        <v>7300</v>
      </c>
      <c r="K5676" t="s">
        <v>95</v>
      </c>
      <c r="L5676" t="s">
        <v>111</v>
      </c>
      <c r="M5676" t="s">
        <v>103</v>
      </c>
      <c r="N5676" t="s">
        <v>98</v>
      </c>
      <c r="O5676" t="s">
        <v>116</v>
      </c>
    </row>
    <row r="5677" spans="1:15" x14ac:dyDescent="0.3">
      <c r="A5677" s="130">
        <v>26815</v>
      </c>
      <c r="B5677" s="130">
        <v>30</v>
      </c>
      <c r="C5677" s="130" t="s">
        <v>7301</v>
      </c>
      <c r="D5677">
        <v>45337</v>
      </c>
      <c r="E5677" s="130">
        <v>45130701</v>
      </c>
      <c r="F5677" t="s">
        <v>87</v>
      </c>
      <c r="G5677">
        <v>1096</v>
      </c>
      <c r="H5677" t="s">
        <v>8953</v>
      </c>
      <c r="I5677" s="131">
        <v>19</v>
      </c>
      <c r="J5677" t="s">
        <v>7301</v>
      </c>
      <c r="K5677" t="s">
        <v>95</v>
      </c>
      <c r="L5677" t="s">
        <v>252</v>
      </c>
      <c r="M5677" t="s">
        <v>103</v>
      </c>
      <c r="O5677" t="s">
        <v>116</v>
      </c>
    </row>
    <row r="5678" spans="1:15" x14ac:dyDescent="0.3">
      <c r="A5678" s="130">
        <v>26816</v>
      </c>
      <c r="B5678" s="130">
        <v>30</v>
      </c>
      <c r="C5678" s="130" t="s">
        <v>7302</v>
      </c>
      <c r="D5678">
        <v>45127</v>
      </c>
      <c r="E5678" s="130">
        <v>19791477</v>
      </c>
      <c r="F5678" t="s">
        <v>87</v>
      </c>
      <c r="G5678">
        <v>32947</v>
      </c>
      <c r="H5678" t="s">
        <v>8951</v>
      </c>
      <c r="I5678" s="131">
        <v>24</v>
      </c>
      <c r="J5678" t="s">
        <v>7302</v>
      </c>
      <c r="K5678" t="s">
        <v>108</v>
      </c>
      <c r="L5678" t="s">
        <v>191</v>
      </c>
      <c r="M5678" t="s">
        <v>103</v>
      </c>
      <c r="N5678" t="s">
        <v>98</v>
      </c>
      <c r="O5678" t="s">
        <v>116</v>
      </c>
    </row>
    <row r="5679" spans="1:15" x14ac:dyDescent="0.3">
      <c r="A5679" s="130">
        <v>26817</v>
      </c>
      <c r="B5679" s="130">
        <v>30</v>
      </c>
      <c r="C5679" s="130" t="s">
        <v>7303</v>
      </c>
      <c r="D5679">
        <v>44831</v>
      </c>
      <c r="E5679" s="130">
        <v>3998869</v>
      </c>
      <c r="F5679" t="s">
        <v>87</v>
      </c>
      <c r="G5679">
        <v>32947</v>
      </c>
      <c r="H5679" t="s">
        <v>8952</v>
      </c>
      <c r="I5679" s="130">
        <v>24</v>
      </c>
      <c r="J5679" t="s">
        <v>7303</v>
      </c>
      <c r="K5679" t="s">
        <v>95</v>
      </c>
      <c r="L5679" t="s">
        <v>191</v>
      </c>
      <c r="M5679" t="s">
        <v>103</v>
      </c>
      <c r="N5679" t="s">
        <v>98</v>
      </c>
      <c r="O5679" t="s">
        <v>116</v>
      </c>
    </row>
    <row r="5680" spans="1:15" x14ac:dyDescent="0.3">
      <c r="A5680" s="130">
        <v>26818</v>
      </c>
      <c r="B5680" s="130">
        <v>30</v>
      </c>
      <c r="C5680" s="130" t="s">
        <v>7304</v>
      </c>
      <c r="D5680">
        <v>45013</v>
      </c>
      <c r="E5680" s="130">
        <v>76487222</v>
      </c>
      <c r="F5680" t="s">
        <v>87</v>
      </c>
      <c r="G5680">
        <v>1096</v>
      </c>
      <c r="H5680" t="s">
        <v>8953</v>
      </c>
      <c r="I5680" s="131">
        <v>3</v>
      </c>
      <c r="J5680" t="s">
        <v>7304</v>
      </c>
      <c r="K5680" t="s">
        <v>95</v>
      </c>
      <c r="L5680" t="s">
        <v>193</v>
      </c>
      <c r="M5680" t="s">
        <v>103</v>
      </c>
      <c r="N5680" t="s">
        <v>98</v>
      </c>
      <c r="O5680" t="s">
        <v>116</v>
      </c>
    </row>
    <row r="5681" spans="1:15" x14ac:dyDescent="0.3">
      <c r="A5681" s="130">
        <v>26819</v>
      </c>
      <c r="B5681" s="130">
        <v>18</v>
      </c>
      <c r="C5681" s="130" t="s">
        <v>7305</v>
      </c>
      <c r="D5681">
        <v>45151</v>
      </c>
      <c r="E5681" s="131">
        <v>17140820</v>
      </c>
      <c r="F5681" t="s">
        <v>87</v>
      </c>
      <c r="G5681">
        <v>32947</v>
      </c>
      <c r="H5681" t="s">
        <v>8951</v>
      </c>
      <c r="I5681" s="131">
        <v>26</v>
      </c>
      <c r="J5681" t="s">
        <v>7305</v>
      </c>
      <c r="K5681" t="s">
        <v>108</v>
      </c>
      <c r="L5681" t="s">
        <v>193</v>
      </c>
      <c r="M5681" t="s">
        <v>112</v>
      </c>
      <c r="N5681" t="s">
        <v>114</v>
      </c>
      <c r="O5681" t="s">
        <v>116</v>
      </c>
    </row>
    <row r="5682" spans="1:15" x14ac:dyDescent="0.3">
      <c r="A5682" s="130">
        <v>26821</v>
      </c>
      <c r="B5682" s="130">
        <v>30</v>
      </c>
      <c r="C5682" s="130" t="s">
        <v>7306</v>
      </c>
      <c r="D5682">
        <v>45290</v>
      </c>
      <c r="E5682" s="130">
        <v>41523483</v>
      </c>
      <c r="F5682" t="s">
        <v>87</v>
      </c>
      <c r="G5682">
        <v>1096</v>
      </c>
      <c r="H5682" t="s">
        <v>8952</v>
      </c>
      <c r="I5682" s="130">
        <v>18</v>
      </c>
      <c r="J5682" t="s">
        <v>7306</v>
      </c>
      <c r="K5682" t="s">
        <v>95</v>
      </c>
      <c r="L5682" t="s">
        <v>123</v>
      </c>
      <c r="M5682" t="s">
        <v>103</v>
      </c>
      <c r="N5682" t="s">
        <v>98</v>
      </c>
      <c r="O5682" t="s">
        <v>116</v>
      </c>
    </row>
    <row r="5683" spans="1:15" x14ac:dyDescent="0.3">
      <c r="A5683" s="130">
        <v>26822</v>
      </c>
      <c r="B5683" s="130">
        <v>30</v>
      </c>
      <c r="C5683" s="130" t="s">
        <v>7307</v>
      </c>
      <c r="D5683">
        <v>44804</v>
      </c>
      <c r="E5683" s="130">
        <v>20651311</v>
      </c>
      <c r="F5683" t="s">
        <v>87</v>
      </c>
      <c r="G5683">
        <v>1096</v>
      </c>
      <c r="H5683" t="s">
        <v>8953</v>
      </c>
      <c r="I5683" s="130">
        <v>3</v>
      </c>
      <c r="J5683" t="s">
        <v>7307</v>
      </c>
      <c r="K5683" t="s">
        <v>95</v>
      </c>
      <c r="L5683" t="s">
        <v>109</v>
      </c>
      <c r="M5683" t="s">
        <v>103</v>
      </c>
      <c r="N5683" t="s">
        <v>98</v>
      </c>
      <c r="O5683" t="s">
        <v>116</v>
      </c>
    </row>
    <row r="5684" spans="1:15" x14ac:dyDescent="0.3">
      <c r="A5684" s="130">
        <v>26823</v>
      </c>
      <c r="B5684" s="130">
        <v>18</v>
      </c>
      <c r="C5684" s="130" t="s">
        <v>7308</v>
      </c>
      <c r="D5684">
        <v>45367</v>
      </c>
      <c r="E5684" s="131">
        <v>19245954</v>
      </c>
      <c r="F5684" t="s">
        <v>87</v>
      </c>
      <c r="G5684">
        <v>1096</v>
      </c>
      <c r="H5684" t="s">
        <v>8951</v>
      </c>
      <c r="I5684" s="131">
        <v>26</v>
      </c>
      <c r="J5684" t="s">
        <v>7308</v>
      </c>
      <c r="K5684" t="s">
        <v>108</v>
      </c>
      <c r="L5684" t="s">
        <v>193</v>
      </c>
      <c r="M5684" t="s">
        <v>112</v>
      </c>
      <c r="N5684" t="s">
        <v>98</v>
      </c>
      <c r="O5684" t="s">
        <v>116</v>
      </c>
    </row>
    <row r="5685" spans="1:15" x14ac:dyDescent="0.3">
      <c r="A5685" s="130">
        <v>26824</v>
      </c>
      <c r="B5685" s="130">
        <v>0</v>
      </c>
      <c r="C5685" s="130" t="s">
        <v>7309</v>
      </c>
      <c r="D5685">
        <v>45403</v>
      </c>
      <c r="E5685" s="130">
        <v>44525056</v>
      </c>
      <c r="F5685" t="s">
        <v>87</v>
      </c>
      <c r="G5685">
        <v>32947</v>
      </c>
      <c r="H5685" t="s">
        <v>8952</v>
      </c>
      <c r="I5685" s="130">
        <v>38</v>
      </c>
      <c r="J5685" t="s">
        <v>7309</v>
      </c>
      <c r="K5685" t="s">
        <v>108</v>
      </c>
      <c r="L5685" t="s">
        <v>126</v>
      </c>
      <c r="M5685" t="s">
        <v>100</v>
      </c>
      <c r="N5685" t="s">
        <v>98</v>
      </c>
      <c r="O5685" t="s">
        <v>116</v>
      </c>
    </row>
    <row r="5686" spans="1:15" x14ac:dyDescent="0.3">
      <c r="A5686" s="130">
        <v>26825</v>
      </c>
      <c r="B5686" s="130">
        <v>30</v>
      </c>
      <c r="C5686" s="130" t="s">
        <v>7310</v>
      </c>
      <c r="D5686">
        <v>45463</v>
      </c>
      <c r="E5686" s="131">
        <v>45130701</v>
      </c>
      <c r="F5686" t="s">
        <v>87</v>
      </c>
      <c r="G5686">
        <v>1096</v>
      </c>
      <c r="H5686" t="s">
        <v>8953</v>
      </c>
      <c r="I5686" s="130">
        <v>19</v>
      </c>
      <c r="J5686" t="s">
        <v>7310</v>
      </c>
      <c r="K5686" t="s">
        <v>95</v>
      </c>
      <c r="L5686" t="s">
        <v>252</v>
      </c>
      <c r="M5686" t="s">
        <v>103</v>
      </c>
      <c r="O5686" t="s">
        <v>116</v>
      </c>
    </row>
    <row r="5687" spans="1:15" x14ac:dyDescent="0.3">
      <c r="A5687" s="130">
        <v>26826</v>
      </c>
      <c r="B5687" s="130">
        <v>30</v>
      </c>
      <c r="C5687" s="130" t="s">
        <v>7311</v>
      </c>
      <c r="D5687">
        <v>45493</v>
      </c>
      <c r="E5687" s="130">
        <v>45130701</v>
      </c>
      <c r="F5687" t="s">
        <v>87</v>
      </c>
      <c r="G5687">
        <v>1096</v>
      </c>
      <c r="H5687" t="s">
        <v>8951</v>
      </c>
      <c r="I5687" s="130">
        <v>19</v>
      </c>
      <c r="J5687" t="s">
        <v>7311</v>
      </c>
      <c r="K5687" t="s">
        <v>95</v>
      </c>
      <c r="L5687" t="s">
        <v>252</v>
      </c>
      <c r="M5687" t="s">
        <v>103</v>
      </c>
      <c r="O5687" t="s">
        <v>116</v>
      </c>
    </row>
    <row r="5688" spans="1:15" x14ac:dyDescent="0.3">
      <c r="A5688" s="130">
        <v>26827</v>
      </c>
      <c r="B5688" s="130">
        <v>30</v>
      </c>
      <c r="C5688" s="130" t="s">
        <v>7312</v>
      </c>
      <c r="D5688">
        <v>45539</v>
      </c>
      <c r="E5688" s="130">
        <v>42540211</v>
      </c>
      <c r="F5688" t="s">
        <v>87</v>
      </c>
      <c r="G5688">
        <v>32947</v>
      </c>
      <c r="H5688" t="s">
        <v>8952</v>
      </c>
      <c r="I5688" s="130">
        <v>18</v>
      </c>
      <c r="J5688" t="s">
        <v>7312</v>
      </c>
      <c r="K5688" t="s">
        <v>95</v>
      </c>
      <c r="L5688" t="s">
        <v>123</v>
      </c>
      <c r="M5688" t="s">
        <v>103</v>
      </c>
      <c r="N5688" t="s">
        <v>131</v>
      </c>
      <c r="O5688" t="s">
        <v>116</v>
      </c>
    </row>
    <row r="5689" spans="1:15" x14ac:dyDescent="0.3">
      <c r="A5689" s="130">
        <v>26828</v>
      </c>
      <c r="B5689" s="130">
        <v>18</v>
      </c>
      <c r="C5689" s="130" t="s">
        <v>7313</v>
      </c>
      <c r="D5689">
        <v>45461</v>
      </c>
      <c r="E5689" s="130">
        <v>5160695</v>
      </c>
      <c r="F5689" t="s">
        <v>87</v>
      </c>
      <c r="G5689">
        <v>1096</v>
      </c>
      <c r="H5689" t="s">
        <v>8953</v>
      </c>
      <c r="I5689" s="130">
        <v>9</v>
      </c>
      <c r="J5689" t="s">
        <v>7313</v>
      </c>
      <c r="K5689" t="s">
        <v>95</v>
      </c>
      <c r="L5689" t="s">
        <v>163</v>
      </c>
      <c r="M5689" t="s">
        <v>112</v>
      </c>
      <c r="N5689" t="s">
        <v>107</v>
      </c>
      <c r="O5689" t="s">
        <v>116</v>
      </c>
    </row>
    <row r="5690" spans="1:15" x14ac:dyDescent="0.3">
      <c r="A5690" s="130">
        <v>26829</v>
      </c>
      <c r="B5690" s="130">
        <v>18</v>
      </c>
      <c r="C5690" s="130" t="s">
        <v>7314</v>
      </c>
      <c r="D5690">
        <v>45466</v>
      </c>
      <c r="E5690" s="130">
        <v>5160695</v>
      </c>
      <c r="F5690" t="s">
        <v>87</v>
      </c>
      <c r="G5690">
        <v>1096</v>
      </c>
      <c r="H5690" t="s">
        <v>8951</v>
      </c>
      <c r="I5690" s="131">
        <v>9</v>
      </c>
      <c r="J5690" t="s">
        <v>7314</v>
      </c>
      <c r="K5690" t="s">
        <v>108</v>
      </c>
      <c r="L5690" t="s">
        <v>163</v>
      </c>
      <c r="M5690" t="s">
        <v>112</v>
      </c>
      <c r="N5690" t="s">
        <v>107</v>
      </c>
      <c r="O5690" t="s">
        <v>116</v>
      </c>
    </row>
    <row r="5691" spans="1:15" x14ac:dyDescent="0.3">
      <c r="A5691" s="130">
        <v>26830</v>
      </c>
      <c r="B5691" s="130">
        <v>30</v>
      </c>
      <c r="C5691" s="130" t="s">
        <v>7315</v>
      </c>
      <c r="D5691">
        <v>45526</v>
      </c>
      <c r="E5691" s="130">
        <v>61575775</v>
      </c>
      <c r="F5691" t="s">
        <v>87</v>
      </c>
      <c r="G5691">
        <v>1096</v>
      </c>
      <c r="H5691" t="s">
        <v>8952</v>
      </c>
      <c r="I5691" s="131">
        <v>3</v>
      </c>
      <c r="J5691" t="s">
        <v>7315</v>
      </c>
      <c r="K5691" t="s">
        <v>95</v>
      </c>
      <c r="L5691" t="s">
        <v>111</v>
      </c>
      <c r="M5691" t="s">
        <v>103</v>
      </c>
      <c r="N5691" t="s">
        <v>98</v>
      </c>
      <c r="O5691" t="s">
        <v>116</v>
      </c>
    </row>
    <row r="5692" spans="1:15" x14ac:dyDescent="0.3">
      <c r="A5692" s="130">
        <v>26831</v>
      </c>
      <c r="B5692" s="130">
        <v>30</v>
      </c>
      <c r="C5692" s="130" t="s">
        <v>7316</v>
      </c>
      <c r="D5692">
        <v>45443</v>
      </c>
      <c r="E5692" s="131">
        <v>15063096</v>
      </c>
      <c r="F5692" t="s">
        <v>87</v>
      </c>
      <c r="G5692">
        <v>1096</v>
      </c>
      <c r="H5692" t="s">
        <v>8953</v>
      </c>
      <c r="I5692" s="131">
        <v>10</v>
      </c>
      <c r="J5692" t="s">
        <v>7316</v>
      </c>
      <c r="K5692" t="s">
        <v>95</v>
      </c>
      <c r="L5692" t="s">
        <v>127</v>
      </c>
      <c r="M5692" t="s">
        <v>103</v>
      </c>
      <c r="N5692" t="s">
        <v>114</v>
      </c>
      <c r="O5692" t="s">
        <v>116</v>
      </c>
    </row>
    <row r="5693" spans="1:15" x14ac:dyDescent="0.3">
      <c r="A5693" s="130">
        <v>26832</v>
      </c>
      <c r="B5693" s="130">
        <v>45</v>
      </c>
      <c r="C5693" s="130" t="s">
        <v>7317</v>
      </c>
      <c r="D5693">
        <v>45519</v>
      </c>
      <c r="E5693" s="130">
        <v>67706853</v>
      </c>
      <c r="F5693" t="s">
        <v>87</v>
      </c>
      <c r="G5693">
        <v>1096</v>
      </c>
      <c r="H5693" t="s">
        <v>8951</v>
      </c>
      <c r="I5693" s="130">
        <v>19</v>
      </c>
      <c r="J5693" t="s">
        <v>7317</v>
      </c>
      <c r="K5693" t="s">
        <v>95</v>
      </c>
      <c r="L5693" t="s">
        <v>111</v>
      </c>
      <c r="M5693" t="s">
        <v>106</v>
      </c>
      <c r="N5693" t="s">
        <v>98</v>
      </c>
      <c r="O5693" t="s">
        <v>116</v>
      </c>
    </row>
    <row r="5694" spans="1:15" x14ac:dyDescent="0.3">
      <c r="A5694" s="130">
        <v>26833</v>
      </c>
      <c r="B5694" s="130">
        <v>30</v>
      </c>
      <c r="C5694" s="130" t="s">
        <v>7318</v>
      </c>
      <c r="D5694">
        <v>45567</v>
      </c>
      <c r="E5694" s="130">
        <v>42540211</v>
      </c>
      <c r="F5694" t="s">
        <v>87</v>
      </c>
      <c r="G5694">
        <v>32947</v>
      </c>
      <c r="H5694" t="s">
        <v>8952</v>
      </c>
      <c r="I5694" s="131">
        <v>18</v>
      </c>
      <c r="J5694" t="s">
        <v>7318</v>
      </c>
      <c r="K5694" t="s">
        <v>95</v>
      </c>
      <c r="L5694" t="s">
        <v>123</v>
      </c>
      <c r="M5694" t="s">
        <v>103</v>
      </c>
      <c r="N5694" t="s">
        <v>131</v>
      </c>
      <c r="O5694" t="s">
        <v>116</v>
      </c>
    </row>
    <row r="5695" spans="1:15" x14ac:dyDescent="0.3">
      <c r="A5695" s="130">
        <v>26834</v>
      </c>
      <c r="B5695" s="130">
        <v>30</v>
      </c>
      <c r="C5695" s="130" t="s">
        <v>7319</v>
      </c>
      <c r="D5695">
        <v>45525</v>
      </c>
      <c r="E5695" s="130">
        <v>39973085</v>
      </c>
      <c r="F5695" t="s">
        <v>87</v>
      </c>
      <c r="G5695">
        <v>32947</v>
      </c>
      <c r="H5695" t="s">
        <v>8953</v>
      </c>
      <c r="I5695" s="130">
        <v>38</v>
      </c>
      <c r="J5695" t="s">
        <v>7319</v>
      </c>
      <c r="K5695" t="s">
        <v>108</v>
      </c>
      <c r="L5695" t="s">
        <v>126</v>
      </c>
      <c r="M5695" t="s">
        <v>103</v>
      </c>
      <c r="N5695" t="s">
        <v>141</v>
      </c>
      <c r="O5695" t="s">
        <v>116</v>
      </c>
    </row>
    <row r="5696" spans="1:15" x14ac:dyDescent="0.3">
      <c r="A5696" s="130">
        <v>26835</v>
      </c>
      <c r="B5696" s="130">
        <v>28</v>
      </c>
      <c r="C5696" s="130" t="s">
        <v>7320</v>
      </c>
      <c r="D5696">
        <v>45200</v>
      </c>
      <c r="E5696" s="131">
        <v>50936979</v>
      </c>
      <c r="F5696" t="s">
        <v>87</v>
      </c>
      <c r="G5696">
        <v>32947</v>
      </c>
      <c r="H5696" t="s">
        <v>8951</v>
      </c>
      <c r="I5696" s="130">
        <v>18</v>
      </c>
      <c r="J5696" t="s">
        <v>7320</v>
      </c>
      <c r="K5696" t="s">
        <v>95</v>
      </c>
      <c r="L5696" t="s">
        <v>253</v>
      </c>
      <c r="M5696" t="s">
        <v>130</v>
      </c>
      <c r="N5696" t="s">
        <v>98</v>
      </c>
      <c r="O5696" t="s">
        <v>116</v>
      </c>
    </row>
    <row r="5697" spans="1:15" x14ac:dyDescent="0.3">
      <c r="A5697" s="130">
        <v>26836</v>
      </c>
      <c r="B5697" s="130">
        <v>18</v>
      </c>
      <c r="C5697" s="130" t="s">
        <v>7321</v>
      </c>
      <c r="D5697">
        <v>44810</v>
      </c>
      <c r="E5697" s="130">
        <v>472355</v>
      </c>
      <c r="F5697" t="s">
        <v>87</v>
      </c>
      <c r="G5697">
        <v>1096</v>
      </c>
      <c r="H5697" t="s">
        <v>8952</v>
      </c>
      <c r="I5697" s="130">
        <v>9</v>
      </c>
      <c r="J5697" t="s">
        <v>7321</v>
      </c>
      <c r="K5697" t="s">
        <v>95</v>
      </c>
      <c r="L5697" t="s">
        <v>163</v>
      </c>
      <c r="M5697" t="s">
        <v>112</v>
      </c>
      <c r="N5697" t="s">
        <v>98</v>
      </c>
      <c r="O5697" t="s">
        <v>116</v>
      </c>
    </row>
    <row r="5698" spans="1:15" x14ac:dyDescent="0.3">
      <c r="A5698" s="130">
        <v>26837</v>
      </c>
      <c r="B5698" s="130">
        <v>18</v>
      </c>
      <c r="C5698" s="130" t="s">
        <v>7322</v>
      </c>
      <c r="D5698">
        <v>45622</v>
      </c>
      <c r="E5698" s="130">
        <v>43200669</v>
      </c>
      <c r="F5698" t="s">
        <v>87</v>
      </c>
      <c r="G5698">
        <v>1096</v>
      </c>
      <c r="H5698" t="s">
        <v>8953</v>
      </c>
      <c r="I5698" s="130">
        <v>10</v>
      </c>
      <c r="J5698" t="s">
        <v>7322</v>
      </c>
      <c r="K5698" t="s">
        <v>108</v>
      </c>
      <c r="L5698" t="s">
        <v>127</v>
      </c>
      <c r="M5698" t="s">
        <v>112</v>
      </c>
      <c r="N5698" t="s">
        <v>152</v>
      </c>
      <c r="O5698" t="s">
        <v>116</v>
      </c>
    </row>
    <row r="5699" spans="1:15" x14ac:dyDescent="0.3">
      <c r="A5699" s="130">
        <v>26838</v>
      </c>
      <c r="B5699" s="130">
        <v>30</v>
      </c>
      <c r="C5699" s="130" t="s">
        <v>7323</v>
      </c>
      <c r="D5699">
        <v>44895</v>
      </c>
      <c r="E5699" s="130">
        <v>31259449</v>
      </c>
      <c r="F5699" t="s">
        <v>87</v>
      </c>
      <c r="G5699">
        <v>32947</v>
      </c>
      <c r="H5699" t="s">
        <v>8951</v>
      </c>
      <c r="I5699" s="130">
        <v>18</v>
      </c>
      <c r="J5699" t="s">
        <v>7323</v>
      </c>
      <c r="K5699" t="s">
        <v>95</v>
      </c>
      <c r="L5699" t="s">
        <v>123</v>
      </c>
      <c r="M5699" t="s">
        <v>103</v>
      </c>
      <c r="N5699" t="s">
        <v>98</v>
      </c>
      <c r="O5699" t="s">
        <v>116</v>
      </c>
    </row>
    <row r="5700" spans="1:15" x14ac:dyDescent="0.3">
      <c r="A5700" s="130">
        <v>26839</v>
      </c>
      <c r="B5700" s="130">
        <v>60</v>
      </c>
      <c r="C5700" s="130" t="s">
        <v>7324</v>
      </c>
      <c r="D5700">
        <v>45654</v>
      </c>
      <c r="E5700" s="130">
        <v>33435231</v>
      </c>
      <c r="F5700" t="s">
        <v>87</v>
      </c>
      <c r="G5700">
        <v>77</v>
      </c>
      <c r="H5700" t="s">
        <v>8952</v>
      </c>
      <c r="I5700" s="130">
        <v>18</v>
      </c>
      <c r="J5700" t="s">
        <v>7324</v>
      </c>
      <c r="K5700" t="s">
        <v>95</v>
      </c>
      <c r="L5700" t="s">
        <v>1251</v>
      </c>
      <c r="M5700" t="s">
        <v>97</v>
      </c>
      <c r="N5700" t="s">
        <v>114</v>
      </c>
      <c r="O5700" t="s">
        <v>116</v>
      </c>
    </row>
    <row r="5701" spans="1:15" x14ac:dyDescent="0.3">
      <c r="A5701" s="130">
        <v>26841</v>
      </c>
      <c r="B5701" s="130">
        <v>28</v>
      </c>
      <c r="C5701" s="130" t="s">
        <v>7325</v>
      </c>
      <c r="D5701">
        <v>45355</v>
      </c>
      <c r="E5701" s="130">
        <v>50617793</v>
      </c>
      <c r="F5701" t="s">
        <v>87</v>
      </c>
      <c r="G5701">
        <v>32947</v>
      </c>
      <c r="H5701" t="s">
        <v>8953</v>
      </c>
      <c r="I5701" s="130">
        <v>37</v>
      </c>
      <c r="J5701" t="s">
        <v>7325</v>
      </c>
      <c r="K5701" t="s">
        <v>95</v>
      </c>
      <c r="L5701" t="s">
        <v>138</v>
      </c>
      <c r="M5701" t="s">
        <v>130</v>
      </c>
      <c r="N5701" t="s">
        <v>150</v>
      </c>
      <c r="O5701" t="s">
        <v>116</v>
      </c>
    </row>
    <row r="5702" spans="1:15" x14ac:dyDescent="0.3">
      <c r="A5702" s="130">
        <v>26842</v>
      </c>
      <c r="B5702" s="130">
        <v>30</v>
      </c>
      <c r="C5702" s="130" t="s">
        <v>7326</v>
      </c>
      <c r="D5702">
        <v>45674</v>
      </c>
      <c r="E5702" s="130">
        <v>50180042</v>
      </c>
      <c r="F5702" t="s">
        <v>87</v>
      </c>
      <c r="G5702">
        <v>1096</v>
      </c>
      <c r="H5702" t="s">
        <v>8951</v>
      </c>
      <c r="I5702" s="130">
        <v>10</v>
      </c>
      <c r="J5702" t="s">
        <v>7326</v>
      </c>
      <c r="K5702" t="s">
        <v>95</v>
      </c>
      <c r="L5702" t="s">
        <v>109</v>
      </c>
      <c r="M5702" t="s">
        <v>103</v>
      </c>
      <c r="N5702" t="s">
        <v>98</v>
      </c>
      <c r="O5702" t="s">
        <v>116</v>
      </c>
    </row>
    <row r="5703" spans="1:15" x14ac:dyDescent="0.3">
      <c r="A5703" s="130">
        <v>26843</v>
      </c>
      <c r="B5703" s="130">
        <v>30</v>
      </c>
      <c r="C5703" s="130" t="s">
        <v>7327</v>
      </c>
      <c r="D5703">
        <v>45658</v>
      </c>
      <c r="E5703" s="131">
        <v>17193590</v>
      </c>
      <c r="F5703" t="s">
        <v>87</v>
      </c>
      <c r="G5703">
        <v>32947</v>
      </c>
      <c r="H5703" t="s">
        <v>8952</v>
      </c>
      <c r="I5703" s="130">
        <v>3</v>
      </c>
      <c r="J5703" t="s">
        <v>7327</v>
      </c>
      <c r="K5703" t="s">
        <v>95</v>
      </c>
      <c r="L5703" t="s">
        <v>111</v>
      </c>
      <c r="M5703" t="s">
        <v>103</v>
      </c>
      <c r="N5703" t="s">
        <v>98</v>
      </c>
      <c r="O5703" t="s">
        <v>116</v>
      </c>
    </row>
    <row r="5704" spans="1:15" x14ac:dyDescent="0.3">
      <c r="A5704" s="130">
        <v>26844</v>
      </c>
      <c r="B5704" s="130">
        <v>10</v>
      </c>
      <c r="C5704" s="130" t="s">
        <v>7328</v>
      </c>
      <c r="D5704">
        <v>45390</v>
      </c>
      <c r="E5704" s="130">
        <v>1707997</v>
      </c>
      <c r="F5704" t="s">
        <v>87</v>
      </c>
      <c r="G5704">
        <v>1096</v>
      </c>
      <c r="H5704" t="s">
        <v>8953</v>
      </c>
      <c r="I5704" s="130">
        <v>9</v>
      </c>
      <c r="J5704" t="s">
        <v>7328</v>
      </c>
      <c r="K5704" t="s">
        <v>95</v>
      </c>
      <c r="L5704" t="s">
        <v>1298</v>
      </c>
      <c r="M5704" t="s">
        <v>133</v>
      </c>
      <c r="N5704" t="s">
        <v>98</v>
      </c>
      <c r="O5704" t="s">
        <v>244</v>
      </c>
    </row>
    <row r="5705" spans="1:15" x14ac:dyDescent="0.3">
      <c r="A5705" s="130">
        <v>26845</v>
      </c>
      <c r="B5705" s="130">
        <v>18</v>
      </c>
      <c r="C5705" s="130" t="s">
        <v>7329</v>
      </c>
      <c r="D5705">
        <v>44934</v>
      </c>
      <c r="E5705" s="130">
        <v>43649038</v>
      </c>
      <c r="F5705" t="s">
        <v>87</v>
      </c>
      <c r="G5705">
        <v>32947</v>
      </c>
      <c r="H5705" t="s">
        <v>8951</v>
      </c>
      <c r="I5705" s="131">
        <v>37</v>
      </c>
      <c r="J5705" t="s">
        <v>7329</v>
      </c>
      <c r="K5705" t="s">
        <v>108</v>
      </c>
      <c r="L5705" t="s">
        <v>138</v>
      </c>
      <c r="M5705" t="s">
        <v>112</v>
      </c>
      <c r="N5705" t="s">
        <v>150</v>
      </c>
      <c r="O5705" t="s">
        <v>116</v>
      </c>
    </row>
    <row r="5706" spans="1:15" x14ac:dyDescent="0.3">
      <c r="A5706" s="130">
        <v>26846</v>
      </c>
      <c r="B5706" s="130">
        <v>28</v>
      </c>
      <c r="C5706" s="130" t="s">
        <v>7330</v>
      </c>
      <c r="D5706">
        <v>45682</v>
      </c>
      <c r="E5706" s="130">
        <v>37264837</v>
      </c>
      <c r="F5706" t="s">
        <v>87</v>
      </c>
      <c r="G5706">
        <v>1096</v>
      </c>
      <c r="H5706" t="s">
        <v>8952</v>
      </c>
      <c r="I5706" s="131">
        <v>37</v>
      </c>
      <c r="J5706" t="s">
        <v>7330</v>
      </c>
      <c r="K5706" t="s">
        <v>95</v>
      </c>
      <c r="L5706" t="s">
        <v>138</v>
      </c>
      <c r="M5706" t="s">
        <v>130</v>
      </c>
      <c r="N5706" t="s">
        <v>150</v>
      </c>
      <c r="O5706" t="s">
        <v>116</v>
      </c>
    </row>
    <row r="5707" spans="1:15" x14ac:dyDescent="0.3">
      <c r="A5707" s="130">
        <v>26847</v>
      </c>
      <c r="B5707" s="130" t="s">
        <v>222</v>
      </c>
      <c r="C5707" s="130" t="s">
        <v>7331</v>
      </c>
      <c r="D5707">
        <v>45725</v>
      </c>
      <c r="E5707" s="131">
        <v>17217001</v>
      </c>
      <c r="F5707" t="s">
        <v>87</v>
      </c>
      <c r="G5707">
        <v>32947</v>
      </c>
      <c r="H5707" t="s">
        <v>8953</v>
      </c>
      <c r="I5707" s="130">
        <v>3</v>
      </c>
      <c r="J5707" t="s">
        <v>7331</v>
      </c>
      <c r="K5707" t="s">
        <v>95</v>
      </c>
      <c r="L5707" t="s">
        <v>96</v>
      </c>
      <c r="M5707" t="s">
        <v>223</v>
      </c>
      <c r="N5707" t="s">
        <v>152</v>
      </c>
      <c r="O5707" t="s">
        <v>116</v>
      </c>
    </row>
    <row r="5708" spans="1:15" x14ac:dyDescent="0.3">
      <c r="A5708" s="130">
        <v>26848</v>
      </c>
      <c r="B5708" s="130">
        <v>28</v>
      </c>
      <c r="C5708" s="130" t="s">
        <v>7332</v>
      </c>
      <c r="D5708">
        <v>45623</v>
      </c>
      <c r="E5708" s="131">
        <v>49871227</v>
      </c>
      <c r="F5708" t="s">
        <v>87</v>
      </c>
      <c r="G5708">
        <v>32947</v>
      </c>
      <c r="H5708" t="s">
        <v>8951</v>
      </c>
      <c r="I5708" s="130">
        <v>61</v>
      </c>
      <c r="J5708" t="s">
        <v>7332</v>
      </c>
      <c r="K5708" t="s">
        <v>95</v>
      </c>
      <c r="L5708" t="s">
        <v>138</v>
      </c>
      <c r="M5708" t="s">
        <v>130</v>
      </c>
      <c r="N5708" t="s">
        <v>98</v>
      </c>
      <c r="O5708" t="s">
        <v>116</v>
      </c>
    </row>
    <row r="5709" spans="1:15" x14ac:dyDescent="0.3">
      <c r="A5709" s="130">
        <v>26850</v>
      </c>
      <c r="B5709" s="130">
        <v>10</v>
      </c>
      <c r="C5709" s="130" t="s">
        <v>7333</v>
      </c>
      <c r="D5709">
        <v>45035</v>
      </c>
      <c r="E5709" s="131">
        <v>9163248</v>
      </c>
      <c r="F5709" t="s">
        <v>87</v>
      </c>
      <c r="G5709">
        <v>1096</v>
      </c>
      <c r="H5709" t="s">
        <v>8952</v>
      </c>
      <c r="I5709" s="130">
        <v>9</v>
      </c>
      <c r="J5709" t="s">
        <v>7333</v>
      </c>
      <c r="K5709" t="s">
        <v>95</v>
      </c>
      <c r="L5709" t="s">
        <v>1298</v>
      </c>
      <c r="M5709" t="s">
        <v>133</v>
      </c>
      <c r="N5709" t="s">
        <v>98</v>
      </c>
      <c r="O5709" t="s">
        <v>116</v>
      </c>
    </row>
    <row r="5710" spans="1:15" x14ac:dyDescent="0.3">
      <c r="A5710" s="130">
        <v>26851</v>
      </c>
      <c r="B5710" s="130">
        <v>30</v>
      </c>
      <c r="C5710" s="130" t="s">
        <v>7334</v>
      </c>
      <c r="D5710">
        <v>44779</v>
      </c>
      <c r="E5710" s="130">
        <v>2385674</v>
      </c>
      <c r="F5710" t="s">
        <v>87</v>
      </c>
      <c r="G5710">
        <v>1096</v>
      </c>
      <c r="H5710" t="s">
        <v>8953</v>
      </c>
      <c r="I5710" s="130">
        <v>10</v>
      </c>
      <c r="J5710" t="s">
        <v>7334</v>
      </c>
      <c r="K5710" t="s">
        <v>108</v>
      </c>
      <c r="L5710" t="s">
        <v>111</v>
      </c>
      <c r="M5710" t="s">
        <v>103</v>
      </c>
      <c r="N5710" t="s">
        <v>98</v>
      </c>
      <c r="O5710" t="s">
        <v>116</v>
      </c>
    </row>
    <row r="5711" spans="1:15" x14ac:dyDescent="0.3">
      <c r="A5711" s="130">
        <v>26852</v>
      </c>
      <c r="B5711" s="130">
        <v>0</v>
      </c>
      <c r="C5711" s="130" t="s">
        <v>7335</v>
      </c>
      <c r="D5711">
        <v>45662</v>
      </c>
      <c r="E5711" s="130">
        <v>19675246</v>
      </c>
      <c r="F5711" t="s">
        <v>87</v>
      </c>
      <c r="G5711">
        <v>32947</v>
      </c>
      <c r="H5711" t="s">
        <v>8951</v>
      </c>
      <c r="I5711" s="130">
        <v>9</v>
      </c>
      <c r="J5711" t="s">
        <v>7335</v>
      </c>
      <c r="K5711" t="s">
        <v>108</v>
      </c>
      <c r="L5711" t="s">
        <v>1298</v>
      </c>
      <c r="M5711" t="s">
        <v>100</v>
      </c>
      <c r="N5711" t="s">
        <v>98</v>
      </c>
      <c r="O5711" t="s">
        <v>116</v>
      </c>
    </row>
    <row r="5712" spans="1:15" x14ac:dyDescent="0.3">
      <c r="A5712" s="130">
        <v>26853</v>
      </c>
      <c r="B5712" s="130">
        <v>10</v>
      </c>
      <c r="C5712" s="130" t="s">
        <v>7336</v>
      </c>
      <c r="D5712">
        <v>44952</v>
      </c>
      <c r="E5712" s="130">
        <v>33176727</v>
      </c>
      <c r="F5712" t="s">
        <v>87</v>
      </c>
      <c r="G5712">
        <v>32947</v>
      </c>
      <c r="H5712" t="s">
        <v>8952</v>
      </c>
      <c r="I5712" s="130">
        <v>9</v>
      </c>
      <c r="J5712" t="s">
        <v>7336</v>
      </c>
      <c r="K5712" t="s">
        <v>108</v>
      </c>
      <c r="L5712" t="s">
        <v>1298</v>
      </c>
      <c r="M5712" t="s">
        <v>133</v>
      </c>
      <c r="N5712" t="s">
        <v>122</v>
      </c>
      <c r="O5712" t="s">
        <v>116</v>
      </c>
    </row>
    <row r="5713" spans="1:15" x14ac:dyDescent="0.3">
      <c r="A5713" s="130">
        <v>26854</v>
      </c>
      <c r="B5713" s="130">
        <v>10</v>
      </c>
      <c r="C5713" s="130" t="s">
        <v>7337</v>
      </c>
      <c r="D5713">
        <v>45005</v>
      </c>
      <c r="E5713" s="130">
        <v>7849577</v>
      </c>
      <c r="F5713" t="s">
        <v>87</v>
      </c>
      <c r="G5713">
        <v>32947</v>
      </c>
      <c r="H5713" t="s">
        <v>8953</v>
      </c>
      <c r="I5713" s="130">
        <v>55</v>
      </c>
      <c r="J5713" t="s">
        <v>7337</v>
      </c>
      <c r="K5713" t="s">
        <v>108</v>
      </c>
      <c r="L5713" t="s">
        <v>109</v>
      </c>
      <c r="M5713" t="s">
        <v>133</v>
      </c>
      <c r="N5713" t="s">
        <v>124</v>
      </c>
      <c r="O5713" t="s">
        <v>116</v>
      </c>
    </row>
    <row r="5714" spans="1:15" x14ac:dyDescent="0.3">
      <c r="A5714" s="130">
        <v>26855</v>
      </c>
      <c r="B5714" s="130">
        <v>30</v>
      </c>
      <c r="C5714" s="130" t="s">
        <v>7338</v>
      </c>
      <c r="D5714">
        <v>45746</v>
      </c>
      <c r="E5714" s="131">
        <v>17193590</v>
      </c>
      <c r="F5714" t="s">
        <v>87</v>
      </c>
      <c r="G5714">
        <v>32947</v>
      </c>
      <c r="H5714" t="s">
        <v>8951</v>
      </c>
      <c r="I5714" s="131">
        <v>3</v>
      </c>
      <c r="J5714" t="s">
        <v>7338</v>
      </c>
      <c r="K5714" t="s">
        <v>95</v>
      </c>
      <c r="L5714" t="s">
        <v>111</v>
      </c>
      <c r="M5714" t="s">
        <v>103</v>
      </c>
      <c r="N5714" t="s">
        <v>98</v>
      </c>
      <c r="O5714" t="s">
        <v>116</v>
      </c>
    </row>
    <row r="5715" spans="1:15" x14ac:dyDescent="0.3">
      <c r="A5715" s="130">
        <v>26856</v>
      </c>
      <c r="B5715" s="130">
        <v>60</v>
      </c>
      <c r="C5715" s="130" t="s">
        <v>7339</v>
      </c>
      <c r="D5715">
        <v>44593</v>
      </c>
      <c r="E5715" s="130">
        <v>3176142</v>
      </c>
      <c r="F5715" t="s">
        <v>87</v>
      </c>
      <c r="G5715">
        <v>1096</v>
      </c>
      <c r="H5715" t="s">
        <v>8952</v>
      </c>
      <c r="I5715" s="130">
        <v>9</v>
      </c>
      <c r="J5715" t="s">
        <v>7339</v>
      </c>
      <c r="K5715" t="s">
        <v>95</v>
      </c>
      <c r="L5715" t="s">
        <v>163</v>
      </c>
      <c r="M5715" t="s">
        <v>97</v>
      </c>
      <c r="N5715" t="s">
        <v>114</v>
      </c>
      <c r="O5715" t="s">
        <v>116</v>
      </c>
    </row>
    <row r="5716" spans="1:15" x14ac:dyDescent="0.3">
      <c r="A5716" s="130">
        <v>26857</v>
      </c>
      <c r="B5716" s="130">
        <v>21</v>
      </c>
      <c r="C5716" s="130" t="s">
        <v>7340</v>
      </c>
      <c r="D5716">
        <v>45632</v>
      </c>
      <c r="E5716" s="130">
        <v>2351144</v>
      </c>
      <c r="F5716" t="s">
        <v>87</v>
      </c>
      <c r="G5716">
        <v>32947</v>
      </c>
      <c r="H5716" t="s">
        <v>8953</v>
      </c>
      <c r="I5716" s="131">
        <v>3</v>
      </c>
      <c r="J5716" t="s">
        <v>7340</v>
      </c>
      <c r="K5716" t="s">
        <v>108</v>
      </c>
      <c r="L5716" t="s">
        <v>1293</v>
      </c>
      <c r="M5716" t="s">
        <v>137</v>
      </c>
      <c r="N5716" t="s">
        <v>122</v>
      </c>
      <c r="O5716" t="s">
        <v>116</v>
      </c>
    </row>
    <row r="5717" spans="1:15" x14ac:dyDescent="0.3">
      <c r="A5717" s="130">
        <v>26858</v>
      </c>
      <c r="B5717" s="130">
        <v>90</v>
      </c>
      <c r="C5717" s="130" t="s">
        <v>7341</v>
      </c>
      <c r="D5717">
        <v>45840</v>
      </c>
      <c r="E5717" s="131">
        <v>655209</v>
      </c>
      <c r="F5717" t="s">
        <v>87</v>
      </c>
      <c r="G5717">
        <v>32947</v>
      </c>
      <c r="H5717" t="s">
        <v>8951</v>
      </c>
      <c r="I5717" s="130">
        <v>9</v>
      </c>
      <c r="J5717" t="s">
        <v>7341</v>
      </c>
      <c r="K5717" t="s">
        <v>95</v>
      </c>
      <c r="L5717" t="s">
        <v>1298</v>
      </c>
      <c r="M5717" t="s">
        <v>170</v>
      </c>
      <c r="N5717" t="s">
        <v>118</v>
      </c>
      <c r="O5717" t="s">
        <v>116</v>
      </c>
    </row>
    <row r="5718" spans="1:15" x14ac:dyDescent="0.3">
      <c r="A5718" s="130">
        <v>26859</v>
      </c>
      <c r="B5718" s="130">
        <v>0</v>
      </c>
      <c r="C5718" s="130" t="s">
        <v>7342</v>
      </c>
      <c r="D5718">
        <v>44718</v>
      </c>
      <c r="E5718" s="131">
        <v>12255352</v>
      </c>
      <c r="F5718" t="s">
        <v>87</v>
      </c>
      <c r="G5718">
        <v>32947</v>
      </c>
      <c r="H5718" t="s">
        <v>8952</v>
      </c>
      <c r="I5718" s="131">
        <v>3</v>
      </c>
      <c r="J5718" t="s">
        <v>7342</v>
      </c>
      <c r="K5718" t="s">
        <v>108</v>
      </c>
      <c r="L5718" t="s">
        <v>109</v>
      </c>
      <c r="M5718" t="s">
        <v>100</v>
      </c>
      <c r="N5718" t="s">
        <v>124</v>
      </c>
      <c r="O5718" t="s">
        <v>116</v>
      </c>
    </row>
    <row r="5719" spans="1:15" x14ac:dyDescent="0.3">
      <c r="A5719" s="130">
        <v>26860</v>
      </c>
      <c r="B5719" s="130">
        <v>-1</v>
      </c>
      <c r="C5719" s="130" t="s">
        <v>7343</v>
      </c>
      <c r="D5719">
        <v>44720</v>
      </c>
      <c r="E5719" s="130">
        <v>12255352</v>
      </c>
      <c r="F5719" t="s">
        <v>87</v>
      </c>
      <c r="G5719">
        <v>32947</v>
      </c>
      <c r="H5719" t="s">
        <v>8953</v>
      </c>
      <c r="I5719" s="130">
        <v>3</v>
      </c>
      <c r="J5719" t="s">
        <v>7343</v>
      </c>
      <c r="K5719" t="s">
        <v>108</v>
      </c>
      <c r="L5719" t="s">
        <v>109</v>
      </c>
      <c r="M5719" t="s">
        <v>100</v>
      </c>
      <c r="N5719" t="s">
        <v>124</v>
      </c>
      <c r="O5719" t="s">
        <v>116</v>
      </c>
    </row>
    <row r="5720" spans="1:15" x14ac:dyDescent="0.3">
      <c r="A5720" s="130">
        <v>26861</v>
      </c>
      <c r="B5720" s="130">
        <v>18</v>
      </c>
      <c r="C5720" s="130" t="s">
        <v>7344</v>
      </c>
      <c r="D5720">
        <v>45771</v>
      </c>
      <c r="E5720" s="130">
        <v>23571419</v>
      </c>
      <c r="F5720" t="s">
        <v>87</v>
      </c>
      <c r="G5720">
        <v>1096</v>
      </c>
      <c r="H5720" t="s">
        <v>8951</v>
      </c>
      <c r="I5720" s="130">
        <v>10</v>
      </c>
      <c r="J5720" t="s">
        <v>7344</v>
      </c>
      <c r="K5720" t="s">
        <v>108</v>
      </c>
      <c r="L5720" t="s">
        <v>127</v>
      </c>
      <c r="M5720" t="s">
        <v>112</v>
      </c>
      <c r="O5720" t="s">
        <v>116</v>
      </c>
    </row>
    <row r="5721" spans="1:15" x14ac:dyDescent="0.3">
      <c r="A5721" s="130">
        <v>26862</v>
      </c>
      <c r="B5721" s="130">
        <v>30</v>
      </c>
      <c r="C5721" s="130" t="s">
        <v>7345</v>
      </c>
      <c r="D5721">
        <v>41815</v>
      </c>
      <c r="E5721" s="131">
        <v>2905110</v>
      </c>
      <c r="F5721" t="s">
        <v>87</v>
      </c>
      <c r="G5721">
        <v>1096</v>
      </c>
      <c r="H5721" t="s">
        <v>8952</v>
      </c>
      <c r="I5721" s="131">
        <v>37</v>
      </c>
      <c r="J5721" t="s">
        <v>7345</v>
      </c>
      <c r="K5721" t="s">
        <v>108</v>
      </c>
      <c r="L5721" t="s">
        <v>120</v>
      </c>
      <c r="M5721" t="s">
        <v>103</v>
      </c>
      <c r="N5721" t="s">
        <v>216</v>
      </c>
      <c r="O5721" t="s">
        <v>116</v>
      </c>
    </row>
    <row r="5722" spans="1:15" x14ac:dyDescent="0.3">
      <c r="A5722" s="130">
        <v>26863</v>
      </c>
      <c r="B5722" s="130">
        <v>30</v>
      </c>
      <c r="C5722" s="130" t="s">
        <v>7346</v>
      </c>
      <c r="D5722">
        <v>45853</v>
      </c>
      <c r="E5722" s="130">
        <v>7522191</v>
      </c>
      <c r="F5722" t="s">
        <v>87</v>
      </c>
      <c r="G5722">
        <v>32947</v>
      </c>
      <c r="H5722" t="s">
        <v>8953</v>
      </c>
      <c r="I5722" s="130">
        <v>38</v>
      </c>
      <c r="J5722" t="s">
        <v>7346</v>
      </c>
      <c r="K5722" t="s">
        <v>95</v>
      </c>
      <c r="L5722" t="s">
        <v>126</v>
      </c>
      <c r="M5722" t="s">
        <v>103</v>
      </c>
      <c r="N5722" t="s">
        <v>114</v>
      </c>
      <c r="O5722" t="s">
        <v>116</v>
      </c>
    </row>
    <row r="5723" spans="1:15" x14ac:dyDescent="0.3">
      <c r="A5723" s="130">
        <v>26864</v>
      </c>
      <c r="B5723" s="130">
        <v>15</v>
      </c>
      <c r="C5723" s="130" t="s">
        <v>7347</v>
      </c>
      <c r="D5723">
        <v>45858</v>
      </c>
      <c r="E5723" s="130">
        <v>30017321</v>
      </c>
      <c r="F5723" t="s">
        <v>87</v>
      </c>
      <c r="G5723">
        <v>32947</v>
      </c>
      <c r="H5723" t="s">
        <v>8951</v>
      </c>
      <c r="I5723" s="131">
        <v>18</v>
      </c>
      <c r="J5723" t="s">
        <v>7347</v>
      </c>
      <c r="K5723" t="s">
        <v>108</v>
      </c>
      <c r="L5723" t="s">
        <v>1293</v>
      </c>
      <c r="M5723" t="s">
        <v>145</v>
      </c>
      <c r="N5723" t="s">
        <v>98</v>
      </c>
      <c r="O5723" t="s">
        <v>116</v>
      </c>
    </row>
    <row r="5724" spans="1:15" x14ac:dyDescent="0.3">
      <c r="A5724" s="130">
        <v>26865</v>
      </c>
      <c r="B5724" s="130">
        <v>30</v>
      </c>
      <c r="C5724" s="130" t="s">
        <v>7348</v>
      </c>
      <c r="D5724">
        <v>45679</v>
      </c>
      <c r="E5724" s="130">
        <v>3353341</v>
      </c>
      <c r="F5724" t="s">
        <v>87</v>
      </c>
      <c r="G5724">
        <v>1096</v>
      </c>
      <c r="H5724" t="s">
        <v>8952</v>
      </c>
      <c r="I5724" s="130">
        <v>3</v>
      </c>
      <c r="J5724" t="s">
        <v>7348</v>
      </c>
      <c r="K5724" t="s">
        <v>95</v>
      </c>
      <c r="L5724" t="s">
        <v>193</v>
      </c>
      <c r="M5724" t="s">
        <v>103</v>
      </c>
      <c r="N5724" t="s">
        <v>118</v>
      </c>
      <c r="O5724" t="s">
        <v>116</v>
      </c>
    </row>
    <row r="5725" spans="1:15" x14ac:dyDescent="0.3">
      <c r="A5725" s="130">
        <v>26866</v>
      </c>
      <c r="B5725" s="130">
        <v>30</v>
      </c>
      <c r="C5725" s="130" t="s">
        <v>7349</v>
      </c>
      <c r="D5725">
        <v>45907</v>
      </c>
      <c r="E5725" s="130">
        <v>14046062</v>
      </c>
      <c r="F5725" t="s">
        <v>87</v>
      </c>
      <c r="G5725">
        <v>32947</v>
      </c>
      <c r="H5725" t="s">
        <v>8953</v>
      </c>
      <c r="I5725" s="130">
        <v>38</v>
      </c>
      <c r="J5725" t="s">
        <v>7349</v>
      </c>
      <c r="K5725" t="s">
        <v>108</v>
      </c>
      <c r="L5725" t="s">
        <v>126</v>
      </c>
      <c r="M5725" t="s">
        <v>103</v>
      </c>
      <c r="N5725" t="s">
        <v>98</v>
      </c>
      <c r="O5725" t="s">
        <v>116</v>
      </c>
    </row>
    <row r="5726" spans="1:15" x14ac:dyDescent="0.3">
      <c r="A5726" s="130">
        <v>26867</v>
      </c>
      <c r="B5726" s="130">
        <v>7</v>
      </c>
      <c r="C5726" s="130" t="s">
        <v>7350</v>
      </c>
      <c r="D5726">
        <v>44772</v>
      </c>
      <c r="E5726" s="130">
        <v>30418521</v>
      </c>
      <c r="F5726" t="s">
        <v>87</v>
      </c>
      <c r="G5726">
        <v>32947</v>
      </c>
      <c r="H5726" t="s">
        <v>8951</v>
      </c>
      <c r="I5726" s="130">
        <v>19</v>
      </c>
      <c r="J5726" t="s">
        <v>7350</v>
      </c>
      <c r="K5726" t="s">
        <v>108</v>
      </c>
      <c r="L5726" t="s">
        <v>252</v>
      </c>
      <c r="M5726" t="s">
        <v>197</v>
      </c>
      <c r="N5726" t="s">
        <v>124</v>
      </c>
      <c r="O5726" t="s">
        <v>116</v>
      </c>
    </row>
    <row r="5727" spans="1:15" x14ac:dyDescent="0.3">
      <c r="A5727" s="130">
        <v>26869</v>
      </c>
      <c r="B5727" s="130">
        <v>0</v>
      </c>
      <c r="C5727" s="130" t="s">
        <v>7351</v>
      </c>
      <c r="D5727">
        <v>44152</v>
      </c>
      <c r="E5727" s="130">
        <v>12255352</v>
      </c>
      <c r="F5727" t="s">
        <v>87</v>
      </c>
      <c r="G5727">
        <v>32947</v>
      </c>
      <c r="H5727" t="s">
        <v>8952</v>
      </c>
      <c r="I5727" s="131">
        <v>3</v>
      </c>
      <c r="J5727" t="s">
        <v>7351</v>
      </c>
      <c r="K5727" t="s">
        <v>108</v>
      </c>
      <c r="L5727" t="s">
        <v>109</v>
      </c>
      <c r="M5727" t="s">
        <v>100</v>
      </c>
      <c r="N5727" t="s">
        <v>124</v>
      </c>
      <c r="O5727" t="s">
        <v>116</v>
      </c>
    </row>
    <row r="5728" spans="1:15" x14ac:dyDescent="0.3">
      <c r="A5728" s="130">
        <v>26870</v>
      </c>
      <c r="B5728" s="130">
        <v>30</v>
      </c>
      <c r="C5728" s="130" t="s">
        <v>7352</v>
      </c>
      <c r="D5728">
        <v>45999</v>
      </c>
      <c r="E5728" s="131">
        <v>38461322</v>
      </c>
      <c r="F5728" t="s">
        <v>87</v>
      </c>
      <c r="G5728">
        <v>32947</v>
      </c>
      <c r="H5728" t="s">
        <v>8953</v>
      </c>
      <c r="I5728" s="131">
        <v>38</v>
      </c>
      <c r="J5728" t="s">
        <v>7352</v>
      </c>
      <c r="K5728" t="s">
        <v>108</v>
      </c>
      <c r="L5728" t="s">
        <v>126</v>
      </c>
      <c r="M5728" t="s">
        <v>103</v>
      </c>
      <c r="N5728" t="s">
        <v>101</v>
      </c>
      <c r="O5728" t="s">
        <v>116</v>
      </c>
    </row>
    <row r="5729" spans="1:15" x14ac:dyDescent="0.3">
      <c r="A5729" s="130">
        <v>26871</v>
      </c>
      <c r="B5729" s="130">
        <v>60</v>
      </c>
      <c r="C5729" s="130" t="s">
        <v>7353</v>
      </c>
      <c r="D5729">
        <v>45976</v>
      </c>
      <c r="E5729" s="130">
        <v>92660604</v>
      </c>
      <c r="F5729" t="s">
        <v>87</v>
      </c>
      <c r="G5729">
        <v>1096</v>
      </c>
      <c r="H5729" t="s">
        <v>8951</v>
      </c>
      <c r="I5729" s="130">
        <v>24</v>
      </c>
      <c r="J5729" t="s">
        <v>7353</v>
      </c>
      <c r="K5729" t="s">
        <v>95</v>
      </c>
      <c r="L5729" t="s">
        <v>1252</v>
      </c>
      <c r="M5729" t="s">
        <v>97</v>
      </c>
      <c r="N5729" t="s">
        <v>114</v>
      </c>
      <c r="O5729" t="s">
        <v>116</v>
      </c>
    </row>
    <row r="5730" spans="1:15" x14ac:dyDescent="0.3">
      <c r="A5730" s="130">
        <v>26872</v>
      </c>
      <c r="B5730" s="130">
        <v>28</v>
      </c>
      <c r="C5730" s="130" t="s">
        <v>7354</v>
      </c>
      <c r="D5730">
        <v>45660</v>
      </c>
      <c r="E5730" s="130">
        <v>50620917</v>
      </c>
      <c r="F5730" t="s">
        <v>87</v>
      </c>
      <c r="G5730">
        <v>32947</v>
      </c>
      <c r="H5730" t="s">
        <v>8952</v>
      </c>
      <c r="I5730" s="130">
        <v>37</v>
      </c>
      <c r="J5730" t="s">
        <v>7354</v>
      </c>
      <c r="K5730" t="s">
        <v>95</v>
      </c>
      <c r="L5730" t="s">
        <v>138</v>
      </c>
      <c r="M5730" t="s">
        <v>130</v>
      </c>
      <c r="N5730" t="s">
        <v>150</v>
      </c>
      <c r="O5730" t="s">
        <v>116</v>
      </c>
    </row>
    <row r="5731" spans="1:15" x14ac:dyDescent="0.3">
      <c r="A5731" s="130">
        <v>26873</v>
      </c>
      <c r="B5731" s="130">
        <v>30</v>
      </c>
      <c r="C5731" s="130" t="s">
        <v>7355</v>
      </c>
      <c r="D5731">
        <v>44148</v>
      </c>
      <c r="E5731" s="131">
        <v>61584223</v>
      </c>
      <c r="F5731" t="s">
        <v>87</v>
      </c>
      <c r="G5731">
        <v>1096</v>
      </c>
      <c r="H5731" t="s">
        <v>8953</v>
      </c>
      <c r="I5731" s="130">
        <v>3</v>
      </c>
      <c r="J5731" t="s">
        <v>7355</v>
      </c>
      <c r="K5731" t="s">
        <v>95</v>
      </c>
      <c r="L5731" t="s">
        <v>109</v>
      </c>
      <c r="M5731" t="s">
        <v>103</v>
      </c>
      <c r="N5731" t="s">
        <v>98</v>
      </c>
      <c r="O5731" t="s">
        <v>116</v>
      </c>
    </row>
    <row r="5732" spans="1:15" x14ac:dyDescent="0.3">
      <c r="A5732" s="130">
        <v>26874</v>
      </c>
      <c r="B5732" s="130" t="s">
        <v>1366</v>
      </c>
      <c r="C5732" s="130" t="s">
        <v>7356</v>
      </c>
      <c r="D5732">
        <v>46046</v>
      </c>
      <c r="E5732" s="131">
        <v>5793399</v>
      </c>
      <c r="F5732" t="s">
        <v>87</v>
      </c>
      <c r="G5732">
        <v>32947</v>
      </c>
      <c r="H5732" t="s">
        <v>8951</v>
      </c>
      <c r="I5732" s="130">
        <v>3</v>
      </c>
      <c r="J5732" t="s">
        <v>7356</v>
      </c>
      <c r="K5732" t="s">
        <v>108</v>
      </c>
      <c r="L5732" t="s">
        <v>1293</v>
      </c>
      <c r="M5732" t="s">
        <v>1367</v>
      </c>
      <c r="N5732" t="s">
        <v>98</v>
      </c>
      <c r="O5732" t="s">
        <v>116</v>
      </c>
    </row>
    <row r="5733" spans="1:15" x14ac:dyDescent="0.3">
      <c r="A5733" s="130">
        <v>26875</v>
      </c>
      <c r="B5733" s="130">
        <v>18</v>
      </c>
      <c r="C5733" s="130" t="s">
        <v>7357</v>
      </c>
      <c r="D5733">
        <v>45784</v>
      </c>
      <c r="E5733" s="130">
        <v>36208564</v>
      </c>
      <c r="F5733" t="s">
        <v>87</v>
      </c>
      <c r="G5733">
        <v>1096</v>
      </c>
      <c r="H5733" t="s">
        <v>8952</v>
      </c>
      <c r="I5733" s="131">
        <v>10</v>
      </c>
      <c r="J5733" t="s">
        <v>7357</v>
      </c>
      <c r="K5733" t="s">
        <v>108</v>
      </c>
      <c r="L5733" t="s">
        <v>127</v>
      </c>
      <c r="M5733" t="s">
        <v>112</v>
      </c>
      <c r="N5733" t="s">
        <v>118</v>
      </c>
      <c r="O5733" t="s">
        <v>116</v>
      </c>
    </row>
    <row r="5734" spans="1:15" x14ac:dyDescent="0.3">
      <c r="A5734" s="130">
        <v>26876</v>
      </c>
      <c r="B5734" s="130">
        <v>35</v>
      </c>
      <c r="C5734" s="130" t="s">
        <v>7358</v>
      </c>
      <c r="D5734">
        <v>45911</v>
      </c>
      <c r="E5734" s="130">
        <v>36808430</v>
      </c>
      <c r="F5734" t="s">
        <v>87</v>
      </c>
      <c r="G5734">
        <v>77</v>
      </c>
      <c r="H5734" t="s">
        <v>8953</v>
      </c>
      <c r="I5734" s="130">
        <v>3</v>
      </c>
      <c r="J5734" t="s">
        <v>7358</v>
      </c>
      <c r="K5734" t="s">
        <v>95</v>
      </c>
      <c r="L5734" t="s">
        <v>1465</v>
      </c>
      <c r="M5734" t="s">
        <v>161</v>
      </c>
      <c r="N5734" t="s">
        <v>98</v>
      </c>
      <c r="O5734" t="s">
        <v>116</v>
      </c>
    </row>
    <row r="5735" spans="1:15" x14ac:dyDescent="0.3">
      <c r="A5735" s="130">
        <v>26877</v>
      </c>
      <c r="B5735" s="130">
        <v>30</v>
      </c>
      <c r="C5735" s="130" t="s">
        <v>7359</v>
      </c>
      <c r="D5735">
        <v>45651</v>
      </c>
      <c r="E5735" s="130">
        <v>22603888</v>
      </c>
      <c r="F5735" t="s">
        <v>87</v>
      </c>
      <c r="G5735">
        <v>1096</v>
      </c>
      <c r="H5735" t="s">
        <v>8951</v>
      </c>
      <c r="I5735" s="131">
        <v>19</v>
      </c>
      <c r="J5735" t="s">
        <v>7359</v>
      </c>
      <c r="K5735" t="s">
        <v>108</v>
      </c>
      <c r="L5735" t="s">
        <v>252</v>
      </c>
      <c r="M5735" t="s">
        <v>103</v>
      </c>
      <c r="N5735" t="s">
        <v>98</v>
      </c>
      <c r="O5735" t="s">
        <v>116</v>
      </c>
    </row>
    <row r="5736" spans="1:15" x14ac:dyDescent="0.3">
      <c r="A5736" s="130">
        <v>26878</v>
      </c>
      <c r="B5736" s="130">
        <v>30</v>
      </c>
      <c r="C5736" s="130" t="s">
        <v>7360</v>
      </c>
      <c r="D5736">
        <v>46050</v>
      </c>
      <c r="E5736" s="130">
        <v>5353545</v>
      </c>
      <c r="F5736" t="s">
        <v>87</v>
      </c>
      <c r="G5736">
        <v>32947</v>
      </c>
      <c r="H5736" t="s">
        <v>8952</v>
      </c>
      <c r="I5736" s="131">
        <v>19</v>
      </c>
      <c r="J5736" t="s">
        <v>7360</v>
      </c>
      <c r="K5736" t="s">
        <v>95</v>
      </c>
      <c r="L5736" t="s">
        <v>252</v>
      </c>
      <c r="M5736" t="s">
        <v>103</v>
      </c>
      <c r="N5736" t="s">
        <v>98</v>
      </c>
      <c r="O5736" t="s">
        <v>116</v>
      </c>
    </row>
    <row r="5737" spans="1:15" x14ac:dyDescent="0.3">
      <c r="A5737" s="130">
        <v>26879</v>
      </c>
      <c r="B5737" s="130">
        <v>30</v>
      </c>
      <c r="C5737" s="130" t="s">
        <v>7361</v>
      </c>
      <c r="D5737">
        <v>46123</v>
      </c>
      <c r="E5737" s="130">
        <v>3353341</v>
      </c>
      <c r="F5737" t="s">
        <v>87</v>
      </c>
      <c r="G5737">
        <v>32947</v>
      </c>
      <c r="H5737" t="s">
        <v>8953</v>
      </c>
      <c r="I5737" s="130">
        <v>3</v>
      </c>
      <c r="J5737" t="s">
        <v>7361</v>
      </c>
      <c r="K5737" t="s">
        <v>95</v>
      </c>
      <c r="L5737" t="s">
        <v>193</v>
      </c>
      <c r="M5737" t="s">
        <v>103</v>
      </c>
      <c r="N5737" t="s">
        <v>118</v>
      </c>
      <c r="O5737" t="s">
        <v>116</v>
      </c>
    </row>
    <row r="5738" spans="1:15" x14ac:dyDescent="0.3">
      <c r="A5738" s="130">
        <v>26880</v>
      </c>
      <c r="B5738" s="130">
        <v>30</v>
      </c>
      <c r="C5738" s="130" t="s">
        <v>7362</v>
      </c>
      <c r="D5738">
        <v>46091</v>
      </c>
      <c r="E5738" s="130">
        <v>8343492</v>
      </c>
      <c r="F5738" t="s">
        <v>87</v>
      </c>
      <c r="G5738">
        <v>1096</v>
      </c>
      <c r="H5738" t="s">
        <v>8951</v>
      </c>
      <c r="I5738" s="131">
        <v>18</v>
      </c>
      <c r="J5738" t="s">
        <v>7362</v>
      </c>
      <c r="K5738" t="s">
        <v>95</v>
      </c>
      <c r="L5738" t="s">
        <v>1465</v>
      </c>
      <c r="M5738" t="s">
        <v>103</v>
      </c>
      <c r="N5738" t="s">
        <v>98</v>
      </c>
      <c r="O5738" t="s">
        <v>116</v>
      </c>
    </row>
    <row r="5739" spans="1:15" x14ac:dyDescent="0.3">
      <c r="A5739" s="130">
        <v>26881</v>
      </c>
      <c r="B5739" s="130">
        <v>21</v>
      </c>
      <c r="C5739" s="130" t="s">
        <v>7363</v>
      </c>
      <c r="D5739">
        <v>46128</v>
      </c>
      <c r="E5739" s="130">
        <v>22140270</v>
      </c>
      <c r="F5739" t="s">
        <v>87</v>
      </c>
      <c r="G5739">
        <v>1096</v>
      </c>
      <c r="H5739" t="s">
        <v>8952</v>
      </c>
      <c r="I5739" s="131">
        <v>43</v>
      </c>
      <c r="J5739" t="s">
        <v>7363</v>
      </c>
      <c r="K5739" t="s">
        <v>108</v>
      </c>
      <c r="L5739" t="s">
        <v>111</v>
      </c>
      <c r="M5739" t="s">
        <v>137</v>
      </c>
      <c r="N5739" t="s">
        <v>114</v>
      </c>
      <c r="O5739" t="s">
        <v>116</v>
      </c>
    </row>
    <row r="5740" spans="1:15" x14ac:dyDescent="0.3">
      <c r="A5740" s="130">
        <v>26882</v>
      </c>
      <c r="B5740" s="130">
        <v>-1</v>
      </c>
      <c r="C5740" s="130" t="s">
        <v>7364</v>
      </c>
      <c r="D5740">
        <v>45793</v>
      </c>
      <c r="E5740" s="130">
        <v>47353441</v>
      </c>
      <c r="F5740" t="s">
        <v>87</v>
      </c>
      <c r="G5740">
        <v>32947</v>
      </c>
      <c r="H5740" t="s">
        <v>8953</v>
      </c>
      <c r="I5740" s="131">
        <v>26</v>
      </c>
      <c r="J5740" t="s">
        <v>7364</v>
      </c>
      <c r="K5740" t="s">
        <v>108</v>
      </c>
      <c r="L5740" t="s">
        <v>151</v>
      </c>
      <c r="M5740" t="s">
        <v>174</v>
      </c>
      <c r="N5740" t="s">
        <v>101</v>
      </c>
      <c r="O5740" t="s">
        <v>116</v>
      </c>
    </row>
    <row r="5741" spans="1:15" x14ac:dyDescent="0.3">
      <c r="A5741" s="130">
        <v>26883</v>
      </c>
      <c r="B5741" s="130">
        <v>30</v>
      </c>
      <c r="C5741" s="130" t="s">
        <v>7365</v>
      </c>
      <c r="D5741">
        <v>43468</v>
      </c>
      <c r="E5741" s="131">
        <v>4311533</v>
      </c>
      <c r="F5741" t="s">
        <v>87</v>
      </c>
      <c r="G5741">
        <v>1096</v>
      </c>
      <c r="H5741" t="s">
        <v>8951</v>
      </c>
      <c r="I5741" s="130">
        <v>61</v>
      </c>
      <c r="J5741" t="s">
        <v>7365</v>
      </c>
      <c r="K5741" t="s">
        <v>95</v>
      </c>
      <c r="L5741" t="s">
        <v>105</v>
      </c>
      <c r="M5741" t="s">
        <v>103</v>
      </c>
      <c r="N5741" t="s">
        <v>101</v>
      </c>
      <c r="O5741" t="s">
        <v>116</v>
      </c>
    </row>
    <row r="5742" spans="1:15" x14ac:dyDescent="0.3">
      <c r="A5742" s="130">
        <v>26886</v>
      </c>
      <c r="B5742" s="130">
        <v>30</v>
      </c>
      <c r="C5742" s="130" t="s">
        <v>7366</v>
      </c>
      <c r="D5742">
        <v>46138</v>
      </c>
      <c r="E5742" s="130">
        <v>49457168</v>
      </c>
      <c r="F5742" t="s">
        <v>87</v>
      </c>
      <c r="G5742">
        <v>1096</v>
      </c>
      <c r="H5742" t="s">
        <v>8952</v>
      </c>
      <c r="I5742" s="130">
        <v>61</v>
      </c>
      <c r="J5742" t="s">
        <v>7366</v>
      </c>
      <c r="K5742" t="s">
        <v>95</v>
      </c>
      <c r="L5742" t="s">
        <v>105</v>
      </c>
      <c r="M5742" t="s">
        <v>103</v>
      </c>
      <c r="N5742" t="s">
        <v>114</v>
      </c>
      <c r="O5742" t="s">
        <v>116</v>
      </c>
    </row>
    <row r="5743" spans="1:15" x14ac:dyDescent="0.3">
      <c r="A5743" s="130">
        <v>26887</v>
      </c>
      <c r="B5743" s="130">
        <v>30</v>
      </c>
      <c r="C5743" s="130" t="s">
        <v>7367</v>
      </c>
      <c r="D5743">
        <v>46204</v>
      </c>
      <c r="E5743" s="130">
        <v>17162983</v>
      </c>
      <c r="F5743" t="s">
        <v>87</v>
      </c>
      <c r="G5743">
        <v>32947</v>
      </c>
      <c r="H5743" t="s">
        <v>8953</v>
      </c>
      <c r="I5743" s="131">
        <v>3</v>
      </c>
      <c r="J5743" t="s">
        <v>7367</v>
      </c>
      <c r="K5743" t="s">
        <v>95</v>
      </c>
      <c r="L5743" t="s">
        <v>105</v>
      </c>
      <c r="M5743" t="s">
        <v>103</v>
      </c>
      <c r="N5743" t="s">
        <v>98</v>
      </c>
      <c r="O5743" t="s">
        <v>116</v>
      </c>
    </row>
    <row r="5744" spans="1:15" x14ac:dyDescent="0.3">
      <c r="A5744" s="130">
        <v>26888</v>
      </c>
      <c r="B5744" s="130">
        <v>10</v>
      </c>
      <c r="C5744" s="130" t="s">
        <v>7368</v>
      </c>
      <c r="D5744">
        <v>46087</v>
      </c>
      <c r="E5744" s="130">
        <v>32870995</v>
      </c>
      <c r="F5744" t="s">
        <v>87</v>
      </c>
      <c r="G5744">
        <v>1096</v>
      </c>
      <c r="H5744" t="s">
        <v>8951</v>
      </c>
      <c r="I5744" s="131">
        <v>3</v>
      </c>
      <c r="J5744" t="s">
        <v>7368</v>
      </c>
      <c r="K5744" t="s">
        <v>108</v>
      </c>
      <c r="L5744" t="s">
        <v>1293</v>
      </c>
      <c r="M5744" t="s">
        <v>133</v>
      </c>
      <c r="N5744" t="s">
        <v>98</v>
      </c>
      <c r="O5744" t="s">
        <v>116</v>
      </c>
    </row>
    <row r="5745" spans="1:15" x14ac:dyDescent="0.3">
      <c r="A5745" s="130">
        <v>26889</v>
      </c>
      <c r="B5745" s="130">
        <v>30</v>
      </c>
      <c r="C5745" s="130" t="s">
        <v>7369</v>
      </c>
      <c r="D5745">
        <v>46068</v>
      </c>
      <c r="E5745" s="131">
        <v>23921007</v>
      </c>
      <c r="F5745" t="s">
        <v>87</v>
      </c>
      <c r="G5745">
        <v>1096</v>
      </c>
      <c r="H5745" t="s">
        <v>8952</v>
      </c>
      <c r="I5745" s="130">
        <v>3</v>
      </c>
      <c r="J5745" t="s">
        <v>7369</v>
      </c>
      <c r="K5745" t="s">
        <v>95</v>
      </c>
      <c r="L5745" t="s">
        <v>1293</v>
      </c>
      <c r="M5745" t="s">
        <v>103</v>
      </c>
      <c r="N5745" t="s">
        <v>124</v>
      </c>
      <c r="O5745" t="s">
        <v>116</v>
      </c>
    </row>
    <row r="5746" spans="1:15" x14ac:dyDescent="0.3">
      <c r="A5746" s="130">
        <v>26890</v>
      </c>
      <c r="B5746" s="130">
        <v>18</v>
      </c>
      <c r="C5746" s="130" t="s">
        <v>7370</v>
      </c>
      <c r="D5746">
        <v>45074</v>
      </c>
      <c r="E5746" s="130">
        <v>36421302</v>
      </c>
      <c r="F5746" t="s">
        <v>87</v>
      </c>
      <c r="G5746">
        <v>1096</v>
      </c>
      <c r="H5746" t="s">
        <v>8953</v>
      </c>
      <c r="I5746" s="131">
        <v>3</v>
      </c>
      <c r="J5746" t="s">
        <v>7370</v>
      </c>
      <c r="K5746" t="s">
        <v>108</v>
      </c>
      <c r="L5746" t="s">
        <v>193</v>
      </c>
      <c r="M5746" t="s">
        <v>112</v>
      </c>
      <c r="O5746" t="s">
        <v>116</v>
      </c>
    </row>
    <row r="5747" spans="1:15" x14ac:dyDescent="0.3">
      <c r="A5747" s="130">
        <v>26891</v>
      </c>
      <c r="B5747" s="130">
        <v>28</v>
      </c>
      <c r="C5747" s="130" t="s">
        <v>7371</v>
      </c>
      <c r="D5747">
        <v>45886</v>
      </c>
      <c r="E5747" s="131">
        <v>36146575</v>
      </c>
      <c r="F5747" t="s">
        <v>87</v>
      </c>
      <c r="G5747">
        <v>1096</v>
      </c>
      <c r="H5747" t="s">
        <v>8951</v>
      </c>
      <c r="I5747" s="131">
        <v>37</v>
      </c>
      <c r="J5747" t="s">
        <v>7371</v>
      </c>
      <c r="K5747" t="s">
        <v>95</v>
      </c>
      <c r="L5747" t="s">
        <v>138</v>
      </c>
      <c r="M5747" t="s">
        <v>130</v>
      </c>
      <c r="N5747" t="s">
        <v>98</v>
      </c>
      <c r="O5747" t="s">
        <v>116</v>
      </c>
    </row>
    <row r="5748" spans="1:15" x14ac:dyDescent="0.3">
      <c r="A5748" s="130">
        <v>26892</v>
      </c>
      <c r="B5748" s="130">
        <v>28</v>
      </c>
      <c r="C5748" s="130" t="s">
        <v>7372</v>
      </c>
      <c r="D5748">
        <v>46261</v>
      </c>
      <c r="E5748" s="131">
        <v>36146575</v>
      </c>
      <c r="F5748" t="s">
        <v>87</v>
      </c>
      <c r="G5748">
        <v>1096</v>
      </c>
      <c r="H5748" t="s">
        <v>8952</v>
      </c>
      <c r="I5748" s="130">
        <v>37</v>
      </c>
      <c r="J5748" t="s">
        <v>7372</v>
      </c>
      <c r="K5748" t="s">
        <v>95</v>
      </c>
      <c r="L5748" t="s">
        <v>138</v>
      </c>
      <c r="M5748" t="s">
        <v>130</v>
      </c>
      <c r="N5748" t="s">
        <v>98</v>
      </c>
      <c r="O5748" t="s">
        <v>116</v>
      </c>
    </row>
    <row r="5749" spans="1:15" x14ac:dyDescent="0.3">
      <c r="A5749" s="130">
        <v>26893</v>
      </c>
      <c r="B5749" s="130">
        <v>10</v>
      </c>
      <c r="C5749" s="130" t="s">
        <v>7373</v>
      </c>
      <c r="D5749">
        <v>45866</v>
      </c>
      <c r="E5749" s="130">
        <v>5451496</v>
      </c>
      <c r="F5749" t="s">
        <v>87</v>
      </c>
      <c r="G5749">
        <v>1096</v>
      </c>
      <c r="H5749" t="s">
        <v>8953</v>
      </c>
      <c r="I5749" s="130">
        <v>3</v>
      </c>
      <c r="J5749" t="s">
        <v>7373</v>
      </c>
      <c r="K5749" t="s">
        <v>95</v>
      </c>
      <c r="L5749" t="s">
        <v>109</v>
      </c>
      <c r="M5749" t="s">
        <v>133</v>
      </c>
      <c r="N5749" t="s">
        <v>98</v>
      </c>
      <c r="O5749" t="s">
        <v>116</v>
      </c>
    </row>
    <row r="5750" spans="1:15" x14ac:dyDescent="0.3">
      <c r="A5750" s="130">
        <v>26894</v>
      </c>
      <c r="B5750" s="130">
        <v>28</v>
      </c>
      <c r="C5750" s="130" t="s">
        <v>7374</v>
      </c>
      <c r="D5750">
        <v>46279</v>
      </c>
      <c r="E5750" s="130">
        <v>36146575</v>
      </c>
      <c r="F5750" t="s">
        <v>87</v>
      </c>
      <c r="G5750">
        <v>1096</v>
      </c>
      <c r="H5750" t="s">
        <v>8951</v>
      </c>
      <c r="I5750" s="131">
        <v>37</v>
      </c>
      <c r="J5750" t="s">
        <v>7374</v>
      </c>
      <c r="K5750" t="s">
        <v>95</v>
      </c>
      <c r="L5750" t="s">
        <v>138</v>
      </c>
      <c r="M5750" t="s">
        <v>130</v>
      </c>
      <c r="N5750" t="s">
        <v>98</v>
      </c>
      <c r="O5750" t="s">
        <v>116</v>
      </c>
    </row>
    <row r="5751" spans="1:15" x14ac:dyDescent="0.3">
      <c r="A5751" s="130">
        <v>26895</v>
      </c>
      <c r="B5751" s="130">
        <v>28</v>
      </c>
      <c r="C5751" s="130" t="s">
        <v>7375</v>
      </c>
      <c r="D5751">
        <v>46283</v>
      </c>
      <c r="E5751" s="131">
        <v>36146575</v>
      </c>
      <c r="F5751" t="s">
        <v>87</v>
      </c>
      <c r="G5751">
        <v>1096</v>
      </c>
      <c r="H5751" t="s">
        <v>8952</v>
      </c>
      <c r="I5751" s="131">
        <v>37</v>
      </c>
      <c r="J5751" t="s">
        <v>7375</v>
      </c>
      <c r="K5751" t="s">
        <v>95</v>
      </c>
      <c r="L5751" t="s">
        <v>138</v>
      </c>
      <c r="M5751" t="s">
        <v>130</v>
      </c>
      <c r="N5751" t="s">
        <v>98</v>
      </c>
      <c r="O5751" t="s">
        <v>116</v>
      </c>
    </row>
    <row r="5752" spans="1:15" x14ac:dyDescent="0.3">
      <c r="A5752" s="130">
        <v>26896</v>
      </c>
      <c r="B5752" s="130">
        <v>28</v>
      </c>
      <c r="C5752" s="130" t="s">
        <v>7376</v>
      </c>
      <c r="D5752">
        <v>46282</v>
      </c>
      <c r="E5752" s="130">
        <v>36146575</v>
      </c>
      <c r="F5752" t="s">
        <v>87</v>
      </c>
      <c r="G5752">
        <v>1096</v>
      </c>
      <c r="H5752" t="s">
        <v>8953</v>
      </c>
      <c r="I5752" s="130">
        <v>37</v>
      </c>
      <c r="J5752" t="s">
        <v>7376</v>
      </c>
      <c r="K5752" t="s">
        <v>95</v>
      </c>
      <c r="L5752" t="s">
        <v>138</v>
      </c>
      <c r="M5752" t="s">
        <v>130</v>
      </c>
      <c r="N5752" t="s">
        <v>98</v>
      </c>
      <c r="O5752" t="s">
        <v>116</v>
      </c>
    </row>
    <row r="5753" spans="1:15" x14ac:dyDescent="0.3">
      <c r="A5753" s="130">
        <v>26897</v>
      </c>
      <c r="B5753" s="130">
        <v>28</v>
      </c>
      <c r="C5753" s="130" t="s">
        <v>7377</v>
      </c>
      <c r="D5753">
        <v>46284</v>
      </c>
      <c r="E5753" s="131">
        <v>36146575</v>
      </c>
      <c r="F5753" t="s">
        <v>87</v>
      </c>
      <c r="G5753">
        <v>1096</v>
      </c>
      <c r="H5753" t="s">
        <v>8951</v>
      </c>
      <c r="I5753" s="131">
        <v>37</v>
      </c>
      <c r="J5753" t="s">
        <v>7377</v>
      </c>
      <c r="K5753" t="s">
        <v>95</v>
      </c>
      <c r="L5753" t="s">
        <v>138</v>
      </c>
      <c r="M5753" t="s">
        <v>130</v>
      </c>
      <c r="N5753" t="s">
        <v>98</v>
      </c>
      <c r="O5753" t="s">
        <v>116</v>
      </c>
    </row>
    <row r="5754" spans="1:15" x14ac:dyDescent="0.3">
      <c r="A5754" s="130">
        <v>26898</v>
      </c>
      <c r="B5754" s="130">
        <v>28</v>
      </c>
      <c r="C5754" s="130" t="s">
        <v>7378</v>
      </c>
      <c r="D5754">
        <v>46259</v>
      </c>
      <c r="E5754" s="130">
        <v>36146575</v>
      </c>
      <c r="F5754" t="s">
        <v>87</v>
      </c>
      <c r="G5754">
        <v>1096</v>
      </c>
      <c r="H5754" t="s">
        <v>8952</v>
      </c>
      <c r="I5754" s="131">
        <v>37</v>
      </c>
      <c r="J5754" t="s">
        <v>7378</v>
      </c>
      <c r="K5754" t="s">
        <v>95</v>
      </c>
      <c r="L5754" t="s">
        <v>138</v>
      </c>
      <c r="M5754" t="s">
        <v>130</v>
      </c>
      <c r="N5754" t="s">
        <v>98</v>
      </c>
      <c r="O5754" t="s">
        <v>116</v>
      </c>
    </row>
    <row r="5755" spans="1:15" x14ac:dyDescent="0.3">
      <c r="A5755" s="130">
        <v>26899</v>
      </c>
      <c r="B5755" s="130">
        <v>28</v>
      </c>
      <c r="C5755" s="130" t="s">
        <v>7379</v>
      </c>
      <c r="D5755">
        <v>46267</v>
      </c>
      <c r="E5755" s="130">
        <v>36146575</v>
      </c>
      <c r="F5755" t="s">
        <v>87</v>
      </c>
      <c r="G5755">
        <v>1096</v>
      </c>
      <c r="H5755" t="s">
        <v>8953</v>
      </c>
      <c r="I5755" s="131">
        <v>37</v>
      </c>
      <c r="J5755" t="s">
        <v>7379</v>
      </c>
      <c r="K5755" t="s">
        <v>95</v>
      </c>
      <c r="L5755" t="s">
        <v>138</v>
      </c>
      <c r="M5755" t="s">
        <v>130</v>
      </c>
      <c r="N5755" t="s">
        <v>98</v>
      </c>
      <c r="O5755" t="s">
        <v>116</v>
      </c>
    </row>
    <row r="5756" spans="1:15" x14ac:dyDescent="0.3">
      <c r="A5756" s="130">
        <v>26900</v>
      </c>
      <c r="B5756" s="130">
        <v>28</v>
      </c>
      <c r="C5756" s="130" t="s">
        <v>7380</v>
      </c>
      <c r="D5756">
        <v>46276</v>
      </c>
      <c r="E5756" s="131">
        <v>36146575</v>
      </c>
      <c r="F5756" t="s">
        <v>87</v>
      </c>
      <c r="G5756">
        <v>1096</v>
      </c>
      <c r="H5756" t="s">
        <v>8951</v>
      </c>
      <c r="I5756" s="131">
        <v>37</v>
      </c>
      <c r="J5756" t="s">
        <v>7380</v>
      </c>
      <c r="K5756" t="s">
        <v>95</v>
      </c>
      <c r="L5756" t="s">
        <v>138</v>
      </c>
      <c r="M5756" t="s">
        <v>130</v>
      </c>
      <c r="N5756" t="s">
        <v>98</v>
      </c>
      <c r="O5756" t="s">
        <v>116</v>
      </c>
    </row>
    <row r="5757" spans="1:15" x14ac:dyDescent="0.3">
      <c r="A5757" s="130">
        <v>26901</v>
      </c>
      <c r="B5757" s="130">
        <v>28</v>
      </c>
      <c r="C5757" s="130" t="s">
        <v>7381</v>
      </c>
      <c r="D5757">
        <v>46275</v>
      </c>
      <c r="E5757" s="130">
        <v>36146575</v>
      </c>
      <c r="F5757" t="s">
        <v>87</v>
      </c>
      <c r="G5757">
        <v>1096</v>
      </c>
      <c r="H5757" t="s">
        <v>8952</v>
      </c>
      <c r="I5757" s="130">
        <v>37</v>
      </c>
      <c r="J5757" t="s">
        <v>7381</v>
      </c>
      <c r="K5757" t="s">
        <v>95</v>
      </c>
      <c r="L5757" t="s">
        <v>138</v>
      </c>
      <c r="M5757" t="s">
        <v>130</v>
      </c>
      <c r="N5757" t="s">
        <v>98</v>
      </c>
      <c r="O5757" t="s">
        <v>116</v>
      </c>
    </row>
    <row r="5758" spans="1:15" x14ac:dyDescent="0.3">
      <c r="A5758" s="130">
        <v>26902</v>
      </c>
      <c r="B5758" s="130">
        <v>28</v>
      </c>
      <c r="C5758" s="130" t="s">
        <v>7382</v>
      </c>
      <c r="D5758">
        <v>46272</v>
      </c>
      <c r="E5758" s="130">
        <v>36146575</v>
      </c>
      <c r="F5758" t="s">
        <v>87</v>
      </c>
      <c r="G5758">
        <v>1096</v>
      </c>
      <c r="H5758" t="s">
        <v>8953</v>
      </c>
      <c r="I5758" s="130">
        <v>37</v>
      </c>
      <c r="J5758" t="s">
        <v>7382</v>
      </c>
      <c r="K5758" t="s">
        <v>95</v>
      </c>
      <c r="L5758" t="s">
        <v>138</v>
      </c>
      <c r="M5758" t="s">
        <v>130</v>
      </c>
      <c r="N5758" t="s">
        <v>98</v>
      </c>
      <c r="O5758" t="s">
        <v>116</v>
      </c>
    </row>
    <row r="5759" spans="1:15" x14ac:dyDescent="0.3">
      <c r="A5759" s="130">
        <v>26903</v>
      </c>
      <c r="B5759" s="130">
        <v>28</v>
      </c>
      <c r="C5759" s="130" t="s">
        <v>7383</v>
      </c>
      <c r="D5759">
        <v>46260</v>
      </c>
      <c r="E5759" s="130">
        <v>36146575</v>
      </c>
      <c r="F5759" t="s">
        <v>87</v>
      </c>
      <c r="G5759">
        <v>1096</v>
      </c>
      <c r="H5759" t="s">
        <v>8951</v>
      </c>
      <c r="I5759" s="130">
        <v>37</v>
      </c>
      <c r="J5759" t="s">
        <v>7383</v>
      </c>
      <c r="K5759" t="s">
        <v>95</v>
      </c>
      <c r="L5759" t="s">
        <v>138</v>
      </c>
      <c r="M5759" t="s">
        <v>130</v>
      </c>
      <c r="N5759" t="s">
        <v>98</v>
      </c>
      <c r="O5759" t="s">
        <v>116</v>
      </c>
    </row>
    <row r="5760" spans="1:15" x14ac:dyDescent="0.3">
      <c r="A5760" s="130">
        <v>26904</v>
      </c>
      <c r="B5760" s="130">
        <v>28</v>
      </c>
      <c r="C5760" s="130" t="s">
        <v>7384</v>
      </c>
      <c r="D5760">
        <v>46262</v>
      </c>
      <c r="E5760" s="130">
        <v>36146575</v>
      </c>
      <c r="F5760" t="s">
        <v>87</v>
      </c>
      <c r="G5760">
        <v>1096</v>
      </c>
      <c r="H5760" t="s">
        <v>8952</v>
      </c>
      <c r="I5760" s="130">
        <v>37</v>
      </c>
      <c r="J5760" t="s">
        <v>7384</v>
      </c>
      <c r="K5760" t="s">
        <v>95</v>
      </c>
      <c r="L5760" t="s">
        <v>138</v>
      </c>
      <c r="M5760" t="s">
        <v>130</v>
      </c>
      <c r="N5760" t="s">
        <v>98</v>
      </c>
      <c r="O5760" t="s">
        <v>116</v>
      </c>
    </row>
    <row r="5761" spans="1:15" x14ac:dyDescent="0.3">
      <c r="A5761" s="130">
        <v>26905</v>
      </c>
      <c r="B5761" s="130">
        <v>28</v>
      </c>
      <c r="C5761" s="130" t="s">
        <v>7385</v>
      </c>
      <c r="D5761">
        <v>46263</v>
      </c>
      <c r="E5761" s="130">
        <v>36146575</v>
      </c>
      <c r="F5761" t="s">
        <v>87</v>
      </c>
      <c r="G5761">
        <v>1096</v>
      </c>
      <c r="H5761" t="s">
        <v>8953</v>
      </c>
      <c r="I5761" s="130">
        <v>37</v>
      </c>
      <c r="J5761" t="s">
        <v>7385</v>
      </c>
      <c r="K5761" t="s">
        <v>95</v>
      </c>
      <c r="L5761" t="s">
        <v>138</v>
      </c>
      <c r="M5761" t="s">
        <v>130</v>
      </c>
      <c r="N5761" t="s">
        <v>98</v>
      </c>
      <c r="O5761" t="s">
        <v>116</v>
      </c>
    </row>
    <row r="5762" spans="1:15" x14ac:dyDescent="0.3">
      <c r="A5762" s="130">
        <v>26906</v>
      </c>
      <c r="B5762" s="130">
        <v>28</v>
      </c>
      <c r="C5762" s="130" t="s">
        <v>7386</v>
      </c>
      <c r="D5762">
        <v>46266</v>
      </c>
      <c r="E5762" s="130">
        <v>36146575</v>
      </c>
      <c r="F5762" t="s">
        <v>87</v>
      </c>
      <c r="G5762">
        <v>1096</v>
      </c>
      <c r="H5762" t="s">
        <v>8951</v>
      </c>
      <c r="I5762" s="130">
        <v>37</v>
      </c>
      <c r="J5762" t="s">
        <v>7386</v>
      </c>
      <c r="K5762" t="s">
        <v>95</v>
      </c>
      <c r="L5762" t="s">
        <v>138</v>
      </c>
      <c r="M5762" t="s">
        <v>130</v>
      </c>
      <c r="N5762" t="s">
        <v>98</v>
      </c>
      <c r="O5762" t="s">
        <v>116</v>
      </c>
    </row>
    <row r="5763" spans="1:15" x14ac:dyDescent="0.3">
      <c r="A5763" s="130">
        <v>26907</v>
      </c>
      <c r="B5763" s="130">
        <v>30</v>
      </c>
      <c r="C5763" s="130" t="s">
        <v>7387</v>
      </c>
      <c r="D5763">
        <v>46024</v>
      </c>
      <c r="E5763" s="130">
        <v>2797643</v>
      </c>
      <c r="F5763" t="s">
        <v>87</v>
      </c>
      <c r="G5763">
        <v>1096</v>
      </c>
      <c r="H5763" t="s">
        <v>8952</v>
      </c>
      <c r="I5763" s="130">
        <v>19</v>
      </c>
      <c r="J5763" t="s">
        <v>7387</v>
      </c>
      <c r="K5763" t="s">
        <v>108</v>
      </c>
      <c r="L5763" t="s">
        <v>146</v>
      </c>
      <c r="M5763" t="s">
        <v>103</v>
      </c>
      <c r="O5763" t="s">
        <v>116</v>
      </c>
    </row>
    <row r="5764" spans="1:15" x14ac:dyDescent="0.3">
      <c r="A5764" s="130">
        <v>26908</v>
      </c>
      <c r="B5764" s="130">
        <v>10</v>
      </c>
      <c r="C5764" s="130" t="s">
        <v>7388</v>
      </c>
      <c r="D5764">
        <v>46244</v>
      </c>
      <c r="E5764" s="130">
        <v>61584223</v>
      </c>
      <c r="F5764" t="s">
        <v>87</v>
      </c>
      <c r="G5764">
        <v>1096</v>
      </c>
      <c r="H5764" t="s">
        <v>8953</v>
      </c>
      <c r="I5764" s="131">
        <v>3</v>
      </c>
      <c r="J5764" t="s">
        <v>7388</v>
      </c>
      <c r="K5764" t="s">
        <v>108</v>
      </c>
      <c r="L5764" t="s">
        <v>1293</v>
      </c>
      <c r="M5764" t="s">
        <v>133</v>
      </c>
      <c r="N5764" t="s">
        <v>98</v>
      </c>
      <c r="O5764" t="s">
        <v>116</v>
      </c>
    </row>
    <row r="5765" spans="1:15" x14ac:dyDescent="0.3">
      <c r="A5765" s="130">
        <v>26909</v>
      </c>
      <c r="B5765" s="130">
        <v>15</v>
      </c>
      <c r="C5765" s="130" t="s">
        <v>7389</v>
      </c>
      <c r="D5765">
        <v>44337</v>
      </c>
      <c r="E5765" s="130">
        <v>1593699</v>
      </c>
      <c r="F5765" t="s">
        <v>87</v>
      </c>
      <c r="G5765">
        <v>1096</v>
      </c>
      <c r="H5765" t="s">
        <v>8951</v>
      </c>
      <c r="I5765" s="131">
        <v>24</v>
      </c>
      <c r="J5765" t="s">
        <v>7389</v>
      </c>
      <c r="K5765" t="s">
        <v>108</v>
      </c>
      <c r="L5765" t="s">
        <v>240</v>
      </c>
      <c r="M5765" t="s">
        <v>145</v>
      </c>
      <c r="N5765" t="s">
        <v>114</v>
      </c>
      <c r="O5765" t="s">
        <v>116</v>
      </c>
    </row>
    <row r="5766" spans="1:15" x14ac:dyDescent="0.3">
      <c r="A5766" s="130">
        <v>26910</v>
      </c>
      <c r="B5766" s="130">
        <v>30</v>
      </c>
      <c r="C5766" s="130" t="s">
        <v>7390</v>
      </c>
      <c r="D5766">
        <v>42463</v>
      </c>
      <c r="E5766" s="131">
        <v>8807683</v>
      </c>
      <c r="F5766" t="s">
        <v>87</v>
      </c>
      <c r="G5766">
        <v>32947</v>
      </c>
      <c r="H5766" t="s">
        <v>8952</v>
      </c>
      <c r="I5766" s="131">
        <v>26</v>
      </c>
      <c r="J5766" t="s">
        <v>7390</v>
      </c>
      <c r="K5766" t="s">
        <v>95</v>
      </c>
      <c r="L5766" t="s">
        <v>151</v>
      </c>
      <c r="M5766" t="s">
        <v>103</v>
      </c>
      <c r="N5766" t="s">
        <v>122</v>
      </c>
      <c r="O5766" t="s">
        <v>116</v>
      </c>
    </row>
    <row r="5767" spans="1:15" x14ac:dyDescent="0.3">
      <c r="A5767" s="130">
        <v>26911</v>
      </c>
      <c r="B5767" s="130">
        <v>30</v>
      </c>
      <c r="C5767" s="130" t="s">
        <v>7391</v>
      </c>
      <c r="D5767">
        <v>46310</v>
      </c>
      <c r="E5767" s="131">
        <v>4928297</v>
      </c>
      <c r="F5767" t="s">
        <v>87</v>
      </c>
      <c r="G5767">
        <v>1096</v>
      </c>
      <c r="H5767" t="s">
        <v>8953</v>
      </c>
      <c r="I5767" s="130">
        <v>38</v>
      </c>
      <c r="J5767" t="s">
        <v>7391</v>
      </c>
      <c r="K5767" t="s">
        <v>108</v>
      </c>
      <c r="L5767" t="s">
        <v>126</v>
      </c>
      <c r="M5767" t="s">
        <v>103</v>
      </c>
      <c r="N5767" t="s">
        <v>101</v>
      </c>
      <c r="O5767" t="s">
        <v>116</v>
      </c>
    </row>
    <row r="5768" spans="1:15" x14ac:dyDescent="0.3">
      <c r="A5768" s="130">
        <v>26912</v>
      </c>
      <c r="B5768" s="130">
        <v>10</v>
      </c>
      <c r="C5768" s="130" t="s">
        <v>7392</v>
      </c>
      <c r="D5768">
        <v>46233</v>
      </c>
      <c r="E5768" s="130">
        <v>17832631</v>
      </c>
      <c r="F5768" t="s">
        <v>87</v>
      </c>
      <c r="G5768">
        <v>1096</v>
      </c>
      <c r="H5768" t="s">
        <v>8951</v>
      </c>
      <c r="I5768" s="130">
        <v>9</v>
      </c>
      <c r="J5768" t="s">
        <v>7392</v>
      </c>
      <c r="K5768" t="s">
        <v>108</v>
      </c>
      <c r="L5768" t="s">
        <v>163</v>
      </c>
      <c r="M5768" t="s">
        <v>133</v>
      </c>
      <c r="N5768" t="s">
        <v>98</v>
      </c>
      <c r="O5768" t="s">
        <v>116</v>
      </c>
    </row>
    <row r="5769" spans="1:15" x14ac:dyDescent="0.3">
      <c r="A5769" s="130">
        <v>26913</v>
      </c>
      <c r="B5769" s="130">
        <v>30</v>
      </c>
      <c r="C5769" s="130" t="s">
        <v>7393</v>
      </c>
      <c r="D5769">
        <v>46188</v>
      </c>
      <c r="E5769" s="130">
        <v>44386885</v>
      </c>
      <c r="F5769" t="s">
        <v>87</v>
      </c>
      <c r="G5769">
        <v>1096</v>
      </c>
      <c r="H5769" t="s">
        <v>8952</v>
      </c>
      <c r="I5769" s="130">
        <v>3</v>
      </c>
      <c r="J5769" t="s">
        <v>7393</v>
      </c>
      <c r="K5769" t="s">
        <v>95</v>
      </c>
      <c r="L5769" t="s">
        <v>1465</v>
      </c>
      <c r="M5769" t="s">
        <v>103</v>
      </c>
      <c r="N5769" t="s">
        <v>98</v>
      </c>
      <c r="O5769" t="s">
        <v>116</v>
      </c>
    </row>
    <row r="5770" spans="1:15" x14ac:dyDescent="0.3">
      <c r="A5770" s="130">
        <v>26914</v>
      </c>
      <c r="B5770" s="130" t="s">
        <v>234</v>
      </c>
      <c r="C5770" s="130" t="s">
        <v>7394</v>
      </c>
      <c r="D5770">
        <v>44823</v>
      </c>
      <c r="E5770" s="131">
        <v>6232484</v>
      </c>
      <c r="F5770" t="s">
        <v>87</v>
      </c>
      <c r="G5770">
        <v>1096</v>
      </c>
      <c r="H5770" t="s">
        <v>8953</v>
      </c>
      <c r="I5770" s="131">
        <v>61</v>
      </c>
      <c r="J5770" t="s">
        <v>7394</v>
      </c>
      <c r="K5770" t="s">
        <v>95</v>
      </c>
      <c r="L5770" t="s">
        <v>105</v>
      </c>
      <c r="M5770" t="s">
        <v>234</v>
      </c>
      <c r="N5770" t="s">
        <v>98</v>
      </c>
      <c r="O5770" t="s">
        <v>116</v>
      </c>
    </row>
    <row r="5771" spans="1:15" x14ac:dyDescent="0.3">
      <c r="A5771" s="130">
        <v>26915</v>
      </c>
      <c r="B5771" s="130">
        <v>30</v>
      </c>
      <c r="C5771" s="130" t="s">
        <v>7395</v>
      </c>
      <c r="D5771">
        <v>45665</v>
      </c>
      <c r="E5771" s="131">
        <v>27708929</v>
      </c>
      <c r="F5771" t="s">
        <v>87</v>
      </c>
      <c r="G5771">
        <v>1096</v>
      </c>
      <c r="H5771" t="s">
        <v>8951</v>
      </c>
      <c r="I5771" s="130">
        <v>19</v>
      </c>
      <c r="J5771" t="s">
        <v>7395</v>
      </c>
      <c r="K5771" t="s">
        <v>108</v>
      </c>
      <c r="L5771" t="s">
        <v>252</v>
      </c>
      <c r="M5771" t="s">
        <v>103</v>
      </c>
      <c r="N5771" t="s">
        <v>98</v>
      </c>
      <c r="O5771" t="s">
        <v>116</v>
      </c>
    </row>
    <row r="5772" spans="1:15" x14ac:dyDescent="0.3">
      <c r="A5772" s="130">
        <v>26916</v>
      </c>
      <c r="B5772" s="130">
        <v>28</v>
      </c>
      <c r="C5772" s="130" t="s">
        <v>7396</v>
      </c>
      <c r="D5772">
        <v>45902</v>
      </c>
      <c r="E5772" s="130">
        <v>17274840</v>
      </c>
      <c r="F5772" t="s">
        <v>87</v>
      </c>
      <c r="G5772">
        <v>1096</v>
      </c>
      <c r="H5772" t="s">
        <v>8952</v>
      </c>
      <c r="I5772" s="130">
        <v>37</v>
      </c>
      <c r="J5772" t="s">
        <v>7396</v>
      </c>
      <c r="K5772" t="s">
        <v>108</v>
      </c>
      <c r="L5772" t="s">
        <v>138</v>
      </c>
      <c r="M5772" t="s">
        <v>130</v>
      </c>
      <c r="N5772" t="s">
        <v>141</v>
      </c>
      <c r="O5772" t="s">
        <v>116</v>
      </c>
    </row>
    <row r="5773" spans="1:15" x14ac:dyDescent="0.3">
      <c r="A5773" s="130">
        <v>26917</v>
      </c>
      <c r="B5773" s="130">
        <v>21</v>
      </c>
      <c r="C5773" s="130" t="s">
        <v>7397</v>
      </c>
      <c r="D5773">
        <v>46368</v>
      </c>
      <c r="E5773" s="130">
        <v>731155</v>
      </c>
      <c r="F5773" t="s">
        <v>87</v>
      </c>
      <c r="G5773">
        <v>1096</v>
      </c>
      <c r="H5773" t="s">
        <v>8953</v>
      </c>
      <c r="I5773" s="130">
        <v>9</v>
      </c>
      <c r="J5773" t="s">
        <v>7397</v>
      </c>
      <c r="K5773" t="s">
        <v>95</v>
      </c>
      <c r="L5773" t="s">
        <v>111</v>
      </c>
      <c r="M5773" t="s">
        <v>137</v>
      </c>
      <c r="N5773" t="s">
        <v>98</v>
      </c>
      <c r="O5773" t="s">
        <v>116</v>
      </c>
    </row>
    <row r="5774" spans="1:15" x14ac:dyDescent="0.3">
      <c r="A5774" s="130">
        <v>26918</v>
      </c>
      <c r="B5774" s="130">
        <v>30</v>
      </c>
      <c r="C5774" s="130" t="s">
        <v>7398</v>
      </c>
      <c r="D5774">
        <v>46349</v>
      </c>
      <c r="E5774" s="130">
        <v>19871057</v>
      </c>
      <c r="F5774" t="s">
        <v>87</v>
      </c>
      <c r="G5774">
        <v>1096</v>
      </c>
      <c r="H5774" t="s">
        <v>8951</v>
      </c>
      <c r="I5774" s="130">
        <v>38</v>
      </c>
      <c r="J5774" t="s">
        <v>7398</v>
      </c>
      <c r="K5774" t="s">
        <v>108</v>
      </c>
      <c r="L5774" t="s">
        <v>126</v>
      </c>
      <c r="M5774" t="s">
        <v>103</v>
      </c>
      <c r="N5774" t="s">
        <v>98</v>
      </c>
      <c r="O5774" t="s">
        <v>116</v>
      </c>
    </row>
    <row r="5775" spans="1:15" x14ac:dyDescent="0.3">
      <c r="A5775" s="130">
        <v>26919</v>
      </c>
      <c r="B5775" s="130">
        <v>28</v>
      </c>
      <c r="C5775" s="130" t="s">
        <v>7399</v>
      </c>
      <c r="D5775">
        <v>46016</v>
      </c>
      <c r="E5775" s="130">
        <v>53932692</v>
      </c>
      <c r="F5775" t="s">
        <v>87</v>
      </c>
      <c r="G5775">
        <v>1096</v>
      </c>
      <c r="H5775" t="s">
        <v>8952</v>
      </c>
      <c r="I5775" s="130">
        <v>37</v>
      </c>
      <c r="J5775" t="s">
        <v>7399</v>
      </c>
      <c r="K5775" t="s">
        <v>95</v>
      </c>
      <c r="L5775" t="s">
        <v>138</v>
      </c>
      <c r="M5775" t="s">
        <v>130</v>
      </c>
      <c r="N5775" t="s">
        <v>150</v>
      </c>
      <c r="O5775" t="s">
        <v>116</v>
      </c>
    </row>
    <row r="5776" spans="1:15" x14ac:dyDescent="0.3">
      <c r="A5776" s="130">
        <v>26920</v>
      </c>
      <c r="B5776" s="130">
        <v>30</v>
      </c>
      <c r="C5776" s="130" t="s">
        <v>7400</v>
      </c>
      <c r="D5776">
        <v>46273</v>
      </c>
      <c r="E5776" s="130">
        <v>2905110</v>
      </c>
      <c r="F5776" t="s">
        <v>87</v>
      </c>
      <c r="G5776">
        <v>1096</v>
      </c>
      <c r="H5776" t="s">
        <v>8953</v>
      </c>
      <c r="I5776" s="131">
        <v>24</v>
      </c>
      <c r="J5776" t="s">
        <v>7400</v>
      </c>
      <c r="K5776" t="s">
        <v>95</v>
      </c>
      <c r="L5776" t="s">
        <v>120</v>
      </c>
      <c r="M5776" t="s">
        <v>103</v>
      </c>
      <c r="N5776" t="s">
        <v>216</v>
      </c>
      <c r="O5776" t="s">
        <v>116</v>
      </c>
    </row>
    <row r="5777" spans="1:15" x14ac:dyDescent="0.3">
      <c r="A5777" s="130">
        <v>26921</v>
      </c>
      <c r="B5777" s="130">
        <v>90</v>
      </c>
      <c r="C5777" s="130" t="s">
        <v>7401</v>
      </c>
      <c r="D5777">
        <v>46200</v>
      </c>
      <c r="E5777" s="130">
        <v>655209</v>
      </c>
      <c r="F5777" t="s">
        <v>87</v>
      </c>
      <c r="G5777">
        <v>1096</v>
      </c>
      <c r="H5777" t="s">
        <v>8951</v>
      </c>
      <c r="I5777" s="130">
        <v>9</v>
      </c>
      <c r="J5777" t="s">
        <v>7401</v>
      </c>
      <c r="K5777" t="s">
        <v>95</v>
      </c>
      <c r="L5777" t="s">
        <v>1298</v>
      </c>
      <c r="M5777" t="s">
        <v>170</v>
      </c>
      <c r="N5777" t="s">
        <v>118</v>
      </c>
      <c r="O5777" t="s">
        <v>116</v>
      </c>
    </row>
    <row r="5778" spans="1:15" x14ac:dyDescent="0.3">
      <c r="A5778" s="130">
        <v>26922</v>
      </c>
      <c r="B5778" s="130">
        <v>28</v>
      </c>
      <c r="C5778" s="130" t="s">
        <v>7402</v>
      </c>
      <c r="D5778">
        <v>45767</v>
      </c>
      <c r="E5778" s="130">
        <v>6291846</v>
      </c>
      <c r="F5778" t="s">
        <v>87</v>
      </c>
      <c r="G5778">
        <v>1096</v>
      </c>
      <c r="H5778" t="s">
        <v>8952</v>
      </c>
      <c r="I5778" s="130">
        <v>37</v>
      </c>
      <c r="J5778" t="s">
        <v>7402</v>
      </c>
      <c r="K5778" t="s">
        <v>95</v>
      </c>
      <c r="L5778" t="s">
        <v>138</v>
      </c>
      <c r="M5778" t="s">
        <v>130</v>
      </c>
      <c r="N5778" t="s">
        <v>114</v>
      </c>
      <c r="O5778" t="s">
        <v>116</v>
      </c>
    </row>
    <row r="5779" spans="1:15" x14ac:dyDescent="0.3">
      <c r="A5779" s="130">
        <v>26923</v>
      </c>
      <c r="B5779" s="130">
        <v>30</v>
      </c>
      <c r="C5779" s="130" t="s">
        <v>7403</v>
      </c>
      <c r="D5779">
        <v>45795</v>
      </c>
      <c r="E5779" s="130">
        <v>5208211</v>
      </c>
      <c r="F5779" t="s">
        <v>87</v>
      </c>
      <c r="G5779">
        <v>1096</v>
      </c>
      <c r="H5779" t="s">
        <v>8953</v>
      </c>
      <c r="I5779" s="130">
        <v>24</v>
      </c>
      <c r="J5779" t="s">
        <v>7403</v>
      </c>
      <c r="K5779" t="s">
        <v>95</v>
      </c>
      <c r="L5779" t="s">
        <v>191</v>
      </c>
      <c r="M5779" t="s">
        <v>103</v>
      </c>
      <c r="N5779" t="s">
        <v>98</v>
      </c>
      <c r="O5779" t="s">
        <v>116</v>
      </c>
    </row>
    <row r="5780" spans="1:15" x14ac:dyDescent="0.3">
      <c r="A5780" s="130">
        <v>26926</v>
      </c>
      <c r="B5780" s="130">
        <v>0</v>
      </c>
      <c r="C5780" s="130" t="s">
        <v>7404</v>
      </c>
      <c r="D5780">
        <v>46489</v>
      </c>
      <c r="E5780" s="130">
        <v>40147196</v>
      </c>
      <c r="F5780" t="s">
        <v>87</v>
      </c>
      <c r="G5780">
        <v>76</v>
      </c>
      <c r="H5780" t="s">
        <v>8951</v>
      </c>
      <c r="I5780" s="130">
        <v>9</v>
      </c>
      <c r="J5780" t="s">
        <v>7404</v>
      </c>
      <c r="K5780" t="s">
        <v>108</v>
      </c>
      <c r="M5780" t="s">
        <v>100</v>
      </c>
      <c r="N5780" t="s">
        <v>152</v>
      </c>
      <c r="O5780" t="s">
        <v>1256</v>
      </c>
    </row>
    <row r="5781" spans="1:15" x14ac:dyDescent="0.3">
      <c r="A5781" s="130">
        <v>26927</v>
      </c>
      <c r="B5781" s="130">
        <v>0</v>
      </c>
      <c r="C5781" s="130" t="s">
        <v>7405</v>
      </c>
      <c r="D5781">
        <v>46402</v>
      </c>
      <c r="E5781" s="130">
        <v>40147196</v>
      </c>
      <c r="F5781" t="s">
        <v>87</v>
      </c>
      <c r="G5781">
        <v>1096</v>
      </c>
      <c r="H5781" t="s">
        <v>8952</v>
      </c>
      <c r="I5781" s="130">
        <v>9</v>
      </c>
      <c r="J5781" t="s">
        <v>7405</v>
      </c>
      <c r="K5781" t="s">
        <v>108</v>
      </c>
      <c r="L5781" t="s">
        <v>163</v>
      </c>
      <c r="M5781" t="s">
        <v>100</v>
      </c>
      <c r="N5781" t="s">
        <v>152</v>
      </c>
      <c r="O5781" t="s">
        <v>116</v>
      </c>
    </row>
    <row r="5782" spans="1:15" x14ac:dyDescent="0.3">
      <c r="A5782" s="130">
        <v>26928</v>
      </c>
      <c r="B5782" s="130">
        <v>30</v>
      </c>
      <c r="C5782" s="130" t="s">
        <v>7406</v>
      </c>
      <c r="D5782">
        <v>46415</v>
      </c>
      <c r="E5782" s="130">
        <v>44386885</v>
      </c>
      <c r="F5782" t="s">
        <v>87</v>
      </c>
      <c r="G5782">
        <v>1096</v>
      </c>
      <c r="H5782" t="s">
        <v>8953</v>
      </c>
      <c r="I5782" s="130">
        <v>3</v>
      </c>
      <c r="J5782" t="s">
        <v>7406</v>
      </c>
      <c r="K5782" t="s">
        <v>95</v>
      </c>
      <c r="L5782" t="s">
        <v>1465</v>
      </c>
      <c r="M5782" t="s">
        <v>103</v>
      </c>
      <c r="N5782" t="s">
        <v>98</v>
      </c>
      <c r="O5782" t="s">
        <v>116</v>
      </c>
    </row>
    <row r="5783" spans="1:15" x14ac:dyDescent="0.3">
      <c r="A5783" s="130">
        <v>26929</v>
      </c>
      <c r="B5783" s="130">
        <v>30</v>
      </c>
      <c r="C5783" s="130" t="s">
        <v>7407</v>
      </c>
      <c r="D5783">
        <v>46042</v>
      </c>
      <c r="E5783" s="131">
        <v>1412207</v>
      </c>
      <c r="F5783" t="s">
        <v>87</v>
      </c>
      <c r="G5783">
        <v>1096</v>
      </c>
      <c r="H5783" t="s">
        <v>8951</v>
      </c>
      <c r="I5783" s="131">
        <v>26</v>
      </c>
      <c r="J5783" t="s">
        <v>7407</v>
      </c>
      <c r="K5783" t="s">
        <v>108</v>
      </c>
      <c r="L5783" t="s">
        <v>123</v>
      </c>
      <c r="M5783" t="s">
        <v>103</v>
      </c>
      <c r="N5783" t="s">
        <v>114</v>
      </c>
      <c r="O5783" t="s">
        <v>116</v>
      </c>
    </row>
    <row r="5784" spans="1:15" x14ac:dyDescent="0.3">
      <c r="A5784" s="130">
        <v>26930</v>
      </c>
      <c r="B5784" s="130">
        <v>30</v>
      </c>
      <c r="C5784" s="130" t="s">
        <v>7408</v>
      </c>
      <c r="D5784">
        <v>45667</v>
      </c>
      <c r="E5784" s="131">
        <v>16543194</v>
      </c>
      <c r="F5784" t="s">
        <v>87</v>
      </c>
      <c r="G5784">
        <v>1096</v>
      </c>
      <c r="H5784" t="s">
        <v>8952</v>
      </c>
      <c r="I5784" s="130">
        <v>3</v>
      </c>
      <c r="J5784" t="s">
        <v>7408</v>
      </c>
      <c r="K5784" t="s">
        <v>95</v>
      </c>
      <c r="L5784" t="s">
        <v>1293</v>
      </c>
      <c r="M5784" t="s">
        <v>103</v>
      </c>
      <c r="O5784" t="s">
        <v>116</v>
      </c>
    </row>
    <row r="5785" spans="1:15" x14ac:dyDescent="0.3">
      <c r="A5785" s="130">
        <v>26931</v>
      </c>
      <c r="B5785" s="130">
        <v>30</v>
      </c>
      <c r="C5785" s="130" t="s">
        <v>7409</v>
      </c>
      <c r="D5785">
        <v>46508</v>
      </c>
      <c r="E5785" s="130">
        <v>16404287</v>
      </c>
      <c r="F5785" t="s">
        <v>87</v>
      </c>
      <c r="G5785">
        <v>1096</v>
      </c>
      <c r="H5785" t="s">
        <v>8953</v>
      </c>
      <c r="I5785" s="131">
        <v>37</v>
      </c>
      <c r="J5785" t="s">
        <v>7409</v>
      </c>
      <c r="K5785" t="s">
        <v>108</v>
      </c>
      <c r="L5785" t="s">
        <v>191</v>
      </c>
      <c r="M5785" t="s">
        <v>103</v>
      </c>
      <c r="N5785" t="s">
        <v>141</v>
      </c>
      <c r="O5785" t="s">
        <v>116</v>
      </c>
    </row>
    <row r="5786" spans="1:15" x14ac:dyDescent="0.3">
      <c r="A5786" s="130">
        <v>26932</v>
      </c>
      <c r="B5786" s="130">
        <v>18</v>
      </c>
      <c r="C5786" s="130" t="s">
        <v>7410</v>
      </c>
      <c r="D5786">
        <v>46462</v>
      </c>
      <c r="E5786" s="130">
        <v>5451496</v>
      </c>
      <c r="F5786" t="s">
        <v>87</v>
      </c>
      <c r="G5786">
        <v>1096</v>
      </c>
      <c r="H5786" t="s">
        <v>8951</v>
      </c>
      <c r="I5786" s="130">
        <v>3</v>
      </c>
      <c r="J5786" t="s">
        <v>7410</v>
      </c>
      <c r="K5786" t="s">
        <v>95</v>
      </c>
      <c r="L5786" t="s">
        <v>109</v>
      </c>
      <c r="M5786" t="s">
        <v>112</v>
      </c>
      <c r="N5786" t="s">
        <v>98</v>
      </c>
      <c r="O5786" t="s">
        <v>116</v>
      </c>
    </row>
    <row r="5787" spans="1:15" x14ac:dyDescent="0.3">
      <c r="A5787" s="130">
        <v>26933</v>
      </c>
      <c r="B5787" s="130">
        <v>28</v>
      </c>
      <c r="C5787" s="130" t="s">
        <v>7411</v>
      </c>
      <c r="D5787">
        <v>46549</v>
      </c>
      <c r="E5787" s="130">
        <v>35003614</v>
      </c>
      <c r="F5787" t="s">
        <v>87</v>
      </c>
      <c r="G5787">
        <v>1096</v>
      </c>
      <c r="H5787" t="s">
        <v>8952</v>
      </c>
      <c r="I5787" s="131">
        <v>61</v>
      </c>
      <c r="J5787" t="s">
        <v>7411</v>
      </c>
      <c r="K5787" t="s">
        <v>95</v>
      </c>
      <c r="L5787" t="s">
        <v>138</v>
      </c>
      <c r="M5787" t="s">
        <v>130</v>
      </c>
      <c r="N5787" t="s">
        <v>150</v>
      </c>
      <c r="O5787" t="s">
        <v>116</v>
      </c>
    </row>
    <row r="5788" spans="1:15" x14ac:dyDescent="0.3">
      <c r="A5788" s="130">
        <v>26934</v>
      </c>
      <c r="B5788" s="130">
        <v>21</v>
      </c>
      <c r="C5788" s="130" t="s">
        <v>7412</v>
      </c>
      <c r="D5788">
        <v>44133</v>
      </c>
      <c r="E5788" s="130">
        <v>24564558</v>
      </c>
      <c r="F5788" t="s">
        <v>87</v>
      </c>
      <c r="G5788">
        <v>1096</v>
      </c>
      <c r="H5788" t="s">
        <v>8953</v>
      </c>
      <c r="I5788" s="130">
        <v>24</v>
      </c>
      <c r="J5788" t="s">
        <v>7412</v>
      </c>
      <c r="K5788" t="s">
        <v>108</v>
      </c>
      <c r="L5788" t="s">
        <v>240</v>
      </c>
      <c r="M5788" t="s">
        <v>137</v>
      </c>
      <c r="N5788" t="s">
        <v>150</v>
      </c>
      <c r="O5788" t="s">
        <v>116</v>
      </c>
    </row>
    <row r="5789" spans="1:15" x14ac:dyDescent="0.3">
      <c r="A5789" s="130">
        <v>26935</v>
      </c>
      <c r="B5789" s="130">
        <v>90</v>
      </c>
      <c r="C5789" s="130" t="s">
        <v>7413</v>
      </c>
      <c r="D5789">
        <v>46365</v>
      </c>
      <c r="E5789" s="131">
        <v>655209</v>
      </c>
      <c r="F5789" t="s">
        <v>87</v>
      </c>
      <c r="G5789">
        <v>1096</v>
      </c>
      <c r="H5789" t="s">
        <v>8951</v>
      </c>
      <c r="I5789" s="130">
        <v>9</v>
      </c>
      <c r="J5789" t="s">
        <v>7413</v>
      </c>
      <c r="K5789" t="s">
        <v>95</v>
      </c>
      <c r="L5789" t="s">
        <v>1298</v>
      </c>
      <c r="M5789" t="s">
        <v>170</v>
      </c>
      <c r="N5789" t="s">
        <v>118</v>
      </c>
      <c r="O5789" t="s">
        <v>116</v>
      </c>
    </row>
    <row r="5790" spans="1:15" x14ac:dyDescent="0.3">
      <c r="A5790" s="130">
        <v>26936</v>
      </c>
      <c r="B5790" s="130">
        <v>60</v>
      </c>
      <c r="C5790" s="130" t="s">
        <v>7414</v>
      </c>
      <c r="D5790">
        <v>41290</v>
      </c>
      <c r="E5790" s="131">
        <v>54781944</v>
      </c>
      <c r="F5790" t="s">
        <v>87</v>
      </c>
      <c r="G5790">
        <v>1096</v>
      </c>
      <c r="H5790" t="s">
        <v>8952</v>
      </c>
      <c r="I5790" s="131">
        <v>19</v>
      </c>
      <c r="J5790" t="s">
        <v>7414</v>
      </c>
      <c r="K5790" t="s">
        <v>95</v>
      </c>
      <c r="L5790" t="s">
        <v>252</v>
      </c>
      <c r="M5790" t="s">
        <v>97</v>
      </c>
      <c r="N5790" t="s">
        <v>98</v>
      </c>
      <c r="O5790" t="s">
        <v>116</v>
      </c>
    </row>
    <row r="5791" spans="1:15" x14ac:dyDescent="0.3">
      <c r="A5791" s="130">
        <v>26937</v>
      </c>
      <c r="B5791" s="130">
        <v>30</v>
      </c>
      <c r="C5791" s="130" t="s">
        <v>7415</v>
      </c>
      <c r="D5791">
        <v>44436</v>
      </c>
      <c r="E5791" s="130">
        <v>23668827</v>
      </c>
      <c r="F5791" t="s">
        <v>87</v>
      </c>
      <c r="G5791">
        <v>1096</v>
      </c>
      <c r="H5791" t="s">
        <v>8953</v>
      </c>
      <c r="I5791" s="131">
        <v>18</v>
      </c>
      <c r="J5791" t="s">
        <v>7415</v>
      </c>
      <c r="K5791" t="s">
        <v>108</v>
      </c>
      <c r="L5791" t="s">
        <v>123</v>
      </c>
      <c r="M5791" t="s">
        <v>103</v>
      </c>
      <c r="O5791" t="s">
        <v>116</v>
      </c>
    </row>
    <row r="5792" spans="1:15" x14ac:dyDescent="0.3">
      <c r="A5792" s="130">
        <v>26938</v>
      </c>
      <c r="B5792" s="130">
        <v>0</v>
      </c>
      <c r="C5792" s="130" t="s">
        <v>7416</v>
      </c>
      <c r="D5792">
        <v>44051</v>
      </c>
      <c r="E5792" s="130">
        <v>46134373</v>
      </c>
      <c r="F5792" t="s">
        <v>87</v>
      </c>
      <c r="G5792">
        <v>1096</v>
      </c>
      <c r="H5792" t="s">
        <v>8951</v>
      </c>
      <c r="I5792" s="131">
        <v>37</v>
      </c>
      <c r="J5792" t="s">
        <v>7416</v>
      </c>
      <c r="K5792" t="s">
        <v>108</v>
      </c>
      <c r="L5792" t="s">
        <v>138</v>
      </c>
      <c r="M5792" t="s">
        <v>100</v>
      </c>
      <c r="N5792" t="s">
        <v>152</v>
      </c>
      <c r="O5792" t="s">
        <v>116</v>
      </c>
    </row>
    <row r="5793" spans="1:15" x14ac:dyDescent="0.3">
      <c r="A5793" s="130">
        <v>26939</v>
      </c>
      <c r="B5793" s="130">
        <v>30</v>
      </c>
      <c r="C5793" s="130" t="s">
        <v>7417</v>
      </c>
      <c r="D5793">
        <v>46420</v>
      </c>
      <c r="E5793" s="130">
        <v>34562112</v>
      </c>
      <c r="F5793" t="s">
        <v>87</v>
      </c>
      <c r="G5793">
        <v>1096</v>
      </c>
      <c r="H5793" t="s">
        <v>8952</v>
      </c>
      <c r="I5793" s="131">
        <v>24</v>
      </c>
      <c r="J5793" t="s">
        <v>7417</v>
      </c>
      <c r="K5793" t="s">
        <v>95</v>
      </c>
      <c r="L5793" t="s">
        <v>191</v>
      </c>
      <c r="M5793" t="s">
        <v>103</v>
      </c>
      <c r="N5793" t="s">
        <v>150</v>
      </c>
      <c r="O5793" t="s">
        <v>116</v>
      </c>
    </row>
    <row r="5794" spans="1:15" x14ac:dyDescent="0.3">
      <c r="A5794" s="130">
        <v>26941</v>
      </c>
      <c r="B5794" s="130">
        <v>18</v>
      </c>
      <c r="C5794" s="130" t="s">
        <v>7418</v>
      </c>
      <c r="D5794">
        <v>46574</v>
      </c>
      <c r="E5794" s="130">
        <v>6291846</v>
      </c>
      <c r="F5794" t="s">
        <v>87</v>
      </c>
      <c r="G5794">
        <v>1096</v>
      </c>
      <c r="H5794" t="s">
        <v>8953</v>
      </c>
      <c r="I5794" s="131">
        <v>37</v>
      </c>
      <c r="J5794" t="s">
        <v>7418</v>
      </c>
      <c r="K5794" t="s">
        <v>95</v>
      </c>
      <c r="L5794" t="s">
        <v>138</v>
      </c>
      <c r="M5794" t="s">
        <v>112</v>
      </c>
      <c r="N5794" t="s">
        <v>114</v>
      </c>
      <c r="O5794" t="s">
        <v>116</v>
      </c>
    </row>
    <row r="5795" spans="1:15" x14ac:dyDescent="0.3">
      <c r="A5795" s="130">
        <v>26942</v>
      </c>
      <c r="B5795" s="130">
        <v>18</v>
      </c>
      <c r="C5795" s="130" t="s">
        <v>7419</v>
      </c>
      <c r="D5795">
        <v>46480</v>
      </c>
      <c r="E5795" s="130">
        <v>17185786</v>
      </c>
      <c r="F5795" t="s">
        <v>87</v>
      </c>
      <c r="G5795">
        <v>1096</v>
      </c>
      <c r="H5795" t="s">
        <v>8951</v>
      </c>
      <c r="I5795" s="131">
        <v>10</v>
      </c>
      <c r="J5795" t="s">
        <v>7419</v>
      </c>
      <c r="K5795" t="s">
        <v>95</v>
      </c>
      <c r="L5795" t="s">
        <v>109</v>
      </c>
      <c r="M5795" t="s">
        <v>112</v>
      </c>
      <c r="N5795" t="s">
        <v>98</v>
      </c>
      <c r="O5795" t="s">
        <v>116</v>
      </c>
    </row>
    <row r="5796" spans="1:15" x14ac:dyDescent="0.3">
      <c r="A5796" s="130">
        <v>26943</v>
      </c>
      <c r="B5796" s="130">
        <v>28</v>
      </c>
      <c r="C5796" s="130" t="s">
        <v>7420</v>
      </c>
      <c r="D5796">
        <v>46113</v>
      </c>
      <c r="E5796" s="130">
        <v>48691363</v>
      </c>
      <c r="F5796" t="s">
        <v>87</v>
      </c>
      <c r="G5796">
        <v>1096</v>
      </c>
      <c r="H5796" t="s">
        <v>8952</v>
      </c>
      <c r="I5796" s="130">
        <v>37</v>
      </c>
      <c r="J5796" t="s">
        <v>7420</v>
      </c>
      <c r="K5796" t="s">
        <v>95</v>
      </c>
      <c r="L5796" t="s">
        <v>138</v>
      </c>
      <c r="M5796" t="s">
        <v>130</v>
      </c>
      <c r="N5796" t="s">
        <v>150</v>
      </c>
      <c r="O5796" t="s">
        <v>116</v>
      </c>
    </row>
    <row r="5797" spans="1:15" x14ac:dyDescent="0.3">
      <c r="A5797" s="130">
        <v>26944</v>
      </c>
      <c r="B5797" s="130">
        <v>30</v>
      </c>
      <c r="C5797" s="130" t="s">
        <v>7421</v>
      </c>
      <c r="D5797">
        <v>45453</v>
      </c>
      <c r="E5797" s="130">
        <v>42627875</v>
      </c>
      <c r="F5797" t="s">
        <v>87</v>
      </c>
      <c r="G5797">
        <v>1096</v>
      </c>
      <c r="H5797" t="s">
        <v>8953</v>
      </c>
      <c r="I5797" s="131">
        <v>9</v>
      </c>
      <c r="J5797" t="s">
        <v>7421</v>
      </c>
      <c r="K5797" t="s">
        <v>95</v>
      </c>
      <c r="L5797" t="s">
        <v>111</v>
      </c>
      <c r="M5797" t="s">
        <v>103</v>
      </c>
      <c r="N5797" t="s">
        <v>122</v>
      </c>
      <c r="O5797" t="s">
        <v>116</v>
      </c>
    </row>
    <row r="5798" spans="1:15" x14ac:dyDescent="0.3">
      <c r="A5798" s="130">
        <v>26945</v>
      </c>
      <c r="B5798" s="130">
        <v>30</v>
      </c>
      <c r="C5798" s="130" t="s">
        <v>7422</v>
      </c>
      <c r="D5798">
        <v>45455</v>
      </c>
      <c r="E5798" s="131">
        <v>42627875</v>
      </c>
      <c r="F5798" t="s">
        <v>87</v>
      </c>
      <c r="G5798">
        <v>1096</v>
      </c>
      <c r="H5798" t="s">
        <v>8951</v>
      </c>
      <c r="I5798" s="130">
        <v>9</v>
      </c>
      <c r="J5798" t="s">
        <v>7422</v>
      </c>
      <c r="K5798" t="s">
        <v>95</v>
      </c>
      <c r="L5798" t="s">
        <v>111</v>
      </c>
      <c r="M5798" t="s">
        <v>103</v>
      </c>
      <c r="N5798" t="s">
        <v>122</v>
      </c>
      <c r="O5798" t="s">
        <v>116</v>
      </c>
    </row>
    <row r="5799" spans="1:15" x14ac:dyDescent="0.3">
      <c r="A5799" s="130">
        <v>26946</v>
      </c>
      <c r="B5799" s="130">
        <v>90</v>
      </c>
      <c r="C5799" s="130" t="s">
        <v>7423</v>
      </c>
      <c r="D5799">
        <v>46654</v>
      </c>
      <c r="E5799" s="131">
        <v>8070508</v>
      </c>
      <c r="F5799" t="s">
        <v>87</v>
      </c>
      <c r="G5799">
        <v>1096</v>
      </c>
      <c r="H5799" t="s">
        <v>8952</v>
      </c>
      <c r="I5799" s="130">
        <v>24</v>
      </c>
      <c r="J5799" t="s">
        <v>7423</v>
      </c>
      <c r="K5799" t="s">
        <v>95</v>
      </c>
      <c r="L5799" t="s">
        <v>1252</v>
      </c>
      <c r="M5799" t="s">
        <v>170</v>
      </c>
      <c r="N5799" t="s">
        <v>114</v>
      </c>
      <c r="O5799" t="s">
        <v>116</v>
      </c>
    </row>
    <row r="5800" spans="1:15" x14ac:dyDescent="0.3">
      <c r="A5800" s="130">
        <v>26947</v>
      </c>
      <c r="B5800" s="130">
        <v>18</v>
      </c>
      <c r="C5800" s="130" t="s">
        <v>7424</v>
      </c>
      <c r="D5800">
        <v>46519</v>
      </c>
      <c r="E5800" s="130">
        <v>19245954</v>
      </c>
      <c r="F5800" t="s">
        <v>87</v>
      </c>
      <c r="G5800">
        <v>1096</v>
      </c>
      <c r="H5800" t="s">
        <v>8953</v>
      </c>
      <c r="I5800" s="131">
        <v>26</v>
      </c>
      <c r="J5800" t="s">
        <v>7424</v>
      </c>
      <c r="K5800" t="s">
        <v>108</v>
      </c>
      <c r="L5800" t="s">
        <v>151</v>
      </c>
      <c r="M5800" t="s">
        <v>112</v>
      </c>
      <c r="N5800" t="s">
        <v>98</v>
      </c>
      <c r="O5800" t="s">
        <v>116</v>
      </c>
    </row>
    <row r="5801" spans="1:15" x14ac:dyDescent="0.3">
      <c r="A5801" s="130">
        <v>26948</v>
      </c>
      <c r="B5801" s="130">
        <v>30</v>
      </c>
      <c r="C5801" s="130" t="s">
        <v>7425</v>
      </c>
      <c r="D5801">
        <v>46578</v>
      </c>
      <c r="E5801" s="130">
        <v>67706853</v>
      </c>
      <c r="F5801" t="s">
        <v>87</v>
      </c>
      <c r="G5801">
        <v>1096</v>
      </c>
      <c r="H5801" t="s">
        <v>8951</v>
      </c>
      <c r="I5801" s="131">
        <v>3</v>
      </c>
      <c r="J5801" t="s">
        <v>7425</v>
      </c>
      <c r="K5801" t="s">
        <v>95</v>
      </c>
      <c r="L5801" t="s">
        <v>109</v>
      </c>
      <c r="M5801" t="s">
        <v>103</v>
      </c>
      <c r="N5801" t="s">
        <v>98</v>
      </c>
      <c r="O5801" t="s">
        <v>116</v>
      </c>
    </row>
    <row r="5802" spans="1:15" x14ac:dyDescent="0.3">
      <c r="A5802" s="130">
        <v>26949</v>
      </c>
      <c r="B5802" s="130">
        <v>20</v>
      </c>
      <c r="C5802" s="130" t="s">
        <v>7426</v>
      </c>
      <c r="D5802">
        <v>46327</v>
      </c>
      <c r="E5802" s="130">
        <v>13610017</v>
      </c>
      <c r="F5802" t="s">
        <v>87</v>
      </c>
      <c r="G5802">
        <v>1096</v>
      </c>
      <c r="H5802" t="s">
        <v>8952</v>
      </c>
      <c r="I5802" s="130">
        <v>19</v>
      </c>
      <c r="J5802" t="s">
        <v>7426</v>
      </c>
      <c r="K5802" t="s">
        <v>108</v>
      </c>
      <c r="L5802" t="s">
        <v>252</v>
      </c>
      <c r="M5802" t="s">
        <v>148</v>
      </c>
      <c r="N5802" t="s">
        <v>98</v>
      </c>
      <c r="O5802" t="s">
        <v>116</v>
      </c>
    </row>
    <row r="5803" spans="1:15" x14ac:dyDescent="0.3">
      <c r="A5803" s="130">
        <v>26950</v>
      </c>
      <c r="B5803" s="130">
        <v>30</v>
      </c>
      <c r="C5803" s="130" t="s">
        <v>7427</v>
      </c>
      <c r="D5803">
        <v>46642</v>
      </c>
      <c r="E5803" s="130">
        <v>32561494</v>
      </c>
      <c r="F5803" t="s">
        <v>87</v>
      </c>
      <c r="G5803">
        <v>1096</v>
      </c>
      <c r="H5803" t="s">
        <v>8953</v>
      </c>
      <c r="I5803" s="130">
        <v>3</v>
      </c>
      <c r="J5803" t="s">
        <v>7427</v>
      </c>
      <c r="K5803" t="s">
        <v>108</v>
      </c>
      <c r="L5803" t="s">
        <v>109</v>
      </c>
      <c r="M5803" t="s">
        <v>103</v>
      </c>
      <c r="O5803" t="s">
        <v>116</v>
      </c>
    </row>
    <row r="5804" spans="1:15" x14ac:dyDescent="0.3">
      <c r="A5804" s="130">
        <v>26951</v>
      </c>
      <c r="B5804" s="130">
        <v>90</v>
      </c>
      <c r="C5804" s="130" t="s">
        <v>7428</v>
      </c>
      <c r="D5804">
        <v>46616</v>
      </c>
      <c r="E5804" s="131">
        <v>655209</v>
      </c>
      <c r="F5804" t="s">
        <v>87</v>
      </c>
      <c r="G5804">
        <v>1096</v>
      </c>
      <c r="H5804" t="s">
        <v>8951</v>
      </c>
      <c r="I5804" s="130">
        <v>9</v>
      </c>
      <c r="J5804" t="s">
        <v>7428</v>
      </c>
      <c r="K5804" t="s">
        <v>95</v>
      </c>
      <c r="L5804" t="s">
        <v>1298</v>
      </c>
      <c r="M5804" t="s">
        <v>170</v>
      </c>
      <c r="N5804" t="s">
        <v>118</v>
      </c>
      <c r="O5804" t="s">
        <v>116</v>
      </c>
    </row>
    <row r="5805" spans="1:15" x14ac:dyDescent="0.3">
      <c r="A5805" s="130">
        <v>26952</v>
      </c>
      <c r="B5805" s="130">
        <v>10</v>
      </c>
      <c r="C5805" s="130" t="s">
        <v>7429</v>
      </c>
      <c r="D5805">
        <v>46584</v>
      </c>
      <c r="E5805" s="130">
        <v>8928273</v>
      </c>
      <c r="F5805" t="s">
        <v>87</v>
      </c>
      <c r="G5805">
        <v>1096</v>
      </c>
      <c r="H5805" t="s">
        <v>8952</v>
      </c>
      <c r="I5805" s="130">
        <v>3</v>
      </c>
      <c r="J5805" t="s">
        <v>7429</v>
      </c>
      <c r="K5805" t="s">
        <v>95</v>
      </c>
      <c r="L5805" t="s">
        <v>1293</v>
      </c>
      <c r="M5805" t="s">
        <v>133</v>
      </c>
      <c r="N5805" t="s">
        <v>124</v>
      </c>
      <c r="O5805" t="s">
        <v>116</v>
      </c>
    </row>
    <row r="5806" spans="1:15" x14ac:dyDescent="0.3">
      <c r="A5806" s="130">
        <v>26953</v>
      </c>
      <c r="B5806" s="130">
        <v>28</v>
      </c>
      <c r="C5806" s="130" t="s">
        <v>7430</v>
      </c>
      <c r="D5806">
        <v>46715</v>
      </c>
      <c r="E5806" s="131">
        <v>53058570</v>
      </c>
      <c r="F5806" t="s">
        <v>87</v>
      </c>
      <c r="G5806">
        <v>1096</v>
      </c>
      <c r="H5806" t="s">
        <v>8953</v>
      </c>
      <c r="I5806" s="130">
        <v>37</v>
      </c>
      <c r="J5806" t="s">
        <v>7430</v>
      </c>
      <c r="K5806" t="s">
        <v>95</v>
      </c>
      <c r="L5806" t="s">
        <v>138</v>
      </c>
      <c r="M5806" t="s">
        <v>130</v>
      </c>
      <c r="N5806" t="s">
        <v>150</v>
      </c>
      <c r="O5806" t="s">
        <v>116</v>
      </c>
    </row>
    <row r="5807" spans="1:15" x14ac:dyDescent="0.3">
      <c r="A5807" s="130">
        <v>26954</v>
      </c>
      <c r="B5807" s="130">
        <v>18</v>
      </c>
      <c r="C5807" s="130" t="s">
        <v>7431</v>
      </c>
      <c r="D5807">
        <v>46742</v>
      </c>
      <c r="E5807" s="130">
        <v>2216876</v>
      </c>
      <c r="F5807" t="s">
        <v>87</v>
      </c>
      <c r="G5807">
        <v>1096</v>
      </c>
      <c r="H5807" t="s">
        <v>8951</v>
      </c>
      <c r="I5807" s="130">
        <v>9</v>
      </c>
      <c r="J5807" t="s">
        <v>7431</v>
      </c>
      <c r="K5807" t="s">
        <v>108</v>
      </c>
      <c r="L5807" t="s">
        <v>163</v>
      </c>
      <c r="M5807" t="s">
        <v>112</v>
      </c>
      <c r="N5807" t="s">
        <v>114</v>
      </c>
      <c r="O5807" t="s">
        <v>116</v>
      </c>
    </row>
    <row r="5808" spans="1:15" x14ac:dyDescent="0.3">
      <c r="A5808" s="130">
        <v>26955</v>
      </c>
      <c r="B5808" s="130">
        <v>21</v>
      </c>
      <c r="C5808" s="130" t="s">
        <v>7432</v>
      </c>
      <c r="D5808">
        <v>46484</v>
      </c>
      <c r="E5808" s="130">
        <v>8928273</v>
      </c>
      <c r="F5808" t="s">
        <v>87</v>
      </c>
      <c r="G5808">
        <v>1096</v>
      </c>
      <c r="H5808" t="s">
        <v>8952</v>
      </c>
      <c r="I5808" s="130">
        <v>3</v>
      </c>
      <c r="J5808" t="s">
        <v>7432</v>
      </c>
      <c r="K5808" t="s">
        <v>95</v>
      </c>
      <c r="L5808" t="s">
        <v>1293</v>
      </c>
      <c r="M5808" t="s">
        <v>137</v>
      </c>
      <c r="N5808" t="s">
        <v>124</v>
      </c>
      <c r="O5808" t="s">
        <v>116</v>
      </c>
    </row>
    <row r="5809" spans="1:15" x14ac:dyDescent="0.3">
      <c r="A5809" s="130">
        <v>26956</v>
      </c>
      <c r="B5809" s="130">
        <v>60</v>
      </c>
      <c r="C5809" s="130" t="s">
        <v>7433</v>
      </c>
      <c r="D5809">
        <v>46726</v>
      </c>
      <c r="E5809" s="131">
        <v>57690482</v>
      </c>
      <c r="F5809" t="s">
        <v>87</v>
      </c>
      <c r="G5809">
        <v>1096</v>
      </c>
      <c r="H5809" t="s">
        <v>8953</v>
      </c>
      <c r="I5809" s="130">
        <v>18</v>
      </c>
      <c r="J5809" t="s">
        <v>7433</v>
      </c>
      <c r="K5809" t="s">
        <v>95</v>
      </c>
      <c r="L5809" t="s">
        <v>1251</v>
      </c>
      <c r="M5809" t="s">
        <v>97</v>
      </c>
      <c r="N5809" t="s">
        <v>98</v>
      </c>
      <c r="O5809" t="s">
        <v>116</v>
      </c>
    </row>
    <row r="5810" spans="1:15" x14ac:dyDescent="0.3">
      <c r="A5810" s="130">
        <v>26957</v>
      </c>
      <c r="B5810" s="130">
        <v>60</v>
      </c>
      <c r="C5810" s="130" t="s">
        <v>7434</v>
      </c>
      <c r="D5810">
        <v>46745</v>
      </c>
      <c r="E5810" s="130">
        <v>33435231</v>
      </c>
      <c r="F5810" t="s">
        <v>87</v>
      </c>
      <c r="G5810">
        <v>1096</v>
      </c>
      <c r="H5810" t="s">
        <v>8951</v>
      </c>
      <c r="I5810" s="130">
        <v>18</v>
      </c>
      <c r="J5810" t="s">
        <v>7434</v>
      </c>
      <c r="K5810" t="s">
        <v>95</v>
      </c>
      <c r="L5810" t="s">
        <v>1251</v>
      </c>
      <c r="M5810" t="s">
        <v>97</v>
      </c>
      <c r="N5810" t="s">
        <v>114</v>
      </c>
      <c r="O5810" t="s">
        <v>116</v>
      </c>
    </row>
    <row r="5811" spans="1:15" x14ac:dyDescent="0.3">
      <c r="A5811" s="130">
        <v>26958</v>
      </c>
      <c r="B5811" s="130">
        <v>30</v>
      </c>
      <c r="C5811" s="130" t="s">
        <v>7435</v>
      </c>
      <c r="D5811">
        <v>46744</v>
      </c>
      <c r="E5811" s="131">
        <v>31259648</v>
      </c>
      <c r="F5811" t="s">
        <v>87</v>
      </c>
      <c r="G5811">
        <v>1096</v>
      </c>
      <c r="H5811" t="s">
        <v>8952</v>
      </c>
      <c r="I5811" s="130">
        <v>18</v>
      </c>
      <c r="J5811" t="s">
        <v>7435</v>
      </c>
      <c r="K5811" t="s">
        <v>95</v>
      </c>
      <c r="L5811" t="s">
        <v>123</v>
      </c>
      <c r="M5811" t="s">
        <v>103</v>
      </c>
      <c r="N5811" t="s">
        <v>98</v>
      </c>
      <c r="O5811" t="s">
        <v>116</v>
      </c>
    </row>
    <row r="5812" spans="1:15" x14ac:dyDescent="0.3">
      <c r="A5812" s="130">
        <v>26959</v>
      </c>
      <c r="B5812" s="130">
        <v>30</v>
      </c>
      <c r="C5812" s="130" t="s">
        <v>7436</v>
      </c>
      <c r="D5812">
        <v>46370</v>
      </c>
      <c r="E5812" s="130">
        <v>67706853</v>
      </c>
      <c r="F5812" t="s">
        <v>87</v>
      </c>
      <c r="G5812">
        <v>1096</v>
      </c>
      <c r="H5812" t="s">
        <v>8953</v>
      </c>
      <c r="I5812" s="130">
        <v>3</v>
      </c>
      <c r="J5812" t="s">
        <v>7436</v>
      </c>
      <c r="K5812" t="s">
        <v>95</v>
      </c>
      <c r="L5812" t="s">
        <v>193</v>
      </c>
      <c r="M5812" t="s">
        <v>103</v>
      </c>
      <c r="N5812" t="s">
        <v>98</v>
      </c>
      <c r="O5812" t="s">
        <v>116</v>
      </c>
    </row>
    <row r="5813" spans="1:15" x14ac:dyDescent="0.3">
      <c r="A5813" s="130">
        <v>26960</v>
      </c>
      <c r="B5813" s="130">
        <v>90</v>
      </c>
      <c r="C5813" s="130" t="s">
        <v>7437</v>
      </c>
      <c r="D5813">
        <v>44268</v>
      </c>
      <c r="E5813" s="131">
        <v>60435351</v>
      </c>
      <c r="F5813" t="s">
        <v>87</v>
      </c>
      <c r="G5813">
        <v>1096</v>
      </c>
      <c r="H5813" t="s">
        <v>8951</v>
      </c>
      <c r="I5813" s="130">
        <v>43</v>
      </c>
      <c r="J5813" t="s">
        <v>7437</v>
      </c>
      <c r="K5813" t="s">
        <v>95</v>
      </c>
      <c r="L5813" t="s">
        <v>1252</v>
      </c>
      <c r="M5813" t="s">
        <v>170</v>
      </c>
      <c r="N5813" t="s">
        <v>98</v>
      </c>
      <c r="O5813" t="s">
        <v>116</v>
      </c>
    </row>
    <row r="5814" spans="1:15" x14ac:dyDescent="0.3">
      <c r="A5814" s="130">
        <v>26961</v>
      </c>
      <c r="B5814" s="130">
        <v>90</v>
      </c>
      <c r="C5814" s="130" t="s">
        <v>7438</v>
      </c>
      <c r="D5814">
        <v>46835</v>
      </c>
      <c r="E5814" s="130">
        <v>60435351</v>
      </c>
      <c r="F5814" t="s">
        <v>87</v>
      </c>
      <c r="G5814">
        <v>1096</v>
      </c>
      <c r="H5814" t="s">
        <v>8952</v>
      </c>
      <c r="I5814" s="130">
        <v>43</v>
      </c>
      <c r="J5814" t="s">
        <v>7438</v>
      </c>
      <c r="K5814" t="s">
        <v>95</v>
      </c>
      <c r="L5814" t="s">
        <v>1251</v>
      </c>
      <c r="M5814" t="s">
        <v>170</v>
      </c>
      <c r="N5814" t="s">
        <v>98</v>
      </c>
      <c r="O5814" t="s">
        <v>116</v>
      </c>
    </row>
    <row r="5815" spans="1:15" x14ac:dyDescent="0.3">
      <c r="A5815" s="130">
        <v>26962</v>
      </c>
      <c r="B5815" s="130">
        <v>30</v>
      </c>
      <c r="C5815" s="130" t="s">
        <v>7439</v>
      </c>
      <c r="D5815">
        <v>46874</v>
      </c>
      <c r="E5815" s="131">
        <v>82502196</v>
      </c>
      <c r="F5815" t="s">
        <v>87</v>
      </c>
      <c r="G5815">
        <v>1096</v>
      </c>
      <c r="H5815" t="s">
        <v>8953</v>
      </c>
      <c r="I5815" s="131">
        <v>3</v>
      </c>
      <c r="J5815" t="s">
        <v>7439</v>
      </c>
      <c r="K5815" t="s">
        <v>108</v>
      </c>
      <c r="L5815" t="s">
        <v>1293</v>
      </c>
      <c r="M5815" t="s">
        <v>103</v>
      </c>
      <c r="N5815" t="s">
        <v>98</v>
      </c>
      <c r="O5815" t="s">
        <v>116</v>
      </c>
    </row>
    <row r="5816" spans="1:15" x14ac:dyDescent="0.3">
      <c r="A5816" s="130">
        <v>26963</v>
      </c>
      <c r="B5816" s="130">
        <v>30</v>
      </c>
      <c r="C5816" s="130" t="s">
        <v>7440</v>
      </c>
      <c r="D5816">
        <v>46672</v>
      </c>
      <c r="E5816" s="130">
        <v>52885089</v>
      </c>
      <c r="F5816" t="s">
        <v>87</v>
      </c>
      <c r="G5816">
        <v>1096</v>
      </c>
      <c r="H5816" t="s">
        <v>8951</v>
      </c>
      <c r="I5816" s="130">
        <v>24</v>
      </c>
      <c r="J5816" t="s">
        <v>7440</v>
      </c>
      <c r="K5816" t="s">
        <v>95</v>
      </c>
      <c r="L5816" t="s">
        <v>191</v>
      </c>
      <c r="M5816" t="s">
        <v>103</v>
      </c>
      <c r="O5816" t="s">
        <v>116</v>
      </c>
    </row>
    <row r="5817" spans="1:15" x14ac:dyDescent="0.3">
      <c r="A5817" s="130">
        <v>26964</v>
      </c>
      <c r="B5817" s="130">
        <v>30</v>
      </c>
      <c r="C5817" s="130" t="s">
        <v>7441</v>
      </c>
      <c r="D5817">
        <v>46682</v>
      </c>
      <c r="E5817" s="130">
        <v>52885089</v>
      </c>
      <c r="F5817" t="s">
        <v>87</v>
      </c>
      <c r="G5817">
        <v>1096</v>
      </c>
      <c r="H5817" t="s">
        <v>8952</v>
      </c>
      <c r="I5817" s="131">
        <v>24</v>
      </c>
      <c r="J5817" t="s">
        <v>7441</v>
      </c>
      <c r="K5817" t="s">
        <v>95</v>
      </c>
      <c r="L5817" t="s">
        <v>191</v>
      </c>
      <c r="M5817" t="s">
        <v>103</v>
      </c>
      <c r="O5817" t="s">
        <v>116</v>
      </c>
    </row>
    <row r="5818" spans="1:15" x14ac:dyDescent="0.3">
      <c r="A5818" s="130">
        <v>26965</v>
      </c>
      <c r="B5818" s="130">
        <v>30</v>
      </c>
      <c r="C5818" s="130" t="s">
        <v>7442</v>
      </c>
      <c r="D5818">
        <v>46688</v>
      </c>
      <c r="E5818" s="130">
        <v>52885089</v>
      </c>
      <c r="F5818" t="s">
        <v>87</v>
      </c>
      <c r="G5818">
        <v>1096</v>
      </c>
      <c r="H5818" t="s">
        <v>8953</v>
      </c>
      <c r="I5818" s="130">
        <v>24</v>
      </c>
      <c r="J5818" t="s">
        <v>7442</v>
      </c>
      <c r="K5818" t="s">
        <v>95</v>
      </c>
      <c r="L5818" t="s">
        <v>191</v>
      </c>
      <c r="M5818" t="s">
        <v>103</v>
      </c>
      <c r="O5818" t="s">
        <v>116</v>
      </c>
    </row>
    <row r="5819" spans="1:15" x14ac:dyDescent="0.3">
      <c r="A5819" s="130">
        <v>26966</v>
      </c>
      <c r="B5819" s="130">
        <v>30</v>
      </c>
      <c r="C5819" s="130" t="s">
        <v>7443</v>
      </c>
      <c r="D5819">
        <v>46689</v>
      </c>
      <c r="E5819" s="130">
        <v>52885089</v>
      </c>
      <c r="F5819" t="s">
        <v>87</v>
      </c>
      <c r="G5819">
        <v>1096</v>
      </c>
      <c r="H5819" t="s">
        <v>8951</v>
      </c>
      <c r="I5819" s="131">
        <v>24</v>
      </c>
      <c r="J5819" t="s">
        <v>7443</v>
      </c>
      <c r="K5819" t="s">
        <v>95</v>
      </c>
      <c r="L5819" t="s">
        <v>191</v>
      </c>
      <c r="M5819" t="s">
        <v>103</v>
      </c>
      <c r="O5819" t="s">
        <v>116</v>
      </c>
    </row>
    <row r="5820" spans="1:15" x14ac:dyDescent="0.3">
      <c r="A5820" s="130">
        <v>26967</v>
      </c>
      <c r="B5820" s="130">
        <v>10</v>
      </c>
      <c r="C5820" s="130" t="s">
        <v>7444</v>
      </c>
      <c r="D5820">
        <v>46839</v>
      </c>
      <c r="E5820" s="130">
        <v>38487116</v>
      </c>
      <c r="F5820" t="s">
        <v>87</v>
      </c>
      <c r="G5820">
        <v>1096</v>
      </c>
      <c r="H5820" t="s">
        <v>8952</v>
      </c>
      <c r="I5820" s="130">
        <v>3</v>
      </c>
      <c r="J5820" t="s">
        <v>7444</v>
      </c>
      <c r="K5820" t="s">
        <v>95</v>
      </c>
      <c r="L5820" t="s">
        <v>1293</v>
      </c>
      <c r="M5820" t="s">
        <v>133</v>
      </c>
      <c r="O5820" t="s">
        <v>116</v>
      </c>
    </row>
    <row r="5821" spans="1:15" x14ac:dyDescent="0.3">
      <c r="A5821" s="130">
        <v>26968</v>
      </c>
      <c r="B5821" s="130">
        <v>21</v>
      </c>
      <c r="C5821" s="130" t="s">
        <v>7445</v>
      </c>
      <c r="D5821">
        <v>46667</v>
      </c>
      <c r="E5821" s="131">
        <v>17781776</v>
      </c>
      <c r="F5821" t="s">
        <v>87</v>
      </c>
      <c r="G5821">
        <v>1096</v>
      </c>
      <c r="H5821" t="s">
        <v>8953</v>
      </c>
      <c r="I5821" s="130">
        <v>24</v>
      </c>
      <c r="J5821" t="s">
        <v>7445</v>
      </c>
      <c r="K5821" t="s">
        <v>108</v>
      </c>
      <c r="L5821" t="s">
        <v>191</v>
      </c>
      <c r="M5821" t="s">
        <v>137</v>
      </c>
      <c r="N5821" t="s">
        <v>98</v>
      </c>
      <c r="O5821" t="s">
        <v>116</v>
      </c>
    </row>
    <row r="5822" spans="1:15" x14ac:dyDescent="0.3">
      <c r="A5822" s="130">
        <v>26969</v>
      </c>
      <c r="B5822" s="130">
        <v>30</v>
      </c>
      <c r="C5822" s="130" t="s">
        <v>7446</v>
      </c>
      <c r="D5822">
        <v>46974</v>
      </c>
      <c r="E5822" s="130">
        <v>45130701</v>
      </c>
      <c r="F5822" t="s">
        <v>87</v>
      </c>
      <c r="G5822">
        <v>1096</v>
      </c>
      <c r="H5822" t="s">
        <v>8951</v>
      </c>
      <c r="I5822" s="130">
        <v>19</v>
      </c>
      <c r="J5822" t="s">
        <v>7446</v>
      </c>
      <c r="K5822" t="s">
        <v>95</v>
      </c>
      <c r="L5822" t="s">
        <v>252</v>
      </c>
      <c r="M5822" t="s">
        <v>103</v>
      </c>
      <c r="O5822" t="s">
        <v>116</v>
      </c>
    </row>
    <row r="5823" spans="1:15" x14ac:dyDescent="0.3">
      <c r="A5823" s="130">
        <v>26970</v>
      </c>
      <c r="B5823" s="130">
        <v>10</v>
      </c>
      <c r="C5823" s="130" t="s">
        <v>7447</v>
      </c>
      <c r="D5823">
        <v>46592</v>
      </c>
      <c r="E5823" s="130">
        <v>15162015</v>
      </c>
      <c r="F5823" t="s">
        <v>87</v>
      </c>
      <c r="G5823">
        <v>1096</v>
      </c>
      <c r="H5823" t="s">
        <v>8952</v>
      </c>
      <c r="I5823" s="130">
        <v>9</v>
      </c>
      <c r="J5823" t="s">
        <v>7447</v>
      </c>
      <c r="K5823" t="s">
        <v>108</v>
      </c>
      <c r="L5823" t="s">
        <v>163</v>
      </c>
      <c r="M5823" t="s">
        <v>133</v>
      </c>
      <c r="N5823" t="s">
        <v>98</v>
      </c>
      <c r="O5823" t="s">
        <v>116</v>
      </c>
    </row>
    <row r="5824" spans="1:15" x14ac:dyDescent="0.3">
      <c r="A5824" s="130">
        <v>26971</v>
      </c>
      <c r="B5824" s="130">
        <v>30</v>
      </c>
      <c r="C5824" s="130" t="s">
        <v>7448</v>
      </c>
      <c r="D5824">
        <v>43200</v>
      </c>
      <c r="E5824" s="130">
        <v>60701521</v>
      </c>
      <c r="F5824" t="s">
        <v>87</v>
      </c>
      <c r="G5824">
        <v>1096</v>
      </c>
      <c r="H5824" t="s">
        <v>8953</v>
      </c>
      <c r="I5824" s="130">
        <v>19</v>
      </c>
      <c r="J5824" t="s">
        <v>7448</v>
      </c>
      <c r="K5824" t="s">
        <v>95</v>
      </c>
      <c r="L5824" t="s">
        <v>138</v>
      </c>
      <c r="M5824" t="s">
        <v>103</v>
      </c>
      <c r="N5824" t="s">
        <v>162</v>
      </c>
      <c r="O5824" t="s">
        <v>116</v>
      </c>
    </row>
    <row r="5825" spans="1:15" x14ac:dyDescent="0.3">
      <c r="A5825" s="130">
        <v>26972</v>
      </c>
      <c r="B5825" s="130">
        <v>60</v>
      </c>
      <c r="C5825" s="130" t="s">
        <v>7449</v>
      </c>
      <c r="D5825">
        <v>46217</v>
      </c>
      <c r="E5825" s="131">
        <v>532740</v>
      </c>
      <c r="F5825" t="s">
        <v>87</v>
      </c>
      <c r="G5825">
        <v>1096</v>
      </c>
      <c r="H5825" t="s">
        <v>8951</v>
      </c>
      <c r="I5825" s="130">
        <v>10</v>
      </c>
      <c r="J5825" t="s">
        <v>7449</v>
      </c>
      <c r="K5825" t="s">
        <v>95</v>
      </c>
      <c r="L5825" t="s">
        <v>127</v>
      </c>
      <c r="M5825" t="s">
        <v>97</v>
      </c>
      <c r="N5825" t="s">
        <v>98</v>
      </c>
      <c r="O5825" t="s">
        <v>116</v>
      </c>
    </row>
    <row r="5826" spans="1:15" x14ac:dyDescent="0.3">
      <c r="A5826" s="130">
        <v>26973</v>
      </c>
      <c r="B5826" s="130">
        <v>30</v>
      </c>
      <c r="C5826" s="130" t="s">
        <v>7450</v>
      </c>
      <c r="D5826">
        <v>46105</v>
      </c>
      <c r="E5826" s="130">
        <v>49891303</v>
      </c>
      <c r="F5826" t="s">
        <v>87</v>
      </c>
      <c r="G5826">
        <v>1096</v>
      </c>
      <c r="H5826" t="s">
        <v>8952</v>
      </c>
      <c r="I5826" s="131">
        <v>19</v>
      </c>
      <c r="J5826" t="s">
        <v>7450</v>
      </c>
      <c r="K5826" t="s">
        <v>95</v>
      </c>
      <c r="L5826" t="s">
        <v>252</v>
      </c>
      <c r="M5826" t="s">
        <v>103</v>
      </c>
      <c r="N5826" t="s">
        <v>98</v>
      </c>
      <c r="O5826" t="s">
        <v>116</v>
      </c>
    </row>
    <row r="5827" spans="1:15" x14ac:dyDescent="0.3">
      <c r="A5827" s="130">
        <v>26974</v>
      </c>
      <c r="B5827" s="130">
        <v>30</v>
      </c>
      <c r="C5827" s="130" t="s">
        <v>7451</v>
      </c>
      <c r="D5827">
        <v>46358</v>
      </c>
      <c r="E5827" s="130">
        <v>52127320</v>
      </c>
      <c r="F5827" t="s">
        <v>87</v>
      </c>
      <c r="G5827">
        <v>1096</v>
      </c>
      <c r="H5827" t="s">
        <v>8953</v>
      </c>
      <c r="I5827" s="131">
        <v>18</v>
      </c>
      <c r="J5827" t="s">
        <v>7451</v>
      </c>
      <c r="K5827" t="s">
        <v>95</v>
      </c>
      <c r="L5827" t="s">
        <v>123</v>
      </c>
      <c r="M5827" t="s">
        <v>103</v>
      </c>
      <c r="N5827" t="s">
        <v>98</v>
      </c>
      <c r="O5827" t="s">
        <v>116</v>
      </c>
    </row>
    <row r="5828" spans="1:15" x14ac:dyDescent="0.3">
      <c r="A5828" s="130">
        <v>26975</v>
      </c>
      <c r="B5828" s="130">
        <v>30</v>
      </c>
      <c r="C5828" s="130" t="s">
        <v>7452</v>
      </c>
      <c r="D5828">
        <v>46938</v>
      </c>
      <c r="E5828" s="131">
        <v>22266175</v>
      </c>
      <c r="F5828" t="s">
        <v>87</v>
      </c>
      <c r="G5828">
        <v>1096</v>
      </c>
      <c r="H5828" t="s">
        <v>8951</v>
      </c>
      <c r="I5828" s="130">
        <v>37</v>
      </c>
      <c r="J5828" t="s">
        <v>7452</v>
      </c>
      <c r="K5828" t="s">
        <v>95</v>
      </c>
      <c r="L5828" t="s">
        <v>144</v>
      </c>
      <c r="M5828" t="s">
        <v>103</v>
      </c>
      <c r="O5828" t="s">
        <v>244</v>
      </c>
    </row>
    <row r="5829" spans="1:15" x14ac:dyDescent="0.3">
      <c r="A5829" s="130">
        <v>26976</v>
      </c>
      <c r="B5829" s="130">
        <v>18</v>
      </c>
      <c r="C5829" s="130" t="s">
        <v>7453</v>
      </c>
      <c r="D5829">
        <v>46968</v>
      </c>
      <c r="E5829" s="130">
        <v>83495275</v>
      </c>
      <c r="F5829" t="s">
        <v>87</v>
      </c>
      <c r="G5829">
        <v>1096</v>
      </c>
      <c r="H5829" t="s">
        <v>8952</v>
      </c>
      <c r="I5829" s="131">
        <v>26</v>
      </c>
      <c r="J5829" t="s">
        <v>7453</v>
      </c>
      <c r="K5829" t="s">
        <v>108</v>
      </c>
      <c r="L5829" t="s">
        <v>151</v>
      </c>
      <c r="M5829" t="s">
        <v>112</v>
      </c>
      <c r="N5829" t="s">
        <v>98</v>
      </c>
      <c r="O5829" t="s">
        <v>116</v>
      </c>
    </row>
    <row r="5830" spans="1:15" x14ac:dyDescent="0.3">
      <c r="A5830" s="130">
        <v>26977</v>
      </c>
      <c r="B5830" s="130">
        <v>30</v>
      </c>
      <c r="C5830" s="130" t="s">
        <v>7454</v>
      </c>
      <c r="D5830">
        <v>46993</v>
      </c>
      <c r="E5830" s="130">
        <v>54781944</v>
      </c>
      <c r="F5830" t="s">
        <v>87</v>
      </c>
      <c r="G5830">
        <v>1096</v>
      </c>
      <c r="H5830" t="s">
        <v>8953</v>
      </c>
      <c r="I5830" s="130">
        <v>19</v>
      </c>
      <c r="J5830" t="s">
        <v>7454</v>
      </c>
      <c r="K5830" t="s">
        <v>95</v>
      </c>
      <c r="L5830" t="s">
        <v>105</v>
      </c>
      <c r="M5830" t="s">
        <v>103</v>
      </c>
      <c r="N5830" t="s">
        <v>98</v>
      </c>
      <c r="O5830" t="s">
        <v>116</v>
      </c>
    </row>
    <row r="5831" spans="1:15" x14ac:dyDescent="0.3">
      <c r="A5831" s="130">
        <v>26978</v>
      </c>
      <c r="B5831" s="130">
        <v>30</v>
      </c>
      <c r="C5831" s="130" t="s">
        <v>7455</v>
      </c>
      <c r="D5831">
        <v>47001</v>
      </c>
      <c r="E5831" s="130">
        <v>5603629</v>
      </c>
      <c r="F5831" t="s">
        <v>87</v>
      </c>
      <c r="G5831">
        <v>1096</v>
      </c>
      <c r="H5831" t="s">
        <v>8951</v>
      </c>
      <c r="I5831" s="130">
        <v>38</v>
      </c>
      <c r="J5831" t="s">
        <v>7455</v>
      </c>
      <c r="K5831" t="s">
        <v>108</v>
      </c>
      <c r="L5831" t="s">
        <v>126</v>
      </c>
      <c r="M5831" t="s">
        <v>103</v>
      </c>
      <c r="N5831" t="s">
        <v>98</v>
      </c>
      <c r="O5831" t="s">
        <v>116</v>
      </c>
    </row>
    <row r="5832" spans="1:15" x14ac:dyDescent="0.3">
      <c r="A5832" s="130">
        <v>26979</v>
      </c>
      <c r="B5832" s="130">
        <v>10</v>
      </c>
      <c r="C5832" s="130" t="s">
        <v>7456</v>
      </c>
      <c r="D5832">
        <v>47052</v>
      </c>
      <c r="E5832" s="130">
        <v>10839446</v>
      </c>
      <c r="F5832" t="s">
        <v>87</v>
      </c>
      <c r="G5832">
        <v>1096</v>
      </c>
      <c r="H5832" t="s">
        <v>8952</v>
      </c>
      <c r="I5832" s="130">
        <v>9</v>
      </c>
      <c r="J5832" t="s">
        <v>7456</v>
      </c>
      <c r="K5832" t="s">
        <v>108</v>
      </c>
      <c r="L5832" t="s">
        <v>1298</v>
      </c>
      <c r="M5832" t="s">
        <v>133</v>
      </c>
      <c r="N5832" t="s">
        <v>98</v>
      </c>
      <c r="O5832" t="s">
        <v>116</v>
      </c>
    </row>
    <row r="5833" spans="1:15" x14ac:dyDescent="0.3">
      <c r="A5833" s="130">
        <v>26980</v>
      </c>
      <c r="B5833" s="130">
        <v>30</v>
      </c>
      <c r="C5833" s="130" t="s">
        <v>7457</v>
      </c>
      <c r="D5833">
        <v>46595</v>
      </c>
      <c r="E5833" s="130">
        <v>39485999</v>
      </c>
      <c r="F5833" t="s">
        <v>87</v>
      </c>
      <c r="G5833">
        <v>1096</v>
      </c>
      <c r="H5833" t="s">
        <v>8953</v>
      </c>
      <c r="I5833" s="131">
        <v>26</v>
      </c>
      <c r="J5833" t="s">
        <v>7457</v>
      </c>
      <c r="K5833" t="s">
        <v>95</v>
      </c>
      <c r="L5833" t="s">
        <v>151</v>
      </c>
      <c r="M5833" t="s">
        <v>103</v>
      </c>
      <c r="N5833" t="s">
        <v>169</v>
      </c>
      <c r="O5833" t="s">
        <v>116</v>
      </c>
    </row>
    <row r="5834" spans="1:15" x14ac:dyDescent="0.3">
      <c r="A5834" s="130">
        <v>26981</v>
      </c>
      <c r="B5834" s="130">
        <v>18</v>
      </c>
      <c r="C5834" s="130" t="s">
        <v>7458</v>
      </c>
      <c r="D5834">
        <v>47060</v>
      </c>
      <c r="E5834" s="130">
        <v>5451496</v>
      </c>
      <c r="F5834" t="s">
        <v>87</v>
      </c>
      <c r="G5834">
        <v>1096</v>
      </c>
      <c r="H5834" t="s">
        <v>8951</v>
      </c>
      <c r="I5834" s="131">
        <v>3</v>
      </c>
      <c r="J5834" t="s">
        <v>7458</v>
      </c>
      <c r="K5834" t="s">
        <v>95</v>
      </c>
      <c r="L5834" t="s">
        <v>109</v>
      </c>
      <c r="M5834" t="s">
        <v>112</v>
      </c>
      <c r="N5834" t="s">
        <v>98</v>
      </c>
      <c r="O5834" t="s">
        <v>116</v>
      </c>
    </row>
    <row r="5835" spans="1:15" x14ac:dyDescent="0.3">
      <c r="A5835" s="130">
        <v>26982</v>
      </c>
      <c r="B5835" s="130">
        <v>28</v>
      </c>
      <c r="C5835" s="130" t="s">
        <v>7459</v>
      </c>
      <c r="D5835">
        <v>46753</v>
      </c>
      <c r="E5835" s="130">
        <v>5353545</v>
      </c>
      <c r="F5835" t="s">
        <v>87</v>
      </c>
      <c r="G5835">
        <v>1096</v>
      </c>
      <c r="H5835" t="s">
        <v>8952</v>
      </c>
      <c r="I5835" s="131">
        <v>18</v>
      </c>
      <c r="J5835" t="s">
        <v>7459</v>
      </c>
      <c r="K5835" t="s">
        <v>108</v>
      </c>
      <c r="L5835" t="s">
        <v>253</v>
      </c>
      <c r="M5835" t="s">
        <v>130</v>
      </c>
      <c r="N5835" t="s">
        <v>98</v>
      </c>
      <c r="O5835" t="s">
        <v>116</v>
      </c>
    </row>
    <row r="5836" spans="1:15" x14ac:dyDescent="0.3">
      <c r="A5836" s="130">
        <v>26983</v>
      </c>
      <c r="B5836" s="130">
        <v>30</v>
      </c>
      <c r="C5836" s="130" t="s">
        <v>7460</v>
      </c>
      <c r="D5836">
        <v>43057</v>
      </c>
      <c r="E5836" s="130">
        <v>60701521</v>
      </c>
      <c r="F5836" t="s">
        <v>87</v>
      </c>
      <c r="G5836">
        <v>1096</v>
      </c>
      <c r="H5836" t="s">
        <v>8953</v>
      </c>
      <c r="I5836" s="131">
        <v>24</v>
      </c>
      <c r="J5836" t="s">
        <v>7460</v>
      </c>
      <c r="K5836" t="s">
        <v>95</v>
      </c>
      <c r="L5836" t="s">
        <v>138</v>
      </c>
      <c r="M5836" t="s">
        <v>103</v>
      </c>
      <c r="N5836" t="s">
        <v>162</v>
      </c>
      <c r="O5836" t="s">
        <v>116</v>
      </c>
    </row>
    <row r="5837" spans="1:15" x14ac:dyDescent="0.3">
      <c r="A5837" s="130">
        <v>26984</v>
      </c>
      <c r="B5837" s="130">
        <v>30</v>
      </c>
      <c r="C5837" s="130" t="s">
        <v>7461</v>
      </c>
      <c r="D5837">
        <v>46124</v>
      </c>
      <c r="E5837" s="130">
        <v>13623957</v>
      </c>
      <c r="F5837" t="s">
        <v>87</v>
      </c>
      <c r="G5837">
        <v>1096</v>
      </c>
      <c r="H5837" t="s">
        <v>8951</v>
      </c>
      <c r="I5837" s="130">
        <v>3</v>
      </c>
      <c r="J5837" t="s">
        <v>7461</v>
      </c>
      <c r="K5837" t="s">
        <v>95</v>
      </c>
      <c r="L5837" t="s">
        <v>123</v>
      </c>
      <c r="M5837" t="s">
        <v>103</v>
      </c>
      <c r="N5837" t="s">
        <v>98</v>
      </c>
      <c r="O5837" t="s">
        <v>116</v>
      </c>
    </row>
    <row r="5838" spans="1:15" x14ac:dyDescent="0.3">
      <c r="A5838" s="130">
        <v>26985</v>
      </c>
      <c r="B5838" s="130">
        <v>30</v>
      </c>
      <c r="C5838" s="130" t="s">
        <v>7462</v>
      </c>
      <c r="D5838">
        <v>47170</v>
      </c>
      <c r="E5838" s="130">
        <v>34186669</v>
      </c>
      <c r="F5838" t="s">
        <v>87</v>
      </c>
      <c r="G5838">
        <v>1096</v>
      </c>
      <c r="H5838" t="s">
        <v>8952</v>
      </c>
      <c r="I5838" s="130">
        <v>19</v>
      </c>
      <c r="J5838" t="s">
        <v>7462</v>
      </c>
      <c r="K5838" t="s">
        <v>95</v>
      </c>
      <c r="L5838" t="s">
        <v>1251</v>
      </c>
      <c r="M5838" t="s">
        <v>103</v>
      </c>
      <c r="N5838" t="s">
        <v>118</v>
      </c>
      <c r="O5838" t="s">
        <v>116</v>
      </c>
    </row>
    <row r="5839" spans="1:15" x14ac:dyDescent="0.3">
      <c r="A5839" s="130">
        <v>26986</v>
      </c>
      <c r="B5839" s="130">
        <v>18</v>
      </c>
      <c r="C5839" s="130" t="s">
        <v>7463</v>
      </c>
      <c r="D5839">
        <v>46900</v>
      </c>
      <c r="E5839" s="131">
        <v>34375501</v>
      </c>
      <c r="F5839" t="s">
        <v>87</v>
      </c>
      <c r="G5839">
        <v>1096</v>
      </c>
      <c r="H5839" t="s">
        <v>8953</v>
      </c>
      <c r="I5839" s="131">
        <v>26</v>
      </c>
      <c r="J5839" t="s">
        <v>7463</v>
      </c>
      <c r="K5839" t="s">
        <v>108</v>
      </c>
      <c r="L5839" t="s">
        <v>151</v>
      </c>
      <c r="M5839" t="s">
        <v>112</v>
      </c>
      <c r="N5839" t="s">
        <v>98</v>
      </c>
      <c r="O5839" t="s">
        <v>116</v>
      </c>
    </row>
    <row r="5840" spans="1:15" x14ac:dyDescent="0.3">
      <c r="A5840" s="130">
        <v>26987</v>
      </c>
      <c r="B5840" s="130">
        <v>30</v>
      </c>
      <c r="C5840" s="130" t="s">
        <v>7464</v>
      </c>
      <c r="D5840">
        <v>46697</v>
      </c>
      <c r="E5840" s="131">
        <v>1579962</v>
      </c>
      <c r="F5840" t="s">
        <v>87</v>
      </c>
      <c r="G5840">
        <v>1096</v>
      </c>
      <c r="H5840" t="s">
        <v>8951</v>
      </c>
      <c r="I5840" s="131">
        <v>18</v>
      </c>
      <c r="J5840" t="s">
        <v>7464</v>
      </c>
      <c r="K5840" t="s">
        <v>108</v>
      </c>
      <c r="L5840" t="s">
        <v>111</v>
      </c>
      <c r="M5840" t="s">
        <v>103</v>
      </c>
      <c r="N5840" t="s">
        <v>150</v>
      </c>
      <c r="O5840" t="s">
        <v>116</v>
      </c>
    </row>
    <row r="5841" spans="1:15" x14ac:dyDescent="0.3">
      <c r="A5841" s="130">
        <v>26989</v>
      </c>
      <c r="B5841" s="130">
        <v>18</v>
      </c>
      <c r="C5841" s="130" t="s">
        <v>7465</v>
      </c>
      <c r="D5841">
        <v>45741</v>
      </c>
      <c r="E5841" s="130">
        <v>2262686</v>
      </c>
      <c r="F5841" t="s">
        <v>87</v>
      </c>
      <c r="G5841">
        <v>1096</v>
      </c>
      <c r="H5841" t="s">
        <v>8952</v>
      </c>
      <c r="I5841" s="130">
        <v>26</v>
      </c>
      <c r="J5841" t="s">
        <v>7465</v>
      </c>
      <c r="K5841" t="s">
        <v>108</v>
      </c>
      <c r="L5841" t="s">
        <v>151</v>
      </c>
      <c r="M5841" t="s">
        <v>112</v>
      </c>
      <c r="N5841" t="s">
        <v>98</v>
      </c>
      <c r="O5841" t="s">
        <v>116</v>
      </c>
    </row>
    <row r="5842" spans="1:15" x14ac:dyDescent="0.3">
      <c r="A5842" s="130">
        <v>26990</v>
      </c>
      <c r="B5842" s="130">
        <v>30</v>
      </c>
      <c r="C5842" s="130" t="s">
        <v>7466</v>
      </c>
      <c r="D5842">
        <v>46341</v>
      </c>
      <c r="E5842" s="130">
        <v>14578002</v>
      </c>
      <c r="F5842" t="s">
        <v>87</v>
      </c>
      <c r="G5842">
        <v>1096</v>
      </c>
      <c r="H5842" t="s">
        <v>8953</v>
      </c>
      <c r="I5842" s="131">
        <v>9</v>
      </c>
      <c r="J5842" t="s">
        <v>7466</v>
      </c>
      <c r="K5842" t="s">
        <v>95</v>
      </c>
      <c r="L5842" t="s">
        <v>117</v>
      </c>
      <c r="M5842" t="s">
        <v>103</v>
      </c>
      <c r="N5842" t="s">
        <v>124</v>
      </c>
      <c r="O5842" t="s">
        <v>116</v>
      </c>
    </row>
    <row r="5843" spans="1:15" x14ac:dyDescent="0.3">
      <c r="A5843" s="130">
        <v>26991</v>
      </c>
      <c r="B5843" s="130">
        <v>21</v>
      </c>
      <c r="C5843" s="130" t="s">
        <v>7467</v>
      </c>
      <c r="D5843">
        <v>42754</v>
      </c>
      <c r="E5843" s="130">
        <v>22811775</v>
      </c>
      <c r="F5843" t="s">
        <v>87</v>
      </c>
      <c r="G5843">
        <v>1096</v>
      </c>
      <c r="H5843" t="s">
        <v>8951</v>
      </c>
      <c r="I5843" s="130">
        <v>24</v>
      </c>
      <c r="J5843" t="s">
        <v>7467</v>
      </c>
      <c r="K5843" t="s">
        <v>108</v>
      </c>
      <c r="L5843" t="s">
        <v>191</v>
      </c>
      <c r="M5843" t="s">
        <v>137</v>
      </c>
      <c r="O5843" t="s">
        <v>116</v>
      </c>
    </row>
    <row r="5844" spans="1:15" x14ac:dyDescent="0.3">
      <c r="A5844" s="130">
        <v>26992</v>
      </c>
      <c r="B5844" s="130">
        <v>30</v>
      </c>
      <c r="C5844" s="130" t="s">
        <v>7468</v>
      </c>
      <c r="D5844">
        <v>46982</v>
      </c>
      <c r="E5844" s="130">
        <v>4311533</v>
      </c>
      <c r="F5844" t="s">
        <v>87</v>
      </c>
      <c r="G5844">
        <v>1096</v>
      </c>
      <c r="H5844" t="s">
        <v>8952</v>
      </c>
      <c r="I5844" s="130">
        <v>24</v>
      </c>
      <c r="J5844" t="s">
        <v>7468</v>
      </c>
      <c r="K5844" t="s">
        <v>108</v>
      </c>
      <c r="L5844" t="s">
        <v>1293</v>
      </c>
      <c r="M5844" t="s">
        <v>103</v>
      </c>
      <c r="N5844" t="s">
        <v>101</v>
      </c>
      <c r="O5844" t="s">
        <v>116</v>
      </c>
    </row>
    <row r="5845" spans="1:15" x14ac:dyDescent="0.3">
      <c r="A5845" s="130">
        <v>26993</v>
      </c>
      <c r="B5845" s="130">
        <v>15</v>
      </c>
      <c r="C5845" s="130" t="s">
        <v>7469</v>
      </c>
      <c r="D5845">
        <v>45787</v>
      </c>
      <c r="E5845" s="130">
        <v>4311533</v>
      </c>
      <c r="F5845" t="s">
        <v>87</v>
      </c>
      <c r="G5845">
        <v>1096</v>
      </c>
      <c r="H5845" t="s">
        <v>8953</v>
      </c>
      <c r="I5845" s="131">
        <v>3</v>
      </c>
      <c r="J5845" t="s">
        <v>7469</v>
      </c>
      <c r="K5845" t="s">
        <v>108</v>
      </c>
      <c r="L5845" t="s">
        <v>1293</v>
      </c>
      <c r="M5845" t="s">
        <v>145</v>
      </c>
      <c r="N5845" t="s">
        <v>101</v>
      </c>
      <c r="O5845" t="s">
        <v>116</v>
      </c>
    </row>
    <row r="5846" spans="1:15" x14ac:dyDescent="0.3">
      <c r="A5846" s="130">
        <v>26994</v>
      </c>
      <c r="B5846" s="130">
        <v>18</v>
      </c>
      <c r="C5846" s="130" t="s">
        <v>7470</v>
      </c>
      <c r="D5846">
        <v>46977</v>
      </c>
      <c r="E5846" s="130">
        <v>6069123</v>
      </c>
      <c r="F5846" t="s">
        <v>87</v>
      </c>
      <c r="G5846">
        <v>1096</v>
      </c>
      <c r="H5846" t="s">
        <v>8951</v>
      </c>
      <c r="I5846" s="130">
        <v>10</v>
      </c>
      <c r="J5846" t="s">
        <v>7470</v>
      </c>
      <c r="K5846" t="s">
        <v>95</v>
      </c>
      <c r="L5846" t="s">
        <v>127</v>
      </c>
      <c r="M5846" t="s">
        <v>112</v>
      </c>
      <c r="N5846" t="s">
        <v>98</v>
      </c>
      <c r="O5846" t="s">
        <v>116</v>
      </c>
    </row>
    <row r="5847" spans="1:15" x14ac:dyDescent="0.3">
      <c r="A5847" s="130">
        <v>26995</v>
      </c>
      <c r="B5847" s="130">
        <v>18</v>
      </c>
      <c r="C5847" s="130" t="s">
        <v>7471</v>
      </c>
      <c r="D5847">
        <v>47270</v>
      </c>
      <c r="E5847" s="131">
        <v>10454877</v>
      </c>
      <c r="F5847" t="s">
        <v>87</v>
      </c>
      <c r="G5847">
        <v>1096</v>
      </c>
      <c r="H5847" t="s">
        <v>8952</v>
      </c>
      <c r="I5847" s="131">
        <v>10</v>
      </c>
      <c r="J5847" t="s">
        <v>7471</v>
      </c>
      <c r="K5847" t="s">
        <v>108</v>
      </c>
      <c r="L5847" t="s">
        <v>127</v>
      </c>
      <c r="M5847" t="s">
        <v>112</v>
      </c>
      <c r="N5847" t="s">
        <v>98</v>
      </c>
      <c r="O5847" t="s">
        <v>116</v>
      </c>
    </row>
    <row r="5848" spans="1:15" x14ac:dyDescent="0.3">
      <c r="A5848" s="130">
        <v>26996</v>
      </c>
      <c r="B5848" s="130">
        <v>21</v>
      </c>
      <c r="C5848" s="130" t="s">
        <v>7472</v>
      </c>
      <c r="D5848">
        <v>47265</v>
      </c>
      <c r="E5848" s="130">
        <v>1276156</v>
      </c>
      <c r="F5848" t="s">
        <v>87</v>
      </c>
      <c r="G5848">
        <v>1096</v>
      </c>
      <c r="H5848" t="s">
        <v>8953</v>
      </c>
      <c r="I5848" s="130">
        <v>9</v>
      </c>
      <c r="J5848" t="s">
        <v>7472</v>
      </c>
      <c r="K5848" t="s">
        <v>95</v>
      </c>
      <c r="L5848" t="s">
        <v>111</v>
      </c>
      <c r="M5848" t="s">
        <v>137</v>
      </c>
      <c r="N5848" t="s">
        <v>98</v>
      </c>
      <c r="O5848" t="s">
        <v>116</v>
      </c>
    </row>
    <row r="5849" spans="1:15" x14ac:dyDescent="0.3">
      <c r="A5849" s="130">
        <v>26997</v>
      </c>
      <c r="B5849" s="130">
        <v>21</v>
      </c>
      <c r="C5849" s="130" t="s">
        <v>7473</v>
      </c>
      <c r="D5849">
        <v>46116</v>
      </c>
      <c r="E5849" s="130">
        <v>10736565</v>
      </c>
      <c r="F5849" t="s">
        <v>87</v>
      </c>
      <c r="G5849">
        <v>1096</v>
      </c>
      <c r="H5849" t="s">
        <v>8951</v>
      </c>
      <c r="I5849" s="131">
        <v>43</v>
      </c>
      <c r="J5849" t="s">
        <v>7473</v>
      </c>
      <c r="K5849" t="s">
        <v>95</v>
      </c>
      <c r="L5849" t="s">
        <v>111</v>
      </c>
      <c r="M5849" t="s">
        <v>137</v>
      </c>
      <c r="N5849" t="s">
        <v>114</v>
      </c>
      <c r="O5849" t="s">
        <v>116</v>
      </c>
    </row>
    <row r="5850" spans="1:15" x14ac:dyDescent="0.3">
      <c r="A5850" s="130">
        <v>26998</v>
      </c>
      <c r="B5850" s="130">
        <v>-1</v>
      </c>
      <c r="C5850" s="130" t="s">
        <v>7474</v>
      </c>
      <c r="D5850">
        <v>47316</v>
      </c>
      <c r="E5850" s="130">
        <v>7319674</v>
      </c>
      <c r="F5850" t="s">
        <v>87</v>
      </c>
      <c r="G5850">
        <v>1096</v>
      </c>
      <c r="H5850" t="s">
        <v>8952</v>
      </c>
      <c r="I5850" s="131">
        <v>26</v>
      </c>
      <c r="J5850" t="s">
        <v>7474</v>
      </c>
      <c r="K5850" t="s">
        <v>108</v>
      </c>
      <c r="L5850" t="s">
        <v>151</v>
      </c>
      <c r="M5850" t="s">
        <v>100</v>
      </c>
      <c r="N5850" t="s">
        <v>152</v>
      </c>
      <c r="O5850" t="s">
        <v>116</v>
      </c>
    </row>
    <row r="5851" spans="1:15" x14ac:dyDescent="0.3">
      <c r="A5851" s="130">
        <v>26999</v>
      </c>
      <c r="B5851" s="130">
        <v>28</v>
      </c>
      <c r="C5851" s="130" t="s">
        <v>7475</v>
      </c>
      <c r="D5851">
        <v>47218</v>
      </c>
      <c r="E5851" s="131">
        <v>50617793</v>
      </c>
      <c r="F5851" t="s">
        <v>87</v>
      </c>
      <c r="G5851">
        <v>1096</v>
      </c>
      <c r="H5851" t="s">
        <v>8953</v>
      </c>
      <c r="I5851" s="130">
        <v>37</v>
      </c>
      <c r="J5851" t="s">
        <v>7475</v>
      </c>
      <c r="K5851" t="s">
        <v>95</v>
      </c>
      <c r="L5851" t="s">
        <v>138</v>
      </c>
      <c r="M5851" t="s">
        <v>130</v>
      </c>
      <c r="N5851" t="s">
        <v>150</v>
      </c>
      <c r="O5851" t="s">
        <v>116</v>
      </c>
    </row>
    <row r="5852" spans="1:15" x14ac:dyDescent="0.3">
      <c r="A5852" s="130">
        <v>27000</v>
      </c>
      <c r="B5852" s="130">
        <v>30</v>
      </c>
      <c r="C5852" s="130" t="s">
        <v>7476</v>
      </c>
      <c r="D5852">
        <v>47160</v>
      </c>
      <c r="E5852" s="131">
        <v>32112142</v>
      </c>
      <c r="F5852" t="s">
        <v>87</v>
      </c>
      <c r="G5852">
        <v>1096</v>
      </c>
      <c r="H5852" t="s">
        <v>8951</v>
      </c>
      <c r="I5852" s="130">
        <v>43</v>
      </c>
      <c r="J5852" t="s">
        <v>7476</v>
      </c>
      <c r="K5852" t="s">
        <v>108</v>
      </c>
      <c r="L5852" t="s">
        <v>1368</v>
      </c>
      <c r="M5852" t="s">
        <v>103</v>
      </c>
      <c r="N5852" t="s">
        <v>141</v>
      </c>
      <c r="O5852" t="s">
        <v>244</v>
      </c>
    </row>
    <row r="5853" spans="1:15" x14ac:dyDescent="0.3">
      <c r="A5853" s="130">
        <v>27001</v>
      </c>
      <c r="B5853" s="130">
        <v>30</v>
      </c>
      <c r="C5853" s="130" t="s">
        <v>7477</v>
      </c>
      <c r="D5853">
        <v>47312</v>
      </c>
      <c r="E5853" s="130">
        <v>9646672</v>
      </c>
      <c r="F5853" t="s">
        <v>87</v>
      </c>
      <c r="G5853">
        <v>1096</v>
      </c>
      <c r="H5853" t="s">
        <v>8952</v>
      </c>
      <c r="I5853" s="130">
        <v>3</v>
      </c>
      <c r="J5853" t="s">
        <v>7477</v>
      </c>
      <c r="K5853" t="s">
        <v>95</v>
      </c>
      <c r="L5853" t="s">
        <v>111</v>
      </c>
      <c r="M5853" t="s">
        <v>103</v>
      </c>
      <c r="N5853" t="s">
        <v>98</v>
      </c>
      <c r="O5853" t="s">
        <v>116</v>
      </c>
    </row>
    <row r="5854" spans="1:15" x14ac:dyDescent="0.3">
      <c r="A5854" s="130">
        <v>27002</v>
      </c>
      <c r="B5854" s="130">
        <v>28</v>
      </c>
      <c r="C5854" s="130" t="s">
        <v>7478</v>
      </c>
      <c r="D5854">
        <v>47325</v>
      </c>
      <c r="E5854" s="131">
        <v>48691363</v>
      </c>
      <c r="F5854" t="s">
        <v>87</v>
      </c>
      <c r="G5854">
        <v>1096</v>
      </c>
      <c r="H5854" t="s">
        <v>8953</v>
      </c>
      <c r="I5854" s="130">
        <v>37</v>
      </c>
      <c r="J5854" t="s">
        <v>7478</v>
      </c>
      <c r="K5854" t="s">
        <v>95</v>
      </c>
      <c r="L5854" t="s">
        <v>138</v>
      </c>
      <c r="M5854" t="s">
        <v>130</v>
      </c>
      <c r="N5854" t="s">
        <v>150</v>
      </c>
      <c r="O5854" t="s">
        <v>116</v>
      </c>
    </row>
    <row r="5855" spans="1:15" x14ac:dyDescent="0.3">
      <c r="A5855" s="130">
        <v>27003</v>
      </c>
      <c r="B5855" s="130">
        <v>18</v>
      </c>
      <c r="C5855" s="130" t="s">
        <v>7479</v>
      </c>
      <c r="D5855">
        <v>47222</v>
      </c>
      <c r="E5855" s="131">
        <v>12363277</v>
      </c>
      <c r="F5855" t="s">
        <v>87</v>
      </c>
      <c r="G5855">
        <v>1096</v>
      </c>
      <c r="H5855" t="s">
        <v>8951</v>
      </c>
      <c r="I5855" s="131">
        <v>37</v>
      </c>
      <c r="J5855" t="s">
        <v>7479</v>
      </c>
      <c r="K5855" t="s">
        <v>108</v>
      </c>
      <c r="L5855" t="s">
        <v>138</v>
      </c>
      <c r="M5855" t="s">
        <v>112</v>
      </c>
      <c r="N5855" t="s">
        <v>114</v>
      </c>
      <c r="O5855" t="s">
        <v>116</v>
      </c>
    </row>
    <row r="5856" spans="1:15" x14ac:dyDescent="0.3">
      <c r="A5856" s="130">
        <v>27004</v>
      </c>
      <c r="B5856" s="130">
        <v>30</v>
      </c>
      <c r="C5856" s="130" t="s">
        <v>7480</v>
      </c>
      <c r="D5856">
        <v>43943</v>
      </c>
      <c r="E5856" s="130">
        <v>5451496</v>
      </c>
      <c r="F5856" t="s">
        <v>87</v>
      </c>
      <c r="G5856">
        <v>1096</v>
      </c>
      <c r="H5856" t="s">
        <v>8952</v>
      </c>
      <c r="I5856" s="130">
        <v>3</v>
      </c>
      <c r="J5856" t="s">
        <v>7480</v>
      </c>
      <c r="K5856" t="s">
        <v>95</v>
      </c>
      <c r="L5856" t="s">
        <v>109</v>
      </c>
      <c r="M5856" t="s">
        <v>103</v>
      </c>
      <c r="N5856" t="s">
        <v>98</v>
      </c>
      <c r="O5856" t="s">
        <v>116</v>
      </c>
    </row>
    <row r="5857" spans="1:15" x14ac:dyDescent="0.3">
      <c r="A5857" s="130">
        <v>27005</v>
      </c>
      <c r="B5857" s="130">
        <v>15</v>
      </c>
      <c r="C5857" s="130" t="s">
        <v>7481</v>
      </c>
      <c r="D5857">
        <v>46867</v>
      </c>
      <c r="E5857" s="130">
        <v>10736565</v>
      </c>
      <c r="F5857" t="s">
        <v>87</v>
      </c>
      <c r="G5857">
        <v>1096</v>
      </c>
      <c r="H5857" t="s">
        <v>8953</v>
      </c>
      <c r="I5857" s="130">
        <v>3</v>
      </c>
      <c r="J5857" t="s">
        <v>7481</v>
      </c>
      <c r="K5857" t="s">
        <v>95</v>
      </c>
      <c r="L5857" t="s">
        <v>1293</v>
      </c>
      <c r="M5857" t="s">
        <v>145</v>
      </c>
      <c r="N5857" t="s">
        <v>114</v>
      </c>
      <c r="O5857" t="s">
        <v>116</v>
      </c>
    </row>
    <row r="5858" spans="1:15" x14ac:dyDescent="0.3">
      <c r="A5858" s="130">
        <v>27006</v>
      </c>
      <c r="B5858" s="130">
        <v>28</v>
      </c>
      <c r="C5858" s="130" t="s">
        <v>7482</v>
      </c>
      <c r="D5858">
        <v>47323</v>
      </c>
      <c r="E5858" s="130">
        <v>16521601</v>
      </c>
      <c r="F5858" t="s">
        <v>87</v>
      </c>
      <c r="G5858">
        <v>1096</v>
      </c>
      <c r="H5858" t="s">
        <v>8951</v>
      </c>
      <c r="I5858" s="131">
        <v>3</v>
      </c>
      <c r="J5858" t="s">
        <v>7482</v>
      </c>
      <c r="K5858" t="s">
        <v>108</v>
      </c>
      <c r="L5858" t="s">
        <v>1293</v>
      </c>
      <c r="M5858" t="s">
        <v>130</v>
      </c>
      <c r="N5858" t="s">
        <v>98</v>
      </c>
      <c r="O5858" t="s">
        <v>116</v>
      </c>
    </row>
    <row r="5859" spans="1:15" x14ac:dyDescent="0.3">
      <c r="A5859" s="130">
        <v>27007</v>
      </c>
      <c r="B5859" s="130">
        <v>28</v>
      </c>
      <c r="C5859" s="130" t="s">
        <v>7483</v>
      </c>
      <c r="D5859">
        <v>46844</v>
      </c>
      <c r="E5859" s="131">
        <v>97543471</v>
      </c>
      <c r="F5859" t="s">
        <v>87</v>
      </c>
      <c r="G5859">
        <v>1096</v>
      </c>
      <c r="H5859" t="s">
        <v>8952</v>
      </c>
      <c r="I5859" s="130">
        <v>3</v>
      </c>
      <c r="J5859" t="s">
        <v>7483</v>
      </c>
      <c r="K5859" t="s">
        <v>95</v>
      </c>
      <c r="L5859" t="s">
        <v>240</v>
      </c>
      <c r="M5859" t="s">
        <v>130</v>
      </c>
      <c r="N5859" t="s">
        <v>98</v>
      </c>
      <c r="O5859" t="s">
        <v>116</v>
      </c>
    </row>
    <row r="5860" spans="1:15" x14ac:dyDescent="0.3">
      <c r="A5860" s="130">
        <v>27008</v>
      </c>
      <c r="B5860" s="130">
        <v>28</v>
      </c>
      <c r="C5860" s="130" t="s">
        <v>7484</v>
      </c>
      <c r="D5860">
        <v>47334</v>
      </c>
      <c r="E5860" s="130">
        <v>97543471</v>
      </c>
      <c r="F5860" t="s">
        <v>87</v>
      </c>
      <c r="G5860">
        <v>1096</v>
      </c>
      <c r="H5860" t="s">
        <v>8953</v>
      </c>
      <c r="I5860" s="130">
        <v>3</v>
      </c>
      <c r="J5860" t="s">
        <v>7484</v>
      </c>
      <c r="K5860" t="s">
        <v>95</v>
      </c>
      <c r="L5860" t="s">
        <v>240</v>
      </c>
      <c r="M5860" t="s">
        <v>130</v>
      </c>
      <c r="N5860" t="s">
        <v>98</v>
      </c>
      <c r="O5860" t="s">
        <v>116</v>
      </c>
    </row>
    <row r="5861" spans="1:15" x14ac:dyDescent="0.3">
      <c r="A5861" s="130">
        <v>27009</v>
      </c>
      <c r="B5861" s="130">
        <v>45</v>
      </c>
      <c r="C5861" s="130" t="s">
        <v>7485</v>
      </c>
      <c r="D5861">
        <v>46940</v>
      </c>
      <c r="E5861" s="130">
        <v>13623957</v>
      </c>
      <c r="F5861" t="s">
        <v>87</v>
      </c>
      <c r="G5861">
        <v>1096</v>
      </c>
      <c r="H5861" t="s">
        <v>8951</v>
      </c>
      <c r="I5861" s="130">
        <v>18</v>
      </c>
      <c r="J5861" t="s">
        <v>7485</v>
      </c>
      <c r="K5861" t="s">
        <v>95</v>
      </c>
      <c r="L5861" t="s">
        <v>123</v>
      </c>
      <c r="M5861" t="s">
        <v>106</v>
      </c>
      <c r="N5861" t="s">
        <v>98</v>
      </c>
      <c r="O5861" t="s">
        <v>116</v>
      </c>
    </row>
    <row r="5862" spans="1:15" x14ac:dyDescent="0.3">
      <c r="A5862" s="130">
        <v>45065</v>
      </c>
      <c r="B5862" s="130">
        <v>30</v>
      </c>
      <c r="C5862" s="130" t="s">
        <v>7486</v>
      </c>
      <c r="D5862">
        <v>4</v>
      </c>
      <c r="E5862" s="130">
        <v>18565382</v>
      </c>
      <c r="F5862" t="s">
        <v>87</v>
      </c>
      <c r="G5862">
        <v>77</v>
      </c>
      <c r="H5862" t="s">
        <v>8952</v>
      </c>
      <c r="I5862" s="130">
        <v>2</v>
      </c>
      <c r="J5862" t="s">
        <v>7486</v>
      </c>
      <c r="K5862" t="s">
        <v>95</v>
      </c>
      <c r="L5862" t="s">
        <v>117</v>
      </c>
      <c r="M5862" t="s">
        <v>103</v>
      </c>
      <c r="N5862" t="s">
        <v>118</v>
      </c>
      <c r="O5862" t="s">
        <v>116</v>
      </c>
    </row>
    <row r="5863" spans="1:15" x14ac:dyDescent="0.3">
      <c r="A5863" s="130">
        <v>47371</v>
      </c>
      <c r="B5863" s="130">
        <v>28</v>
      </c>
      <c r="C5863" s="130" t="s">
        <v>7487</v>
      </c>
      <c r="D5863">
        <v>5</v>
      </c>
      <c r="E5863" s="131">
        <v>9271712</v>
      </c>
      <c r="F5863" t="s">
        <v>87</v>
      </c>
      <c r="G5863">
        <v>358</v>
      </c>
      <c r="H5863" t="s">
        <v>8953</v>
      </c>
      <c r="I5863" s="131">
        <v>2</v>
      </c>
      <c r="J5863" t="s">
        <v>7487</v>
      </c>
      <c r="K5863" t="s">
        <v>95</v>
      </c>
      <c r="L5863" t="s">
        <v>109</v>
      </c>
      <c r="M5863" t="s">
        <v>130</v>
      </c>
      <c r="N5863" t="s">
        <v>101</v>
      </c>
      <c r="O5863" t="s">
        <v>116</v>
      </c>
    </row>
    <row r="5864" spans="1:15" x14ac:dyDescent="0.3">
      <c r="A5864" s="130">
        <v>49042</v>
      </c>
      <c r="B5864" s="130">
        <v>60</v>
      </c>
      <c r="C5864" s="130" t="s">
        <v>7488</v>
      </c>
      <c r="D5864">
        <v>6</v>
      </c>
      <c r="E5864" s="131">
        <v>33592510</v>
      </c>
      <c r="F5864" t="s">
        <v>87</v>
      </c>
      <c r="G5864">
        <v>78</v>
      </c>
      <c r="H5864" t="s">
        <v>8951</v>
      </c>
      <c r="I5864" s="130">
        <v>2</v>
      </c>
      <c r="J5864" t="s">
        <v>7488</v>
      </c>
      <c r="K5864" t="s">
        <v>95</v>
      </c>
      <c r="L5864" t="s">
        <v>117</v>
      </c>
      <c r="M5864" t="s">
        <v>97</v>
      </c>
      <c r="N5864" t="s">
        <v>118</v>
      </c>
      <c r="O5864" t="s">
        <v>116</v>
      </c>
    </row>
    <row r="5865" spans="1:15" x14ac:dyDescent="0.3">
      <c r="A5865" s="130">
        <v>49399</v>
      </c>
      <c r="B5865" s="130">
        <v>28</v>
      </c>
      <c r="C5865" s="130" t="s">
        <v>7489</v>
      </c>
      <c r="D5865">
        <v>7</v>
      </c>
      <c r="E5865" s="130">
        <v>17312448</v>
      </c>
      <c r="F5865" t="s">
        <v>87</v>
      </c>
      <c r="G5865">
        <v>358</v>
      </c>
      <c r="H5865" t="s">
        <v>8952</v>
      </c>
      <c r="I5865" s="131">
        <v>2</v>
      </c>
      <c r="J5865" t="s">
        <v>7489</v>
      </c>
      <c r="K5865" t="s">
        <v>108</v>
      </c>
      <c r="L5865" t="s">
        <v>105</v>
      </c>
      <c r="M5865" t="s">
        <v>130</v>
      </c>
      <c r="N5865" t="s">
        <v>98</v>
      </c>
      <c r="O5865" t="s">
        <v>1345</v>
      </c>
    </row>
    <row r="5866" spans="1:15" x14ac:dyDescent="0.3">
      <c r="A5866" s="130">
        <v>49400</v>
      </c>
      <c r="B5866" s="130">
        <v>28</v>
      </c>
      <c r="C5866" s="130" t="s">
        <v>7490</v>
      </c>
      <c r="D5866">
        <v>8</v>
      </c>
      <c r="E5866" s="131">
        <v>17312448</v>
      </c>
      <c r="F5866" t="s">
        <v>87</v>
      </c>
      <c r="G5866">
        <v>358</v>
      </c>
      <c r="H5866" t="s">
        <v>8953</v>
      </c>
      <c r="I5866" s="131">
        <v>2</v>
      </c>
      <c r="J5866" t="s">
        <v>7490</v>
      </c>
      <c r="K5866" t="s">
        <v>108</v>
      </c>
      <c r="L5866" t="s">
        <v>111</v>
      </c>
      <c r="M5866" t="s">
        <v>130</v>
      </c>
      <c r="N5866" t="s">
        <v>101</v>
      </c>
      <c r="O5866" t="s">
        <v>1345</v>
      </c>
    </row>
    <row r="5867" spans="1:15" x14ac:dyDescent="0.3">
      <c r="A5867" s="130">
        <v>50100</v>
      </c>
      <c r="B5867" s="130">
        <v>28</v>
      </c>
      <c r="C5867" s="130" t="s">
        <v>7491</v>
      </c>
      <c r="D5867">
        <v>9</v>
      </c>
      <c r="E5867" s="130">
        <v>5969984</v>
      </c>
      <c r="F5867" t="s">
        <v>87</v>
      </c>
      <c r="G5867">
        <v>358</v>
      </c>
      <c r="H5867" t="s">
        <v>8951</v>
      </c>
      <c r="I5867" s="130">
        <v>9</v>
      </c>
      <c r="J5867" t="s">
        <v>7491</v>
      </c>
      <c r="K5867" t="s">
        <v>95</v>
      </c>
      <c r="L5867" t="s">
        <v>105</v>
      </c>
      <c r="M5867" t="s">
        <v>130</v>
      </c>
      <c r="N5867" t="s">
        <v>114</v>
      </c>
      <c r="O5867" t="s">
        <v>116</v>
      </c>
    </row>
    <row r="5868" spans="1:15" x14ac:dyDescent="0.3">
      <c r="A5868" s="130">
        <v>51838</v>
      </c>
      <c r="B5868" s="130">
        <v>28</v>
      </c>
      <c r="C5868" s="130" t="s">
        <v>7492</v>
      </c>
      <c r="D5868">
        <v>10</v>
      </c>
      <c r="E5868" s="131">
        <v>7358761</v>
      </c>
      <c r="F5868" t="s">
        <v>87</v>
      </c>
      <c r="G5868">
        <v>78</v>
      </c>
      <c r="H5868" t="s">
        <v>8952</v>
      </c>
      <c r="I5868" s="130">
        <v>2</v>
      </c>
      <c r="J5868" t="s">
        <v>7492</v>
      </c>
      <c r="K5868" t="s">
        <v>95</v>
      </c>
      <c r="L5868" t="s">
        <v>256</v>
      </c>
      <c r="M5868" t="s">
        <v>130</v>
      </c>
      <c r="N5868" t="s">
        <v>141</v>
      </c>
      <c r="O5868" t="s">
        <v>116</v>
      </c>
    </row>
    <row r="5869" spans="1:15" x14ac:dyDescent="0.3">
      <c r="A5869" s="130">
        <v>51929</v>
      </c>
      <c r="B5869" s="130">
        <v>28</v>
      </c>
      <c r="C5869" s="130" t="s">
        <v>7493</v>
      </c>
      <c r="D5869">
        <v>11</v>
      </c>
      <c r="E5869" s="130">
        <v>5820500</v>
      </c>
      <c r="F5869" t="s">
        <v>87</v>
      </c>
      <c r="G5869">
        <v>78</v>
      </c>
      <c r="H5869" t="s">
        <v>8953</v>
      </c>
      <c r="I5869" s="130">
        <v>2</v>
      </c>
      <c r="J5869" t="s">
        <v>7493</v>
      </c>
      <c r="K5869" t="s">
        <v>95</v>
      </c>
      <c r="L5869" t="s">
        <v>109</v>
      </c>
      <c r="M5869" t="s">
        <v>130</v>
      </c>
      <c r="N5869" t="s">
        <v>101</v>
      </c>
      <c r="O5869" t="s">
        <v>116</v>
      </c>
    </row>
    <row r="5870" spans="1:15" x14ac:dyDescent="0.3">
      <c r="A5870" s="130">
        <v>52022</v>
      </c>
      <c r="B5870" s="130">
        <v>28</v>
      </c>
      <c r="C5870" s="130" t="s">
        <v>7494</v>
      </c>
      <c r="D5870">
        <v>12</v>
      </c>
      <c r="E5870" s="130">
        <v>34151100</v>
      </c>
      <c r="F5870" t="s">
        <v>87</v>
      </c>
      <c r="G5870">
        <v>78</v>
      </c>
      <c r="H5870" t="s">
        <v>8951</v>
      </c>
      <c r="I5870" s="131">
        <v>2</v>
      </c>
      <c r="J5870" t="s">
        <v>7494</v>
      </c>
      <c r="K5870" t="s">
        <v>95</v>
      </c>
      <c r="L5870" t="s">
        <v>105</v>
      </c>
      <c r="M5870" t="s">
        <v>130</v>
      </c>
      <c r="N5870" t="s">
        <v>101</v>
      </c>
      <c r="O5870" t="s">
        <v>1345</v>
      </c>
    </row>
    <row r="5871" spans="1:15" x14ac:dyDescent="0.3">
      <c r="A5871" s="130">
        <v>53002</v>
      </c>
      <c r="B5871" s="130">
        <v>28</v>
      </c>
      <c r="C5871" s="130" t="s">
        <v>7495</v>
      </c>
      <c r="D5871">
        <v>13</v>
      </c>
      <c r="E5871" s="130">
        <v>439965</v>
      </c>
      <c r="F5871" t="s">
        <v>87</v>
      </c>
      <c r="G5871">
        <v>78</v>
      </c>
      <c r="H5871" t="s">
        <v>8952</v>
      </c>
      <c r="I5871" s="130">
        <v>2</v>
      </c>
      <c r="J5871" t="s">
        <v>7495</v>
      </c>
      <c r="K5871" t="s">
        <v>108</v>
      </c>
      <c r="L5871" t="s">
        <v>111</v>
      </c>
      <c r="M5871" t="s">
        <v>130</v>
      </c>
      <c r="N5871" t="s">
        <v>114</v>
      </c>
      <c r="O5871" t="s">
        <v>116</v>
      </c>
    </row>
    <row r="5872" spans="1:15" x14ac:dyDescent="0.3">
      <c r="A5872" s="130">
        <v>53191</v>
      </c>
      <c r="B5872" s="130">
        <v>60</v>
      </c>
      <c r="C5872" s="130" t="s">
        <v>7496</v>
      </c>
      <c r="D5872">
        <v>14</v>
      </c>
      <c r="E5872" s="131">
        <v>13623957</v>
      </c>
      <c r="F5872" t="s">
        <v>87</v>
      </c>
      <c r="G5872">
        <v>78</v>
      </c>
      <c r="H5872" t="s">
        <v>8953</v>
      </c>
      <c r="I5872" s="131">
        <v>2</v>
      </c>
      <c r="J5872" t="s">
        <v>7496</v>
      </c>
      <c r="K5872" t="s">
        <v>95</v>
      </c>
      <c r="L5872" t="s">
        <v>109</v>
      </c>
      <c r="M5872" t="s">
        <v>97</v>
      </c>
      <c r="N5872" t="s">
        <v>98</v>
      </c>
      <c r="O5872" t="s">
        <v>116</v>
      </c>
    </row>
    <row r="5873" spans="1:15" x14ac:dyDescent="0.3">
      <c r="A5873" s="130">
        <v>53391</v>
      </c>
      <c r="B5873" s="130">
        <v>28</v>
      </c>
      <c r="C5873" s="130" t="s">
        <v>7497</v>
      </c>
      <c r="D5873">
        <v>15</v>
      </c>
      <c r="E5873" s="130">
        <v>9110880</v>
      </c>
      <c r="F5873" t="s">
        <v>87</v>
      </c>
      <c r="G5873">
        <v>358</v>
      </c>
      <c r="H5873" t="s">
        <v>8951</v>
      </c>
      <c r="I5873" s="130">
        <v>9</v>
      </c>
      <c r="J5873" t="s">
        <v>7497</v>
      </c>
      <c r="K5873" t="s">
        <v>108</v>
      </c>
      <c r="L5873" t="s">
        <v>111</v>
      </c>
      <c r="M5873" t="s">
        <v>130</v>
      </c>
      <c r="N5873" t="s">
        <v>124</v>
      </c>
      <c r="O5873" t="s">
        <v>116</v>
      </c>
    </row>
    <row r="5874" spans="1:15" x14ac:dyDescent="0.3">
      <c r="A5874" s="130">
        <v>53414</v>
      </c>
      <c r="B5874" s="130">
        <v>28</v>
      </c>
      <c r="C5874" s="130" t="s">
        <v>7498</v>
      </c>
      <c r="D5874">
        <v>16</v>
      </c>
      <c r="E5874" s="130">
        <v>8355948</v>
      </c>
      <c r="F5874" t="s">
        <v>87</v>
      </c>
      <c r="G5874">
        <v>358</v>
      </c>
      <c r="H5874" t="s">
        <v>8952</v>
      </c>
      <c r="I5874" s="131">
        <v>9</v>
      </c>
      <c r="J5874" t="s">
        <v>7498</v>
      </c>
      <c r="K5874" t="s">
        <v>95</v>
      </c>
      <c r="L5874" t="s">
        <v>105</v>
      </c>
      <c r="M5874" t="s">
        <v>130</v>
      </c>
      <c r="N5874" t="s">
        <v>98</v>
      </c>
      <c r="O5874" t="s">
        <v>116</v>
      </c>
    </row>
    <row r="5875" spans="1:15" x14ac:dyDescent="0.3">
      <c r="A5875" s="130">
        <v>53751</v>
      </c>
      <c r="B5875" s="130">
        <v>28</v>
      </c>
      <c r="C5875" s="130" t="s">
        <v>7499</v>
      </c>
      <c r="D5875">
        <v>17</v>
      </c>
      <c r="E5875" s="131">
        <v>13863763</v>
      </c>
      <c r="F5875" t="s">
        <v>87</v>
      </c>
      <c r="G5875">
        <v>358</v>
      </c>
      <c r="H5875" t="s">
        <v>8953</v>
      </c>
      <c r="I5875" s="131">
        <v>2</v>
      </c>
      <c r="J5875" t="s">
        <v>7499</v>
      </c>
      <c r="K5875" t="s">
        <v>108</v>
      </c>
      <c r="L5875" t="s">
        <v>109</v>
      </c>
      <c r="M5875" t="s">
        <v>130</v>
      </c>
      <c r="N5875" t="s">
        <v>101</v>
      </c>
      <c r="O5875" t="s">
        <v>116</v>
      </c>
    </row>
    <row r="5876" spans="1:15" x14ac:dyDescent="0.3">
      <c r="A5876" s="130">
        <v>53797</v>
      </c>
      <c r="B5876" s="130">
        <v>28</v>
      </c>
      <c r="C5876" s="130" t="s">
        <v>7500</v>
      </c>
      <c r="D5876">
        <v>18</v>
      </c>
      <c r="E5876" s="131">
        <v>9592552</v>
      </c>
      <c r="F5876" t="s">
        <v>87</v>
      </c>
      <c r="G5876">
        <v>358</v>
      </c>
      <c r="H5876" t="s">
        <v>8951</v>
      </c>
      <c r="I5876" s="131">
        <v>2</v>
      </c>
      <c r="J5876" t="s">
        <v>7500</v>
      </c>
      <c r="K5876" t="s">
        <v>95</v>
      </c>
      <c r="L5876" t="s">
        <v>105</v>
      </c>
      <c r="M5876" t="s">
        <v>130</v>
      </c>
      <c r="N5876" t="s">
        <v>114</v>
      </c>
      <c r="O5876" t="s">
        <v>116</v>
      </c>
    </row>
    <row r="5877" spans="1:15" x14ac:dyDescent="0.3">
      <c r="A5877" s="130">
        <v>53815</v>
      </c>
      <c r="B5877" s="130">
        <v>28</v>
      </c>
      <c r="C5877" s="130" t="s">
        <v>7501</v>
      </c>
      <c r="D5877">
        <v>19</v>
      </c>
      <c r="E5877" s="130">
        <v>11104038</v>
      </c>
      <c r="F5877" t="s">
        <v>87</v>
      </c>
      <c r="G5877">
        <v>358</v>
      </c>
      <c r="H5877" t="s">
        <v>8952</v>
      </c>
      <c r="I5877" s="131">
        <v>2</v>
      </c>
      <c r="J5877" t="s">
        <v>7501</v>
      </c>
      <c r="K5877" t="s">
        <v>95</v>
      </c>
      <c r="L5877" t="s">
        <v>109</v>
      </c>
      <c r="M5877" t="s">
        <v>130</v>
      </c>
      <c r="N5877" t="s">
        <v>124</v>
      </c>
      <c r="O5877" t="s">
        <v>116</v>
      </c>
    </row>
    <row r="5878" spans="1:15" x14ac:dyDescent="0.3">
      <c r="A5878" s="130">
        <v>53954</v>
      </c>
      <c r="B5878" s="130">
        <v>30</v>
      </c>
      <c r="C5878" s="130" t="s">
        <v>7502</v>
      </c>
      <c r="D5878">
        <v>20</v>
      </c>
      <c r="E5878" s="130">
        <v>7083656</v>
      </c>
      <c r="F5878" t="s">
        <v>87</v>
      </c>
      <c r="G5878">
        <v>358</v>
      </c>
      <c r="H5878" t="s">
        <v>8953</v>
      </c>
      <c r="I5878" s="130">
        <v>2</v>
      </c>
      <c r="J5878" t="s">
        <v>7502</v>
      </c>
      <c r="K5878" t="s">
        <v>108</v>
      </c>
      <c r="L5878" t="s">
        <v>99</v>
      </c>
      <c r="M5878" t="s">
        <v>103</v>
      </c>
      <c r="N5878" t="s">
        <v>101</v>
      </c>
      <c r="O5878" t="s">
        <v>1345</v>
      </c>
    </row>
    <row r="5879" spans="1:15" x14ac:dyDescent="0.3">
      <c r="A5879" s="130">
        <v>53973</v>
      </c>
      <c r="B5879" s="130">
        <v>18</v>
      </c>
      <c r="C5879" s="130" t="s">
        <v>7503</v>
      </c>
      <c r="D5879">
        <v>21</v>
      </c>
      <c r="E5879" s="130">
        <v>17027806</v>
      </c>
      <c r="F5879" t="s">
        <v>87</v>
      </c>
      <c r="G5879">
        <v>358</v>
      </c>
      <c r="H5879" t="s">
        <v>8951</v>
      </c>
      <c r="I5879" s="130">
        <v>2</v>
      </c>
      <c r="J5879" t="s">
        <v>7503</v>
      </c>
      <c r="K5879" t="s">
        <v>95</v>
      </c>
      <c r="L5879" t="s">
        <v>109</v>
      </c>
      <c r="M5879" t="s">
        <v>112</v>
      </c>
      <c r="N5879" t="s">
        <v>132</v>
      </c>
      <c r="O5879" t="s">
        <v>116</v>
      </c>
    </row>
    <row r="5880" spans="1:15" x14ac:dyDescent="0.3">
      <c r="A5880" s="130">
        <v>54206</v>
      </c>
      <c r="B5880" s="130">
        <v>28</v>
      </c>
      <c r="C5880" s="130" t="s">
        <v>7504</v>
      </c>
      <c r="D5880">
        <v>22</v>
      </c>
      <c r="E5880" s="131">
        <v>17462219</v>
      </c>
      <c r="F5880" t="s">
        <v>87</v>
      </c>
      <c r="G5880">
        <v>358</v>
      </c>
      <c r="H5880" t="s">
        <v>8952</v>
      </c>
      <c r="I5880" s="131">
        <v>2</v>
      </c>
      <c r="J5880" t="s">
        <v>7504</v>
      </c>
      <c r="K5880" t="s">
        <v>95</v>
      </c>
      <c r="L5880" t="s">
        <v>105</v>
      </c>
      <c r="M5880" t="s">
        <v>130</v>
      </c>
      <c r="N5880" t="s">
        <v>98</v>
      </c>
      <c r="O5880" t="s">
        <v>116</v>
      </c>
    </row>
    <row r="5881" spans="1:15" x14ac:dyDescent="0.3">
      <c r="A5881" s="130">
        <v>54489</v>
      </c>
      <c r="B5881" s="130">
        <v>18</v>
      </c>
      <c r="C5881" s="130" t="s">
        <v>7505</v>
      </c>
      <c r="D5881">
        <v>23</v>
      </c>
      <c r="E5881" s="130">
        <v>7083656</v>
      </c>
      <c r="F5881" t="s">
        <v>87</v>
      </c>
      <c r="G5881">
        <v>358</v>
      </c>
      <c r="H5881" t="s">
        <v>8953</v>
      </c>
      <c r="I5881" s="130">
        <v>2</v>
      </c>
      <c r="J5881" t="s">
        <v>7505</v>
      </c>
      <c r="K5881" t="s">
        <v>108</v>
      </c>
      <c r="L5881" t="s">
        <v>105</v>
      </c>
      <c r="M5881" t="s">
        <v>112</v>
      </c>
      <c r="N5881" t="s">
        <v>101</v>
      </c>
      <c r="O5881" t="s">
        <v>116</v>
      </c>
    </row>
    <row r="5882" spans="1:15" x14ac:dyDescent="0.3">
      <c r="A5882" s="130">
        <v>54948</v>
      </c>
      <c r="B5882" s="130">
        <v>30</v>
      </c>
      <c r="C5882" s="130" t="s">
        <v>7506</v>
      </c>
      <c r="D5882">
        <v>24</v>
      </c>
      <c r="E5882" s="130">
        <v>34151100</v>
      </c>
      <c r="F5882" t="s">
        <v>87</v>
      </c>
      <c r="G5882">
        <v>358</v>
      </c>
      <c r="H5882" t="s">
        <v>8951</v>
      </c>
      <c r="I5882" s="131">
        <v>2</v>
      </c>
      <c r="J5882" t="s">
        <v>7506</v>
      </c>
      <c r="K5882" t="s">
        <v>95</v>
      </c>
      <c r="L5882" t="s">
        <v>109</v>
      </c>
      <c r="M5882" t="s">
        <v>103</v>
      </c>
      <c r="N5882" t="s">
        <v>101</v>
      </c>
      <c r="O5882" t="s">
        <v>116</v>
      </c>
    </row>
    <row r="5883" spans="1:15" x14ac:dyDescent="0.3">
      <c r="A5883" s="130">
        <v>55272</v>
      </c>
      <c r="B5883" s="130">
        <v>28</v>
      </c>
      <c r="C5883" s="130" t="s">
        <v>7507</v>
      </c>
      <c r="D5883">
        <v>25</v>
      </c>
      <c r="E5883" s="130">
        <v>5214561</v>
      </c>
      <c r="F5883" t="s">
        <v>87</v>
      </c>
      <c r="G5883">
        <v>78</v>
      </c>
      <c r="H5883" t="s">
        <v>8952</v>
      </c>
      <c r="I5883" s="131">
        <v>2</v>
      </c>
      <c r="J5883" t="s">
        <v>7507</v>
      </c>
      <c r="K5883" t="s">
        <v>95</v>
      </c>
      <c r="L5883" t="s">
        <v>109</v>
      </c>
      <c r="M5883" t="s">
        <v>130</v>
      </c>
      <c r="N5883" t="s">
        <v>98</v>
      </c>
      <c r="O5883" t="s">
        <v>116</v>
      </c>
    </row>
    <row r="5884" spans="1:15" x14ac:dyDescent="0.3">
      <c r="A5884" s="130">
        <v>55410</v>
      </c>
      <c r="B5884" s="130">
        <v>18</v>
      </c>
      <c r="C5884" s="130" t="s">
        <v>7508</v>
      </c>
      <c r="D5884">
        <v>26</v>
      </c>
      <c r="E5884" s="130">
        <v>11161348</v>
      </c>
      <c r="F5884" t="s">
        <v>87</v>
      </c>
      <c r="G5884">
        <v>358</v>
      </c>
      <c r="H5884" t="s">
        <v>8953</v>
      </c>
      <c r="I5884" s="130">
        <v>2</v>
      </c>
      <c r="J5884" t="s">
        <v>7508</v>
      </c>
      <c r="K5884" t="s">
        <v>95</v>
      </c>
      <c r="L5884" t="s">
        <v>105</v>
      </c>
      <c r="M5884" t="s">
        <v>112</v>
      </c>
      <c r="N5884" t="s">
        <v>101</v>
      </c>
      <c r="O5884" t="s">
        <v>116</v>
      </c>
    </row>
    <row r="5885" spans="1:15" x14ac:dyDescent="0.3">
      <c r="A5885" s="130">
        <v>55535</v>
      </c>
      <c r="B5885" s="130">
        <v>18</v>
      </c>
      <c r="C5885" s="130" t="s">
        <v>7509</v>
      </c>
      <c r="D5885">
        <v>27</v>
      </c>
      <c r="E5885" s="131">
        <v>11950609</v>
      </c>
      <c r="F5885" t="s">
        <v>87</v>
      </c>
      <c r="G5885">
        <v>78</v>
      </c>
      <c r="H5885" t="s">
        <v>8951</v>
      </c>
      <c r="I5885" s="130">
        <v>18</v>
      </c>
      <c r="J5885" t="s">
        <v>7509</v>
      </c>
      <c r="K5885" t="s">
        <v>95</v>
      </c>
      <c r="L5885" t="s">
        <v>123</v>
      </c>
      <c r="M5885" t="s">
        <v>112</v>
      </c>
      <c r="N5885" t="s">
        <v>98</v>
      </c>
      <c r="O5885" t="s">
        <v>116</v>
      </c>
    </row>
    <row r="5886" spans="1:15" x14ac:dyDescent="0.3">
      <c r="A5886" s="130">
        <v>55703</v>
      </c>
      <c r="B5886" s="130">
        <v>28</v>
      </c>
      <c r="C5886" s="130" t="s">
        <v>7510</v>
      </c>
      <c r="D5886">
        <v>28</v>
      </c>
      <c r="E5886" s="130">
        <v>78391612</v>
      </c>
      <c r="F5886" t="s">
        <v>87</v>
      </c>
      <c r="G5886">
        <v>78</v>
      </c>
      <c r="H5886" t="s">
        <v>8952</v>
      </c>
      <c r="I5886" s="130">
        <v>2</v>
      </c>
      <c r="J5886" t="s">
        <v>7510</v>
      </c>
      <c r="K5886" t="s">
        <v>108</v>
      </c>
      <c r="L5886" t="s">
        <v>146</v>
      </c>
      <c r="M5886" t="s">
        <v>130</v>
      </c>
      <c r="N5886" t="s">
        <v>114</v>
      </c>
      <c r="O5886" t="s">
        <v>1345</v>
      </c>
    </row>
    <row r="5887" spans="1:15" x14ac:dyDescent="0.3">
      <c r="A5887" s="130">
        <v>55757</v>
      </c>
      <c r="B5887" s="130">
        <v>18</v>
      </c>
      <c r="C5887" s="130" t="s">
        <v>7511</v>
      </c>
      <c r="D5887">
        <v>29</v>
      </c>
      <c r="E5887" s="130">
        <v>2905110</v>
      </c>
      <c r="F5887" t="s">
        <v>87</v>
      </c>
      <c r="G5887">
        <v>358</v>
      </c>
      <c r="H5887" t="s">
        <v>8953</v>
      </c>
      <c r="I5887" s="131">
        <v>2</v>
      </c>
      <c r="J5887" t="s">
        <v>7511</v>
      </c>
      <c r="K5887" t="s">
        <v>108</v>
      </c>
      <c r="L5887" t="s">
        <v>1293</v>
      </c>
      <c r="M5887" t="s">
        <v>112</v>
      </c>
      <c r="N5887" t="s">
        <v>216</v>
      </c>
      <c r="O5887" t="s">
        <v>116</v>
      </c>
    </row>
    <row r="5888" spans="1:15" x14ac:dyDescent="0.3">
      <c r="A5888" s="130">
        <v>55818</v>
      </c>
      <c r="B5888" s="130">
        <v>30</v>
      </c>
      <c r="C5888" s="130" t="s">
        <v>7512</v>
      </c>
      <c r="D5888">
        <v>30</v>
      </c>
      <c r="E5888" s="130">
        <v>8807683</v>
      </c>
      <c r="F5888" t="s">
        <v>87</v>
      </c>
      <c r="G5888">
        <v>78</v>
      </c>
      <c r="H5888" t="s">
        <v>8951</v>
      </c>
      <c r="I5888" s="130">
        <v>18</v>
      </c>
      <c r="J5888" t="s">
        <v>7512</v>
      </c>
      <c r="K5888" t="s">
        <v>95</v>
      </c>
      <c r="L5888" t="s">
        <v>151</v>
      </c>
      <c r="M5888" t="s">
        <v>103</v>
      </c>
      <c r="N5888" t="s">
        <v>122</v>
      </c>
      <c r="O5888" t="s">
        <v>1345</v>
      </c>
    </row>
    <row r="5889" spans="1:15" x14ac:dyDescent="0.3">
      <c r="A5889" s="130">
        <v>55876</v>
      </c>
      <c r="B5889" s="130">
        <v>28</v>
      </c>
      <c r="C5889" s="130" t="s">
        <v>7513</v>
      </c>
      <c r="D5889">
        <v>31</v>
      </c>
      <c r="E5889" s="130">
        <v>34151100</v>
      </c>
      <c r="F5889" t="s">
        <v>87</v>
      </c>
      <c r="G5889">
        <v>358</v>
      </c>
      <c r="H5889" t="s">
        <v>8952</v>
      </c>
      <c r="I5889" s="130">
        <v>10</v>
      </c>
      <c r="J5889" t="s">
        <v>7513</v>
      </c>
      <c r="K5889" t="s">
        <v>95</v>
      </c>
      <c r="L5889" t="s">
        <v>127</v>
      </c>
      <c r="M5889" t="s">
        <v>130</v>
      </c>
      <c r="N5889" t="s">
        <v>118</v>
      </c>
      <c r="O5889" t="s">
        <v>116</v>
      </c>
    </row>
    <row r="5890" spans="1:15" x14ac:dyDescent="0.3">
      <c r="A5890" s="130">
        <v>55969</v>
      </c>
      <c r="B5890" s="130">
        <v>60</v>
      </c>
      <c r="C5890" s="130" t="s">
        <v>7514</v>
      </c>
      <c r="D5890">
        <v>32</v>
      </c>
      <c r="E5890" s="131">
        <v>18516305</v>
      </c>
      <c r="F5890" t="s">
        <v>87</v>
      </c>
      <c r="G5890">
        <v>358</v>
      </c>
      <c r="H5890" t="s">
        <v>8953</v>
      </c>
      <c r="I5890" s="131">
        <v>2</v>
      </c>
      <c r="J5890" t="s">
        <v>7514</v>
      </c>
      <c r="K5890" t="s">
        <v>95</v>
      </c>
      <c r="L5890" t="s">
        <v>105</v>
      </c>
      <c r="M5890" t="s">
        <v>97</v>
      </c>
      <c r="N5890" t="s">
        <v>122</v>
      </c>
      <c r="O5890" t="s">
        <v>1345</v>
      </c>
    </row>
    <row r="5891" spans="1:15" x14ac:dyDescent="0.3">
      <c r="A5891" s="130">
        <v>56089</v>
      </c>
      <c r="B5891" s="130">
        <v>30</v>
      </c>
      <c r="C5891" s="130" t="s">
        <v>7515</v>
      </c>
      <c r="D5891">
        <v>33</v>
      </c>
      <c r="E5891" s="130">
        <v>8807683</v>
      </c>
      <c r="F5891" t="s">
        <v>87</v>
      </c>
      <c r="G5891">
        <v>78</v>
      </c>
      <c r="H5891" t="s">
        <v>8951</v>
      </c>
      <c r="I5891" s="130">
        <v>18</v>
      </c>
      <c r="J5891" t="s">
        <v>7515</v>
      </c>
      <c r="K5891" t="s">
        <v>95</v>
      </c>
      <c r="L5891" t="s">
        <v>151</v>
      </c>
      <c r="M5891" t="s">
        <v>103</v>
      </c>
      <c r="N5891" t="s">
        <v>122</v>
      </c>
      <c r="O5891" t="s">
        <v>116</v>
      </c>
    </row>
    <row r="5892" spans="1:15" x14ac:dyDescent="0.3">
      <c r="A5892" s="130">
        <v>56629</v>
      </c>
      <c r="B5892" s="130">
        <v>30</v>
      </c>
      <c r="C5892" s="130" t="s">
        <v>7516</v>
      </c>
      <c r="D5892">
        <v>34</v>
      </c>
      <c r="E5892" s="130">
        <v>14688220</v>
      </c>
      <c r="F5892" t="s">
        <v>87</v>
      </c>
      <c r="G5892">
        <v>78</v>
      </c>
      <c r="H5892" t="s">
        <v>8952</v>
      </c>
      <c r="I5892" s="131">
        <v>2</v>
      </c>
      <c r="J5892" t="s">
        <v>7516</v>
      </c>
      <c r="K5892" t="s">
        <v>95</v>
      </c>
      <c r="L5892" t="s">
        <v>146</v>
      </c>
      <c r="M5892" t="s">
        <v>103</v>
      </c>
      <c r="N5892" t="s">
        <v>101</v>
      </c>
      <c r="O5892" t="s">
        <v>1345</v>
      </c>
    </row>
    <row r="5893" spans="1:15" x14ac:dyDescent="0.3">
      <c r="A5893" s="130">
        <v>56852</v>
      </c>
      <c r="B5893" s="130">
        <v>30</v>
      </c>
      <c r="C5893" s="130" t="s">
        <v>7517</v>
      </c>
      <c r="D5893">
        <v>35</v>
      </c>
      <c r="E5893" s="130">
        <v>8807683</v>
      </c>
      <c r="F5893" t="s">
        <v>87</v>
      </c>
      <c r="G5893">
        <v>78</v>
      </c>
      <c r="H5893" t="s">
        <v>8953</v>
      </c>
      <c r="I5893" s="130">
        <v>18</v>
      </c>
      <c r="J5893" t="s">
        <v>7517</v>
      </c>
      <c r="K5893" t="s">
        <v>95</v>
      </c>
      <c r="L5893" t="s">
        <v>151</v>
      </c>
      <c r="M5893" t="s">
        <v>103</v>
      </c>
      <c r="N5893" t="s">
        <v>122</v>
      </c>
      <c r="O5893" t="s">
        <v>116</v>
      </c>
    </row>
    <row r="5894" spans="1:15" x14ac:dyDescent="0.3">
      <c r="A5894" s="130">
        <v>57145</v>
      </c>
      <c r="B5894" s="130">
        <v>28</v>
      </c>
      <c r="C5894" s="130" t="s">
        <v>7518</v>
      </c>
      <c r="D5894">
        <v>36</v>
      </c>
      <c r="E5894" s="130">
        <v>25438508</v>
      </c>
      <c r="F5894" t="s">
        <v>87</v>
      </c>
      <c r="G5894">
        <v>78</v>
      </c>
      <c r="H5894" t="s">
        <v>8951</v>
      </c>
      <c r="I5894" s="130">
        <v>10</v>
      </c>
      <c r="J5894" t="s">
        <v>7518</v>
      </c>
      <c r="K5894" t="s">
        <v>95</v>
      </c>
      <c r="L5894" t="s">
        <v>127</v>
      </c>
      <c r="M5894" t="s">
        <v>130</v>
      </c>
      <c r="N5894" t="s">
        <v>101</v>
      </c>
      <c r="O5894" t="s">
        <v>116</v>
      </c>
    </row>
    <row r="5895" spans="1:15" x14ac:dyDescent="0.3">
      <c r="A5895" s="130">
        <v>57205</v>
      </c>
      <c r="B5895" s="130">
        <v>18</v>
      </c>
      <c r="C5895" s="130" t="s">
        <v>7519</v>
      </c>
      <c r="D5895">
        <v>37</v>
      </c>
      <c r="E5895" s="130">
        <v>3057455</v>
      </c>
      <c r="F5895" t="s">
        <v>87</v>
      </c>
      <c r="G5895">
        <v>358</v>
      </c>
      <c r="H5895" t="s">
        <v>8952</v>
      </c>
      <c r="I5895" s="130">
        <v>9</v>
      </c>
      <c r="J5895" t="s">
        <v>7519</v>
      </c>
      <c r="K5895" t="s">
        <v>95</v>
      </c>
      <c r="L5895" t="s">
        <v>105</v>
      </c>
      <c r="M5895" t="s">
        <v>112</v>
      </c>
      <c r="N5895" t="s">
        <v>98</v>
      </c>
      <c r="O5895" t="s">
        <v>116</v>
      </c>
    </row>
    <row r="5896" spans="1:15" x14ac:dyDescent="0.3">
      <c r="A5896" s="130">
        <v>57459</v>
      </c>
      <c r="B5896" s="130">
        <v>18</v>
      </c>
      <c r="C5896" s="130" t="s">
        <v>7520</v>
      </c>
      <c r="D5896">
        <v>38</v>
      </c>
      <c r="E5896" s="130">
        <v>7083656</v>
      </c>
      <c r="F5896" t="s">
        <v>87</v>
      </c>
      <c r="G5896">
        <v>358</v>
      </c>
      <c r="H5896" t="s">
        <v>8953</v>
      </c>
      <c r="I5896" s="130">
        <v>2</v>
      </c>
      <c r="J5896" t="s">
        <v>7520</v>
      </c>
      <c r="K5896" t="s">
        <v>108</v>
      </c>
      <c r="L5896" t="s">
        <v>105</v>
      </c>
      <c r="M5896" t="s">
        <v>112</v>
      </c>
      <c r="N5896" t="s">
        <v>101</v>
      </c>
      <c r="O5896" t="s">
        <v>1345</v>
      </c>
    </row>
    <row r="5897" spans="1:15" x14ac:dyDescent="0.3">
      <c r="A5897" s="130">
        <v>58396</v>
      </c>
      <c r="B5897" s="130">
        <v>18</v>
      </c>
      <c r="C5897" s="130" t="s">
        <v>7521</v>
      </c>
      <c r="D5897">
        <v>39</v>
      </c>
      <c r="E5897" s="131">
        <v>12256465</v>
      </c>
      <c r="F5897" t="s">
        <v>87</v>
      </c>
      <c r="G5897">
        <v>358</v>
      </c>
      <c r="H5897" t="s">
        <v>8951</v>
      </c>
      <c r="I5897" s="130">
        <v>18</v>
      </c>
      <c r="J5897" t="s">
        <v>7521</v>
      </c>
      <c r="K5897" t="s">
        <v>95</v>
      </c>
      <c r="L5897" t="s">
        <v>105</v>
      </c>
      <c r="M5897" t="s">
        <v>112</v>
      </c>
      <c r="N5897" t="s">
        <v>122</v>
      </c>
      <c r="O5897" t="s">
        <v>116</v>
      </c>
    </row>
    <row r="5898" spans="1:15" x14ac:dyDescent="0.3">
      <c r="A5898" s="130">
        <v>59069</v>
      </c>
      <c r="B5898" s="130">
        <v>18</v>
      </c>
      <c r="C5898" s="130" t="s">
        <v>7522</v>
      </c>
      <c r="D5898">
        <v>40</v>
      </c>
      <c r="E5898" s="130">
        <v>15527754</v>
      </c>
      <c r="F5898" t="s">
        <v>87</v>
      </c>
      <c r="G5898">
        <v>358</v>
      </c>
      <c r="H5898" t="s">
        <v>8952</v>
      </c>
      <c r="I5898" s="130">
        <v>2</v>
      </c>
      <c r="J5898" t="s">
        <v>7522</v>
      </c>
      <c r="K5898" t="s">
        <v>95</v>
      </c>
      <c r="L5898" t="s">
        <v>109</v>
      </c>
      <c r="M5898" t="s">
        <v>112</v>
      </c>
      <c r="N5898" t="s">
        <v>98</v>
      </c>
      <c r="O5898" t="s">
        <v>116</v>
      </c>
    </row>
    <row r="5899" spans="1:15" x14ac:dyDescent="0.3">
      <c r="A5899" s="130">
        <v>59101</v>
      </c>
      <c r="B5899" s="130">
        <v>28</v>
      </c>
      <c r="C5899" s="130" t="s">
        <v>7523</v>
      </c>
      <c r="D5899">
        <v>41</v>
      </c>
      <c r="E5899" s="130">
        <v>34151100</v>
      </c>
      <c r="F5899" t="s">
        <v>87</v>
      </c>
      <c r="G5899">
        <v>78</v>
      </c>
      <c r="H5899" t="s">
        <v>8953</v>
      </c>
      <c r="I5899" s="130">
        <v>9</v>
      </c>
      <c r="J5899" t="s">
        <v>7523</v>
      </c>
      <c r="K5899" t="s">
        <v>95</v>
      </c>
      <c r="L5899" t="s">
        <v>163</v>
      </c>
      <c r="M5899" t="s">
        <v>130</v>
      </c>
      <c r="N5899" t="s">
        <v>101</v>
      </c>
      <c r="O5899" t="s">
        <v>116</v>
      </c>
    </row>
    <row r="5900" spans="1:15" x14ac:dyDescent="0.3">
      <c r="A5900" s="130">
        <v>59495</v>
      </c>
      <c r="B5900" s="130">
        <v>60</v>
      </c>
      <c r="C5900" s="130" t="s">
        <v>7524</v>
      </c>
      <c r="D5900">
        <v>42</v>
      </c>
      <c r="E5900" s="131">
        <v>33592510</v>
      </c>
      <c r="F5900" t="s">
        <v>87</v>
      </c>
      <c r="G5900">
        <v>78</v>
      </c>
      <c r="H5900" t="s">
        <v>8951</v>
      </c>
      <c r="I5900" s="130">
        <v>2</v>
      </c>
      <c r="J5900" t="s">
        <v>7524</v>
      </c>
      <c r="K5900" t="s">
        <v>95</v>
      </c>
      <c r="L5900" t="s">
        <v>117</v>
      </c>
      <c r="M5900" t="s">
        <v>97</v>
      </c>
      <c r="N5900" t="s">
        <v>118</v>
      </c>
      <c r="O5900" t="s">
        <v>116</v>
      </c>
    </row>
    <row r="5901" spans="1:15" x14ac:dyDescent="0.3">
      <c r="A5901" s="130">
        <v>59497</v>
      </c>
      <c r="B5901" s="130">
        <v>60</v>
      </c>
      <c r="C5901" s="130" t="s">
        <v>7525</v>
      </c>
      <c r="D5901">
        <v>43</v>
      </c>
      <c r="E5901" s="131">
        <v>33592510</v>
      </c>
      <c r="F5901" t="s">
        <v>87</v>
      </c>
      <c r="G5901">
        <v>78</v>
      </c>
      <c r="H5901" t="s">
        <v>8952</v>
      </c>
      <c r="I5901" s="130">
        <v>2</v>
      </c>
      <c r="J5901" t="s">
        <v>7525</v>
      </c>
      <c r="K5901" t="s">
        <v>95</v>
      </c>
      <c r="L5901" t="s">
        <v>117</v>
      </c>
      <c r="M5901" t="s">
        <v>97</v>
      </c>
      <c r="N5901" t="s">
        <v>118</v>
      </c>
      <c r="O5901" t="s">
        <v>116</v>
      </c>
    </row>
    <row r="5902" spans="1:15" x14ac:dyDescent="0.3">
      <c r="A5902" s="130">
        <v>59498</v>
      </c>
      <c r="B5902" s="130">
        <v>60</v>
      </c>
      <c r="C5902" s="130" t="s">
        <v>7526</v>
      </c>
      <c r="D5902">
        <v>44</v>
      </c>
      <c r="E5902" s="130">
        <v>33592510</v>
      </c>
      <c r="F5902" t="s">
        <v>87</v>
      </c>
      <c r="G5902">
        <v>78</v>
      </c>
      <c r="H5902" t="s">
        <v>8953</v>
      </c>
      <c r="I5902" s="131">
        <v>2</v>
      </c>
      <c r="J5902" t="s">
        <v>7526</v>
      </c>
      <c r="K5902" t="s">
        <v>95</v>
      </c>
      <c r="L5902" t="s">
        <v>117</v>
      </c>
      <c r="M5902" t="s">
        <v>97</v>
      </c>
      <c r="N5902" t="s">
        <v>118</v>
      </c>
      <c r="O5902" t="s">
        <v>116</v>
      </c>
    </row>
    <row r="5903" spans="1:15" x14ac:dyDescent="0.3">
      <c r="A5903" s="130">
        <v>59501</v>
      </c>
      <c r="B5903" s="131">
        <v>60</v>
      </c>
      <c r="C5903" s="130" t="s">
        <v>7527</v>
      </c>
      <c r="D5903">
        <v>45</v>
      </c>
      <c r="E5903" s="130">
        <v>33592510</v>
      </c>
      <c r="F5903" t="s">
        <v>87</v>
      </c>
      <c r="G5903">
        <v>78</v>
      </c>
      <c r="H5903" t="s">
        <v>8951</v>
      </c>
      <c r="I5903" s="131">
        <v>2</v>
      </c>
      <c r="J5903" t="s">
        <v>7527</v>
      </c>
      <c r="K5903" t="s">
        <v>95</v>
      </c>
      <c r="L5903" t="s">
        <v>117</v>
      </c>
      <c r="M5903" t="s">
        <v>97</v>
      </c>
      <c r="N5903" t="s">
        <v>118</v>
      </c>
      <c r="O5903" t="s">
        <v>116</v>
      </c>
    </row>
    <row r="5904" spans="1:15" x14ac:dyDescent="0.3">
      <c r="A5904" s="130">
        <v>59506</v>
      </c>
      <c r="B5904" s="130">
        <v>60</v>
      </c>
      <c r="C5904" s="130" t="s">
        <v>7528</v>
      </c>
      <c r="D5904">
        <v>46</v>
      </c>
      <c r="E5904" s="131">
        <v>33592510</v>
      </c>
      <c r="F5904" t="s">
        <v>87</v>
      </c>
      <c r="G5904">
        <v>78</v>
      </c>
      <c r="H5904" t="s">
        <v>8952</v>
      </c>
      <c r="I5904" s="130">
        <v>2</v>
      </c>
      <c r="J5904" t="s">
        <v>7528</v>
      </c>
      <c r="K5904" t="s">
        <v>95</v>
      </c>
      <c r="L5904" t="s">
        <v>117</v>
      </c>
      <c r="M5904" t="s">
        <v>97</v>
      </c>
      <c r="N5904" t="s">
        <v>118</v>
      </c>
      <c r="O5904" t="s">
        <v>116</v>
      </c>
    </row>
    <row r="5905" spans="1:15" x14ac:dyDescent="0.3">
      <c r="A5905" s="130">
        <v>59557</v>
      </c>
      <c r="B5905" s="130">
        <v>18</v>
      </c>
      <c r="C5905" s="130" t="s">
        <v>7529</v>
      </c>
      <c r="D5905">
        <v>47</v>
      </c>
      <c r="E5905" s="130">
        <v>48206539620</v>
      </c>
      <c r="F5905" t="s">
        <v>87</v>
      </c>
      <c r="G5905">
        <v>78</v>
      </c>
      <c r="H5905" t="s">
        <v>8953</v>
      </c>
      <c r="I5905" s="131">
        <v>2</v>
      </c>
      <c r="J5905" t="s">
        <v>7529</v>
      </c>
      <c r="K5905" t="s">
        <v>108</v>
      </c>
      <c r="L5905" t="s">
        <v>102</v>
      </c>
      <c r="M5905" t="s">
        <v>112</v>
      </c>
      <c r="N5905" t="s">
        <v>110</v>
      </c>
      <c r="O5905" t="s">
        <v>1345</v>
      </c>
    </row>
    <row r="5906" spans="1:15" x14ac:dyDescent="0.3">
      <c r="A5906" s="130">
        <v>59588</v>
      </c>
      <c r="B5906" s="130">
        <v>28</v>
      </c>
      <c r="C5906" s="130" t="s">
        <v>7530</v>
      </c>
      <c r="D5906">
        <v>48</v>
      </c>
      <c r="E5906" s="130">
        <v>12115002</v>
      </c>
      <c r="F5906" t="s">
        <v>87</v>
      </c>
      <c r="G5906">
        <v>78</v>
      </c>
      <c r="H5906" t="s">
        <v>8951</v>
      </c>
      <c r="I5906" s="131">
        <v>9</v>
      </c>
      <c r="J5906" t="s">
        <v>7530</v>
      </c>
      <c r="K5906" t="s">
        <v>108</v>
      </c>
      <c r="L5906" t="s">
        <v>163</v>
      </c>
      <c r="M5906" t="s">
        <v>130</v>
      </c>
      <c r="N5906" t="s">
        <v>101</v>
      </c>
      <c r="O5906" t="s">
        <v>1345</v>
      </c>
    </row>
    <row r="5907" spans="1:15" x14ac:dyDescent="0.3">
      <c r="A5907" s="130">
        <v>59830</v>
      </c>
      <c r="B5907" s="130">
        <v>18</v>
      </c>
      <c r="C5907" s="130" t="s">
        <v>7531</v>
      </c>
      <c r="D5907">
        <v>49</v>
      </c>
      <c r="E5907" s="130">
        <v>9325670</v>
      </c>
      <c r="F5907" t="s">
        <v>87</v>
      </c>
      <c r="G5907">
        <v>358</v>
      </c>
      <c r="H5907" t="s">
        <v>8952</v>
      </c>
      <c r="I5907" s="130">
        <v>2</v>
      </c>
      <c r="J5907" t="s">
        <v>7531</v>
      </c>
      <c r="K5907" t="s">
        <v>108</v>
      </c>
      <c r="L5907" t="s">
        <v>109</v>
      </c>
      <c r="M5907" t="s">
        <v>112</v>
      </c>
      <c r="N5907" t="s">
        <v>118</v>
      </c>
      <c r="O5907" t="s">
        <v>116</v>
      </c>
    </row>
    <row r="5908" spans="1:15" x14ac:dyDescent="0.3">
      <c r="A5908" s="130">
        <v>60356</v>
      </c>
      <c r="B5908" s="130">
        <v>60</v>
      </c>
      <c r="C5908" s="130" t="s">
        <v>7532</v>
      </c>
      <c r="D5908">
        <v>50</v>
      </c>
      <c r="E5908" s="130">
        <v>33592510</v>
      </c>
      <c r="F5908" t="s">
        <v>87</v>
      </c>
      <c r="G5908">
        <v>78</v>
      </c>
      <c r="H5908" t="s">
        <v>8953</v>
      </c>
      <c r="I5908" s="130">
        <v>2</v>
      </c>
      <c r="J5908" t="s">
        <v>7532</v>
      </c>
      <c r="K5908" t="s">
        <v>95</v>
      </c>
      <c r="L5908" t="s">
        <v>117</v>
      </c>
      <c r="M5908" t="s">
        <v>97</v>
      </c>
      <c r="N5908" t="s">
        <v>118</v>
      </c>
      <c r="O5908" t="s">
        <v>116</v>
      </c>
    </row>
    <row r="5909" spans="1:15" x14ac:dyDescent="0.3">
      <c r="A5909" s="130">
        <v>60565</v>
      </c>
      <c r="B5909" s="130">
        <v>18</v>
      </c>
      <c r="C5909" s="130" t="s">
        <v>7533</v>
      </c>
      <c r="D5909">
        <v>51</v>
      </c>
      <c r="E5909" s="130">
        <v>24469348</v>
      </c>
      <c r="F5909" t="s">
        <v>87</v>
      </c>
      <c r="G5909">
        <v>78</v>
      </c>
      <c r="H5909" t="s">
        <v>8951</v>
      </c>
      <c r="I5909" s="130">
        <v>18</v>
      </c>
      <c r="J5909" t="s">
        <v>7533</v>
      </c>
      <c r="K5909" t="s">
        <v>95</v>
      </c>
      <c r="L5909" t="s">
        <v>123</v>
      </c>
      <c r="M5909" t="s">
        <v>112</v>
      </c>
      <c r="N5909" t="s">
        <v>98</v>
      </c>
      <c r="O5909" t="s">
        <v>116</v>
      </c>
    </row>
    <row r="5910" spans="1:15" x14ac:dyDescent="0.3">
      <c r="A5910" s="130">
        <v>60683</v>
      </c>
      <c r="B5910" s="130">
        <v>30</v>
      </c>
      <c r="C5910" s="130" t="s">
        <v>7534</v>
      </c>
      <c r="D5910">
        <v>52</v>
      </c>
      <c r="E5910" s="131">
        <v>18281769</v>
      </c>
      <c r="F5910" t="s">
        <v>87</v>
      </c>
      <c r="G5910">
        <v>78</v>
      </c>
      <c r="H5910" t="s">
        <v>8952</v>
      </c>
      <c r="I5910" s="130">
        <v>2</v>
      </c>
      <c r="J5910" t="s">
        <v>7534</v>
      </c>
      <c r="K5910" t="s">
        <v>95</v>
      </c>
      <c r="L5910" t="s">
        <v>123</v>
      </c>
      <c r="M5910" t="s">
        <v>103</v>
      </c>
      <c r="N5910" t="s">
        <v>107</v>
      </c>
      <c r="O5910" t="s">
        <v>116</v>
      </c>
    </row>
    <row r="5911" spans="1:15" x14ac:dyDescent="0.3">
      <c r="A5911" s="130">
        <v>60829</v>
      </c>
      <c r="B5911" s="130">
        <v>18</v>
      </c>
      <c r="C5911" s="130" t="s">
        <v>7535</v>
      </c>
      <c r="D5911">
        <v>53</v>
      </c>
      <c r="E5911" s="130">
        <v>439965</v>
      </c>
      <c r="F5911" t="s">
        <v>87</v>
      </c>
      <c r="G5911">
        <v>78</v>
      </c>
      <c r="H5911" t="s">
        <v>8953</v>
      </c>
      <c r="I5911" s="130">
        <v>18</v>
      </c>
      <c r="J5911" t="s">
        <v>7535</v>
      </c>
      <c r="K5911" t="s">
        <v>108</v>
      </c>
      <c r="L5911" t="s">
        <v>123</v>
      </c>
      <c r="M5911" t="s">
        <v>112</v>
      </c>
      <c r="N5911" t="s">
        <v>114</v>
      </c>
      <c r="O5911" t="s">
        <v>1345</v>
      </c>
    </row>
    <row r="5912" spans="1:15" x14ac:dyDescent="0.3">
      <c r="A5912" s="130">
        <v>60832</v>
      </c>
      <c r="B5912" s="130">
        <v>18</v>
      </c>
      <c r="C5912" s="130" t="s">
        <v>7536</v>
      </c>
      <c r="D5912">
        <v>54</v>
      </c>
      <c r="E5912" s="131">
        <v>5484048</v>
      </c>
      <c r="F5912" t="s">
        <v>87</v>
      </c>
      <c r="G5912">
        <v>358</v>
      </c>
      <c r="H5912" t="s">
        <v>8951</v>
      </c>
      <c r="I5912" s="130">
        <v>2</v>
      </c>
      <c r="J5912" t="s">
        <v>7536</v>
      </c>
      <c r="K5912" t="s">
        <v>108</v>
      </c>
      <c r="L5912" t="s">
        <v>105</v>
      </c>
      <c r="M5912" t="s">
        <v>112</v>
      </c>
      <c r="N5912" t="s">
        <v>98</v>
      </c>
      <c r="O5912" t="s">
        <v>116</v>
      </c>
    </row>
    <row r="5913" spans="1:15" x14ac:dyDescent="0.3">
      <c r="A5913" s="130">
        <v>60970</v>
      </c>
      <c r="B5913" s="130">
        <v>30</v>
      </c>
      <c r="C5913" s="130" t="s">
        <v>7537</v>
      </c>
      <c r="D5913">
        <v>55</v>
      </c>
      <c r="E5913" s="130">
        <v>92660604</v>
      </c>
      <c r="F5913" t="s">
        <v>87</v>
      </c>
      <c r="G5913">
        <v>78</v>
      </c>
      <c r="H5913" t="s">
        <v>8952</v>
      </c>
      <c r="I5913" s="130">
        <v>2</v>
      </c>
      <c r="J5913" t="s">
        <v>7537</v>
      </c>
      <c r="K5913" t="s">
        <v>95</v>
      </c>
      <c r="L5913" t="s">
        <v>117</v>
      </c>
      <c r="M5913" t="s">
        <v>103</v>
      </c>
      <c r="N5913" t="s">
        <v>114</v>
      </c>
      <c r="O5913" t="s">
        <v>116</v>
      </c>
    </row>
    <row r="5914" spans="1:15" x14ac:dyDescent="0.3">
      <c r="A5914" s="130">
        <v>61017</v>
      </c>
      <c r="B5914" s="130">
        <v>30</v>
      </c>
      <c r="C5914" s="130" t="s">
        <v>7538</v>
      </c>
      <c r="D5914">
        <v>56</v>
      </c>
      <c r="E5914" s="130">
        <v>65176539</v>
      </c>
      <c r="F5914" t="s">
        <v>87</v>
      </c>
      <c r="G5914">
        <v>358</v>
      </c>
      <c r="H5914" t="s">
        <v>8953</v>
      </c>
      <c r="I5914" s="130">
        <v>2</v>
      </c>
      <c r="J5914" t="s">
        <v>7538</v>
      </c>
      <c r="K5914" t="s">
        <v>108</v>
      </c>
      <c r="L5914" t="s">
        <v>105</v>
      </c>
      <c r="M5914" t="s">
        <v>103</v>
      </c>
      <c r="N5914" t="s">
        <v>150</v>
      </c>
      <c r="O5914" t="s">
        <v>1345</v>
      </c>
    </row>
    <row r="5915" spans="1:15" x14ac:dyDescent="0.3">
      <c r="A5915" s="130">
        <v>61153</v>
      </c>
      <c r="B5915" s="130">
        <v>28</v>
      </c>
      <c r="C5915" s="130" t="s">
        <v>7539</v>
      </c>
      <c r="D5915">
        <v>57</v>
      </c>
      <c r="E5915" s="131">
        <v>51718724</v>
      </c>
      <c r="F5915" t="s">
        <v>87</v>
      </c>
      <c r="G5915">
        <v>358</v>
      </c>
      <c r="H5915" t="s">
        <v>8951</v>
      </c>
      <c r="I5915" s="130">
        <v>2</v>
      </c>
      <c r="J5915" t="s">
        <v>7539</v>
      </c>
      <c r="K5915" t="s">
        <v>108</v>
      </c>
      <c r="L5915" t="s">
        <v>105</v>
      </c>
      <c r="M5915" t="s">
        <v>130</v>
      </c>
      <c r="N5915" t="s">
        <v>101</v>
      </c>
      <c r="O5915" t="s">
        <v>1345</v>
      </c>
    </row>
    <row r="5916" spans="1:15" x14ac:dyDescent="0.3">
      <c r="A5916" s="130">
        <v>61463</v>
      </c>
      <c r="B5916" s="130">
        <v>18</v>
      </c>
      <c r="C5916" s="130" t="s">
        <v>7540</v>
      </c>
      <c r="D5916">
        <v>58</v>
      </c>
      <c r="E5916" s="131">
        <v>16602862</v>
      </c>
      <c r="F5916" t="s">
        <v>87</v>
      </c>
      <c r="G5916">
        <v>78</v>
      </c>
      <c r="H5916" t="s">
        <v>8952</v>
      </c>
      <c r="I5916" s="130">
        <v>18</v>
      </c>
      <c r="J5916" t="s">
        <v>7540</v>
      </c>
      <c r="K5916" t="s">
        <v>95</v>
      </c>
      <c r="L5916" t="s">
        <v>123</v>
      </c>
      <c r="M5916" t="s">
        <v>112</v>
      </c>
      <c r="N5916" t="s">
        <v>98</v>
      </c>
      <c r="O5916" t="s">
        <v>116</v>
      </c>
    </row>
    <row r="5917" spans="1:15" x14ac:dyDescent="0.3">
      <c r="A5917" s="130">
        <v>61808</v>
      </c>
      <c r="B5917" s="130">
        <v>60</v>
      </c>
      <c r="C5917" s="130" t="s">
        <v>7541</v>
      </c>
      <c r="D5917">
        <v>59</v>
      </c>
      <c r="E5917" s="130">
        <v>15527906</v>
      </c>
      <c r="F5917" t="s">
        <v>87</v>
      </c>
      <c r="G5917">
        <v>358</v>
      </c>
      <c r="H5917" t="s">
        <v>8953</v>
      </c>
      <c r="I5917" s="130">
        <v>2</v>
      </c>
      <c r="J5917" t="s">
        <v>7541</v>
      </c>
      <c r="K5917" t="s">
        <v>95</v>
      </c>
      <c r="L5917" t="s">
        <v>109</v>
      </c>
      <c r="M5917" t="s">
        <v>97</v>
      </c>
      <c r="N5917" t="s">
        <v>118</v>
      </c>
      <c r="O5917" t="s">
        <v>116</v>
      </c>
    </row>
    <row r="5918" spans="1:15" x14ac:dyDescent="0.3">
      <c r="A5918" s="130">
        <v>62193</v>
      </c>
      <c r="B5918" s="130">
        <v>60</v>
      </c>
      <c r="C5918" s="130" t="s">
        <v>7542</v>
      </c>
      <c r="D5918">
        <v>60</v>
      </c>
      <c r="E5918" s="130">
        <v>156880</v>
      </c>
      <c r="F5918" t="s">
        <v>87</v>
      </c>
      <c r="G5918">
        <v>358</v>
      </c>
      <c r="H5918" t="s">
        <v>8951</v>
      </c>
      <c r="I5918" s="130">
        <v>26</v>
      </c>
      <c r="J5918" t="s">
        <v>7542</v>
      </c>
      <c r="K5918" t="s">
        <v>108</v>
      </c>
      <c r="L5918" t="s">
        <v>105</v>
      </c>
      <c r="M5918" t="s">
        <v>97</v>
      </c>
      <c r="N5918" t="s">
        <v>118</v>
      </c>
      <c r="O5918" t="s">
        <v>116</v>
      </c>
    </row>
    <row r="5919" spans="1:15" x14ac:dyDescent="0.3">
      <c r="A5919" s="130">
        <v>62212</v>
      </c>
      <c r="B5919" s="130">
        <v>28</v>
      </c>
      <c r="C5919" s="130" t="s">
        <v>7543</v>
      </c>
      <c r="D5919">
        <v>61</v>
      </c>
      <c r="E5919" s="131">
        <v>5899350</v>
      </c>
      <c r="F5919" t="s">
        <v>87</v>
      </c>
      <c r="G5919">
        <v>78</v>
      </c>
      <c r="H5919" t="s">
        <v>8952</v>
      </c>
      <c r="I5919" s="130">
        <v>9</v>
      </c>
      <c r="J5919" t="s">
        <v>7543</v>
      </c>
      <c r="K5919" t="s">
        <v>108</v>
      </c>
      <c r="L5919" t="s">
        <v>111</v>
      </c>
      <c r="M5919" t="s">
        <v>130</v>
      </c>
      <c r="N5919" t="s">
        <v>122</v>
      </c>
      <c r="O5919" t="s">
        <v>1345</v>
      </c>
    </row>
    <row r="5920" spans="1:15" x14ac:dyDescent="0.3">
      <c r="A5920" s="130">
        <v>62235</v>
      </c>
      <c r="B5920" s="130">
        <v>60</v>
      </c>
      <c r="C5920" s="130" t="s">
        <v>7544</v>
      </c>
      <c r="D5920">
        <v>62</v>
      </c>
      <c r="E5920" s="131">
        <v>156880</v>
      </c>
      <c r="F5920" t="s">
        <v>87</v>
      </c>
      <c r="G5920">
        <v>358</v>
      </c>
      <c r="H5920" t="s">
        <v>8953</v>
      </c>
      <c r="I5920" s="130">
        <v>26</v>
      </c>
      <c r="J5920" t="s">
        <v>7544</v>
      </c>
      <c r="K5920" t="s">
        <v>108</v>
      </c>
      <c r="L5920" t="s">
        <v>105</v>
      </c>
      <c r="M5920" t="s">
        <v>97</v>
      </c>
      <c r="N5920" t="s">
        <v>118</v>
      </c>
      <c r="O5920" t="s">
        <v>116</v>
      </c>
    </row>
    <row r="5921" spans="1:15" x14ac:dyDescent="0.3">
      <c r="A5921" s="130">
        <v>62374</v>
      </c>
      <c r="B5921" s="130">
        <v>24</v>
      </c>
      <c r="C5921" s="130" t="s">
        <v>7545</v>
      </c>
      <c r="D5921">
        <v>63</v>
      </c>
      <c r="E5921" s="130">
        <v>46119855</v>
      </c>
      <c r="F5921" t="s">
        <v>87</v>
      </c>
      <c r="G5921">
        <v>77</v>
      </c>
      <c r="H5921" t="s">
        <v>8951</v>
      </c>
      <c r="I5921" s="130">
        <v>2</v>
      </c>
      <c r="J5921" t="s">
        <v>7545</v>
      </c>
      <c r="K5921" t="s">
        <v>108</v>
      </c>
      <c r="L5921" t="s">
        <v>117</v>
      </c>
      <c r="M5921" t="s">
        <v>1376</v>
      </c>
      <c r="N5921" t="s">
        <v>131</v>
      </c>
      <c r="O5921" t="s">
        <v>1345</v>
      </c>
    </row>
    <row r="5922" spans="1:15" x14ac:dyDescent="0.3">
      <c r="A5922" s="130">
        <v>62593</v>
      </c>
      <c r="B5922" s="130">
        <v>60</v>
      </c>
      <c r="C5922" s="130" t="s">
        <v>7546</v>
      </c>
      <c r="D5922">
        <v>64</v>
      </c>
      <c r="E5922" s="131">
        <v>819576</v>
      </c>
      <c r="F5922" t="s">
        <v>87</v>
      </c>
      <c r="G5922">
        <v>78</v>
      </c>
      <c r="H5922" t="s">
        <v>8952</v>
      </c>
      <c r="I5922" s="131">
        <v>9</v>
      </c>
      <c r="J5922" t="s">
        <v>7546</v>
      </c>
      <c r="K5922" t="s">
        <v>108</v>
      </c>
      <c r="L5922" t="s">
        <v>125</v>
      </c>
      <c r="M5922" t="s">
        <v>97</v>
      </c>
      <c r="N5922" t="s">
        <v>166</v>
      </c>
      <c r="O5922" t="s">
        <v>1345</v>
      </c>
    </row>
    <row r="5923" spans="1:15" x14ac:dyDescent="0.3">
      <c r="A5923" s="130">
        <v>62629</v>
      </c>
      <c r="B5923" s="130">
        <v>18</v>
      </c>
      <c r="C5923" s="130" t="s">
        <v>7547</v>
      </c>
      <c r="D5923">
        <v>65</v>
      </c>
      <c r="E5923" s="130">
        <v>18713659</v>
      </c>
      <c r="F5923" t="s">
        <v>87</v>
      </c>
      <c r="G5923">
        <v>358</v>
      </c>
      <c r="H5923" t="s">
        <v>8953</v>
      </c>
      <c r="I5923" s="130">
        <v>24</v>
      </c>
      <c r="J5923" t="s">
        <v>7547</v>
      </c>
      <c r="K5923" t="s">
        <v>95</v>
      </c>
      <c r="L5923" t="s">
        <v>105</v>
      </c>
      <c r="M5923" t="s">
        <v>112</v>
      </c>
      <c r="N5923" t="s">
        <v>114</v>
      </c>
      <c r="O5923" t="s">
        <v>116</v>
      </c>
    </row>
    <row r="5924" spans="1:15" x14ac:dyDescent="0.3">
      <c r="A5924" s="130">
        <v>62699</v>
      </c>
      <c r="B5924" s="130">
        <v>18</v>
      </c>
      <c r="C5924" s="130" t="s">
        <v>7548</v>
      </c>
      <c r="D5924">
        <v>66</v>
      </c>
      <c r="E5924" s="130">
        <v>83495275</v>
      </c>
      <c r="F5924" t="s">
        <v>87</v>
      </c>
      <c r="G5924">
        <v>78</v>
      </c>
      <c r="H5924" t="s">
        <v>8951</v>
      </c>
      <c r="I5924" s="131">
        <v>26</v>
      </c>
      <c r="J5924" t="s">
        <v>7548</v>
      </c>
      <c r="K5924" t="s">
        <v>108</v>
      </c>
      <c r="L5924" t="s">
        <v>151</v>
      </c>
      <c r="M5924" t="s">
        <v>112</v>
      </c>
      <c r="N5924" t="s">
        <v>98</v>
      </c>
      <c r="O5924" t="s">
        <v>116</v>
      </c>
    </row>
    <row r="5925" spans="1:15" x14ac:dyDescent="0.3">
      <c r="A5925" s="130">
        <v>62734</v>
      </c>
      <c r="B5925" s="130">
        <v>28</v>
      </c>
      <c r="C5925" s="130" t="s">
        <v>7549</v>
      </c>
      <c r="D5925">
        <v>67</v>
      </c>
      <c r="E5925" s="131">
        <v>18459798</v>
      </c>
      <c r="F5925" t="s">
        <v>87</v>
      </c>
      <c r="G5925">
        <v>78</v>
      </c>
      <c r="H5925" t="s">
        <v>8952</v>
      </c>
      <c r="I5925" s="131">
        <v>26</v>
      </c>
      <c r="J5925" t="s">
        <v>7549</v>
      </c>
      <c r="K5925" t="s">
        <v>108</v>
      </c>
      <c r="L5925" t="s">
        <v>151</v>
      </c>
      <c r="M5925" t="s">
        <v>130</v>
      </c>
      <c r="N5925" t="s">
        <v>101</v>
      </c>
      <c r="O5925" t="s">
        <v>116</v>
      </c>
    </row>
    <row r="5926" spans="1:15" x14ac:dyDescent="0.3">
      <c r="A5926" s="130">
        <v>62819</v>
      </c>
      <c r="B5926" s="130">
        <v>70</v>
      </c>
      <c r="C5926" s="130" t="s">
        <v>7550</v>
      </c>
      <c r="D5926">
        <v>68</v>
      </c>
      <c r="E5926" s="130">
        <v>17227422</v>
      </c>
      <c r="F5926" t="s">
        <v>87</v>
      </c>
      <c r="G5926">
        <v>77</v>
      </c>
      <c r="H5926" t="s">
        <v>8953</v>
      </c>
      <c r="I5926" s="130">
        <v>2</v>
      </c>
      <c r="J5926" t="s">
        <v>7550</v>
      </c>
      <c r="K5926" t="s">
        <v>95</v>
      </c>
      <c r="L5926" t="s">
        <v>256</v>
      </c>
      <c r="M5926" t="s">
        <v>200</v>
      </c>
      <c r="N5926" t="s">
        <v>118</v>
      </c>
      <c r="O5926" t="s">
        <v>116</v>
      </c>
    </row>
    <row r="5927" spans="1:15" x14ac:dyDescent="0.3">
      <c r="A5927" s="130">
        <v>62858</v>
      </c>
      <c r="B5927" s="130">
        <v>30</v>
      </c>
      <c r="C5927" s="130" t="s">
        <v>7551</v>
      </c>
      <c r="D5927">
        <v>69</v>
      </c>
      <c r="E5927" s="131">
        <v>17403551</v>
      </c>
      <c r="F5927" t="s">
        <v>87</v>
      </c>
      <c r="G5927">
        <v>358</v>
      </c>
      <c r="H5927" t="s">
        <v>8951</v>
      </c>
      <c r="I5927" s="130">
        <v>2</v>
      </c>
      <c r="J5927" t="s">
        <v>7551</v>
      </c>
      <c r="K5927" t="s">
        <v>108</v>
      </c>
      <c r="L5927" t="s">
        <v>109</v>
      </c>
      <c r="M5927" t="s">
        <v>103</v>
      </c>
      <c r="N5927" t="s">
        <v>101</v>
      </c>
      <c r="O5927" t="s">
        <v>116</v>
      </c>
    </row>
    <row r="5928" spans="1:15" x14ac:dyDescent="0.3">
      <c r="A5928" s="130">
        <v>62874</v>
      </c>
      <c r="B5928" s="130">
        <v>70</v>
      </c>
      <c r="C5928" s="130" t="s">
        <v>7552</v>
      </c>
      <c r="D5928">
        <v>70</v>
      </c>
      <c r="E5928" s="130">
        <v>17227422</v>
      </c>
      <c r="F5928" t="s">
        <v>87</v>
      </c>
      <c r="G5928">
        <v>77</v>
      </c>
      <c r="H5928" t="s">
        <v>8952</v>
      </c>
      <c r="I5928" s="131">
        <v>2</v>
      </c>
      <c r="J5928" t="s">
        <v>7552</v>
      </c>
      <c r="K5928" t="s">
        <v>95</v>
      </c>
      <c r="L5928" t="s">
        <v>256</v>
      </c>
      <c r="M5928" t="s">
        <v>200</v>
      </c>
      <c r="N5928" t="s">
        <v>118</v>
      </c>
      <c r="O5928" t="s">
        <v>116</v>
      </c>
    </row>
    <row r="5929" spans="1:15" x14ac:dyDescent="0.3">
      <c r="A5929" s="130">
        <v>62876</v>
      </c>
      <c r="B5929" s="130">
        <v>70</v>
      </c>
      <c r="C5929" s="130" t="s">
        <v>7553</v>
      </c>
      <c r="D5929">
        <v>71</v>
      </c>
      <c r="E5929" s="131">
        <v>17227422</v>
      </c>
      <c r="F5929" t="s">
        <v>87</v>
      </c>
      <c r="G5929">
        <v>77</v>
      </c>
      <c r="H5929" t="s">
        <v>8953</v>
      </c>
      <c r="I5929" s="130">
        <v>2</v>
      </c>
      <c r="J5929" t="s">
        <v>7553</v>
      </c>
      <c r="K5929" t="s">
        <v>95</v>
      </c>
      <c r="L5929" t="s">
        <v>256</v>
      </c>
      <c r="M5929" t="s">
        <v>200</v>
      </c>
      <c r="N5929" t="s">
        <v>118</v>
      </c>
      <c r="O5929" t="s">
        <v>116</v>
      </c>
    </row>
    <row r="5930" spans="1:15" x14ac:dyDescent="0.3">
      <c r="A5930" s="130">
        <v>62921</v>
      </c>
      <c r="B5930" s="130">
        <v>30</v>
      </c>
      <c r="C5930" s="130" t="s">
        <v>7554</v>
      </c>
      <c r="D5930">
        <v>72</v>
      </c>
      <c r="E5930" s="130">
        <v>19791896</v>
      </c>
      <c r="F5930" t="s">
        <v>87</v>
      </c>
      <c r="G5930">
        <v>358</v>
      </c>
      <c r="H5930" t="s">
        <v>8951</v>
      </c>
      <c r="I5930" s="131">
        <v>9</v>
      </c>
      <c r="J5930" t="s">
        <v>7554</v>
      </c>
      <c r="K5930" t="s">
        <v>108</v>
      </c>
      <c r="L5930" t="s">
        <v>105</v>
      </c>
      <c r="M5930" t="s">
        <v>103</v>
      </c>
      <c r="N5930" t="s">
        <v>101</v>
      </c>
      <c r="O5930" t="s">
        <v>116</v>
      </c>
    </row>
    <row r="5931" spans="1:15" x14ac:dyDescent="0.3">
      <c r="A5931" s="130">
        <v>62936</v>
      </c>
      <c r="B5931" s="130">
        <v>18</v>
      </c>
      <c r="C5931" s="130" t="s">
        <v>7555</v>
      </c>
      <c r="D5931">
        <v>73</v>
      </c>
      <c r="E5931" s="130">
        <v>14427453</v>
      </c>
      <c r="F5931" t="s">
        <v>87</v>
      </c>
      <c r="G5931">
        <v>358</v>
      </c>
      <c r="H5931" t="s">
        <v>8952</v>
      </c>
      <c r="I5931" s="130">
        <v>10</v>
      </c>
      <c r="J5931" t="s">
        <v>7555</v>
      </c>
      <c r="K5931" t="s">
        <v>95</v>
      </c>
      <c r="L5931" t="s">
        <v>105</v>
      </c>
      <c r="M5931" t="s">
        <v>112</v>
      </c>
      <c r="N5931" t="s">
        <v>101</v>
      </c>
      <c r="O5931" t="s">
        <v>116</v>
      </c>
    </row>
    <row r="5932" spans="1:15" x14ac:dyDescent="0.3">
      <c r="A5932" s="130">
        <v>62937</v>
      </c>
      <c r="B5932" s="130">
        <v>18</v>
      </c>
      <c r="C5932" s="130" t="s">
        <v>7556</v>
      </c>
      <c r="D5932">
        <v>74</v>
      </c>
      <c r="E5932" s="130">
        <v>14427453</v>
      </c>
      <c r="F5932" t="s">
        <v>87</v>
      </c>
      <c r="G5932">
        <v>358</v>
      </c>
      <c r="H5932" t="s">
        <v>8953</v>
      </c>
      <c r="I5932" s="130">
        <v>10</v>
      </c>
      <c r="J5932" t="s">
        <v>7556</v>
      </c>
      <c r="K5932" t="s">
        <v>95</v>
      </c>
      <c r="L5932" t="s">
        <v>105</v>
      </c>
      <c r="M5932" t="s">
        <v>112</v>
      </c>
      <c r="N5932" t="s">
        <v>101</v>
      </c>
      <c r="O5932" t="s">
        <v>116</v>
      </c>
    </row>
    <row r="5933" spans="1:15" x14ac:dyDescent="0.3">
      <c r="A5933" s="130">
        <v>63031</v>
      </c>
      <c r="B5933" s="130">
        <v>30</v>
      </c>
      <c r="C5933" s="130" t="s">
        <v>7557</v>
      </c>
      <c r="D5933">
        <v>75</v>
      </c>
      <c r="E5933" s="130">
        <v>13517486</v>
      </c>
      <c r="F5933" t="s">
        <v>87</v>
      </c>
      <c r="G5933">
        <v>78</v>
      </c>
      <c r="H5933" t="s">
        <v>8951</v>
      </c>
      <c r="I5933" s="130">
        <v>9</v>
      </c>
      <c r="J5933" t="s">
        <v>7557</v>
      </c>
      <c r="K5933" t="s">
        <v>95</v>
      </c>
      <c r="L5933" t="s">
        <v>125</v>
      </c>
      <c r="M5933" t="s">
        <v>103</v>
      </c>
      <c r="N5933" t="s">
        <v>98</v>
      </c>
      <c r="O5933" t="s">
        <v>116</v>
      </c>
    </row>
    <row r="5934" spans="1:15" x14ac:dyDescent="0.3">
      <c r="A5934" s="130">
        <v>63045</v>
      </c>
      <c r="B5934" s="130">
        <v>70</v>
      </c>
      <c r="C5934" s="130" t="s">
        <v>7558</v>
      </c>
      <c r="D5934">
        <v>76</v>
      </c>
      <c r="E5934" s="130">
        <v>17227422</v>
      </c>
      <c r="F5934" t="s">
        <v>87</v>
      </c>
      <c r="G5934">
        <v>77</v>
      </c>
      <c r="H5934" t="s">
        <v>8952</v>
      </c>
      <c r="I5934" s="131">
        <v>2</v>
      </c>
      <c r="J5934" t="s">
        <v>7558</v>
      </c>
      <c r="K5934" t="s">
        <v>95</v>
      </c>
      <c r="L5934" t="s">
        <v>256</v>
      </c>
      <c r="M5934" t="s">
        <v>200</v>
      </c>
      <c r="N5934" t="s">
        <v>118</v>
      </c>
      <c r="O5934" t="s">
        <v>116</v>
      </c>
    </row>
    <row r="5935" spans="1:15" x14ac:dyDescent="0.3">
      <c r="A5935" s="130">
        <v>63162</v>
      </c>
      <c r="B5935" s="130">
        <v>60</v>
      </c>
      <c r="C5935" s="130" t="s">
        <v>7559</v>
      </c>
      <c r="D5935">
        <v>77</v>
      </c>
      <c r="E5935" s="130">
        <v>2012862</v>
      </c>
      <c r="F5935" t="s">
        <v>87</v>
      </c>
      <c r="G5935">
        <v>78</v>
      </c>
      <c r="H5935" t="s">
        <v>8953</v>
      </c>
      <c r="I5935" s="131">
        <v>18</v>
      </c>
      <c r="J5935" t="s">
        <v>7559</v>
      </c>
      <c r="K5935" t="s">
        <v>95</v>
      </c>
      <c r="L5935" t="s">
        <v>123</v>
      </c>
      <c r="M5935" t="s">
        <v>97</v>
      </c>
      <c r="N5935" t="s">
        <v>122</v>
      </c>
      <c r="O5935" t="s">
        <v>116</v>
      </c>
    </row>
    <row r="5936" spans="1:15" x14ac:dyDescent="0.3">
      <c r="A5936" s="130">
        <v>63335</v>
      </c>
      <c r="B5936" s="130">
        <v>30</v>
      </c>
      <c r="C5936" s="130" t="s">
        <v>7560</v>
      </c>
      <c r="D5936">
        <v>78</v>
      </c>
      <c r="E5936" s="130">
        <v>13386914</v>
      </c>
      <c r="F5936" t="s">
        <v>87</v>
      </c>
      <c r="G5936">
        <v>358</v>
      </c>
      <c r="H5936" t="s">
        <v>8951</v>
      </c>
      <c r="I5936" s="130">
        <v>2</v>
      </c>
      <c r="J5936" t="s">
        <v>7560</v>
      </c>
      <c r="K5936" t="s">
        <v>108</v>
      </c>
      <c r="L5936" t="s">
        <v>111</v>
      </c>
      <c r="M5936" t="s">
        <v>103</v>
      </c>
      <c r="N5936" t="s">
        <v>132</v>
      </c>
      <c r="O5936" t="s">
        <v>116</v>
      </c>
    </row>
    <row r="5937" spans="1:15" x14ac:dyDescent="0.3">
      <c r="A5937" s="130">
        <v>63427</v>
      </c>
      <c r="B5937" s="130">
        <v>21</v>
      </c>
      <c r="C5937" s="130" t="s">
        <v>7561</v>
      </c>
      <c r="D5937">
        <v>79</v>
      </c>
      <c r="E5937" s="130">
        <v>1759112</v>
      </c>
      <c r="F5937" t="s">
        <v>87</v>
      </c>
      <c r="G5937">
        <v>358</v>
      </c>
      <c r="H5937" t="s">
        <v>8952</v>
      </c>
      <c r="I5937" s="131">
        <v>24</v>
      </c>
      <c r="J5937" t="s">
        <v>7561</v>
      </c>
      <c r="K5937" t="s">
        <v>108</v>
      </c>
      <c r="L5937" t="s">
        <v>1293</v>
      </c>
      <c r="M5937" t="s">
        <v>137</v>
      </c>
      <c r="N5937" t="s">
        <v>122</v>
      </c>
      <c r="O5937" t="s">
        <v>116</v>
      </c>
    </row>
    <row r="5938" spans="1:15" x14ac:dyDescent="0.3">
      <c r="A5938" s="130">
        <v>63442</v>
      </c>
      <c r="B5938" s="130">
        <v>18</v>
      </c>
      <c r="C5938" s="130" t="s">
        <v>7562</v>
      </c>
      <c r="D5938">
        <v>80</v>
      </c>
      <c r="E5938" s="130">
        <v>18612405</v>
      </c>
      <c r="F5938" t="s">
        <v>87</v>
      </c>
      <c r="G5938">
        <v>358</v>
      </c>
      <c r="H5938" t="s">
        <v>8953</v>
      </c>
      <c r="I5938" s="130">
        <v>2</v>
      </c>
      <c r="J5938" t="s">
        <v>7562</v>
      </c>
      <c r="K5938" t="s">
        <v>95</v>
      </c>
      <c r="L5938" t="s">
        <v>109</v>
      </c>
      <c r="M5938" t="s">
        <v>112</v>
      </c>
      <c r="N5938" t="s">
        <v>98</v>
      </c>
      <c r="O5938" t="s">
        <v>116</v>
      </c>
    </row>
    <row r="5939" spans="1:15" x14ac:dyDescent="0.3">
      <c r="A5939" s="130">
        <v>63480</v>
      </c>
      <c r="B5939" s="130">
        <v>45</v>
      </c>
      <c r="C5939" s="130" t="s">
        <v>7563</v>
      </c>
      <c r="D5939">
        <v>81</v>
      </c>
      <c r="E5939" s="131">
        <v>17227422</v>
      </c>
      <c r="F5939" t="s">
        <v>87</v>
      </c>
      <c r="G5939">
        <v>77</v>
      </c>
      <c r="H5939" t="s">
        <v>8951</v>
      </c>
      <c r="I5939" s="131">
        <v>2</v>
      </c>
      <c r="J5939" t="s">
        <v>7563</v>
      </c>
      <c r="K5939" t="s">
        <v>95</v>
      </c>
      <c r="L5939" t="s">
        <v>1255</v>
      </c>
      <c r="M5939" t="s">
        <v>106</v>
      </c>
      <c r="N5939" t="s">
        <v>114</v>
      </c>
      <c r="O5939" t="s">
        <v>1345</v>
      </c>
    </row>
    <row r="5940" spans="1:15" x14ac:dyDescent="0.3">
      <c r="A5940" s="130">
        <v>63796</v>
      </c>
      <c r="B5940" s="130">
        <v>4</v>
      </c>
      <c r="C5940" s="130" t="s">
        <v>7564</v>
      </c>
      <c r="D5940">
        <v>82</v>
      </c>
      <c r="E5940" s="130">
        <v>18687361</v>
      </c>
      <c r="F5940" t="s">
        <v>87</v>
      </c>
      <c r="G5940">
        <v>78</v>
      </c>
      <c r="H5940" t="s">
        <v>8952</v>
      </c>
      <c r="I5940" s="130">
        <v>10</v>
      </c>
      <c r="J5940" t="s">
        <v>7564</v>
      </c>
      <c r="K5940" t="s">
        <v>95</v>
      </c>
      <c r="L5940" t="s">
        <v>127</v>
      </c>
      <c r="M5940" t="s">
        <v>208</v>
      </c>
      <c r="N5940" t="s">
        <v>132</v>
      </c>
      <c r="O5940" t="s">
        <v>116</v>
      </c>
    </row>
    <row r="5941" spans="1:15" x14ac:dyDescent="0.3">
      <c r="A5941" s="130">
        <v>63883</v>
      </c>
      <c r="B5941" s="130">
        <v>30</v>
      </c>
      <c r="C5941" s="130" t="s">
        <v>7565</v>
      </c>
      <c r="D5941">
        <v>83</v>
      </c>
      <c r="E5941" s="131">
        <v>61322558</v>
      </c>
      <c r="F5941" t="s">
        <v>87</v>
      </c>
      <c r="G5941">
        <v>358</v>
      </c>
      <c r="H5941" t="s">
        <v>8953</v>
      </c>
      <c r="I5941" s="131">
        <v>24</v>
      </c>
      <c r="J5941" t="s">
        <v>7565</v>
      </c>
      <c r="K5941" t="s">
        <v>108</v>
      </c>
      <c r="L5941" t="s">
        <v>153</v>
      </c>
      <c r="M5941" t="s">
        <v>103</v>
      </c>
      <c r="N5941" t="s">
        <v>98</v>
      </c>
      <c r="O5941" t="s">
        <v>116</v>
      </c>
    </row>
    <row r="5942" spans="1:15" x14ac:dyDescent="0.3">
      <c r="A5942" s="130">
        <v>63901</v>
      </c>
      <c r="B5942" s="130">
        <v>28</v>
      </c>
      <c r="C5942" s="130" t="s">
        <v>7566</v>
      </c>
      <c r="D5942">
        <v>84</v>
      </c>
      <c r="E5942" s="131">
        <v>21778678</v>
      </c>
      <c r="F5942" t="s">
        <v>87</v>
      </c>
      <c r="G5942">
        <v>78</v>
      </c>
      <c r="H5942" t="s">
        <v>8951</v>
      </c>
      <c r="I5942" s="130">
        <v>26</v>
      </c>
      <c r="J5942" t="s">
        <v>7566</v>
      </c>
      <c r="K5942" t="s">
        <v>95</v>
      </c>
      <c r="L5942" t="s">
        <v>151</v>
      </c>
      <c r="M5942" t="s">
        <v>130</v>
      </c>
      <c r="N5942" t="s">
        <v>118</v>
      </c>
      <c r="O5942" t="s">
        <v>1345</v>
      </c>
    </row>
    <row r="5943" spans="1:15" x14ac:dyDescent="0.3">
      <c r="A5943" s="130">
        <v>64008</v>
      </c>
      <c r="B5943" s="130">
        <v>18</v>
      </c>
      <c r="C5943" s="130" t="s">
        <v>7567</v>
      </c>
      <c r="D5943">
        <v>85</v>
      </c>
      <c r="E5943" s="130">
        <v>45398146</v>
      </c>
      <c r="F5943" t="s">
        <v>87</v>
      </c>
      <c r="G5943">
        <v>358</v>
      </c>
      <c r="H5943" t="s">
        <v>8952</v>
      </c>
      <c r="I5943" s="131">
        <v>24</v>
      </c>
      <c r="J5943" t="s">
        <v>7567</v>
      </c>
      <c r="K5943" t="s">
        <v>108</v>
      </c>
      <c r="L5943" t="s">
        <v>99</v>
      </c>
      <c r="M5943" t="s">
        <v>112</v>
      </c>
      <c r="N5943" t="s">
        <v>121</v>
      </c>
      <c r="O5943" t="s">
        <v>1345</v>
      </c>
    </row>
    <row r="5944" spans="1:15" x14ac:dyDescent="0.3">
      <c r="A5944" s="130">
        <v>64025</v>
      </c>
      <c r="B5944" s="130">
        <v>30</v>
      </c>
      <c r="C5944" s="130" t="s">
        <v>7568</v>
      </c>
      <c r="D5944">
        <v>86</v>
      </c>
      <c r="E5944" s="130">
        <v>3718208</v>
      </c>
      <c r="F5944" t="s">
        <v>87</v>
      </c>
      <c r="G5944">
        <v>358</v>
      </c>
      <c r="H5944" t="s">
        <v>8953</v>
      </c>
      <c r="I5944" s="130">
        <v>20</v>
      </c>
      <c r="J5944" t="s">
        <v>7568</v>
      </c>
      <c r="K5944" t="s">
        <v>95</v>
      </c>
      <c r="L5944" t="s">
        <v>193</v>
      </c>
      <c r="M5944" t="s">
        <v>103</v>
      </c>
      <c r="N5944" t="s">
        <v>98</v>
      </c>
      <c r="O5944" t="s">
        <v>116</v>
      </c>
    </row>
    <row r="5945" spans="1:15" x14ac:dyDescent="0.3">
      <c r="A5945" s="130">
        <v>64076</v>
      </c>
      <c r="B5945" s="130">
        <v>18</v>
      </c>
      <c r="C5945" s="130" t="s">
        <v>7569</v>
      </c>
      <c r="D5945">
        <v>87</v>
      </c>
      <c r="E5945" s="130">
        <v>16962471</v>
      </c>
      <c r="F5945" t="s">
        <v>87</v>
      </c>
      <c r="G5945">
        <v>358</v>
      </c>
      <c r="H5945" t="s">
        <v>8951</v>
      </c>
      <c r="I5945" s="130">
        <v>2</v>
      </c>
      <c r="J5945" t="s">
        <v>7569</v>
      </c>
      <c r="K5945" t="s">
        <v>108</v>
      </c>
      <c r="L5945" t="s">
        <v>109</v>
      </c>
      <c r="M5945" t="s">
        <v>112</v>
      </c>
      <c r="N5945" t="s">
        <v>101</v>
      </c>
      <c r="O5945" t="s">
        <v>116</v>
      </c>
    </row>
    <row r="5946" spans="1:15" x14ac:dyDescent="0.3">
      <c r="A5946" s="130">
        <v>64110</v>
      </c>
      <c r="B5946" s="130">
        <v>30</v>
      </c>
      <c r="C5946" s="130" t="s">
        <v>7570</v>
      </c>
      <c r="D5946">
        <v>88</v>
      </c>
      <c r="E5946" s="131">
        <v>5899350</v>
      </c>
      <c r="F5946" t="s">
        <v>87</v>
      </c>
      <c r="G5946">
        <v>78</v>
      </c>
      <c r="H5946" t="s">
        <v>8952</v>
      </c>
      <c r="I5946" s="130">
        <v>9</v>
      </c>
      <c r="J5946" t="s">
        <v>7570</v>
      </c>
      <c r="K5946" t="s">
        <v>108</v>
      </c>
      <c r="L5946" t="s">
        <v>125</v>
      </c>
      <c r="M5946" t="s">
        <v>103</v>
      </c>
      <c r="N5946" t="s">
        <v>122</v>
      </c>
      <c r="O5946" t="s">
        <v>1345</v>
      </c>
    </row>
    <row r="5947" spans="1:15" x14ac:dyDescent="0.3">
      <c r="A5947" s="130">
        <v>64193</v>
      </c>
      <c r="B5947" s="130">
        <v>21</v>
      </c>
      <c r="C5947" s="130" t="s">
        <v>7571</v>
      </c>
      <c r="D5947">
        <v>89</v>
      </c>
      <c r="E5947" s="130">
        <v>24117759</v>
      </c>
      <c r="F5947" t="s">
        <v>87</v>
      </c>
      <c r="G5947">
        <v>78</v>
      </c>
      <c r="H5947" t="s">
        <v>8953</v>
      </c>
      <c r="I5947" s="130">
        <v>10</v>
      </c>
      <c r="J5947" t="s">
        <v>7571</v>
      </c>
      <c r="K5947" t="s">
        <v>108</v>
      </c>
      <c r="L5947" t="s">
        <v>127</v>
      </c>
      <c r="M5947" t="s">
        <v>137</v>
      </c>
      <c r="N5947" t="s">
        <v>132</v>
      </c>
      <c r="O5947" t="s">
        <v>1345</v>
      </c>
    </row>
    <row r="5948" spans="1:15" x14ac:dyDescent="0.3">
      <c r="A5948" s="130">
        <v>64249</v>
      </c>
      <c r="B5948" s="130">
        <v>30</v>
      </c>
      <c r="C5948" s="130" t="s">
        <v>7572</v>
      </c>
      <c r="D5948">
        <v>90</v>
      </c>
      <c r="E5948" s="131">
        <v>19157650</v>
      </c>
      <c r="F5948" t="s">
        <v>87</v>
      </c>
      <c r="G5948">
        <v>78</v>
      </c>
      <c r="H5948" t="s">
        <v>8951</v>
      </c>
      <c r="I5948" s="131">
        <v>10</v>
      </c>
      <c r="J5948" t="s">
        <v>7572</v>
      </c>
      <c r="K5948" t="s">
        <v>108</v>
      </c>
      <c r="L5948" t="s">
        <v>127</v>
      </c>
      <c r="M5948" t="s">
        <v>103</v>
      </c>
      <c r="N5948" t="s">
        <v>118</v>
      </c>
      <c r="O5948" t="s">
        <v>1345</v>
      </c>
    </row>
    <row r="5949" spans="1:15" x14ac:dyDescent="0.3">
      <c r="A5949" s="130">
        <v>64293</v>
      </c>
      <c r="B5949" s="130">
        <v>28</v>
      </c>
      <c r="C5949" s="130" t="s">
        <v>7573</v>
      </c>
      <c r="D5949">
        <v>91</v>
      </c>
      <c r="E5949" s="130">
        <v>20498989</v>
      </c>
      <c r="F5949" t="s">
        <v>87</v>
      </c>
      <c r="G5949">
        <v>78</v>
      </c>
      <c r="H5949" t="s">
        <v>8952</v>
      </c>
      <c r="I5949" s="131">
        <v>26</v>
      </c>
      <c r="J5949" t="s">
        <v>7573</v>
      </c>
      <c r="K5949" t="s">
        <v>108</v>
      </c>
      <c r="L5949" t="s">
        <v>151</v>
      </c>
      <c r="M5949" t="s">
        <v>130</v>
      </c>
      <c r="N5949" t="s">
        <v>98</v>
      </c>
      <c r="O5949" t="s">
        <v>116</v>
      </c>
    </row>
    <row r="5950" spans="1:15" x14ac:dyDescent="0.3">
      <c r="A5950" s="130">
        <v>64456</v>
      </c>
      <c r="B5950" s="130">
        <v>30</v>
      </c>
      <c r="C5950" s="130" t="s">
        <v>7574</v>
      </c>
      <c r="D5950">
        <v>92</v>
      </c>
      <c r="E5950" s="130">
        <v>7005330</v>
      </c>
      <c r="F5950" t="s">
        <v>87</v>
      </c>
      <c r="G5950">
        <v>78</v>
      </c>
      <c r="H5950" t="s">
        <v>8953</v>
      </c>
      <c r="I5950" s="130">
        <v>2</v>
      </c>
      <c r="J5950" t="s">
        <v>7574</v>
      </c>
      <c r="K5950" t="s">
        <v>95</v>
      </c>
      <c r="L5950" t="s">
        <v>123</v>
      </c>
      <c r="M5950" t="s">
        <v>103</v>
      </c>
      <c r="N5950" t="s">
        <v>114</v>
      </c>
      <c r="O5950" t="s">
        <v>1345</v>
      </c>
    </row>
    <row r="5951" spans="1:15" x14ac:dyDescent="0.3">
      <c r="A5951" s="130">
        <v>64472</v>
      </c>
      <c r="B5951" s="130">
        <v>15</v>
      </c>
      <c r="C5951" s="130" t="s">
        <v>7575</v>
      </c>
      <c r="D5951">
        <v>93</v>
      </c>
      <c r="E5951" s="130">
        <v>2230611</v>
      </c>
      <c r="F5951" t="s">
        <v>87</v>
      </c>
      <c r="G5951">
        <v>358</v>
      </c>
      <c r="H5951" t="s">
        <v>8951</v>
      </c>
      <c r="I5951" s="131">
        <v>2</v>
      </c>
      <c r="J5951" t="s">
        <v>7575</v>
      </c>
      <c r="K5951" t="s">
        <v>108</v>
      </c>
      <c r="L5951" t="s">
        <v>1346</v>
      </c>
      <c r="M5951" t="s">
        <v>145</v>
      </c>
      <c r="N5951" t="s">
        <v>132</v>
      </c>
      <c r="O5951" t="s">
        <v>1345</v>
      </c>
    </row>
    <row r="5952" spans="1:15" x14ac:dyDescent="0.3">
      <c r="A5952" s="130">
        <v>64525</v>
      </c>
      <c r="B5952" s="130">
        <v>30</v>
      </c>
      <c r="C5952" s="130" t="s">
        <v>7576</v>
      </c>
      <c r="D5952">
        <v>94</v>
      </c>
      <c r="E5952" s="130">
        <v>1864998</v>
      </c>
      <c r="F5952" t="s">
        <v>87</v>
      </c>
      <c r="G5952">
        <v>78</v>
      </c>
      <c r="H5952" t="s">
        <v>8952</v>
      </c>
      <c r="I5952" s="131">
        <v>20</v>
      </c>
      <c r="J5952" t="s">
        <v>7576</v>
      </c>
      <c r="K5952" t="s">
        <v>108</v>
      </c>
      <c r="L5952" t="s">
        <v>125</v>
      </c>
      <c r="M5952" t="s">
        <v>103</v>
      </c>
      <c r="N5952" t="s">
        <v>101</v>
      </c>
      <c r="O5952" t="s">
        <v>1345</v>
      </c>
    </row>
    <row r="5953" spans="1:15" x14ac:dyDescent="0.3">
      <c r="A5953" s="130">
        <v>64577</v>
      </c>
      <c r="B5953" s="130">
        <v>60</v>
      </c>
      <c r="C5953" s="130" t="s">
        <v>7577</v>
      </c>
      <c r="D5953">
        <v>95</v>
      </c>
      <c r="E5953" s="131">
        <v>2012862</v>
      </c>
      <c r="F5953" t="s">
        <v>87</v>
      </c>
      <c r="G5953">
        <v>77</v>
      </c>
      <c r="H5953" t="s">
        <v>8953</v>
      </c>
      <c r="I5953" s="131">
        <v>19</v>
      </c>
      <c r="J5953" t="s">
        <v>7577</v>
      </c>
      <c r="K5953" t="s">
        <v>95</v>
      </c>
      <c r="L5953" t="s">
        <v>105</v>
      </c>
      <c r="M5953" t="s">
        <v>97</v>
      </c>
      <c r="N5953" t="s">
        <v>122</v>
      </c>
      <c r="O5953" t="s">
        <v>116</v>
      </c>
    </row>
    <row r="5954" spans="1:15" x14ac:dyDescent="0.3">
      <c r="A5954" s="130">
        <v>64601</v>
      </c>
      <c r="B5954" s="130">
        <v>18</v>
      </c>
      <c r="C5954" s="130" t="s">
        <v>7578</v>
      </c>
      <c r="D5954">
        <v>96</v>
      </c>
      <c r="E5954" s="130">
        <v>19346952</v>
      </c>
      <c r="F5954" t="s">
        <v>87</v>
      </c>
      <c r="G5954">
        <v>78</v>
      </c>
      <c r="H5954" t="s">
        <v>8951</v>
      </c>
      <c r="I5954" s="131">
        <v>18</v>
      </c>
      <c r="J5954" t="s">
        <v>7578</v>
      </c>
      <c r="K5954" t="s">
        <v>95</v>
      </c>
      <c r="L5954" t="s">
        <v>123</v>
      </c>
      <c r="M5954" t="s">
        <v>112</v>
      </c>
      <c r="N5954" t="s">
        <v>98</v>
      </c>
      <c r="O5954" t="s">
        <v>116</v>
      </c>
    </row>
    <row r="5955" spans="1:15" x14ac:dyDescent="0.3">
      <c r="A5955" s="130">
        <v>64644</v>
      </c>
      <c r="B5955" s="130" t="s">
        <v>135</v>
      </c>
      <c r="C5955" s="130" t="s">
        <v>7579</v>
      </c>
      <c r="D5955">
        <v>97</v>
      </c>
      <c r="E5955" s="131">
        <v>83646547</v>
      </c>
      <c r="F5955" t="s">
        <v>87</v>
      </c>
      <c r="G5955">
        <v>78</v>
      </c>
      <c r="H5955" t="s">
        <v>8952</v>
      </c>
      <c r="I5955" s="130">
        <v>10</v>
      </c>
      <c r="J5955" t="s">
        <v>7579</v>
      </c>
      <c r="K5955" t="s">
        <v>95</v>
      </c>
      <c r="L5955" t="s">
        <v>105</v>
      </c>
      <c r="M5955" t="s">
        <v>136</v>
      </c>
      <c r="N5955" t="s">
        <v>114</v>
      </c>
      <c r="O5955" t="s">
        <v>116</v>
      </c>
    </row>
    <row r="5956" spans="1:15" x14ac:dyDescent="0.3">
      <c r="A5956" s="130">
        <v>64792</v>
      </c>
      <c r="B5956" s="130">
        <v>30</v>
      </c>
      <c r="C5956" s="130" t="s">
        <v>7580</v>
      </c>
      <c r="D5956">
        <v>98</v>
      </c>
      <c r="E5956" s="130">
        <v>83646547</v>
      </c>
      <c r="F5956" t="s">
        <v>87</v>
      </c>
      <c r="G5956">
        <v>78</v>
      </c>
      <c r="H5956" t="s">
        <v>8953</v>
      </c>
      <c r="I5956" s="131">
        <v>10</v>
      </c>
      <c r="J5956" t="s">
        <v>7580</v>
      </c>
      <c r="K5956" t="s">
        <v>95</v>
      </c>
      <c r="L5956" t="s">
        <v>127</v>
      </c>
      <c r="M5956" t="s">
        <v>103</v>
      </c>
      <c r="N5956" t="s">
        <v>114</v>
      </c>
      <c r="O5956" t="s">
        <v>1345</v>
      </c>
    </row>
    <row r="5957" spans="1:15" x14ac:dyDescent="0.3">
      <c r="A5957" s="130">
        <v>64804</v>
      </c>
      <c r="B5957" s="130">
        <v>18</v>
      </c>
      <c r="C5957" s="130" t="s">
        <v>7581</v>
      </c>
      <c r="D5957">
        <v>99</v>
      </c>
      <c r="E5957" s="130">
        <v>7812439</v>
      </c>
      <c r="F5957" t="s">
        <v>87</v>
      </c>
      <c r="G5957">
        <v>78</v>
      </c>
      <c r="H5957" t="s">
        <v>8951</v>
      </c>
      <c r="I5957" s="130">
        <v>18</v>
      </c>
      <c r="J5957" t="s">
        <v>7581</v>
      </c>
      <c r="K5957" t="s">
        <v>95</v>
      </c>
      <c r="L5957" t="s">
        <v>123</v>
      </c>
      <c r="M5957" t="s">
        <v>112</v>
      </c>
      <c r="N5957" t="s">
        <v>98</v>
      </c>
      <c r="O5957" t="s">
        <v>116</v>
      </c>
    </row>
    <row r="5958" spans="1:15" x14ac:dyDescent="0.3">
      <c r="A5958" s="130">
        <v>64854</v>
      </c>
      <c r="B5958" s="130">
        <v>30</v>
      </c>
      <c r="C5958" s="130" t="s">
        <v>7582</v>
      </c>
      <c r="D5958">
        <v>100</v>
      </c>
      <c r="E5958" s="130">
        <v>20557161</v>
      </c>
      <c r="F5958" t="s">
        <v>87</v>
      </c>
      <c r="G5958">
        <v>358</v>
      </c>
      <c r="H5958" t="s">
        <v>8952</v>
      </c>
      <c r="I5958" s="130">
        <v>2</v>
      </c>
      <c r="J5958" t="s">
        <v>7582</v>
      </c>
      <c r="K5958" t="s">
        <v>95</v>
      </c>
      <c r="L5958" t="s">
        <v>105</v>
      </c>
      <c r="M5958" t="s">
        <v>103</v>
      </c>
      <c r="N5958" t="s">
        <v>118</v>
      </c>
      <c r="O5958" t="s">
        <v>1345</v>
      </c>
    </row>
    <row r="5959" spans="1:15" x14ac:dyDescent="0.3">
      <c r="A5959" s="130">
        <v>64877</v>
      </c>
      <c r="B5959" s="130">
        <v>28</v>
      </c>
      <c r="C5959" s="130" t="s">
        <v>7583</v>
      </c>
      <c r="D5959">
        <v>101</v>
      </c>
      <c r="E5959" s="130">
        <v>26092631</v>
      </c>
      <c r="F5959" t="s">
        <v>87</v>
      </c>
      <c r="G5959">
        <v>78</v>
      </c>
      <c r="H5959" t="s">
        <v>8953</v>
      </c>
      <c r="I5959" s="131">
        <v>6</v>
      </c>
      <c r="J5959" t="s">
        <v>7583</v>
      </c>
      <c r="K5959" t="s">
        <v>108</v>
      </c>
      <c r="L5959" t="s">
        <v>126</v>
      </c>
      <c r="M5959" t="s">
        <v>130</v>
      </c>
      <c r="N5959" t="s">
        <v>101</v>
      </c>
      <c r="O5959" t="s">
        <v>116</v>
      </c>
    </row>
    <row r="5960" spans="1:15" x14ac:dyDescent="0.3">
      <c r="A5960" s="130">
        <v>64915</v>
      </c>
      <c r="B5960" s="130">
        <v>28</v>
      </c>
      <c r="C5960" s="130" t="s">
        <v>7584</v>
      </c>
      <c r="D5960">
        <v>102</v>
      </c>
      <c r="E5960" s="130">
        <v>14688220</v>
      </c>
      <c r="F5960" t="s">
        <v>87</v>
      </c>
      <c r="G5960">
        <v>78</v>
      </c>
      <c r="H5960" t="s">
        <v>8951</v>
      </c>
      <c r="I5960" s="130">
        <v>9</v>
      </c>
      <c r="J5960" t="s">
        <v>7584</v>
      </c>
      <c r="K5960" t="s">
        <v>95</v>
      </c>
      <c r="L5960" t="s">
        <v>125</v>
      </c>
      <c r="M5960" t="s">
        <v>130</v>
      </c>
      <c r="N5960" t="s">
        <v>101</v>
      </c>
      <c r="O5960" t="s">
        <v>1345</v>
      </c>
    </row>
    <row r="5961" spans="1:15" x14ac:dyDescent="0.3">
      <c r="A5961" s="130">
        <v>64942</v>
      </c>
      <c r="B5961" s="130">
        <v>18</v>
      </c>
      <c r="C5961" s="130" t="s">
        <v>7585</v>
      </c>
      <c r="D5961">
        <v>103</v>
      </c>
      <c r="E5961" s="131">
        <v>29513405</v>
      </c>
      <c r="F5961" t="s">
        <v>87</v>
      </c>
      <c r="G5961">
        <v>78</v>
      </c>
      <c r="H5961" t="s">
        <v>8952</v>
      </c>
      <c r="I5961" s="130">
        <v>18</v>
      </c>
      <c r="J5961" t="s">
        <v>7585</v>
      </c>
      <c r="K5961" t="s">
        <v>108</v>
      </c>
      <c r="L5961" t="s">
        <v>123</v>
      </c>
      <c r="M5961" t="s">
        <v>112</v>
      </c>
      <c r="N5961" t="s">
        <v>98</v>
      </c>
      <c r="O5961" t="s">
        <v>116</v>
      </c>
    </row>
    <row r="5962" spans="1:15" x14ac:dyDescent="0.3">
      <c r="A5962" s="130">
        <v>65072</v>
      </c>
      <c r="B5962" s="130">
        <v>28</v>
      </c>
      <c r="C5962" s="130" t="s">
        <v>7586</v>
      </c>
      <c r="D5962">
        <v>104</v>
      </c>
      <c r="E5962" s="130">
        <v>18137953</v>
      </c>
      <c r="F5962" t="s">
        <v>87</v>
      </c>
      <c r="G5962">
        <v>78</v>
      </c>
      <c r="H5962" t="s">
        <v>8953</v>
      </c>
      <c r="I5962" s="131">
        <v>24</v>
      </c>
      <c r="J5962" t="s">
        <v>7586</v>
      </c>
      <c r="K5962" t="s">
        <v>108</v>
      </c>
      <c r="L5962" t="s">
        <v>138</v>
      </c>
      <c r="M5962" t="s">
        <v>130</v>
      </c>
      <c r="N5962" t="s">
        <v>150</v>
      </c>
      <c r="O5962" t="s">
        <v>1345</v>
      </c>
    </row>
    <row r="5963" spans="1:15" x14ac:dyDescent="0.3">
      <c r="A5963" s="130">
        <v>65101</v>
      </c>
      <c r="B5963" s="130" t="s">
        <v>135</v>
      </c>
      <c r="C5963" s="130" t="s">
        <v>7587</v>
      </c>
      <c r="D5963">
        <v>105</v>
      </c>
      <c r="E5963" s="130">
        <v>83646547</v>
      </c>
      <c r="F5963" t="s">
        <v>87</v>
      </c>
      <c r="G5963">
        <v>78</v>
      </c>
      <c r="H5963" t="s">
        <v>8951</v>
      </c>
      <c r="I5963" s="130">
        <v>10</v>
      </c>
      <c r="J5963" t="s">
        <v>7587</v>
      </c>
      <c r="K5963" t="s">
        <v>95</v>
      </c>
      <c r="L5963" t="s">
        <v>127</v>
      </c>
      <c r="M5963" t="s">
        <v>136</v>
      </c>
      <c r="N5963" t="s">
        <v>114</v>
      </c>
      <c r="O5963" t="s">
        <v>116</v>
      </c>
    </row>
    <row r="5964" spans="1:15" x14ac:dyDescent="0.3">
      <c r="A5964" s="130">
        <v>65123</v>
      </c>
      <c r="B5964" s="130">
        <v>30</v>
      </c>
      <c r="C5964" s="130" t="s">
        <v>7588</v>
      </c>
      <c r="D5964">
        <v>106</v>
      </c>
      <c r="E5964" s="130">
        <v>34151100</v>
      </c>
      <c r="F5964" t="s">
        <v>87</v>
      </c>
      <c r="G5964">
        <v>78</v>
      </c>
      <c r="H5964" t="s">
        <v>8952</v>
      </c>
      <c r="I5964" s="130">
        <v>2</v>
      </c>
      <c r="J5964" t="s">
        <v>7588</v>
      </c>
      <c r="K5964" t="s">
        <v>95</v>
      </c>
      <c r="L5964" t="s">
        <v>257</v>
      </c>
      <c r="M5964" t="s">
        <v>103</v>
      </c>
      <c r="N5964" t="s">
        <v>101</v>
      </c>
      <c r="O5964" t="s">
        <v>116</v>
      </c>
    </row>
    <row r="5965" spans="1:15" x14ac:dyDescent="0.3">
      <c r="A5965" s="130">
        <v>65132</v>
      </c>
      <c r="B5965" s="130">
        <v>30</v>
      </c>
      <c r="C5965" s="130" t="s">
        <v>7589</v>
      </c>
      <c r="D5965">
        <v>107</v>
      </c>
      <c r="E5965" s="131">
        <v>34151100</v>
      </c>
      <c r="F5965" t="s">
        <v>87</v>
      </c>
      <c r="G5965">
        <v>78</v>
      </c>
      <c r="H5965" t="s">
        <v>8953</v>
      </c>
      <c r="I5965" s="130">
        <v>2</v>
      </c>
      <c r="J5965" t="s">
        <v>7589</v>
      </c>
      <c r="K5965" t="s">
        <v>95</v>
      </c>
      <c r="L5965" t="s">
        <v>257</v>
      </c>
      <c r="M5965" t="s">
        <v>103</v>
      </c>
      <c r="N5965" t="s">
        <v>101</v>
      </c>
      <c r="O5965" t="s">
        <v>1345</v>
      </c>
    </row>
    <row r="5966" spans="1:15" x14ac:dyDescent="0.3">
      <c r="A5966" s="130">
        <v>65148</v>
      </c>
      <c r="B5966" s="130">
        <v>18</v>
      </c>
      <c r="C5966" s="130" t="s">
        <v>7590</v>
      </c>
      <c r="D5966">
        <v>108</v>
      </c>
      <c r="E5966" s="130">
        <v>8319968</v>
      </c>
      <c r="F5966" t="s">
        <v>87</v>
      </c>
      <c r="G5966">
        <v>78</v>
      </c>
      <c r="H5966" t="s">
        <v>8951</v>
      </c>
      <c r="I5966" s="130">
        <v>18</v>
      </c>
      <c r="J5966" t="s">
        <v>7590</v>
      </c>
      <c r="K5966" t="s">
        <v>108</v>
      </c>
      <c r="L5966" t="s">
        <v>123</v>
      </c>
      <c r="M5966" t="s">
        <v>112</v>
      </c>
      <c r="N5966" t="s">
        <v>98</v>
      </c>
      <c r="O5966" t="s">
        <v>1345</v>
      </c>
    </row>
    <row r="5967" spans="1:15" x14ac:dyDescent="0.3">
      <c r="A5967" s="130">
        <v>65212</v>
      </c>
      <c r="B5967" s="130">
        <v>18</v>
      </c>
      <c r="C5967" s="130" t="s">
        <v>7591</v>
      </c>
      <c r="D5967">
        <v>109</v>
      </c>
      <c r="E5967" s="130">
        <v>64945298</v>
      </c>
      <c r="F5967" t="s">
        <v>87</v>
      </c>
      <c r="G5967">
        <v>78</v>
      </c>
      <c r="H5967" t="s">
        <v>8952</v>
      </c>
      <c r="I5967" s="130">
        <v>6</v>
      </c>
      <c r="J5967" t="s">
        <v>7591</v>
      </c>
      <c r="K5967" t="s">
        <v>108</v>
      </c>
      <c r="L5967" t="s">
        <v>126</v>
      </c>
      <c r="M5967" t="s">
        <v>112</v>
      </c>
      <c r="N5967" t="s">
        <v>98</v>
      </c>
      <c r="O5967" t="s">
        <v>1345</v>
      </c>
    </row>
    <row r="5968" spans="1:15" x14ac:dyDescent="0.3">
      <c r="A5968" s="130">
        <v>65307</v>
      </c>
      <c r="B5968" s="131">
        <v>30</v>
      </c>
      <c r="C5968" s="130" t="s">
        <v>7592</v>
      </c>
      <c r="D5968">
        <v>110</v>
      </c>
      <c r="E5968" s="130">
        <v>28908804</v>
      </c>
      <c r="F5968" t="s">
        <v>87</v>
      </c>
      <c r="G5968">
        <v>78</v>
      </c>
      <c r="H5968" t="s">
        <v>8953</v>
      </c>
      <c r="I5968" s="130">
        <v>18</v>
      </c>
      <c r="J5968" t="s">
        <v>7592</v>
      </c>
      <c r="K5968" t="s">
        <v>108</v>
      </c>
      <c r="L5968" t="s">
        <v>123</v>
      </c>
      <c r="M5968" t="s">
        <v>103</v>
      </c>
      <c r="N5968" t="s">
        <v>122</v>
      </c>
      <c r="O5968" t="s">
        <v>116</v>
      </c>
    </row>
    <row r="5969" spans="1:15" x14ac:dyDescent="0.3">
      <c r="A5969" s="130">
        <v>65341</v>
      </c>
      <c r="B5969" s="130">
        <v>30</v>
      </c>
      <c r="C5969" s="130" t="s">
        <v>7593</v>
      </c>
      <c r="D5969">
        <v>111</v>
      </c>
      <c r="E5969" s="131">
        <v>34274233</v>
      </c>
      <c r="F5969" t="s">
        <v>87</v>
      </c>
      <c r="G5969">
        <v>77</v>
      </c>
      <c r="H5969" t="s">
        <v>8951</v>
      </c>
      <c r="I5969" s="131">
        <v>2</v>
      </c>
      <c r="J5969" t="s">
        <v>7593</v>
      </c>
      <c r="K5969" t="s">
        <v>95</v>
      </c>
      <c r="L5969" t="s">
        <v>117</v>
      </c>
      <c r="M5969" t="s">
        <v>103</v>
      </c>
      <c r="N5969" t="s">
        <v>101</v>
      </c>
      <c r="O5969" t="s">
        <v>116</v>
      </c>
    </row>
    <row r="5970" spans="1:15" x14ac:dyDescent="0.3">
      <c r="A5970" s="130">
        <v>65353</v>
      </c>
      <c r="B5970" s="130">
        <v>30</v>
      </c>
      <c r="C5970" s="130" t="s">
        <v>7594</v>
      </c>
      <c r="D5970">
        <v>112</v>
      </c>
      <c r="E5970" s="131">
        <v>61067997</v>
      </c>
      <c r="F5970" t="s">
        <v>87</v>
      </c>
      <c r="G5970">
        <v>358</v>
      </c>
      <c r="H5970" t="s">
        <v>8952</v>
      </c>
      <c r="I5970" s="131">
        <v>2</v>
      </c>
      <c r="J5970" t="s">
        <v>7594</v>
      </c>
      <c r="K5970" t="s">
        <v>108</v>
      </c>
      <c r="L5970" t="s">
        <v>140</v>
      </c>
      <c r="M5970" t="s">
        <v>103</v>
      </c>
      <c r="N5970" t="s">
        <v>114</v>
      </c>
      <c r="O5970" t="s">
        <v>1345</v>
      </c>
    </row>
    <row r="5971" spans="1:15" x14ac:dyDescent="0.3">
      <c r="A5971" s="130">
        <v>65390</v>
      </c>
      <c r="B5971" s="130">
        <v>18</v>
      </c>
      <c r="C5971" s="130" t="s">
        <v>7595</v>
      </c>
      <c r="D5971">
        <v>113</v>
      </c>
      <c r="E5971" s="130">
        <v>2993474</v>
      </c>
      <c r="F5971" t="s">
        <v>87</v>
      </c>
      <c r="G5971">
        <v>78</v>
      </c>
      <c r="H5971" t="s">
        <v>8953</v>
      </c>
      <c r="I5971" s="131">
        <v>26</v>
      </c>
      <c r="J5971" t="s">
        <v>7595</v>
      </c>
      <c r="K5971" t="s">
        <v>108</v>
      </c>
      <c r="L5971" t="s">
        <v>151</v>
      </c>
      <c r="M5971" t="s">
        <v>112</v>
      </c>
      <c r="N5971" t="s">
        <v>98</v>
      </c>
      <c r="O5971" t="s">
        <v>1345</v>
      </c>
    </row>
    <row r="5972" spans="1:15" x14ac:dyDescent="0.3">
      <c r="A5972" s="130">
        <v>65417</v>
      </c>
      <c r="B5972" s="130">
        <v>18</v>
      </c>
      <c r="C5972" s="130" t="s">
        <v>7596</v>
      </c>
      <c r="D5972">
        <v>114</v>
      </c>
      <c r="E5972" s="130">
        <v>19861009</v>
      </c>
      <c r="F5972" t="s">
        <v>87</v>
      </c>
      <c r="G5972">
        <v>78</v>
      </c>
      <c r="H5972" t="s">
        <v>8951</v>
      </c>
      <c r="I5972" s="130">
        <v>10</v>
      </c>
      <c r="J5972" t="s">
        <v>7596</v>
      </c>
      <c r="K5972" t="s">
        <v>95</v>
      </c>
      <c r="L5972" t="s">
        <v>127</v>
      </c>
      <c r="M5972" t="s">
        <v>112</v>
      </c>
      <c r="N5972" t="s">
        <v>98</v>
      </c>
      <c r="O5972" t="s">
        <v>116</v>
      </c>
    </row>
    <row r="5973" spans="1:15" x14ac:dyDescent="0.3">
      <c r="A5973" s="130">
        <v>65441</v>
      </c>
      <c r="B5973" s="130">
        <v>18</v>
      </c>
      <c r="C5973" s="130" t="s">
        <v>7597</v>
      </c>
      <c r="D5973">
        <v>115</v>
      </c>
      <c r="E5973" s="130">
        <v>3031991</v>
      </c>
      <c r="F5973" t="s">
        <v>87</v>
      </c>
      <c r="G5973">
        <v>358</v>
      </c>
      <c r="H5973" t="s">
        <v>8952</v>
      </c>
      <c r="I5973" s="130">
        <v>2</v>
      </c>
      <c r="J5973" t="s">
        <v>7597</v>
      </c>
      <c r="K5973" t="s">
        <v>108</v>
      </c>
      <c r="L5973" t="s">
        <v>99</v>
      </c>
      <c r="M5973" t="s">
        <v>112</v>
      </c>
      <c r="N5973" t="s">
        <v>98</v>
      </c>
      <c r="O5973" t="s">
        <v>1345</v>
      </c>
    </row>
    <row r="5974" spans="1:15" x14ac:dyDescent="0.3">
      <c r="A5974" s="130">
        <v>65551</v>
      </c>
      <c r="B5974" s="130">
        <v>18</v>
      </c>
      <c r="C5974" s="130" t="s">
        <v>7598</v>
      </c>
      <c r="D5974">
        <v>116</v>
      </c>
      <c r="E5974" s="130">
        <v>8974188</v>
      </c>
      <c r="F5974" t="s">
        <v>87</v>
      </c>
      <c r="G5974">
        <v>358</v>
      </c>
      <c r="H5974" t="s">
        <v>8953</v>
      </c>
      <c r="I5974" s="130">
        <v>20</v>
      </c>
      <c r="J5974" t="s">
        <v>7598</v>
      </c>
      <c r="K5974" t="s">
        <v>108</v>
      </c>
      <c r="L5974" t="s">
        <v>153</v>
      </c>
      <c r="M5974" t="s">
        <v>112</v>
      </c>
      <c r="N5974" t="s">
        <v>122</v>
      </c>
      <c r="O5974" t="s">
        <v>1345</v>
      </c>
    </row>
    <row r="5975" spans="1:15" x14ac:dyDescent="0.3">
      <c r="A5975" s="130">
        <v>65584</v>
      </c>
      <c r="B5975" s="130">
        <v>30</v>
      </c>
      <c r="C5975" s="130" t="s">
        <v>7599</v>
      </c>
      <c r="D5975">
        <v>117</v>
      </c>
      <c r="E5975" s="131">
        <v>5513679</v>
      </c>
      <c r="F5975" t="s">
        <v>87</v>
      </c>
      <c r="G5975">
        <v>78</v>
      </c>
      <c r="H5975" t="s">
        <v>8951</v>
      </c>
      <c r="I5975" s="130">
        <v>10</v>
      </c>
      <c r="J5975" t="s">
        <v>7599</v>
      </c>
      <c r="K5975" t="s">
        <v>108</v>
      </c>
      <c r="L5975" t="s">
        <v>127</v>
      </c>
      <c r="M5975" t="s">
        <v>103</v>
      </c>
      <c r="N5975" t="s">
        <v>107</v>
      </c>
      <c r="O5975" t="s">
        <v>1345</v>
      </c>
    </row>
    <row r="5976" spans="1:15" x14ac:dyDescent="0.3">
      <c r="A5976" s="130">
        <v>65605</v>
      </c>
      <c r="B5976" s="130">
        <v>30</v>
      </c>
      <c r="C5976" s="130" t="s">
        <v>7600</v>
      </c>
      <c r="D5976">
        <v>118</v>
      </c>
      <c r="E5976" s="130">
        <v>13511905</v>
      </c>
      <c r="F5976" t="s">
        <v>87</v>
      </c>
      <c r="G5976">
        <v>78</v>
      </c>
      <c r="H5976" t="s">
        <v>8952</v>
      </c>
      <c r="I5976" s="130">
        <v>24</v>
      </c>
      <c r="J5976" t="s">
        <v>7600</v>
      </c>
      <c r="K5976" t="s">
        <v>95</v>
      </c>
      <c r="L5976" t="s">
        <v>138</v>
      </c>
      <c r="M5976" t="s">
        <v>103</v>
      </c>
      <c r="N5976" t="s">
        <v>98</v>
      </c>
      <c r="O5976" t="s">
        <v>1345</v>
      </c>
    </row>
    <row r="5977" spans="1:15" x14ac:dyDescent="0.3">
      <c r="A5977" s="130">
        <v>65617</v>
      </c>
      <c r="B5977" s="130">
        <v>30</v>
      </c>
      <c r="C5977" s="130" t="s">
        <v>7601</v>
      </c>
      <c r="D5977">
        <v>119</v>
      </c>
      <c r="E5977" s="131">
        <v>16742490</v>
      </c>
      <c r="F5977" t="s">
        <v>87</v>
      </c>
      <c r="G5977">
        <v>78</v>
      </c>
      <c r="H5977" t="s">
        <v>8953</v>
      </c>
      <c r="I5977" s="130">
        <v>24</v>
      </c>
      <c r="J5977" t="s">
        <v>7601</v>
      </c>
      <c r="K5977" t="s">
        <v>95</v>
      </c>
      <c r="L5977" t="s">
        <v>138</v>
      </c>
      <c r="M5977" t="s">
        <v>103</v>
      </c>
      <c r="N5977" t="s">
        <v>98</v>
      </c>
      <c r="O5977" t="s">
        <v>1345</v>
      </c>
    </row>
    <row r="5978" spans="1:15" x14ac:dyDescent="0.3">
      <c r="A5978" s="130">
        <v>65626</v>
      </c>
      <c r="B5978" s="130">
        <v>30</v>
      </c>
      <c r="C5978" s="130" t="s">
        <v>7602</v>
      </c>
      <c r="D5978">
        <v>120</v>
      </c>
      <c r="E5978" s="130">
        <v>38639811</v>
      </c>
      <c r="F5978" t="s">
        <v>87</v>
      </c>
      <c r="G5978">
        <v>358</v>
      </c>
      <c r="H5978" t="s">
        <v>8951</v>
      </c>
      <c r="I5978" s="131">
        <v>2</v>
      </c>
      <c r="J5978" t="s">
        <v>7602</v>
      </c>
      <c r="K5978" t="s">
        <v>108</v>
      </c>
      <c r="L5978" t="s">
        <v>105</v>
      </c>
      <c r="M5978" t="s">
        <v>103</v>
      </c>
      <c r="N5978" t="s">
        <v>114</v>
      </c>
      <c r="O5978" t="s">
        <v>116</v>
      </c>
    </row>
    <row r="5979" spans="1:15" x14ac:dyDescent="0.3">
      <c r="A5979" s="130">
        <v>65639</v>
      </c>
      <c r="B5979" s="130" t="s">
        <v>135</v>
      </c>
      <c r="C5979" s="130" t="s">
        <v>7603</v>
      </c>
      <c r="D5979">
        <v>121</v>
      </c>
      <c r="E5979" s="130">
        <v>83646547</v>
      </c>
      <c r="F5979" t="s">
        <v>87</v>
      </c>
      <c r="G5979">
        <v>78</v>
      </c>
      <c r="H5979" t="s">
        <v>8952</v>
      </c>
      <c r="I5979" s="130">
        <v>10</v>
      </c>
      <c r="J5979" t="s">
        <v>7603</v>
      </c>
      <c r="K5979" t="s">
        <v>95</v>
      </c>
      <c r="L5979" t="s">
        <v>105</v>
      </c>
      <c r="M5979" t="s">
        <v>136</v>
      </c>
      <c r="N5979" t="s">
        <v>114</v>
      </c>
      <c r="O5979" t="s">
        <v>116</v>
      </c>
    </row>
    <row r="5980" spans="1:15" x14ac:dyDescent="0.3">
      <c r="A5980" s="130">
        <v>65642</v>
      </c>
      <c r="B5980" s="130">
        <v>60</v>
      </c>
      <c r="C5980" s="130" t="s">
        <v>7604</v>
      </c>
      <c r="D5980">
        <v>122</v>
      </c>
      <c r="E5980" s="131">
        <v>33931478</v>
      </c>
      <c r="F5980" t="s">
        <v>87</v>
      </c>
      <c r="G5980">
        <v>77</v>
      </c>
      <c r="H5980" t="s">
        <v>8953</v>
      </c>
      <c r="I5980" s="131">
        <v>10</v>
      </c>
      <c r="J5980" t="s">
        <v>7604</v>
      </c>
      <c r="K5980" t="s">
        <v>95</v>
      </c>
      <c r="L5980" t="s">
        <v>117</v>
      </c>
      <c r="M5980" t="s">
        <v>97</v>
      </c>
      <c r="N5980" t="s">
        <v>118</v>
      </c>
      <c r="O5980" t="s">
        <v>116</v>
      </c>
    </row>
    <row r="5981" spans="1:15" x14ac:dyDescent="0.3">
      <c r="A5981" s="130">
        <v>65690</v>
      </c>
      <c r="B5981" s="130">
        <v>18</v>
      </c>
      <c r="C5981" s="130" t="s">
        <v>7605</v>
      </c>
      <c r="D5981">
        <v>123</v>
      </c>
      <c r="E5981" s="130">
        <v>8319968</v>
      </c>
      <c r="F5981" t="s">
        <v>87</v>
      </c>
      <c r="G5981">
        <v>78</v>
      </c>
      <c r="H5981" t="s">
        <v>8951</v>
      </c>
      <c r="I5981" s="131">
        <v>18</v>
      </c>
      <c r="J5981" t="s">
        <v>7605</v>
      </c>
      <c r="K5981" t="s">
        <v>108</v>
      </c>
      <c r="L5981" t="s">
        <v>123</v>
      </c>
      <c r="M5981" t="s">
        <v>112</v>
      </c>
      <c r="N5981" t="s">
        <v>98</v>
      </c>
      <c r="O5981" t="s">
        <v>1345</v>
      </c>
    </row>
    <row r="5982" spans="1:15" x14ac:dyDescent="0.3">
      <c r="A5982" s="130">
        <v>65726</v>
      </c>
      <c r="B5982" s="130">
        <v>30</v>
      </c>
      <c r="C5982" s="130" t="s">
        <v>7606</v>
      </c>
      <c r="D5982">
        <v>124</v>
      </c>
      <c r="E5982" s="130">
        <v>14688220</v>
      </c>
      <c r="F5982" t="s">
        <v>87</v>
      </c>
      <c r="G5982">
        <v>78</v>
      </c>
      <c r="H5982" t="s">
        <v>8952</v>
      </c>
      <c r="I5982" s="131">
        <v>19</v>
      </c>
      <c r="J5982" t="s">
        <v>7606</v>
      </c>
      <c r="K5982" t="s">
        <v>95</v>
      </c>
      <c r="L5982" t="s">
        <v>146</v>
      </c>
      <c r="M5982" t="s">
        <v>103</v>
      </c>
      <c r="N5982" t="s">
        <v>101</v>
      </c>
      <c r="O5982" t="s">
        <v>1345</v>
      </c>
    </row>
    <row r="5983" spans="1:15" x14ac:dyDescent="0.3">
      <c r="A5983" s="130">
        <v>65746</v>
      </c>
      <c r="B5983" s="130">
        <v>18</v>
      </c>
      <c r="C5983" s="130" t="s">
        <v>7607</v>
      </c>
      <c r="D5983">
        <v>125</v>
      </c>
      <c r="E5983" s="130">
        <v>15527906</v>
      </c>
      <c r="F5983" t="s">
        <v>87</v>
      </c>
      <c r="G5983">
        <v>358</v>
      </c>
      <c r="H5983" t="s">
        <v>8953</v>
      </c>
      <c r="I5983" s="131">
        <v>2</v>
      </c>
      <c r="J5983" t="s">
        <v>7607</v>
      </c>
      <c r="K5983" t="s">
        <v>95</v>
      </c>
      <c r="L5983" t="s">
        <v>109</v>
      </c>
      <c r="M5983" t="s">
        <v>112</v>
      </c>
      <c r="N5983" t="s">
        <v>118</v>
      </c>
      <c r="O5983" t="s">
        <v>116</v>
      </c>
    </row>
    <row r="5984" spans="1:15" x14ac:dyDescent="0.3">
      <c r="A5984" s="130">
        <v>65830</v>
      </c>
      <c r="B5984" s="130">
        <v>30</v>
      </c>
      <c r="C5984" s="130" t="s">
        <v>7608</v>
      </c>
      <c r="D5984">
        <v>126</v>
      </c>
      <c r="E5984" s="130">
        <v>2012862</v>
      </c>
      <c r="F5984" t="s">
        <v>87</v>
      </c>
      <c r="G5984">
        <v>78</v>
      </c>
      <c r="H5984" t="s">
        <v>8951</v>
      </c>
      <c r="I5984" s="130">
        <v>19</v>
      </c>
      <c r="J5984" t="s">
        <v>7608</v>
      </c>
      <c r="K5984" t="s">
        <v>95</v>
      </c>
      <c r="L5984" t="s">
        <v>146</v>
      </c>
      <c r="M5984" t="s">
        <v>103</v>
      </c>
      <c r="N5984" t="s">
        <v>122</v>
      </c>
      <c r="O5984" t="s">
        <v>116</v>
      </c>
    </row>
    <row r="5985" spans="1:15" x14ac:dyDescent="0.3">
      <c r="A5985" s="130">
        <v>65865</v>
      </c>
      <c r="B5985" s="130">
        <v>18</v>
      </c>
      <c r="C5985" s="130" t="s">
        <v>7609</v>
      </c>
      <c r="D5985">
        <v>127</v>
      </c>
      <c r="E5985" s="131">
        <v>18540906</v>
      </c>
      <c r="F5985" t="s">
        <v>87</v>
      </c>
      <c r="G5985">
        <v>78</v>
      </c>
      <c r="H5985" t="s">
        <v>8952</v>
      </c>
      <c r="I5985" s="131">
        <v>10</v>
      </c>
      <c r="J5985" t="s">
        <v>7609</v>
      </c>
      <c r="K5985" t="s">
        <v>95</v>
      </c>
      <c r="L5985" t="s">
        <v>127</v>
      </c>
      <c r="M5985" t="s">
        <v>112</v>
      </c>
      <c r="N5985" t="s">
        <v>118</v>
      </c>
      <c r="O5985" t="s">
        <v>1345</v>
      </c>
    </row>
    <row r="5986" spans="1:15" x14ac:dyDescent="0.3">
      <c r="A5986" s="130">
        <v>65888</v>
      </c>
      <c r="B5986" s="130">
        <v>30</v>
      </c>
      <c r="C5986" s="130" t="s">
        <v>7610</v>
      </c>
      <c r="D5986">
        <v>128</v>
      </c>
      <c r="E5986" s="131">
        <v>28763819</v>
      </c>
      <c r="F5986" t="s">
        <v>87</v>
      </c>
      <c r="G5986">
        <v>78</v>
      </c>
      <c r="H5986" t="s">
        <v>8953</v>
      </c>
      <c r="I5986" s="131">
        <v>2</v>
      </c>
      <c r="J5986" t="s">
        <v>7610</v>
      </c>
      <c r="K5986" t="s">
        <v>108</v>
      </c>
      <c r="L5986" t="s">
        <v>105</v>
      </c>
      <c r="M5986" t="s">
        <v>103</v>
      </c>
      <c r="N5986" t="s">
        <v>114</v>
      </c>
      <c r="O5986" t="s">
        <v>1345</v>
      </c>
    </row>
    <row r="5987" spans="1:15" x14ac:dyDescent="0.3">
      <c r="A5987" s="130">
        <v>65933</v>
      </c>
      <c r="B5987" s="130">
        <v>18</v>
      </c>
      <c r="C5987" s="130" t="s">
        <v>7611</v>
      </c>
      <c r="D5987">
        <v>129</v>
      </c>
      <c r="E5987" s="130">
        <v>209792</v>
      </c>
      <c r="F5987" t="s">
        <v>87</v>
      </c>
      <c r="G5987">
        <v>77</v>
      </c>
      <c r="H5987" t="s">
        <v>8951</v>
      </c>
      <c r="I5987" s="131">
        <v>2</v>
      </c>
      <c r="J5987" t="s">
        <v>7611</v>
      </c>
      <c r="K5987" t="s">
        <v>95</v>
      </c>
      <c r="L5987" t="s">
        <v>115</v>
      </c>
      <c r="M5987" t="s">
        <v>112</v>
      </c>
      <c r="N5987" t="s">
        <v>107</v>
      </c>
      <c r="O5987" t="s">
        <v>116</v>
      </c>
    </row>
    <row r="5988" spans="1:15" x14ac:dyDescent="0.3">
      <c r="A5988" s="130">
        <v>65935</v>
      </c>
      <c r="B5988" s="130">
        <v>18</v>
      </c>
      <c r="C5988" s="130" t="s">
        <v>7612</v>
      </c>
      <c r="D5988">
        <v>130</v>
      </c>
      <c r="E5988" s="131">
        <v>9343424</v>
      </c>
      <c r="F5988" t="s">
        <v>87</v>
      </c>
      <c r="G5988">
        <v>358</v>
      </c>
      <c r="H5988" t="s">
        <v>8952</v>
      </c>
      <c r="I5988" s="130">
        <v>2</v>
      </c>
      <c r="J5988" t="s">
        <v>7612</v>
      </c>
      <c r="K5988" t="s">
        <v>108</v>
      </c>
      <c r="L5988" t="s">
        <v>99</v>
      </c>
      <c r="M5988" t="s">
        <v>112</v>
      </c>
      <c r="N5988" t="s">
        <v>114</v>
      </c>
      <c r="O5988" t="s">
        <v>1345</v>
      </c>
    </row>
    <row r="5989" spans="1:15" x14ac:dyDescent="0.3">
      <c r="A5989" s="130">
        <v>65981</v>
      </c>
      <c r="B5989" s="130">
        <v>18</v>
      </c>
      <c r="C5989" s="130" t="s">
        <v>7613</v>
      </c>
      <c r="D5989">
        <v>131</v>
      </c>
      <c r="E5989" s="130">
        <v>25465577</v>
      </c>
      <c r="F5989" t="s">
        <v>87</v>
      </c>
      <c r="G5989">
        <v>78</v>
      </c>
      <c r="H5989" t="s">
        <v>8953</v>
      </c>
      <c r="I5989" s="130">
        <v>26</v>
      </c>
      <c r="J5989" t="s">
        <v>7613</v>
      </c>
      <c r="K5989" t="s">
        <v>108</v>
      </c>
      <c r="L5989" t="s">
        <v>151</v>
      </c>
      <c r="M5989" t="s">
        <v>112</v>
      </c>
      <c r="N5989" t="s">
        <v>150</v>
      </c>
      <c r="O5989" t="s">
        <v>1345</v>
      </c>
    </row>
    <row r="5990" spans="1:15" x14ac:dyDescent="0.3">
      <c r="A5990" s="130">
        <v>65983</v>
      </c>
      <c r="B5990" s="130">
        <v>28</v>
      </c>
      <c r="C5990" s="130" t="s">
        <v>7614</v>
      </c>
      <c r="D5990">
        <v>132</v>
      </c>
      <c r="E5990" s="130">
        <v>6118801</v>
      </c>
      <c r="F5990" t="s">
        <v>87</v>
      </c>
      <c r="G5990">
        <v>78</v>
      </c>
      <c r="H5990" t="s">
        <v>8951</v>
      </c>
      <c r="I5990" s="130">
        <v>26</v>
      </c>
      <c r="J5990" t="s">
        <v>7614</v>
      </c>
      <c r="K5990" t="s">
        <v>108</v>
      </c>
      <c r="L5990" t="s">
        <v>151</v>
      </c>
      <c r="M5990" t="s">
        <v>130</v>
      </c>
      <c r="N5990" t="s">
        <v>107</v>
      </c>
      <c r="O5990" t="s">
        <v>1345</v>
      </c>
    </row>
    <row r="5991" spans="1:15" x14ac:dyDescent="0.3">
      <c r="A5991" s="130">
        <v>66004</v>
      </c>
      <c r="B5991" s="130">
        <v>18</v>
      </c>
      <c r="C5991" s="130" t="s">
        <v>7615</v>
      </c>
      <c r="D5991">
        <v>133</v>
      </c>
      <c r="E5991" s="130">
        <v>18937626</v>
      </c>
      <c r="F5991" t="s">
        <v>87</v>
      </c>
      <c r="G5991">
        <v>78</v>
      </c>
      <c r="H5991" t="s">
        <v>8952</v>
      </c>
      <c r="I5991" s="131">
        <v>19</v>
      </c>
      <c r="J5991" t="s">
        <v>7615</v>
      </c>
      <c r="K5991" t="s">
        <v>108</v>
      </c>
      <c r="L5991" t="s">
        <v>146</v>
      </c>
      <c r="M5991" t="s">
        <v>112</v>
      </c>
      <c r="N5991" t="s">
        <v>98</v>
      </c>
      <c r="O5991" t="s">
        <v>116</v>
      </c>
    </row>
    <row r="5992" spans="1:15" x14ac:dyDescent="0.3">
      <c r="A5992" s="130">
        <v>66035</v>
      </c>
      <c r="B5992" s="130">
        <v>30</v>
      </c>
      <c r="C5992" s="130" t="s">
        <v>7616</v>
      </c>
      <c r="D5992">
        <v>134</v>
      </c>
      <c r="E5992" s="130">
        <v>21778678</v>
      </c>
      <c r="F5992" t="s">
        <v>87</v>
      </c>
      <c r="G5992">
        <v>78</v>
      </c>
      <c r="H5992" t="s">
        <v>8953</v>
      </c>
      <c r="I5992" s="130">
        <v>26</v>
      </c>
      <c r="J5992" t="s">
        <v>7616</v>
      </c>
      <c r="K5992" t="s">
        <v>95</v>
      </c>
      <c r="L5992" t="s">
        <v>151</v>
      </c>
      <c r="M5992" t="s">
        <v>103</v>
      </c>
      <c r="N5992" t="s">
        <v>118</v>
      </c>
      <c r="O5992" t="s">
        <v>1345</v>
      </c>
    </row>
    <row r="5993" spans="1:15" x14ac:dyDescent="0.3">
      <c r="A5993" s="130">
        <v>66070</v>
      </c>
      <c r="B5993" s="130">
        <v>30</v>
      </c>
      <c r="C5993" s="130" t="s">
        <v>7617</v>
      </c>
      <c r="D5993">
        <v>135</v>
      </c>
      <c r="E5993" s="130">
        <v>34274233</v>
      </c>
      <c r="F5993" t="s">
        <v>87</v>
      </c>
      <c r="G5993">
        <v>77</v>
      </c>
      <c r="H5993" t="s">
        <v>8951</v>
      </c>
      <c r="I5993" s="130">
        <v>2</v>
      </c>
      <c r="J5993" t="s">
        <v>7617</v>
      </c>
      <c r="K5993" t="s">
        <v>95</v>
      </c>
      <c r="L5993" t="s">
        <v>117</v>
      </c>
      <c r="M5993" t="s">
        <v>103</v>
      </c>
      <c r="N5993" t="s">
        <v>101</v>
      </c>
      <c r="O5993" t="s">
        <v>1345</v>
      </c>
    </row>
    <row r="5994" spans="1:15" x14ac:dyDescent="0.3">
      <c r="A5994" s="130">
        <v>66086</v>
      </c>
      <c r="B5994" s="130">
        <v>30</v>
      </c>
      <c r="C5994" s="130" t="s">
        <v>7618</v>
      </c>
      <c r="D5994">
        <v>136</v>
      </c>
      <c r="E5994" s="131">
        <v>28763819</v>
      </c>
      <c r="F5994" t="s">
        <v>87</v>
      </c>
      <c r="G5994">
        <v>358</v>
      </c>
      <c r="H5994" t="s">
        <v>8952</v>
      </c>
      <c r="I5994" s="131">
        <v>2</v>
      </c>
      <c r="J5994" t="s">
        <v>7618</v>
      </c>
      <c r="K5994" t="s">
        <v>108</v>
      </c>
      <c r="L5994" t="s">
        <v>109</v>
      </c>
      <c r="M5994" t="s">
        <v>103</v>
      </c>
      <c r="N5994" t="s">
        <v>114</v>
      </c>
      <c r="O5994" t="s">
        <v>116</v>
      </c>
    </row>
    <row r="5995" spans="1:15" x14ac:dyDescent="0.3">
      <c r="A5995" s="130">
        <v>66128</v>
      </c>
      <c r="B5995" s="130">
        <v>18</v>
      </c>
      <c r="C5995" s="130" t="s">
        <v>7619</v>
      </c>
      <c r="D5995">
        <v>137</v>
      </c>
      <c r="E5995" s="130">
        <v>21820034</v>
      </c>
      <c r="F5995" t="s">
        <v>87</v>
      </c>
      <c r="G5995">
        <v>358</v>
      </c>
      <c r="H5995" t="s">
        <v>8953</v>
      </c>
      <c r="I5995" s="130">
        <v>24</v>
      </c>
      <c r="J5995" t="s">
        <v>7619</v>
      </c>
      <c r="K5995" t="s">
        <v>108</v>
      </c>
      <c r="L5995" t="s">
        <v>193</v>
      </c>
      <c r="M5995" t="s">
        <v>112</v>
      </c>
      <c r="N5995" t="s">
        <v>101</v>
      </c>
      <c r="O5995" t="s">
        <v>116</v>
      </c>
    </row>
    <row r="5996" spans="1:15" x14ac:dyDescent="0.3">
      <c r="A5996" s="130">
        <v>66198</v>
      </c>
      <c r="B5996" s="130">
        <v>30</v>
      </c>
      <c r="C5996" s="130" t="s">
        <v>7620</v>
      </c>
      <c r="D5996">
        <v>138</v>
      </c>
      <c r="E5996" s="131">
        <v>3147393</v>
      </c>
      <c r="F5996" t="s">
        <v>87</v>
      </c>
      <c r="G5996">
        <v>78</v>
      </c>
      <c r="H5996" t="s">
        <v>8951</v>
      </c>
      <c r="I5996" s="130">
        <v>10</v>
      </c>
      <c r="J5996" t="s">
        <v>7620</v>
      </c>
      <c r="K5996" t="s">
        <v>95</v>
      </c>
      <c r="L5996" t="s">
        <v>102</v>
      </c>
      <c r="M5996" t="s">
        <v>103</v>
      </c>
      <c r="N5996" t="s">
        <v>132</v>
      </c>
      <c r="O5996" t="s">
        <v>1345</v>
      </c>
    </row>
    <row r="5997" spans="1:15" x14ac:dyDescent="0.3">
      <c r="A5997" s="130">
        <v>66204</v>
      </c>
      <c r="B5997" s="130">
        <v>18</v>
      </c>
      <c r="C5997" s="130" t="s">
        <v>7621</v>
      </c>
      <c r="D5997">
        <v>139</v>
      </c>
      <c r="E5997" s="130">
        <v>24513603</v>
      </c>
      <c r="F5997" t="s">
        <v>87</v>
      </c>
      <c r="G5997">
        <v>78</v>
      </c>
      <c r="H5997" t="s">
        <v>8952</v>
      </c>
      <c r="I5997" s="130">
        <v>18</v>
      </c>
      <c r="J5997" t="s">
        <v>7621</v>
      </c>
      <c r="K5997" t="s">
        <v>95</v>
      </c>
      <c r="L5997" t="s">
        <v>123</v>
      </c>
      <c r="M5997" t="s">
        <v>112</v>
      </c>
      <c r="N5997" t="s">
        <v>101</v>
      </c>
      <c r="O5997" t="s">
        <v>116</v>
      </c>
    </row>
    <row r="5998" spans="1:15" x14ac:dyDescent="0.3">
      <c r="A5998" s="130">
        <v>66254</v>
      </c>
      <c r="B5998" s="130">
        <v>30</v>
      </c>
      <c r="C5998" s="130" t="s">
        <v>7622</v>
      </c>
      <c r="D5998">
        <v>140</v>
      </c>
      <c r="E5998" s="131">
        <v>10577439</v>
      </c>
      <c r="F5998" t="s">
        <v>87</v>
      </c>
      <c r="G5998">
        <v>78</v>
      </c>
      <c r="H5998" t="s">
        <v>8953</v>
      </c>
      <c r="I5998" s="131">
        <v>18</v>
      </c>
      <c r="J5998" t="s">
        <v>7622</v>
      </c>
      <c r="K5998" t="s">
        <v>95</v>
      </c>
      <c r="L5998" t="s">
        <v>123</v>
      </c>
      <c r="M5998" t="s">
        <v>103</v>
      </c>
      <c r="N5998" t="s">
        <v>150</v>
      </c>
      <c r="O5998" t="s">
        <v>1345</v>
      </c>
    </row>
    <row r="5999" spans="1:15" x14ac:dyDescent="0.3">
      <c r="A5999" s="130">
        <v>66273</v>
      </c>
      <c r="B5999" s="130">
        <v>30</v>
      </c>
      <c r="C5999" s="130" t="s">
        <v>7623</v>
      </c>
      <c r="D5999">
        <v>141</v>
      </c>
      <c r="E5999" s="130">
        <v>12981491</v>
      </c>
      <c r="F5999" t="s">
        <v>87</v>
      </c>
      <c r="G5999">
        <v>78</v>
      </c>
      <c r="H5999" t="s">
        <v>8951</v>
      </c>
      <c r="I5999" s="130">
        <v>18</v>
      </c>
      <c r="J5999" t="s">
        <v>7623</v>
      </c>
      <c r="K5999" t="s">
        <v>95</v>
      </c>
      <c r="L5999" t="s">
        <v>123</v>
      </c>
      <c r="M5999" t="s">
        <v>103</v>
      </c>
      <c r="N5999" t="s">
        <v>101</v>
      </c>
      <c r="O5999" t="s">
        <v>116</v>
      </c>
    </row>
    <row r="6000" spans="1:15" x14ac:dyDescent="0.3">
      <c r="A6000" s="130">
        <v>66311</v>
      </c>
      <c r="B6000" s="130">
        <v>28</v>
      </c>
      <c r="C6000" s="130" t="s">
        <v>7624</v>
      </c>
      <c r="D6000">
        <v>142</v>
      </c>
      <c r="E6000" s="131">
        <v>39236583</v>
      </c>
      <c r="F6000" t="s">
        <v>87</v>
      </c>
      <c r="G6000">
        <v>78</v>
      </c>
      <c r="H6000" t="s">
        <v>8952</v>
      </c>
      <c r="I6000" s="131">
        <v>26</v>
      </c>
      <c r="J6000" t="s">
        <v>7624</v>
      </c>
      <c r="K6000" t="s">
        <v>108</v>
      </c>
      <c r="L6000" t="s">
        <v>151</v>
      </c>
      <c r="M6000" t="s">
        <v>130</v>
      </c>
      <c r="N6000" t="s">
        <v>114</v>
      </c>
      <c r="O6000" t="s">
        <v>1345</v>
      </c>
    </row>
    <row r="6001" spans="1:15" x14ac:dyDescent="0.3">
      <c r="A6001" s="130">
        <v>66319</v>
      </c>
      <c r="B6001" s="130">
        <v>35</v>
      </c>
      <c r="C6001" s="130" t="s">
        <v>7625</v>
      </c>
      <c r="D6001">
        <v>143</v>
      </c>
      <c r="E6001" s="130">
        <v>33112152</v>
      </c>
      <c r="F6001" t="s">
        <v>87</v>
      </c>
      <c r="G6001">
        <v>78</v>
      </c>
      <c r="H6001" t="s">
        <v>8953</v>
      </c>
      <c r="I6001" s="130">
        <v>26</v>
      </c>
      <c r="J6001" t="s">
        <v>7625</v>
      </c>
      <c r="K6001" t="s">
        <v>95</v>
      </c>
      <c r="L6001" t="s">
        <v>151</v>
      </c>
      <c r="M6001" t="s">
        <v>161</v>
      </c>
      <c r="N6001" t="s">
        <v>132</v>
      </c>
      <c r="O6001" t="s">
        <v>116</v>
      </c>
    </row>
    <row r="6002" spans="1:15" x14ac:dyDescent="0.3">
      <c r="A6002" s="130">
        <v>66381</v>
      </c>
      <c r="B6002" s="130">
        <v>60</v>
      </c>
      <c r="C6002" s="130" t="s">
        <v>7626</v>
      </c>
      <c r="D6002">
        <v>144</v>
      </c>
      <c r="E6002" s="130">
        <v>17170150</v>
      </c>
      <c r="F6002" t="s">
        <v>87</v>
      </c>
      <c r="G6002">
        <v>77</v>
      </c>
      <c r="H6002" t="s">
        <v>8951</v>
      </c>
      <c r="I6002" s="130">
        <v>2</v>
      </c>
      <c r="J6002" t="s">
        <v>7626</v>
      </c>
      <c r="K6002" t="s">
        <v>95</v>
      </c>
      <c r="L6002" t="s">
        <v>117</v>
      </c>
      <c r="M6002" t="s">
        <v>97</v>
      </c>
      <c r="N6002" t="s">
        <v>118</v>
      </c>
      <c r="O6002" t="s">
        <v>116</v>
      </c>
    </row>
    <row r="6003" spans="1:15" x14ac:dyDescent="0.3">
      <c r="A6003" s="130">
        <v>66386</v>
      </c>
      <c r="B6003" s="130">
        <v>18</v>
      </c>
      <c r="C6003" s="130" t="s">
        <v>7627</v>
      </c>
      <c r="D6003">
        <v>145</v>
      </c>
      <c r="E6003" s="130">
        <v>30042147</v>
      </c>
      <c r="F6003" t="s">
        <v>87</v>
      </c>
      <c r="G6003">
        <v>78</v>
      </c>
      <c r="H6003" t="s">
        <v>8952</v>
      </c>
      <c r="I6003" s="130">
        <v>18</v>
      </c>
      <c r="J6003" t="s">
        <v>7627</v>
      </c>
      <c r="K6003" t="s">
        <v>95</v>
      </c>
      <c r="L6003" t="s">
        <v>123</v>
      </c>
      <c r="M6003" t="s">
        <v>112</v>
      </c>
      <c r="N6003" t="s">
        <v>114</v>
      </c>
      <c r="O6003" t="s">
        <v>116</v>
      </c>
    </row>
    <row r="6004" spans="1:15" x14ac:dyDescent="0.3">
      <c r="A6004" s="130">
        <v>66440</v>
      </c>
      <c r="B6004" s="130">
        <v>18</v>
      </c>
      <c r="C6004" s="130" t="s">
        <v>7628</v>
      </c>
      <c r="D6004">
        <v>146</v>
      </c>
      <c r="E6004" s="131">
        <v>2578440</v>
      </c>
      <c r="F6004" t="s">
        <v>87</v>
      </c>
      <c r="G6004">
        <v>78</v>
      </c>
      <c r="H6004" t="s">
        <v>8953</v>
      </c>
      <c r="I6004" s="131">
        <v>26</v>
      </c>
      <c r="J6004" t="s">
        <v>7628</v>
      </c>
      <c r="K6004" t="s">
        <v>108</v>
      </c>
      <c r="L6004" t="s">
        <v>151</v>
      </c>
      <c r="M6004" t="s">
        <v>112</v>
      </c>
      <c r="N6004" t="s">
        <v>101</v>
      </c>
      <c r="O6004" t="s">
        <v>1345</v>
      </c>
    </row>
    <row r="6005" spans="1:15" x14ac:dyDescent="0.3">
      <c r="A6005" s="130">
        <v>66477</v>
      </c>
      <c r="B6005" s="130">
        <v>30</v>
      </c>
      <c r="C6005" s="130" t="s">
        <v>7629</v>
      </c>
      <c r="D6005">
        <v>147</v>
      </c>
      <c r="E6005" s="130">
        <v>5899350</v>
      </c>
      <c r="F6005" t="s">
        <v>87</v>
      </c>
      <c r="G6005">
        <v>78</v>
      </c>
      <c r="H6005" t="s">
        <v>8951</v>
      </c>
      <c r="I6005" s="131">
        <v>9</v>
      </c>
      <c r="J6005" t="s">
        <v>7629</v>
      </c>
      <c r="K6005" t="s">
        <v>108</v>
      </c>
      <c r="L6005" t="s">
        <v>163</v>
      </c>
      <c r="M6005" t="s">
        <v>103</v>
      </c>
      <c r="N6005" t="s">
        <v>122</v>
      </c>
      <c r="O6005" t="s">
        <v>1345</v>
      </c>
    </row>
    <row r="6006" spans="1:15" x14ac:dyDescent="0.3">
      <c r="A6006" s="130">
        <v>66486</v>
      </c>
      <c r="B6006" s="130" t="s">
        <v>135</v>
      </c>
      <c r="C6006" s="130" t="s">
        <v>7630</v>
      </c>
      <c r="D6006">
        <v>148</v>
      </c>
      <c r="E6006" s="131">
        <v>83646547</v>
      </c>
      <c r="F6006" t="s">
        <v>87</v>
      </c>
      <c r="G6006">
        <v>78</v>
      </c>
      <c r="H6006" t="s">
        <v>8952</v>
      </c>
      <c r="I6006" s="131">
        <v>10</v>
      </c>
      <c r="J6006" t="s">
        <v>7630</v>
      </c>
      <c r="K6006" t="s">
        <v>95</v>
      </c>
      <c r="L6006" t="s">
        <v>105</v>
      </c>
      <c r="M6006" t="s">
        <v>136</v>
      </c>
      <c r="N6006" t="s">
        <v>114</v>
      </c>
      <c r="O6006" t="s">
        <v>116</v>
      </c>
    </row>
    <row r="6007" spans="1:15" x14ac:dyDescent="0.3">
      <c r="A6007" s="130">
        <v>66492</v>
      </c>
      <c r="B6007" s="130">
        <v>60</v>
      </c>
      <c r="C6007" s="130" t="s">
        <v>7631</v>
      </c>
      <c r="D6007">
        <v>149</v>
      </c>
      <c r="E6007" s="130">
        <v>29082354</v>
      </c>
      <c r="F6007" t="s">
        <v>87</v>
      </c>
      <c r="G6007">
        <v>78</v>
      </c>
      <c r="H6007" t="s">
        <v>8953</v>
      </c>
      <c r="I6007" s="130">
        <v>26</v>
      </c>
      <c r="J6007" t="s">
        <v>7631</v>
      </c>
      <c r="K6007" t="s">
        <v>95</v>
      </c>
      <c r="L6007" t="s">
        <v>151</v>
      </c>
      <c r="M6007" t="s">
        <v>97</v>
      </c>
      <c r="N6007" t="s">
        <v>98</v>
      </c>
      <c r="O6007" t="s">
        <v>116</v>
      </c>
    </row>
    <row r="6008" spans="1:15" x14ac:dyDescent="0.3">
      <c r="A6008" s="130">
        <v>66498</v>
      </c>
      <c r="B6008" s="130" t="s">
        <v>135</v>
      </c>
      <c r="C6008" s="130" t="s">
        <v>7632</v>
      </c>
      <c r="D6008">
        <v>150</v>
      </c>
      <c r="E6008" s="130">
        <v>83646547</v>
      </c>
      <c r="F6008" t="s">
        <v>87</v>
      </c>
      <c r="G6008">
        <v>78</v>
      </c>
      <c r="H6008" t="s">
        <v>8951</v>
      </c>
      <c r="I6008" s="130">
        <v>10</v>
      </c>
      <c r="J6008" t="s">
        <v>7632</v>
      </c>
      <c r="K6008" t="s">
        <v>95</v>
      </c>
      <c r="L6008" t="s">
        <v>127</v>
      </c>
      <c r="M6008" t="s">
        <v>136</v>
      </c>
      <c r="N6008" t="s">
        <v>114</v>
      </c>
      <c r="O6008" t="s">
        <v>116</v>
      </c>
    </row>
    <row r="6009" spans="1:15" x14ac:dyDescent="0.3">
      <c r="A6009" s="130">
        <v>66535</v>
      </c>
      <c r="B6009" s="130" t="s">
        <v>135</v>
      </c>
      <c r="C6009" s="130" t="s">
        <v>7633</v>
      </c>
      <c r="D6009">
        <v>151</v>
      </c>
      <c r="E6009" s="130">
        <v>83646547</v>
      </c>
      <c r="F6009" t="s">
        <v>87</v>
      </c>
      <c r="G6009">
        <v>78</v>
      </c>
      <c r="H6009" t="s">
        <v>8952</v>
      </c>
      <c r="I6009" s="130">
        <v>10</v>
      </c>
      <c r="J6009" t="s">
        <v>7633</v>
      </c>
      <c r="K6009" t="s">
        <v>95</v>
      </c>
      <c r="L6009" t="s">
        <v>127</v>
      </c>
      <c r="M6009" t="s">
        <v>136</v>
      </c>
      <c r="N6009" t="s">
        <v>114</v>
      </c>
      <c r="O6009" t="s">
        <v>116</v>
      </c>
    </row>
    <row r="6010" spans="1:15" x14ac:dyDescent="0.3">
      <c r="A6010" s="130">
        <v>66542</v>
      </c>
      <c r="B6010" s="130">
        <v>18</v>
      </c>
      <c r="C6010" s="130" t="s">
        <v>7634</v>
      </c>
      <c r="D6010">
        <v>152</v>
      </c>
      <c r="E6010" s="131">
        <v>5057932</v>
      </c>
      <c r="F6010" t="s">
        <v>87</v>
      </c>
      <c r="G6010">
        <v>78</v>
      </c>
      <c r="H6010" t="s">
        <v>8953</v>
      </c>
      <c r="I6010" s="130">
        <v>18</v>
      </c>
      <c r="J6010" t="s">
        <v>7634</v>
      </c>
      <c r="K6010" t="s">
        <v>108</v>
      </c>
      <c r="L6010" t="s">
        <v>123</v>
      </c>
      <c r="M6010" t="s">
        <v>112</v>
      </c>
      <c r="N6010" t="s">
        <v>98</v>
      </c>
      <c r="O6010" t="s">
        <v>1345</v>
      </c>
    </row>
    <row r="6011" spans="1:15" x14ac:dyDescent="0.3">
      <c r="A6011" s="130">
        <v>66635</v>
      </c>
      <c r="B6011" s="130">
        <v>60</v>
      </c>
      <c r="C6011" s="130" t="s">
        <v>7635</v>
      </c>
      <c r="D6011">
        <v>153</v>
      </c>
      <c r="E6011" s="131">
        <v>33009945</v>
      </c>
      <c r="F6011" t="s">
        <v>87</v>
      </c>
      <c r="G6011">
        <v>78</v>
      </c>
      <c r="H6011" t="s">
        <v>8951</v>
      </c>
      <c r="I6011" s="131">
        <v>18</v>
      </c>
      <c r="J6011" t="s">
        <v>7635</v>
      </c>
      <c r="K6011" t="s">
        <v>95</v>
      </c>
      <c r="L6011" t="s">
        <v>123</v>
      </c>
      <c r="M6011" t="s">
        <v>97</v>
      </c>
      <c r="N6011" t="s">
        <v>114</v>
      </c>
      <c r="O6011" t="s">
        <v>1345</v>
      </c>
    </row>
    <row r="6012" spans="1:15" x14ac:dyDescent="0.3">
      <c r="A6012" s="130">
        <v>66640</v>
      </c>
      <c r="B6012" s="130">
        <v>18</v>
      </c>
      <c r="C6012" s="130" t="s">
        <v>7636</v>
      </c>
      <c r="D6012">
        <v>154</v>
      </c>
      <c r="E6012" s="131">
        <v>5451496</v>
      </c>
      <c r="F6012" t="s">
        <v>87</v>
      </c>
      <c r="G6012">
        <v>358</v>
      </c>
      <c r="H6012" t="s">
        <v>8952</v>
      </c>
      <c r="I6012" s="130">
        <v>2</v>
      </c>
      <c r="J6012" t="s">
        <v>7636</v>
      </c>
      <c r="K6012" t="s">
        <v>95</v>
      </c>
      <c r="L6012" t="s">
        <v>109</v>
      </c>
      <c r="M6012" t="s">
        <v>112</v>
      </c>
      <c r="N6012" t="s">
        <v>101</v>
      </c>
      <c r="O6012" t="s">
        <v>116</v>
      </c>
    </row>
    <row r="6013" spans="1:15" x14ac:dyDescent="0.3">
      <c r="A6013" s="130">
        <v>66685</v>
      </c>
      <c r="B6013" s="130">
        <v>60</v>
      </c>
      <c r="C6013" s="130" t="s">
        <v>7637</v>
      </c>
      <c r="D6013">
        <v>155</v>
      </c>
      <c r="E6013" s="130">
        <v>60744463</v>
      </c>
      <c r="F6013" t="s">
        <v>87</v>
      </c>
      <c r="G6013">
        <v>358</v>
      </c>
      <c r="H6013" t="s">
        <v>8953</v>
      </c>
      <c r="I6013" s="131">
        <v>24</v>
      </c>
      <c r="J6013" t="s">
        <v>7637</v>
      </c>
      <c r="K6013" t="s">
        <v>95</v>
      </c>
      <c r="L6013" t="s">
        <v>105</v>
      </c>
      <c r="M6013" t="s">
        <v>97</v>
      </c>
      <c r="N6013" t="s">
        <v>141</v>
      </c>
      <c r="O6013" t="s">
        <v>1345</v>
      </c>
    </row>
    <row r="6014" spans="1:15" x14ac:dyDescent="0.3">
      <c r="A6014" s="130">
        <v>66705</v>
      </c>
      <c r="B6014" s="130">
        <v>45</v>
      </c>
      <c r="C6014" s="130" t="s">
        <v>7638</v>
      </c>
      <c r="D6014">
        <v>156</v>
      </c>
      <c r="E6014" s="131">
        <v>43709799</v>
      </c>
      <c r="F6014" t="s">
        <v>87</v>
      </c>
      <c r="G6014">
        <v>78</v>
      </c>
      <c r="H6014" t="s">
        <v>8951</v>
      </c>
      <c r="I6014" s="130">
        <v>2</v>
      </c>
      <c r="J6014" t="s">
        <v>7638</v>
      </c>
      <c r="K6014" t="s">
        <v>95</v>
      </c>
      <c r="L6014" t="s">
        <v>105</v>
      </c>
      <c r="M6014" t="s">
        <v>106</v>
      </c>
      <c r="N6014" t="s">
        <v>114</v>
      </c>
      <c r="O6014" t="s">
        <v>116</v>
      </c>
    </row>
    <row r="6015" spans="1:15" x14ac:dyDescent="0.3">
      <c r="A6015" s="130">
        <v>66728</v>
      </c>
      <c r="B6015" s="130">
        <v>18</v>
      </c>
      <c r="C6015" s="130" t="s">
        <v>7639</v>
      </c>
      <c r="D6015">
        <v>157</v>
      </c>
      <c r="E6015" s="130">
        <v>13484335</v>
      </c>
      <c r="F6015" t="s">
        <v>87</v>
      </c>
      <c r="G6015">
        <v>358</v>
      </c>
      <c r="H6015" t="s">
        <v>8952</v>
      </c>
      <c r="I6015" s="131">
        <v>20</v>
      </c>
      <c r="J6015" t="s">
        <v>7639</v>
      </c>
      <c r="K6015" t="s">
        <v>95</v>
      </c>
      <c r="L6015" t="s">
        <v>193</v>
      </c>
      <c r="M6015" t="s">
        <v>112</v>
      </c>
      <c r="N6015" t="s">
        <v>98</v>
      </c>
      <c r="O6015" t="s">
        <v>116</v>
      </c>
    </row>
    <row r="6016" spans="1:15" x14ac:dyDescent="0.3">
      <c r="A6016" s="130">
        <v>66749</v>
      </c>
      <c r="B6016" s="130">
        <v>30</v>
      </c>
      <c r="C6016" s="130" t="s">
        <v>7640</v>
      </c>
      <c r="D6016">
        <v>158</v>
      </c>
      <c r="E6016" s="130">
        <v>28763819</v>
      </c>
      <c r="F6016" t="s">
        <v>87</v>
      </c>
      <c r="G6016">
        <v>358</v>
      </c>
      <c r="H6016" t="s">
        <v>8953</v>
      </c>
      <c r="I6016" s="130">
        <v>2</v>
      </c>
      <c r="J6016" t="s">
        <v>7640</v>
      </c>
      <c r="K6016" t="s">
        <v>108</v>
      </c>
      <c r="L6016" t="s">
        <v>109</v>
      </c>
      <c r="M6016" t="s">
        <v>103</v>
      </c>
      <c r="N6016" t="s">
        <v>114</v>
      </c>
      <c r="O6016" t="s">
        <v>1345</v>
      </c>
    </row>
    <row r="6017" spans="1:15" x14ac:dyDescent="0.3">
      <c r="A6017" s="130">
        <v>66776</v>
      </c>
      <c r="B6017" s="130">
        <v>28</v>
      </c>
      <c r="C6017" s="130" t="s">
        <v>7641</v>
      </c>
      <c r="D6017">
        <v>159</v>
      </c>
      <c r="E6017" s="130">
        <v>17159856</v>
      </c>
      <c r="F6017" t="s">
        <v>87</v>
      </c>
      <c r="G6017">
        <v>358</v>
      </c>
      <c r="H6017" t="s">
        <v>8951</v>
      </c>
      <c r="I6017" s="131">
        <v>2</v>
      </c>
      <c r="J6017" t="s">
        <v>7641</v>
      </c>
      <c r="K6017" t="s">
        <v>95</v>
      </c>
      <c r="L6017" t="s">
        <v>111</v>
      </c>
      <c r="M6017" t="s">
        <v>130</v>
      </c>
      <c r="N6017" t="s">
        <v>114</v>
      </c>
      <c r="O6017" t="s">
        <v>1345</v>
      </c>
    </row>
    <row r="6018" spans="1:15" x14ac:dyDescent="0.3">
      <c r="A6018" s="130">
        <v>66794</v>
      </c>
      <c r="B6018" s="130">
        <v>30</v>
      </c>
      <c r="C6018" s="130" t="s">
        <v>7642</v>
      </c>
      <c r="D6018">
        <v>160</v>
      </c>
      <c r="E6018" s="131">
        <v>3130160</v>
      </c>
      <c r="F6018" t="s">
        <v>87</v>
      </c>
      <c r="G6018">
        <v>78</v>
      </c>
      <c r="H6018" t="s">
        <v>8952</v>
      </c>
      <c r="I6018" s="130">
        <v>10</v>
      </c>
      <c r="J6018" t="s">
        <v>7642</v>
      </c>
      <c r="K6018" t="s">
        <v>95</v>
      </c>
      <c r="L6018" t="s">
        <v>127</v>
      </c>
      <c r="M6018" t="s">
        <v>103</v>
      </c>
      <c r="N6018" t="s">
        <v>98</v>
      </c>
      <c r="O6018" t="s">
        <v>1345</v>
      </c>
    </row>
    <row r="6019" spans="1:15" x14ac:dyDescent="0.3">
      <c r="A6019" s="130">
        <v>66798</v>
      </c>
      <c r="B6019" s="130">
        <v>30</v>
      </c>
      <c r="C6019" s="130" t="s">
        <v>7643</v>
      </c>
      <c r="D6019">
        <v>161</v>
      </c>
      <c r="E6019" s="131">
        <v>183256</v>
      </c>
      <c r="F6019" t="s">
        <v>87</v>
      </c>
      <c r="G6019">
        <v>78</v>
      </c>
      <c r="H6019" t="s">
        <v>8953</v>
      </c>
      <c r="I6019" s="130">
        <v>9</v>
      </c>
      <c r="J6019" t="s">
        <v>7643</v>
      </c>
      <c r="K6019" t="s">
        <v>95</v>
      </c>
      <c r="L6019" t="s">
        <v>1298</v>
      </c>
      <c r="M6019" t="s">
        <v>103</v>
      </c>
      <c r="N6019" t="s">
        <v>114</v>
      </c>
      <c r="O6019" t="s">
        <v>1345</v>
      </c>
    </row>
    <row r="6020" spans="1:15" x14ac:dyDescent="0.3">
      <c r="A6020" s="130">
        <v>66799</v>
      </c>
      <c r="B6020" s="130">
        <v>18</v>
      </c>
      <c r="C6020" s="130" t="s">
        <v>7644</v>
      </c>
      <c r="D6020">
        <v>162</v>
      </c>
      <c r="E6020" s="130">
        <v>21819161</v>
      </c>
      <c r="F6020" t="s">
        <v>87</v>
      </c>
      <c r="G6020">
        <v>358</v>
      </c>
      <c r="H6020" t="s">
        <v>8951</v>
      </c>
      <c r="I6020" s="130">
        <v>24</v>
      </c>
      <c r="J6020" t="s">
        <v>7644</v>
      </c>
      <c r="K6020" t="s">
        <v>108</v>
      </c>
      <c r="L6020" t="s">
        <v>191</v>
      </c>
      <c r="M6020" t="s">
        <v>112</v>
      </c>
      <c r="N6020" t="s">
        <v>122</v>
      </c>
      <c r="O6020" t="s">
        <v>116</v>
      </c>
    </row>
    <row r="6021" spans="1:15" x14ac:dyDescent="0.3">
      <c r="A6021" s="130">
        <v>66870</v>
      </c>
      <c r="B6021" s="130">
        <v>18</v>
      </c>
      <c r="C6021" s="130" t="s">
        <v>7645</v>
      </c>
      <c r="D6021">
        <v>163</v>
      </c>
      <c r="E6021" s="130">
        <v>20599065</v>
      </c>
      <c r="F6021" t="s">
        <v>87</v>
      </c>
      <c r="G6021">
        <v>77</v>
      </c>
      <c r="H6021" t="s">
        <v>8952</v>
      </c>
      <c r="I6021" s="130">
        <v>2</v>
      </c>
      <c r="J6021" t="s">
        <v>7645</v>
      </c>
      <c r="K6021" t="s">
        <v>108</v>
      </c>
      <c r="L6021" t="s">
        <v>115</v>
      </c>
      <c r="M6021" t="s">
        <v>112</v>
      </c>
      <c r="N6021" t="s">
        <v>124</v>
      </c>
      <c r="O6021" t="s">
        <v>116</v>
      </c>
    </row>
    <row r="6022" spans="1:15" x14ac:dyDescent="0.3">
      <c r="A6022" s="130">
        <v>66895</v>
      </c>
      <c r="B6022" s="130">
        <v>18</v>
      </c>
      <c r="C6022" s="130" t="s">
        <v>7646</v>
      </c>
      <c r="D6022">
        <v>164</v>
      </c>
      <c r="E6022" s="130">
        <v>9325670</v>
      </c>
      <c r="F6022" t="s">
        <v>87</v>
      </c>
      <c r="G6022">
        <v>358</v>
      </c>
      <c r="H6022" t="s">
        <v>8953</v>
      </c>
      <c r="I6022" s="130">
        <v>2</v>
      </c>
      <c r="J6022" t="s">
        <v>7646</v>
      </c>
      <c r="K6022" t="s">
        <v>108</v>
      </c>
      <c r="L6022" t="s">
        <v>111</v>
      </c>
      <c r="M6022" t="s">
        <v>112</v>
      </c>
      <c r="N6022" t="s">
        <v>118</v>
      </c>
      <c r="O6022" t="s">
        <v>116</v>
      </c>
    </row>
    <row r="6023" spans="1:15" x14ac:dyDescent="0.3">
      <c r="A6023" s="130">
        <v>66985</v>
      </c>
      <c r="B6023" s="130">
        <v>18</v>
      </c>
      <c r="C6023" s="130" t="s">
        <v>7647</v>
      </c>
      <c r="D6023">
        <v>165</v>
      </c>
      <c r="E6023" s="130">
        <v>22564047</v>
      </c>
      <c r="F6023" t="s">
        <v>87</v>
      </c>
      <c r="G6023">
        <v>78</v>
      </c>
      <c r="H6023" t="s">
        <v>8951</v>
      </c>
      <c r="I6023" s="130">
        <v>9</v>
      </c>
      <c r="J6023" t="s">
        <v>7647</v>
      </c>
      <c r="K6023" t="s">
        <v>108</v>
      </c>
      <c r="L6023" t="s">
        <v>125</v>
      </c>
      <c r="M6023" t="s">
        <v>112</v>
      </c>
      <c r="N6023" t="s">
        <v>98</v>
      </c>
      <c r="O6023" t="s">
        <v>1345</v>
      </c>
    </row>
    <row r="6024" spans="1:15" x14ac:dyDescent="0.3">
      <c r="A6024" s="130">
        <v>67008</v>
      </c>
      <c r="B6024" s="130">
        <v>35</v>
      </c>
      <c r="C6024" s="130" t="s">
        <v>7648</v>
      </c>
      <c r="D6024">
        <v>166</v>
      </c>
      <c r="E6024" s="130">
        <v>8343492</v>
      </c>
      <c r="F6024" t="s">
        <v>87</v>
      </c>
      <c r="G6024">
        <v>358</v>
      </c>
      <c r="H6024" t="s">
        <v>8952</v>
      </c>
      <c r="I6024" s="130">
        <v>24</v>
      </c>
      <c r="J6024" t="s">
        <v>7648</v>
      </c>
      <c r="K6024" t="s">
        <v>95</v>
      </c>
      <c r="L6024" t="s">
        <v>115</v>
      </c>
      <c r="M6024" t="s">
        <v>161</v>
      </c>
      <c r="N6024" t="s">
        <v>98</v>
      </c>
      <c r="O6024" t="s">
        <v>1345</v>
      </c>
    </row>
    <row r="6025" spans="1:15" x14ac:dyDescent="0.3">
      <c r="A6025" s="130">
        <v>67014</v>
      </c>
      <c r="B6025" s="130" t="s">
        <v>255</v>
      </c>
      <c r="C6025" s="130" t="s">
        <v>7649</v>
      </c>
      <c r="D6025">
        <v>167</v>
      </c>
      <c r="E6025" s="130">
        <v>10956612</v>
      </c>
      <c r="F6025" t="s">
        <v>87</v>
      </c>
      <c r="G6025">
        <v>78</v>
      </c>
      <c r="H6025" t="s">
        <v>8953</v>
      </c>
      <c r="I6025" s="131">
        <v>9</v>
      </c>
      <c r="J6025" t="s">
        <v>7649</v>
      </c>
      <c r="K6025" t="s">
        <v>108</v>
      </c>
      <c r="L6025" t="s">
        <v>163</v>
      </c>
      <c r="M6025" t="s">
        <v>255</v>
      </c>
      <c r="N6025" t="s">
        <v>150</v>
      </c>
      <c r="O6025" t="s">
        <v>116</v>
      </c>
    </row>
    <row r="6026" spans="1:15" x14ac:dyDescent="0.3">
      <c r="A6026" s="130">
        <v>67057</v>
      </c>
      <c r="B6026" s="130">
        <v>18</v>
      </c>
      <c r="C6026" s="130" t="s">
        <v>7650</v>
      </c>
      <c r="D6026">
        <v>168</v>
      </c>
      <c r="E6026" s="130">
        <v>17445321</v>
      </c>
      <c r="F6026" t="s">
        <v>87</v>
      </c>
      <c r="G6026">
        <v>358</v>
      </c>
      <c r="H6026" t="s">
        <v>8951</v>
      </c>
      <c r="I6026" s="130">
        <v>2</v>
      </c>
      <c r="J6026" t="s">
        <v>7650</v>
      </c>
      <c r="K6026" t="s">
        <v>108</v>
      </c>
      <c r="L6026" t="s">
        <v>99</v>
      </c>
      <c r="M6026" t="s">
        <v>112</v>
      </c>
      <c r="N6026" t="s">
        <v>162</v>
      </c>
      <c r="O6026" t="s">
        <v>1345</v>
      </c>
    </row>
    <row r="6027" spans="1:15" x14ac:dyDescent="0.3">
      <c r="A6027" s="130">
        <v>67059</v>
      </c>
      <c r="B6027" s="130">
        <v>18</v>
      </c>
      <c r="C6027" s="130" t="s">
        <v>7651</v>
      </c>
      <c r="D6027">
        <v>169</v>
      </c>
      <c r="E6027" s="131">
        <v>9236617</v>
      </c>
      <c r="F6027" t="s">
        <v>87</v>
      </c>
      <c r="G6027">
        <v>358</v>
      </c>
      <c r="H6027" t="s">
        <v>8952</v>
      </c>
      <c r="I6027" s="130">
        <v>2</v>
      </c>
      <c r="J6027" t="s">
        <v>7651</v>
      </c>
      <c r="K6027" t="s">
        <v>108</v>
      </c>
      <c r="L6027" t="s">
        <v>105</v>
      </c>
      <c r="M6027" t="s">
        <v>112</v>
      </c>
      <c r="N6027" t="s">
        <v>98</v>
      </c>
      <c r="O6027" t="s">
        <v>116</v>
      </c>
    </row>
    <row r="6028" spans="1:15" x14ac:dyDescent="0.3">
      <c r="A6028" s="130">
        <v>67064</v>
      </c>
      <c r="B6028" s="130">
        <v>30</v>
      </c>
      <c r="C6028" s="130" t="s">
        <v>7652</v>
      </c>
      <c r="D6028">
        <v>170</v>
      </c>
      <c r="E6028" s="130">
        <v>8343492</v>
      </c>
      <c r="F6028" t="s">
        <v>87</v>
      </c>
      <c r="G6028">
        <v>78</v>
      </c>
      <c r="H6028" t="s">
        <v>8953</v>
      </c>
      <c r="I6028" s="130">
        <v>24</v>
      </c>
      <c r="J6028" t="s">
        <v>7652</v>
      </c>
      <c r="K6028" t="s">
        <v>95</v>
      </c>
      <c r="L6028" t="s">
        <v>138</v>
      </c>
      <c r="M6028" t="s">
        <v>103</v>
      </c>
      <c r="N6028" t="s">
        <v>98</v>
      </c>
      <c r="O6028" t="s">
        <v>1345</v>
      </c>
    </row>
    <row r="6029" spans="1:15" x14ac:dyDescent="0.3">
      <c r="A6029" s="130">
        <v>67084</v>
      </c>
      <c r="B6029" s="130">
        <v>18</v>
      </c>
      <c r="C6029" s="130" t="s">
        <v>7653</v>
      </c>
      <c r="D6029">
        <v>171</v>
      </c>
      <c r="E6029" s="130">
        <v>17555516</v>
      </c>
      <c r="F6029" t="s">
        <v>87</v>
      </c>
      <c r="G6029">
        <v>78</v>
      </c>
      <c r="H6029" t="s">
        <v>8951</v>
      </c>
      <c r="I6029" s="130">
        <v>10</v>
      </c>
      <c r="J6029" t="s">
        <v>7653</v>
      </c>
      <c r="K6029" t="s">
        <v>108</v>
      </c>
      <c r="L6029" t="s">
        <v>127</v>
      </c>
      <c r="M6029" t="s">
        <v>112</v>
      </c>
      <c r="N6029" t="s">
        <v>101</v>
      </c>
      <c r="O6029" t="s">
        <v>1345</v>
      </c>
    </row>
    <row r="6030" spans="1:15" x14ac:dyDescent="0.3">
      <c r="A6030" s="130">
        <v>67183</v>
      </c>
      <c r="B6030" s="130">
        <v>18</v>
      </c>
      <c r="C6030" s="130" t="s">
        <v>7654</v>
      </c>
      <c r="D6030">
        <v>172</v>
      </c>
      <c r="E6030" s="130">
        <v>5451496</v>
      </c>
      <c r="F6030" t="s">
        <v>87</v>
      </c>
      <c r="G6030">
        <v>358</v>
      </c>
      <c r="H6030" t="s">
        <v>8952</v>
      </c>
      <c r="I6030" s="131">
        <v>2</v>
      </c>
      <c r="J6030" t="s">
        <v>7654</v>
      </c>
      <c r="K6030" t="s">
        <v>95</v>
      </c>
      <c r="L6030" t="s">
        <v>105</v>
      </c>
      <c r="M6030" t="s">
        <v>112</v>
      </c>
      <c r="N6030" t="s">
        <v>101</v>
      </c>
      <c r="O6030" t="s">
        <v>1345</v>
      </c>
    </row>
    <row r="6031" spans="1:15" x14ac:dyDescent="0.3">
      <c r="A6031" s="130">
        <v>67205</v>
      </c>
      <c r="B6031" s="130">
        <v>18</v>
      </c>
      <c r="C6031" s="130" t="s">
        <v>7655</v>
      </c>
      <c r="D6031">
        <v>173</v>
      </c>
      <c r="E6031" s="130">
        <v>4039030</v>
      </c>
      <c r="F6031" t="s">
        <v>87</v>
      </c>
      <c r="G6031">
        <v>358</v>
      </c>
      <c r="H6031" t="s">
        <v>8953</v>
      </c>
      <c r="I6031" s="130">
        <v>24</v>
      </c>
      <c r="J6031" t="s">
        <v>7655</v>
      </c>
      <c r="K6031" t="s">
        <v>108</v>
      </c>
      <c r="L6031" t="s">
        <v>105</v>
      </c>
      <c r="M6031" t="s">
        <v>112</v>
      </c>
      <c r="N6031" t="s">
        <v>107</v>
      </c>
      <c r="O6031" t="s">
        <v>1345</v>
      </c>
    </row>
    <row r="6032" spans="1:15" x14ac:dyDescent="0.3">
      <c r="A6032" s="130">
        <v>67208</v>
      </c>
      <c r="B6032" s="130">
        <v>18</v>
      </c>
      <c r="C6032" s="130" t="s">
        <v>7656</v>
      </c>
      <c r="D6032">
        <v>174</v>
      </c>
      <c r="E6032" s="130">
        <v>17133361</v>
      </c>
      <c r="F6032" t="s">
        <v>87</v>
      </c>
      <c r="G6032">
        <v>358</v>
      </c>
      <c r="H6032" t="s">
        <v>8951</v>
      </c>
      <c r="I6032" s="130">
        <v>2</v>
      </c>
      <c r="J6032" t="s">
        <v>7656</v>
      </c>
      <c r="K6032" t="s">
        <v>108</v>
      </c>
      <c r="L6032" t="s">
        <v>105</v>
      </c>
      <c r="M6032" t="s">
        <v>112</v>
      </c>
      <c r="N6032" t="s">
        <v>152</v>
      </c>
      <c r="O6032" t="s">
        <v>1345</v>
      </c>
    </row>
    <row r="6033" spans="1:15" x14ac:dyDescent="0.3">
      <c r="A6033" s="130">
        <v>67261</v>
      </c>
      <c r="B6033" s="130">
        <v>18</v>
      </c>
      <c r="C6033" s="130" t="s">
        <v>7657</v>
      </c>
      <c r="D6033">
        <v>175</v>
      </c>
      <c r="E6033" s="130">
        <v>15363867</v>
      </c>
      <c r="F6033" t="s">
        <v>87</v>
      </c>
      <c r="G6033">
        <v>78</v>
      </c>
      <c r="H6033" t="s">
        <v>8952</v>
      </c>
      <c r="I6033" s="130">
        <v>18</v>
      </c>
      <c r="J6033" t="s">
        <v>7657</v>
      </c>
      <c r="K6033" t="s">
        <v>95</v>
      </c>
      <c r="L6033" t="s">
        <v>123</v>
      </c>
      <c r="M6033" t="s">
        <v>112</v>
      </c>
      <c r="N6033" t="s">
        <v>98</v>
      </c>
      <c r="O6033" t="s">
        <v>116</v>
      </c>
    </row>
    <row r="6034" spans="1:15" x14ac:dyDescent="0.3">
      <c r="A6034" s="130">
        <v>67315</v>
      </c>
      <c r="B6034" s="130">
        <v>18</v>
      </c>
      <c r="C6034" s="130" t="s">
        <v>7658</v>
      </c>
      <c r="D6034">
        <v>176</v>
      </c>
      <c r="E6034" s="131">
        <v>13085979</v>
      </c>
      <c r="F6034" t="s">
        <v>87</v>
      </c>
      <c r="G6034">
        <v>78</v>
      </c>
      <c r="H6034" t="s">
        <v>8953</v>
      </c>
      <c r="I6034" s="130">
        <v>2</v>
      </c>
      <c r="J6034" t="s">
        <v>7658</v>
      </c>
      <c r="K6034" t="s">
        <v>95</v>
      </c>
      <c r="L6034" t="s">
        <v>99</v>
      </c>
      <c r="M6034" t="s">
        <v>112</v>
      </c>
      <c r="N6034" t="s">
        <v>114</v>
      </c>
      <c r="O6034" t="s">
        <v>1345</v>
      </c>
    </row>
    <row r="6035" spans="1:15" x14ac:dyDescent="0.3">
      <c r="A6035" s="130">
        <v>67319</v>
      </c>
      <c r="B6035" s="130">
        <v>28</v>
      </c>
      <c r="C6035" s="130" t="s">
        <v>7659</v>
      </c>
      <c r="D6035">
        <v>177</v>
      </c>
      <c r="E6035" s="131">
        <v>4335855</v>
      </c>
      <c r="F6035" t="s">
        <v>87</v>
      </c>
      <c r="G6035">
        <v>358</v>
      </c>
      <c r="H6035" t="s">
        <v>8951</v>
      </c>
      <c r="I6035" s="131">
        <v>24</v>
      </c>
      <c r="J6035" t="s">
        <v>7659</v>
      </c>
      <c r="K6035" t="s">
        <v>108</v>
      </c>
      <c r="L6035" t="s">
        <v>105</v>
      </c>
      <c r="M6035" t="s">
        <v>130</v>
      </c>
      <c r="N6035" t="s">
        <v>114</v>
      </c>
      <c r="O6035" t="s">
        <v>116</v>
      </c>
    </row>
    <row r="6036" spans="1:15" x14ac:dyDescent="0.3">
      <c r="A6036" s="130">
        <v>67320</v>
      </c>
      <c r="B6036" s="130">
        <v>0</v>
      </c>
      <c r="C6036" s="130" t="s">
        <v>7660</v>
      </c>
      <c r="D6036">
        <v>178</v>
      </c>
      <c r="E6036" s="130">
        <v>26727204</v>
      </c>
      <c r="F6036" t="s">
        <v>87</v>
      </c>
      <c r="G6036">
        <v>78</v>
      </c>
      <c r="H6036" t="s">
        <v>8952</v>
      </c>
      <c r="I6036" s="130">
        <v>24</v>
      </c>
      <c r="J6036" t="s">
        <v>7660</v>
      </c>
      <c r="K6036" t="s">
        <v>108</v>
      </c>
      <c r="L6036" t="s">
        <v>140</v>
      </c>
      <c r="M6036" t="s">
        <v>100</v>
      </c>
      <c r="N6036" t="s">
        <v>110</v>
      </c>
      <c r="O6036" t="s">
        <v>1345</v>
      </c>
    </row>
    <row r="6037" spans="1:15" x14ac:dyDescent="0.3">
      <c r="A6037" s="130">
        <v>67322</v>
      </c>
      <c r="B6037" s="130">
        <v>18</v>
      </c>
      <c r="C6037" s="130" t="s">
        <v>7661</v>
      </c>
      <c r="D6037">
        <v>179</v>
      </c>
      <c r="E6037" s="130">
        <v>8319968</v>
      </c>
      <c r="F6037" t="s">
        <v>87</v>
      </c>
      <c r="G6037">
        <v>78</v>
      </c>
      <c r="H6037" t="s">
        <v>8953</v>
      </c>
      <c r="I6037" s="131">
        <v>18</v>
      </c>
      <c r="J6037" t="s">
        <v>7661</v>
      </c>
      <c r="K6037" t="s">
        <v>108</v>
      </c>
      <c r="L6037" t="s">
        <v>123</v>
      </c>
      <c r="M6037" t="s">
        <v>112</v>
      </c>
      <c r="N6037" t="s">
        <v>98</v>
      </c>
      <c r="O6037" t="s">
        <v>1345</v>
      </c>
    </row>
    <row r="6038" spans="1:15" x14ac:dyDescent="0.3">
      <c r="A6038" s="130">
        <v>67370</v>
      </c>
      <c r="B6038" s="130">
        <v>18</v>
      </c>
      <c r="C6038" s="130" t="s">
        <v>7662</v>
      </c>
      <c r="D6038">
        <v>180</v>
      </c>
      <c r="E6038" s="130">
        <v>4978039</v>
      </c>
      <c r="F6038" t="s">
        <v>87</v>
      </c>
      <c r="G6038">
        <v>78</v>
      </c>
      <c r="H6038" t="s">
        <v>8951</v>
      </c>
      <c r="I6038" s="131">
        <v>26</v>
      </c>
      <c r="J6038" t="s">
        <v>7662</v>
      </c>
      <c r="K6038" t="s">
        <v>108</v>
      </c>
      <c r="L6038" t="s">
        <v>151</v>
      </c>
      <c r="M6038" t="s">
        <v>112</v>
      </c>
      <c r="N6038" t="s">
        <v>122</v>
      </c>
      <c r="O6038" t="s">
        <v>1345</v>
      </c>
    </row>
    <row r="6039" spans="1:15" x14ac:dyDescent="0.3">
      <c r="A6039" s="130">
        <v>67408</v>
      </c>
      <c r="B6039" s="130">
        <v>30</v>
      </c>
      <c r="C6039" s="130" t="s">
        <v>7663</v>
      </c>
      <c r="D6039">
        <v>181</v>
      </c>
      <c r="E6039" s="130">
        <v>8343492</v>
      </c>
      <c r="F6039" t="s">
        <v>87</v>
      </c>
      <c r="G6039">
        <v>78</v>
      </c>
      <c r="H6039" t="s">
        <v>8952</v>
      </c>
      <c r="I6039" s="130">
        <v>24</v>
      </c>
      <c r="J6039" t="s">
        <v>7663</v>
      </c>
      <c r="K6039" t="s">
        <v>95</v>
      </c>
      <c r="L6039" t="s">
        <v>138</v>
      </c>
      <c r="M6039" t="s">
        <v>103</v>
      </c>
      <c r="N6039" t="s">
        <v>98</v>
      </c>
      <c r="O6039" t="s">
        <v>116</v>
      </c>
    </row>
    <row r="6040" spans="1:15" x14ac:dyDescent="0.3">
      <c r="A6040" s="130">
        <v>67425</v>
      </c>
      <c r="B6040" s="130">
        <v>18</v>
      </c>
      <c r="C6040" s="130" t="s">
        <v>7664</v>
      </c>
      <c r="D6040">
        <v>182</v>
      </c>
      <c r="E6040" s="131">
        <v>20098146</v>
      </c>
      <c r="F6040" t="s">
        <v>87</v>
      </c>
      <c r="G6040">
        <v>358</v>
      </c>
      <c r="H6040" t="s">
        <v>8953</v>
      </c>
      <c r="I6040" s="131">
        <v>2</v>
      </c>
      <c r="J6040" t="s">
        <v>7664</v>
      </c>
      <c r="K6040" t="s">
        <v>108</v>
      </c>
      <c r="L6040" t="s">
        <v>105</v>
      </c>
      <c r="M6040" t="s">
        <v>112</v>
      </c>
      <c r="N6040" t="s">
        <v>114</v>
      </c>
      <c r="O6040" t="s">
        <v>1345</v>
      </c>
    </row>
    <row r="6041" spans="1:15" x14ac:dyDescent="0.3">
      <c r="A6041" s="130">
        <v>67430</v>
      </c>
      <c r="B6041" s="130">
        <v>30</v>
      </c>
      <c r="C6041" s="130" t="s">
        <v>7665</v>
      </c>
      <c r="D6041">
        <v>183</v>
      </c>
      <c r="E6041" s="130">
        <v>61495636</v>
      </c>
      <c r="F6041" t="s">
        <v>87</v>
      </c>
      <c r="G6041">
        <v>78</v>
      </c>
      <c r="H6041" t="s">
        <v>8951</v>
      </c>
      <c r="I6041" s="130">
        <v>9</v>
      </c>
      <c r="J6041" t="s">
        <v>7665</v>
      </c>
      <c r="K6041" t="s">
        <v>108</v>
      </c>
      <c r="L6041" t="s">
        <v>125</v>
      </c>
      <c r="M6041" t="s">
        <v>103</v>
      </c>
      <c r="N6041" t="s">
        <v>98</v>
      </c>
      <c r="O6041" t="s">
        <v>1345</v>
      </c>
    </row>
    <row r="6042" spans="1:15" x14ac:dyDescent="0.3">
      <c r="A6042" s="130">
        <v>67437</v>
      </c>
      <c r="B6042" s="130">
        <v>18</v>
      </c>
      <c r="C6042" s="130" t="s">
        <v>7666</v>
      </c>
      <c r="D6042">
        <v>184</v>
      </c>
      <c r="E6042" s="130">
        <v>1864998</v>
      </c>
      <c r="F6042" t="s">
        <v>87</v>
      </c>
      <c r="G6042">
        <v>358</v>
      </c>
      <c r="H6042" t="s">
        <v>8952</v>
      </c>
      <c r="I6042" s="131">
        <v>20</v>
      </c>
      <c r="J6042" t="s">
        <v>7666</v>
      </c>
      <c r="K6042" t="s">
        <v>108</v>
      </c>
      <c r="L6042" t="s">
        <v>99</v>
      </c>
      <c r="M6042" t="s">
        <v>112</v>
      </c>
      <c r="N6042" t="s">
        <v>101</v>
      </c>
      <c r="O6042" t="s">
        <v>1345</v>
      </c>
    </row>
    <row r="6043" spans="1:15" x14ac:dyDescent="0.3">
      <c r="A6043" s="130">
        <v>67502</v>
      </c>
      <c r="B6043" s="130">
        <v>18</v>
      </c>
      <c r="C6043" s="130" t="s">
        <v>7667</v>
      </c>
      <c r="D6043">
        <v>185</v>
      </c>
      <c r="E6043" s="130">
        <v>54470430</v>
      </c>
      <c r="F6043" t="s">
        <v>87</v>
      </c>
      <c r="G6043">
        <v>358</v>
      </c>
      <c r="H6043" t="s">
        <v>8953</v>
      </c>
      <c r="I6043" s="131">
        <v>24</v>
      </c>
      <c r="J6043" t="s">
        <v>7667</v>
      </c>
      <c r="K6043" t="s">
        <v>108</v>
      </c>
      <c r="L6043" t="s">
        <v>1346</v>
      </c>
      <c r="M6043" t="s">
        <v>112</v>
      </c>
      <c r="N6043" t="s">
        <v>114</v>
      </c>
      <c r="O6043" t="s">
        <v>1345</v>
      </c>
    </row>
    <row r="6044" spans="1:15" x14ac:dyDescent="0.3">
      <c r="A6044" s="130">
        <v>67524</v>
      </c>
      <c r="B6044" s="130">
        <v>18</v>
      </c>
      <c r="C6044" s="130" t="s">
        <v>7668</v>
      </c>
      <c r="D6044">
        <v>186</v>
      </c>
      <c r="E6044" s="131">
        <v>7083656</v>
      </c>
      <c r="F6044" t="s">
        <v>87</v>
      </c>
      <c r="G6044">
        <v>78</v>
      </c>
      <c r="H6044" t="s">
        <v>8951</v>
      </c>
      <c r="I6044" s="131">
        <v>10</v>
      </c>
      <c r="J6044" t="s">
        <v>7668</v>
      </c>
      <c r="K6044" t="s">
        <v>108</v>
      </c>
      <c r="L6044" t="s">
        <v>127</v>
      </c>
      <c r="M6044" t="s">
        <v>112</v>
      </c>
      <c r="N6044" t="s">
        <v>101</v>
      </c>
      <c r="O6044" t="s">
        <v>1345</v>
      </c>
    </row>
    <row r="6045" spans="1:15" x14ac:dyDescent="0.3">
      <c r="A6045" s="130">
        <v>67537</v>
      </c>
      <c r="B6045" s="130">
        <v>30</v>
      </c>
      <c r="C6045" s="130" t="s">
        <v>7669</v>
      </c>
      <c r="D6045">
        <v>187</v>
      </c>
      <c r="E6045" s="130">
        <v>1313486</v>
      </c>
      <c r="F6045" t="s">
        <v>87</v>
      </c>
      <c r="G6045">
        <v>78</v>
      </c>
      <c r="H6045" t="s">
        <v>8952</v>
      </c>
      <c r="I6045" s="130">
        <v>10</v>
      </c>
      <c r="J6045" t="s">
        <v>7669</v>
      </c>
      <c r="K6045" t="s">
        <v>108</v>
      </c>
      <c r="L6045" t="s">
        <v>127</v>
      </c>
      <c r="M6045" t="s">
        <v>103</v>
      </c>
      <c r="N6045" t="s">
        <v>118</v>
      </c>
      <c r="O6045" t="s">
        <v>116</v>
      </c>
    </row>
    <row r="6046" spans="1:15" x14ac:dyDescent="0.3">
      <c r="A6046" s="130">
        <v>67558</v>
      </c>
      <c r="B6046" s="130">
        <v>18</v>
      </c>
      <c r="C6046" s="130" t="s">
        <v>7670</v>
      </c>
      <c r="D6046">
        <v>188</v>
      </c>
      <c r="E6046" s="130">
        <v>31541824</v>
      </c>
      <c r="F6046" t="s">
        <v>87</v>
      </c>
      <c r="G6046">
        <v>78</v>
      </c>
      <c r="H6046" t="s">
        <v>8953</v>
      </c>
      <c r="I6046" s="131">
        <v>26</v>
      </c>
      <c r="J6046" t="s">
        <v>7670</v>
      </c>
      <c r="K6046" t="s">
        <v>108</v>
      </c>
      <c r="L6046" t="s">
        <v>151</v>
      </c>
      <c r="M6046" t="s">
        <v>112</v>
      </c>
      <c r="N6046" t="s">
        <v>101</v>
      </c>
      <c r="O6046" t="s">
        <v>1345</v>
      </c>
    </row>
    <row r="6047" spans="1:15" x14ac:dyDescent="0.3">
      <c r="A6047" s="130">
        <v>67573</v>
      </c>
      <c r="B6047" s="130">
        <v>30</v>
      </c>
      <c r="C6047" s="130" t="s">
        <v>7671</v>
      </c>
      <c r="D6047">
        <v>189</v>
      </c>
      <c r="E6047" s="131">
        <v>4678907</v>
      </c>
      <c r="F6047" t="s">
        <v>87</v>
      </c>
      <c r="G6047">
        <v>78</v>
      </c>
      <c r="H6047" t="s">
        <v>8951</v>
      </c>
      <c r="I6047" s="130">
        <v>18</v>
      </c>
      <c r="J6047" t="s">
        <v>7671</v>
      </c>
      <c r="K6047" t="s">
        <v>95</v>
      </c>
      <c r="L6047" t="s">
        <v>123</v>
      </c>
      <c r="M6047" t="s">
        <v>103</v>
      </c>
      <c r="N6047" t="s">
        <v>98</v>
      </c>
      <c r="O6047" t="s">
        <v>1345</v>
      </c>
    </row>
    <row r="6048" spans="1:15" x14ac:dyDescent="0.3">
      <c r="A6048" s="130">
        <v>67577</v>
      </c>
      <c r="B6048" s="130">
        <v>30</v>
      </c>
      <c r="C6048" s="130" t="s">
        <v>7672</v>
      </c>
      <c r="D6048">
        <v>190</v>
      </c>
      <c r="E6048" s="131">
        <v>2012862</v>
      </c>
      <c r="F6048" t="s">
        <v>87</v>
      </c>
      <c r="G6048">
        <v>78</v>
      </c>
      <c r="H6048" t="s">
        <v>8952</v>
      </c>
      <c r="I6048" s="130">
        <v>19</v>
      </c>
      <c r="J6048" t="s">
        <v>7672</v>
      </c>
      <c r="K6048" t="s">
        <v>95</v>
      </c>
      <c r="L6048" t="s">
        <v>146</v>
      </c>
      <c r="M6048" t="s">
        <v>103</v>
      </c>
      <c r="N6048" t="s">
        <v>122</v>
      </c>
      <c r="O6048" t="s">
        <v>116</v>
      </c>
    </row>
    <row r="6049" spans="1:15" x14ac:dyDescent="0.3">
      <c r="A6049" s="130">
        <v>67581</v>
      </c>
      <c r="B6049" s="130">
        <v>18</v>
      </c>
      <c r="C6049" s="130" t="s">
        <v>7673</v>
      </c>
      <c r="D6049">
        <v>191</v>
      </c>
      <c r="E6049" s="131">
        <v>16741622</v>
      </c>
      <c r="F6049" t="s">
        <v>87</v>
      </c>
      <c r="G6049">
        <v>78</v>
      </c>
      <c r="H6049" t="s">
        <v>8953</v>
      </c>
      <c r="I6049" s="130">
        <v>20</v>
      </c>
      <c r="J6049" t="s">
        <v>7673</v>
      </c>
      <c r="K6049" t="s">
        <v>108</v>
      </c>
      <c r="L6049" t="s">
        <v>163</v>
      </c>
      <c r="M6049" t="s">
        <v>112</v>
      </c>
      <c r="N6049" t="s">
        <v>141</v>
      </c>
      <c r="O6049" t="s">
        <v>1345</v>
      </c>
    </row>
    <row r="6050" spans="1:15" x14ac:dyDescent="0.3">
      <c r="A6050" s="130">
        <v>67607</v>
      </c>
      <c r="B6050" s="130">
        <v>30</v>
      </c>
      <c r="C6050" s="130" t="s">
        <v>7674</v>
      </c>
      <c r="D6050">
        <v>192</v>
      </c>
      <c r="E6050" s="130">
        <v>14780155</v>
      </c>
      <c r="F6050" t="s">
        <v>87</v>
      </c>
      <c r="G6050">
        <v>358</v>
      </c>
      <c r="H6050" t="s">
        <v>8951</v>
      </c>
      <c r="I6050" s="131">
        <v>24</v>
      </c>
      <c r="J6050" t="s">
        <v>7674</v>
      </c>
      <c r="K6050" t="s">
        <v>95</v>
      </c>
      <c r="L6050" t="s">
        <v>105</v>
      </c>
      <c r="M6050" t="s">
        <v>103</v>
      </c>
      <c r="N6050" t="s">
        <v>101</v>
      </c>
      <c r="O6050" t="s">
        <v>116</v>
      </c>
    </row>
    <row r="6051" spans="1:15" x14ac:dyDescent="0.3">
      <c r="A6051" s="130">
        <v>67618</v>
      </c>
      <c r="B6051" s="130">
        <v>18</v>
      </c>
      <c r="C6051" s="130" t="s">
        <v>7675</v>
      </c>
      <c r="D6051">
        <v>193</v>
      </c>
      <c r="E6051" s="131">
        <v>2265872</v>
      </c>
      <c r="F6051" t="s">
        <v>87</v>
      </c>
      <c r="G6051">
        <v>358</v>
      </c>
      <c r="H6051" t="s">
        <v>8952</v>
      </c>
      <c r="I6051" s="130">
        <v>2</v>
      </c>
      <c r="J6051" t="s">
        <v>7675</v>
      </c>
      <c r="K6051" t="s">
        <v>95</v>
      </c>
      <c r="L6051" t="s">
        <v>105</v>
      </c>
      <c r="M6051" t="s">
        <v>112</v>
      </c>
      <c r="N6051" t="s">
        <v>98</v>
      </c>
      <c r="O6051" t="s">
        <v>1345</v>
      </c>
    </row>
    <row r="6052" spans="1:15" x14ac:dyDescent="0.3">
      <c r="A6052" s="130">
        <v>67689</v>
      </c>
      <c r="B6052" s="130">
        <v>18</v>
      </c>
      <c r="C6052" s="130" t="s">
        <v>7676</v>
      </c>
      <c r="D6052">
        <v>194</v>
      </c>
      <c r="E6052" s="131">
        <v>28643946</v>
      </c>
      <c r="F6052" t="s">
        <v>87</v>
      </c>
      <c r="G6052">
        <v>358</v>
      </c>
      <c r="H6052" t="s">
        <v>8953</v>
      </c>
      <c r="I6052" s="130">
        <v>24</v>
      </c>
      <c r="J6052" t="s">
        <v>7676</v>
      </c>
      <c r="K6052" t="s">
        <v>95</v>
      </c>
      <c r="L6052" t="s">
        <v>191</v>
      </c>
      <c r="M6052" t="s">
        <v>112</v>
      </c>
      <c r="N6052" t="s">
        <v>122</v>
      </c>
      <c r="O6052" t="s">
        <v>116</v>
      </c>
    </row>
    <row r="6053" spans="1:15" x14ac:dyDescent="0.3">
      <c r="A6053" s="130">
        <v>67709</v>
      </c>
      <c r="B6053" s="130">
        <v>28</v>
      </c>
      <c r="C6053" s="130" t="s">
        <v>7677</v>
      </c>
      <c r="D6053">
        <v>195</v>
      </c>
      <c r="E6053" s="130">
        <v>24649541</v>
      </c>
      <c r="F6053" t="s">
        <v>87</v>
      </c>
      <c r="G6053">
        <v>78</v>
      </c>
      <c r="H6053" t="s">
        <v>8951</v>
      </c>
      <c r="I6053" s="130">
        <v>18</v>
      </c>
      <c r="J6053" t="s">
        <v>7677</v>
      </c>
      <c r="K6053" t="s">
        <v>95</v>
      </c>
      <c r="L6053" t="s">
        <v>123</v>
      </c>
      <c r="M6053" t="s">
        <v>130</v>
      </c>
      <c r="N6053" t="s">
        <v>150</v>
      </c>
      <c r="O6053" t="s">
        <v>1345</v>
      </c>
    </row>
    <row r="6054" spans="1:15" x14ac:dyDescent="0.3">
      <c r="A6054" s="130">
        <v>67786</v>
      </c>
      <c r="B6054" s="130">
        <v>30</v>
      </c>
      <c r="C6054" s="130" t="s">
        <v>7678</v>
      </c>
      <c r="D6054">
        <v>196</v>
      </c>
      <c r="E6054" s="131">
        <v>21778678</v>
      </c>
      <c r="F6054" t="s">
        <v>87</v>
      </c>
      <c r="G6054">
        <v>78</v>
      </c>
      <c r="H6054" t="s">
        <v>8952</v>
      </c>
      <c r="I6054" s="131">
        <v>26</v>
      </c>
      <c r="J6054" t="s">
        <v>7678</v>
      </c>
      <c r="K6054" t="s">
        <v>95</v>
      </c>
      <c r="L6054" t="s">
        <v>151</v>
      </c>
      <c r="M6054" t="s">
        <v>103</v>
      </c>
      <c r="N6054" t="s">
        <v>118</v>
      </c>
      <c r="O6054" t="s">
        <v>1345</v>
      </c>
    </row>
    <row r="6055" spans="1:15" x14ac:dyDescent="0.3">
      <c r="A6055" s="130">
        <v>67805</v>
      </c>
      <c r="B6055" s="130">
        <v>30</v>
      </c>
      <c r="C6055" s="130" t="s">
        <v>7679</v>
      </c>
      <c r="D6055">
        <v>198</v>
      </c>
      <c r="E6055" s="130">
        <v>83646547</v>
      </c>
      <c r="F6055" t="s">
        <v>87</v>
      </c>
      <c r="G6055">
        <v>78</v>
      </c>
      <c r="H6055" t="s">
        <v>8953</v>
      </c>
      <c r="I6055" s="131">
        <v>10</v>
      </c>
      <c r="J6055" t="s">
        <v>7679</v>
      </c>
      <c r="K6055" t="s">
        <v>95</v>
      </c>
      <c r="L6055" t="s">
        <v>127</v>
      </c>
      <c r="M6055" t="s">
        <v>103</v>
      </c>
      <c r="N6055" t="s">
        <v>114</v>
      </c>
      <c r="O6055" t="s">
        <v>1345</v>
      </c>
    </row>
    <row r="6056" spans="1:15" x14ac:dyDescent="0.3">
      <c r="A6056" s="130">
        <v>67868</v>
      </c>
      <c r="B6056" s="130">
        <v>18</v>
      </c>
      <c r="C6056" s="130" t="s">
        <v>7680</v>
      </c>
      <c r="D6056">
        <v>199</v>
      </c>
      <c r="E6056" s="130">
        <v>59970624</v>
      </c>
      <c r="F6056" t="s">
        <v>87</v>
      </c>
      <c r="G6056">
        <v>78</v>
      </c>
      <c r="H6056" t="s">
        <v>8951</v>
      </c>
      <c r="I6056" s="130">
        <v>10</v>
      </c>
      <c r="J6056" t="s">
        <v>7680</v>
      </c>
      <c r="K6056" t="s">
        <v>108</v>
      </c>
      <c r="L6056" t="s">
        <v>127</v>
      </c>
      <c r="M6056" t="s">
        <v>112</v>
      </c>
      <c r="N6056" t="s">
        <v>122</v>
      </c>
      <c r="O6056" t="s">
        <v>1345</v>
      </c>
    </row>
    <row r="6057" spans="1:15" x14ac:dyDescent="0.3">
      <c r="A6057" s="130">
        <v>67881</v>
      </c>
      <c r="B6057" s="130">
        <v>18</v>
      </c>
      <c r="C6057" s="130" t="s">
        <v>7681</v>
      </c>
      <c r="D6057">
        <v>200</v>
      </c>
      <c r="E6057" s="130">
        <v>1661067</v>
      </c>
      <c r="F6057" t="s">
        <v>87</v>
      </c>
      <c r="G6057">
        <v>78</v>
      </c>
      <c r="H6057" t="s">
        <v>8952</v>
      </c>
      <c r="I6057" s="130">
        <v>19</v>
      </c>
      <c r="J6057" t="s">
        <v>7681</v>
      </c>
      <c r="K6057" t="s">
        <v>108</v>
      </c>
      <c r="L6057" t="s">
        <v>146</v>
      </c>
      <c r="M6057" t="s">
        <v>112</v>
      </c>
      <c r="N6057" t="s">
        <v>101</v>
      </c>
      <c r="O6057" t="s">
        <v>116</v>
      </c>
    </row>
    <row r="6058" spans="1:15" x14ac:dyDescent="0.3">
      <c r="A6058" s="130">
        <v>67897</v>
      </c>
      <c r="B6058" s="130">
        <v>30</v>
      </c>
      <c r="C6058" s="130" t="s">
        <v>7682</v>
      </c>
      <c r="D6058">
        <v>201</v>
      </c>
      <c r="E6058" s="131">
        <v>21062047</v>
      </c>
      <c r="F6058" t="s">
        <v>87</v>
      </c>
      <c r="G6058">
        <v>358</v>
      </c>
      <c r="H6058" t="s">
        <v>8953</v>
      </c>
      <c r="I6058" s="130">
        <v>2</v>
      </c>
      <c r="J6058" t="s">
        <v>7682</v>
      </c>
      <c r="K6058" t="s">
        <v>95</v>
      </c>
      <c r="L6058" t="s">
        <v>111</v>
      </c>
      <c r="M6058" t="s">
        <v>103</v>
      </c>
      <c r="N6058" t="s">
        <v>98</v>
      </c>
      <c r="O6058" t="s">
        <v>116</v>
      </c>
    </row>
    <row r="6059" spans="1:15" x14ac:dyDescent="0.3">
      <c r="A6059" s="130">
        <v>67930</v>
      </c>
      <c r="B6059" s="130">
        <v>15</v>
      </c>
      <c r="C6059" s="130" t="s">
        <v>7683</v>
      </c>
      <c r="D6059">
        <v>202</v>
      </c>
      <c r="E6059" s="130">
        <v>16622284</v>
      </c>
      <c r="F6059" t="s">
        <v>87</v>
      </c>
      <c r="G6059">
        <v>78</v>
      </c>
      <c r="H6059" t="s">
        <v>8951</v>
      </c>
      <c r="I6059" s="131">
        <v>10</v>
      </c>
      <c r="J6059" t="s">
        <v>7683</v>
      </c>
      <c r="K6059" t="s">
        <v>95</v>
      </c>
      <c r="L6059" t="s">
        <v>127</v>
      </c>
      <c r="M6059" t="s">
        <v>145</v>
      </c>
      <c r="N6059" t="s">
        <v>118</v>
      </c>
      <c r="O6059" t="s">
        <v>116</v>
      </c>
    </row>
    <row r="6060" spans="1:15" x14ac:dyDescent="0.3">
      <c r="A6060" s="130">
        <v>67940</v>
      </c>
      <c r="B6060" s="130">
        <v>30</v>
      </c>
      <c r="C6060" s="130" t="s">
        <v>7684</v>
      </c>
      <c r="D6060">
        <v>203</v>
      </c>
      <c r="E6060" s="130">
        <v>21471093</v>
      </c>
      <c r="F6060" t="s">
        <v>87</v>
      </c>
      <c r="G6060">
        <v>78</v>
      </c>
      <c r="H6060" t="s">
        <v>8952</v>
      </c>
      <c r="I6060" s="131">
        <v>10</v>
      </c>
      <c r="J6060" t="s">
        <v>7684</v>
      </c>
      <c r="K6060" t="s">
        <v>95</v>
      </c>
      <c r="L6060" t="s">
        <v>127</v>
      </c>
      <c r="M6060" t="s">
        <v>103</v>
      </c>
      <c r="N6060" t="s">
        <v>124</v>
      </c>
      <c r="O6060" t="s">
        <v>1345</v>
      </c>
    </row>
    <row r="6061" spans="1:15" x14ac:dyDescent="0.3">
      <c r="A6061" s="130">
        <v>67942</v>
      </c>
      <c r="B6061" s="130">
        <v>18</v>
      </c>
      <c r="C6061" s="130" t="s">
        <v>7685</v>
      </c>
      <c r="D6061">
        <v>204</v>
      </c>
      <c r="E6061" s="130">
        <v>4517241</v>
      </c>
      <c r="F6061" t="s">
        <v>87</v>
      </c>
      <c r="G6061">
        <v>78</v>
      </c>
      <c r="H6061" t="s">
        <v>8953</v>
      </c>
      <c r="I6061" s="131">
        <v>2</v>
      </c>
      <c r="J6061" t="s">
        <v>7685</v>
      </c>
      <c r="K6061" t="s">
        <v>108</v>
      </c>
      <c r="L6061" t="s">
        <v>105</v>
      </c>
      <c r="M6061" t="s">
        <v>112</v>
      </c>
      <c r="N6061" t="s">
        <v>132</v>
      </c>
      <c r="O6061" t="s">
        <v>1345</v>
      </c>
    </row>
    <row r="6062" spans="1:15" x14ac:dyDescent="0.3">
      <c r="A6062" s="130">
        <v>67945</v>
      </c>
      <c r="B6062" s="130">
        <v>18</v>
      </c>
      <c r="C6062" s="130" t="s">
        <v>7686</v>
      </c>
      <c r="D6062">
        <v>205</v>
      </c>
      <c r="E6062" s="131">
        <v>4517241</v>
      </c>
      <c r="F6062" t="s">
        <v>87</v>
      </c>
      <c r="G6062">
        <v>358</v>
      </c>
      <c r="H6062" t="s">
        <v>8951</v>
      </c>
      <c r="I6062" s="130">
        <v>2</v>
      </c>
      <c r="J6062" t="s">
        <v>7686</v>
      </c>
      <c r="K6062" t="s">
        <v>108</v>
      </c>
      <c r="L6062" t="s">
        <v>193</v>
      </c>
      <c r="M6062" t="s">
        <v>112</v>
      </c>
      <c r="N6062" t="s">
        <v>132</v>
      </c>
      <c r="O6062" t="s">
        <v>1345</v>
      </c>
    </row>
    <row r="6063" spans="1:15" x14ac:dyDescent="0.3">
      <c r="A6063" s="130">
        <v>67959</v>
      </c>
      <c r="B6063" s="130">
        <v>30</v>
      </c>
      <c r="C6063" s="130" t="s">
        <v>7687</v>
      </c>
      <c r="D6063">
        <v>206</v>
      </c>
      <c r="E6063" s="130">
        <v>16694812</v>
      </c>
      <c r="F6063" t="s">
        <v>87</v>
      </c>
      <c r="G6063">
        <v>78</v>
      </c>
      <c r="H6063" t="s">
        <v>8952</v>
      </c>
      <c r="I6063" s="130">
        <v>2</v>
      </c>
      <c r="J6063" t="s">
        <v>7687</v>
      </c>
      <c r="K6063" t="s">
        <v>108</v>
      </c>
      <c r="L6063" t="s">
        <v>109</v>
      </c>
      <c r="M6063" t="s">
        <v>103</v>
      </c>
      <c r="N6063" t="s">
        <v>114</v>
      </c>
      <c r="O6063" t="s">
        <v>1345</v>
      </c>
    </row>
    <row r="6064" spans="1:15" x14ac:dyDescent="0.3">
      <c r="A6064" s="130">
        <v>67965</v>
      </c>
      <c r="B6064" s="130">
        <v>28</v>
      </c>
      <c r="C6064" s="130" t="s">
        <v>7688</v>
      </c>
      <c r="D6064">
        <v>207</v>
      </c>
      <c r="E6064" s="131">
        <v>7147444</v>
      </c>
      <c r="F6064" t="s">
        <v>87</v>
      </c>
      <c r="G6064">
        <v>78</v>
      </c>
      <c r="H6064" t="s">
        <v>8953</v>
      </c>
      <c r="I6064" s="131">
        <v>18</v>
      </c>
      <c r="J6064" t="s">
        <v>7688</v>
      </c>
      <c r="K6064" t="s">
        <v>95</v>
      </c>
      <c r="L6064" t="s">
        <v>123</v>
      </c>
      <c r="M6064" t="s">
        <v>130</v>
      </c>
      <c r="N6064" t="s">
        <v>98</v>
      </c>
      <c r="O6064" t="s">
        <v>116</v>
      </c>
    </row>
    <row r="6065" spans="1:15" x14ac:dyDescent="0.3">
      <c r="A6065" s="130">
        <v>67981</v>
      </c>
      <c r="B6065" s="130">
        <v>30</v>
      </c>
      <c r="C6065" s="130" t="s">
        <v>7689</v>
      </c>
      <c r="D6065">
        <v>208</v>
      </c>
      <c r="E6065" s="130">
        <v>58069360</v>
      </c>
      <c r="F6065" t="s">
        <v>87</v>
      </c>
      <c r="G6065">
        <v>78</v>
      </c>
      <c r="H6065" t="s">
        <v>8951</v>
      </c>
      <c r="I6065" s="131">
        <v>18</v>
      </c>
      <c r="J6065" t="s">
        <v>7689</v>
      </c>
      <c r="K6065" t="s">
        <v>95</v>
      </c>
      <c r="L6065" t="s">
        <v>123</v>
      </c>
      <c r="M6065" t="s">
        <v>103</v>
      </c>
      <c r="N6065" t="s">
        <v>107</v>
      </c>
      <c r="O6065" t="s">
        <v>1345</v>
      </c>
    </row>
    <row r="6066" spans="1:15" x14ac:dyDescent="0.3">
      <c r="A6066" s="130">
        <v>68007</v>
      </c>
      <c r="B6066" s="130">
        <v>30</v>
      </c>
      <c r="C6066" s="130" t="s">
        <v>7690</v>
      </c>
      <c r="D6066">
        <v>209</v>
      </c>
      <c r="E6066" s="130">
        <v>83646547</v>
      </c>
      <c r="F6066" t="s">
        <v>87</v>
      </c>
      <c r="G6066">
        <v>78</v>
      </c>
      <c r="H6066" t="s">
        <v>8952</v>
      </c>
      <c r="I6066" s="130">
        <v>10</v>
      </c>
      <c r="J6066" t="s">
        <v>7690</v>
      </c>
      <c r="K6066" t="s">
        <v>95</v>
      </c>
      <c r="L6066" t="s">
        <v>127</v>
      </c>
      <c r="M6066" t="s">
        <v>103</v>
      </c>
      <c r="N6066" t="s">
        <v>114</v>
      </c>
      <c r="O6066" t="s">
        <v>1345</v>
      </c>
    </row>
    <row r="6067" spans="1:15" x14ac:dyDescent="0.3">
      <c r="A6067" s="130">
        <v>68011</v>
      </c>
      <c r="B6067" s="130">
        <v>30</v>
      </c>
      <c r="C6067" s="130" t="s">
        <v>7691</v>
      </c>
      <c r="D6067">
        <v>210</v>
      </c>
      <c r="E6067" s="130">
        <v>4564530</v>
      </c>
      <c r="F6067" t="s">
        <v>87</v>
      </c>
      <c r="G6067">
        <v>78</v>
      </c>
      <c r="H6067" t="s">
        <v>8953</v>
      </c>
      <c r="I6067" s="131">
        <v>2</v>
      </c>
      <c r="J6067" t="s">
        <v>7691</v>
      </c>
      <c r="K6067" t="s">
        <v>95</v>
      </c>
      <c r="L6067" t="s">
        <v>126</v>
      </c>
      <c r="M6067" t="s">
        <v>103</v>
      </c>
      <c r="N6067" t="s">
        <v>131</v>
      </c>
      <c r="O6067" t="s">
        <v>116</v>
      </c>
    </row>
    <row r="6068" spans="1:15" x14ac:dyDescent="0.3">
      <c r="A6068" s="130">
        <v>68019</v>
      </c>
      <c r="B6068" s="130">
        <v>18</v>
      </c>
      <c r="C6068" s="130" t="s">
        <v>7692</v>
      </c>
      <c r="D6068">
        <v>211</v>
      </c>
      <c r="E6068" s="131">
        <v>28715526</v>
      </c>
      <c r="F6068" t="s">
        <v>87</v>
      </c>
      <c r="G6068">
        <v>78</v>
      </c>
      <c r="H6068" t="s">
        <v>8951</v>
      </c>
      <c r="I6068" s="130">
        <v>9</v>
      </c>
      <c r="J6068" t="s">
        <v>7692</v>
      </c>
      <c r="K6068" t="s">
        <v>108</v>
      </c>
      <c r="L6068" t="s">
        <v>125</v>
      </c>
      <c r="M6068" t="s">
        <v>112</v>
      </c>
      <c r="N6068" t="s">
        <v>98</v>
      </c>
      <c r="O6068" t="s">
        <v>116</v>
      </c>
    </row>
    <row r="6069" spans="1:15" x14ac:dyDescent="0.3">
      <c r="A6069" s="130">
        <v>68026</v>
      </c>
      <c r="B6069" s="130">
        <v>18</v>
      </c>
      <c r="C6069" s="130" t="s">
        <v>7693</v>
      </c>
      <c r="D6069">
        <v>212</v>
      </c>
      <c r="E6069" s="131">
        <v>3018137</v>
      </c>
      <c r="F6069" t="s">
        <v>87</v>
      </c>
      <c r="G6069">
        <v>78</v>
      </c>
      <c r="H6069" t="s">
        <v>8952</v>
      </c>
      <c r="I6069" s="131">
        <v>19</v>
      </c>
      <c r="J6069" t="s">
        <v>7693</v>
      </c>
      <c r="K6069" t="s">
        <v>108</v>
      </c>
      <c r="L6069" t="s">
        <v>146</v>
      </c>
      <c r="M6069" t="s">
        <v>112</v>
      </c>
      <c r="N6069" t="s">
        <v>101</v>
      </c>
      <c r="O6069" t="s">
        <v>116</v>
      </c>
    </row>
    <row r="6070" spans="1:15" x14ac:dyDescent="0.3">
      <c r="A6070" s="130">
        <v>68029</v>
      </c>
      <c r="B6070" s="130">
        <v>90</v>
      </c>
      <c r="C6070" s="130" t="s">
        <v>7694</v>
      </c>
      <c r="D6070">
        <v>213</v>
      </c>
      <c r="E6070" s="131">
        <v>33500609</v>
      </c>
      <c r="F6070" t="s">
        <v>87</v>
      </c>
      <c r="G6070">
        <v>358</v>
      </c>
      <c r="H6070" t="s">
        <v>8953</v>
      </c>
      <c r="I6070" s="131">
        <v>2</v>
      </c>
      <c r="J6070" t="s">
        <v>7694</v>
      </c>
      <c r="K6070" t="s">
        <v>95</v>
      </c>
      <c r="L6070" t="s">
        <v>109</v>
      </c>
      <c r="M6070" t="s">
        <v>170</v>
      </c>
      <c r="N6070" t="s">
        <v>98</v>
      </c>
      <c r="O6070" t="s">
        <v>116</v>
      </c>
    </row>
    <row r="6071" spans="1:15" x14ac:dyDescent="0.3">
      <c r="A6071" s="130">
        <v>68030</v>
      </c>
      <c r="B6071" s="130">
        <v>30</v>
      </c>
      <c r="C6071" s="130" t="s">
        <v>7695</v>
      </c>
      <c r="D6071">
        <v>214</v>
      </c>
      <c r="E6071" s="131">
        <v>2265872</v>
      </c>
      <c r="F6071" t="s">
        <v>87</v>
      </c>
      <c r="G6071">
        <v>358</v>
      </c>
      <c r="H6071" t="s">
        <v>8951</v>
      </c>
      <c r="I6071" s="130">
        <v>2</v>
      </c>
      <c r="J6071" t="s">
        <v>7695</v>
      </c>
      <c r="K6071" t="s">
        <v>95</v>
      </c>
      <c r="L6071" t="s">
        <v>109</v>
      </c>
      <c r="M6071" t="s">
        <v>103</v>
      </c>
      <c r="N6071" t="s">
        <v>98</v>
      </c>
      <c r="O6071" t="s">
        <v>1345</v>
      </c>
    </row>
    <row r="6072" spans="1:15" x14ac:dyDescent="0.3">
      <c r="A6072" s="130">
        <v>68040</v>
      </c>
      <c r="B6072" s="130">
        <v>18</v>
      </c>
      <c r="C6072" s="130" t="s">
        <v>7696</v>
      </c>
      <c r="D6072">
        <v>215</v>
      </c>
      <c r="E6072" s="130">
        <v>65162380</v>
      </c>
      <c r="F6072" t="s">
        <v>87</v>
      </c>
      <c r="G6072">
        <v>358</v>
      </c>
      <c r="H6072" t="s">
        <v>8952</v>
      </c>
      <c r="I6072" s="131">
        <v>2</v>
      </c>
      <c r="J6072" t="s">
        <v>7696</v>
      </c>
      <c r="K6072" t="s">
        <v>108</v>
      </c>
      <c r="L6072" t="s">
        <v>99</v>
      </c>
      <c r="M6072" t="s">
        <v>112</v>
      </c>
      <c r="N6072" t="s">
        <v>101</v>
      </c>
      <c r="O6072" t="s">
        <v>1345</v>
      </c>
    </row>
    <row r="6073" spans="1:15" x14ac:dyDescent="0.3">
      <c r="A6073" s="130">
        <v>68042</v>
      </c>
      <c r="B6073" s="130">
        <v>30</v>
      </c>
      <c r="C6073" s="130" t="s">
        <v>7697</v>
      </c>
      <c r="D6073">
        <v>216</v>
      </c>
      <c r="E6073" s="130">
        <v>2336124</v>
      </c>
      <c r="F6073" t="s">
        <v>87</v>
      </c>
      <c r="G6073">
        <v>78</v>
      </c>
      <c r="H6073" t="s">
        <v>8953</v>
      </c>
      <c r="I6073" s="130">
        <v>10</v>
      </c>
      <c r="J6073" t="s">
        <v>7697</v>
      </c>
      <c r="K6073" t="s">
        <v>108</v>
      </c>
      <c r="L6073" t="s">
        <v>127</v>
      </c>
      <c r="M6073" t="s">
        <v>103</v>
      </c>
      <c r="N6073" t="s">
        <v>114</v>
      </c>
      <c r="O6073" t="s">
        <v>116</v>
      </c>
    </row>
    <row r="6074" spans="1:15" x14ac:dyDescent="0.3">
      <c r="A6074" s="130">
        <v>68063</v>
      </c>
      <c r="B6074" s="130">
        <v>18</v>
      </c>
      <c r="C6074" s="130" t="s">
        <v>7698</v>
      </c>
      <c r="D6074">
        <v>217</v>
      </c>
      <c r="E6074" s="130">
        <v>28643946</v>
      </c>
      <c r="F6074" t="s">
        <v>87</v>
      </c>
      <c r="G6074">
        <v>358</v>
      </c>
      <c r="H6074" t="s">
        <v>8951</v>
      </c>
      <c r="I6074" s="130">
        <v>24</v>
      </c>
      <c r="J6074" t="s">
        <v>7698</v>
      </c>
      <c r="K6074" t="s">
        <v>95</v>
      </c>
      <c r="L6074" t="s">
        <v>111</v>
      </c>
      <c r="M6074" t="s">
        <v>112</v>
      </c>
      <c r="N6074" t="s">
        <v>122</v>
      </c>
      <c r="O6074" t="s">
        <v>116</v>
      </c>
    </row>
    <row r="6075" spans="1:15" x14ac:dyDescent="0.3">
      <c r="A6075" s="130">
        <v>68100</v>
      </c>
      <c r="B6075" s="130">
        <v>18</v>
      </c>
      <c r="C6075" s="130" t="s">
        <v>7699</v>
      </c>
      <c r="D6075">
        <v>218</v>
      </c>
      <c r="E6075" s="130">
        <v>4479160</v>
      </c>
      <c r="F6075" t="s">
        <v>87</v>
      </c>
      <c r="G6075">
        <v>358</v>
      </c>
      <c r="H6075" t="s">
        <v>8952</v>
      </c>
      <c r="I6075" s="131">
        <v>2</v>
      </c>
      <c r="J6075" t="s">
        <v>7699</v>
      </c>
      <c r="K6075" t="s">
        <v>108</v>
      </c>
      <c r="L6075" t="s">
        <v>111</v>
      </c>
      <c r="M6075" t="s">
        <v>112</v>
      </c>
      <c r="N6075" t="s">
        <v>114</v>
      </c>
      <c r="O6075" t="s">
        <v>116</v>
      </c>
    </row>
    <row r="6076" spans="1:15" x14ac:dyDescent="0.3">
      <c r="A6076" s="130">
        <v>68101</v>
      </c>
      <c r="B6076" s="130">
        <v>60</v>
      </c>
      <c r="C6076" s="130" t="s">
        <v>7700</v>
      </c>
      <c r="D6076">
        <v>219</v>
      </c>
      <c r="E6076" s="130">
        <v>17185786</v>
      </c>
      <c r="F6076" t="s">
        <v>87</v>
      </c>
      <c r="G6076">
        <v>358</v>
      </c>
      <c r="H6076" t="s">
        <v>8953</v>
      </c>
      <c r="I6076" s="131">
        <v>2</v>
      </c>
      <c r="J6076" t="s">
        <v>7700</v>
      </c>
      <c r="K6076" t="s">
        <v>95</v>
      </c>
      <c r="L6076" t="s">
        <v>111</v>
      </c>
      <c r="M6076" t="s">
        <v>97</v>
      </c>
      <c r="N6076" t="s">
        <v>98</v>
      </c>
      <c r="O6076" t="s">
        <v>1345</v>
      </c>
    </row>
    <row r="6077" spans="1:15" x14ac:dyDescent="0.3">
      <c r="A6077" s="130">
        <v>68107</v>
      </c>
      <c r="B6077" s="130">
        <v>18</v>
      </c>
      <c r="C6077" s="130" t="s">
        <v>7701</v>
      </c>
      <c r="D6077">
        <v>220</v>
      </c>
      <c r="E6077" s="130">
        <v>4784802</v>
      </c>
      <c r="F6077" t="s">
        <v>87</v>
      </c>
      <c r="G6077">
        <v>78</v>
      </c>
      <c r="H6077" t="s">
        <v>8951</v>
      </c>
      <c r="I6077" s="131">
        <v>9</v>
      </c>
      <c r="J6077" t="s">
        <v>7701</v>
      </c>
      <c r="K6077" t="s">
        <v>108</v>
      </c>
      <c r="L6077" t="s">
        <v>105</v>
      </c>
      <c r="M6077" t="s">
        <v>112</v>
      </c>
      <c r="N6077" t="s">
        <v>122</v>
      </c>
      <c r="O6077" t="s">
        <v>116</v>
      </c>
    </row>
    <row r="6078" spans="1:15" x14ac:dyDescent="0.3">
      <c r="A6078" s="130">
        <v>68113</v>
      </c>
      <c r="B6078" s="130">
        <v>30</v>
      </c>
      <c r="C6078" s="130" t="s">
        <v>7702</v>
      </c>
      <c r="D6078">
        <v>221</v>
      </c>
      <c r="E6078" s="130">
        <v>15527906</v>
      </c>
      <c r="F6078" t="s">
        <v>87</v>
      </c>
      <c r="G6078">
        <v>78</v>
      </c>
      <c r="H6078" t="s">
        <v>8952</v>
      </c>
      <c r="I6078" s="131">
        <v>2</v>
      </c>
      <c r="J6078" t="s">
        <v>7702</v>
      </c>
      <c r="K6078" t="s">
        <v>95</v>
      </c>
      <c r="L6078" t="s">
        <v>193</v>
      </c>
      <c r="M6078" t="s">
        <v>103</v>
      </c>
      <c r="N6078" t="s">
        <v>118</v>
      </c>
      <c r="O6078" t="s">
        <v>116</v>
      </c>
    </row>
    <row r="6079" spans="1:15" x14ac:dyDescent="0.3">
      <c r="A6079" s="130">
        <v>68153</v>
      </c>
      <c r="B6079" s="130">
        <v>28</v>
      </c>
      <c r="C6079" s="130" t="s">
        <v>7703</v>
      </c>
      <c r="D6079">
        <v>222</v>
      </c>
      <c r="E6079" s="130">
        <v>7147444</v>
      </c>
      <c r="F6079" t="s">
        <v>87</v>
      </c>
      <c r="G6079">
        <v>78</v>
      </c>
      <c r="H6079" t="s">
        <v>8953</v>
      </c>
      <c r="I6079" s="131">
        <v>18</v>
      </c>
      <c r="J6079" t="s">
        <v>7703</v>
      </c>
      <c r="K6079" t="s">
        <v>95</v>
      </c>
      <c r="L6079" t="s">
        <v>123</v>
      </c>
      <c r="M6079" t="s">
        <v>130</v>
      </c>
      <c r="N6079" t="s">
        <v>98</v>
      </c>
      <c r="O6079" t="s">
        <v>116</v>
      </c>
    </row>
    <row r="6080" spans="1:15" x14ac:dyDescent="0.3">
      <c r="A6080" s="130">
        <v>68181</v>
      </c>
      <c r="B6080" s="130">
        <v>30</v>
      </c>
      <c r="C6080" s="130" t="s">
        <v>7704</v>
      </c>
      <c r="D6080">
        <v>223</v>
      </c>
      <c r="E6080" s="131">
        <v>4057495</v>
      </c>
      <c r="F6080" t="s">
        <v>87</v>
      </c>
      <c r="G6080">
        <v>78</v>
      </c>
      <c r="H6080" t="s">
        <v>8951</v>
      </c>
      <c r="I6080" s="130">
        <v>9</v>
      </c>
      <c r="J6080" t="s">
        <v>7704</v>
      </c>
      <c r="K6080" t="s">
        <v>95</v>
      </c>
      <c r="L6080" t="s">
        <v>111</v>
      </c>
      <c r="M6080" t="s">
        <v>103</v>
      </c>
      <c r="N6080" t="s">
        <v>101</v>
      </c>
      <c r="O6080" t="s">
        <v>116</v>
      </c>
    </row>
    <row r="6081" spans="1:15" x14ac:dyDescent="0.3">
      <c r="A6081" s="130">
        <v>68185</v>
      </c>
      <c r="B6081" s="130">
        <v>18</v>
      </c>
      <c r="C6081" s="130" t="s">
        <v>7705</v>
      </c>
      <c r="D6081">
        <v>224</v>
      </c>
      <c r="E6081" s="130">
        <v>22007721</v>
      </c>
      <c r="F6081" t="s">
        <v>87</v>
      </c>
      <c r="G6081">
        <v>78</v>
      </c>
      <c r="H6081" t="s">
        <v>8952</v>
      </c>
      <c r="I6081" s="130">
        <v>10</v>
      </c>
      <c r="J6081" t="s">
        <v>7705</v>
      </c>
      <c r="K6081" t="s">
        <v>108</v>
      </c>
      <c r="L6081" t="s">
        <v>127</v>
      </c>
      <c r="M6081" t="s">
        <v>112</v>
      </c>
      <c r="N6081" t="s">
        <v>101</v>
      </c>
      <c r="O6081" t="s">
        <v>1345</v>
      </c>
    </row>
    <row r="6082" spans="1:15" x14ac:dyDescent="0.3">
      <c r="A6082" s="130">
        <v>68189</v>
      </c>
      <c r="B6082" s="130">
        <v>28</v>
      </c>
      <c r="C6082" s="130" t="s">
        <v>7706</v>
      </c>
      <c r="D6082">
        <v>225</v>
      </c>
      <c r="E6082" s="131">
        <v>28763819</v>
      </c>
      <c r="F6082" t="s">
        <v>87</v>
      </c>
      <c r="G6082">
        <v>358</v>
      </c>
      <c r="H6082" t="s">
        <v>8953</v>
      </c>
      <c r="I6082" s="131">
        <v>2</v>
      </c>
      <c r="J6082" t="s">
        <v>7706</v>
      </c>
      <c r="K6082" t="s">
        <v>108</v>
      </c>
      <c r="L6082" t="s">
        <v>105</v>
      </c>
      <c r="M6082" t="s">
        <v>130</v>
      </c>
      <c r="N6082" t="s">
        <v>114</v>
      </c>
      <c r="O6082" t="s">
        <v>1345</v>
      </c>
    </row>
    <row r="6083" spans="1:15" x14ac:dyDescent="0.3">
      <c r="A6083" s="130">
        <v>68212</v>
      </c>
      <c r="B6083" s="130">
        <v>18</v>
      </c>
      <c r="C6083" s="130" t="s">
        <v>7707</v>
      </c>
      <c r="D6083">
        <v>226</v>
      </c>
      <c r="E6083" s="130">
        <v>9221470</v>
      </c>
      <c r="F6083" t="s">
        <v>87</v>
      </c>
      <c r="G6083">
        <v>78</v>
      </c>
      <c r="H6083" t="s">
        <v>8951</v>
      </c>
      <c r="I6083" s="130">
        <v>19</v>
      </c>
      <c r="J6083" t="s">
        <v>7707</v>
      </c>
      <c r="K6083" t="s">
        <v>108</v>
      </c>
      <c r="L6083" t="s">
        <v>146</v>
      </c>
      <c r="M6083" t="s">
        <v>112</v>
      </c>
      <c r="N6083" t="s">
        <v>98</v>
      </c>
      <c r="O6083" t="s">
        <v>116</v>
      </c>
    </row>
    <row r="6084" spans="1:15" x14ac:dyDescent="0.3">
      <c r="A6084" s="130">
        <v>68226</v>
      </c>
      <c r="B6084" s="130">
        <v>30</v>
      </c>
      <c r="C6084" s="130" t="s">
        <v>7708</v>
      </c>
      <c r="D6084">
        <v>227</v>
      </c>
      <c r="E6084" s="130">
        <v>21778678</v>
      </c>
      <c r="F6084" t="s">
        <v>87</v>
      </c>
      <c r="G6084">
        <v>78</v>
      </c>
      <c r="H6084" t="s">
        <v>8952</v>
      </c>
      <c r="I6084" s="131">
        <v>26</v>
      </c>
      <c r="J6084" t="s">
        <v>7708</v>
      </c>
      <c r="K6084" t="s">
        <v>95</v>
      </c>
      <c r="L6084" t="s">
        <v>151</v>
      </c>
      <c r="M6084" t="s">
        <v>103</v>
      </c>
      <c r="N6084" t="s">
        <v>118</v>
      </c>
      <c r="O6084" t="s">
        <v>1345</v>
      </c>
    </row>
    <row r="6085" spans="1:15" x14ac:dyDescent="0.3">
      <c r="A6085" s="130">
        <v>68238</v>
      </c>
      <c r="B6085" s="130">
        <v>28</v>
      </c>
      <c r="C6085" s="130" t="s">
        <v>7709</v>
      </c>
      <c r="D6085">
        <v>228</v>
      </c>
      <c r="E6085" s="130">
        <v>33112152</v>
      </c>
      <c r="F6085" t="s">
        <v>87</v>
      </c>
      <c r="G6085">
        <v>78</v>
      </c>
      <c r="H6085" t="s">
        <v>8953</v>
      </c>
      <c r="I6085" s="131">
        <v>10</v>
      </c>
      <c r="J6085" t="s">
        <v>7709</v>
      </c>
      <c r="K6085" t="s">
        <v>108</v>
      </c>
      <c r="L6085" t="s">
        <v>127</v>
      </c>
      <c r="M6085" t="s">
        <v>130</v>
      </c>
      <c r="N6085" t="s">
        <v>122</v>
      </c>
      <c r="O6085" t="s">
        <v>116</v>
      </c>
    </row>
    <row r="6086" spans="1:15" x14ac:dyDescent="0.3">
      <c r="A6086" s="130">
        <v>68255</v>
      </c>
      <c r="B6086" s="130">
        <v>18</v>
      </c>
      <c r="C6086" s="130" t="s">
        <v>7710</v>
      </c>
      <c r="D6086">
        <v>229</v>
      </c>
      <c r="E6086" s="131">
        <v>13045103</v>
      </c>
      <c r="F6086" t="s">
        <v>87</v>
      </c>
      <c r="G6086">
        <v>78</v>
      </c>
      <c r="H6086" t="s">
        <v>8951</v>
      </c>
      <c r="I6086" s="130">
        <v>9</v>
      </c>
      <c r="J6086" t="s">
        <v>7710</v>
      </c>
      <c r="K6086" t="s">
        <v>108</v>
      </c>
      <c r="L6086" t="s">
        <v>125</v>
      </c>
      <c r="M6086" t="s">
        <v>112</v>
      </c>
      <c r="N6086" t="s">
        <v>98</v>
      </c>
      <c r="O6086" t="s">
        <v>1345</v>
      </c>
    </row>
    <row r="6087" spans="1:15" x14ac:dyDescent="0.3">
      <c r="A6087" s="130">
        <v>68258</v>
      </c>
      <c r="B6087" s="130">
        <v>18</v>
      </c>
      <c r="C6087" s="130" t="s">
        <v>7711</v>
      </c>
      <c r="D6087">
        <v>230</v>
      </c>
      <c r="E6087" s="130">
        <v>11378558</v>
      </c>
      <c r="F6087" t="s">
        <v>87</v>
      </c>
      <c r="G6087">
        <v>78</v>
      </c>
      <c r="H6087" t="s">
        <v>8952</v>
      </c>
      <c r="I6087" s="131">
        <v>10</v>
      </c>
      <c r="J6087" t="s">
        <v>7711</v>
      </c>
      <c r="K6087" t="s">
        <v>108</v>
      </c>
      <c r="L6087" t="s">
        <v>127</v>
      </c>
      <c r="M6087" t="s">
        <v>112</v>
      </c>
      <c r="N6087" t="s">
        <v>124</v>
      </c>
      <c r="O6087" t="s">
        <v>116</v>
      </c>
    </row>
    <row r="6088" spans="1:15" x14ac:dyDescent="0.3">
      <c r="A6088" s="130">
        <v>68266</v>
      </c>
      <c r="B6088" s="130">
        <v>18</v>
      </c>
      <c r="C6088" s="130" t="s">
        <v>7712</v>
      </c>
      <c r="D6088">
        <v>231</v>
      </c>
      <c r="E6088" s="130">
        <v>9325670</v>
      </c>
      <c r="F6088" t="s">
        <v>87</v>
      </c>
      <c r="G6088">
        <v>358</v>
      </c>
      <c r="H6088" t="s">
        <v>8953</v>
      </c>
      <c r="I6088" s="130">
        <v>2</v>
      </c>
      <c r="J6088" t="s">
        <v>7712</v>
      </c>
      <c r="K6088" t="s">
        <v>108</v>
      </c>
      <c r="L6088" t="s">
        <v>109</v>
      </c>
      <c r="M6088" t="s">
        <v>112</v>
      </c>
      <c r="N6088" t="s">
        <v>118</v>
      </c>
      <c r="O6088" t="s">
        <v>116</v>
      </c>
    </row>
    <row r="6089" spans="1:15" x14ac:dyDescent="0.3">
      <c r="A6089" s="130">
        <v>68268</v>
      </c>
      <c r="B6089" s="130">
        <v>30</v>
      </c>
      <c r="C6089" s="130" t="s">
        <v>7713</v>
      </c>
      <c r="D6089">
        <v>232</v>
      </c>
      <c r="E6089" s="130">
        <v>4057495</v>
      </c>
      <c r="F6089" t="s">
        <v>87</v>
      </c>
      <c r="G6089">
        <v>78</v>
      </c>
      <c r="H6089" t="s">
        <v>8951</v>
      </c>
      <c r="I6089" s="130">
        <v>9</v>
      </c>
      <c r="J6089" t="s">
        <v>7713</v>
      </c>
      <c r="K6089" t="s">
        <v>95</v>
      </c>
      <c r="L6089" t="s">
        <v>125</v>
      </c>
      <c r="M6089" t="s">
        <v>103</v>
      </c>
      <c r="N6089" t="s">
        <v>101</v>
      </c>
      <c r="O6089" t="s">
        <v>116</v>
      </c>
    </row>
    <row r="6090" spans="1:15" x14ac:dyDescent="0.3">
      <c r="A6090" s="130">
        <v>68278</v>
      </c>
      <c r="B6090" s="130">
        <v>18</v>
      </c>
      <c r="C6090" s="130" t="s">
        <v>7714</v>
      </c>
      <c r="D6090">
        <v>233</v>
      </c>
      <c r="E6090" s="130">
        <v>5753843</v>
      </c>
      <c r="F6090" t="s">
        <v>87</v>
      </c>
      <c r="G6090">
        <v>78</v>
      </c>
      <c r="H6090" t="s">
        <v>8952</v>
      </c>
      <c r="I6090" s="130">
        <v>9</v>
      </c>
      <c r="J6090" t="s">
        <v>7714</v>
      </c>
      <c r="K6090" t="s">
        <v>108</v>
      </c>
      <c r="L6090" t="s">
        <v>125</v>
      </c>
      <c r="M6090" t="s">
        <v>112</v>
      </c>
      <c r="N6090" t="s">
        <v>98</v>
      </c>
      <c r="O6090" t="s">
        <v>1345</v>
      </c>
    </row>
    <row r="6091" spans="1:15" x14ac:dyDescent="0.3">
      <c r="A6091" s="130">
        <v>68337</v>
      </c>
      <c r="B6091" s="130">
        <v>60</v>
      </c>
      <c r="C6091" s="130" t="s">
        <v>7715</v>
      </c>
      <c r="D6091">
        <v>234</v>
      </c>
      <c r="E6091" s="130">
        <v>17227422</v>
      </c>
      <c r="F6091" t="s">
        <v>87</v>
      </c>
      <c r="G6091">
        <v>358</v>
      </c>
      <c r="H6091" t="s">
        <v>8953</v>
      </c>
      <c r="I6091" s="130">
        <v>2</v>
      </c>
      <c r="J6091" t="s">
        <v>7715</v>
      </c>
      <c r="K6091" t="s">
        <v>95</v>
      </c>
      <c r="L6091" t="s">
        <v>105</v>
      </c>
      <c r="M6091" t="s">
        <v>97</v>
      </c>
      <c r="N6091" t="s">
        <v>118</v>
      </c>
      <c r="O6091" t="s">
        <v>116</v>
      </c>
    </row>
    <row r="6092" spans="1:15" x14ac:dyDescent="0.3">
      <c r="A6092" s="130">
        <v>68349</v>
      </c>
      <c r="B6092" s="130">
        <v>30</v>
      </c>
      <c r="C6092" s="130" t="s">
        <v>7716</v>
      </c>
      <c r="D6092">
        <v>235</v>
      </c>
      <c r="E6092" s="130">
        <v>19330233</v>
      </c>
      <c r="F6092" t="s">
        <v>87</v>
      </c>
      <c r="G6092">
        <v>78</v>
      </c>
      <c r="H6092" t="s">
        <v>8951</v>
      </c>
      <c r="I6092" s="131">
        <v>18</v>
      </c>
      <c r="J6092" t="s">
        <v>7716</v>
      </c>
      <c r="K6092" t="s">
        <v>95</v>
      </c>
      <c r="L6092" t="s">
        <v>123</v>
      </c>
      <c r="M6092" t="s">
        <v>103</v>
      </c>
      <c r="N6092" t="s">
        <v>150</v>
      </c>
      <c r="O6092" t="s">
        <v>116</v>
      </c>
    </row>
    <row r="6093" spans="1:15" x14ac:dyDescent="0.3">
      <c r="A6093" s="130">
        <v>68377</v>
      </c>
      <c r="B6093" s="130">
        <v>18</v>
      </c>
      <c r="C6093" s="130" t="s">
        <v>7717</v>
      </c>
      <c r="D6093">
        <v>236</v>
      </c>
      <c r="E6093" s="131">
        <v>3887613</v>
      </c>
      <c r="F6093" t="s">
        <v>87</v>
      </c>
      <c r="G6093">
        <v>78</v>
      </c>
      <c r="H6093" t="s">
        <v>8952</v>
      </c>
      <c r="I6093" s="130">
        <v>10</v>
      </c>
      <c r="J6093" t="s">
        <v>7717</v>
      </c>
      <c r="K6093" t="s">
        <v>108</v>
      </c>
      <c r="L6093" t="s">
        <v>127</v>
      </c>
      <c r="M6093" t="s">
        <v>112</v>
      </c>
      <c r="N6093" t="s">
        <v>98</v>
      </c>
      <c r="O6093" t="s">
        <v>116</v>
      </c>
    </row>
    <row r="6094" spans="1:15" x14ac:dyDescent="0.3">
      <c r="A6094" s="130">
        <v>68387</v>
      </c>
      <c r="B6094" s="130">
        <v>18</v>
      </c>
      <c r="C6094" s="130" t="s">
        <v>7718</v>
      </c>
      <c r="D6094">
        <v>237</v>
      </c>
      <c r="E6094" s="131">
        <v>18459798</v>
      </c>
      <c r="F6094" t="s">
        <v>87</v>
      </c>
      <c r="G6094">
        <v>78</v>
      </c>
      <c r="H6094" t="s">
        <v>8953</v>
      </c>
      <c r="I6094" s="131">
        <v>26</v>
      </c>
      <c r="J6094" t="s">
        <v>7718</v>
      </c>
      <c r="K6094" t="s">
        <v>108</v>
      </c>
      <c r="L6094" t="s">
        <v>151</v>
      </c>
      <c r="M6094" t="s">
        <v>112</v>
      </c>
      <c r="N6094" t="s">
        <v>118</v>
      </c>
      <c r="O6094" t="s">
        <v>116</v>
      </c>
    </row>
    <row r="6095" spans="1:15" x14ac:dyDescent="0.3">
      <c r="A6095" s="130">
        <v>68396</v>
      </c>
      <c r="B6095" s="130">
        <v>18</v>
      </c>
      <c r="C6095" s="130" t="s">
        <v>7719</v>
      </c>
      <c r="D6095">
        <v>238</v>
      </c>
      <c r="E6095" s="130">
        <v>22745178</v>
      </c>
      <c r="F6095" t="s">
        <v>87</v>
      </c>
      <c r="G6095">
        <v>358</v>
      </c>
      <c r="H6095" t="s">
        <v>8951</v>
      </c>
      <c r="I6095" s="130">
        <v>2</v>
      </c>
      <c r="J6095" t="s">
        <v>7719</v>
      </c>
      <c r="K6095" t="s">
        <v>108</v>
      </c>
      <c r="L6095" t="s">
        <v>105</v>
      </c>
      <c r="M6095" t="s">
        <v>112</v>
      </c>
      <c r="N6095" t="s">
        <v>98</v>
      </c>
      <c r="O6095" t="s">
        <v>1345</v>
      </c>
    </row>
    <row r="6096" spans="1:15" x14ac:dyDescent="0.3">
      <c r="A6096" s="130">
        <v>68412</v>
      </c>
      <c r="B6096" s="130">
        <v>60</v>
      </c>
      <c r="C6096" s="130" t="s">
        <v>7720</v>
      </c>
      <c r="D6096">
        <v>239</v>
      </c>
      <c r="E6096" s="130">
        <v>33592510</v>
      </c>
      <c r="F6096" t="s">
        <v>87</v>
      </c>
      <c r="G6096">
        <v>77</v>
      </c>
      <c r="H6096" t="s">
        <v>8952</v>
      </c>
      <c r="I6096" s="130">
        <v>2</v>
      </c>
      <c r="J6096" t="s">
        <v>7720</v>
      </c>
      <c r="K6096" t="s">
        <v>95</v>
      </c>
      <c r="L6096" t="s">
        <v>256</v>
      </c>
      <c r="M6096" t="s">
        <v>97</v>
      </c>
      <c r="N6096" t="s">
        <v>118</v>
      </c>
      <c r="O6096" t="s">
        <v>116</v>
      </c>
    </row>
    <row r="6097" spans="1:15" x14ac:dyDescent="0.3">
      <c r="A6097" s="130">
        <v>68413</v>
      </c>
      <c r="B6097" s="130">
        <v>18</v>
      </c>
      <c r="C6097" s="130" t="s">
        <v>7721</v>
      </c>
      <c r="D6097">
        <v>240</v>
      </c>
      <c r="E6097" s="131">
        <v>8929748</v>
      </c>
      <c r="F6097" t="s">
        <v>87</v>
      </c>
      <c r="G6097">
        <v>78</v>
      </c>
      <c r="H6097" t="s">
        <v>8953</v>
      </c>
      <c r="I6097" s="130">
        <v>19</v>
      </c>
      <c r="J6097" t="s">
        <v>7721</v>
      </c>
      <c r="K6097" t="s">
        <v>108</v>
      </c>
      <c r="L6097" t="s">
        <v>146</v>
      </c>
      <c r="M6097" t="s">
        <v>112</v>
      </c>
      <c r="N6097" t="s">
        <v>114</v>
      </c>
      <c r="O6097" t="s">
        <v>1345</v>
      </c>
    </row>
    <row r="6098" spans="1:15" x14ac:dyDescent="0.3">
      <c r="A6098" s="130">
        <v>68414</v>
      </c>
      <c r="B6098" s="130">
        <v>18</v>
      </c>
      <c r="C6098" s="130" t="s">
        <v>7722</v>
      </c>
      <c r="D6098">
        <v>241</v>
      </c>
      <c r="E6098" s="131">
        <v>8929748</v>
      </c>
      <c r="F6098" t="s">
        <v>87</v>
      </c>
      <c r="G6098">
        <v>78</v>
      </c>
      <c r="H6098" t="s">
        <v>8951</v>
      </c>
      <c r="I6098" s="130">
        <v>19</v>
      </c>
      <c r="J6098" t="s">
        <v>7722</v>
      </c>
      <c r="K6098" t="s">
        <v>108</v>
      </c>
      <c r="L6098" t="s">
        <v>146</v>
      </c>
      <c r="M6098" t="s">
        <v>112</v>
      </c>
      <c r="N6098" t="s">
        <v>114</v>
      </c>
      <c r="O6098" t="s">
        <v>116</v>
      </c>
    </row>
    <row r="6099" spans="1:15" x14ac:dyDescent="0.3">
      <c r="A6099" s="130">
        <v>68433</v>
      </c>
      <c r="B6099" s="130">
        <v>45</v>
      </c>
      <c r="C6099" s="130" t="s">
        <v>7723</v>
      </c>
      <c r="D6099">
        <v>242</v>
      </c>
      <c r="E6099" s="131">
        <v>25349440</v>
      </c>
      <c r="F6099" t="s">
        <v>87</v>
      </c>
      <c r="G6099">
        <v>358</v>
      </c>
      <c r="H6099" t="s">
        <v>8952</v>
      </c>
      <c r="I6099" s="131">
        <v>2</v>
      </c>
      <c r="J6099" t="s">
        <v>7723</v>
      </c>
      <c r="K6099" t="s">
        <v>95</v>
      </c>
      <c r="L6099" t="s">
        <v>109</v>
      </c>
      <c r="M6099" t="s">
        <v>106</v>
      </c>
      <c r="N6099" t="s">
        <v>98</v>
      </c>
      <c r="O6099" t="s">
        <v>116</v>
      </c>
    </row>
    <row r="6100" spans="1:15" x14ac:dyDescent="0.3">
      <c r="A6100" s="130">
        <v>68448</v>
      </c>
      <c r="B6100" s="130">
        <v>60</v>
      </c>
      <c r="C6100" s="130" t="s">
        <v>7724</v>
      </c>
      <c r="D6100">
        <v>243</v>
      </c>
      <c r="E6100" s="130">
        <v>33500609</v>
      </c>
      <c r="F6100" t="s">
        <v>87</v>
      </c>
      <c r="G6100">
        <v>78</v>
      </c>
      <c r="H6100" t="s">
        <v>8953</v>
      </c>
      <c r="I6100" s="131">
        <v>2</v>
      </c>
      <c r="J6100" t="s">
        <v>7724</v>
      </c>
      <c r="K6100" t="s">
        <v>95</v>
      </c>
      <c r="L6100" t="s">
        <v>99</v>
      </c>
      <c r="M6100" t="s">
        <v>97</v>
      </c>
      <c r="N6100" t="s">
        <v>98</v>
      </c>
      <c r="O6100" t="s">
        <v>1345</v>
      </c>
    </row>
    <row r="6101" spans="1:15" x14ac:dyDescent="0.3">
      <c r="A6101" s="130">
        <v>68487</v>
      </c>
      <c r="B6101" s="130">
        <v>18</v>
      </c>
      <c r="C6101" s="130" t="s">
        <v>7725</v>
      </c>
      <c r="D6101">
        <v>244</v>
      </c>
      <c r="E6101" s="130">
        <v>369633</v>
      </c>
      <c r="F6101" t="s">
        <v>87</v>
      </c>
      <c r="G6101">
        <v>78</v>
      </c>
      <c r="H6101" t="s">
        <v>8951</v>
      </c>
      <c r="I6101" s="130">
        <v>18</v>
      </c>
      <c r="J6101" t="s">
        <v>7725</v>
      </c>
      <c r="K6101" t="s">
        <v>108</v>
      </c>
      <c r="L6101" t="s">
        <v>123</v>
      </c>
      <c r="M6101" t="s">
        <v>112</v>
      </c>
      <c r="N6101" t="s">
        <v>101</v>
      </c>
      <c r="O6101" t="s">
        <v>1345</v>
      </c>
    </row>
    <row r="6102" spans="1:15" x14ac:dyDescent="0.3">
      <c r="A6102" s="130">
        <v>68510</v>
      </c>
      <c r="B6102" s="130">
        <v>30</v>
      </c>
      <c r="C6102" s="130" t="s">
        <v>7726</v>
      </c>
      <c r="D6102">
        <v>245</v>
      </c>
      <c r="E6102" s="130">
        <v>2102318</v>
      </c>
      <c r="F6102" t="s">
        <v>87</v>
      </c>
      <c r="G6102">
        <v>78</v>
      </c>
      <c r="H6102" t="s">
        <v>8952</v>
      </c>
      <c r="I6102" s="130">
        <v>10</v>
      </c>
      <c r="J6102" t="s">
        <v>7726</v>
      </c>
      <c r="K6102" t="s">
        <v>95</v>
      </c>
      <c r="L6102" t="s">
        <v>127</v>
      </c>
      <c r="M6102" t="s">
        <v>103</v>
      </c>
      <c r="N6102" t="s">
        <v>101</v>
      </c>
      <c r="O6102" t="s">
        <v>116</v>
      </c>
    </row>
    <row r="6103" spans="1:15" x14ac:dyDescent="0.3">
      <c r="A6103" s="130">
        <v>68516</v>
      </c>
      <c r="B6103" s="130">
        <v>28</v>
      </c>
      <c r="C6103" s="130" t="s">
        <v>7727</v>
      </c>
      <c r="D6103">
        <v>246</v>
      </c>
      <c r="E6103" s="130">
        <v>10417140</v>
      </c>
      <c r="F6103" t="s">
        <v>87</v>
      </c>
      <c r="G6103">
        <v>358</v>
      </c>
      <c r="H6103" t="s">
        <v>8953</v>
      </c>
      <c r="I6103" s="130">
        <v>18</v>
      </c>
      <c r="J6103" t="s">
        <v>7727</v>
      </c>
      <c r="K6103" t="s">
        <v>95</v>
      </c>
      <c r="L6103" t="s">
        <v>99</v>
      </c>
      <c r="M6103" t="s">
        <v>130</v>
      </c>
      <c r="N6103" t="s">
        <v>150</v>
      </c>
      <c r="O6103" t="s">
        <v>1345</v>
      </c>
    </row>
    <row r="6104" spans="1:15" x14ac:dyDescent="0.3">
      <c r="A6104" s="130">
        <v>68532</v>
      </c>
      <c r="B6104" s="130" t="s">
        <v>135</v>
      </c>
      <c r="C6104" s="130" t="s">
        <v>7728</v>
      </c>
      <c r="D6104">
        <v>247</v>
      </c>
      <c r="E6104" s="130">
        <v>83646547</v>
      </c>
      <c r="F6104" t="s">
        <v>87</v>
      </c>
      <c r="G6104">
        <v>358</v>
      </c>
      <c r="H6104" t="s">
        <v>8951</v>
      </c>
      <c r="I6104" s="130">
        <v>10</v>
      </c>
      <c r="J6104" t="s">
        <v>7728</v>
      </c>
      <c r="K6104" t="s">
        <v>95</v>
      </c>
      <c r="L6104" t="s">
        <v>105</v>
      </c>
      <c r="M6104" t="s">
        <v>136</v>
      </c>
      <c r="N6104" t="s">
        <v>114</v>
      </c>
      <c r="O6104" t="s">
        <v>116</v>
      </c>
    </row>
    <row r="6105" spans="1:15" x14ac:dyDescent="0.3">
      <c r="A6105" s="130">
        <v>68560</v>
      </c>
      <c r="B6105" s="130">
        <v>18</v>
      </c>
      <c r="C6105" s="130" t="s">
        <v>7729</v>
      </c>
      <c r="D6105">
        <v>248</v>
      </c>
      <c r="E6105" s="130">
        <v>73305997</v>
      </c>
      <c r="F6105" t="s">
        <v>87</v>
      </c>
      <c r="G6105">
        <v>358</v>
      </c>
      <c r="H6105" t="s">
        <v>8952</v>
      </c>
      <c r="I6105" s="130">
        <v>24</v>
      </c>
      <c r="J6105" t="s">
        <v>7729</v>
      </c>
      <c r="K6105" t="s">
        <v>95</v>
      </c>
      <c r="L6105" t="s">
        <v>105</v>
      </c>
      <c r="M6105" t="s">
        <v>112</v>
      </c>
      <c r="N6105" t="s">
        <v>101</v>
      </c>
      <c r="O6105" t="s">
        <v>1345</v>
      </c>
    </row>
    <row r="6106" spans="1:15" x14ac:dyDescent="0.3">
      <c r="A6106" s="130">
        <v>68562</v>
      </c>
      <c r="B6106" s="130">
        <v>30</v>
      </c>
      <c r="C6106" s="130" t="s">
        <v>7730</v>
      </c>
      <c r="D6106">
        <v>249</v>
      </c>
      <c r="E6106" s="130">
        <v>91894774</v>
      </c>
      <c r="F6106" t="s">
        <v>87</v>
      </c>
      <c r="G6106">
        <v>77</v>
      </c>
      <c r="H6106" t="s">
        <v>8953</v>
      </c>
      <c r="I6106" s="131">
        <v>19</v>
      </c>
      <c r="J6106" t="s">
        <v>7730</v>
      </c>
      <c r="K6106" t="s">
        <v>95</v>
      </c>
      <c r="L6106" t="s">
        <v>117</v>
      </c>
      <c r="M6106" t="s">
        <v>103</v>
      </c>
      <c r="N6106" t="s">
        <v>98</v>
      </c>
      <c r="O6106" t="s">
        <v>1345</v>
      </c>
    </row>
    <row r="6107" spans="1:15" x14ac:dyDescent="0.3">
      <c r="A6107" s="130">
        <v>68570</v>
      </c>
      <c r="B6107" s="130">
        <v>28</v>
      </c>
      <c r="C6107" s="130" t="s">
        <v>7731</v>
      </c>
      <c r="D6107">
        <v>250</v>
      </c>
      <c r="E6107" s="131">
        <v>29060647</v>
      </c>
      <c r="F6107" t="s">
        <v>87</v>
      </c>
      <c r="G6107">
        <v>78</v>
      </c>
      <c r="H6107" t="s">
        <v>8951</v>
      </c>
      <c r="I6107" s="130">
        <v>26</v>
      </c>
      <c r="J6107" t="s">
        <v>7731</v>
      </c>
      <c r="K6107" t="s">
        <v>108</v>
      </c>
      <c r="L6107" t="s">
        <v>151</v>
      </c>
      <c r="M6107" t="s">
        <v>130</v>
      </c>
      <c r="N6107" t="s">
        <v>98</v>
      </c>
      <c r="O6107" t="s">
        <v>116</v>
      </c>
    </row>
    <row r="6108" spans="1:15" x14ac:dyDescent="0.3">
      <c r="A6108" s="130">
        <v>68579</v>
      </c>
      <c r="B6108" s="130">
        <v>18</v>
      </c>
      <c r="C6108" s="130" t="s">
        <v>7732</v>
      </c>
      <c r="D6108">
        <v>251</v>
      </c>
      <c r="E6108" s="130">
        <v>1595865</v>
      </c>
      <c r="F6108" t="s">
        <v>87</v>
      </c>
      <c r="G6108">
        <v>78</v>
      </c>
      <c r="H6108" t="s">
        <v>8952</v>
      </c>
      <c r="I6108" s="130">
        <v>9</v>
      </c>
      <c r="J6108" t="s">
        <v>7732</v>
      </c>
      <c r="K6108" t="s">
        <v>108</v>
      </c>
      <c r="L6108" t="s">
        <v>163</v>
      </c>
      <c r="M6108" t="s">
        <v>112</v>
      </c>
      <c r="N6108" t="s">
        <v>114</v>
      </c>
      <c r="O6108" t="s">
        <v>1345</v>
      </c>
    </row>
    <row r="6109" spans="1:15" x14ac:dyDescent="0.3">
      <c r="A6109" s="130">
        <v>68599</v>
      </c>
      <c r="B6109" s="130">
        <v>28</v>
      </c>
      <c r="C6109" s="130" t="s">
        <v>7733</v>
      </c>
      <c r="D6109">
        <v>252</v>
      </c>
      <c r="E6109" s="130">
        <v>2283886</v>
      </c>
      <c r="F6109" t="s">
        <v>87</v>
      </c>
      <c r="G6109">
        <v>358</v>
      </c>
      <c r="H6109" t="s">
        <v>8953</v>
      </c>
      <c r="I6109" s="131">
        <v>24</v>
      </c>
      <c r="J6109" t="s">
        <v>7733</v>
      </c>
      <c r="K6109" t="s">
        <v>108</v>
      </c>
      <c r="L6109" t="s">
        <v>109</v>
      </c>
      <c r="M6109" t="s">
        <v>130</v>
      </c>
      <c r="N6109" t="s">
        <v>101</v>
      </c>
      <c r="O6109" t="s">
        <v>1345</v>
      </c>
    </row>
    <row r="6110" spans="1:15" x14ac:dyDescent="0.3">
      <c r="A6110" s="130">
        <v>68616</v>
      </c>
      <c r="B6110" s="130">
        <v>18</v>
      </c>
      <c r="C6110" s="130" t="s">
        <v>7734</v>
      </c>
      <c r="D6110">
        <v>253</v>
      </c>
      <c r="E6110" s="130">
        <v>5451102</v>
      </c>
      <c r="F6110" t="s">
        <v>87</v>
      </c>
      <c r="G6110">
        <v>78</v>
      </c>
      <c r="H6110" t="s">
        <v>8951</v>
      </c>
      <c r="I6110" s="130">
        <v>18</v>
      </c>
      <c r="J6110" t="s">
        <v>7734</v>
      </c>
      <c r="K6110" t="s">
        <v>108</v>
      </c>
      <c r="L6110" t="s">
        <v>123</v>
      </c>
      <c r="M6110" t="s">
        <v>112</v>
      </c>
      <c r="N6110" t="s">
        <v>98</v>
      </c>
      <c r="O6110" t="s">
        <v>1345</v>
      </c>
    </row>
    <row r="6111" spans="1:15" x14ac:dyDescent="0.3">
      <c r="A6111" s="130">
        <v>68622</v>
      </c>
      <c r="B6111" s="130">
        <v>10</v>
      </c>
      <c r="C6111" s="130" t="s">
        <v>7735</v>
      </c>
      <c r="D6111">
        <v>254</v>
      </c>
      <c r="E6111" s="131">
        <v>5675750</v>
      </c>
      <c r="F6111" t="s">
        <v>87</v>
      </c>
      <c r="G6111">
        <v>358</v>
      </c>
      <c r="H6111" t="s">
        <v>8952</v>
      </c>
      <c r="I6111" s="130">
        <v>26</v>
      </c>
      <c r="J6111" t="s">
        <v>7735</v>
      </c>
      <c r="K6111" t="s">
        <v>95</v>
      </c>
      <c r="L6111" t="s">
        <v>99</v>
      </c>
      <c r="M6111" t="s">
        <v>133</v>
      </c>
      <c r="N6111" t="s">
        <v>132</v>
      </c>
      <c r="O6111" t="s">
        <v>1345</v>
      </c>
    </row>
    <row r="6112" spans="1:15" x14ac:dyDescent="0.3">
      <c r="A6112" s="130">
        <v>68648</v>
      </c>
      <c r="B6112" s="130">
        <v>18</v>
      </c>
      <c r="C6112" s="130" t="s">
        <v>7736</v>
      </c>
      <c r="D6112">
        <v>255</v>
      </c>
      <c r="E6112" s="130">
        <v>17090600</v>
      </c>
      <c r="F6112" t="s">
        <v>87</v>
      </c>
      <c r="G6112">
        <v>78</v>
      </c>
      <c r="H6112" t="s">
        <v>8953</v>
      </c>
      <c r="I6112" s="131">
        <v>19</v>
      </c>
      <c r="J6112" t="s">
        <v>7736</v>
      </c>
      <c r="K6112" t="s">
        <v>95</v>
      </c>
      <c r="L6112" t="s">
        <v>146</v>
      </c>
      <c r="M6112" t="s">
        <v>112</v>
      </c>
      <c r="N6112" t="s">
        <v>216</v>
      </c>
      <c r="O6112" t="s">
        <v>1345</v>
      </c>
    </row>
    <row r="6113" spans="1:15" x14ac:dyDescent="0.3">
      <c r="A6113" s="130">
        <v>68671</v>
      </c>
      <c r="B6113" s="130">
        <v>18</v>
      </c>
      <c r="C6113" s="130" t="s">
        <v>7737</v>
      </c>
      <c r="D6113">
        <v>256</v>
      </c>
      <c r="E6113" s="130">
        <v>17133361</v>
      </c>
      <c r="F6113" t="s">
        <v>87</v>
      </c>
      <c r="G6113">
        <v>358</v>
      </c>
      <c r="H6113" t="s">
        <v>8951</v>
      </c>
      <c r="I6113" s="130">
        <v>2</v>
      </c>
      <c r="J6113" t="s">
        <v>7737</v>
      </c>
      <c r="K6113" t="s">
        <v>108</v>
      </c>
      <c r="L6113" t="s">
        <v>105</v>
      </c>
      <c r="M6113" t="s">
        <v>112</v>
      </c>
      <c r="N6113" t="s">
        <v>152</v>
      </c>
      <c r="O6113" t="s">
        <v>1345</v>
      </c>
    </row>
    <row r="6114" spans="1:15" x14ac:dyDescent="0.3">
      <c r="A6114" s="130">
        <v>68709</v>
      </c>
      <c r="B6114" s="130">
        <v>30</v>
      </c>
      <c r="C6114" s="130" t="s">
        <v>7738</v>
      </c>
      <c r="D6114">
        <v>258</v>
      </c>
      <c r="E6114" s="130">
        <v>9360928</v>
      </c>
      <c r="F6114" t="s">
        <v>87</v>
      </c>
      <c r="G6114">
        <v>78</v>
      </c>
      <c r="H6114" t="s">
        <v>8952</v>
      </c>
      <c r="I6114" s="130">
        <v>26</v>
      </c>
      <c r="J6114" t="s">
        <v>7738</v>
      </c>
      <c r="K6114" t="s">
        <v>108</v>
      </c>
      <c r="L6114" t="s">
        <v>151</v>
      </c>
      <c r="M6114" t="s">
        <v>103</v>
      </c>
      <c r="N6114" t="s">
        <v>101</v>
      </c>
      <c r="O6114" t="s">
        <v>116</v>
      </c>
    </row>
    <row r="6115" spans="1:15" x14ac:dyDescent="0.3">
      <c r="A6115" s="130">
        <v>68710</v>
      </c>
      <c r="B6115" s="130">
        <v>18</v>
      </c>
      <c r="C6115" s="130" t="s">
        <v>7739</v>
      </c>
      <c r="D6115">
        <v>259</v>
      </c>
      <c r="E6115" s="130">
        <v>13986249</v>
      </c>
      <c r="F6115" t="s">
        <v>87</v>
      </c>
      <c r="G6115">
        <v>78</v>
      </c>
      <c r="H6115" t="s">
        <v>8953</v>
      </c>
      <c r="I6115" s="130">
        <v>9</v>
      </c>
      <c r="J6115" t="s">
        <v>7739</v>
      </c>
      <c r="K6115" t="s">
        <v>95</v>
      </c>
      <c r="L6115" t="s">
        <v>125</v>
      </c>
      <c r="M6115" t="s">
        <v>112</v>
      </c>
      <c r="N6115" t="s">
        <v>98</v>
      </c>
      <c r="O6115" t="s">
        <v>116</v>
      </c>
    </row>
    <row r="6116" spans="1:15" x14ac:dyDescent="0.3">
      <c r="A6116" s="130">
        <v>68711</v>
      </c>
      <c r="B6116" s="130">
        <v>18</v>
      </c>
      <c r="C6116" s="130" t="s">
        <v>7740</v>
      </c>
      <c r="D6116">
        <v>260</v>
      </c>
      <c r="E6116" s="130">
        <v>5451496</v>
      </c>
      <c r="F6116" t="s">
        <v>87</v>
      </c>
      <c r="G6116">
        <v>358</v>
      </c>
      <c r="H6116" t="s">
        <v>8951</v>
      </c>
      <c r="I6116" s="131">
        <v>2</v>
      </c>
      <c r="J6116" t="s">
        <v>7740</v>
      </c>
      <c r="K6116" t="s">
        <v>95</v>
      </c>
      <c r="L6116" t="s">
        <v>111</v>
      </c>
      <c r="M6116" t="s">
        <v>112</v>
      </c>
      <c r="N6116" t="s">
        <v>101</v>
      </c>
      <c r="O6116" t="s">
        <v>116</v>
      </c>
    </row>
    <row r="6117" spans="1:15" x14ac:dyDescent="0.3">
      <c r="A6117" s="130">
        <v>68713</v>
      </c>
      <c r="B6117" s="130">
        <v>30</v>
      </c>
      <c r="C6117" s="130" t="s">
        <v>7741</v>
      </c>
      <c r="D6117">
        <v>261</v>
      </c>
      <c r="E6117" s="131">
        <v>183256</v>
      </c>
      <c r="F6117" t="s">
        <v>87</v>
      </c>
      <c r="G6117">
        <v>78</v>
      </c>
      <c r="H6117" t="s">
        <v>8952</v>
      </c>
      <c r="I6117" s="130">
        <v>9</v>
      </c>
      <c r="J6117" t="s">
        <v>7741</v>
      </c>
      <c r="K6117" t="s">
        <v>95</v>
      </c>
      <c r="L6117" t="s">
        <v>125</v>
      </c>
      <c r="M6117" t="s">
        <v>103</v>
      </c>
      <c r="N6117" t="s">
        <v>114</v>
      </c>
      <c r="O6117" t="s">
        <v>1345</v>
      </c>
    </row>
    <row r="6118" spans="1:15" x14ac:dyDescent="0.3">
      <c r="A6118" s="130">
        <v>68718</v>
      </c>
      <c r="B6118" s="130">
        <v>30</v>
      </c>
      <c r="C6118" s="130" t="s">
        <v>7742</v>
      </c>
      <c r="D6118">
        <v>262</v>
      </c>
      <c r="E6118" s="130">
        <v>17164435</v>
      </c>
      <c r="F6118" t="s">
        <v>87</v>
      </c>
      <c r="G6118">
        <v>358</v>
      </c>
      <c r="H6118" t="s">
        <v>8953</v>
      </c>
      <c r="I6118" s="130">
        <v>2</v>
      </c>
      <c r="J6118" t="s">
        <v>7742</v>
      </c>
      <c r="K6118" t="s">
        <v>95</v>
      </c>
      <c r="L6118" t="s">
        <v>109</v>
      </c>
      <c r="M6118" t="s">
        <v>103</v>
      </c>
      <c r="N6118" t="s">
        <v>98</v>
      </c>
      <c r="O6118" t="s">
        <v>1345</v>
      </c>
    </row>
    <row r="6119" spans="1:15" x14ac:dyDescent="0.3">
      <c r="A6119" s="130">
        <v>68728</v>
      </c>
      <c r="B6119" s="130">
        <v>30</v>
      </c>
      <c r="C6119" s="130" t="s">
        <v>7743</v>
      </c>
      <c r="D6119">
        <v>263</v>
      </c>
      <c r="E6119" s="131">
        <v>4060779</v>
      </c>
      <c r="F6119" t="s">
        <v>87</v>
      </c>
      <c r="G6119">
        <v>358</v>
      </c>
      <c r="H6119" t="s">
        <v>8951</v>
      </c>
      <c r="I6119" s="131">
        <v>2</v>
      </c>
      <c r="J6119" t="s">
        <v>7743</v>
      </c>
      <c r="K6119" t="s">
        <v>95</v>
      </c>
      <c r="L6119" t="s">
        <v>111</v>
      </c>
      <c r="M6119" t="s">
        <v>103</v>
      </c>
      <c r="N6119" t="s">
        <v>98</v>
      </c>
      <c r="O6119" t="s">
        <v>116</v>
      </c>
    </row>
    <row r="6120" spans="1:15" x14ac:dyDescent="0.3">
      <c r="A6120" s="130">
        <v>68730</v>
      </c>
      <c r="B6120" s="130">
        <v>45</v>
      </c>
      <c r="C6120" s="130" t="s">
        <v>7744</v>
      </c>
      <c r="D6120">
        <v>264</v>
      </c>
      <c r="E6120" s="131">
        <v>13812133</v>
      </c>
      <c r="F6120" t="s">
        <v>87</v>
      </c>
      <c r="G6120">
        <v>358</v>
      </c>
      <c r="H6120" t="s">
        <v>8952</v>
      </c>
      <c r="I6120" s="130">
        <v>26</v>
      </c>
      <c r="J6120" t="s">
        <v>7744</v>
      </c>
      <c r="K6120" t="s">
        <v>108</v>
      </c>
      <c r="L6120" t="s">
        <v>111</v>
      </c>
      <c r="M6120" t="s">
        <v>106</v>
      </c>
      <c r="N6120" t="s">
        <v>114</v>
      </c>
      <c r="O6120" t="s">
        <v>116</v>
      </c>
    </row>
    <row r="6121" spans="1:15" x14ac:dyDescent="0.3">
      <c r="A6121" s="130">
        <v>68736</v>
      </c>
      <c r="B6121" s="130">
        <v>18</v>
      </c>
      <c r="C6121" s="130" t="s">
        <v>7745</v>
      </c>
      <c r="D6121">
        <v>265</v>
      </c>
      <c r="E6121" s="130">
        <v>15289780</v>
      </c>
      <c r="F6121" t="s">
        <v>87</v>
      </c>
      <c r="G6121">
        <v>358</v>
      </c>
      <c r="H6121" t="s">
        <v>8953</v>
      </c>
      <c r="I6121" s="130">
        <v>18</v>
      </c>
      <c r="J6121" t="s">
        <v>7745</v>
      </c>
      <c r="K6121" t="s">
        <v>95</v>
      </c>
      <c r="L6121" t="s">
        <v>123</v>
      </c>
      <c r="M6121" t="s">
        <v>112</v>
      </c>
      <c r="N6121" t="s">
        <v>114</v>
      </c>
      <c r="O6121" t="s">
        <v>116</v>
      </c>
    </row>
    <row r="6122" spans="1:15" x14ac:dyDescent="0.3">
      <c r="A6122" s="130">
        <v>68757</v>
      </c>
      <c r="B6122" s="130">
        <v>30</v>
      </c>
      <c r="C6122" s="130" t="s">
        <v>7746</v>
      </c>
      <c r="D6122">
        <v>266</v>
      </c>
      <c r="E6122" s="130">
        <v>5451496</v>
      </c>
      <c r="F6122" t="s">
        <v>87</v>
      </c>
      <c r="G6122">
        <v>358</v>
      </c>
      <c r="H6122" t="s">
        <v>8951</v>
      </c>
      <c r="I6122" s="131">
        <v>2</v>
      </c>
      <c r="J6122" t="s">
        <v>7746</v>
      </c>
      <c r="K6122" t="s">
        <v>95</v>
      </c>
      <c r="L6122" t="s">
        <v>111</v>
      </c>
      <c r="M6122" t="s">
        <v>103</v>
      </c>
      <c r="N6122" t="s">
        <v>101</v>
      </c>
      <c r="O6122" t="s">
        <v>1345</v>
      </c>
    </row>
    <row r="6123" spans="1:15" x14ac:dyDescent="0.3">
      <c r="A6123" s="130">
        <v>68775</v>
      </c>
      <c r="B6123" s="130">
        <v>35</v>
      </c>
      <c r="C6123" s="130" t="s">
        <v>7747</v>
      </c>
      <c r="D6123">
        <v>267</v>
      </c>
      <c r="E6123" s="130">
        <v>3992929</v>
      </c>
      <c r="F6123" t="s">
        <v>87</v>
      </c>
      <c r="G6123">
        <v>78</v>
      </c>
      <c r="H6123" t="s">
        <v>8952</v>
      </c>
      <c r="I6123" s="131">
        <v>9</v>
      </c>
      <c r="J6123" t="s">
        <v>7747</v>
      </c>
      <c r="K6123" t="s">
        <v>95</v>
      </c>
      <c r="L6123" t="s">
        <v>125</v>
      </c>
      <c r="M6123" t="s">
        <v>161</v>
      </c>
      <c r="N6123" t="s">
        <v>98</v>
      </c>
      <c r="O6123" t="s">
        <v>1345</v>
      </c>
    </row>
    <row r="6124" spans="1:15" x14ac:dyDescent="0.3">
      <c r="A6124" s="130">
        <v>68776</v>
      </c>
      <c r="B6124" s="130">
        <v>18</v>
      </c>
      <c r="C6124" s="130" t="s">
        <v>7748</v>
      </c>
      <c r="D6124">
        <v>268</v>
      </c>
      <c r="E6124" s="130">
        <v>61322558</v>
      </c>
      <c r="F6124" t="s">
        <v>87</v>
      </c>
      <c r="G6124">
        <v>358</v>
      </c>
      <c r="H6124" t="s">
        <v>8953</v>
      </c>
      <c r="I6124" s="130">
        <v>24</v>
      </c>
      <c r="J6124" t="s">
        <v>7748</v>
      </c>
      <c r="K6124" t="s">
        <v>108</v>
      </c>
      <c r="L6124" t="s">
        <v>191</v>
      </c>
      <c r="M6124" t="s">
        <v>112</v>
      </c>
      <c r="N6124" t="s">
        <v>98</v>
      </c>
      <c r="O6124" t="s">
        <v>116</v>
      </c>
    </row>
    <row r="6125" spans="1:15" x14ac:dyDescent="0.3">
      <c r="A6125" s="130">
        <v>68792</v>
      </c>
      <c r="B6125" s="130">
        <v>30</v>
      </c>
      <c r="C6125" s="130" t="s">
        <v>7749</v>
      </c>
      <c r="D6125">
        <v>269</v>
      </c>
      <c r="E6125" s="130">
        <v>18715383</v>
      </c>
      <c r="F6125" t="s">
        <v>87</v>
      </c>
      <c r="G6125">
        <v>77</v>
      </c>
      <c r="H6125" t="s">
        <v>8951</v>
      </c>
      <c r="I6125" s="130">
        <v>2</v>
      </c>
      <c r="J6125" t="s">
        <v>7749</v>
      </c>
      <c r="K6125" t="s">
        <v>95</v>
      </c>
      <c r="L6125" t="s">
        <v>117</v>
      </c>
      <c r="M6125" t="s">
        <v>103</v>
      </c>
      <c r="N6125" t="s">
        <v>131</v>
      </c>
      <c r="O6125" t="s">
        <v>116</v>
      </c>
    </row>
    <row r="6126" spans="1:15" x14ac:dyDescent="0.3">
      <c r="A6126" s="130">
        <v>68833</v>
      </c>
      <c r="B6126" s="130">
        <v>30</v>
      </c>
      <c r="C6126" s="130" t="s">
        <v>7750</v>
      </c>
      <c r="D6126">
        <v>271</v>
      </c>
      <c r="E6126" s="131">
        <v>41857780</v>
      </c>
      <c r="F6126" t="s">
        <v>87</v>
      </c>
      <c r="G6126">
        <v>78</v>
      </c>
      <c r="H6126" t="s">
        <v>8952</v>
      </c>
      <c r="I6126" s="130">
        <v>10</v>
      </c>
      <c r="J6126" t="s">
        <v>7750</v>
      </c>
      <c r="K6126" t="s">
        <v>108</v>
      </c>
      <c r="L6126" t="s">
        <v>127</v>
      </c>
      <c r="M6126" t="s">
        <v>103</v>
      </c>
      <c r="N6126" t="s">
        <v>118</v>
      </c>
      <c r="O6126" t="s">
        <v>1345</v>
      </c>
    </row>
    <row r="6127" spans="1:15" x14ac:dyDescent="0.3">
      <c r="A6127" s="130">
        <v>68851</v>
      </c>
      <c r="B6127" s="130">
        <v>30</v>
      </c>
      <c r="C6127" s="130" t="s">
        <v>7751</v>
      </c>
      <c r="D6127">
        <v>272</v>
      </c>
      <c r="E6127" s="130">
        <v>4849715</v>
      </c>
      <c r="F6127" t="s">
        <v>87</v>
      </c>
      <c r="G6127">
        <v>358</v>
      </c>
      <c r="H6127" t="s">
        <v>8953</v>
      </c>
      <c r="I6127" s="130">
        <v>2</v>
      </c>
      <c r="J6127" t="s">
        <v>7751</v>
      </c>
      <c r="K6127" t="s">
        <v>95</v>
      </c>
      <c r="L6127" t="s">
        <v>105</v>
      </c>
      <c r="M6127" t="s">
        <v>103</v>
      </c>
      <c r="N6127" t="s">
        <v>122</v>
      </c>
      <c r="O6127" t="s">
        <v>116</v>
      </c>
    </row>
    <row r="6128" spans="1:15" x14ac:dyDescent="0.3">
      <c r="A6128" s="130">
        <v>68875</v>
      </c>
      <c r="B6128" s="130">
        <v>60</v>
      </c>
      <c r="C6128" s="130" t="s">
        <v>7752</v>
      </c>
      <c r="D6128">
        <v>273</v>
      </c>
      <c r="E6128" s="130">
        <v>17164435</v>
      </c>
      <c r="F6128" t="s">
        <v>87</v>
      </c>
      <c r="G6128">
        <v>358</v>
      </c>
      <c r="H6128" t="s">
        <v>8951</v>
      </c>
      <c r="I6128" s="130">
        <v>2</v>
      </c>
      <c r="J6128" t="s">
        <v>7752</v>
      </c>
      <c r="K6128" t="s">
        <v>95</v>
      </c>
      <c r="L6128" t="s">
        <v>109</v>
      </c>
      <c r="M6128" t="s">
        <v>97</v>
      </c>
      <c r="N6128" t="s">
        <v>98</v>
      </c>
      <c r="O6128" t="s">
        <v>1345</v>
      </c>
    </row>
    <row r="6129" spans="1:15" x14ac:dyDescent="0.3">
      <c r="A6129" s="130">
        <v>68882</v>
      </c>
      <c r="B6129" s="130">
        <v>18</v>
      </c>
      <c r="C6129" s="130" t="s">
        <v>7753</v>
      </c>
      <c r="D6129">
        <v>274</v>
      </c>
      <c r="E6129" s="130">
        <v>5057932</v>
      </c>
      <c r="F6129" t="s">
        <v>87</v>
      </c>
      <c r="G6129">
        <v>78</v>
      </c>
      <c r="H6129" t="s">
        <v>8952</v>
      </c>
      <c r="I6129" s="131">
        <v>18</v>
      </c>
      <c r="J6129" t="s">
        <v>7753</v>
      </c>
      <c r="K6129" t="s">
        <v>108</v>
      </c>
      <c r="L6129" t="s">
        <v>123</v>
      </c>
      <c r="M6129" t="s">
        <v>112</v>
      </c>
      <c r="N6129" t="s">
        <v>98</v>
      </c>
      <c r="O6129" t="s">
        <v>1345</v>
      </c>
    </row>
    <row r="6130" spans="1:15" x14ac:dyDescent="0.3">
      <c r="A6130" s="130">
        <v>68898</v>
      </c>
      <c r="B6130" s="130">
        <v>18</v>
      </c>
      <c r="C6130" s="130" t="s">
        <v>7754</v>
      </c>
      <c r="D6130">
        <v>275</v>
      </c>
      <c r="E6130" s="130">
        <v>4057495</v>
      </c>
      <c r="F6130" t="s">
        <v>87</v>
      </c>
      <c r="G6130">
        <v>78</v>
      </c>
      <c r="H6130" t="s">
        <v>8953</v>
      </c>
      <c r="I6130" s="131">
        <v>9</v>
      </c>
      <c r="J6130" t="s">
        <v>7754</v>
      </c>
      <c r="K6130" t="s">
        <v>108</v>
      </c>
      <c r="L6130" t="s">
        <v>163</v>
      </c>
      <c r="M6130" t="s">
        <v>112</v>
      </c>
      <c r="N6130" t="s">
        <v>101</v>
      </c>
      <c r="O6130" t="s">
        <v>116</v>
      </c>
    </row>
    <row r="6131" spans="1:15" x14ac:dyDescent="0.3">
      <c r="A6131" s="130">
        <v>68907</v>
      </c>
      <c r="B6131" s="130">
        <v>30</v>
      </c>
      <c r="C6131" s="130" t="s">
        <v>7755</v>
      </c>
      <c r="D6131">
        <v>276</v>
      </c>
      <c r="E6131" s="131">
        <v>19157650</v>
      </c>
      <c r="F6131" t="s">
        <v>87</v>
      </c>
      <c r="G6131">
        <v>78</v>
      </c>
      <c r="H6131" t="s">
        <v>8951</v>
      </c>
      <c r="I6131" s="131">
        <v>10</v>
      </c>
      <c r="J6131" t="s">
        <v>7755</v>
      </c>
      <c r="K6131" t="s">
        <v>108</v>
      </c>
      <c r="L6131" t="s">
        <v>127</v>
      </c>
      <c r="M6131" t="s">
        <v>103</v>
      </c>
      <c r="N6131" t="s">
        <v>118</v>
      </c>
      <c r="O6131" t="s">
        <v>116</v>
      </c>
    </row>
    <row r="6132" spans="1:15" x14ac:dyDescent="0.3">
      <c r="A6132" s="130">
        <v>68916</v>
      </c>
      <c r="B6132" s="130">
        <v>18</v>
      </c>
      <c r="C6132" s="130" t="s">
        <v>7756</v>
      </c>
      <c r="D6132">
        <v>277</v>
      </c>
      <c r="E6132" s="130">
        <v>22745178</v>
      </c>
      <c r="F6132" t="s">
        <v>87</v>
      </c>
      <c r="G6132">
        <v>358</v>
      </c>
      <c r="H6132" t="s">
        <v>8952</v>
      </c>
      <c r="I6132" s="130">
        <v>2</v>
      </c>
      <c r="J6132" t="s">
        <v>7756</v>
      </c>
      <c r="K6132" t="s">
        <v>108</v>
      </c>
      <c r="L6132" t="s">
        <v>105</v>
      </c>
      <c r="M6132" t="s">
        <v>112</v>
      </c>
      <c r="N6132" t="s">
        <v>98</v>
      </c>
      <c r="O6132" t="s">
        <v>1345</v>
      </c>
    </row>
    <row r="6133" spans="1:15" x14ac:dyDescent="0.3">
      <c r="A6133" s="130">
        <v>68917</v>
      </c>
      <c r="B6133" s="130">
        <v>18</v>
      </c>
      <c r="C6133" s="130" t="s">
        <v>7757</v>
      </c>
      <c r="D6133">
        <v>278</v>
      </c>
      <c r="E6133" s="131">
        <v>5899350</v>
      </c>
      <c r="F6133" t="s">
        <v>87</v>
      </c>
      <c r="G6133">
        <v>78</v>
      </c>
      <c r="H6133" t="s">
        <v>8953</v>
      </c>
      <c r="I6133" s="131">
        <v>9</v>
      </c>
      <c r="J6133" t="s">
        <v>7757</v>
      </c>
      <c r="K6133" t="s">
        <v>108</v>
      </c>
      <c r="L6133" t="s">
        <v>125</v>
      </c>
      <c r="M6133" t="s">
        <v>112</v>
      </c>
      <c r="N6133" t="s">
        <v>122</v>
      </c>
      <c r="O6133" t="s">
        <v>1345</v>
      </c>
    </row>
    <row r="6134" spans="1:15" x14ac:dyDescent="0.3">
      <c r="A6134" s="130">
        <v>68921</v>
      </c>
      <c r="B6134" s="130">
        <v>21</v>
      </c>
      <c r="C6134" s="130" t="s">
        <v>7758</v>
      </c>
      <c r="D6134">
        <v>279</v>
      </c>
      <c r="E6134" s="130">
        <v>24901263</v>
      </c>
      <c r="F6134" t="s">
        <v>87</v>
      </c>
      <c r="G6134">
        <v>78</v>
      </c>
      <c r="H6134" t="s">
        <v>8951</v>
      </c>
      <c r="I6134" s="130">
        <v>10</v>
      </c>
      <c r="J6134" t="s">
        <v>7758</v>
      </c>
      <c r="K6134" t="s">
        <v>95</v>
      </c>
      <c r="L6134" t="s">
        <v>127</v>
      </c>
      <c r="M6134" t="s">
        <v>137</v>
      </c>
      <c r="N6134" t="s">
        <v>118</v>
      </c>
      <c r="O6134" t="s">
        <v>1345</v>
      </c>
    </row>
    <row r="6135" spans="1:15" x14ac:dyDescent="0.3">
      <c r="A6135" s="130">
        <v>68928</v>
      </c>
      <c r="B6135" s="130">
        <v>18</v>
      </c>
      <c r="C6135" s="130" t="s">
        <v>7759</v>
      </c>
      <c r="D6135">
        <v>280</v>
      </c>
      <c r="E6135" s="131">
        <v>16741622</v>
      </c>
      <c r="F6135" t="s">
        <v>87</v>
      </c>
      <c r="G6135">
        <v>358</v>
      </c>
      <c r="H6135" t="s">
        <v>8952</v>
      </c>
      <c r="I6135" s="130">
        <v>9</v>
      </c>
      <c r="J6135" t="s">
        <v>7759</v>
      </c>
      <c r="K6135" t="s">
        <v>108</v>
      </c>
      <c r="L6135" t="s">
        <v>105</v>
      </c>
      <c r="M6135" t="s">
        <v>112</v>
      </c>
      <c r="N6135" t="s">
        <v>141</v>
      </c>
      <c r="O6135" t="s">
        <v>116</v>
      </c>
    </row>
    <row r="6136" spans="1:15" x14ac:dyDescent="0.3">
      <c r="A6136" s="130">
        <v>68930</v>
      </c>
      <c r="B6136" s="130">
        <v>30</v>
      </c>
      <c r="C6136" s="130" t="s">
        <v>7760</v>
      </c>
      <c r="D6136">
        <v>281</v>
      </c>
      <c r="E6136" s="130">
        <v>32909546</v>
      </c>
      <c r="F6136" t="s">
        <v>87</v>
      </c>
      <c r="G6136">
        <v>358</v>
      </c>
      <c r="H6136" t="s">
        <v>8953</v>
      </c>
      <c r="I6136" s="130">
        <v>2</v>
      </c>
      <c r="J6136" t="s">
        <v>7760</v>
      </c>
      <c r="K6136" t="s">
        <v>95</v>
      </c>
      <c r="L6136" t="s">
        <v>109</v>
      </c>
      <c r="M6136" t="s">
        <v>103</v>
      </c>
      <c r="N6136" t="s">
        <v>98</v>
      </c>
      <c r="O6136" t="s">
        <v>1345</v>
      </c>
    </row>
    <row r="6137" spans="1:15" x14ac:dyDescent="0.3">
      <c r="A6137" s="130">
        <v>68936</v>
      </c>
      <c r="B6137" s="130">
        <v>30</v>
      </c>
      <c r="C6137" s="130" t="s">
        <v>7761</v>
      </c>
      <c r="D6137">
        <v>282</v>
      </c>
      <c r="E6137" s="130">
        <v>18720938</v>
      </c>
      <c r="F6137" t="s">
        <v>87</v>
      </c>
      <c r="G6137">
        <v>77</v>
      </c>
      <c r="H6137" t="s">
        <v>8951</v>
      </c>
      <c r="I6137" s="130">
        <v>2</v>
      </c>
      <c r="J6137" t="s">
        <v>7761</v>
      </c>
      <c r="K6137" t="s">
        <v>95</v>
      </c>
      <c r="L6137" t="s">
        <v>117</v>
      </c>
      <c r="M6137" t="s">
        <v>103</v>
      </c>
      <c r="N6137" t="s">
        <v>131</v>
      </c>
      <c r="O6137" t="s">
        <v>1345</v>
      </c>
    </row>
    <row r="6138" spans="1:15" x14ac:dyDescent="0.3">
      <c r="A6138" s="130">
        <v>68945</v>
      </c>
      <c r="B6138" s="130">
        <v>30</v>
      </c>
      <c r="C6138" s="130" t="s">
        <v>7762</v>
      </c>
      <c r="D6138">
        <v>283</v>
      </c>
      <c r="E6138" s="131">
        <v>13436796</v>
      </c>
      <c r="F6138" t="s">
        <v>87</v>
      </c>
      <c r="G6138">
        <v>78</v>
      </c>
      <c r="H6138" t="s">
        <v>8952</v>
      </c>
      <c r="I6138" s="130">
        <v>24</v>
      </c>
      <c r="J6138" t="s">
        <v>7762</v>
      </c>
      <c r="K6138" t="s">
        <v>95</v>
      </c>
      <c r="L6138" t="s">
        <v>138</v>
      </c>
      <c r="M6138" t="s">
        <v>103</v>
      </c>
      <c r="N6138" t="s">
        <v>98</v>
      </c>
      <c r="O6138" t="s">
        <v>1345</v>
      </c>
    </row>
    <row r="6139" spans="1:15" x14ac:dyDescent="0.3">
      <c r="A6139" s="130">
        <v>68984</v>
      </c>
      <c r="B6139" s="130">
        <v>30</v>
      </c>
      <c r="C6139" s="130" t="s">
        <v>7763</v>
      </c>
      <c r="D6139">
        <v>284</v>
      </c>
      <c r="E6139" s="131">
        <v>27601782</v>
      </c>
      <c r="F6139" t="s">
        <v>87</v>
      </c>
      <c r="G6139">
        <v>78</v>
      </c>
      <c r="H6139" t="s">
        <v>8953</v>
      </c>
      <c r="I6139" s="130">
        <v>18</v>
      </c>
      <c r="J6139" t="s">
        <v>7763</v>
      </c>
      <c r="K6139" t="s">
        <v>95</v>
      </c>
      <c r="L6139" t="s">
        <v>123</v>
      </c>
      <c r="M6139" t="s">
        <v>103</v>
      </c>
      <c r="N6139" t="s">
        <v>150</v>
      </c>
      <c r="O6139" t="s">
        <v>1345</v>
      </c>
    </row>
    <row r="6140" spans="1:15" x14ac:dyDescent="0.3">
      <c r="A6140" s="130">
        <v>69001</v>
      </c>
      <c r="B6140" s="130">
        <v>18</v>
      </c>
      <c r="C6140" s="130" t="s">
        <v>7764</v>
      </c>
      <c r="D6140">
        <v>285</v>
      </c>
      <c r="E6140" s="130">
        <v>9491262</v>
      </c>
      <c r="F6140" t="s">
        <v>87</v>
      </c>
      <c r="G6140">
        <v>358</v>
      </c>
      <c r="H6140" t="s">
        <v>8951</v>
      </c>
      <c r="I6140" s="130">
        <v>2</v>
      </c>
      <c r="J6140" t="s">
        <v>7764</v>
      </c>
      <c r="K6140" t="s">
        <v>108</v>
      </c>
      <c r="L6140" t="s">
        <v>105</v>
      </c>
      <c r="M6140" t="s">
        <v>112</v>
      </c>
      <c r="N6140" t="s">
        <v>114</v>
      </c>
      <c r="O6140" t="s">
        <v>1345</v>
      </c>
    </row>
    <row r="6141" spans="1:15" x14ac:dyDescent="0.3">
      <c r="A6141" s="130">
        <v>69006</v>
      </c>
      <c r="B6141" s="130">
        <v>30</v>
      </c>
      <c r="C6141" s="130" t="s">
        <v>7765</v>
      </c>
      <c r="D6141">
        <v>286</v>
      </c>
      <c r="E6141" s="131">
        <v>5451496</v>
      </c>
      <c r="F6141" t="s">
        <v>87</v>
      </c>
      <c r="G6141">
        <v>358</v>
      </c>
      <c r="H6141" t="s">
        <v>8952</v>
      </c>
      <c r="I6141" s="130">
        <v>2</v>
      </c>
      <c r="J6141" t="s">
        <v>7765</v>
      </c>
      <c r="K6141" t="s">
        <v>95</v>
      </c>
      <c r="L6141" t="s">
        <v>109</v>
      </c>
      <c r="M6141" t="s">
        <v>103</v>
      </c>
      <c r="N6141" t="s">
        <v>101</v>
      </c>
      <c r="O6141" t="s">
        <v>1345</v>
      </c>
    </row>
    <row r="6142" spans="1:15" x14ac:dyDescent="0.3">
      <c r="A6142" s="130">
        <v>69008</v>
      </c>
      <c r="B6142" s="130">
        <v>28</v>
      </c>
      <c r="C6142" s="130" t="s">
        <v>7766</v>
      </c>
      <c r="D6142">
        <v>287</v>
      </c>
      <c r="E6142" s="131">
        <v>8675955</v>
      </c>
      <c r="F6142" t="s">
        <v>87</v>
      </c>
      <c r="G6142">
        <v>78</v>
      </c>
      <c r="H6142" t="s">
        <v>8953</v>
      </c>
      <c r="I6142" s="131">
        <v>18</v>
      </c>
      <c r="J6142" t="s">
        <v>7766</v>
      </c>
      <c r="K6142" t="s">
        <v>108</v>
      </c>
      <c r="L6142" t="s">
        <v>123</v>
      </c>
      <c r="M6142" t="s">
        <v>130</v>
      </c>
      <c r="N6142" t="s">
        <v>122</v>
      </c>
      <c r="O6142" t="s">
        <v>116</v>
      </c>
    </row>
    <row r="6143" spans="1:15" x14ac:dyDescent="0.3">
      <c r="A6143" s="130">
        <v>69054</v>
      </c>
      <c r="B6143" s="130">
        <v>18</v>
      </c>
      <c r="C6143" s="130" t="s">
        <v>7767</v>
      </c>
      <c r="D6143">
        <v>288</v>
      </c>
      <c r="E6143" s="130">
        <v>33193996</v>
      </c>
      <c r="F6143" t="s">
        <v>87</v>
      </c>
      <c r="G6143">
        <v>78</v>
      </c>
      <c r="H6143" t="s">
        <v>8951</v>
      </c>
      <c r="I6143" s="130">
        <v>10</v>
      </c>
      <c r="J6143" t="s">
        <v>7767</v>
      </c>
      <c r="K6143" t="s">
        <v>95</v>
      </c>
      <c r="L6143" t="s">
        <v>127</v>
      </c>
      <c r="M6143" t="s">
        <v>112</v>
      </c>
      <c r="N6143" t="s">
        <v>118</v>
      </c>
      <c r="O6143" t="s">
        <v>1345</v>
      </c>
    </row>
    <row r="6144" spans="1:15" x14ac:dyDescent="0.3">
      <c r="A6144" s="130">
        <v>69060</v>
      </c>
      <c r="B6144" s="130">
        <v>18</v>
      </c>
      <c r="C6144" s="130" t="s">
        <v>7768</v>
      </c>
      <c r="D6144">
        <v>289</v>
      </c>
      <c r="E6144" s="131">
        <v>92782705</v>
      </c>
      <c r="F6144" t="s">
        <v>87</v>
      </c>
      <c r="G6144">
        <v>78</v>
      </c>
      <c r="H6144" t="s">
        <v>8952</v>
      </c>
      <c r="I6144" s="130">
        <v>9</v>
      </c>
      <c r="J6144" t="s">
        <v>7768</v>
      </c>
      <c r="K6144" t="s">
        <v>95</v>
      </c>
      <c r="L6144" t="s">
        <v>125</v>
      </c>
      <c r="M6144" t="s">
        <v>112</v>
      </c>
      <c r="N6144" t="s">
        <v>107</v>
      </c>
      <c r="O6144" t="s">
        <v>1345</v>
      </c>
    </row>
    <row r="6145" spans="1:15" x14ac:dyDescent="0.3">
      <c r="A6145" s="130">
        <v>69069</v>
      </c>
      <c r="B6145" s="130">
        <v>18</v>
      </c>
      <c r="C6145" s="130" t="s">
        <v>7769</v>
      </c>
      <c r="D6145">
        <v>290</v>
      </c>
      <c r="E6145" s="130">
        <v>33193996</v>
      </c>
      <c r="F6145" t="s">
        <v>87</v>
      </c>
      <c r="G6145">
        <v>358</v>
      </c>
      <c r="H6145" t="s">
        <v>8953</v>
      </c>
      <c r="I6145" s="130">
        <v>10</v>
      </c>
      <c r="J6145" t="s">
        <v>7769</v>
      </c>
      <c r="K6145" t="s">
        <v>108</v>
      </c>
      <c r="L6145" t="s">
        <v>105</v>
      </c>
      <c r="M6145" t="s">
        <v>112</v>
      </c>
      <c r="N6145" t="s">
        <v>98</v>
      </c>
      <c r="O6145" t="s">
        <v>1345</v>
      </c>
    </row>
    <row r="6146" spans="1:15" x14ac:dyDescent="0.3">
      <c r="A6146" s="130">
        <v>69073</v>
      </c>
      <c r="B6146" s="130">
        <v>30</v>
      </c>
      <c r="C6146" s="130" t="s">
        <v>7770</v>
      </c>
      <c r="D6146">
        <v>291</v>
      </c>
      <c r="E6146" s="131">
        <v>18033552</v>
      </c>
      <c r="F6146" t="s">
        <v>87</v>
      </c>
      <c r="G6146">
        <v>358</v>
      </c>
      <c r="H6146" t="s">
        <v>8951</v>
      </c>
      <c r="I6146" s="130">
        <v>24</v>
      </c>
      <c r="J6146" t="s">
        <v>7770</v>
      </c>
      <c r="K6146" t="s">
        <v>108</v>
      </c>
      <c r="L6146" t="s">
        <v>191</v>
      </c>
      <c r="M6146" t="s">
        <v>103</v>
      </c>
      <c r="N6146" t="s">
        <v>122</v>
      </c>
      <c r="O6146" t="s">
        <v>116</v>
      </c>
    </row>
    <row r="6147" spans="1:15" x14ac:dyDescent="0.3">
      <c r="A6147" s="130">
        <v>69083</v>
      </c>
      <c r="B6147" s="130">
        <v>30</v>
      </c>
      <c r="C6147" s="130" t="s">
        <v>7771</v>
      </c>
      <c r="D6147">
        <v>292</v>
      </c>
      <c r="E6147" s="130">
        <v>25090380</v>
      </c>
      <c r="F6147" t="s">
        <v>87</v>
      </c>
      <c r="G6147">
        <v>358</v>
      </c>
      <c r="H6147" t="s">
        <v>8952</v>
      </c>
      <c r="I6147" s="131">
        <v>2</v>
      </c>
      <c r="J6147" t="s">
        <v>7771</v>
      </c>
      <c r="K6147" t="s">
        <v>95</v>
      </c>
      <c r="L6147" t="s">
        <v>111</v>
      </c>
      <c r="M6147" t="s">
        <v>103</v>
      </c>
      <c r="N6147" t="s">
        <v>98</v>
      </c>
      <c r="O6147" t="s">
        <v>1345</v>
      </c>
    </row>
    <row r="6148" spans="1:15" x14ac:dyDescent="0.3">
      <c r="A6148" s="130">
        <v>69089</v>
      </c>
      <c r="B6148" s="130">
        <v>18</v>
      </c>
      <c r="C6148" s="130" t="s">
        <v>7772</v>
      </c>
      <c r="D6148">
        <v>293</v>
      </c>
      <c r="E6148" s="130">
        <v>1595865</v>
      </c>
      <c r="F6148" t="s">
        <v>87</v>
      </c>
      <c r="G6148">
        <v>78</v>
      </c>
      <c r="H6148" t="s">
        <v>8953</v>
      </c>
      <c r="I6148" s="130">
        <v>9</v>
      </c>
      <c r="J6148" t="s">
        <v>7772</v>
      </c>
      <c r="K6148" t="s">
        <v>95</v>
      </c>
      <c r="L6148" t="s">
        <v>125</v>
      </c>
      <c r="M6148" t="s">
        <v>112</v>
      </c>
      <c r="N6148" t="s">
        <v>114</v>
      </c>
      <c r="O6148" t="s">
        <v>116</v>
      </c>
    </row>
    <row r="6149" spans="1:15" x14ac:dyDescent="0.3">
      <c r="A6149" s="130">
        <v>69114</v>
      </c>
      <c r="B6149" s="130">
        <v>30</v>
      </c>
      <c r="C6149" s="130" t="s">
        <v>7773</v>
      </c>
      <c r="D6149">
        <v>294</v>
      </c>
      <c r="E6149" s="130">
        <v>3050990</v>
      </c>
      <c r="F6149" t="s">
        <v>87</v>
      </c>
      <c r="G6149">
        <v>358</v>
      </c>
      <c r="H6149" t="s">
        <v>8951</v>
      </c>
      <c r="I6149" s="130">
        <v>18</v>
      </c>
      <c r="J6149" t="s">
        <v>7773</v>
      </c>
      <c r="K6149" t="s">
        <v>108</v>
      </c>
      <c r="L6149" t="s">
        <v>123</v>
      </c>
      <c r="M6149" t="s">
        <v>103</v>
      </c>
      <c r="N6149" t="s">
        <v>98</v>
      </c>
      <c r="O6149" t="s">
        <v>116</v>
      </c>
    </row>
    <row r="6150" spans="1:15" x14ac:dyDescent="0.3">
      <c r="A6150" s="130">
        <v>69134</v>
      </c>
      <c r="B6150" s="130">
        <v>18</v>
      </c>
      <c r="C6150" s="130" t="s">
        <v>7774</v>
      </c>
      <c r="D6150">
        <v>295</v>
      </c>
      <c r="E6150" s="130">
        <v>92011170</v>
      </c>
      <c r="F6150" t="s">
        <v>87</v>
      </c>
      <c r="G6150">
        <v>78</v>
      </c>
      <c r="H6150" t="s">
        <v>8952</v>
      </c>
      <c r="I6150" s="131">
        <v>9</v>
      </c>
      <c r="J6150" t="s">
        <v>7774</v>
      </c>
      <c r="K6150" t="s">
        <v>108</v>
      </c>
      <c r="L6150" t="s">
        <v>125</v>
      </c>
      <c r="M6150" t="s">
        <v>112</v>
      </c>
      <c r="N6150" t="s">
        <v>124</v>
      </c>
      <c r="O6150" t="s">
        <v>1345</v>
      </c>
    </row>
    <row r="6151" spans="1:15" x14ac:dyDescent="0.3">
      <c r="A6151" s="130">
        <v>69143</v>
      </c>
      <c r="B6151" s="130">
        <v>18</v>
      </c>
      <c r="C6151" s="130" t="s">
        <v>7775</v>
      </c>
      <c r="D6151">
        <v>296</v>
      </c>
      <c r="E6151" s="131">
        <v>44239135</v>
      </c>
      <c r="F6151" t="s">
        <v>87</v>
      </c>
      <c r="G6151">
        <v>78</v>
      </c>
      <c r="H6151" t="s">
        <v>8953</v>
      </c>
      <c r="I6151" s="131">
        <v>9</v>
      </c>
      <c r="J6151" t="s">
        <v>7775</v>
      </c>
      <c r="K6151" t="s">
        <v>108</v>
      </c>
      <c r="L6151" t="s">
        <v>125</v>
      </c>
      <c r="M6151" t="s">
        <v>112</v>
      </c>
      <c r="N6151" t="s">
        <v>98</v>
      </c>
      <c r="O6151" t="s">
        <v>1345</v>
      </c>
    </row>
    <row r="6152" spans="1:15" x14ac:dyDescent="0.3">
      <c r="A6152" s="130">
        <v>69163</v>
      </c>
      <c r="B6152" s="130">
        <v>18</v>
      </c>
      <c r="C6152" s="130" t="s">
        <v>7776</v>
      </c>
      <c r="D6152">
        <v>297</v>
      </c>
      <c r="E6152" s="131">
        <v>49953581</v>
      </c>
      <c r="F6152" t="s">
        <v>87</v>
      </c>
      <c r="G6152">
        <v>358</v>
      </c>
      <c r="H6152" t="s">
        <v>8951</v>
      </c>
      <c r="I6152" s="131">
        <v>2</v>
      </c>
      <c r="J6152" t="s">
        <v>7776</v>
      </c>
      <c r="K6152" t="s">
        <v>108</v>
      </c>
      <c r="L6152" t="s">
        <v>105</v>
      </c>
      <c r="M6152" t="s">
        <v>112</v>
      </c>
      <c r="N6152" t="s">
        <v>101</v>
      </c>
      <c r="O6152" t="s">
        <v>116</v>
      </c>
    </row>
    <row r="6153" spans="1:15" x14ac:dyDescent="0.3">
      <c r="A6153" s="130">
        <v>69164</v>
      </c>
      <c r="B6153" s="130">
        <v>30</v>
      </c>
      <c r="C6153" s="130" t="s">
        <v>7777</v>
      </c>
      <c r="D6153">
        <v>298</v>
      </c>
      <c r="E6153" s="130">
        <v>27426196</v>
      </c>
      <c r="F6153" t="s">
        <v>87</v>
      </c>
      <c r="G6153">
        <v>358</v>
      </c>
      <c r="H6153" t="s">
        <v>8952</v>
      </c>
      <c r="I6153" s="130">
        <v>10</v>
      </c>
      <c r="J6153" t="s">
        <v>7777</v>
      </c>
      <c r="K6153" t="s">
        <v>95</v>
      </c>
      <c r="L6153" t="s">
        <v>105</v>
      </c>
      <c r="M6153" t="s">
        <v>103</v>
      </c>
      <c r="N6153" t="s">
        <v>98</v>
      </c>
      <c r="O6153" t="s">
        <v>1345</v>
      </c>
    </row>
    <row r="6154" spans="1:15" x14ac:dyDescent="0.3">
      <c r="A6154" s="130">
        <v>69167</v>
      </c>
      <c r="B6154" s="130">
        <v>30</v>
      </c>
      <c r="C6154" s="130" t="s">
        <v>7778</v>
      </c>
      <c r="D6154">
        <v>299</v>
      </c>
      <c r="E6154" s="130">
        <v>18715383</v>
      </c>
      <c r="F6154" t="s">
        <v>87</v>
      </c>
      <c r="G6154">
        <v>77</v>
      </c>
      <c r="H6154" t="s">
        <v>8953</v>
      </c>
      <c r="I6154" s="130">
        <v>2</v>
      </c>
      <c r="J6154" t="s">
        <v>7778</v>
      </c>
      <c r="K6154" t="s">
        <v>95</v>
      </c>
      <c r="L6154" t="s">
        <v>117</v>
      </c>
      <c r="M6154" t="s">
        <v>103</v>
      </c>
      <c r="N6154" t="s">
        <v>131</v>
      </c>
      <c r="O6154" t="s">
        <v>1345</v>
      </c>
    </row>
    <row r="6155" spans="1:15" x14ac:dyDescent="0.3">
      <c r="A6155" s="130">
        <v>69169</v>
      </c>
      <c r="B6155" s="130">
        <v>18</v>
      </c>
      <c r="C6155" s="130" t="s">
        <v>7779</v>
      </c>
      <c r="D6155">
        <v>300</v>
      </c>
      <c r="E6155" s="130">
        <v>30470308</v>
      </c>
      <c r="F6155" t="s">
        <v>87</v>
      </c>
      <c r="G6155">
        <v>78</v>
      </c>
      <c r="H6155" t="s">
        <v>8951</v>
      </c>
      <c r="I6155" s="130">
        <v>18</v>
      </c>
      <c r="J6155" t="s">
        <v>7779</v>
      </c>
      <c r="K6155" t="s">
        <v>108</v>
      </c>
      <c r="L6155" t="s">
        <v>123</v>
      </c>
      <c r="M6155" t="s">
        <v>112</v>
      </c>
      <c r="N6155" t="s">
        <v>150</v>
      </c>
      <c r="O6155" t="s">
        <v>1345</v>
      </c>
    </row>
    <row r="6156" spans="1:15" x14ac:dyDescent="0.3">
      <c r="A6156" s="130">
        <v>69174</v>
      </c>
      <c r="B6156" s="130">
        <v>18</v>
      </c>
      <c r="C6156" s="130" t="s">
        <v>7780</v>
      </c>
      <c r="D6156">
        <v>301</v>
      </c>
      <c r="E6156" s="130">
        <v>25349440</v>
      </c>
      <c r="F6156" t="s">
        <v>87</v>
      </c>
      <c r="G6156">
        <v>358</v>
      </c>
      <c r="H6156" t="s">
        <v>8952</v>
      </c>
      <c r="I6156" s="130">
        <v>2</v>
      </c>
      <c r="J6156" t="s">
        <v>7780</v>
      </c>
      <c r="K6156" t="s">
        <v>95</v>
      </c>
      <c r="L6156" t="s">
        <v>109</v>
      </c>
      <c r="M6156" t="s">
        <v>112</v>
      </c>
      <c r="N6156" t="s">
        <v>98</v>
      </c>
      <c r="O6156" t="s">
        <v>1345</v>
      </c>
    </row>
    <row r="6157" spans="1:15" x14ac:dyDescent="0.3">
      <c r="A6157" s="130">
        <v>69202</v>
      </c>
      <c r="B6157" s="130">
        <v>30</v>
      </c>
      <c r="C6157" s="130" t="s">
        <v>7781</v>
      </c>
      <c r="D6157">
        <v>303</v>
      </c>
      <c r="E6157" s="130">
        <v>28017641</v>
      </c>
      <c r="F6157" t="s">
        <v>87</v>
      </c>
      <c r="G6157">
        <v>78</v>
      </c>
      <c r="H6157" t="s">
        <v>8953</v>
      </c>
      <c r="I6157" s="131">
        <v>18</v>
      </c>
      <c r="J6157" t="s">
        <v>7781</v>
      </c>
      <c r="K6157" t="s">
        <v>95</v>
      </c>
      <c r="L6157" t="s">
        <v>123</v>
      </c>
      <c r="M6157" t="s">
        <v>103</v>
      </c>
      <c r="N6157" t="s">
        <v>150</v>
      </c>
      <c r="O6157" t="s">
        <v>116</v>
      </c>
    </row>
    <row r="6158" spans="1:15" x14ac:dyDescent="0.3">
      <c r="A6158" s="130">
        <v>69205</v>
      </c>
      <c r="B6158" s="130">
        <v>30</v>
      </c>
      <c r="C6158" s="130" t="s">
        <v>7782</v>
      </c>
      <c r="D6158">
        <v>304</v>
      </c>
      <c r="E6158" s="131">
        <v>1412207</v>
      </c>
      <c r="F6158" t="s">
        <v>87</v>
      </c>
      <c r="G6158">
        <v>78</v>
      </c>
      <c r="H6158" t="s">
        <v>8951</v>
      </c>
      <c r="I6158" s="131">
        <v>9</v>
      </c>
      <c r="J6158" t="s">
        <v>7782</v>
      </c>
      <c r="K6158" t="s">
        <v>95</v>
      </c>
      <c r="L6158" t="s">
        <v>125</v>
      </c>
      <c r="M6158" t="s">
        <v>103</v>
      </c>
      <c r="N6158" t="s">
        <v>114</v>
      </c>
      <c r="O6158" t="s">
        <v>116</v>
      </c>
    </row>
    <row r="6159" spans="1:15" x14ac:dyDescent="0.3">
      <c r="A6159" s="130">
        <v>69210</v>
      </c>
      <c r="B6159" s="130">
        <v>18</v>
      </c>
      <c r="C6159" s="130" t="s">
        <v>7783</v>
      </c>
      <c r="D6159">
        <v>305</v>
      </c>
      <c r="E6159" s="130">
        <v>31282126</v>
      </c>
      <c r="F6159" t="s">
        <v>87</v>
      </c>
      <c r="G6159">
        <v>78</v>
      </c>
      <c r="H6159" t="s">
        <v>8952</v>
      </c>
      <c r="I6159" s="130">
        <v>24</v>
      </c>
      <c r="J6159" t="s">
        <v>7783</v>
      </c>
      <c r="K6159" t="s">
        <v>95</v>
      </c>
      <c r="L6159" t="s">
        <v>140</v>
      </c>
      <c r="M6159" t="s">
        <v>112</v>
      </c>
      <c r="N6159" t="s">
        <v>98</v>
      </c>
      <c r="O6159" t="s">
        <v>116</v>
      </c>
    </row>
    <row r="6160" spans="1:15" x14ac:dyDescent="0.3">
      <c r="A6160" s="130">
        <v>69222</v>
      </c>
      <c r="B6160" s="130">
        <v>18</v>
      </c>
      <c r="C6160" s="130" t="s">
        <v>7784</v>
      </c>
      <c r="D6160">
        <v>306</v>
      </c>
      <c r="E6160" s="130">
        <v>3477084</v>
      </c>
      <c r="F6160" t="s">
        <v>87</v>
      </c>
      <c r="G6160">
        <v>78</v>
      </c>
      <c r="H6160" t="s">
        <v>8953</v>
      </c>
      <c r="I6160" s="130">
        <v>26</v>
      </c>
      <c r="J6160" t="s">
        <v>7784</v>
      </c>
      <c r="K6160" t="s">
        <v>108</v>
      </c>
      <c r="L6160" t="s">
        <v>151</v>
      </c>
      <c r="M6160" t="s">
        <v>112</v>
      </c>
      <c r="N6160" t="s">
        <v>101</v>
      </c>
      <c r="O6160" t="s">
        <v>116</v>
      </c>
    </row>
    <row r="6161" spans="1:15" x14ac:dyDescent="0.3">
      <c r="A6161" s="130">
        <v>69235</v>
      </c>
      <c r="B6161" s="130">
        <v>18</v>
      </c>
      <c r="C6161" s="130" t="s">
        <v>7785</v>
      </c>
      <c r="D6161">
        <v>307</v>
      </c>
      <c r="E6161" s="130">
        <v>439965</v>
      </c>
      <c r="F6161" t="s">
        <v>87</v>
      </c>
      <c r="G6161">
        <v>358</v>
      </c>
      <c r="H6161" t="s">
        <v>8951</v>
      </c>
      <c r="I6161" s="131">
        <v>2</v>
      </c>
      <c r="J6161" t="s">
        <v>7785</v>
      </c>
      <c r="K6161" t="s">
        <v>95</v>
      </c>
      <c r="L6161" t="s">
        <v>109</v>
      </c>
      <c r="M6161" t="s">
        <v>112</v>
      </c>
      <c r="N6161" t="s">
        <v>114</v>
      </c>
      <c r="O6161" t="s">
        <v>116</v>
      </c>
    </row>
    <row r="6162" spans="1:15" x14ac:dyDescent="0.3">
      <c r="A6162" s="130">
        <v>69245</v>
      </c>
      <c r="B6162" s="130">
        <v>18</v>
      </c>
      <c r="C6162" s="130" t="s">
        <v>7786</v>
      </c>
      <c r="D6162">
        <v>308</v>
      </c>
      <c r="E6162" s="130">
        <v>27761575</v>
      </c>
      <c r="F6162" t="s">
        <v>87</v>
      </c>
      <c r="G6162">
        <v>78</v>
      </c>
      <c r="H6162" t="s">
        <v>8952</v>
      </c>
      <c r="I6162" s="130">
        <v>24</v>
      </c>
      <c r="J6162" t="s">
        <v>7786</v>
      </c>
      <c r="K6162" t="s">
        <v>108</v>
      </c>
      <c r="L6162" t="s">
        <v>138</v>
      </c>
      <c r="M6162" t="s">
        <v>112</v>
      </c>
      <c r="N6162" t="s">
        <v>150</v>
      </c>
      <c r="O6162" t="s">
        <v>1345</v>
      </c>
    </row>
    <row r="6163" spans="1:15" x14ac:dyDescent="0.3">
      <c r="A6163" s="130">
        <v>69256</v>
      </c>
      <c r="B6163" s="130">
        <v>30</v>
      </c>
      <c r="C6163" s="130" t="s">
        <v>7787</v>
      </c>
      <c r="D6163">
        <v>309</v>
      </c>
      <c r="E6163" s="131">
        <v>23449511</v>
      </c>
      <c r="F6163" t="s">
        <v>87</v>
      </c>
      <c r="G6163">
        <v>78</v>
      </c>
      <c r="H6163" t="s">
        <v>8953</v>
      </c>
      <c r="I6163" s="130">
        <v>26</v>
      </c>
      <c r="J6163" t="s">
        <v>7787</v>
      </c>
      <c r="K6163" t="s">
        <v>95</v>
      </c>
      <c r="L6163" t="s">
        <v>151</v>
      </c>
      <c r="M6163" t="s">
        <v>103</v>
      </c>
      <c r="N6163" t="s">
        <v>124</v>
      </c>
      <c r="O6163" t="s">
        <v>1345</v>
      </c>
    </row>
    <row r="6164" spans="1:15" x14ac:dyDescent="0.3">
      <c r="A6164" s="130">
        <v>69274</v>
      </c>
      <c r="B6164" s="130">
        <v>18</v>
      </c>
      <c r="C6164" s="130" t="s">
        <v>7788</v>
      </c>
      <c r="D6164">
        <v>310</v>
      </c>
      <c r="E6164" s="130">
        <v>92782705</v>
      </c>
      <c r="F6164" t="s">
        <v>87</v>
      </c>
      <c r="G6164">
        <v>78</v>
      </c>
      <c r="H6164" t="s">
        <v>8951</v>
      </c>
      <c r="I6164" s="130">
        <v>9</v>
      </c>
      <c r="J6164" t="s">
        <v>7788</v>
      </c>
      <c r="K6164" t="s">
        <v>95</v>
      </c>
      <c r="L6164" t="s">
        <v>125</v>
      </c>
      <c r="M6164" t="s">
        <v>112</v>
      </c>
      <c r="N6164" t="s">
        <v>107</v>
      </c>
      <c r="O6164" t="s">
        <v>1345</v>
      </c>
    </row>
    <row r="6165" spans="1:15" x14ac:dyDescent="0.3">
      <c r="A6165" s="130">
        <v>69282</v>
      </c>
      <c r="B6165" s="130">
        <v>18</v>
      </c>
      <c r="C6165" s="130" t="s">
        <v>7789</v>
      </c>
      <c r="D6165">
        <v>311</v>
      </c>
      <c r="E6165" s="131">
        <v>14594896</v>
      </c>
      <c r="F6165" t="s">
        <v>87</v>
      </c>
      <c r="G6165">
        <v>358</v>
      </c>
      <c r="H6165" t="s">
        <v>8952</v>
      </c>
      <c r="I6165" s="130">
        <v>2</v>
      </c>
      <c r="J6165" t="s">
        <v>7789</v>
      </c>
      <c r="K6165" t="s">
        <v>108</v>
      </c>
      <c r="L6165" t="s">
        <v>99</v>
      </c>
      <c r="M6165" t="s">
        <v>112</v>
      </c>
      <c r="N6165" t="s">
        <v>98</v>
      </c>
      <c r="O6165" t="s">
        <v>1345</v>
      </c>
    </row>
    <row r="6166" spans="1:15" x14ac:dyDescent="0.3">
      <c r="A6166" s="130">
        <v>69286</v>
      </c>
      <c r="B6166" s="130">
        <v>18</v>
      </c>
      <c r="C6166" s="130" t="s">
        <v>7790</v>
      </c>
      <c r="D6166">
        <v>312</v>
      </c>
      <c r="E6166" s="130">
        <v>16750498</v>
      </c>
      <c r="F6166" t="s">
        <v>87</v>
      </c>
      <c r="G6166">
        <v>78</v>
      </c>
      <c r="H6166" t="s">
        <v>8953</v>
      </c>
      <c r="I6166" s="130">
        <v>18</v>
      </c>
      <c r="J6166" t="s">
        <v>7790</v>
      </c>
      <c r="K6166" t="s">
        <v>95</v>
      </c>
      <c r="L6166" t="s">
        <v>123</v>
      </c>
      <c r="M6166" t="s">
        <v>112</v>
      </c>
      <c r="N6166" t="s">
        <v>114</v>
      </c>
      <c r="O6166" t="s">
        <v>116</v>
      </c>
    </row>
    <row r="6167" spans="1:15" x14ac:dyDescent="0.3">
      <c r="A6167" s="130">
        <v>69297</v>
      </c>
      <c r="B6167" s="130">
        <v>18</v>
      </c>
      <c r="C6167" s="130" t="s">
        <v>7791</v>
      </c>
      <c r="D6167">
        <v>313</v>
      </c>
      <c r="E6167" s="131">
        <v>17027806</v>
      </c>
      <c r="F6167" t="s">
        <v>87</v>
      </c>
      <c r="G6167">
        <v>358</v>
      </c>
      <c r="H6167" t="s">
        <v>8951</v>
      </c>
      <c r="I6167" s="130">
        <v>2</v>
      </c>
      <c r="J6167" t="s">
        <v>7791</v>
      </c>
      <c r="K6167" t="s">
        <v>95</v>
      </c>
      <c r="L6167" t="s">
        <v>105</v>
      </c>
      <c r="M6167" t="s">
        <v>112</v>
      </c>
      <c r="N6167" t="s">
        <v>132</v>
      </c>
      <c r="O6167" t="s">
        <v>1345</v>
      </c>
    </row>
    <row r="6168" spans="1:15" x14ac:dyDescent="0.3">
      <c r="A6168" s="130">
        <v>69310</v>
      </c>
      <c r="B6168" s="130">
        <v>30</v>
      </c>
      <c r="C6168" s="130" t="s">
        <v>7792</v>
      </c>
      <c r="D6168">
        <v>314</v>
      </c>
      <c r="E6168" s="130">
        <v>28466015</v>
      </c>
      <c r="F6168" t="s">
        <v>87</v>
      </c>
      <c r="G6168">
        <v>78</v>
      </c>
      <c r="H6168" t="s">
        <v>8952</v>
      </c>
      <c r="I6168" s="130">
        <v>18</v>
      </c>
      <c r="J6168" t="s">
        <v>7792</v>
      </c>
      <c r="K6168" t="s">
        <v>95</v>
      </c>
      <c r="L6168" t="s">
        <v>123</v>
      </c>
      <c r="M6168" t="s">
        <v>103</v>
      </c>
      <c r="N6168" t="s">
        <v>150</v>
      </c>
      <c r="O6168" t="s">
        <v>1345</v>
      </c>
    </row>
    <row r="6169" spans="1:15" x14ac:dyDescent="0.3">
      <c r="A6169" s="130">
        <v>69316</v>
      </c>
      <c r="B6169" s="130">
        <v>18</v>
      </c>
      <c r="C6169" s="130" t="s">
        <v>7793</v>
      </c>
      <c r="D6169">
        <v>315</v>
      </c>
      <c r="E6169" s="130">
        <v>27125289</v>
      </c>
      <c r="F6169" t="s">
        <v>87</v>
      </c>
      <c r="G6169">
        <v>78</v>
      </c>
      <c r="H6169" t="s">
        <v>8953</v>
      </c>
      <c r="I6169" s="131">
        <v>9</v>
      </c>
      <c r="J6169" t="s">
        <v>7793</v>
      </c>
      <c r="K6169" t="s">
        <v>108</v>
      </c>
      <c r="L6169" t="s">
        <v>125</v>
      </c>
      <c r="M6169" t="s">
        <v>112</v>
      </c>
      <c r="N6169" t="s">
        <v>98</v>
      </c>
      <c r="O6169" t="s">
        <v>1345</v>
      </c>
    </row>
    <row r="6170" spans="1:15" x14ac:dyDescent="0.3">
      <c r="A6170" s="130">
        <v>69317</v>
      </c>
      <c r="B6170" s="130">
        <v>18</v>
      </c>
      <c r="C6170" s="130" t="s">
        <v>7794</v>
      </c>
      <c r="D6170">
        <v>316</v>
      </c>
      <c r="E6170" s="130">
        <v>92782705</v>
      </c>
      <c r="F6170" t="s">
        <v>87</v>
      </c>
      <c r="G6170">
        <v>78</v>
      </c>
      <c r="H6170" t="s">
        <v>8951</v>
      </c>
      <c r="I6170" s="131">
        <v>9</v>
      </c>
      <c r="J6170" t="s">
        <v>7794</v>
      </c>
      <c r="K6170" t="s">
        <v>95</v>
      </c>
      <c r="L6170" t="s">
        <v>125</v>
      </c>
      <c r="M6170" t="s">
        <v>112</v>
      </c>
      <c r="N6170" t="s">
        <v>107</v>
      </c>
      <c r="O6170" t="s">
        <v>1345</v>
      </c>
    </row>
    <row r="6171" spans="1:15" x14ac:dyDescent="0.3">
      <c r="A6171" s="130">
        <v>69334</v>
      </c>
      <c r="B6171" s="130">
        <v>60</v>
      </c>
      <c r="C6171" s="130" t="s">
        <v>7795</v>
      </c>
      <c r="D6171">
        <v>317</v>
      </c>
      <c r="E6171" s="130">
        <v>33592510</v>
      </c>
      <c r="F6171" t="s">
        <v>87</v>
      </c>
      <c r="G6171">
        <v>77</v>
      </c>
      <c r="H6171" t="s">
        <v>8952</v>
      </c>
      <c r="I6171" s="130">
        <v>2</v>
      </c>
      <c r="J6171" t="s">
        <v>7795</v>
      </c>
      <c r="K6171" t="s">
        <v>95</v>
      </c>
      <c r="L6171" t="s">
        <v>117</v>
      </c>
      <c r="M6171" t="s">
        <v>97</v>
      </c>
      <c r="N6171" t="s">
        <v>118</v>
      </c>
      <c r="O6171" t="s">
        <v>1345</v>
      </c>
    </row>
    <row r="6172" spans="1:15" x14ac:dyDescent="0.3">
      <c r="A6172" s="130">
        <v>69343</v>
      </c>
      <c r="B6172" s="130">
        <v>30</v>
      </c>
      <c r="C6172" s="130" t="s">
        <v>7796</v>
      </c>
      <c r="D6172">
        <v>318</v>
      </c>
      <c r="E6172" s="130">
        <v>4057495</v>
      </c>
      <c r="F6172" t="s">
        <v>87</v>
      </c>
      <c r="G6172">
        <v>78</v>
      </c>
      <c r="H6172" t="s">
        <v>8953</v>
      </c>
      <c r="I6172" s="130">
        <v>9</v>
      </c>
      <c r="J6172" t="s">
        <v>7796</v>
      </c>
      <c r="K6172" t="s">
        <v>108</v>
      </c>
      <c r="L6172" t="s">
        <v>163</v>
      </c>
      <c r="M6172" t="s">
        <v>103</v>
      </c>
      <c r="N6172" t="s">
        <v>101</v>
      </c>
      <c r="O6172" t="s">
        <v>116</v>
      </c>
    </row>
    <row r="6173" spans="1:15" x14ac:dyDescent="0.3">
      <c r="A6173" s="130">
        <v>69347</v>
      </c>
      <c r="B6173" s="130">
        <v>18</v>
      </c>
      <c r="C6173" s="130" t="s">
        <v>7797</v>
      </c>
      <c r="D6173">
        <v>319</v>
      </c>
      <c r="E6173" s="130">
        <v>17560185</v>
      </c>
      <c r="F6173" t="s">
        <v>87</v>
      </c>
      <c r="G6173">
        <v>358</v>
      </c>
      <c r="H6173" t="s">
        <v>8951</v>
      </c>
      <c r="I6173" s="130">
        <v>2</v>
      </c>
      <c r="J6173" t="s">
        <v>7797</v>
      </c>
      <c r="K6173" t="s">
        <v>108</v>
      </c>
      <c r="L6173" t="s">
        <v>105</v>
      </c>
      <c r="M6173" t="s">
        <v>112</v>
      </c>
      <c r="N6173" t="s">
        <v>98</v>
      </c>
      <c r="O6173" t="s">
        <v>1345</v>
      </c>
    </row>
    <row r="6174" spans="1:15" x14ac:dyDescent="0.3">
      <c r="A6174" s="130">
        <v>69350</v>
      </c>
      <c r="B6174" s="130">
        <v>30</v>
      </c>
      <c r="C6174" s="130" t="s">
        <v>7798</v>
      </c>
      <c r="D6174">
        <v>320</v>
      </c>
      <c r="E6174" s="131">
        <v>24042796</v>
      </c>
      <c r="F6174" t="s">
        <v>87</v>
      </c>
      <c r="G6174">
        <v>78</v>
      </c>
      <c r="H6174" t="s">
        <v>8952</v>
      </c>
      <c r="I6174" s="130">
        <v>18</v>
      </c>
      <c r="J6174" t="s">
        <v>7798</v>
      </c>
      <c r="K6174" t="s">
        <v>95</v>
      </c>
      <c r="L6174" t="s">
        <v>123</v>
      </c>
      <c r="M6174" t="s">
        <v>103</v>
      </c>
      <c r="N6174" t="s">
        <v>150</v>
      </c>
      <c r="O6174" t="s">
        <v>1345</v>
      </c>
    </row>
    <row r="6175" spans="1:15" x14ac:dyDescent="0.3">
      <c r="A6175" s="130">
        <v>69361</v>
      </c>
      <c r="B6175" s="130">
        <v>20</v>
      </c>
      <c r="C6175" s="130" t="s">
        <v>7799</v>
      </c>
      <c r="D6175">
        <v>321</v>
      </c>
      <c r="E6175" s="130">
        <v>584755</v>
      </c>
      <c r="F6175" t="s">
        <v>87</v>
      </c>
      <c r="G6175">
        <v>358</v>
      </c>
      <c r="H6175" t="s">
        <v>8953</v>
      </c>
      <c r="I6175" s="130">
        <v>2</v>
      </c>
      <c r="J6175" t="s">
        <v>7799</v>
      </c>
      <c r="K6175" t="s">
        <v>95</v>
      </c>
      <c r="L6175" t="s">
        <v>99</v>
      </c>
      <c r="M6175" t="s">
        <v>148</v>
      </c>
      <c r="N6175" t="s">
        <v>98</v>
      </c>
      <c r="O6175" t="s">
        <v>1345</v>
      </c>
    </row>
    <row r="6176" spans="1:15" x14ac:dyDescent="0.3">
      <c r="A6176" s="130">
        <v>69403</v>
      </c>
      <c r="B6176" s="130">
        <v>18</v>
      </c>
      <c r="C6176" s="130" t="s">
        <v>7800</v>
      </c>
      <c r="D6176">
        <v>322</v>
      </c>
      <c r="E6176" s="130">
        <v>8343492</v>
      </c>
      <c r="F6176" t="s">
        <v>87</v>
      </c>
      <c r="G6176">
        <v>358</v>
      </c>
      <c r="H6176" t="s">
        <v>8951</v>
      </c>
      <c r="I6176" s="130">
        <v>24</v>
      </c>
      <c r="J6176" t="s">
        <v>7800</v>
      </c>
      <c r="K6176" t="s">
        <v>95</v>
      </c>
      <c r="L6176" t="s">
        <v>99</v>
      </c>
      <c r="M6176" t="s">
        <v>112</v>
      </c>
      <c r="N6176" t="s">
        <v>98</v>
      </c>
      <c r="O6176" t="s">
        <v>1345</v>
      </c>
    </row>
    <row r="6177" spans="1:15" x14ac:dyDescent="0.3">
      <c r="A6177" s="130">
        <v>69407</v>
      </c>
      <c r="B6177" s="130">
        <v>30</v>
      </c>
      <c r="C6177" s="130" t="s">
        <v>7801</v>
      </c>
      <c r="D6177">
        <v>323</v>
      </c>
      <c r="E6177" s="130">
        <v>3096738</v>
      </c>
      <c r="F6177" t="s">
        <v>87</v>
      </c>
      <c r="G6177">
        <v>358</v>
      </c>
      <c r="H6177" t="s">
        <v>8952</v>
      </c>
      <c r="I6177" s="130">
        <v>2</v>
      </c>
      <c r="J6177" t="s">
        <v>7801</v>
      </c>
      <c r="K6177" t="s">
        <v>95</v>
      </c>
      <c r="L6177" t="s">
        <v>153</v>
      </c>
      <c r="M6177" t="s">
        <v>103</v>
      </c>
      <c r="N6177" t="s">
        <v>101</v>
      </c>
      <c r="O6177" t="s">
        <v>1345</v>
      </c>
    </row>
    <row r="6178" spans="1:15" x14ac:dyDescent="0.3">
      <c r="A6178" s="130">
        <v>69413</v>
      </c>
      <c r="B6178" s="130">
        <v>30</v>
      </c>
      <c r="C6178" s="130" t="s">
        <v>7802</v>
      </c>
      <c r="D6178">
        <v>324</v>
      </c>
      <c r="E6178" s="130">
        <v>13085979</v>
      </c>
      <c r="F6178" t="s">
        <v>87</v>
      </c>
      <c r="G6178">
        <v>358</v>
      </c>
      <c r="H6178" t="s">
        <v>8953</v>
      </c>
      <c r="I6178" s="130">
        <v>2</v>
      </c>
      <c r="J6178" t="s">
        <v>7802</v>
      </c>
      <c r="K6178" t="s">
        <v>95</v>
      </c>
      <c r="L6178" t="s">
        <v>109</v>
      </c>
      <c r="M6178" t="s">
        <v>103</v>
      </c>
      <c r="N6178" t="s">
        <v>114</v>
      </c>
      <c r="O6178" t="s">
        <v>116</v>
      </c>
    </row>
    <row r="6179" spans="1:15" x14ac:dyDescent="0.3">
      <c r="A6179" s="130">
        <v>69421</v>
      </c>
      <c r="B6179" s="130">
        <v>35</v>
      </c>
      <c r="C6179" s="130" t="s">
        <v>7803</v>
      </c>
      <c r="D6179">
        <v>325</v>
      </c>
      <c r="E6179" s="130">
        <v>6880609</v>
      </c>
      <c r="F6179" t="s">
        <v>87</v>
      </c>
      <c r="G6179">
        <v>78</v>
      </c>
      <c r="H6179" t="s">
        <v>8951</v>
      </c>
      <c r="I6179" s="130">
        <v>9</v>
      </c>
      <c r="J6179" t="s">
        <v>7803</v>
      </c>
      <c r="K6179" t="s">
        <v>95</v>
      </c>
      <c r="L6179" t="s">
        <v>102</v>
      </c>
      <c r="M6179" t="s">
        <v>161</v>
      </c>
      <c r="N6179" t="s">
        <v>98</v>
      </c>
      <c r="O6179" t="s">
        <v>1345</v>
      </c>
    </row>
    <row r="6180" spans="1:15" x14ac:dyDescent="0.3">
      <c r="A6180" s="130">
        <v>69426</v>
      </c>
      <c r="B6180" s="130">
        <v>60</v>
      </c>
      <c r="C6180" s="130" t="s">
        <v>7804</v>
      </c>
      <c r="D6180">
        <v>326</v>
      </c>
      <c r="E6180" s="131">
        <v>18715383</v>
      </c>
      <c r="F6180" t="s">
        <v>87</v>
      </c>
      <c r="G6180">
        <v>77</v>
      </c>
      <c r="H6180" t="s">
        <v>8952</v>
      </c>
      <c r="I6180" s="130">
        <v>2</v>
      </c>
      <c r="J6180" t="s">
        <v>7804</v>
      </c>
      <c r="K6180" t="s">
        <v>95</v>
      </c>
      <c r="L6180" t="s">
        <v>117</v>
      </c>
      <c r="M6180" t="s">
        <v>97</v>
      </c>
      <c r="N6180" t="s">
        <v>131</v>
      </c>
      <c r="O6180" t="s">
        <v>1345</v>
      </c>
    </row>
    <row r="6181" spans="1:15" x14ac:dyDescent="0.3">
      <c r="A6181" s="130">
        <v>69428</v>
      </c>
      <c r="B6181" s="130">
        <v>18</v>
      </c>
      <c r="C6181" s="130" t="s">
        <v>7805</v>
      </c>
      <c r="D6181">
        <v>327</v>
      </c>
      <c r="E6181" s="131">
        <v>17445321</v>
      </c>
      <c r="F6181" t="s">
        <v>87</v>
      </c>
      <c r="G6181">
        <v>78</v>
      </c>
      <c r="H6181" t="s">
        <v>8953</v>
      </c>
      <c r="I6181" s="131">
        <v>2</v>
      </c>
      <c r="J6181" t="s">
        <v>7805</v>
      </c>
      <c r="K6181" t="s">
        <v>108</v>
      </c>
      <c r="L6181" t="s">
        <v>102</v>
      </c>
      <c r="M6181" t="s">
        <v>112</v>
      </c>
      <c r="N6181" t="s">
        <v>162</v>
      </c>
      <c r="O6181" t="s">
        <v>1345</v>
      </c>
    </row>
    <row r="6182" spans="1:15" x14ac:dyDescent="0.3">
      <c r="A6182" s="130">
        <v>69436</v>
      </c>
      <c r="B6182" s="130">
        <v>18</v>
      </c>
      <c r="C6182" s="130" t="s">
        <v>7806</v>
      </c>
      <c r="D6182">
        <v>328</v>
      </c>
      <c r="E6182" s="131">
        <v>51097897</v>
      </c>
      <c r="F6182" t="s">
        <v>87</v>
      </c>
      <c r="G6182">
        <v>78</v>
      </c>
      <c r="H6182" t="s">
        <v>8951</v>
      </c>
      <c r="I6182" s="131">
        <v>24</v>
      </c>
      <c r="J6182" t="s">
        <v>7806</v>
      </c>
      <c r="K6182" t="s">
        <v>108</v>
      </c>
      <c r="L6182" t="s">
        <v>138</v>
      </c>
      <c r="M6182" t="s">
        <v>112</v>
      </c>
      <c r="N6182" t="s">
        <v>150</v>
      </c>
      <c r="O6182" t="s">
        <v>1345</v>
      </c>
    </row>
    <row r="6183" spans="1:15" x14ac:dyDescent="0.3">
      <c r="A6183" s="130">
        <v>69448</v>
      </c>
      <c r="B6183" s="130">
        <v>18</v>
      </c>
      <c r="C6183" s="130" t="s">
        <v>7807</v>
      </c>
      <c r="D6183">
        <v>329</v>
      </c>
      <c r="E6183" s="130">
        <v>9325670</v>
      </c>
      <c r="F6183" t="s">
        <v>87</v>
      </c>
      <c r="G6183">
        <v>358</v>
      </c>
      <c r="H6183" t="s">
        <v>8952</v>
      </c>
      <c r="I6183" s="130">
        <v>2</v>
      </c>
      <c r="J6183" t="s">
        <v>7807</v>
      </c>
      <c r="K6183" t="s">
        <v>108</v>
      </c>
      <c r="L6183" t="s">
        <v>105</v>
      </c>
      <c r="M6183" t="s">
        <v>112</v>
      </c>
      <c r="N6183" t="s">
        <v>118</v>
      </c>
      <c r="O6183" t="s">
        <v>116</v>
      </c>
    </row>
    <row r="6184" spans="1:15" x14ac:dyDescent="0.3">
      <c r="A6184" s="130">
        <v>69451</v>
      </c>
      <c r="B6184" s="130">
        <v>30</v>
      </c>
      <c r="C6184" s="130" t="s">
        <v>7808</v>
      </c>
      <c r="D6184">
        <v>330</v>
      </c>
      <c r="E6184" s="131">
        <v>83646547</v>
      </c>
      <c r="F6184" t="s">
        <v>87</v>
      </c>
      <c r="G6184">
        <v>358</v>
      </c>
      <c r="H6184" t="s">
        <v>8953</v>
      </c>
      <c r="I6184" s="130">
        <v>10</v>
      </c>
      <c r="J6184" t="s">
        <v>7808</v>
      </c>
      <c r="K6184" t="s">
        <v>95</v>
      </c>
      <c r="L6184" t="s">
        <v>105</v>
      </c>
      <c r="M6184" t="s">
        <v>103</v>
      </c>
      <c r="N6184" t="s">
        <v>114</v>
      </c>
      <c r="O6184" t="s">
        <v>1345</v>
      </c>
    </row>
    <row r="6185" spans="1:15" x14ac:dyDescent="0.3">
      <c r="A6185" s="130">
        <v>69454</v>
      </c>
      <c r="B6185" s="130">
        <v>18</v>
      </c>
      <c r="C6185" s="130" t="s">
        <v>7809</v>
      </c>
      <c r="D6185">
        <v>331</v>
      </c>
      <c r="E6185" s="130">
        <v>23963565</v>
      </c>
      <c r="F6185" t="s">
        <v>87</v>
      </c>
      <c r="G6185">
        <v>78</v>
      </c>
      <c r="H6185" t="s">
        <v>8951</v>
      </c>
      <c r="I6185" s="131">
        <v>10</v>
      </c>
      <c r="J6185" t="s">
        <v>7809</v>
      </c>
      <c r="K6185" t="s">
        <v>108</v>
      </c>
      <c r="L6185" t="s">
        <v>127</v>
      </c>
      <c r="M6185" t="s">
        <v>112</v>
      </c>
      <c r="N6185" t="s">
        <v>104</v>
      </c>
      <c r="O6185" t="s">
        <v>1345</v>
      </c>
    </row>
    <row r="6186" spans="1:15" x14ac:dyDescent="0.3">
      <c r="A6186" s="130">
        <v>69463</v>
      </c>
      <c r="B6186" s="130">
        <v>30</v>
      </c>
      <c r="C6186" s="130" t="s">
        <v>7810</v>
      </c>
      <c r="D6186">
        <v>332</v>
      </c>
      <c r="E6186" s="130">
        <v>7522191</v>
      </c>
      <c r="F6186" t="s">
        <v>87</v>
      </c>
      <c r="G6186">
        <v>358</v>
      </c>
      <c r="H6186" t="s">
        <v>8952</v>
      </c>
      <c r="I6186" s="131">
        <v>2</v>
      </c>
      <c r="J6186" t="s">
        <v>7810</v>
      </c>
      <c r="K6186" t="s">
        <v>95</v>
      </c>
      <c r="L6186" t="s">
        <v>109</v>
      </c>
      <c r="M6186" t="s">
        <v>103</v>
      </c>
      <c r="N6186" t="s">
        <v>98</v>
      </c>
      <c r="O6186" t="s">
        <v>116</v>
      </c>
    </row>
    <row r="6187" spans="1:15" x14ac:dyDescent="0.3">
      <c r="A6187" s="130">
        <v>69465</v>
      </c>
      <c r="B6187" s="130">
        <v>30</v>
      </c>
      <c r="C6187" s="130" t="s">
        <v>7811</v>
      </c>
      <c r="D6187">
        <v>333</v>
      </c>
      <c r="E6187" s="131">
        <v>17946135</v>
      </c>
      <c r="F6187" t="s">
        <v>87</v>
      </c>
      <c r="G6187">
        <v>77</v>
      </c>
      <c r="H6187" t="s">
        <v>8953</v>
      </c>
      <c r="I6187" s="130">
        <v>18</v>
      </c>
      <c r="J6187" t="s">
        <v>7811</v>
      </c>
      <c r="K6187" t="s">
        <v>95</v>
      </c>
      <c r="L6187" t="s">
        <v>256</v>
      </c>
      <c r="M6187" t="s">
        <v>103</v>
      </c>
      <c r="N6187" t="s">
        <v>98</v>
      </c>
      <c r="O6187" t="s">
        <v>116</v>
      </c>
    </row>
    <row r="6188" spans="1:15" x14ac:dyDescent="0.3">
      <c r="A6188" s="130">
        <v>69467</v>
      </c>
      <c r="B6188" s="130">
        <v>30</v>
      </c>
      <c r="C6188" s="130" t="s">
        <v>7812</v>
      </c>
      <c r="D6188">
        <v>334</v>
      </c>
      <c r="E6188" s="131">
        <v>7522191</v>
      </c>
      <c r="F6188" t="s">
        <v>87</v>
      </c>
      <c r="G6188">
        <v>358</v>
      </c>
      <c r="H6188" t="s">
        <v>8951</v>
      </c>
      <c r="I6188" s="131">
        <v>2</v>
      </c>
      <c r="J6188" t="s">
        <v>7812</v>
      </c>
      <c r="K6188" t="s">
        <v>95</v>
      </c>
      <c r="L6188" t="s">
        <v>99</v>
      </c>
      <c r="M6188" t="s">
        <v>103</v>
      </c>
      <c r="N6188" t="s">
        <v>114</v>
      </c>
      <c r="O6188" t="s">
        <v>1345</v>
      </c>
    </row>
    <row r="6189" spans="1:15" x14ac:dyDescent="0.3">
      <c r="A6189" s="130">
        <v>69473</v>
      </c>
      <c r="B6189" s="130">
        <v>28</v>
      </c>
      <c r="C6189" s="130" t="s">
        <v>7813</v>
      </c>
      <c r="D6189">
        <v>335</v>
      </c>
      <c r="E6189" s="131">
        <v>28763819</v>
      </c>
      <c r="F6189" t="s">
        <v>87</v>
      </c>
      <c r="G6189">
        <v>358</v>
      </c>
      <c r="H6189" t="s">
        <v>8952</v>
      </c>
      <c r="I6189" s="131">
        <v>10</v>
      </c>
      <c r="J6189" t="s">
        <v>7813</v>
      </c>
      <c r="K6189" t="s">
        <v>95</v>
      </c>
      <c r="L6189" t="s">
        <v>105</v>
      </c>
      <c r="M6189" t="s">
        <v>130</v>
      </c>
      <c r="N6189" t="s">
        <v>114</v>
      </c>
      <c r="O6189" t="s">
        <v>1345</v>
      </c>
    </row>
    <row r="6190" spans="1:15" x14ac:dyDescent="0.3">
      <c r="A6190" s="130">
        <v>69489</v>
      </c>
      <c r="B6190" s="130">
        <v>30</v>
      </c>
      <c r="C6190" s="130" t="s">
        <v>7814</v>
      </c>
      <c r="D6190">
        <v>336</v>
      </c>
      <c r="E6190" s="130">
        <v>5160695</v>
      </c>
      <c r="F6190" t="s">
        <v>87</v>
      </c>
      <c r="G6190">
        <v>78</v>
      </c>
      <c r="H6190" t="s">
        <v>8953</v>
      </c>
      <c r="I6190" s="130">
        <v>9</v>
      </c>
      <c r="J6190" t="s">
        <v>7814</v>
      </c>
      <c r="K6190" t="s">
        <v>108</v>
      </c>
      <c r="L6190" t="s">
        <v>125</v>
      </c>
      <c r="M6190" t="s">
        <v>103</v>
      </c>
      <c r="N6190" t="s">
        <v>107</v>
      </c>
      <c r="O6190" t="s">
        <v>1345</v>
      </c>
    </row>
    <row r="6191" spans="1:15" x14ac:dyDescent="0.3">
      <c r="A6191" s="130">
        <v>69491</v>
      </c>
      <c r="B6191" s="130">
        <v>18</v>
      </c>
      <c r="C6191" s="130" t="s">
        <v>7815</v>
      </c>
      <c r="D6191">
        <v>337</v>
      </c>
      <c r="E6191" s="130">
        <v>2367000</v>
      </c>
      <c r="F6191" t="s">
        <v>87</v>
      </c>
      <c r="G6191">
        <v>358</v>
      </c>
      <c r="H6191" t="s">
        <v>8951</v>
      </c>
      <c r="I6191" s="130">
        <v>24</v>
      </c>
      <c r="J6191" t="s">
        <v>7815</v>
      </c>
      <c r="K6191" t="s">
        <v>108</v>
      </c>
      <c r="L6191" t="s">
        <v>109</v>
      </c>
      <c r="M6191" t="s">
        <v>112</v>
      </c>
      <c r="N6191" t="s">
        <v>98</v>
      </c>
      <c r="O6191" t="s">
        <v>1345</v>
      </c>
    </row>
    <row r="6192" spans="1:15" x14ac:dyDescent="0.3">
      <c r="A6192" s="130">
        <v>69499</v>
      </c>
      <c r="B6192" s="130">
        <v>30</v>
      </c>
      <c r="C6192" s="130" t="s">
        <v>7816</v>
      </c>
      <c r="D6192">
        <v>338</v>
      </c>
      <c r="E6192" s="131">
        <v>25288906</v>
      </c>
      <c r="F6192" t="s">
        <v>87</v>
      </c>
      <c r="G6192">
        <v>77</v>
      </c>
      <c r="H6192" t="s">
        <v>8952</v>
      </c>
      <c r="I6192" s="131">
        <v>18</v>
      </c>
      <c r="J6192" t="s">
        <v>7816</v>
      </c>
      <c r="K6192" t="s">
        <v>95</v>
      </c>
      <c r="L6192" t="s">
        <v>115</v>
      </c>
      <c r="M6192" t="s">
        <v>103</v>
      </c>
      <c r="N6192" t="s">
        <v>98</v>
      </c>
      <c r="O6192" t="s">
        <v>1345</v>
      </c>
    </row>
    <row r="6193" spans="1:15" x14ac:dyDescent="0.3">
      <c r="A6193" s="130">
        <v>69515</v>
      </c>
      <c r="B6193" s="130">
        <v>30</v>
      </c>
      <c r="C6193" s="130" t="s">
        <v>7817</v>
      </c>
      <c r="D6193">
        <v>339</v>
      </c>
      <c r="E6193" s="131">
        <v>83646547</v>
      </c>
      <c r="F6193" t="s">
        <v>87</v>
      </c>
      <c r="G6193">
        <v>358</v>
      </c>
      <c r="H6193" t="s">
        <v>8953</v>
      </c>
      <c r="I6193" s="130">
        <v>10</v>
      </c>
      <c r="J6193" t="s">
        <v>7817</v>
      </c>
      <c r="K6193" t="s">
        <v>95</v>
      </c>
      <c r="L6193" t="s">
        <v>111</v>
      </c>
      <c r="M6193" t="s">
        <v>103</v>
      </c>
      <c r="N6193" t="s">
        <v>98</v>
      </c>
      <c r="O6193" t="s">
        <v>116</v>
      </c>
    </row>
    <row r="6194" spans="1:15" x14ac:dyDescent="0.3">
      <c r="A6194" s="130">
        <v>69520</v>
      </c>
      <c r="B6194" s="130">
        <v>18</v>
      </c>
      <c r="C6194" s="130" t="s">
        <v>7818</v>
      </c>
      <c r="D6194">
        <v>340</v>
      </c>
      <c r="E6194" s="131">
        <v>17159518</v>
      </c>
      <c r="F6194" t="s">
        <v>87</v>
      </c>
      <c r="G6194">
        <v>358</v>
      </c>
      <c r="H6194" t="s">
        <v>8951</v>
      </c>
      <c r="I6194" s="131">
        <v>2</v>
      </c>
      <c r="J6194" t="s">
        <v>7818</v>
      </c>
      <c r="K6194" t="s">
        <v>108</v>
      </c>
      <c r="L6194" t="s">
        <v>109</v>
      </c>
      <c r="M6194" t="s">
        <v>112</v>
      </c>
      <c r="N6194" t="s">
        <v>114</v>
      </c>
      <c r="O6194" t="s">
        <v>1345</v>
      </c>
    </row>
    <row r="6195" spans="1:15" x14ac:dyDescent="0.3">
      <c r="A6195" s="130">
        <v>69522</v>
      </c>
      <c r="B6195" s="130">
        <v>18</v>
      </c>
      <c r="C6195" s="130" t="s">
        <v>7819</v>
      </c>
      <c r="D6195">
        <v>341</v>
      </c>
      <c r="E6195" s="130">
        <v>9329077</v>
      </c>
      <c r="F6195" t="s">
        <v>87</v>
      </c>
      <c r="G6195">
        <v>358</v>
      </c>
      <c r="H6195" t="s">
        <v>8952</v>
      </c>
      <c r="I6195" s="130">
        <v>2</v>
      </c>
      <c r="J6195" t="s">
        <v>7819</v>
      </c>
      <c r="K6195" t="s">
        <v>108</v>
      </c>
      <c r="L6195" t="s">
        <v>109</v>
      </c>
      <c r="M6195" t="s">
        <v>112</v>
      </c>
      <c r="N6195" t="s">
        <v>98</v>
      </c>
      <c r="O6195" t="s">
        <v>1345</v>
      </c>
    </row>
    <row r="6196" spans="1:15" x14ac:dyDescent="0.3">
      <c r="A6196" s="130">
        <v>69524</v>
      </c>
      <c r="B6196" s="130">
        <v>60</v>
      </c>
      <c r="C6196" s="130" t="s">
        <v>7820</v>
      </c>
      <c r="D6196">
        <v>342</v>
      </c>
      <c r="E6196" s="130">
        <v>33534821</v>
      </c>
      <c r="F6196" t="s">
        <v>87</v>
      </c>
      <c r="G6196">
        <v>78</v>
      </c>
      <c r="H6196" t="s">
        <v>8953</v>
      </c>
      <c r="I6196" s="130">
        <v>2</v>
      </c>
      <c r="J6196" t="s">
        <v>7820</v>
      </c>
      <c r="K6196" t="s">
        <v>95</v>
      </c>
      <c r="L6196" t="s">
        <v>127</v>
      </c>
      <c r="M6196" t="s">
        <v>97</v>
      </c>
      <c r="N6196" t="s">
        <v>98</v>
      </c>
      <c r="O6196" t="s">
        <v>1345</v>
      </c>
    </row>
    <row r="6197" spans="1:15" x14ac:dyDescent="0.3">
      <c r="A6197" s="130">
        <v>69528</v>
      </c>
      <c r="B6197" s="130" t="s">
        <v>135</v>
      </c>
      <c r="C6197" s="130" t="s">
        <v>7821</v>
      </c>
      <c r="D6197">
        <v>343</v>
      </c>
      <c r="E6197" s="130">
        <v>83646547</v>
      </c>
      <c r="F6197" t="s">
        <v>87</v>
      </c>
      <c r="G6197">
        <v>358</v>
      </c>
      <c r="H6197" t="s">
        <v>8951</v>
      </c>
      <c r="I6197" s="130">
        <v>10</v>
      </c>
      <c r="J6197" t="s">
        <v>7821</v>
      </c>
      <c r="K6197" t="s">
        <v>95</v>
      </c>
      <c r="L6197" t="s">
        <v>105</v>
      </c>
      <c r="M6197" t="s">
        <v>136</v>
      </c>
      <c r="N6197" t="s">
        <v>114</v>
      </c>
      <c r="O6197" t="s">
        <v>116</v>
      </c>
    </row>
    <row r="6198" spans="1:15" x14ac:dyDescent="0.3">
      <c r="A6198" s="130">
        <v>69530</v>
      </c>
      <c r="B6198" s="130">
        <v>30</v>
      </c>
      <c r="C6198" s="130" t="s">
        <v>7822</v>
      </c>
      <c r="D6198">
        <v>344</v>
      </c>
      <c r="E6198" s="130">
        <v>24078780</v>
      </c>
      <c r="F6198" t="s">
        <v>87</v>
      </c>
      <c r="G6198">
        <v>78</v>
      </c>
      <c r="H6198" t="s">
        <v>8952</v>
      </c>
      <c r="I6198" s="131">
        <v>19</v>
      </c>
      <c r="J6198" t="s">
        <v>7822</v>
      </c>
      <c r="K6198" t="s">
        <v>108</v>
      </c>
      <c r="L6198" t="s">
        <v>146</v>
      </c>
      <c r="M6198" t="s">
        <v>103</v>
      </c>
      <c r="N6198" t="s">
        <v>114</v>
      </c>
      <c r="O6198" t="s">
        <v>1345</v>
      </c>
    </row>
    <row r="6199" spans="1:15" x14ac:dyDescent="0.3">
      <c r="A6199" s="130">
        <v>69539</v>
      </c>
      <c r="B6199" s="130">
        <v>28</v>
      </c>
      <c r="C6199" s="130" t="s">
        <v>7823</v>
      </c>
      <c r="D6199">
        <v>345</v>
      </c>
      <c r="E6199" s="130">
        <v>96298013</v>
      </c>
      <c r="F6199" t="s">
        <v>87</v>
      </c>
      <c r="G6199">
        <v>78</v>
      </c>
      <c r="H6199" t="s">
        <v>8953</v>
      </c>
      <c r="I6199" s="131">
        <v>24</v>
      </c>
      <c r="J6199" t="s">
        <v>7823</v>
      </c>
      <c r="K6199" t="s">
        <v>95</v>
      </c>
      <c r="L6199" t="s">
        <v>138</v>
      </c>
      <c r="M6199" t="s">
        <v>130</v>
      </c>
      <c r="N6199" t="s">
        <v>98</v>
      </c>
      <c r="O6199" t="s">
        <v>1345</v>
      </c>
    </row>
    <row r="6200" spans="1:15" x14ac:dyDescent="0.3">
      <c r="A6200" s="130">
        <v>69540</v>
      </c>
      <c r="B6200" s="130">
        <v>18</v>
      </c>
      <c r="C6200" s="130" t="s">
        <v>7824</v>
      </c>
      <c r="D6200">
        <v>346</v>
      </c>
      <c r="E6200" s="130">
        <v>9329077</v>
      </c>
      <c r="F6200" t="s">
        <v>87</v>
      </c>
      <c r="G6200">
        <v>358</v>
      </c>
      <c r="H6200" t="s">
        <v>8951</v>
      </c>
      <c r="I6200" s="131">
        <v>2</v>
      </c>
      <c r="J6200" t="s">
        <v>7824</v>
      </c>
      <c r="K6200" t="s">
        <v>108</v>
      </c>
      <c r="L6200" t="s">
        <v>99</v>
      </c>
      <c r="M6200" t="s">
        <v>112</v>
      </c>
      <c r="N6200" t="s">
        <v>98</v>
      </c>
      <c r="O6200" t="s">
        <v>1345</v>
      </c>
    </row>
    <row r="6201" spans="1:15" x14ac:dyDescent="0.3">
      <c r="A6201" s="130">
        <v>69542</v>
      </c>
      <c r="B6201" s="130">
        <v>30</v>
      </c>
      <c r="C6201" s="130" t="s">
        <v>7825</v>
      </c>
      <c r="D6201">
        <v>347</v>
      </c>
      <c r="E6201" s="130">
        <v>18133306</v>
      </c>
      <c r="F6201" t="s">
        <v>87</v>
      </c>
      <c r="G6201">
        <v>358</v>
      </c>
      <c r="H6201" t="s">
        <v>8952</v>
      </c>
      <c r="I6201" s="130">
        <v>2</v>
      </c>
      <c r="J6201" t="s">
        <v>7825</v>
      </c>
      <c r="K6201" t="s">
        <v>108</v>
      </c>
      <c r="L6201" t="s">
        <v>193</v>
      </c>
      <c r="M6201" t="s">
        <v>103</v>
      </c>
      <c r="N6201" t="s">
        <v>131</v>
      </c>
      <c r="O6201" t="s">
        <v>116</v>
      </c>
    </row>
    <row r="6202" spans="1:15" x14ac:dyDescent="0.3">
      <c r="A6202" s="130">
        <v>69543</v>
      </c>
      <c r="B6202" s="130">
        <v>18</v>
      </c>
      <c r="C6202" s="130" t="s">
        <v>7826</v>
      </c>
      <c r="D6202">
        <v>348</v>
      </c>
      <c r="E6202" s="131">
        <v>14427957</v>
      </c>
      <c r="F6202" t="s">
        <v>87</v>
      </c>
      <c r="G6202">
        <v>358</v>
      </c>
      <c r="H6202" t="s">
        <v>8953</v>
      </c>
      <c r="I6202" s="131">
        <v>2</v>
      </c>
      <c r="J6202" t="s">
        <v>7826</v>
      </c>
      <c r="K6202" t="s">
        <v>95</v>
      </c>
      <c r="L6202" t="s">
        <v>99</v>
      </c>
      <c r="M6202" t="s">
        <v>112</v>
      </c>
      <c r="N6202" t="s">
        <v>118</v>
      </c>
      <c r="O6202" t="s">
        <v>1345</v>
      </c>
    </row>
    <row r="6203" spans="1:15" x14ac:dyDescent="0.3">
      <c r="A6203" s="130">
        <v>69545</v>
      </c>
      <c r="B6203" s="130">
        <v>28</v>
      </c>
      <c r="C6203" s="130" t="s">
        <v>7827</v>
      </c>
      <c r="D6203">
        <v>349</v>
      </c>
      <c r="E6203" s="130">
        <v>28763819</v>
      </c>
      <c r="F6203" t="s">
        <v>87</v>
      </c>
      <c r="G6203">
        <v>358</v>
      </c>
      <c r="H6203" t="s">
        <v>8951</v>
      </c>
      <c r="I6203" s="130">
        <v>10</v>
      </c>
      <c r="J6203" t="s">
        <v>7827</v>
      </c>
      <c r="K6203" t="s">
        <v>108</v>
      </c>
      <c r="L6203" t="s">
        <v>127</v>
      </c>
      <c r="M6203" t="s">
        <v>130</v>
      </c>
      <c r="N6203" t="s">
        <v>114</v>
      </c>
      <c r="O6203" t="s">
        <v>116</v>
      </c>
    </row>
    <row r="6204" spans="1:15" x14ac:dyDescent="0.3">
      <c r="A6204" s="130">
        <v>69553</v>
      </c>
      <c r="B6204" s="130">
        <v>30</v>
      </c>
      <c r="C6204" s="130" t="s">
        <v>7828</v>
      </c>
      <c r="D6204">
        <v>350</v>
      </c>
      <c r="E6204" s="130">
        <v>5451496</v>
      </c>
      <c r="F6204" t="s">
        <v>87</v>
      </c>
      <c r="G6204">
        <v>358</v>
      </c>
      <c r="H6204" t="s">
        <v>8952</v>
      </c>
      <c r="I6204" s="130">
        <v>2</v>
      </c>
      <c r="J6204" t="s">
        <v>7828</v>
      </c>
      <c r="K6204" t="s">
        <v>95</v>
      </c>
      <c r="L6204" t="s">
        <v>153</v>
      </c>
      <c r="M6204" t="s">
        <v>103</v>
      </c>
      <c r="N6204" t="s">
        <v>101</v>
      </c>
      <c r="O6204" t="s">
        <v>1345</v>
      </c>
    </row>
    <row r="6205" spans="1:15" x14ac:dyDescent="0.3">
      <c r="A6205" s="130">
        <v>69554</v>
      </c>
      <c r="B6205" s="130">
        <v>30</v>
      </c>
      <c r="C6205" s="130" t="s">
        <v>7829</v>
      </c>
      <c r="D6205">
        <v>351</v>
      </c>
      <c r="E6205" s="131">
        <v>5451496</v>
      </c>
      <c r="F6205" t="s">
        <v>87</v>
      </c>
      <c r="G6205">
        <v>358</v>
      </c>
      <c r="H6205" t="s">
        <v>8953</v>
      </c>
      <c r="I6205" s="131">
        <v>2</v>
      </c>
      <c r="J6205" t="s">
        <v>7829</v>
      </c>
      <c r="K6205" t="s">
        <v>95</v>
      </c>
      <c r="L6205" t="s">
        <v>99</v>
      </c>
      <c r="M6205" t="s">
        <v>103</v>
      </c>
      <c r="N6205" t="s">
        <v>101</v>
      </c>
      <c r="O6205" t="s">
        <v>1345</v>
      </c>
    </row>
    <row r="6206" spans="1:15" x14ac:dyDescent="0.3">
      <c r="A6206" s="130">
        <v>69555</v>
      </c>
      <c r="B6206" s="130">
        <v>30</v>
      </c>
      <c r="C6206" s="130" t="s">
        <v>7830</v>
      </c>
      <c r="D6206">
        <v>352</v>
      </c>
      <c r="E6206" s="131">
        <v>5451496</v>
      </c>
      <c r="F6206" t="s">
        <v>87</v>
      </c>
      <c r="G6206">
        <v>358</v>
      </c>
      <c r="H6206" t="s">
        <v>8951</v>
      </c>
      <c r="I6206" s="130">
        <v>2</v>
      </c>
      <c r="J6206" t="s">
        <v>7830</v>
      </c>
      <c r="K6206" t="s">
        <v>95</v>
      </c>
      <c r="L6206" t="s">
        <v>99</v>
      </c>
      <c r="M6206" t="s">
        <v>103</v>
      </c>
      <c r="N6206" t="s">
        <v>101</v>
      </c>
      <c r="O6206" t="s">
        <v>1345</v>
      </c>
    </row>
    <row r="6207" spans="1:15" x14ac:dyDescent="0.3">
      <c r="A6207" s="130">
        <v>69574</v>
      </c>
      <c r="B6207" s="130">
        <v>18</v>
      </c>
      <c r="C6207" s="130" t="s">
        <v>7831</v>
      </c>
      <c r="D6207">
        <v>353</v>
      </c>
      <c r="E6207" s="130">
        <v>32523004</v>
      </c>
      <c r="F6207" t="s">
        <v>87</v>
      </c>
      <c r="G6207">
        <v>78</v>
      </c>
      <c r="H6207" t="s">
        <v>8952</v>
      </c>
      <c r="I6207" s="131">
        <v>24</v>
      </c>
      <c r="J6207" t="s">
        <v>7831</v>
      </c>
      <c r="K6207" t="s">
        <v>108</v>
      </c>
      <c r="L6207" t="s">
        <v>109</v>
      </c>
      <c r="M6207" t="s">
        <v>112</v>
      </c>
      <c r="N6207" t="s">
        <v>150</v>
      </c>
      <c r="O6207" t="s">
        <v>1345</v>
      </c>
    </row>
    <row r="6208" spans="1:15" x14ac:dyDescent="0.3">
      <c r="A6208" s="130">
        <v>69588</v>
      </c>
      <c r="B6208" s="130">
        <v>28</v>
      </c>
      <c r="C6208" s="130" t="s">
        <v>7832</v>
      </c>
      <c r="D6208">
        <v>354</v>
      </c>
      <c r="E6208" s="131">
        <v>33511860</v>
      </c>
      <c r="F6208" t="s">
        <v>87</v>
      </c>
      <c r="G6208">
        <v>77</v>
      </c>
      <c r="H6208" t="s">
        <v>8953</v>
      </c>
      <c r="I6208" s="131">
        <v>2</v>
      </c>
      <c r="J6208" t="s">
        <v>7832</v>
      </c>
      <c r="K6208" t="s">
        <v>95</v>
      </c>
      <c r="L6208" t="s">
        <v>117</v>
      </c>
      <c r="M6208" t="s">
        <v>130</v>
      </c>
      <c r="N6208" t="s">
        <v>98</v>
      </c>
      <c r="O6208" t="s">
        <v>1345</v>
      </c>
    </row>
    <row r="6209" spans="1:15" x14ac:dyDescent="0.3">
      <c r="A6209" s="130">
        <v>69595</v>
      </c>
      <c r="B6209" s="130">
        <v>60</v>
      </c>
      <c r="C6209" s="130" t="s">
        <v>7833</v>
      </c>
      <c r="D6209">
        <v>355</v>
      </c>
      <c r="E6209" s="130">
        <v>33968740</v>
      </c>
      <c r="F6209" t="s">
        <v>87</v>
      </c>
      <c r="G6209">
        <v>358</v>
      </c>
      <c r="H6209" t="s">
        <v>8951</v>
      </c>
      <c r="I6209" s="131">
        <v>2</v>
      </c>
      <c r="J6209" t="s">
        <v>7833</v>
      </c>
      <c r="K6209" t="s">
        <v>95</v>
      </c>
      <c r="L6209" t="s">
        <v>109</v>
      </c>
      <c r="M6209" t="s">
        <v>97</v>
      </c>
      <c r="N6209" t="s">
        <v>98</v>
      </c>
      <c r="O6209" t="s">
        <v>116</v>
      </c>
    </row>
    <row r="6210" spans="1:15" x14ac:dyDescent="0.3">
      <c r="A6210" s="130">
        <v>69603</v>
      </c>
      <c r="B6210" s="130">
        <v>18</v>
      </c>
      <c r="C6210" s="130" t="s">
        <v>7834</v>
      </c>
      <c r="D6210">
        <v>356</v>
      </c>
      <c r="E6210" s="131">
        <v>33274094</v>
      </c>
      <c r="F6210" t="s">
        <v>87</v>
      </c>
      <c r="G6210">
        <v>78</v>
      </c>
      <c r="H6210" t="s">
        <v>8952</v>
      </c>
      <c r="I6210" s="131">
        <v>26</v>
      </c>
      <c r="J6210" t="s">
        <v>7834</v>
      </c>
      <c r="K6210" t="s">
        <v>108</v>
      </c>
      <c r="L6210" t="s">
        <v>151</v>
      </c>
      <c r="M6210" t="s">
        <v>112</v>
      </c>
      <c r="N6210" t="s">
        <v>98</v>
      </c>
      <c r="O6210" t="s">
        <v>1345</v>
      </c>
    </row>
    <row r="6211" spans="1:15" x14ac:dyDescent="0.3">
      <c r="A6211" s="130">
        <v>69626</v>
      </c>
      <c r="B6211" s="130">
        <v>18</v>
      </c>
      <c r="C6211" s="130" t="s">
        <v>7835</v>
      </c>
      <c r="D6211">
        <v>357</v>
      </c>
      <c r="E6211" s="131">
        <v>15363867</v>
      </c>
      <c r="F6211" t="s">
        <v>87</v>
      </c>
      <c r="G6211">
        <v>358</v>
      </c>
      <c r="H6211" t="s">
        <v>8953</v>
      </c>
      <c r="I6211" s="130">
        <v>18</v>
      </c>
      <c r="J6211" t="s">
        <v>7835</v>
      </c>
      <c r="K6211" t="s">
        <v>95</v>
      </c>
      <c r="L6211" t="s">
        <v>105</v>
      </c>
      <c r="M6211" t="s">
        <v>112</v>
      </c>
      <c r="N6211" t="s">
        <v>98</v>
      </c>
      <c r="O6211" t="s">
        <v>1345</v>
      </c>
    </row>
    <row r="6212" spans="1:15" x14ac:dyDescent="0.3">
      <c r="A6212" s="130">
        <v>69632</v>
      </c>
      <c r="B6212" s="130">
        <v>18</v>
      </c>
      <c r="C6212" s="130" t="s">
        <v>7836</v>
      </c>
      <c r="D6212">
        <v>358</v>
      </c>
      <c r="E6212" s="130">
        <v>4727090</v>
      </c>
      <c r="F6212" t="s">
        <v>87</v>
      </c>
      <c r="G6212">
        <v>358</v>
      </c>
      <c r="H6212" t="s">
        <v>8951</v>
      </c>
      <c r="I6212" s="131">
        <v>2</v>
      </c>
      <c r="J6212" t="s">
        <v>7836</v>
      </c>
      <c r="K6212" t="s">
        <v>108</v>
      </c>
      <c r="L6212" t="s">
        <v>105</v>
      </c>
      <c r="M6212" t="s">
        <v>112</v>
      </c>
      <c r="N6212" t="s">
        <v>101</v>
      </c>
      <c r="O6212" t="s">
        <v>1345</v>
      </c>
    </row>
    <row r="6213" spans="1:15" x14ac:dyDescent="0.3">
      <c r="A6213" s="130">
        <v>69649</v>
      </c>
      <c r="B6213" s="130">
        <v>28</v>
      </c>
      <c r="C6213" s="130" t="s">
        <v>7837</v>
      </c>
      <c r="D6213">
        <v>359</v>
      </c>
      <c r="E6213" s="131">
        <v>34062393</v>
      </c>
      <c r="F6213" t="s">
        <v>87</v>
      </c>
      <c r="G6213">
        <v>78</v>
      </c>
      <c r="H6213" t="s">
        <v>8952</v>
      </c>
      <c r="I6213" s="131">
        <v>24</v>
      </c>
      <c r="J6213" t="s">
        <v>7837</v>
      </c>
      <c r="K6213" t="s">
        <v>95</v>
      </c>
      <c r="L6213" t="s">
        <v>138</v>
      </c>
      <c r="M6213" t="s">
        <v>130</v>
      </c>
      <c r="N6213" t="s">
        <v>150</v>
      </c>
      <c r="O6213" t="s">
        <v>1345</v>
      </c>
    </row>
    <row r="6214" spans="1:15" x14ac:dyDescent="0.3">
      <c r="A6214" s="130">
        <v>69656</v>
      </c>
      <c r="B6214" s="130">
        <v>18</v>
      </c>
      <c r="C6214" s="130" t="s">
        <v>7838</v>
      </c>
      <c r="D6214">
        <v>360</v>
      </c>
      <c r="E6214" s="131">
        <v>5877181</v>
      </c>
      <c r="F6214" t="s">
        <v>87</v>
      </c>
      <c r="G6214">
        <v>358</v>
      </c>
      <c r="H6214" t="s">
        <v>8953</v>
      </c>
      <c r="I6214" s="130">
        <v>2</v>
      </c>
      <c r="J6214" t="s">
        <v>7838</v>
      </c>
      <c r="K6214" t="s">
        <v>108</v>
      </c>
      <c r="L6214" t="s">
        <v>111</v>
      </c>
      <c r="M6214" t="s">
        <v>112</v>
      </c>
      <c r="N6214" t="s">
        <v>98</v>
      </c>
      <c r="O6214" t="s">
        <v>1345</v>
      </c>
    </row>
    <row r="6215" spans="1:15" x14ac:dyDescent="0.3">
      <c r="A6215" s="130">
        <v>69657</v>
      </c>
      <c r="B6215" s="130">
        <v>30</v>
      </c>
      <c r="C6215" s="130" t="s">
        <v>7839</v>
      </c>
      <c r="D6215">
        <v>361</v>
      </c>
      <c r="E6215" s="130">
        <v>7522191</v>
      </c>
      <c r="F6215" t="s">
        <v>87</v>
      </c>
      <c r="G6215">
        <v>78</v>
      </c>
      <c r="H6215" t="s">
        <v>8951</v>
      </c>
      <c r="I6215" s="130">
        <v>9</v>
      </c>
      <c r="J6215" t="s">
        <v>7839</v>
      </c>
      <c r="K6215" t="s">
        <v>95</v>
      </c>
      <c r="L6215" t="s">
        <v>125</v>
      </c>
      <c r="M6215" t="s">
        <v>103</v>
      </c>
      <c r="N6215" t="s">
        <v>114</v>
      </c>
      <c r="O6215" t="s">
        <v>1345</v>
      </c>
    </row>
    <row r="6216" spans="1:15" x14ac:dyDescent="0.3">
      <c r="A6216" s="130">
        <v>69673</v>
      </c>
      <c r="B6216" s="130">
        <v>-1</v>
      </c>
      <c r="C6216" s="130" t="s">
        <v>7840</v>
      </c>
      <c r="D6216">
        <v>362</v>
      </c>
      <c r="E6216" s="130">
        <v>16382339</v>
      </c>
      <c r="F6216" t="s">
        <v>87</v>
      </c>
      <c r="G6216">
        <v>358</v>
      </c>
      <c r="H6216" t="s">
        <v>8952</v>
      </c>
      <c r="I6216" s="130">
        <v>2</v>
      </c>
      <c r="J6216" t="s">
        <v>7840</v>
      </c>
      <c r="K6216" t="s">
        <v>108</v>
      </c>
      <c r="L6216" t="s">
        <v>111</v>
      </c>
      <c r="M6216" t="s">
        <v>174</v>
      </c>
      <c r="N6216" t="s">
        <v>132</v>
      </c>
      <c r="O6216" t="s">
        <v>116</v>
      </c>
    </row>
    <row r="6217" spans="1:15" x14ac:dyDescent="0.3">
      <c r="A6217" s="130">
        <v>69674</v>
      </c>
      <c r="B6217" s="130">
        <v>60</v>
      </c>
      <c r="C6217" s="130" t="s">
        <v>7841</v>
      </c>
      <c r="D6217">
        <v>363</v>
      </c>
      <c r="E6217" s="130">
        <v>33592510</v>
      </c>
      <c r="F6217" t="s">
        <v>87</v>
      </c>
      <c r="G6217">
        <v>77</v>
      </c>
      <c r="H6217" t="s">
        <v>8953</v>
      </c>
      <c r="I6217" s="131">
        <v>2</v>
      </c>
      <c r="J6217" t="s">
        <v>7841</v>
      </c>
      <c r="K6217" t="s">
        <v>95</v>
      </c>
      <c r="L6217" t="s">
        <v>117</v>
      </c>
      <c r="M6217" t="s">
        <v>97</v>
      </c>
      <c r="N6217" t="s">
        <v>118</v>
      </c>
      <c r="O6217" t="s">
        <v>116</v>
      </c>
    </row>
    <row r="6218" spans="1:15" x14ac:dyDescent="0.3">
      <c r="A6218" s="130">
        <v>69676</v>
      </c>
      <c r="B6218" s="130">
        <v>18</v>
      </c>
      <c r="C6218" s="130" t="s">
        <v>7842</v>
      </c>
      <c r="D6218">
        <v>364</v>
      </c>
      <c r="E6218" s="130">
        <v>72030927</v>
      </c>
      <c r="F6218" t="s">
        <v>87</v>
      </c>
      <c r="G6218">
        <v>78</v>
      </c>
      <c r="H6218" t="s">
        <v>8951</v>
      </c>
      <c r="I6218" s="131">
        <v>18</v>
      </c>
      <c r="J6218" t="s">
        <v>7842</v>
      </c>
      <c r="K6218" t="s">
        <v>108</v>
      </c>
      <c r="L6218" t="s">
        <v>123</v>
      </c>
      <c r="M6218" t="s">
        <v>112</v>
      </c>
      <c r="N6218" t="s">
        <v>98</v>
      </c>
      <c r="O6218" t="s">
        <v>1345</v>
      </c>
    </row>
    <row r="6219" spans="1:15" x14ac:dyDescent="0.3">
      <c r="A6219" s="130">
        <v>69688</v>
      </c>
      <c r="B6219" s="130">
        <v>18</v>
      </c>
      <c r="C6219" s="130" t="s">
        <v>7843</v>
      </c>
      <c r="D6219">
        <v>365</v>
      </c>
      <c r="E6219" s="130">
        <v>64945298</v>
      </c>
      <c r="F6219" t="s">
        <v>87</v>
      </c>
      <c r="G6219">
        <v>78</v>
      </c>
      <c r="H6219" t="s">
        <v>8952</v>
      </c>
      <c r="I6219" s="131">
        <v>38</v>
      </c>
      <c r="J6219" t="s">
        <v>7843</v>
      </c>
      <c r="K6219" t="s">
        <v>108</v>
      </c>
      <c r="L6219" t="s">
        <v>126</v>
      </c>
      <c r="M6219" t="s">
        <v>112</v>
      </c>
      <c r="N6219" t="s">
        <v>98</v>
      </c>
      <c r="O6219" t="s">
        <v>1345</v>
      </c>
    </row>
    <row r="6220" spans="1:15" x14ac:dyDescent="0.3">
      <c r="A6220" s="130">
        <v>69689</v>
      </c>
      <c r="B6220" s="130">
        <v>18</v>
      </c>
      <c r="C6220" s="130" t="s">
        <v>7844</v>
      </c>
      <c r="D6220">
        <v>366</v>
      </c>
      <c r="E6220" s="130">
        <v>3018137</v>
      </c>
      <c r="F6220" t="s">
        <v>87</v>
      </c>
      <c r="G6220">
        <v>78</v>
      </c>
      <c r="H6220" t="s">
        <v>8953</v>
      </c>
      <c r="I6220" s="131">
        <v>19</v>
      </c>
      <c r="J6220" t="s">
        <v>7844</v>
      </c>
      <c r="K6220" t="s">
        <v>108</v>
      </c>
      <c r="L6220" t="s">
        <v>146</v>
      </c>
      <c r="M6220" t="s">
        <v>112</v>
      </c>
      <c r="N6220" t="s">
        <v>101</v>
      </c>
      <c r="O6220" t="s">
        <v>116</v>
      </c>
    </row>
    <row r="6221" spans="1:15" x14ac:dyDescent="0.3">
      <c r="A6221" s="130">
        <v>69690</v>
      </c>
      <c r="B6221" s="130">
        <v>30</v>
      </c>
      <c r="C6221" s="130" t="s">
        <v>7845</v>
      </c>
      <c r="D6221">
        <v>367</v>
      </c>
      <c r="E6221" s="130">
        <v>19727473</v>
      </c>
      <c r="F6221" t="s">
        <v>87</v>
      </c>
      <c r="G6221">
        <v>358</v>
      </c>
      <c r="H6221" t="s">
        <v>8951</v>
      </c>
      <c r="I6221" s="131">
        <v>2</v>
      </c>
      <c r="J6221" t="s">
        <v>7845</v>
      </c>
      <c r="K6221" t="s">
        <v>108</v>
      </c>
      <c r="L6221" t="s">
        <v>99</v>
      </c>
      <c r="M6221" t="s">
        <v>103</v>
      </c>
      <c r="N6221" t="s">
        <v>98</v>
      </c>
      <c r="O6221" t="s">
        <v>1345</v>
      </c>
    </row>
    <row r="6222" spans="1:15" x14ac:dyDescent="0.3">
      <c r="A6222" s="130">
        <v>69693</v>
      </c>
      <c r="B6222" s="130">
        <v>18</v>
      </c>
      <c r="C6222" s="130" t="s">
        <v>7846</v>
      </c>
      <c r="D6222">
        <v>368</v>
      </c>
      <c r="E6222" s="130">
        <v>14551685</v>
      </c>
      <c r="F6222" t="s">
        <v>87</v>
      </c>
      <c r="G6222">
        <v>358</v>
      </c>
      <c r="H6222" t="s">
        <v>8952</v>
      </c>
      <c r="I6222" s="131">
        <v>2</v>
      </c>
      <c r="J6222" t="s">
        <v>7846</v>
      </c>
      <c r="K6222" t="s">
        <v>108</v>
      </c>
      <c r="L6222" t="s">
        <v>153</v>
      </c>
      <c r="M6222" t="s">
        <v>112</v>
      </c>
      <c r="N6222" t="s">
        <v>118</v>
      </c>
      <c r="O6222" t="s">
        <v>116</v>
      </c>
    </row>
    <row r="6223" spans="1:15" x14ac:dyDescent="0.3">
      <c r="A6223" s="130">
        <v>69698</v>
      </c>
      <c r="B6223" s="130">
        <v>30</v>
      </c>
      <c r="C6223" s="130" t="s">
        <v>7847</v>
      </c>
      <c r="D6223">
        <v>369</v>
      </c>
      <c r="E6223" s="131">
        <v>33968740</v>
      </c>
      <c r="F6223" t="s">
        <v>87</v>
      </c>
      <c r="G6223">
        <v>78</v>
      </c>
      <c r="H6223" t="s">
        <v>8953</v>
      </c>
      <c r="I6223" s="131">
        <v>2</v>
      </c>
      <c r="J6223" t="s">
        <v>7847</v>
      </c>
      <c r="K6223" t="s">
        <v>95</v>
      </c>
      <c r="L6223" t="s">
        <v>111</v>
      </c>
      <c r="M6223" t="s">
        <v>103</v>
      </c>
      <c r="N6223" t="s">
        <v>98</v>
      </c>
      <c r="O6223" t="s">
        <v>116</v>
      </c>
    </row>
    <row r="6224" spans="1:15" x14ac:dyDescent="0.3">
      <c r="A6224" s="130">
        <v>69705</v>
      </c>
      <c r="B6224" s="130">
        <v>18</v>
      </c>
      <c r="C6224" s="130" t="s">
        <v>7848</v>
      </c>
      <c r="D6224">
        <v>370</v>
      </c>
      <c r="E6224" s="130">
        <v>5925052</v>
      </c>
      <c r="F6224" t="s">
        <v>87</v>
      </c>
      <c r="G6224">
        <v>78</v>
      </c>
      <c r="H6224" t="s">
        <v>8951</v>
      </c>
      <c r="I6224" s="130">
        <v>38</v>
      </c>
      <c r="J6224" t="s">
        <v>7848</v>
      </c>
      <c r="K6224" t="s">
        <v>108</v>
      </c>
      <c r="L6224" t="s">
        <v>126</v>
      </c>
      <c r="M6224" t="s">
        <v>112</v>
      </c>
      <c r="N6224" t="s">
        <v>141</v>
      </c>
      <c r="O6224" t="s">
        <v>1345</v>
      </c>
    </row>
    <row r="6225" spans="1:15" x14ac:dyDescent="0.3">
      <c r="A6225" s="130">
        <v>69711</v>
      </c>
      <c r="B6225" s="130">
        <v>18</v>
      </c>
      <c r="C6225" s="130" t="s">
        <v>7849</v>
      </c>
      <c r="D6225">
        <v>371</v>
      </c>
      <c r="E6225" s="130">
        <v>32621172</v>
      </c>
      <c r="F6225" t="s">
        <v>87</v>
      </c>
      <c r="G6225">
        <v>78</v>
      </c>
      <c r="H6225" t="s">
        <v>8952</v>
      </c>
      <c r="I6225" s="130">
        <v>18</v>
      </c>
      <c r="J6225" t="s">
        <v>7849</v>
      </c>
      <c r="K6225" t="s">
        <v>108</v>
      </c>
      <c r="L6225" t="s">
        <v>123</v>
      </c>
      <c r="M6225" t="s">
        <v>112</v>
      </c>
      <c r="N6225" t="s">
        <v>98</v>
      </c>
      <c r="O6225" t="s">
        <v>1345</v>
      </c>
    </row>
    <row r="6226" spans="1:15" x14ac:dyDescent="0.3">
      <c r="A6226" s="130">
        <v>69718</v>
      </c>
      <c r="B6226" s="130">
        <v>18</v>
      </c>
      <c r="C6226" s="130" t="s">
        <v>7850</v>
      </c>
      <c r="D6226">
        <v>372</v>
      </c>
      <c r="E6226" s="130">
        <v>9329077</v>
      </c>
      <c r="F6226" t="s">
        <v>87</v>
      </c>
      <c r="G6226">
        <v>358</v>
      </c>
      <c r="H6226" t="s">
        <v>8953</v>
      </c>
      <c r="I6226" s="131">
        <v>2</v>
      </c>
      <c r="J6226" t="s">
        <v>7850</v>
      </c>
      <c r="K6226" t="s">
        <v>108</v>
      </c>
      <c r="L6226" t="s">
        <v>109</v>
      </c>
      <c r="M6226" t="s">
        <v>112</v>
      </c>
      <c r="N6226" t="s">
        <v>98</v>
      </c>
      <c r="O6226" t="s">
        <v>1345</v>
      </c>
    </row>
    <row r="6227" spans="1:15" x14ac:dyDescent="0.3">
      <c r="A6227" s="130">
        <v>69725</v>
      </c>
      <c r="B6227" s="130">
        <v>18</v>
      </c>
      <c r="C6227" s="130" t="s">
        <v>7851</v>
      </c>
      <c r="D6227">
        <v>373</v>
      </c>
      <c r="E6227" s="131">
        <v>11520665</v>
      </c>
      <c r="F6227" t="s">
        <v>87</v>
      </c>
      <c r="G6227">
        <v>78</v>
      </c>
      <c r="H6227" t="s">
        <v>8951</v>
      </c>
      <c r="I6227" s="131">
        <v>19</v>
      </c>
      <c r="J6227" t="s">
        <v>7851</v>
      </c>
      <c r="K6227" t="s">
        <v>108</v>
      </c>
      <c r="L6227" t="s">
        <v>146</v>
      </c>
      <c r="M6227" t="s">
        <v>112</v>
      </c>
      <c r="N6227" t="s">
        <v>98</v>
      </c>
      <c r="O6227" t="s">
        <v>116</v>
      </c>
    </row>
    <row r="6228" spans="1:15" x14ac:dyDescent="0.3">
      <c r="A6228" s="130">
        <v>69739</v>
      </c>
      <c r="B6228" s="130">
        <v>30</v>
      </c>
      <c r="C6228" s="130" t="s">
        <v>7852</v>
      </c>
      <c r="D6228">
        <v>374</v>
      </c>
      <c r="E6228" s="131">
        <v>91894774</v>
      </c>
      <c r="F6228" t="s">
        <v>87</v>
      </c>
      <c r="G6228">
        <v>77</v>
      </c>
      <c r="H6228" t="s">
        <v>8952</v>
      </c>
      <c r="I6228" s="130">
        <v>2</v>
      </c>
      <c r="J6228" t="s">
        <v>7852</v>
      </c>
      <c r="K6228" t="s">
        <v>95</v>
      </c>
      <c r="L6228" t="s">
        <v>117</v>
      </c>
      <c r="M6228" t="s">
        <v>103</v>
      </c>
      <c r="N6228" t="s">
        <v>98</v>
      </c>
      <c r="O6228" t="s">
        <v>1345</v>
      </c>
    </row>
    <row r="6229" spans="1:15" x14ac:dyDescent="0.3">
      <c r="A6229" s="130">
        <v>69742</v>
      </c>
      <c r="B6229" s="130">
        <v>30</v>
      </c>
      <c r="C6229" s="130" t="s">
        <v>7853</v>
      </c>
      <c r="D6229">
        <v>375</v>
      </c>
      <c r="E6229" s="131">
        <v>1704488</v>
      </c>
      <c r="F6229" t="s">
        <v>87</v>
      </c>
      <c r="G6229">
        <v>358</v>
      </c>
      <c r="H6229" t="s">
        <v>8953</v>
      </c>
      <c r="I6229" s="131">
        <v>2</v>
      </c>
      <c r="J6229" t="s">
        <v>7853</v>
      </c>
      <c r="K6229" t="s">
        <v>108</v>
      </c>
      <c r="L6229" t="s">
        <v>99</v>
      </c>
      <c r="M6229" t="s">
        <v>103</v>
      </c>
      <c r="N6229" t="s">
        <v>98</v>
      </c>
      <c r="O6229" t="s">
        <v>1345</v>
      </c>
    </row>
    <row r="6230" spans="1:15" x14ac:dyDescent="0.3">
      <c r="A6230" s="130">
        <v>69746</v>
      </c>
      <c r="B6230" s="130">
        <v>30</v>
      </c>
      <c r="C6230" s="130" t="s">
        <v>7854</v>
      </c>
      <c r="D6230">
        <v>376</v>
      </c>
      <c r="E6230" s="131">
        <v>6094474</v>
      </c>
      <c r="F6230" t="s">
        <v>87</v>
      </c>
      <c r="G6230">
        <v>78</v>
      </c>
      <c r="H6230" t="s">
        <v>8951</v>
      </c>
      <c r="I6230" s="130">
        <v>10</v>
      </c>
      <c r="J6230" t="s">
        <v>7854</v>
      </c>
      <c r="K6230" t="s">
        <v>95</v>
      </c>
      <c r="L6230" t="s">
        <v>127</v>
      </c>
      <c r="M6230" t="s">
        <v>103</v>
      </c>
      <c r="N6230" t="s">
        <v>101</v>
      </c>
      <c r="O6230" t="s">
        <v>1345</v>
      </c>
    </row>
    <row r="6231" spans="1:15" x14ac:dyDescent="0.3">
      <c r="A6231" s="130">
        <v>69752</v>
      </c>
      <c r="B6231" s="130">
        <v>30</v>
      </c>
      <c r="C6231" s="130" t="s">
        <v>7855</v>
      </c>
      <c r="D6231">
        <v>377</v>
      </c>
      <c r="E6231" s="130">
        <v>6094474</v>
      </c>
      <c r="F6231" t="s">
        <v>87</v>
      </c>
      <c r="G6231">
        <v>78</v>
      </c>
      <c r="H6231" t="s">
        <v>8952</v>
      </c>
      <c r="I6231" s="131">
        <v>10</v>
      </c>
      <c r="J6231" t="s">
        <v>7855</v>
      </c>
      <c r="K6231" t="s">
        <v>95</v>
      </c>
      <c r="L6231" t="s">
        <v>127</v>
      </c>
      <c r="M6231" t="s">
        <v>103</v>
      </c>
      <c r="N6231" t="s">
        <v>101</v>
      </c>
      <c r="O6231" t="s">
        <v>1345</v>
      </c>
    </row>
    <row r="6232" spans="1:15" x14ac:dyDescent="0.3">
      <c r="A6232" s="130">
        <v>69758</v>
      </c>
      <c r="B6232" s="130">
        <v>18</v>
      </c>
      <c r="C6232" s="130" t="s">
        <v>7856</v>
      </c>
      <c r="D6232">
        <v>378</v>
      </c>
      <c r="E6232" s="130">
        <v>26884884</v>
      </c>
      <c r="F6232" t="s">
        <v>87</v>
      </c>
      <c r="G6232">
        <v>358</v>
      </c>
      <c r="H6232" t="s">
        <v>8953</v>
      </c>
      <c r="I6232" s="130">
        <v>19</v>
      </c>
      <c r="J6232" t="s">
        <v>7856</v>
      </c>
      <c r="K6232" t="s">
        <v>108</v>
      </c>
      <c r="L6232" t="s">
        <v>105</v>
      </c>
      <c r="M6232" t="s">
        <v>112</v>
      </c>
      <c r="N6232" t="s">
        <v>122</v>
      </c>
      <c r="O6232" t="s">
        <v>1345</v>
      </c>
    </row>
    <row r="6233" spans="1:15" x14ac:dyDescent="0.3">
      <c r="A6233" s="130">
        <v>69762</v>
      </c>
      <c r="B6233" s="130">
        <v>30</v>
      </c>
      <c r="C6233" s="130" t="s">
        <v>7857</v>
      </c>
      <c r="D6233">
        <v>379</v>
      </c>
      <c r="E6233" s="130">
        <v>15315406</v>
      </c>
      <c r="F6233" t="s">
        <v>87</v>
      </c>
      <c r="G6233">
        <v>77</v>
      </c>
      <c r="H6233" t="s">
        <v>8951</v>
      </c>
      <c r="I6233" s="130">
        <v>2</v>
      </c>
      <c r="J6233" t="s">
        <v>7857</v>
      </c>
      <c r="K6233" t="s">
        <v>95</v>
      </c>
      <c r="L6233" t="s">
        <v>256</v>
      </c>
      <c r="M6233" t="s">
        <v>103</v>
      </c>
      <c r="N6233" t="s">
        <v>150</v>
      </c>
      <c r="O6233" t="s">
        <v>1345</v>
      </c>
    </row>
    <row r="6234" spans="1:15" x14ac:dyDescent="0.3">
      <c r="A6234" s="130">
        <v>69771</v>
      </c>
      <c r="B6234" s="130">
        <v>18</v>
      </c>
      <c r="C6234" s="130" t="s">
        <v>7858</v>
      </c>
      <c r="D6234">
        <v>380</v>
      </c>
      <c r="E6234" s="130">
        <v>1738526</v>
      </c>
      <c r="F6234" t="s">
        <v>87</v>
      </c>
      <c r="G6234">
        <v>78</v>
      </c>
      <c r="H6234" t="s">
        <v>8952</v>
      </c>
      <c r="I6234" s="130">
        <v>18</v>
      </c>
      <c r="J6234" t="s">
        <v>7858</v>
      </c>
      <c r="K6234" t="s">
        <v>108</v>
      </c>
      <c r="L6234" t="s">
        <v>123</v>
      </c>
      <c r="M6234" t="s">
        <v>112</v>
      </c>
      <c r="N6234" t="s">
        <v>98</v>
      </c>
      <c r="O6234" t="s">
        <v>1345</v>
      </c>
    </row>
    <row r="6235" spans="1:15" x14ac:dyDescent="0.3">
      <c r="A6235" s="130">
        <v>69784</v>
      </c>
      <c r="B6235" s="130">
        <v>28</v>
      </c>
      <c r="C6235" s="130" t="s">
        <v>7859</v>
      </c>
      <c r="D6235">
        <v>381</v>
      </c>
      <c r="E6235" s="130">
        <v>32322888</v>
      </c>
      <c r="F6235" t="s">
        <v>87</v>
      </c>
      <c r="G6235">
        <v>358</v>
      </c>
      <c r="H6235" t="s">
        <v>8953</v>
      </c>
      <c r="I6235" s="130">
        <v>2</v>
      </c>
      <c r="J6235" t="s">
        <v>7859</v>
      </c>
      <c r="K6235" t="s">
        <v>108</v>
      </c>
      <c r="L6235" t="s">
        <v>109</v>
      </c>
      <c r="M6235" t="s">
        <v>130</v>
      </c>
      <c r="N6235" t="s">
        <v>101</v>
      </c>
      <c r="O6235" t="s">
        <v>116</v>
      </c>
    </row>
    <row r="6236" spans="1:15" x14ac:dyDescent="0.3">
      <c r="A6236" s="130">
        <v>69791</v>
      </c>
      <c r="B6236" s="130">
        <v>18</v>
      </c>
      <c r="C6236" s="130" t="s">
        <v>7860</v>
      </c>
      <c r="D6236">
        <v>382</v>
      </c>
      <c r="E6236" s="131">
        <v>29715801</v>
      </c>
      <c r="F6236" t="s">
        <v>87</v>
      </c>
      <c r="G6236">
        <v>78</v>
      </c>
      <c r="H6236" t="s">
        <v>8951</v>
      </c>
      <c r="I6236" s="130">
        <v>10</v>
      </c>
      <c r="J6236" t="s">
        <v>7860</v>
      </c>
      <c r="K6236" t="s">
        <v>95</v>
      </c>
      <c r="L6236" t="s">
        <v>127</v>
      </c>
      <c r="M6236" t="s">
        <v>112</v>
      </c>
      <c r="N6236" t="s">
        <v>118</v>
      </c>
      <c r="O6236" t="s">
        <v>116</v>
      </c>
    </row>
    <row r="6237" spans="1:15" x14ac:dyDescent="0.3">
      <c r="A6237" s="130">
        <v>69798</v>
      </c>
      <c r="B6237" s="130">
        <v>35</v>
      </c>
      <c r="C6237" s="130" t="s">
        <v>7861</v>
      </c>
      <c r="D6237">
        <v>383</v>
      </c>
      <c r="E6237" s="130">
        <v>3992929</v>
      </c>
      <c r="F6237" t="s">
        <v>87</v>
      </c>
      <c r="G6237">
        <v>78</v>
      </c>
      <c r="H6237" t="s">
        <v>8952</v>
      </c>
      <c r="I6237" s="130">
        <v>10</v>
      </c>
      <c r="J6237" t="s">
        <v>7861</v>
      </c>
      <c r="K6237" t="s">
        <v>95</v>
      </c>
      <c r="L6237" t="s">
        <v>254</v>
      </c>
      <c r="M6237" t="s">
        <v>161</v>
      </c>
      <c r="N6237" t="s">
        <v>98</v>
      </c>
      <c r="O6237" t="s">
        <v>1345</v>
      </c>
    </row>
    <row r="6238" spans="1:15" x14ac:dyDescent="0.3">
      <c r="A6238" s="130">
        <v>69810</v>
      </c>
      <c r="B6238" s="130">
        <v>30</v>
      </c>
      <c r="C6238" s="130" t="s">
        <v>7862</v>
      </c>
      <c r="D6238">
        <v>1493</v>
      </c>
      <c r="E6238" s="130">
        <v>7005330</v>
      </c>
      <c r="F6238" t="s">
        <v>87</v>
      </c>
      <c r="G6238">
        <v>77</v>
      </c>
      <c r="H6238" t="s">
        <v>8953</v>
      </c>
      <c r="I6238" s="131">
        <v>18</v>
      </c>
      <c r="J6238" t="s">
        <v>7862</v>
      </c>
      <c r="K6238" t="s">
        <v>95</v>
      </c>
      <c r="L6238" t="s">
        <v>117</v>
      </c>
      <c r="M6238" t="s">
        <v>103</v>
      </c>
      <c r="N6238" t="s">
        <v>104</v>
      </c>
      <c r="O6238" t="s">
        <v>116</v>
      </c>
    </row>
    <row r="6239" spans="1:15" x14ac:dyDescent="0.3">
      <c r="A6239" s="130">
        <v>69811</v>
      </c>
      <c r="B6239" s="130">
        <v>18</v>
      </c>
      <c r="C6239" s="130" t="s">
        <v>7863</v>
      </c>
      <c r="D6239">
        <v>384</v>
      </c>
      <c r="E6239" s="131">
        <v>19739564</v>
      </c>
      <c r="F6239" t="s">
        <v>87</v>
      </c>
      <c r="G6239">
        <v>78</v>
      </c>
      <c r="H6239" t="s">
        <v>8951</v>
      </c>
      <c r="I6239" s="131">
        <v>2</v>
      </c>
      <c r="J6239" t="s">
        <v>7863</v>
      </c>
      <c r="K6239" t="s">
        <v>95</v>
      </c>
      <c r="L6239" t="s">
        <v>96</v>
      </c>
      <c r="M6239" t="s">
        <v>112</v>
      </c>
      <c r="N6239" t="s">
        <v>98</v>
      </c>
      <c r="O6239" t="s">
        <v>1345</v>
      </c>
    </row>
    <row r="6240" spans="1:15" x14ac:dyDescent="0.3">
      <c r="A6240" s="130">
        <v>69819</v>
      </c>
      <c r="B6240" s="130">
        <v>30</v>
      </c>
      <c r="C6240" s="130" t="s">
        <v>7864</v>
      </c>
      <c r="D6240">
        <v>385</v>
      </c>
      <c r="E6240" s="131">
        <v>10880989</v>
      </c>
      <c r="F6240" t="s">
        <v>87</v>
      </c>
      <c r="G6240">
        <v>358</v>
      </c>
      <c r="H6240" t="s">
        <v>8952</v>
      </c>
      <c r="I6240" s="130">
        <v>2</v>
      </c>
      <c r="J6240" t="s">
        <v>7864</v>
      </c>
      <c r="K6240" t="s">
        <v>108</v>
      </c>
      <c r="L6240" t="s">
        <v>111</v>
      </c>
      <c r="M6240" t="s">
        <v>103</v>
      </c>
      <c r="N6240" t="s">
        <v>110</v>
      </c>
      <c r="O6240" t="s">
        <v>116</v>
      </c>
    </row>
    <row r="6241" spans="1:15" x14ac:dyDescent="0.3">
      <c r="A6241" s="130">
        <v>69822</v>
      </c>
      <c r="B6241" s="130">
        <v>18</v>
      </c>
      <c r="C6241" s="130" t="s">
        <v>7865</v>
      </c>
      <c r="D6241">
        <v>386</v>
      </c>
      <c r="E6241" s="131">
        <v>9325670</v>
      </c>
      <c r="F6241" t="s">
        <v>87</v>
      </c>
      <c r="G6241">
        <v>358</v>
      </c>
      <c r="H6241" t="s">
        <v>8953</v>
      </c>
      <c r="I6241" s="131">
        <v>2</v>
      </c>
      <c r="J6241" t="s">
        <v>7865</v>
      </c>
      <c r="K6241" t="s">
        <v>108</v>
      </c>
      <c r="L6241" t="s">
        <v>105</v>
      </c>
      <c r="M6241" t="s">
        <v>112</v>
      </c>
      <c r="N6241" t="s">
        <v>118</v>
      </c>
      <c r="O6241" t="s">
        <v>116</v>
      </c>
    </row>
    <row r="6242" spans="1:15" x14ac:dyDescent="0.3">
      <c r="A6242" s="130">
        <v>69823</v>
      </c>
      <c r="B6242" s="130">
        <v>30</v>
      </c>
      <c r="C6242" s="130" t="s">
        <v>7866</v>
      </c>
      <c r="D6242">
        <v>387</v>
      </c>
      <c r="E6242" s="130">
        <v>27121672</v>
      </c>
      <c r="F6242" t="s">
        <v>87</v>
      </c>
      <c r="G6242">
        <v>78</v>
      </c>
      <c r="H6242" t="s">
        <v>8951</v>
      </c>
      <c r="I6242" s="130">
        <v>10</v>
      </c>
      <c r="J6242" t="s">
        <v>7866</v>
      </c>
      <c r="K6242" t="s">
        <v>95</v>
      </c>
      <c r="L6242" t="s">
        <v>127</v>
      </c>
      <c r="M6242" t="s">
        <v>103</v>
      </c>
      <c r="N6242" t="s">
        <v>118</v>
      </c>
      <c r="O6242" t="s">
        <v>1345</v>
      </c>
    </row>
    <row r="6243" spans="1:15" x14ac:dyDescent="0.3">
      <c r="A6243" s="130">
        <v>69844</v>
      </c>
      <c r="B6243" s="130">
        <v>18</v>
      </c>
      <c r="C6243" s="130" t="s">
        <v>7867</v>
      </c>
      <c r="D6243">
        <v>388</v>
      </c>
      <c r="E6243" s="130">
        <v>3096738</v>
      </c>
      <c r="F6243" t="s">
        <v>87</v>
      </c>
      <c r="G6243">
        <v>358</v>
      </c>
      <c r="H6243" t="s">
        <v>8952</v>
      </c>
      <c r="I6243" s="130">
        <v>2</v>
      </c>
      <c r="J6243" t="s">
        <v>7867</v>
      </c>
      <c r="K6243" t="s">
        <v>108</v>
      </c>
      <c r="L6243" t="s">
        <v>111</v>
      </c>
      <c r="M6243" t="s">
        <v>112</v>
      </c>
      <c r="N6243" t="s">
        <v>101</v>
      </c>
      <c r="O6243" t="s">
        <v>116</v>
      </c>
    </row>
    <row r="6244" spans="1:15" x14ac:dyDescent="0.3">
      <c r="A6244" s="130">
        <v>69848</v>
      </c>
      <c r="B6244" s="130">
        <v>18</v>
      </c>
      <c r="C6244" s="130" t="s">
        <v>7868</v>
      </c>
      <c r="D6244">
        <v>389</v>
      </c>
      <c r="E6244" s="130">
        <v>3887613</v>
      </c>
      <c r="F6244" t="s">
        <v>87</v>
      </c>
      <c r="G6244">
        <v>78</v>
      </c>
      <c r="H6244" t="s">
        <v>8953</v>
      </c>
      <c r="I6244" s="130">
        <v>10</v>
      </c>
      <c r="J6244" t="s">
        <v>7868</v>
      </c>
      <c r="K6244" t="s">
        <v>108</v>
      </c>
      <c r="L6244" t="s">
        <v>127</v>
      </c>
      <c r="M6244" t="s">
        <v>112</v>
      </c>
      <c r="N6244" t="s">
        <v>98</v>
      </c>
      <c r="O6244" t="s">
        <v>116</v>
      </c>
    </row>
    <row r="6245" spans="1:15" x14ac:dyDescent="0.3">
      <c r="A6245" s="130">
        <v>69856</v>
      </c>
      <c r="B6245" s="131">
        <v>18</v>
      </c>
      <c r="C6245" s="130" t="s">
        <v>7869</v>
      </c>
      <c r="D6245">
        <v>390</v>
      </c>
      <c r="E6245" s="131">
        <v>5325014</v>
      </c>
      <c r="F6245" t="s">
        <v>87</v>
      </c>
      <c r="G6245">
        <v>78</v>
      </c>
      <c r="H6245" t="s">
        <v>8951</v>
      </c>
      <c r="I6245" s="131">
        <v>10</v>
      </c>
      <c r="J6245" t="s">
        <v>7869</v>
      </c>
      <c r="K6245" t="s">
        <v>108</v>
      </c>
      <c r="L6245" t="s">
        <v>127</v>
      </c>
      <c r="M6245" t="s">
        <v>112</v>
      </c>
      <c r="N6245" t="s">
        <v>98</v>
      </c>
      <c r="O6245" t="s">
        <v>1345</v>
      </c>
    </row>
    <row r="6246" spans="1:15" x14ac:dyDescent="0.3">
      <c r="A6246" s="130">
        <v>69858</v>
      </c>
      <c r="B6246" s="130">
        <v>30</v>
      </c>
      <c r="C6246" s="130" t="s">
        <v>7870</v>
      </c>
      <c r="D6246">
        <v>391</v>
      </c>
      <c r="E6246" s="130">
        <v>15363867</v>
      </c>
      <c r="F6246" t="s">
        <v>87</v>
      </c>
      <c r="G6246">
        <v>78</v>
      </c>
      <c r="H6246" t="s">
        <v>8952</v>
      </c>
      <c r="I6246" s="130">
        <v>18</v>
      </c>
      <c r="J6246" t="s">
        <v>7870</v>
      </c>
      <c r="K6246" t="s">
        <v>95</v>
      </c>
      <c r="L6246" t="s">
        <v>123</v>
      </c>
      <c r="M6246" t="s">
        <v>103</v>
      </c>
      <c r="N6246" t="s">
        <v>98</v>
      </c>
      <c r="O6246" t="s">
        <v>1345</v>
      </c>
    </row>
    <row r="6247" spans="1:15" x14ac:dyDescent="0.3">
      <c r="A6247" s="130">
        <v>69873</v>
      </c>
      <c r="B6247" s="130">
        <v>35</v>
      </c>
      <c r="C6247" s="130" t="s">
        <v>7871</v>
      </c>
      <c r="D6247">
        <v>392</v>
      </c>
      <c r="E6247" s="131">
        <v>5416618</v>
      </c>
      <c r="F6247" t="s">
        <v>87</v>
      </c>
      <c r="G6247">
        <v>358</v>
      </c>
      <c r="H6247" t="s">
        <v>8953</v>
      </c>
      <c r="I6247" s="130">
        <v>2</v>
      </c>
      <c r="J6247" t="s">
        <v>7871</v>
      </c>
      <c r="K6247" t="s">
        <v>108</v>
      </c>
      <c r="L6247" t="s">
        <v>105</v>
      </c>
      <c r="M6247" t="s">
        <v>161</v>
      </c>
      <c r="N6247" t="s">
        <v>101</v>
      </c>
      <c r="O6247" t="s">
        <v>116</v>
      </c>
    </row>
    <row r="6248" spans="1:15" x14ac:dyDescent="0.3">
      <c r="A6248" s="130">
        <v>69879</v>
      </c>
      <c r="B6248" s="130">
        <v>18</v>
      </c>
      <c r="C6248" s="130" t="s">
        <v>7872</v>
      </c>
      <c r="D6248">
        <v>393</v>
      </c>
      <c r="E6248" s="130">
        <v>27886787</v>
      </c>
      <c r="F6248" t="s">
        <v>87</v>
      </c>
      <c r="G6248">
        <v>78</v>
      </c>
      <c r="H6248" t="s">
        <v>8951</v>
      </c>
      <c r="I6248" s="130">
        <v>18</v>
      </c>
      <c r="J6248" t="s">
        <v>7872</v>
      </c>
      <c r="K6248" t="s">
        <v>108</v>
      </c>
      <c r="L6248" t="s">
        <v>123</v>
      </c>
      <c r="M6248" t="s">
        <v>112</v>
      </c>
      <c r="N6248" t="s">
        <v>107</v>
      </c>
      <c r="O6248" t="s">
        <v>1345</v>
      </c>
    </row>
    <row r="6249" spans="1:15" x14ac:dyDescent="0.3">
      <c r="A6249" s="130">
        <v>69901</v>
      </c>
      <c r="B6249" s="130">
        <v>7</v>
      </c>
      <c r="C6249" s="130" t="s">
        <v>7873</v>
      </c>
      <c r="D6249">
        <v>394</v>
      </c>
      <c r="E6249" s="130">
        <v>97454110</v>
      </c>
      <c r="F6249" t="s">
        <v>87</v>
      </c>
      <c r="G6249">
        <v>358</v>
      </c>
      <c r="H6249" t="s">
        <v>8952</v>
      </c>
      <c r="I6249" s="130">
        <v>2</v>
      </c>
      <c r="J6249" t="s">
        <v>7873</v>
      </c>
      <c r="K6249" t="s">
        <v>95</v>
      </c>
      <c r="L6249" t="s">
        <v>109</v>
      </c>
      <c r="M6249" t="s">
        <v>197</v>
      </c>
      <c r="N6249" t="s">
        <v>114</v>
      </c>
      <c r="O6249" t="s">
        <v>1345</v>
      </c>
    </row>
    <row r="6250" spans="1:15" x14ac:dyDescent="0.3">
      <c r="A6250" s="130">
        <v>69903</v>
      </c>
      <c r="B6250" s="130">
        <v>30</v>
      </c>
      <c r="C6250" s="130" t="s">
        <v>7874</v>
      </c>
      <c r="D6250">
        <v>395</v>
      </c>
      <c r="E6250" s="130">
        <v>7522191</v>
      </c>
      <c r="F6250" t="s">
        <v>87</v>
      </c>
      <c r="G6250">
        <v>78</v>
      </c>
      <c r="H6250" t="s">
        <v>8953</v>
      </c>
      <c r="I6250" s="131">
        <v>10</v>
      </c>
      <c r="J6250" t="s">
        <v>7874</v>
      </c>
      <c r="K6250" t="s">
        <v>95</v>
      </c>
      <c r="L6250" t="s">
        <v>127</v>
      </c>
      <c r="M6250" t="s">
        <v>103</v>
      </c>
      <c r="N6250" t="s">
        <v>118</v>
      </c>
      <c r="O6250" t="s">
        <v>1345</v>
      </c>
    </row>
    <row r="6251" spans="1:15" x14ac:dyDescent="0.3">
      <c r="A6251" s="130">
        <v>69922</v>
      </c>
      <c r="B6251" s="130">
        <v>28</v>
      </c>
      <c r="C6251" s="130" t="s">
        <v>7875</v>
      </c>
      <c r="D6251">
        <v>396</v>
      </c>
      <c r="E6251" s="130">
        <v>24649541</v>
      </c>
      <c r="F6251" t="s">
        <v>87</v>
      </c>
      <c r="G6251">
        <v>78</v>
      </c>
      <c r="H6251" t="s">
        <v>8951</v>
      </c>
      <c r="I6251" s="131">
        <v>18</v>
      </c>
      <c r="J6251" t="s">
        <v>7875</v>
      </c>
      <c r="K6251" t="s">
        <v>95</v>
      </c>
      <c r="L6251" t="s">
        <v>123</v>
      </c>
      <c r="M6251" t="s">
        <v>130</v>
      </c>
      <c r="N6251" t="s">
        <v>150</v>
      </c>
      <c r="O6251" t="s">
        <v>1345</v>
      </c>
    </row>
    <row r="6252" spans="1:15" x14ac:dyDescent="0.3">
      <c r="A6252" s="130">
        <v>69932</v>
      </c>
      <c r="B6252" s="130">
        <v>18</v>
      </c>
      <c r="C6252" s="130" t="s">
        <v>7876</v>
      </c>
      <c r="D6252">
        <v>397</v>
      </c>
      <c r="E6252" s="131">
        <v>13474844</v>
      </c>
      <c r="F6252" t="s">
        <v>87</v>
      </c>
      <c r="G6252">
        <v>358</v>
      </c>
      <c r="H6252" t="s">
        <v>8952</v>
      </c>
      <c r="I6252" s="130">
        <v>24</v>
      </c>
      <c r="J6252" t="s">
        <v>7876</v>
      </c>
      <c r="K6252" t="s">
        <v>108</v>
      </c>
      <c r="L6252" t="s">
        <v>99</v>
      </c>
      <c r="M6252" t="s">
        <v>112</v>
      </c>
      <c r="N6252" t="s">
        <v>98</v>
      </c>
      <c r="O6252" t="s">
        <v>1345</v>
      </c>
    </row>
    <row r="6253" spans="1:15" x14ac:dyDescent="0.3">
      <c r="A6253" s="130">
        <v>69934</v>
      </c>
      <c r="B6253" s="130">
        <v>30</v>
      </c>
      <c r="C6253" s="130" t="s">
        <v>7877</v>
      </c>
      <c r="D6253">
        <v>398</v>
      </c>
      <c r="E6253" s="130">
        <v>13085979</v>
      </c>
      <c r="F6253" t="s">
        <v>87</v>
      </c>
      <c r="G6253">
        <v>358</v>
      </c>
      <c r="H6253" t="s">
        <v>8953</v>
      </c>
      <c r="I6253" s="131">
        <v>2</v>
      </c>
      <c r="J6253" t="s">
        <v>7877</v>
      </c>
      <c r="K6253" t="s">
        <v>95</v>
      </c>
      <c r="L6253" t="s">
        <v>109</v>
      </c>
      <c r="M6253" t="s">
        <v>103</v>
      </c>
      <c r="N6253" t="s">
        <v>114</v>
      </c>
      <c r="O6253" t="s">
        <v>1345</v>
      </c>
    </row>
    <row r="6254" spans="1:15" x14ac:dyDescent="0.3">
      <c r="A6254" s="130">
        <v>69940</v>
      </c>
      <c r="B6254" s="130">
        <v>30</v>
      </c>
      <c r="C6254" s="130" t="s">
        <v>7878</v>
      </c>
      <c r="D6254">
        <v>399</v>
      </c>
      <c r="E6254" s="131">
        <v>61575775</v>
      </c>
      <c r="F6254" t="s">
        <v>87</v>
      </c>
      <c r="G6254">
        <v>78</v>
      </c>
      <c r="H6254" t="s">
        <v>8951</v>
      </c>
      <c r="I6254" s="131">
        <v>9</v>
      </c>
      <c r="J6254" t="s">
        <v>7878</v>
      </c>
      <c r="K6254" t="s">
        <v>95</v>
      </c>
      <c r="L6254" t="s">
        <v>125</v>
      </c>
      <c r="M6254" t="s">
        <v>103</v>
      </c>
      <c r="N6254" t="s">
        <v>98</v>
      </c>
      <c r="O6254" t="s">
        <v>1345</v>
      </c>
    </row>
    <row r="6255" spans="1:15" x14ac:dyDescent="0.3">
      <c r="A6255" s="130">
        <v>69947</v>
      </c>
      <c r="B6255" s="130">
        <v>18</v>
      </c>
      <c r="C6255" s="130" t="s">
        <v>7879</v>
      </c>
      <c r="D6255">
        <v>400</v>
      </c>
      <c r="E6255" s="130">
        <v>20906675</v>
      </c>
      <c r="F6255" t="s">
        <v>87</v>
      </c>
      <c r="G6255">
        <v>78</v>
      </c>
      <c r="H6255" t="s">
        <v>8952</v>
      </c>
      <c r="I6255" s="131">
        <v>24</v>
      </c>
      <c r="J6255" t="s">
        <v>7879</v>
      </c>
      <c r="K6255" t="s">
        <v>108</v>
      </c>
      <c r="L6255" t="s">
        <v>138</v>
      </c>
      <c r="M6255" t="s">
        <v>112</v>
      </c>
      <c r="N6255" t="s">
        <v>150</v>
      </c>
      <c r="O6255" t="s">
        <v>1345</v>
      </c>
    </row>
    <row r="6256" spans="1:15" x14ac:dyDescent="0.3">
      <c r="A6256" s="130">
        <v>69950</v>
      </c>
      <c r="B6256" s="130">
        <v>30</v>
      </c>
      <c r="C6256" s="130" t="s">
        <v>7880</v>
      </c>
      <c r="D6256">
        <v>401</v>
      </c>
      <c r="E6256" s="130">
        <v>4060779</v>
      </c>
      <c r="F6256" t="s">
        <v>87</v>
      </c>
      <c r="G6256">
        <v>358</v>
      </c>
      <c r="H6256" t="s">
        <v>8953</v>
      </c>
      <c r="I6256" s="131">
        <v>18</v>
      </c>
      <c r="J6256" t="s">
        <v>7880</v>
      </c>
      <c r="K6256" t="s">
        <v>95</v>
      </c>
      <c r="L6256" t="s">
        <v>111</v>
      </c>
      <c r="M6256" t="s">
        <v>103</v>
      </c>
      <c r="N6256" t="s">
        <v>98</v>
      </c>
      <c r="O6256" t="s">
        <v>116</v>
      </c>
    </row>
    <row r="6257" spans="1:15" x14ac:dyDescent="0.3">
      <c r="A6257" s="130">
        <v>69961</v>
      </c>
      <c r="B6257" s="130">
        <v>60</v>
      </c>
      <c r="C6257" s="130" t="s">
        <v>7881</v>
      </c>
      <c r="D6257">
        <v>402</v>
      </c>
      <c r="E6257" s="130">
        <v>12056613</v>
      </c>
      <c r="F6257" t="s">
        <v>87</v>
      </c>
      <c r="G6257">
        <v>77</v>
      </c>
      <c r="H6257" t="s">
        <v>8951</v>
      </c>
      <c r="I6257" s="130">
        <v>2</v>
      </c>
      <c r="J6257" t="s">
        <v>7881</v>
      </c>
      <c r="K6257" t="s">
        <v>95</v>
      </c>
      <c r="L6257" t="s">
        <v>256</v>
      </c>
      <c r="M6257" t="s">
        <v>97</v>
      </c>
      <c r="N6257" t="s">
        <v>104</v>
      </c>
      <c r="O6257" t="s">
        <v>116</v>
      </c>
    </row>
    <row r="6258" spans="1:15" x14ac:dyDescent="0.3">
      <c r="A6258" s="130">
        <v>69962</v>
      </c>
      <c r="B6258" s="130">
        <v>60</v>
      </c>
      <c r="C6258" s="130" t="s">
        <v>7882</v>
      </c>
      <c r="D6258">
        <v>403</v>
      </c>
      <c r="E6258" s="130">
        <v>12056613</v>
      </c>
      <c r="F6258" t="s">
        <v>87</v>
      </c>
      <c r="G6258">
        <v>77</v>
      </c>
      <c r="H6258" t="s">
        <v>8952</v>
      </c>
      <c r="I6258" s="131">
        <v>2</v>
      </c>
      <c r="J6258" t="s">
        <v>7882</v>
      </c>
      <c r="K6258" t="s">
        <v>95</v>
      </c>
      <c r="L6258" t="s">
        <v>256</v>
      </c>
      <c r="M6258" t="s">
        <v>97</v>
      </c>
      <c r="N6258" t="s">
        <v>118</v>
      </c>
      <c r="O6258" t="s">
        <v>116</v>
      </c>
    </row>
    <row r="6259" spans="1:15" x14ac:dyDescent="0.3">
      <c r="A6259" s="130">
        <v>69970</v>
      </c>
      <c r="B6259" s="130">
        <v>18</v>
      </c>
      <c r="C6259" s="130" t="s">
        <v>7883</v>
      </c>
      <c r="D6259">
        <v>404</v>
      </c>
      <c r="E6259" s="130">
        <v>393826</v>
      </c>
      <c r="F6259" t="s">
        <v>87</v>
      </c>
      <c r="G6259">
        <v>358</v>
      </c>
      <c r="H6259" t="s">
        <v>8953</v>
      </c>
      <c r="I6259" s="130">
        <v>2</v>
      </c>
      <c r="J6259" t="s">
        <v>7883</v>
      </c>
      <c r="K6259" t="s">
        <v>108</v>
      </c>
      <c r="L6259" t="s">
        <v>111</v>
      </c>
      <c r="M6259" t="s">
        <v>112</v>
      </c>
      <c r="N6259" t="s">
        <v>107</v>
      </c>
      <c r="O6259" t="s">
        <v>1345</v>
      </c>
    </row>
    <row r="6260" spans="1:15" x14ac:dyDescent="0.3">
      <c r="A6260" s="130">
        <v>69973</v>
      </c>
      <c r="B6260" s="130">
        <v>18</v>
      </c>
      <c r="C6260" s="130" t="s">
        <v>7884</v>
      </c>
      <c r="D6260">
        <v>405</v>
      </c>
      <c r="E6260" s="131">
        <v>10764189</v>
      </c>
      <c r="F6260" t="s">
        <v>87</v>
      </c>
      <c r="G6260">
        <v>358</v>
      </c>
      <c r="H6260" t="s">
        <v>8951</v>
      </c>
      <c r="I6260" s="131">
        <v>2</v>
      </c>
      <c r="J6260" t="s">
        <v>7884</v>
      </c>
      <c r="K6260" t="s">
        <v>108</v>
      </c>
      <c r="L6260" t="s">
        <v>105</v>
      </c>
      <c r="M6260" t="s">
        <v>112</v>
      </c>
      <c r="N6260" t="s">
        <v>114</v>
      </c>
      <c r="O6260" t="s">
        <v>1345</v>
      </c>
    </row>
    <row r="6261" spans="1:15" x14ac:dyDescent="0.3">
      <c r="A6261" s="130">
        <v>69976</v>
      </c>
      <c r="B6261" s="130" t="s">
        <v>156</v>
      </c>
      <c r="C6261" s="130" t="s">
        <v>7885</v>
      </c>
      <c r="D6261">
        <v>406</v>
      </c>
      <c r="E6261" s="131">
        <v>10764189</v>
      </c>
      <c r="F6261" t="s">
        <v>87</v>
      </c>
      <c r="G6261">
        <v>358</v>
      </c>
      <c r="H6261" t="s">
        <v>8952</v>
      </c>
      <c r="I6261" s="131">
        <v>2</v>
      </c>
      <c r="J6261" t="s">
        <v>7885</v>
      </c>
      <c r="K6261" t="s">
        <v>108</v>
      </c>
      <c r="L6261" t="s">
        <v>111</v>
      </c>
      <c r="M6261" t="s">
        <v>156</v>
      </c>
      <c r="N6261" t="s">
        <v>114</v>
      </c>
      <c r="O6261" t="s">
        <v>116</v>
      </c>
    </row>
    <row r="6262" spans="1:15" x14ac:dyDescent="0.3">
      <c r="A6262" s="130">
        <v>69991</v>
      </c>
      <c r="B6262" s="130">
        <v>18</v>
      </c>
      <c r="C6262" s="130" t="s">
        <v>7886</v>
      </c>
      <c r="D6262">
        <v>407</v>
      </c>
      <c r="E6262" s="130">
        <v>7605563</v>
      </c>
      <c r="F6262" t="s">
        <v>87</v>
      </c>
      <c r="G6262">
        <v>358</v>
      </c>
      <c r="H6262" t="s">
        <v>8953</v>
      </c>
      <c r="I6262" s="130">
        <v>10</v>
      </c>
      <c r="J6262" t="s">
        <v>7886</v>
      </c>
      <c r="K6262" t="s">
        <v>95</v>
      </c>
      <c r="L6262" t="s">
        <v>105</v>
      </c>
      <c r="M6262" t="s">
        <v>112</v>
      </c>
      <c r="N6262" t="s">
        <v>118</v>
      </c>
      <c r="O6262" t="s">
        <v>1345</v>
      </c>
    </row>
    <row r="6263" spans="1:15" x14ac:dyDescent="0.3">
      <c r="A6263" s="130">
        <v>70003</v>
      </c>
      <c r="B6263" s="130">
        <v>18</v>
      </c>
      <c r="C6263" s="130" t="s">
        <v>7887</v>
      </c>
      <c r="D6263">
        <v>408</v>
      </c>
      <c r="E6263" s="130">
        <v>30989701</v>
      </c>
      <c r="F6263" t="s">
        <v>87</v>
      </c>
      <c r="G6263">
        <v>358</v>
      </c>
      <c r="H6263" t="s">
        <v>8951</v>
      </c>
      <c r="I6263" s="130">
        <v>18</v>
      </c>
      <c r="J6263" t="s">
        <v>7887</v>
      </c>
      <c r="K6263" t="s">
        <v>108</v>
      </c>
      <c r="L6263" t="s">
        <v>99</v>
      </c>
      <c r="M6263" t="s">
        <v>112</v>
      </c>
      <c r="N6263" t="s">
        <v>121</v>
      </c>
      <c r="O6263" t="s">
        <v>1345</v>
      </c>
    </row>
    <row r="6264" spans="1:15" x14ac:dyDescent="0.3">
      <c r="A6264" s="130">
        <v>70010</v>
      </c>
      <c r="B6264" s="130">
        <v>64</v>
      </c>
      <c r="C6264" s="130" t="s">
        <v>7888</v>
      </c>
      <c r="D6264">
        <v>409</v>
      </c>
      <c r="E6264" s="130">
        <v>655209</v>
      </c>
      <c r="F6264" t="s">
        <v>87</v>
      </c>
      <c r="G6264">
        <v>78</v>
      </c>
      <c r="H6264" t="s">
        <v>8952</v>
      </c>
      <c r="I6264" s="131">
        <v>9</v>
      </c>
      <c r="J6264" t="s">
        <v>7888</v>
      </c>
      <c r="K6264" t="s">
        <v>95</v>
      </c>
      <c r="L6264" t="s">
        <v>125</v>
      </c>
      <c r="M6264" t="s">
        <v>165</v>
      </c>
      <c r="N6264" t="s">
        <v>114</v>
      </c>
      <c r="O6264" t="s">
        <v>1345</v>
      </c>
    </row>
    <row r="6265" spans="1:15" x14ac:dyDescent="0.3">
      <c r="A6265" s="130">
        <v>70017</v>
      </c>
      <c r="B6265" s="130">
        <v>18</v>
      </c>
      <c r="C6265" s="130" t="s">
        <v>7889</v>
      </c>
      <c r="D6265">
        <v>410</v>
      </c>
      <c r="E6265" s="131">
        <v>25310222</v>
      </c>
      <c r="F6265" t="s">
        <v>87</v>
      </c>
      <c r="G6265">
        <v>358</v>
      </c>
      <c r="H6265" t="s">
        <v>8953</v>
      </c>
      <c r="I6265" s="130">
        <v>2</v>
      </c>
      <c r="J6265" t="s">
        <v>7889</v>
      </c>
      <c r="K6265" t="s">
        <v>108</v>
      </c>
      <c r="L6265" t="s">
        <v>99</v>
      </c>
      <c r="M6265" t="s">
        <v>112</v>
      </c>
      <c r="N6265" t="s">
        <v>132</v>
      </c>
      <c r="O6265" t="s">
        <v>1345</v>
      </c>
    </row>
    <row r="6266" spans="1:15" x14ac:dyDescent="0.3">
      <c r="A6266" s="130">
        <v>70025</v>
      </c>
      <c r="B6266" s="130">
        <v>18</v>
      </c>
      <c r="C6266" s="130" t="s">
        <v>7890</v>
      </c>
      <c r="D6266">
        <v>411</v>
      </c>
      <c r="E6266" s="131">
        <v>21228861</v>
      </c>
      <c r="F6266" t="s">
        <v>87</v>
      </c>
      <c r="G6266">
        <v>358</v>
      </c>
      <c r="H6266" t="s">
        <v>8951</v>
      </c>
      <c r="I6266" s="131">
        <v>24</v>
      </c>
      <c r="J6266" t="s">
        <v>7890</v>
      </c>
      <c r="K6266" t="s">
        <v>108</v>
      </c>
      <c r="L6266" t="s">
        <v>99</v>
      </c>
      <c r="M6266" t="s">
        <v>112</v>
      </c>
      <c r="N6266" t="s">
        <v>98</v>
      </c>
      <c r="O6266" t="s">
        <v>1345</v>
      </c>
    </row>
    <row r="6267" spans="1:15" x14ac:dyDescent="0.3">
      <c r="A6267" s="130">
        <v>70027</v>
      </c>
      <c r="B6267" s="130">
        <v>30</v>
      </c>
      <c r="C6267" s="130" t="s">
        <v>7891</v>
      </c>
      <c r="D6267">
        <v>412</v>
      </c>
      <c r="E6267" s="130">
        <v>24601465</v>
      </c>
      <c r="F6267" t="s">
        <v>87</v>
      </c>
      <c r="G6267">
        <v>78</v>
      </c>
      <c r="H6267" t="s">
        <v>8952</v>
      </c>
      <c r="I6267" s="130">
        <v>18</v>
      </c>
      <c r="J6267" t="s">
        <v>7891</v>
      </c>
      <c r="K6267" t="s">
        <v>95</v>
      </c>
      <c r="L6267" t="s">
        <v>123</v>
      </c>
      <c r="M6267" t="s">
        <v>103</v>
      </c>
      <c r="N6267" t="s">
        <v>150</v>
      </c>
      <c r="O6267" t="s">
        <v>116</v>
      </c>
    </row>
    <row r="6268" spans="1:15" x14ac:dyDescent="0.3">
      <c r="A6268" s="130">
        <v>70028</v>
      </c>
      <c r="B6268" s="130">
        <v>28</v>
      </c>
      <c r="C6268" s="130" t="s">
        <v>7892</v>
      </c>
      <c r="D6268">
        <v>413</v>
      </c>
      <c r="E6268" s="130">
        <v>8723106</v>
      </c>
      <c r="F6268" t="s">
        <v>87</v>
      </c>
      <c r="G6268">
        <v>78</v>
      </c>
      <c r="H6268" t="s">
        <v>8953</v>
      </c>
      <c r="I6268" s="131">
        <v>18</v>
      </c>
      <c r="J6268" t="s">
        <v>7892</v>
      </c>
      <c r="K6268" t="s">
        <v>95</v>
      </c>
      <c r="L6268" t="s">
        <v>123</v>
      </c>
      <c r="M6268" t="s">
        <v>130</v>
      </c>
      <c r="N6268" t="s">
        <v>101</v>
      </c>
      <c r="O6268" t="s">
        <v>1345</v>
      </c>
    </row>
    <row r="6269" spans="1:15" x14ac:dyDescent="0.3">
      <c r="A6269" s="130">
        <v>70039</v>
      </c>
      <c r="B6269" s="130">
        <v>18</v>
      </c>
      <c r="C6269" s="130" t="s">
        <v>7893</v>
      </c>
      <c r="D6269">
        <v>414</v>
      </c>
      <c r="E6269" s="131">
        <v>21062047</v>
      </c>
      <c r="F6269" t="s">
        <v>87</v>
      </c>
      <c r="G6269">
        <v>358</v>
      </c>
      <c r="H6269" t="s">
        <v>8951</v>
      </c>
      <c r="I6269" s="131">
        <v>2</v>
      </c>
      <c r="J6269" t="s">
        <v>7893</v>
      </c>
      <c r="K6269" t="s">
        <v>95</v>
      </c>
      <c r="L6269" t="s">
        <v>105</v>
      </c>
      <c r="M6269" t="s">
        <v>112</v>
      </c>
      <c r="N6269" t="s">
        <v>98</v>
      </c>
      <c r="O6269" t="s">
        <v>116</v>
      </c>
    </row>
    <row r="6270" spans="1:15" x14ac:dyDescent="0.3">
      <c r="A6270" s="130">
        <v>70042</v>
      </c>
      <c r="B6270" s="130">
        <v>30</v>
      </c>
      <c r="C6270" s="130" t="s">
        <v>7894</v>
      </c>
      <c r="D6270">
        <v>415</v>
      </c>
      <c r="E6270" s="131">
        <v>24517701</v>
      </c>
      <c r="F6270" t="s">
        <v>87</v>
      </c>
      <c r="G6270">
        <v>77</v>
      </c>
      <c r="H6270" t="s">
        <v>8952</v>
      </c>
      <c r="I6270" s="131">
        <v>2</v>
      </c>
      <c r="J6270" t="s">
        <v>7894</v>
      </c>
      <c r="K6270" t="s">
        <v>95</v>
      </c>
      <c r="L6270" t="s">
        <v>1255</v>
      </c>
      <c r="M6270" t="s">
        <v>103</v>
      </c>
      <c r="N6270" t="s">
        <v>150</v>
      </c>
      <c r="O6270" t="s">
        <v>1345</v>
      </c>
    </row>
    <row r="6271" spans="1:15" x14ac:dyDescent="0.3">
      <c r="A6271" s="130">
        <v>70059</v>
      </c>
      <c r="B6271" s="130">
        <v>30</v>
      </c>
      <c r="C6271" s="130" t="s">
        <v>7895</v>
      </c>
      <c r="D6271">
        <v>416</v>
      </c>
      <c r="E6271" s="131">
        <v>35234509</v>
      </c>
      <c r="F6271" t="s">
        <v>87</v>
      </c>
      <c r="G6271">
        <v>78</v>
      </c>
      <c r="H6271" t="s">
        <v>8953</v>
      </c>
      <c r="I6271" s="130">
        <v>24</v>
      </c>
      <c r="J6271" t="s">
        <v>7895</v>
      </c>
      <c r="K6271" t="s">
        <v>95</v>
      </c>
      <c r="L6271" t="s">
        <v>102</v>
      </c>
      <c r="M6271" t="s">
        <v>103</v>
      </c>
      <c r="N6271" t="s">
        <v>98</v>
      </c>
      <c r="O6271" t="s">
        <v>1345</v>
      </c>
    </row>
    <row r="6272" spans="1:15" x14ac:dyDescent="0.3">
      <c r="A6272" s="130">
        <v>70060</v>
      </c>
      <c r="B6272" s="130">
        <v>90</v>
      </c>
      <c r="C6272" s="130" t="s">
        <v>7896</v>
      </c>
      <c r="D6272">
        <v>417</v>
      </c>
      <c r="E6272" s="130">
        <v>35234509</v>
      </c>
      <c r="F6272" t="s">
        <v>87</v>
      </c>
      <c r="G6272">
        <v>78</v>
      </c>
      <c r="H6272" t="s">
        <v>8951</v>
      </c>
      <c r="I6272" s="131">
        <v>18</v>
      </c>
      <c r="J6272" t="s">
        <v>7896</v>
      </c>
      <c r="K6272" t="s">
        <v>95</v>
      </c>
      <c r="L6272" t="s">
        <v>102</v>
      </c>
      <c r="M6272" t="s">
        <v>170</v>
      </c>
      <c r="N6272" t="s">
        <v>98</v>
      </c>
      <c r="O6272" t="s">
        <v>116</v>
      </c>
    </row>
    <row r="6273" spans="1:15" x14ac:dyDescent="0.3">
      <c r="A6273" s="130">
        <v>70061</v>
      </c>
      <c r="B6273" s="130">
        <v>90</v>
      </c>
      <c r="C6273" s="130" t="s">
        <v>7897</v>
      </c>
      <c r="D6273">
        <v>418</v>
      </c>
      <c r="E6273" s="130">
        <v>35234509</v>
      </c>
      <c r="F6273" t="s">
        <v>87</v>
      </c>
      <c r="G6273">
        <v>78</v>
      </c>
      <c r="H6273" t="s">
        <v>8952</v>
      </c>
      <c r="I6273" s="130">
        <v>18</v>
      </c>
      <c r="J6273" t="s">
        <v>7897</v>
      </c>
      <c r="K6273" t="s">
        <v>95</v>
      </c>
      <c r="L6273" t="s">
        <v>102</v>
      </c>
      <c r="M6273" t="s">
        <v>170</v>
      </c>
      <c r="N6273" t="s">
        <v>98</v>
      </c>
      <c r="O6273" t="s">
        <v>116</v>
      </c>
    </row>
    <row r="6274" spans="1:15" x14ac:dyDescent="0.3">
      <c r="A6274" s="130">
        <v>70063</v>
      </c>
      <c r="B6274" s="130">
        <v>30</v>
      </c>
      <c r="C6274" s="130" t="s">
        <v>7898</v>
      </c>
      <c r="D6274">
        <v>419</v>
      </c>
      <c r="E6274" s="131">
        <v>35234509</v>
      </c>
      <c r="F6274" t="s">
        <v>87</v>
      </c>
      <c r="G6274">
        <v>78</v>
      </c>
      <c r="H6274" t="s">
        <v>8953</v>
      </c>
      <c r="I6274" s="130">
        <v>24</v>
      </c>
      <c r="J6274" t="s">
        <v>7898</v>
      </c>
      <c r="K6274" t="s">
        <v>95</v>
      </c>
      <c r="L6274" t="s">
        <v>102</v>
      </c>
      <c r="M6274" t="s">
        <v>103</v>
      </c>
      <c r="N6274" t="s">
        <v>98</v>
      </c>
      <c r="O6274" t="s">
        <v>1345</v>
      </c>
    </row>
    <row r="6275" spans="1:15" x14ac:dyDescent="0.3">
      <c r="A6275" s="130">
        <v>70080</v>
      </c>
      <c r="B6275" s="130">
        <v>90</v>
      </c>
      <c r="C6275" s="130" t="s">
        <v>7899</v>
      </c>
      <c r="D6275">
        <v>420</v>
      </c>
      <c r="E6275" s="130">
        <v>35234509</v>
      </c>
      <c r="F6275" t="s">
        <v>87</v>
      </c>
      <c r="G6275">
        <v>78</v>
      </c>
      <c r="H6275" t="s">
        <v>8951</v>
      </c>
      <c r="I6275" s="130">
        <v>18</v>
      </c>
      <c r="J6275" t="s">
        <v>7899</v>
      </c>
      <c r="K6275" t="s">
        <v>95</v>
      </c>
      <c r="L6275" t="s">
        <v>102</v>
      </c>
      <c r="M6275" t="s">
        <v>170</v>
      </c>
      <c r="N6275" t="s">
        <v>98</v>
      </c>
      <c r="O6275" t="s">
        <v>116</v>
      </c>
    </row>
    <row r="6276" spans="1:15" x14ac:dyDescent="0.3">
      <c r="A6276" s="130">
        <v>70082</v>
      </c>
      <c r="B6276" s="130">
        <v>30</v>
      </c>
      <c r="C6276" s="130" t="s">
        <v>7900</v>
      </c>
      <c r="D6276">
        <v>421</v>
      </c>
      <c r="E6276" s="131">
        <v>33000167</v>
      </c>
      <c r="F6276" t="s">
        <v>87</v>
      </c>
      <c r="G6276">
        <v>78</v>
      </c>
      <c r="H6276" t="s">
        <v>8952</v>
      </c>
      <c r="I6276" s="131">
        <v>18</v>
      </c>
      <c r="J6276" t="s">
        <v>7900</v>
      </c>
      <c r="K6276" t="s">
        <v>95</v>
      </c>
      <c r="L6276" t="s">
        <v>102</v>
      </c>
      <c r="M6276" t="s">
        <v>103</v>
      </c>
      <c r="N6276" t="s">
        <v>101</v>
      </c>
      <c r="O6276" t="s">
        <v>116</v>
      </c>
    </row>
    <row r="6277" spans="1:15" x14ac:dyDescent="0.3">
      <c r="A6277" s="130">
        <v>70084</v>
      </c>
      <c r="B6277" s="130">
        <v>7</v>
      </c>
      <c r="C6277" s="130" t="s">
        <v>7901</v>
      </c>
      <c r="D6277">
        <v>422</v>
      </c>
      <c r="E6277" s="130">
        <v>83646547</v>
      </c>
      <c r="F6277" t="s">
        <v>87</v>
      </c>
      <c r="G6277">
        <v>358</v>
      </c>
      <c r="H6277" t="s">
        <v>8953</v>
      </c>
      <c r="I6277" s="130">
        <v>10</v>
      </c>
      <c r="J6277" t="s">
        <v>7901</v>
      </c>
      <c r="K6277" t="s">
        <v>95</v>
      </c>
      <c r="L6277" t="s">
        <v>105</v>
      </c>
      <c r="M6277" t="s">
        <v>197</v>
      </c>
      <c r="N6277" t="s">
        <v>114</v>
      </c>
      <c r="O6277" t="s">
        <v>1345</v>
      </c>
    </row>
    <row r="6278" spans="1:15" x14ac:dyDescent="0.3">
      <c r="A6278" s="130">
        <v>70087</v>
      </c>
      <c r="B6278" s="130">
        <v>60</v>
      </c>
      <c r="C6278" s="130" t="s">
        <v>7902</v>
      </c>
      <c r="D6278">
        <v>423</v>
      </c>
      <c r="E6278" s="130">
        <v>33500609</v>
      </c>
      <c r="F6278" t="s">
        <v>87</v>
      </c>
      <c r="G6278">
        <v>358</v>
      </c>
      <c r="H6278" t="s">
        <v>8951</v>
      </c>
      <c r="I6278" s="131">
        <v>18</v>
      </c>
      <c r="J6278" t="s">
        <v>7902</v>
      </c>
      <c r="K6278" t="s">
        <v>95</v>
      </c>
      <c r="L6278" t="s">
        <v>111</v>
      </c>
      <c r="M6278" t="s">
        <v>97</v>
      </c>
      <c r="N6278" t="s">
        <v>98</v>
      </c>
      <c r="O6278" t="s">
        <v>1345</v>
      </c>
    </row>
    <row r="6279" spans="1:15" x14ac:dyDescent="0.3">
      <c r="A6279" s="130">
        <v>70089</v>
      </c>
      <c r="B6279" s="130">
        <v>18</v>
      </c>
      <c r="C6279" s="130" t="s">
        <v>7903</v>
      </c>
      <c r="D6279">
        <v>424</v>
      </c>
      <c r="E6279" s="131">
        <v>793483</v>
      </c>
      <c r="F6279" t="s">
        <v>87</v>
      </c>
      <c r="G6279">
        <v>78</v>
      </c>
      <c r="H6279" t="s">
        <v>8952</v>
      </c>
      <c r="I6279" s="131">
        <v>10</v>
      </c>
      <c r="J6279" t="s">
        <v>7903</v>
      </c>
      <c r="K6279" t="s">
        <v>108</v>
      </c>
      <c r="L6279" t="s">
        <v>127</v>
      </c>
      <c r="M6279" t="s">
        <v>112</v>
      </c>
      <c r="N6279" t="s">
        <v>98</v>
      </c>
      <c r="O6279" t="s">
        <v>1345</v>
      </c>
    </row>
    <row r="6280" spans="1:15" x14ac:dyDescent="0.3">
      <c r="A6280" s="130">
        <v>70091</v>
      </c>
      <c r="B6280" s="130">
        <v>30</v>
      </c>
      <c r="C6280" s="130" t="s">
        <v>7904</v>
      </c>
      <c r="D6280">
        <v>425</v>
      </c>
      <c r="E6280" s="130">
        <v>21471093</v>
      </c>
      <c r="F6280" t="s">
        <v>87</v>
      </c>
      <c r="G6280">
        <v>78</v>
      </c>
      <c r="H6280" t="s">
        <v>8953</v>
      </c>
      <c r="I6280" s="131">
        <v>10</v>
      </c>
      <c r="J6280" t="s">
        <v>7904</v>
      </c>
      <c r="K6280" t="s">
        <v>95</v>
      </c>
      <c r="L6280" t="s">
        <v>127</v>
      </c>
      <c r="M6280" t="s">
        <v>103</v>
      </c>
      <c r="N6280" t="s">
        <v>98</v>
      </c>
      <c r="O6280" t="s">
        <v>1345</v>
      </c>
    </row>
    <row r="6281" spans="1:15" x14ac:dyDescent="0.3">
      <c r="A6281" s="130">
        <v>70109</v>
      </c>
      <c r="B6281" s="130">
        <v>30</v>
      </c>
      <c r="C6281" s="130" t="s">
        <v>7905</v>
      </c>
      <c r="D6281">
        <v>426</v>
      </c>
      <c r="E6281" s="130">
        <v>21062047</v>
      </c>
      <c r="F6281" t="s">
        <v>87</v>
      </c>
      <c r="G6281">
        <v>358</v>
      </c>
      <c r="H6281" t="s">
        <v>8951</v>
      </c>
      <c r="I6281" s="131">
        <v>2</v>
      </c>
      <c r="J6281" t="s">
        <v>7905</v>
      </c>
      <c r="K6281" t="s">
        <v>95</v>
      </c>
      <c r="L6281" t="s">
        <v>111</v>
      </c>
      <c r="M6281" t="s">
        <v>103</v>
      </c>
      <c r="N6281" t="s">
        <v>98</v>
      </c>
      <c r="O6281" t="s">
        <v>116</v>
      </c>
    </row>
    <row r="6282" spans="1:15" x14ac:dyDescent="0.3">
      <c r="A6282" s="130">
        <v>70111</v>
      </c>
      <c r="B6282" s="130">
        <v>18</v>
      </c>
      <c r="C6282" s="130" t="s">
        <v>7906</v>
      </c>
      <c r="D6282">
        <v>427</v>
      </c>
      <c r="E6282" s="131">
        <v>21728225</v>
      </c>
      <c r="F6282" t="s">
        <v>87</v>
      </c>
      <c r="G6282">
        <v>358</v>
      </c>
      <c r="H6282" t="s">
        <v>8952</v>
      </c>
      <c r="I6282" s="131">
        <v>2</v>
      </c>
      <c r="J6282" t="s">
        <v>7906</v>
      </c>
      <c r="K6282" t="s">
        <v>95</v>
      </c>
      <c r="L6282" t="s">
        <v>109</v>
      </c>
      <c r="M6282" t="s">
        <v>112</v>
      </c>
      <c r="N6282" t="s">
        <v>98</v>
      </c>
      <c r="O6282" t="s">
        <v>1345</v>
      </c>
    </row>
    <row r="6283" spans="1:15" x14ac:dyDescent="0.3">
      <c r="A6283" s="130">
        <v>70116</v>
      </c>
      <c r="B6283" s="130">
        <v>18</v>
      </c>
      <c r="C6283" s="130" t="s">
        <v>7907</v>
      </c>
      <c r="D6283">
        <v>428</v>
      </c>
      <c r="E6283" s="131">
        <v>72030927</v>
      </c>
      <c r="F6283" t="s">
        <v>87</v>
      </c>
      <c r="G6283">
        <v>358</v>
      </c>
      <c r="H6283" t="s">
        <v>8953</v>
      </c>
      <c r="I6283" s="131">
        <v>2</v>
      </c>
      <c r="J6283" t="s">
        <v>7907</v>
      </c>
      <c r="K6283" t="s">
        <v>108</v>
      </c>
      <c r="L6283" t="s">
        <v>99</v>
      </c>
      <c r="M6283" t="s">
        <v>112</v>
      </c>
      <c r="N6283" t="s">
        <v>98</v>
      </c>
      <c r="O6283" t="s">
        <v>1345</v>
      </c>
    </row>
    <row r="6284" spans="1:15" x14ac:dyDescent="0.3">
      <c r="A6284" s="130">
        <v>70127</v>
      </c>
      <c r="B6284" s="130">
        <v>18</v>
      </c>
      <c r="C6284" s="130" t="s">
        <v>7908</v>
      </c>
      <c r="D6284">
        <v>429</v>
      </c>
      <c r="E6284" s="130">
        <v>5888355</v>
      </c>
      <c r="F6284" t="s">
        <v>87</v>
      </c>
      <c r="G6284">
        <v>358</v>
      </c>
      <c r="H6284" t="s">
        <v>8951</v>
      </c>
      <c r="I6284" s="130">
        <v>2</v>
      </c>
      <c r="J6284" t="s">
        <v>7908</v>
      </c>
      <c r="K6284" t="s">
        <v>108</v>
      </c>
      <c r="L6284" t="s">
        <v>99</v>
      </c>
      <c r="M6284" t="s">
        <v>112</v>
      </c>
      <c r="N6284" t="s">
        <v>114</v>
      </c>
      <c r="O6284" t="s">
        <v>1345</v>
      </c>
    </row>
    <row r="6285" spans="1:15" x14ac:dyDescent="0.3">
      <c r="A6285" s="130">
        <v>70129</v>
      </c>
      <c r="B6285" s="130">
        <v>30</v>
      </c>
      <c r="C6285" s="130" t="s">
        <v>7909</v>
      </c>
      <c r="D6285">
        <v>430</v>
      </c>
      <c r="E6285" s="131">
        <v>60394665</v>
      </c>
      <c r="F6285" t="s">
        <v>87</v>
      </c>
      <c r="G6285">
        <v>78</v>
      </c>
      <c r="H6285" t="s">
        <v>8952</v>
      </c>
      <c r="I6285" s="131">
        <v>10</v>
      </c>
      <c r="J6285" t="s">
        <v>7909</v>
      </c>
      <c r="K6285" t="s">
        <v>95</v>
      </c>
      <c r="L6285" t="s">
        <v>127</v>
      </c>
      <c r="M6285" t="s">
        <v>103</v>
      </c>
      <c r="N6285" t="s">
        <v>118</v>
      </c>
      <c r="O6285" t="s">
        <v>1345</v>
      </c>
    </row>
    <row r="6286" spans="1:15" x14ac:dyDescent="0.3">
      <c r="A6286" s="130">
        <v>70134</v>
      </c>
      <c r="B6286" s="130">
        <v>18</v>
      </c>
      <c r="C6286" s="130" t="s">
        <v>7910</v>
      </c>
      <c r="D6286">
        <v>431</v>
      </c>
      <c r="E6286" s="130">
        <v>77591402</v>
      </c>
      <c r="F6286" t="s">
        <v>87</v>
      </c>
      <c r="G6286">
        <v>78</v>
      </c>
      <c r="H6286" t="s">
        <v>8953</v>
      </c>
      <c r="I6286" s="130">
        <v>26</v>
      </c>
      <c r="J6286" t="s">
        <v>7910</v>
      </c>
      <c r="K6286" t="s">
        <v>95</v>
      </c>
      <c r="L6286" t="s">
        <v>151</v>
      </c>
      <c r="M6286" t="s">
        <v>112</v>
      </c>
      <c r="N6286" t="s">
        <v>98</v>
      </c>
      <c r="O6286" t="s">
        <v>1345</v>
      </c>
    </row>
    <row r="6287" spans="1:15" x14ac:dyDescent="0.3">
      <c r="A6287" s="130">
        <v>70135</v>
      </c>
      <c r="B6287" s="130">
        <v>18</v>
      </c>
      <c r="C6287" s="130" t="s">
        <v>7911</v>
      </c>
      <c r="D6287">
        <v>432</v>
      </c>
      <c r="E6287" s="131">
        <v>2617158</v>
      </c>
      <c r="F6287" t="s">
        <v>87</v>
      </c>
      <c r="G6287">
        <v>78</v>
      </c>
      <c r="H6287" t="s">
        <v>8951</v>
      </c>
      <c r="I6287" s="131">
        <v>10</v>
      </c>
      <c r="J6287" t="s">
        <v>7911</v>
      </c>
      <c r="K6287" t="s">
        <v>108</v>
      </c>
      <c r="L6287" t="s">
        <v>127</v>
      </c>
      <c r="M6287" t="s">
        <v>112</v>
      </c>
      <c r="N6287" t="s">
        <v>98</v>
      </c>
      <c r="O6287" t="s">
        <v>1345</v>
      </c>
    </row>
    <row r="6288" spans="1:15" x14ac:dyDescent="0.3">
      <c r="A6288" s="130">
        <v>70144</v>
      </c>
      <c r="B6288" s="130">
        <v>90</v>
      </c>
      <c r="C6288" s="130" t="s">
        <v>7912</v>
      </c>
      <c r="D6288">
        <v>433</v>
      </c>
      <c r="E6288" s="130">
        <v>17500224</v>
      </c>
      <c r="F6288" t="s">
        <v>87</v>
      </c>
      <c r="G6288">
        <v>77</v>
      </c>
      <c r="H6288" t="s">
        <v>8952</v>
      </c>
      <c r="I6288" s="131">
        <v>2</v>
      </c>
      <c r="J6288" t="s">
        <v>7912</v>
      </c>
      <c r="K6288" t="s">
        <v>95</v>
      </c>
      <c r="L6288" t="s">
        <v>256</v>
      </c>
      <c r="M6288" t="s">
        <v>170</v>
      </c>
      <c r="N6288" t="s">
        <v>114</v>
      </c>
      <c r="O6288" t="s">
        <v>1345</v>
      </c>
    </row>
    <row r="6289" spans="1:15" x14ac:dyDescent="0.3">
      <c r="A6289" s="130">
        <v>70145</v>
      </c>
      <c r="B6289" s="130">
        <v>18</v>
      </c>
      <c r="C6289" s="130" t="s">
        <v>7913</v>
      </c>
      <c r="D6289">
        <v>434</v>
      </c>
      <c r="E6289" s="131">
        <v>1738526</v>
      </c>
      <c r="F6289" t="s">
        <v>87</v>
      </c>
      <c r="G6289">
        <v>78</v>
      </c>
      <c r="H6289" t="s">
        <v>8953</v>
      </c>
      <c r="I6289" s="131">
        <v>18</v>
      </c>
      <c r="J6289" t="s">
        <v>7913</v>
      </c>
      <c r="K6289" t="s">
        <v>108</v>
      </c>
      <c r="L6289" t="s">
        <v>123</v>
      </c>
      <c r="M6289" t="s">
        <v>112</v>
      </c>
      <c r="N6289" t="s">
        <v>98</v>
      </c>
      <c r="O6289" t="s">
        <v>1345</v>
      </c>
    </row>
    <row r="6290" spans="1:15" x14ac:dyDescent="0.3">
      <c r="A6290" s="130">
        <v>70148</v>
      </c>
      <c r="B6290" s="130">
        <v>18</v>
      </c>
      <c r="C6290" s="130" t="s">
        <v>7914</v>
      </c>
      <c r="D6290">
        <v>435</v>
      </c>
      <c r="E6290" s="130">
        <v>57559387</v>
      </c>
      <c r="F6290" t="s">
        <v>87</v>
      </c>
      <c r="G6290">
        <v>358</v>
      </c>
      <c r="H6290" t="s">
        <v>8951</v>
      </c>
      <c r="I6290" s="131">
        <v>2</v>
      </c>
      <c r="J6290" t="s">
        <v>7914</v>
      </c>
      <c r="K6290" t="s">
        <v>108</v>
      </c>
      <c r="L6290" t="s">
        <v>99</v>
      </c>
      <c r="M6290" t="s">
        <v>112</v>
      </c>
      <c r="N6290" t="s">
        <v>121</v>
      </c>
      <c r="O6290" t="s">
        <v>1345</v>
      </c>
    </row>
    <row r="6291" spans="1:15" x14ac:dyDescent="0.3">
      <c r="A6291" s="130">
        <v>70150</v>
      </c>
      <c r="B6291" s="130">
        <v>30</v>
      </c>
      <c r="C6291" s="130" t="s">
        <v>7915</v>
      </c>
      <c r="D6291">
        <v>436</v>
      </c>
      <c r="E6291" s="130">
        <v>8928273</v>
      </c>
      <c r="F6291" t="s">
        <v>87</v>
      </c>
      <c r="G6291">
        <v>78</v>
      </c>
      <c r="H6291" t="s">
        <v>8952</v>
      </c>
      <c r="I6291" s="131">
        <v>2</v>
      </c>
      <c r="J6291" t="s">
        <v>7915</v>
      </c>
      <c r="K6291" t="s">
        <v>95</v>
      </c>
      <c r="L6291" t="s">
        <v>126</v>
      </c>
      <c r="M6291" t="s">
        <v>103</v>
      </c>
      <c r="N6291" t="s">
        <v>124</v>
      </c>
      <c r="O6291" t="s">
        <v>1345</v>
      </c>
    </row>
    <row r="6292" spans="1:15" x14ac:dyDescent="0.3">
      <c r="A6292" s="130">
        <v>70153</v>
      </c>
      <c r="B6292" s="130">
        <v>90</v>
      </c>
      <c r="C6292" s="130" t="s">
        <v>7916</v>
      </c>
      <c r="D6292">
        <v>437</v>
      </c>
      <c r="E6292" s="130">
        <v>35234509</v>
      </c>
      <c r="F6292" t="s">
        <v>87</v>
      </c>
      <c r="G6292">
        <v>78</v>
      </c>
      <c r="H6292" t="s">
        <v>8953</v>
      </c>
      <c r="I6292" s="130">
        <v>24</v>
      </c>
      <c r="J6292" t="s">
        <v>7916</v>
      </c>
      <c r="K6292" t="s">
        <v>95</v>
      </c>
      <c r="L6292" t="s">
        <v>102</v>
      </c>
      <c r="M6292" t="s">
        <v>170</v>
      </c>
      <c r="N6292" t="s">
        <v>114</v>
      </c>
      <c r="O6292" t="s">
        <v>116</v>
      </c>
    </row>
    <row r="6293" spans="1:15" x14ac:dyDescent="0.3">
      <c r="A6293" s="130">
        <v>70157</v>
      </c>
      <c r="B6293" s="130">
        <v>18</v>
      </c>
      <c r="C6293" s="130" t="s">
        <v>7917</v>
      </c>
      <c r="D6293">
        <v>438</v>
      </c>
      <c r="E6293" s="130">
        <v>2843138</v>
      </c>
      <c r="F6293" t="s">
        <v>87</v>
      </c>
      <c r="G6293">
        <v>358</v>
      </c>
      <c r="H6293" t="s">
        <v>8951</v>
      </c>
      <c r="I6293" s="131">
        <v>2</v>
      </c>
      <c r="J6293" t="s">
        <v>7917</v>
      </c>
      <c r="K6293" t="s">
        <v>108</v>
      </c>
      <c r="L6293" t="s">
        <v>105</v>
      </c>
      <c r="M6293" t="s">
        <v>112</v>
      </c>
      <c r="N6293" t="s">
        <v>107</v>
      </c>
      <c r="O6293" t="s">
        <v>1345</v>
      </c>
    </row>
    <row r="6294" spans="1:15" x14ac:dyDescent="0.3">
      <c r="A6294" s="130">
        <v>70161</v>
      </c>
      <c r="B6294" s="130">
        <v>18</v>
      </c>
      <c r="C6294" s="130" t="s">
        <v>7918</v>
      </c>
      <c r="D6294">
        <v>439</v>
      </c>
      <c r="E6294" s="131">
        <v>6066763</v>
      </c>
      <c r="F6294" t="s">
        <v>87</v>
      </c>
      <c r="G6294">
        <v>78</v>
      </c>
      <c r="H6294" t="s">
        <v>8952</v>
      </c>
      <c r="I6294" s="130">
        <v>9</v>
      </c>
      <c r="J6294" t="s">
        <v>7918</v>
      </c>
      <c r="K6294" t="s">
        <v>108</v>
      </c>
      <c r="L6294" t="s">
        <v>125</v>
      </c>
      <c r="M6294" t="s">
        <v>112</v>
      </c>
      <c r="N6294" t="s">
        <v>107</v>
      </c>
      <c r="O6294" t="s">
        <v>1345</v>
      </c>
    </row>
    <row r="6295" spans="1:15" x14ac:dyDescent="0.3">
      <c r="A6295" s="130">
        <v>70162</v>
      </c>
      <c r="B6295" s="130">
        <v>18</v>
      </c>
      <c r="C6295" s="130" t="s">
        <v>7919</v>
      </c>
      <c r="D6295">
        <v>440</v>
      </c>
      <c r="E6295" s="131">
        <v>28660696</v>
      </c>
      <c r="F6295" t="s">
        <v>87</v>
      </c>
      <c r="G6295">
        <v>78</v>
      </c>
      <c r="H6295" t="s">
        <v>8953</v>
      </c>
      <c r="I6295" s="131">
        <v>9</v>
      </c>
      <c r="J6295" t="s">
        <v>7919</v>
      </c>
      <c r="K6295" t="s">
        <v>95</v>
      </c>
      <c r="L6295" t="s">
        <v>125</v>
      </c>
      <c r="M6295" t="s">
        <v>112</v>
      </c>
      <c r="N6295" t="s">
        <v>124</v>
      </c>
      <c r="O6295" t="s">
        <v>1345</v>
      </c>
    </row>
    <row r="6296" spans="1:15" x14ac:dyDescent="0.3">
      <c r="A6296" s="130">
        <v>70166</v>
      </c>
      <c r="B6296" s="130">
        <v>30</v>
      </c>
      <c r="C6296" s="130" t="s">
        <v>7920</v>
      </c>
      <c r="D6296">
        <v>441</v>
      </c>
      <c r="E6296" s="130">
        <v>14733269</v>
      </c>
      <c r="F6296" t="s">
        <v>87</v>
      </c>
      <c r="G6296">
        <v>77</v>
      </c>
      <c r="H6296" t="s">
        <v>8951</v>
      </c>
      <c r="I6296" s="130">
        <v>2</v>
      </c>
      <c r="J6296" t="s">
        <v>7920</v>
      </c>
      <c r="K6296" t="s">
        <v>95</v>
      </c>
      <c r="L6296" t="s">
        <v>1255</v>
      </c>
      <c r="M6296" t="s">
        <v>103</v>
      </c>
      <c r="N6296" t="s">
        <v>150</v>
      </c>
      <c r="O6296" t="s">
        <v>1345</v>
      </c>
    </row>
    <row r="6297" spans="1:15" x14ac:dyDescent="0.3">
      <c r="A6297" s="130">
        <v>70172</v>
      </c>
      <c r="B6297" s="130">
        <v>30</v>
      </c>
      <c r="C6297" s="130" t="s">
        <v>7921</v>
      </c>
      <c r="D6297">
        <v>442</v>
      </c>
      <c r="E6297" s="130">
        <v>14688220</v>
      </c>
      <c r="F6297" t="s">
        <v>87</v>
      </c>
      <c r="G6297">
        <v>78</v>
      </c>
      <c r="H6297" t="s">
        <v>8952</v>
      </c>
      <c r="I6297" s="131">
        <v>19</v>
      </c>
      <c r="J6297" t="s">
        <v>7921</v>
      </c>
      <c r="K6297" t="s">
        <v>95</v>
      </c>
      <c r="L6297" t="s">
        <v>146</v>
      </c>
      <c r="M6297" t="s">
        <v>103</v>
      </c>
      <c r="N6297" t="s">
        <v>101</v>
      </c>
      <c r="O6297" t="s">
        <v>1345</v>
      </c>
    </row>
    <row r="6298" spans="1:15" x14ac:dyDescent="0.3">
      <c r="A6298" s="130">
        <v>70181</v>
      </c>
      <c r="B6298" s="130">
        <v>18</v>
      </c>
      <c r="C6298" s="130" t="s">
        <v>7922</v>
      </c>
      <c r="D6298">
        <v>443</v>
      </c>
      <c r="E6298" s="130">
        <v>28660696</v>
      </c>
      <c r="F6298" t="s">
        <v>87</v>
      </c>
      <c r="G6298">
        <v>78</v>
      </c>
      <c r="H6298" t="s">
        <v>8953</v>
      </c>
      <c r="I6298" s="130">
        <v>9</v>
      </c>
      <c r="J6298" t="s">
        <v>7922</v>
      </c>
      <c r="K6298" t="s">
        <v>95</v>
      </c>
      <c r="L6298" t="s">
        <v>125</v>
      </c>
      <c r="M6298" t="s">
        <v>112</v>
      </c>
      <c r="N6298" t="s">
        <v>124</v>
      </c>
      <c r="O6298" t="s">
        <v>1345</v>
      </c>
    </row>
    <row r="6299" spans="1:15" x14ac:dyDescent="0.3">
      <c r="A6299" s="130">
        <v>70183</v>
      </c>
      <c r="B6299" s="130">
        <v>18</v>
      </c>
      <c r="C6299" s="130" t="s">
        <v>7923</v>
      </c>
      <c r="D6299">
        <v>444</v>
      </c>
      <c r="E6299" s="131">
        <v>9597095</v>
      </c>
      <c r="F6299" t="s">
        <v>87</v>
      </c>
      <c r="G6299">
        <v>358</v>
      </c>
      <c r="H6299" t="s">
        <v>8951</v>
      </c>
      <c r="I6299" s="130">
        <v>9</v>
      </c>
      <c r="J6299" t="s">
        <v>7923</v>
      </c>
      <c r="K6299" t="s">
        <v>108</v>
      </c>
      <c r="L6299" t="s">
        <v>105</v>
      </c>
      <c r="M6299" t="s">
        <v>112</v>
      </c>
      <c r="N6299" t="s">
        <v>141</v>
      </c>
      <c r="O6299" t="s">
        <v>1345</v>
      </c>
    </row>
    <row r="6300" spans="1:15" x14ac:dyDescent="0.3">
      <c r="A6300" s="130">
        <v>70193</v>
      </c>
      <c r="B6300" s="130">
        <v>30</v>
      </c>
      <c r="C6300" s="130" t="s">
        <v>7924</v>
      </c>
      <c r="D6300">
        <v>445</v>
      </c>
      <c r="E6300" s="130">
        <v>10417140</v>
      </c>
      <c r="F6300" t="s">
        <v>87</v>
      </c>
      <c r="G6300">
        <v>78</v>
      </c>
      <c r="H6300" t="s">
        <v>8952</v>
      </c>
      <c r="I6300" s="130">
        <v>18</v>
      </c>
      <c r="J6300" t="s">
        <v>7924</v>
      </c>
      <c r="K6300" t="s">
        <v>95</v>
      </c>
      <c r="L6300" t="s">
        <v>123</v>
      </c>
      <c r="M6300" t="s">
        <v>103</v>
      </c>
      <c r="N6300" t="s">
        <v>150</v>
      </c>
      <c r="O6300" t="s">
        <v>1345</v>
      </c>
    </row>
    <row r="6301" spans="1:15" x14ac:dyDescent="0.3">
      <c r="A6301" s="130">
        <v>70194</v>
      </c>
      <c r="B6301" s="130">
        <v>2</v>
      </c>
      <c r="C6301" s="130" t="s">
        <v>7925</v>
      </c>
      <c r="D6301">
        <v>446</v>
      </c>
      <c r="E6301" s="130">
        <v>31625963</v>
      </c>
      <c r="F6301" t="s">
        <v>87</v>
      </c>
      <c r="G6301">
        <v>78</v>
      </c>
      <c r="H6301" t="s">
        <v>8953</v>
      </c>
      <c r="I6301" s="131">
        <v>18</v>
      </c>
      <c r="J6301" t="s">
        <v>7925</v>
      </c>
      <c r="K6301" t="s">
        <v>95</v>
      </c>
      <c r="L6301" t="s">
        <v>123</v>
      </c>
      <c r="M6301" t="s">
        <v>224</v>
      </c>
      <c r="N6301" t="s">
        <v>98</v>
      </c>
      <c r="O6301" t="s">
        <v>116</v>
      </c>
    </row>
    <row r="6302" spans="1:15" x14ac:dyDescent="0.3">
      <c r="A6302" s="130">
        <v>70201</v>
      </c>
      <c r="B6302" s="130">
        <v>18</v>
      </c>
      <c r="C6302" s="130" t="s">
        <v>7926</v>
      </c>
      <c r="D6302">
        <v>447</v>
      </c>
      <c r="E6302" s="130">
        <v>9329077</v>
      </c>
      <c r="F6302" t="s">
        <v>87</v>
      </c>
      <c r="G6302">
        <v>358</v>
      </c>
      <c r="H6302" t="s">
        <v>8951</v>
      </c>
      <c r="I6302" s="130">
        <v>2</v>
      </c>
      <c r="J6302" t="s">
        <v>7926</v>
      </c>
      <c r="K6302" t="s">
        <v>95</v>
      </c>
      <c r="L6302" t="s">
        <v>109</v>
      </c>
      <c r="M6302" t="s">
        <v>112</v>
      </c>
      <c r="N6302" t="s">
        <v>98</v>
      </c>
      <c r="O6302" t="s">
        <v>1345</v>
      </c>
    </row>
    <row r="6303" spans="1:15" x14ac:dyDescent="0.3">
      <c r="A6303" s="130">
        <v>70202</v>
      </c>
      <c r="B6303" s="130">
        <v>18</v>
      </c>
      <c r="C6303" s="130" t="s">
        <v>7927</v>
      </c>
      <c r="D6303">
        <v>448</v>
      </c>
      <c r="E6303" s="130">
        <v>22745178</v>
      </c>
      <c r="F6303" t="s">
        <v>87</v>
      </c>
      <c r="G6303">
        <v>358</v>
      </c>
      <c r="H6303" t="s">
        <v>8952</v>
      </c>
      <c r="I6303" s="131">
        <v>2</v>
      </c>
      <c r="J6303" t="s">
        <v>7927</v>
      </c>
      <c r="K6303" t="s">
        <v>95</v>
      </c>
      <c r="L6303" t="s">
        <v>99</v>
      </c>
      <c r="M6303" t="s">
        <v>112</v>
      </c>
      <c r="N6303" t="s">
        <v>98</v>
      </c>
      <c r="O6303" t="s">
        <v>1345</v>
      </c>
    </row>
    <row r="6304" spans="1:15" x14ac:dyDescent="0.3">
      <c r="A6304" s="130">
        <v>70211</v>
      </c>
      <c r="B6304" s="130">
        <v>30</v>
      </c>
      <c r="C6304" s="130" t="s">
        <v>7928</v>
      </c>
      <c r="D6304">
        <v>449</v>
      </c>
      <c r="E6304" s="130">
        <v>34151100</v>
      </c>
      <c r="F6304" t="s">
        <v>87</v>
      </c>
      <c r="G6304">
        <v>77</v>
      </c>
      <c r="H6304" t="s">
        <v>8953</v>
      </c>
      <c r="I6304" s="130">
        <v>2</v>
      </c>
      <c r="J6304" t="s">
        <v>7928</v>
      </c>
      <c r="K6304" t="s">
        <v>95</v>
      </c>
      <c r="L6304" t="s">
        <v>109</v>
      </c>
      <c r="M6304" t="s">
        <v>103</v>
      </c>
      <c r="N6304" t="s">
        <v>101</v>
      </c>
      <c r="O6304" t="s">
        <v>116</v>
      </c>
    </row>
    <row r="6305" spans="1:15" x14ac:dyDescent="0.3">
      <c r="A6305" s="130">
        <v>70216</v>
      </c>
      <c r="B6305" s="130">
        <v>18</v>
      </c>
      <c r="C6305" s="130" t="s">
        <v>7929</v>
      </c>
      <c r="D6305">
        <v>450</v>
      </c>
      <c r="E6305" s="131">
        <v>8336849</v>
      </c>
      <c r="F6305" t="s">
        <v>87</v>
      </c>
      <c r="G6305">
        <v>78</v>
      </c>
      <c r="H6305" t="s">
        <v>8951</v>
      </c>
      <c r="I6305" s="130">
        <v>10</v>
      </c>
      <c r="J6305" t="s">
        <v>7929</v>
      </c>
      <c r="K6305" t="s">
        <v>108</v>
      </c>
      <c r="L6305" t="s">
        <v>105</v>
      </c>
      <c r="M6305" t="s">
        <v>112</v>
      </c>
      <c r="N6305" t="s">
        <v>107</v>
      </c>
      <c r="O6305" t="s">
        <v>1345</v>
      </c>
    </row>
    <row r="6306" spans="1:15" x14ac:dyDescent="0.3">
      <c r="A6306" s="130">
        <v>70222</v>
      </c>
      <c r="B6306" s="130">
        <v>74</v>
      </c>
      <c r="C6306" s="130" t="s">
        <v>7930</v>
      </c>
      <c r="D6306">
        <v>451</v>
      </c>
      <c r="E6306" s="130">
        <v>42150391</v>
      </c>
      <c r="F6306" t="s">
        <v>87</v>
      </c>
      <c r="G6306">
        <v>77</v>
      </c>
      <c r="H6306" t="s">
        <v>8952</v>
      </c>
      <c r="I6306" s="130">
        <v>24</v>
      </c>
      <c r="J6306" t="s">
        <v>7930</v>
      </c>
      <c r="K6306" t="s">
        <v>95</v>
      </c>
      <c r="L6306" t="s">
        <v>117</v>
      </c>
      <c r="M6306" t="s">
        <v>210</v>
      </c>
      <c r="N6306" t="s">
        <v>114</v>
      </c>
      <c r="O6306" t="s">
        <v>116</v>
      </c>
    </row>
    <row r="6307" spans="1:15" x14ac:dyDescent="0.3">
      <c r="A6307" s="130">
        <v>70225</v>
      </c>
      <c r="B6307" s="130">
        <v>18</v>
      </c>
      <c r="C6307" s="130" t="s">
        <v>7931</v>
      </c>
      <c r="D6307">
        <v>452</v>
      </c>
      <c r="E6307" s="130">
        <v>9325670</v>
      </c>
      <c r="F6307" t="s">
        <v>87</v>
      </c>
      <c r="G6307">
        <v>358</v>
      </c>
      <c r="H6307" t="s">
        <v>8953</v>
      </c>
      <c r="I6307" s="130">
        <v>2</v>
      </c>
      <c r="J6307" t="s">
        <v>7931</v>
      </c>
      <c r="K6307" t="s">
        <v>108</v>
      </c>
      <c r="L6307" t="s">
        <v>111</v>
      </c>
      <c r="M6307" t="s">
        <v>112</v>
      </c>
      <c r="N6307" t="s">
        <v>118</v>
      </c>
      <c r="O6307" t="s">
        <v>116</v>
      </c>
    </row>
    <row r="6308" spans="1:15" x14ac:dyDescent="0.3">
      <c r="A6308" s="130">
        <v>70226</v>
      </c>
      <c r="B6308" s="130">
        <v>18</v>
      </c>
      <c r="C6308" s="130" t="s">
        <v>7932</v>
      </c>
      <c r="D6308">
        <v>453</v>
      </c>
      <c r="E6308" s="131">
        <v>5675750</v>
      </c>
      <c r="F6308" t="s">
        <v>87</v>
      </c>
      <c r="G6308">
        <v>78</v>
      </c>
      <c r="H6308" t="s">
        <v>8951</v>
      </c>
      <c r="I6308" s="131">
        <v>26</v>
      </c>
      <c r="J6308" t="s">
        <v>7932</v>
      </c>
      <c r="K6308" t="s">
        <v>95</v>
      </c>
      <c r="L6308" t="s">
        <v>151</v>
      </c>
      <c r="M6308" t="s">
        <v>112</v>
      </c>
      <c r="N6308" t="s">
        <v>132</v>
      </c>
      <c r="O6308" t="s">
        <v>1345</v>
      </c>
    </row>
    <row r="6309" spans="1:15" x14ac:dyDescent="0.3">
      <c r="A6309" s="130">
        <v>70232</v>
      </c>
      <c r="B6309" s="130">
        <v>18</v>
      </c>
      <c r="C6309" s="130" t="s">
        <v>7933</v>
      </c>
      <c r="D6309">
        <v>454</v>
      </c>
      <c r="E6309" s="131">
        <v>2565617</v>
      </c>
      <c r="F6309" t="s">
        <v>87</v>
      </c>
      <c r="G6309">
        <v>78</v>
      </c>
      <c r="H6309" t="s">
        <v>8952</v>
      </c>
      <c r="I6309" s="130">
        <v>18</v>
      </c>
      <c r="J6309" t="s">
        <v>7933</v>
      </c>
      <c r="K6309" t="s">
        <v>108</v>
      </c>
      <c r="L6309" t="s">
        <v>123</v>
      </c>
      <c r="M6309" t="s">
        <v>112</v>
      </c>
      <c r="N6309" t="s">
        <v>114</v>
      </c>
      <c r="O6309" t="s">
        <v>116</v>
      </c>
    </row>
    <row r="6310" spans="1:15" x14ac:dyDescent="0.3">
      <c r="A6310" s="130">
        <v>70233</v>
      </c>
      <c r="B6310" s="130">
        <v>30</v>
      </c>
      <c r="C6310" s="130" t="s">
        <v>7934</v>
      </c>
      <c r="D6310">
        <v>455</v>
      </c>
      <c r="E6310" s="130">
        <v>8928273</v>
      </c>
      <c r="F6310" t="s">
        <v>87</v>
      </c>
      <c r="G6310">
        <v>358</v>
      </c>
      <c r="H6310" t="s">
        <v>8953</v>
      </c>
      <c r="I6310" s="130">
        <v>2</v>
      </c>
      <c r="J6310" t="s">
        <v>7934</v>
      </c>
      <c r="K6310" t="s">
        <v>95</v>
      </c>
      <c r="L6310" t="s">
        <v>99</v>
      </c>
      <c r="M6310" t="s">
        <v>103</v>
      </c>
      <c r="N6310" t="s">
        <v>124</v>
      </c>
      <c r="O6310" t="s">
        <v>1345</v>
      </c>
    </row>
    <row r="6311" spans="1:15" x14ac:dyDescent="0.3">
      <c r="A6311" s="130">
        <v>70234</v>
      </c>
      <c r="B6311" s="130">
        <v>30</v>
      </c>
      <c r="C6311" s="130" t="s">
        <v>7935</v>
      </c>
      <c r="D6311">
        <v>456</v>
      </c>
      <c r="E6311" s="130">
        <v>8928273</v>
      </c>
      <c r="F6311" t="s">
        <v>87</v>
      </c>
      <c r="G6311">
        <v>358</v>
      </c>
      <c r="H6311" t="s">
        <v>8951</v>
      </c>
      <c r="I6311" s="130">
        <v>2</v>
      </c>
      <c r="J6311" t="s">
        <v>7935</v>
      </c>
      <c r="K6311" t="s">
        <v>95</v>
      </c>
      <c r="L6311" t="s">
        <v>99</v>
      </c>
      <c r="M6311" t="s">
        <v>103</v>
      </c>
      <c r="N6311" t="s">
        <v>124</v>
      </c>
      <c r="O6311" t="s">
        <v>1345</v>
      </c>
    </row>
    <row r="6312" spans="1:15" x14ac:dyDescent="0.3">
      <c r="A6312" s="130">
        <v>70256</v>
      </c>
      <c r="B6312" s="130">
        <v>30</v>
      </c>
      <c r="C6312" s="130" t="s">
        <v>7936</v>
      </c>
      <c r="D6312">
        <v>457</v>
      </c>
      <c r="E6312" s="130">
        <v>14688220</v>
      </c>
      <c r="F6312" t="s">
        <v>87</v>
      </c>
      <c r="G6312">
        <v>78</v>
      </c>
      <c r="H6312" t="s">
        <v>8952</v>
      </c>
      <c r="I6312" s="131">
        <v>19</v>
      </c>
      <c r="J6312" t="s">
        <v>7936</v>
      </c>
      <c r="K6312" t="s">
        <v>95</v>
      </c>
      <c r="L6312" t="s">
        <v>146</v>
      </c>
      <c r="M6312" t="s">
        <v>103</v>
      </c>
      <c r="N6312" t="s">
        <v>101</v>
      </c>
      <c r="O6312" t="s">
        <v>1345</v>
      </c>
    </row>
    <row r="6313" spans="1:15" x14ac:dyDescent="0.3">
      <c r="A6313" s="130">
        <v>70257</v>
      </c>
      <c r="B6313" s="130">
        <v>18</v>
      </c>
      <c r="C6313" s="130" t="s">
        <v>7937</v>
      </c>
      <c r="D6313">
        <v>458</v>
      </c>
      <c r="E6313" s="130">
        <v>33146648</v>
      </c>
      <c r="F6313" t="s">
        <v>87</v>
      </c>
      <c r="G6313">
        <v>358</v>
      </c>
      <c r="H6313" t="s">
        <v>8953</v>
      </c>
      <c r="I6313" s="130">
        <v>2</v>
      </c>
      <c r="J6313" t="s">
        <v>7937</v>
      </c>
      <c r="K6313" t="s">
        <v>95</v>
      </c>
      <c r="L6313" t="s">
        <v>109</v>
      </c>
      <c r="M6313" t="s">
        <v>112</v>
      </c>
      <c r="N6313" t="s">
        <v>98</v>
      </c>
      <c r="O6313" t="s">
        <v>1345</v>
      </c>
    </row>
    <row r="6314" spans="1:15" x14ac:dyDescent="0.3">
      <c r="A6314" s="130">
        <v>70258</v>
      </c>
      <c r="B6314" s="130">
        <v>18</v>
      </c>
      <c r="C6314" s="130" t="s">
        <v>7938</v>
      </c>
      <c r="D6314">
        <v>459</v>
      </c>
      <c r="E6314" s="130">
        <v>49930514</v>
      </c>
      <c r="F6314" t="s">
        <v>87</v>
      </c>
      <c r="G6314">
        <v>358</v>
      </c>
      <c r="H6314" t="s">
        <v>8951</v>
      </c>
      <c r="I6314" s="130">
        <v>24</v>
      </c>
      <c r="J6314" t="s">
        <v>7938</v>
      </c>
      <c r="K6314" t="s">
        <v>108</v>
      </c>
      <c r="L6314" t="s">
        <v>120</v>
      </c>
      <c r="M6314" t="s">
        <v>112</v>
      </c>
      <c r="N6314" t="s">
        <v>101</v>
      </c>
      <c r="O6314" t="s">
        <v>1345</v>
      </c>
    </row>
    <row r="6315" spans="1:15" x14ac:dyDescent="0.3">
      <c r="A6315" s="130">
        <v>70263</v>
      </c>
      <c r="B6315" s="130">
        <v>30</v>
      </c>
      <c r="C6315" s="130" t="s">
        <v>7939</v>
      </c>
      <c r="D6315">
        <v>460</v>
      </c>
      <c r="E6315" s="130">
        <v>2102318</v>
      </c>
      <c r="F6315" t="s">
        <v>87</v>
      </c>
      <c r="G6315">
        <v>78</v>
      </c>
      <c r="H6315" t="s">
        <v>8952</v>
      </c>
      <c r="I6315" s="130">
        <v>10</v>
      </c>
      <c r="J6315" t="s">
        <v>7939</v>
      </c>
      <c r="K6315" t="s">
        <v>95</v>
      </c>
      <c r="L6315" t="s">
        <v>127</v>
      </c>
      <c r="M6315" t="s">
        <v>103</v>
      </c>
      <c r="N6315" t="s">
        <v>101</v>
      </c>
      <c r="O6315" t="s">
        <v>116</v>
      </c>
    </row>
    <row r="6316" spans="1:15" x14ac:dyDescent="0.3">
      <c r="A6316" s="130">
        <v>70268</v>
      </c>
      <c r="B6316" s="130">
        <v>18</v>
      </c>
      <c r="C6316" s="130" t="s">
        <v>7940</v>
      </c>
      <c r="D6316">
        <v>461</v>
      </c>
      <c r="E6316" s="130">
        <v>5899350</v>
      </c>
      <c r="F6316" t="s">
        <v>87</v>
      </c>
      <c r="G6316">
        <v>78</v>
      </c>
      <c r="H6316" t="s">
        <v>8953</v>
      </c>
      <c r="I6316" s="131">
        <v>9</v>
      </c>
      <c r="J6316" t="s">
        <v>7940</v>
      </c>
      <c r="K6316" t="s">
        <v>108</v>
      </c>
      <c r="L6316" t="s">
        <v>163</v>
      </c>
      <c r="M6316" t="s">
        <v>112</v>
      </c>
      <c r="N6316" t="s">
        <v>122</v>
      </c>
      <c r="O6316" t="s">
        <v>1345</v>
      </c>
    </row>
    <row r="6317" spans="1:15" x14ac:dyDescent="0.3">
      <c r="A6317" s="130">
        <v>70270</v>
      </c>
      <c r="B6317" s="130">
        <v>30</v>
      </c>
      <c r="C6317" s="130" t="s">
        <v>7941</v>
      </c>
      <c r="D6317">
        <v>462</v>
      </c>
      <c r="E6317" s="130">
        <v>35234509</v>
      </c>
      <c r="F6317" t="s">
        <v>87</v>
      </c>
      <c r="G6317">
        <v>78</v>
      </c>
      <c r="H6317" t="s">
        <v>8951</v>
      </c>
      <c r="I6317" s="131">
        <v>18</v>
      </c>
      <c r="J6317" t="s">
        <v>7941</v>
      </c>
      <c r="K6317" t="s">
        <v>95</v>
      </c>
      <c r="L6317" t="s">
        <v>102</v>
      </c>
      <c r="M6317" t="s">
        <v>103</v>
      </c>
      <c r="N6317" t="s">
        <v>98</v>
      </c>
      <c r="O6317" t="s">
        <v>1345</v>
      </c>
    </row>
    <row r="6318" spans="1:15" x14ac:dyDescent="0.3">
      <c r="A6318" s="130">
        <v>70271</v>
      </c>
      <c r="B6318" s="130">
        <v>30</v>
      </c>
      <c r="C6318" s="130" t="s">
        <v>7942</v>
      </c>
      <c r="D6318">
        <v>463</v>
      </c>
      <c r="E6318" s="130">
        <v>35234509</v>
      </c>
      <c r="F6318" t="s">
        <v>87</v>
      </c>
      <c r="G6318">
        <v>78</v>
      </c>
      <c r="H6318" t="s">
        <v>8952</v>
      </c>
      <c r="I6318" s="130">
        <v>18</v>
      </c>
      <c r="J6318" t="s">
        <v>7942</v>
      </c>
      <c r="K6318" t="s">
        <v>95</v>
      </c>
      <c r="L6318" t="s">
        <v>102</v>
      </c>
      <c r="M6318" t="s">
        <v>103</v>
      </c>
      <c r="N6318" t="s">
        <v>98</v>
      </c>
      <c r="O6318" t="s">
        <v>1345</v>
      </c>
    </row>
    <row r="6319" spans="1:15" x14ac:dyDescent="0.3">
      <c r="A6319" s="130">
        <v>70272</v>
      </c>
      <c r="B6319" s="130">
        <v>90</v>
      </c>
      <c r="C6319" s="130" t="s">
        <v>7943</v>
      </c>
      <c r="D6319">
        <v>464</v>
      </c>
      <c r="E6319" s="130">
        <v>35234509</v>
      </c>
      <c r="F6319" t="s">
        <v>87</v>
      </c>
      <c r="G6319">
        <v>78</v>
      </c>
      <c r="H6319" t="s">
        <v>8953</v>
      </c>
      <c r="I6319" s="130">
        <v>18</v>
      </c>
      <c r="J6319" t="s">
        <v>7943</v>
      </c>
      <c r="K6319" t="s">
        <v>95</v>
      </c>
      <c r="L6319" t="s">
        <v>102</v>
      </c>
      <c r="M6319" t="s">
        <v>170</v>
      </c>
      <c r="N6319" t="s">
        <v>98</v>
      </c>
      <c r="O6319" t="s">
        <v>116</v>
      </c>
    </row>
    <row r="6320" spans="1:15" x14ac:dyDescent="0.3">
      <c r="A6320" s="130">
        <v>70276</v>
      </c>
      <c r="B6320" s="130">
        <v>30</v>
      </c>
      <c r="C6320" s="130" t="s">
        <v>7944</v>
      </c>
      <c r="D6320">
        <v>465</v>
      </c>
      <c r="E6320" s="130">
        <v>28473630</v>
      </c>
      <c r="F6320" t="s">
        <v>87</v>
      </c>
      <c r="G6320">
        <v>78</v>
      </c>
      <c r="H6320" t="s">
        <v>8951</v>
      </c>
      <c r="I6320" s="131">
        <v>18</v>
      </c>
      <c r="J6320" t="s">
        <v>7944</v>
      </c>
      <c r="K6320" t="s">
        <v>95</v>
      </c>
      <c r="L6320" t="s">
        <v>123</v>
      </c>
      <c r="M6320" t="s">
        <v>103</v>
      </c>
      <c r="N6320" t="s">
        <v>150</v>
      </c>
      <c r="O6320" t="s">
        <v>1345</v>
      </c>
    </row>
    <row r="6321" spans="1:15" x14ac:dyDescent="0.3">
      <c r="A6321" s="130">
        <v>70278</v>
      </c>
      <c r="B6321" s="130">
        <v>90</v>
      </c>
      <c r="C6321" s="130" t="s">
        <v>7945</v>
      </c>
      <c r="D6321">
        <v>466</v>
      </c>
      <c r="E6321" s="131">
        <v>35234509</v>
      </c>
      <c r="F6321" t="s">
        <v>87</v>
      </c>
      <c r="G6321">
        <v>78</v>
      </c>
      <c r="H6321" t="s">
        <v>8952</v>
      </c>
      <c r="I6321" s="131">
        <v>18</v>
      </c>
      <c r="J6321" t="s">
        <v>7945</v>
      </c>
      <c r="K6321" t="s">
        <v>95</v>
      </c>
      <c r="L6321" t="s">
        <v>102</v>
      </c>
      <c r="M6321" t="s">
        <v>170</v>
      </c>
      <c r="N6321" t="s">
        <v>98</v>
      </c>
      <c r="O6321" t="s">
        <v>116</v>
      </c>
    </row>
    <row r="6322" spans="1:15" x14ac:dyDescent="0.3">
      <c r="A6322" s="130">
        <v>70280</v>
      </c>
      <c r="B6322" s="130">
        <v>18</v>
      </c>
      <c r="C6322" s="130" t="s">
        <v>7946</v>
      </c>
      <c r="D6322">
        <v>467</v>
      </c>
      <c r="E6322" s="131">
        <v>28660696</v>
      </c>
      <c r="F6322" t="s">
        <v>87</v>
      </c>
      <c r="G6322">
        <v>78</v>
      </c>
      <c r="H6322" t="s">
        <v>8953</v>
      </c>
      <c r="I6322" s="131">
        <v>9</v>
      </c>
      <c r="J6322" t="s">
        <v>7946</v>
      </c>
      <c r="K6322" t="s">
        <v>95</v>
      </c>
      <c r="L6322" t="s">
        <v>125</v>
      </c>
      <c r="M6322" t="s">
        <v>112</v>
      </c>
      <c r="N6322" t="s">
        <v>124</v>
      </c>
      <c r="O6322" t="s">
        <v>1345</v>
      </c>
    </row>
    <row r="6323" spans="1:15" x14ac:dyDescent="0.3">
      <c r="A6323" s="130">
        <v>70281</v>
      </c>
      <c r="B6323" s="130">
        <v>18</v>
      </c>
      <c r="C6323" s="130" t="s">
        <v>7947</v>
      </c>
      <c r="D6323">
        <v>468</v>
      </c>
      <c r="E6323" s="130">
        <v>12926462</v>
      </c>
      <c r="F6323" t="s">
        <v>87</v>
      </c>
      <c r="G6323">
        <v>78</v>
      </c>
      <c r="H6323" t="s">
        <v>8951</v>
      </c>
      <c r="I6323" s="130">
        <v>10</v>
      </c>
      <c r="J6323" t="s">
        <v>7947</v>
      </c>
      <c r="K6323" t="s">
        <v>95</v>
      </c>
      <c r="L6323" t="s">
        <v>127</v>
      </c>
      <c r="M6323" t="s">
        <v>112</v>
      </c>
      <c r="N6323" t="s">
        <v>98</v>
      </c>
      <c r="O6323" t="s">
        <v>1345</v>
      </c>
    </row>
    <row r="6324" spans="1:15" x14ac:dyDescent="0.3">
      <c r="A6324" s="130">
        <v>70287</v>
      </c>
      <c r="B6324" s="130">
        <v>18</v>
      </c>
      <c r="C6324" s="130" t="s">
        <v>7948</v>
      </c>
      <c r="D6324">
        <v>469</v>
      </c>
      <c r="E6324" s="130">
        <v>9325670</v>
      </c>
      <c r="F6324" t="s">
        <v>87</v>
      </c>
      <c r="G6324">
        <v>358</v>
      </c>
      <c r="H6324" t="s">
        <v>8952</v>
      </c>
      <c r="I6324" s="130">
        <v>2</v>
      </c>
      <c r="J6324" t="s">
        <v>7948</v>
      </c>
      <c r="K6324" t="s">
        <v>108</v>
      </c>
      <c r="L6324" t="s">
        <v>153</v>
      </c>
      <c r="M6324" t="s">
        <v>112</v>
      </c>
      <c r="N6324" t="s">
        <v>118</v>
      </c>
      <c r="O6324" t="s">
        <v>116</v>
      </c>
    </row>
    <row r="6325" spans="1:15" x14ac:dyDescent="0.3">
      <c r="A6325" s="130">
        <v>70289</v>
      </c>
      <c r="B6325" s="130">
        <v>30</v>
      </c>
      <c r="C6325" s="130" t="s">
        <v>7949</v>
      </c>
      <c r="D6325">
        <v>470</v>
      </c>
      <c r="E6325" s="130">
        <v>5571228</v>
      </c>
      <c r="F6325" t="s">
        <v>87</v>
      </c>
      <c r="G6325">
        <v>78</v>
      </c>
      <c r="H6325" t="s">
        <v>8953</v>
      </c>
      <c r="I6325" s="130">
        <v>38</v>
      </c>
      <c r="J6325" t="s">
        <v>7949</v>
      </c>
      <c r="K6325" t="s">
        <v>95</v>
      </c>
      <c r="L6325" t="s">
        <v>126</v>
      </c>
      <c r="M6325" t="s">
        <v>103</v>
      </c>
      <c r="N6325" t="s">
        <v>101</v>
      </c>
      <c r="O6325" t="s">
        <v>116</v>
      </c>
    </row>
    <row r="6326" spans="1:15" x14ac:dyDescent="0.3">
      <c r="A6326" s="130">
        <v>70316</v>
      </c>
      <c r="B6326" s="130">
        <v>35</v>
      </c>
      <c r="C6326" s="130" t="s">
        <v>7950</v>
      </c>
      <c r="D6326">
        <v>471</v>
      </c>
      <c r="E6326" s="131">
        <v>5416618</v>
      </c>
      <c r="F6326" t="s">
        <v>87</v>
      </c>
      <c r="G6326">
        <v>358</v>
      </c>
      <c r="H6326" t="s">
        <v>8951</v>
      </c>
      <c r="I6326" s="131">
        <v>2</v>
      </c>
      <c r="J6326" t="s">
        <v>7950</v>
      </c>
      <c r="K6326" t="s">
        <v>108</v>
      </c>
      <c r="L6326" t="s">
        <v>105</v>
      </c>
      <c r="M6326" t="s">
        <v>161</v>
      </c>
      <c r="N6326" t="s">
        <v>101</v>
      </c>
      <c r="O6326" t="s">
        <v>1345</v>
      </c>
    </row>
    <row r="6327" spans="1:15" x14ac:dyDescent="0.3">
      <c r="A6327" s="130">
        <v>70321</v>
      </c>
      <c r="B6327" s="130">
        <v>18</v>
      </c>
      <c r="C6327" s="130" t="s">
        <v>7951</v>
      </c>
      <c r="D6327">
        <v>472</v>
      </c>
      <c r="E6327" s="130">
        <v>18540906</v>
      </c>
      <c r="F6327" t="s">
        <v>87</v>
      </c>
      <c r="G6327">
        <v>358</v>
      </c>
      <c r="H6327" t="s">
        <v>8952</v>
      </c>
      <c r="I6327" s="130">
        <v>10</v>
      </c>
      <c r="J6327" t="s">
        <v>7951</v>
      </c>
      <c r="K6327" t="s">
        <v>95</v>
      </c>
      <c r="L6327" t="s">
        <v>105</v>
      </c>
      <c r="M6327" t="s">
        <v>112</v>
      </c>
      <c r="N6327" t="s">
        <v>98</v>
      </c>
      <c r="O6327" t="s">
        <v>116</v>
      </c>
    </row>
    <row r="6328" spans="1:15" x14ac:dyDescent="0.3">
      <c r="A6328" s="130">
        <v>70328</v>
      </c>
      <c r="B6328" s="130" t="s">
        <v>249</v>
      </c>
      <c r="C6328" s="130" t="s">
        <v>7952</v>
      </c>
      <c r="D6328">
        <v>473</v>
      </c>
      <c r="E6328" s="131">
        <v>20231848</v>
      </c>
      <c r="F6328" t="s">
        <v>87</v>
      </c>
      <c r="G6328">
        <v>78</v>
      </c>
      <c r="H6328" t="s">
        <v>8953</v>
      </c>
      <c r="I6328" s="130">
        <v>2</v>
      </c>
      <c r="J6328" t="s">
        <v>7952</v>
      </c>
      <c r="K6328" t="s">
        <v>95</v>
      </c>
      <c r="L6328" t="s">
        <v>102</v>
      </c>
      <c r="M6328" t="s">
        <v>250</v>
      </c>
      <c r="N6328" t="s">
        <v>98</v>
      </c>
      <c r="O6328" t="s">
        <v>116</v>
      </c>
    </row>
    <row r="6329" spans="1:15" x14ac:dyDescent="0.3">
      <c r="A6329" s="130">
        <v>70330</v>
      </c>
      <c r="B6329" s="130">
        <v>28</v>
      </c>
      <c r="C6329" s="130" t="s">
        <v>7953</v>
      </c>
      <c r="D6329">
        <v>474</v>
      </c>
      <c r="E6329" s="130">
        <v>19330272</v>
      </c>
      <c r="F6329" t="s">
        <v>87</v>
      </c>
      <c r="G6329">
        <v>78</v>
      </c>
      <c r="H6329" t="s">
        <v>8951</v>
      </c>
      <c r="I6329" s="130">
        <v>18</v>
      </c>
      <c r="J6329" t="s">
        <v>7953</v>
      </c>
      <c r="K6329" t="s">
        <v>95</v>
      </c>
      <c r="L6329" t="s">
        <v>123</v>
      </c>
      <c r="M6329" t="s">
        <v>130</v>
      </c>
      <c r="N6329" t="s">
        <v>150</v>
      </c>
      <c r="O6329" t="s">
        <v>1345</v>
      </c>
    </row>
    <row r="6330" spans="1:15" x14ac:dyDescent="0.3">
      <c r="A6330" s="130">
        <v>70336</v>
      </c>
      <c r="B6330" s="130">
        <v>28</v>
      </c>
      <c r="C6330" s="130" t="s">
        <v>7954</v>
      </c>
      <c r="D6330">
        <v>475</v>
      </c>
      <c r="E6330" s="130">
        <v>19235340</v>
      </c>
      <c r="F6330" t="s">
        <v>87</v>
      </c>
      <c r="G6330">
        <v>358</v>
      </c>
      <c r="H6330" t="s">
        <v>8952</v>
      </c>
      <c r="I6330" s="130">
        <v>2</v>
      </c>
      <c r="J6330" t="s">
        <v>7954</v>
      </c>
      <c r="K6330" t="s">
        <v>95</v>
      </c>
      <c r="L6330" t="s">
        <v>109</v>
      </c>
      <c r="M6330" t="s">
        <v>130</v>
      </c>
      <c r="N6330" t="s">
        <v>98</v>
      </c>
      <c r="O6330" t="s">
        <v>1345</v>
      </c>
    </row>
    <row r="6331" spans="1:15" x14ac:dyDescent="0.3">
      <c r="A6331" s="130">
        <v>70337</v>
      </c>
      <c r="B6331" s="130">
        <v>90</v>
      </c>
      <c r="C6331" s="130" t="s">
        <v>7955</v>
      </c>
      <c r="D6331">
        <v>476</v>
      </c>
      <c r="E6331" s="130">
        <v>35234509</v>
      </c>
      <c r="F6331" t="s">
        <v>87</v>
      </c>
      <c r="G6331">
        <v>78</v>
      </c>
      <c r="H6331" t="s">
        <v>8953</v>
      </c>
      <c r="I6331" s="131">
        <v>18</v>
      </c>
      <c r="J6331" t="s">
        <v>7955</v>
      </c>
      <c r="K6331" t="s">
        <v>95</v>
      </c>
      <c r="L6331" t="s">
        <v>102</v>
      </c>
      <c r="M6331" t="s">
        <v>170</v>
      </c>
      <c r="N6331" t="s">
        <v>98</v>
      </c>
      <c r="O6331" t="s">
        <v>116</v>
      </c>
    </row>
    <row r="6332" spans="1:15" x14ac:dyDescent="0.3">
      <c r="A6332" s="130">
        <v>70338</v>
      </c>
      <c r="B6332" s="130">
        <v>90</v>
      </c>
      <c r="C6332" s="130" t="s">
        <v>7956</v>
      </c>
      <c r="D6332">
        <v>477</v>
      </c>
      <c r="E6332" s="130">
        <v>35234509</v>
      </c>
      <c r="F6332" t="s">
        <v>87</v>
      </c>
      <c r="G6332">
        <v>78</v>
      </c>
      <c r="H6332" t="s">
        <v>8951</v>
      </c>
      <c r="I6332" s="130">
        <v>18</v>
      </c>
      <c r="J6332" t="s">
        <v>7956</v>
      </c>
      <c r="K6332" t="s">
        <v>95</v>
      </c>
      <c r="L6332" t="s">
        <v>102</v>
      </c>
      <c r="M6332" t="s">
        <v>170</v>
      </c>
      <c r="N6332" t="s">
        <v>98</v>
      </c>
      <c r="O6332" t="s">
        <v>116</v>
      </c>
    </row>
    <row r="6333" spans="1:15" x14ac:dyDescent="0.3">
      <c r="A6333" s="130">
        <v>70340</v>
      </c>
      <c r="B6333" s="130">
        <v>30</v>
      </c>
      <c r="C6333" s="130" t="s">
        <v>7957</v>
      </c>
      <c r="D6333">
        <v>478</v>
      </c>
      <c r="E6333" s="131">
        <v>35234509</v>
      </c>
      <c r="F6333" t="s">
        <v>87</v>
      </c>
      <c r="G6333">
        <v>78</v>
      </c>
      <c r="H6333" t="s">
        <v>8952</v>
      </c>
      <c r="I6333" s="131">
        <v>19</v>
      </c>
      <c r="J6333" t="s">
        <v>7957</v>
      </c>
      <c r="K6333" t="s">
        <v>95</v>
      </c>
      <c r="L6333" t="s">
        <v>102</v>
      </c>
      <c r="M6333" t="s">
        <v>103</v>
      </c>
      <c r="N6333" t="s">
        <v>98</v>
      </c>
      <c r="O6333" t="s">
        <v>1345</v>
      </c>
    </row>
    <row r="6334" spans="1:15" x14ac:dyDescent="0.3">
      <c r="A6334" s="130">
        <v>70345</v>
      </c>
      <c r="B6334" s="130">
        <v>30</v>
      </c>
      <c r="C6334" s="130" t="s">
        <v>7958</v>
      </c>
      <c r="D6334">
        <v>479</v>
      </c>
      <c r="E6334" s="130">
        <v>11609464</v>
      </c>
      <c r="F6334" t="s">
        <v>87</v>
      </c>
      <c r="G6334">
        <v>78</v>
      </c>
      <c r="H6334" t="s">
        <v>8953</v>
      </c>
      <c r="I6334" s="130">
        <v>10</v>
      </c>
      <c r="J6334" t="s">
        <v>7958</v>
      </c>
      <c r="K6334" t="s">
        <v>95</v>
      </c>
      <c r="L6334" t="s">
        <v>127</v>
      </c>
      <c r="M6334" t="s">
        <v>103</v>
      </c>
      <c r="N6334" t="s">
        <v>118</v>
      </c>
      <c r="O6334" t="s">
        <v>1345</v>
      </c>
    </row>
    <row r="6335" spans="1:15" x14ac:dyDescent="0.3">
      <c r="A6335" s="130">
        <v>70348</v>
      </c>
      <c r="B6335" s="130">
        <v>18</v>
      </c>
      <c r="C6335" s="130" t="s">
        <v>7959</v>
      </c>
      <c r="D6335">
        <v>480</v>
      </c>
      <c r="E6335" s="130">
        <v>29994423</v>
      </c>
      <c r="F6335" t="s">
        <v>87</v>
      </c>
      <c r="G6335">
        <v>358</v>
      </c>
      <c r="H6335" t="s">
        <v>8951</v>
      </c>
      <c r="I6335" s="131">
        <v>2</v>
      </c>
      <c r="J6335" t="s">
        <v>7959</v>
      </c>
      <c r="K6335" t="s">
        <v>95</v>
      </c>
      <c r="L6335" t="s">
        <v>99</v>
      </c>
      <c r="M6335" t="s">
        <v>112</v>
      </c>
      <c r="N6335" t="s">
        <v>98</v>
      </c>
      <c r="O6335" t="s">
        <v>1345</v>
      </c>
    </row>
    <row r="6336" spans="1:15" x14ac:dyDescent="0.3">
      <c r="A6336" s="130">
        <v>70361</v>
      </c>
      <c r="B6336" s="130">
        <v>18</v>
      </c>
      <c r="C6336" s="130" t="s">
        <v>7960</v>
      </c>
      <c r="D6336">
        <v>481</v>
      </c>
      <c r="E6336" s="130">
        <v>32968013</v>
      </c>
      <c r="F6336" t="s">
        <v>87</v>
      </c>
      <c r="G6336">
        <v>358</v>
      </c>
      <c r="H6336" t="s">
        <v>8952</v>
      </c>
      <c r="I6336" s="130">
        <v>24</v>
      </c>
      <c r="J6336" t="s">
        <v>7960</v>
      </c>
      <c r="K6336" t="s">
        <v>108</v>
      </c>
      <c r="L6336" t="s">
        <v>99</v>
      </c>
      <c r="M6336" t="s">
        <v>112</v>
      </c>
      <c r="N6336" t="s">
        <v>118</v>
      </c>
      <c r="O6336" t="s">
        <v>1345</v>
      </c>
    </row>
    <row r="6337" spans="1:15" x14ac:dyDescent="0.3">
      <c r="A6337" s="130">
        <v>70365</v>
      </c>
      <c r="B6337" s="130">
        <v>30</v>
      </c>
      <c r="C6337" s="130" t="s">
        <v>7961</v>
      </c>
      <c r="D6337">
        <v>482</v>
      </c>
      <c r="E6337" s="131">
        <v>18540906</v>
      </c>
      <c r="F6337" t="s">
        <v>87</v>
      </c>
      <c r="G6337">
        <v>78</v>
      </c>
      <c r="H6337" t="s">
        <v>8953</v>
      </c>
      <c r="I6337" s="131">
        <v>10</v>
      </c>
      <c r="J6337" t="s">
        <v>7961</v>
      </c>
      <c r="K6337" t="s">
        <v>95</v>
      </c>
      <c r="L6337" t="s">
        <v>127</v>
      </c>
      <c r="M6337" t="s">
        <v>103</v>
      </c>
      <c r="N6337" t="s">
        <v>118</v>
      </c>
      <c r="O6337" t="s">
        <v>116</v>
      </c>
    </row>
    <row r="6338" spans="1:15" x14ac:dyDescent="0.3">
      <c r="A6338" s="130">
        <v>70368</v>
      </c>
      <c r="B6338" s="130">
        <v>30</v>
      </c>
      <c r="C6338" s="130" t="s">
        <v>7962</v>
      </c>
      <c r="D6338">
        <v>483</v>
      </c>
      <c r="E6338" s="131">
        <v>35234509</v>
      </c>
      <c r="F6338" t="s">
        <v>87</v>
      </c>
      <c r="G6338">
        <v>78</v>
      </c>
      <c r="H6338" t="s">
        <v>8951</v>
      </c>
      <c r="I6338" s="130">
        <v>18</v>
      </c>
      <c r="J6338" t="s">
        <v>7962</v>
      </c>
      <c r="K6338" t="s">
        <v>95</v>
      </c>
      <c r="L6338" t="s">
        <v>102</v>
      </c>
      <c r="M6338" t="s">
        <v>103</v>
      </c>
      <c r="N6338" t="s">
        <v>98</v>
      </c>
      <c r="O6338" t="s">
        <v>1345</v>
      </c>
    </row>
    <row r="6339" spans="1:15" x14ac:dyDescent="0.3">
      <c r="A6339" s="130">
        <v>70371</v>
      </c>
      <c r="B6339" s="130">
        <v>30</v>
      </c>
      <c r="C6339" s="130" t="s">
        <v>7963</v>
      </c>
      <c r="D6339">
        <v>484</v>
      </c>
      <c r="E6339" s="131">
        <v>10630328</v>
      </c>
      <c r="F6339" t="s">
        <v>87</v>
      </c>
      <c r="G6339">
        <v>78</v>
      </c>
      <c r="H6339" t="s">
        <v>8952</v>
      </c>
      <c r="I6339" s="130">
        <v>2</v>
      </c>
      <c r="J6339" t="s">
        <v>7963</v>
      </c>
      <c r="K6339" t="s">
        <v>108</v>
      </c>
      <c r="L6339" t="s">
        <v>109</v>
      </c>
      <c r="M6339" t="s">
        <v>103</v>
      </c>
      <c r="N6339" t="s">
        <v>132</v>
      </c>
      <c r="O6339" t="s">
        <v>1345</v>
      </c>
    </row>
    <row r="6340" spans="1:15" x14ac:dyDescent="0.3">
      <c r="A6340" s="130">
        <v>70384</v>
      </c>
      <c r="B6340" s="130">
        <v>30</v>
      </c>
      <c r="C6340" s="130" t="s">
        <v>7964</v>
      </c>
      <c r="D6340">
        <v>485</v>
      </c>
      <c r="E6340" s="131">
        <v>8343492</v>
      </c>
      <c r="F6340" t="s">
        <v>87</v>
      </c>
      <c r="G6340">
        <v>77</v>
      </c>
      <c r="H6340" t="s">
        <v>8953</v>
      </c>
      <c r="I6340" s="131">
        <v>18</v>
      </c>
      <c r="J6340" t="s">
        <v>7964</v>
      </c>
      <c r="K6340" t="s">
        <v>95</v>
      </c>
      <c r="L6340" t="s">
        <v>256</v>
      </c>
      <c r="M6340" t="s">
        <v>103</v>
      </c>
      <c r="N6340" t="s">
        <v>98</v>
      </c>
      <c r="O6340" t="s">
        <v>116</v>
      </c>
    </row>
    <row r="6341" spans="1:15" x14ac:dyDescent="0.3">
      <c r="A6341" s="130">
        <v>70386</v>
      </c>
      <c r="B6341" s="130">
        <v>30</v>
      </c>
      <c r="C6341" s="130" t="s">
        <v>7965</v>
      </c>
      <c r="D6341">
        <v>486</v>
      </c>
      <c r="E6341" s="131">
        <v>14688220</v>
      </c>
      <c r="F6341" t="s">
        <v>87</v>
      </c>
      <c r="G6341">
        <v>78</v>
      </c>
      <c r="H6341" t="s">
        <v>8951</v>
      </c>
      <c r="I6341" s="130">
        <v>19</v>
      </c>
      <c r="J6341" t="s">
        <v>7965</v>
      </c>
      <c r="K6341" t="s">
        <v>95</v>
      </c>
      <c r="L6341" t="s">
        <v>146</v>
      </c>
      <c r="M6341" t="s">
        <v>103</v>
      </c>
      <c r="N6341" t="s">
        <v>101</v>
      </c>
      <c r="O6341" t="s">
        <v>1345</v>
      </c>
    </row>
    <row r="6342" spans="1:15" x14ac:dyDescent="0.3">
      <c r="A6342" s="130">
        <v>70394</v>
      </c>
      <c r="B6342" s="130">
        <v>18</v>
      </c>
      <c r="C6342" s="130" t="s">
        <v>7966</v>
      </c>
      <c r="D6342">
        <v>487</v>
      </c>
      <c r="E6342" s="130">
        <v>24154849</v>
      </c>
      <c r="F6342" t="s">
        <v>87</v>
      </c>
      <c r="G6342">
        <v>78</v>
      </c>
      <c r="H6342" t="s">
        <v>8952</v>
      </c>
      <c r="I6342" s="130">
        <v>10</v>
      </c>
      <c r="J6342" t="s">
        <v>7966</v>
      </c>
      <c r="K6342" t="s">
        <v>108</v>
      </c>
      <c r="L6342" t="s">
        <v>127</v>
      </c>
      <c r="M6342" t="s">
        <v>112</v>
      </c>
      <c r="N6342" t="s">
        <v>98</v>
      </c>
      <c r="O6342" t="s">
        <v>1345</v>
      </c>
    </row>
    <row r="6343" spans="1:15" x14ac:dyDescent="0.3">
      <c r="A6343" s="130">
        <v>70396</v>
      </c>
      <c r="B6343" s="130">
        <v>18</v>
      </c>
      <c r="C6343" s="130" t="s">
        <v>7967</v>
      </c>
      <c r="D6343">
        <v>488</v>
      </c>
      <c r="E6343" s="130">
        <v>2112074</v>
      </c>
      <c r="F6343" t="s">
        <v>87</v>
      </c>
      <c r="G6343">
        <v>78</v>
      </c>
      <c r="H6343" t="s">
        <v>8953</v>
      </c>
      <c r="I6343" s="130">
        <v>10</v>
      </c>
      <c r="J6343" t="s">
        <v>7967</v>
      </c>
      <c r="K6343" t="s">
        <v>95</v>
      </c>
      <c r="L6343" t="s">
        <v>127</v>
      </c>
      <c r="M6343" t="s">
        <v>112</v>
      </c>
      <c r="N6343" t="s">
        <v>98</v>
      </c>
      <c r="O6343" t="s">
        <v>1345</v>
      </c>
    </row>
    <row r="6344" spans="1:15" x14ac:dyDescent="0.3">
      <c r="A6344" s="130">
        <v>70414</v>
      </c>
      <c r="B6344" s="130">
        <v>35</v>
      </c>
      <c r="C6344" s="130" t="s">
        <v>7968</v>
      </c>
      <c r="D6344">
        <v>489</v>
      </c>
      <c r="E6344" s="131">
        <v>20346524</v>
      </c>
      <c r="F6344" t="s">
        <v>87</v>
      </c>
      <c r="G6344">
        <v>77</v>
      </c>
      <c r="H6344" t="s">
        <v>8951</v>
      </c>
      <c r="I6344" s="131">
        <v>2</v>
      </c>
      <c r="J6344" t="s">
        <v>7968</v>
      </c>
      <c r="K6344" t="s">
        <v>95</v>
      </c>
      <c r="L6344" t="s">
        <v>117</v>
      </c>
      <c r="M6344" t="s">
        <v>161</v>
      </c>
      <c r="N6344" t="s">
        <v>118</v>
      </c>
      <c r="O6344" t="s">
        <v>1345</v>
      </c>
    </row>
    <row r="6345" spans="1:15" x14ac:dyDescent="0.3">
      <c r="A6345" s="130">
        <v>70429</v>
      </c>
      <c r="B6345" s="130">
        <v>90</v>
      </c>
      <c r="C6345" s="130" t="s">
        <v>7969</v>
      </c>
      <c r="D6345">
        <v>490</v>
      </c>
      <c r="E6345" s="131">
        <v>33449988</v>
      </c>
      <c r="F6345" t="s">
        <v>87</v>
      </c>
      <c r="G6345">
        <v>78</v>
      </c>
      <c r="H6345" t="s">
        <v>8952</v>
      </c>
      <c r="I6345" s="130">
        <v>9</v>
      </c>
      <c r="J6345" t="s">
        <v>7969</v>
      </c>
      <c r="K6345" t="s">
        <v>95</v>
      </c>
      <c r="L6345" t="s">
        <v>125</v>
      </c>
      <c r="M6345" t="s">
        <v>170</v>
      </c>
      <c r="N6345" t="s">
        <v>114</v>
      </c>
      <c r="O6345" t="s">
        <v>1345</v>
      </c>
    </row>
    <row r="6346" spans="1:15" x14ac:dyDescent="0.3">
      <c r="A6346" s="130">
        <v>70430</v>
      </c>
      <c r="B6346" s="130">
        <v>18</v>
      </c>
      <c r="C6346" s="130" t="s">
        <v>7970</v>
      </c>
      <c r="D6346">
        <v>491</v>
      </c>
      <c r="E6346" s="130">
        <v>9091833</v>
      </c>
      <c r="F6346" t="s">
        <v>87</v>
      </c>
      <c r="G6346">
        <v>358</v>
      </c>
      <c r="H6346" t="s">
        <v>8953</v>
      </c>
      <c r="I6346" s="131">
        <v>2</v>
      </c>
      <c r="J6346" t="s">
        <v>7970</v>
      </c>
      <c r="K6346" t="s">
        <v>108</v>
      </c>
      <c r="L6346" t="s">
        <v>99</v>
      </c>
      <c r="M6346" t="s">
        <v>112</v>
      </c>
      <c r="N6346" t="s">
        <v>98</v>
      </c>
      <c r="O6346" t="s">
        <v>1345</v>
      </c>
    </row>
    <row r="6347" spans="1:15" x14ac:dyDescent="0.3">
      <c r="A6347" s="130">
        <v>70433</v>
      </c>
      <c r="B6347" s="130">
        <v>30</v>
      </c>
      <c r="C6347" s="130" t="s">
        <v>7971</v>
      </c>
      <c r="D6347">
        <v>492</v>
      </c>
      <c r="E6347" s="131">
        <v>3672857</v>
      </c>
      <c r="F6347" t="s">
        <v>87</v>
      </c>
      <c r="G6347">
        <v>78</v>
      </c>
      <c r="H6347" t="s">
        <v>8951</v>
      </c>
      <c r="I6347" s="131">
        <v>10</v>
      </c>
      <c r="J6347" t="s">
        <v>7971</v>
      </c>
      <c r="K6347" t="s">
        <v>108</v>
      </c>
      <c r="L6347" t="s">
        <v>127</v>
      </c>
      <c r="M6347" t="s">
        <v>103</v>
      </c>
      <c r="N6347" t="s">
        <v>98</v>
      </c>
      <c r="O6347" t="s">
        <v>1345</v>
      </c>
    </row>
    <row r="6348" spans="1:15" x14ac:dyDescent="0.3">
      <c r="A6348" s="130">
        <v>70439</v>
      </c>
      <c r="B6348" s="130">
        <v>30</v>
      </c>
      <c r="C6348" s="130" t="s">
        <v>7972</v>
      </c>
      <c r="D6348">
        <v>493</v>
      </c>
      <c r="E6348" s="131">
        <v>17193590</v>
      </c>
      <c r="F6348" t="s">
        <v>87</v>
      </c>
      <c r="G6348">
        <v>77</v>
      </c>
      <c r="H6348" t="s">
        <v>8952</v>
      </c>
      <c r="I6348" s="130">
        <v>2</v>
      </c>
      <c r="J6348" t="s">
        <v>7972</v>
      </c>
      <c r="K6348" t="s">
        <v>95</v>
      </c>
      <c r="L6348" t="s">
        <v>1255</v>
      </c>
      <c r="M6348" t="s">
        <v>103</v>
      </c>
      <c r="N6348" t="s">
        <v>98</v>
      </c>
      <c r="O6348" t="s">
        <v>1345</v>
      </c>
    </row>
    <row r="6349" spans="1:15" x14ac:dyDescent="0.3">
      <c r="A6349" s="130">
        <v>70442</v>
      </c>
      <c r="B6349" s="130">
        <v>28</v>
      </c>
      <c r="C6349" s="130" t="s">
        <v>7973</v>
      </c>
      <c r="D6349">
        <v>494</v>
      </c>
      <c r="E6349" s="130">
        <v>2580316</v>
      </c>
      <c r="F6349" t="s">
        <v>87</v>
      </c>
      <c r="G6349">
        <v>358</v>
      </c>
      <c r="H6349" t="s">
        <v>8953</v>
      </c>
      <c r="I6349" s="131">
        <v>24</v>
      </c>
      <c r="J6349" t="s">
        <v>7973</v>
      </c>
      <c r="K6349" t="s">
        <v>108</v>
      </c>
      <c r="L6349" t="s">
        <v>99</v>
      </c>
      <c r="M6349" t="s">
        <v>130</v>
      </c>
      <c r="N6349" t="s">
        <v>101</v>
      </c>
      <c r="O6349" t="s">
        <v>1345</v>
      </c>
    </row>
    <row r="6350" spans="1:15" x14ac:dyDescent="0.3">
      <c r="A6350" s="130">
        <v>70449</v>
      </c>
      <c r="B6350" s="130">
        <v>18</v>
      </c>
      <c r="C6350" s="130" t="s">
        <v>7974</v>
      </c>
      <c r="D6350">
        <v>495</v>
      </c>
      <c r="E6350" s="130">
        <v>5276701</v>
      </c>
      <c r="F6350" t="s">
        <v>87</v>
      </c>
      <c r="G6350">
        <v>358</v>
      </c>
      <c r="H6350" t="s">
        <v>8951</v>
      </c>
      <c r="I6350" s="130">
        <v>18</v>
      </c>
      <c r="J6350" t="s">
        <v>7974</v>
      </c>
      <c r="K6350" t="s">
        <v>95</v>
      </c>
      <c r="L6350" t="s">
        <v>99</v>
      </c>
      <c r="M6350" t="s">
        <v>112</v>
      </c>
      <c r="N6350" t="s">
        <v>98</v>
      </c>
      <c r="O6350" t="s">
        <v>1345</v>
      </c>
    </row>
    <row r="6351" spans="1:15" x14ac:dyDescent="0.3">
      <c r="A6351" s="130">
        <v>70456</v>
      </c>
      <c r="B6351" s="130">
        <v>30</v>
      </c>
      <c r="C6351" s="130" t="s">
        <v>7975</v>
      </c>
      <c r="D6351">
        <v>496</v>
      </c>
      <c r="E6351" s="130">
        <v>8343492</v>
      </c>
      <c r="F6351" t="s">
        <v>87</v>
      </c>
      <c r="G6351">
        <v>77</v>
      </c>
      <c r="H6351" t="s">
        <v>8952</v>
      </c>
      <c r="I6351" s="130">
        <v>18</v>
      </c>
      <c r="J6351" t="s">
        <v>7975</v>
      </c>
      <c r="K6351" t="s">
        <v>95</v>
      </c>
      <c r="L6351" t="s">
        <v>256</v>
      </c>
      <c r="M6351" t="s">
        <v>103</v>
      </c>
      <c r="N6351" t="s">
        <v>98</v>
      </c>
      <c r="O6351" t="s">
        <v>116</v>
      </c>
    </row>
    <row r="6352" spans="1:15" x14ac:dyDescent="0.3">
      <c r="A6352" s="130">
        <v>70457</v>
      </c>
      <c r="B6352" s="130">
        <v>30</v>
      </c>
      <c r="C6352" s="130" t="s">
        <v>7976</v>
      </c>
      <c r="D6352">
        <v>497</v>
      </c>
      <c r="E6352" s="130">
        <v>28154862</v>
      </c>
      <c r="F6352" t="s">
        <v>87</v>
      </c>
      <c r="G6352">
        <v>358</v>
      </c>
      <c r="H6352" t="s">
        <v>8953</v>
      </c>
      <c r="I6352" s="130">
        <v>2</v>
      </c>
      <c r="J6352" t="s">
        <v>7976</v>
      </c>
      <c r="K6352" t="s">
        <v>95</v>
      </c>
      <c r="L6352" t="s">
        <v>109</v>
      </c>
      <c r="M6352" t="s">
        <v>103</v>
      </c>
      <c r="N6352" t="s">
        <v>98</v>
      </c>
      <c r="O6352" t="s">
        <v>1345</v>
      </c>
    </row>
    <row r="6353" spans="1:15" x14ac:dyDescent="0.3">
      <c r="A6353" s="130">
        <v>70460</v>
      </c>
      <c r="B6353" s="130">
        <v>30</v>
      </c>
      <c r="C6353" s="130" t="s">
        <v>7977</v>
      </c>
      <c r="D6353">
        <v>498</v>
      </c>
      <c r="E6353" s="130">
        <v>7522191</v>
      </c>
      <c r="F6353" t="s">
        <v>87</v>
      </c>
      <c r="G6353">
        <v>78</v>
      </c>
      <c r="H6353" t="s">
        <v>8951</v>
      </c>
      <c r="I6353" s="130">
        <v>18</v>
      </c>
      <c r="J6353" t="s">
        <v>7977</v>
      </c>
      <c r="K6353" t="s">
        <v>95</v>
      </c>
      <c r="L6353" t="s">
        <v>123</v>
      </c>
      <c r="M6353" t="s">
        <v>103</v>
      </c>
      <c r="N6353" t="s">
        <v>114</v>
      </c>
      <c r="O6353" t="s">
        <v>1345</v>
      </c>
    </row>
    <row r="6354" spans="1:15" x14ac:dyDescent="0.3">
      <c r="A6354" s="130">
        <v>70462</v>
      </c>
      <c r="B6354" s="130">
        <v>18</v>
      </c>
      <c r="C6354" s="130" t="s">
        <v>7978</v>
      </c>
      <c r="D6354">
        <v>499</v>
      </c>
      <c r="E6354" s="131">
        <v>8722773</v>
      </c>
      <c r="F6354" t="s">
        <v>87</v>
      </c>
      <c r="G6354">
        <v>358</v>
      </c>
      <c r="H6354" t="s">
        <v>8952</v>
      </c>
      <c r="I6354" s="130">
        <v>2</v>
      </c>
      <c r="J6354" t="s">
        <v>7978</v>
      </c>
      <c r="K6354" t="s">
        <v>108</v>
      </c>
      <c r="L6354" t="s">
        <v>99</v>
      </c>
      <c r="M6354" t="s">
        <v>112</v>
      </c>
      <c r="N6354" t="s">
        <v>150</v>
      </c>
      <c r="O6354" t="s">
        <v>1345</v>
      </c>
    </row>
    <row r="6355" spans="1:15" x14ac:dyDescent="0.3">
      <c r="A6355" s="130">
        <v>70463</v>
      </c>
      <c r="B6355" s="130">
        <v>18</v>
      </c>
      <c r="C6355" s="130" t="s">
        <v>7979</v>
      </c>
      <c r="D6355">
        <v>500</v>
      </c>
      <c r="E6355" s="130">
        <v>1738526</v>
      </c>
      <c r="F6355" t="s">
        <v>87</v>
      </c>
      <c r="G6355">
        <v>78</v>
      </c>
      <c r="H6355" t="s">
        <v>8953</v>
      </c>
      <c r="I6355" s="130">
        <v>18</v>
      </c>
      <c r="J6355" t="s">
        <v>7979</v>
      </c>
      <c r="K6355" t="s">
        <v>108</v>
      </c>
      <c r="L6355" t="s">
        <v>123</v>
      </c>
      <c r="M6355" t="s">
        <v>112</v>
      </c>
      <c r="N6355" t="s">
        <v>98</v>
      </c>
      <c r="O6355" t="s">
        <v>1345</v>
      </c>
    </row>
    <row r="6356" spans="1:15" x14ac:dyDescent="0.3">
      <c r="A6356" s="130">
        <v>70470</v>
      </c>
      <c r="B6356" s="130">
        <v>18</v>
      </c>
      <c r="C6356" s="130" t="s">
        <v>7980</v>
      </c>
      <c r="D6356">
        <v>501</v>
      </c>
      <c r="E6356" s="130">
        <v>19727473</v>
      </c>
      <c r="F6356" t="s">
        <v>87</v>
      </c>
      <c r="G6356">
        <v>337</v>
      </c>
      <c r="H6356" t="s">
        <v>8951</v>
      </c>
      <c r="I6356" s="130">
        <v>2</v>
      </c>
      <c r="J6356" t="s">
        <v>7980</v>
      </c>
      <c r="K6356" t="s">
        <v>108</v>
      </c>
      <c r="L6356" t="s">
        <v>109</v>
      </c>
      <c r="M6356" t="s">
        <v>112</v>
      </c>
      <c r="N6356" t="s">
        <v>98</v>
      </c>
      <c r="O6356" t="s">
        <v>116</v>
      </c>
    </row>
    <row r="6357" spans="1:15" x14ac:dyDescent="0.3">
      <c r="A6357" s="130">
        <v>70489</v>
      </c>
      <c r="B6357" s="130">
        <v>18</v>
      </c>
      <c r="C6357" s="130" t="s">
        <v>7981</v>
      </c>
      <c r="D6357">
        <v>502</v>
      </c>
      <c r="E6357" s="130">
        <v>2617158</v>
      </c>
      <c r="F6357" t="s">
        <v>87</v>
      </c>
      <c r="G6357">
        <v>78</v>
      </c>
      <c r="H6357" t="s">
        <v>8952</v>
      </c>
      <c r="I6357" s="130">
        <v>10</v>
      </c>
      <c r="J6357" t="s">
        <v>7981</v>
      </c>
      <c r="K6357" t="s">
        <v>108</v>
      </c>
      <c r="L6357" t="s">
        <v>127</v>
      </c>
      <c r="M6357" t="s">
        <v>112</v>
      </c>
      <c r="N6357" t="s">
        <v>98</v>
      </c>
      <c r="O6357" t="s">
        <v>1345</v>
      </c>
    </row>
    <row r="6358" spans="1:15" x14ac:dyDescent="0.3">
      <c r="A6358" s="130">
        <v>70492</v>
      </c>
      <c r="B6358" s="130">
        <v>30</v>
      </c>
      <c r="C6358" s="130" t="s">
        <v>7982</v>
      </c>
      <c r="D6358">
        <v>503</v>
      </c>
      <c r="E6358" s="131">
        <v>24601465</v>
      </c>
      <c r="F6358" t="s">
        <v>87</v>
      </c>
      <c r="G6358">
        <v>78</v>
      </c>
      <c r="H6358" t="s">
        <v>8953</v>
      </c>
      <c r="I6358" s="130">
        <v>18</v>
      </c>
      <c r="J6358" t="s">
        <v>7982</v>
      </c>
      <c r="K6358" t="s">
        <v>95</v>
      </c>
      <c r="L6358" t="s">
        <v>123</v>
      </c>
      <c r="M6358" t="s">
        <v>103</v>
      </c>
      <c r="N6358" t="s">
        <v>150</v>
      </c>
      <c r="O6358" t="s">
        <v>1345</v>
      </c>
    </row>
    <row r="6359" spans="1:15" x14ac:dyDescent="0.3">
      <c r="A6359" s="130">
        <v>70493</v>
      </c>
      <c r="B6359" s="130">
        <v>28</v>
      </c>
      <c r="C6359" s="130" t="s">
        <v>7983</v>
      </c>
      <c r="D6359">
        <v>504</v>
      </c>
      <c r="E6359" s="130">
        <v>34187118</v>
      </c>
      <c r="F6359" t="s">
        <v>87</v>
      </c>
      <c r="G6359">
        <v>78</v>
      </c>
      <c r="H6359" t="s">
        <v>8951</v>
      </c>
      <c r="I6359" s="130">
        <v>24</v>
      </c>
      <c r="J6359" t="s">
        <v>7983</v>
      </c>
      <c r="K6359" t="s">
        <v>95</v>
      </c>
      <c r="L6359" t="s">
        <v>138</v>
      </c>
      <c r="M6359" t="s">
        <v>130</v>
      </c>
      <c r="N6359" t="s">
        <v>150</v>
      </c>
      <c r="O6359" t="s">
        <v>1345</v>
      </c>
    </row>
    <row r="6360" spans="1:15" x14ac:dyDescent="0.3">
      <c r="A6360" s="130">
        <v>70508</v>
      </c>
      <c r="B6360" s="130">
        <v>30</v>
      </c>
      <c r="C6360" s="130" t="s">
        <v>7984</v>
      </c>
      <c r="D6360">
        <v>505</v>
      </c>
      <c r="E6360" s="130">
        <v>17155391</v>
      </c>
      <c r="F6360" t="s">
        <v>87</v>
      </c>
      <c r="G6360">
        <v>78</v>
      </c>
      <c r="H6360" t="s">
        <v>8952</v>
      </c>
      <c r="I6360" s="131">
        <v>10</v>
      </c>
      <c r="J6360" t="s">
        <v>7984</v>
      </c>
      <c r="K6360" t="s">
        <v>95</v>
      </c>
      <c r="L6360" t="s">
        <v>127</v>
      </c>
      <c r="M6360" t="s">
        <v>103</v>
      </c>
      <c r="N6360" t="s">
        <v>98</v>
      </c>
      <c r="O6360" t="s">
        <v>1345</v>
      </c>
    </row>
    <row r="6361" spans="1:15" x14ac:dyDescent="0.3">
      <c r="A6361" s="130">
        <v>70510</v>
      </c>
      <c r="B6361" s="130">
        <v>60</v>
      </c>
      <c r="C6361" s="130" t="s">
        <v>7985</v>
      </c>
      <c r="D6361">
        <v>1992</v>
      </c>
      <c r="E6361" s="131">
        <v>33592510</v>
      </c>
      <c r="F6361" t="s">
        <v>87</v>
      </c>
      <c r="G6361">
        <v>77</v>
      </c>
      <c r="H6361" t="s">
        <v>8953</v>
      </c>
      <c r="I6361" s="130">
        <v>44</v>
      </c>
      <c r="J6361" t="s">
        <v>7985</v>
      </c>
      <c r="K6361" t="s">
        <v>95</v>
      </c>
      <c r="L6361" t="s">
        <v>117</v>
      </c>
      <c r="M6361" t="s">
        <v>97</v>
      </c>
      <c r="N6361" t="s">
        <v>118</v>
      </c>
      <c r="O6361" t="s">
        <v>1256</v>
      </c>
    </row>
    <row r="6362" spans="1:15" x14ac:dyDescent="0.3">
      <c r="A6362" s="130">
        <v>70518</v>
      </c>
      <c r="B6362" s="130">
        <v>18</v>
      </c>
      <c r="C6362" s="130" t="s">
        <v>7986</v>
      </c>
      <c r="D6362">
        <v>506</v>
      </c>
      <c r="E6362" s="130">
        <v>3887613</v>
      </c>
      <c r="F6362" t="s">
        <v>87</v>
      </c>
      <c r="G6362">
        <v>78</v>
      </c>
      <c r="H6362" t="s">
        <v>8951</v>
      </c>
      <c r="I6362" s="130">
        <v>10</v>
      </c>
      <c r="J6362" t="s">
        <v>7986</v>
      </c>
      <c r="K6362" t="s">
        <v>108</v>
      </c>
      <c r="L6362" t="s">
        <v>127</v>
      </c>
      <c r="M6362" t="s">
        <v>112</v>
      </c>
      <c r="N6362" t="s">
        <v>98</v>
      </c>
      <c r="O6362" t="s">
        <v>116</v>
      </c>
    </row>
    <row r="6363" spans="1:15" x14ac:dyDescent="0.3">
      <c r="A6363" s="130">
        <v>70520</v>
      </c>
      <c r="B6363" s="130">
        <v>60</v>
      </c>
      <c r="C6363" s="130" t="s">
        <v>7987</v>
      </c>
      <c r="D6363">
        <v>507</v>
      </c>
      <c r="E6363" s="130">
        <v>16628281</v>
      </c>
      <c r="F6363" t="s">
        <v>87</v>
      </c>
      <c r="G6363">
        <v>77</v>
      </c>
      <c r="H6363" t="s">
        <v>8952</v>
      </c>
      <c r="I6363" s="130">
        <v>2</v>
      </c>
      <c r="J6363" t="s">
        <v>7987</v>
      </c>
      <c r="K6363" t="s">
        <v>95</v>
      </c>
      <c r="L6363" t="s">
        <v>117</v>
      </c>
      <c r="M6363" t="s">
        <v>97</v>
      </c>
      <c r="N6363" t="s">
        <v>118</v>
      </c>
      <c r="O6363" t="s">
        <v>1345</v>
      </c>
    </row>
    <row r="6364" spans="1:15" x14ac:dyDescent="0.3">
      <c r="A6364" s="130">
        <v>70524</v>
      </c>
      <c r="B6364" s="130">
        <v>28</v>
      </c>
      <c r="C6364" s="130" t="s">
        <v>7988</v>
      </c>
      <c r="D6364">
        <v>508</v>
      </c>
      <c r="E6364" s="131">
        <v>34186786</v>
      </c>
      <c r="F6364" t="s">
        <v>87</v>
      </c>
      <c r="G6364">
        <v>78</v>
      </c>
      <c r="H6364" t="s">
        <v>8953</v>
      </c>
      <c r="I6364" s="131">
        <v>24</v>
      </c>
      <c r="J6364" t="s">
        <v>7988</v>
      </c>
      <c r="K6364" t="s">
        <v>95</v>
      </c>
      <c r="L6364" t="s">
        <v>138</v>
      </c>
      <c r="M6364" t="s">
        <v>130</v>
      </c>
      <c r="N6364" t="s">
        <v>150</v>
      </c>
      <c r="O6364" t="s">
        <v>1345</v>
      </c>
    </row>
    <row r="6365" spans="1:15" x14ac:dyDescent="0.3">
      <c r="A6365" s="130">
        <v>70526</v>
      </c>
      <c r="B6365" s="130">
        <v>18</v>
      </c>
      <c r="C6365" s="130" t="s">
        <v>7989</v>
      </c>
      <c r="D6365">
        <v>509</v>
      </c>
      <c r="E6365" s="130">
        <v>1241994</v>
      </c>
      <c r="F6365" t="s">
        <v>87</v>
      </c>
      <c r="G6365">
        <v>358</v>
      </c>
      <c r="H6365" t="s">
        <v>8951</v>
      </c>
      <c r="I6365" s="130">
        <v>9</v>
      </c>
      <c r="J6365" t="s">
        <v>7989</v>
      </c>
      <c r="K6365" t="s">
        <v>108</v>
      </c>
      <c r="L6365" t="s">
        <v>105</v>
      </c>
      <c r="M6365" t="s">
        <v>112</v>
      </c>
      <c r="N6365" t="s">
        <v>101</v>
      </c>
      <c r="O6365" t="s">
        <v>116</v>
      </c>
    </row>
    <row r="6366" spans="1:15" x14ac:dyDescent="0.3">
      <c r="A6366" s="130">
        <v>70529</v>
      </c>
      <c r="B6366" s="130">
        <v>18</v>
      </c>
      <c r="C6366" s="130" t="s">
        <v>7990</v>
      </c>
      <c r="D6366">
        <v>510</v>
      </c>
      <c r="E6366" s="130">
        <v>19739564</v>
      </c>
      <c r="F6366" t="s">
        <v>87</v>
      </c>
      <c r="G6366">
        <v>358</v>
      </c>
      <c r="H6366" t="s">
        <v>8952</v>
      </c>
      <c r="I6366" s="131">
        <v>2</v>
      </c>
      <c r="J6366" t="s">
        <v>7990</v>
      </c>
      <c r="K6366" t="s">
        <v>95</v>
      </c>
      <c r="L6366" t="s">
        <v>109</v>
      </c>
      <c r="M6366" t="s">
        <v>112</v>
      </c>
      <c r="N6366" t="s">
        <v>98</v>
      </c>
      <c r="O6366" t="s">
        <v>1345</v>
      </c>
    </row>
    <row r="6367" spans="1:15" x14ac:dyDescent="0.3">
      <c r="A6367" s="130">
        <v>70532</v>
      </c>
      <c r="B6367" s="130">
        <v>18</v>
      </c>
      <c r="C6367" s="130" t="s">
        <v>7991</v>
      </c>
      <c r="D6367">
        <v>511</v>
      </c>
      <c r="E6367" s="130">
        <v>19739564</v>
      </c>
      <c r="F6367" t="s">
        <v>87</v>
      </c>
      <c r="G6367">
        <v>358</v>
      </c>
      <c r="H6367" t="s">
        <v>8953</v>
      </c>
      <c r="I6367" s="130">
        <v>2</v>
      </c>
      <c r="J6367" t="s">
        <v>7991</v>
      </c>
      <c r="K6367" t="s">
        <v>95</v>
      </c>
      <c r="L6367" t="s">
        <v>109</v>
      </c>
      <c r="M6367" t="s">
        <v>112</v>
      </c>
      <c r="N6367" t="s">
        <v>98</v>
      </c>
      <c r="O6367" t="s">
        <v>1345</v>
      </c>
    </row>
    <row r="6368" spans="1:15" x14ac:dyDescent="0.3">
      <c r="A6368" s="130">
        <v>70533</v>
      </c>
      <c r="B6368" s="130">
        <v>30</v>
      </c>
      <c r="C6368" s="130" t="s">
        <v>7992</v>
      </c>
      <c r="D6368">
        <v>512</v>
      </c>
      <c r="E6368" s="131">
        <v>23449511</v>
      </c>
      <c r="F6368" t="s">
        <v>87</v>
      </c>
      <c r="G6368">
        <v>78</v>
      </c>
      <c r="H6368" t="s">
        <v>8951</v>
      </c>
      <c r="I6368" s="130">
        <v>26</v>
      </c>
      <c r="J6368" t="s">
        <v>7992</v>
      </c>
      <c r="K6368" t="s">
        <v>95</v>
      </c>
      <c r="L6368" t="s">
        <v>151</v>
      </c>
      <c r="M6368" t="s">
        <v>103</v>
      </c>
      <c r="N6368" t="s">
        <v>124</v>
      </c>
      <c r="O6368" t="s">
        <v>116</v>
      </c>
    </row>
    <row r="6369" spans="1:15" x14ac:dyDescent="0.3">
      <c r="A6369" s="130">
        <v>70535</v>
      </c>
      <c r="B6369" s="130">
        <v>30</v>
      </c>
      <c r="C6369" s="130" t="s">
        <v>7993</v>
      </c>
      <c r="D6369">
        <v>513</v>
      </c>
      <c r="E6369" s="130">
        <v>33968740</v>
      </c>
      <c r="F6369" t="s">
        <v>87</v>
      </c>
      <c r="G6369">
        <v>78</v>
      </c>
      <c r="H6369" t="s">
        <v>8952</v>
      </c>
      <c r="I6369" s="130">
        <v>2</v>
      </c>
      <c r="J6369" t="s">
        <v>7993</v>
      </c>
      <c r="K6369" t="s">
        <v>95</v>
      </c>
      <c r="L6369" t="s">
        <v>96</v>
      </c>
      <c r="M6369" t="s">
        <v>103</v>
      </c>
      <c r="N6369" t="s">
        <v>98</v>
      </c>
      <c r="O6369" t="s">
        <v>1345</v>
      </c>
    </row>
    <row r="6370" spans="1:15" x14ac:dyDescent="0.3">
      <c r="A6370" s="130">
        <v>70536</v>
      </c>
      <c r="B6370" s="130">
        <v>18</v>
      </c>
      <c r="C6370" s="130" t="s">
        <v>7994</v>
      </c>
      <c r="D6370">
        <v>514</v>
      </c>
      <c r="E6370" s="131">
        <v>21045383</v>
      </c>
      <c r="F6370" t="s">
        <v>87</v>
      </c>
      <c r="G6370">
        <v>78</v>
      </c>
      <c r="H6370" t="s">
        <v>8953</v>
      </c>
      <c r="I6370" s="130">
        <v>9</v>
      </c>
      <c r="J6370" t="s">
        <v>7994</v>
      </c>
      <c r="K6370" t="s">
        <v>108</v>
      </c>
      <c r="L6370" t="s">
        <v>125</v>
      </c>
      <c r="M6370" t="s">
        <v>112</v>
      </c>
      <c r="N6370" t="s">
        <v>152</v>
      </c>
      <c r="O6370" t="s">
        <v>116</v>
      </c>
    </row>
    <row r="6371" spans="1:15" x14ac:dyDescent="0.3">
      <c r="A6371" s="130">
        <v>70537</v>
      </c>
      <c r="B6371" s="130">
        <v>60</v>
      </c>
      <c r="C6371" s="130" t="s">
        <v>7995</v>
      </c>
      <c r="D6371">
        <v>515</v>
      </c>
      <c r="E6371" s="130">
        <v>33968740</v>
      </c>
      <c r="F6371" t="s">
        <v>87</v>
      </c>
      <c r="G6371">
        <v>358</v>
      </c>
      <c r="H6371" t="s">
        <v>8951</v>
      </c>
      <c r="I6371" s="131">
        <v>2</v>
      </c>
      <c r="J6371" t="s">
        <v>7995</v>
      </c>
      <c r="K6371" t="s">
        <v>95</v>
      </c>
      <c r="L6371" t="s">
        <v>111</v>
      </c>
      <c r="M6371" t="s">
        <v>97</v>
      </c>
      <c r="N6371" t="s">
        <v>98</v>
      </c>
      <c r="O6371" t="s">
        <v>1345</v>
      </c>
    </row>
    <row r="6372" spans="1:15" x14ac:dyDescent="0.3">
      <c r="A6372" s="130">
        <v>70538</v>
      </c>
      <c r="B6372" s="130">
        <v>18</v>
      </c>
      <c r="C6372" s="130" t="s">
        <v>7996</v>
      </c>
      <c r="D6372">
        <v>516</v>
      </c>
      <c r="E6372" s="131">
        <v>33605737</v>
      </c>
      <c r="F6372" t="s">
        <v>87</v>
      </c>
      <c r="G6372">
        <v>78</v>
      </c>
      <c r="H6372" t="s">
        <v>8952</v>
      </c>
      <c r="I6372" s="131">
        <v>24</v>
      </c>
      <c r="J6372" t="s">
        <v>7996</v>
      </c>
      <c r="K6372" t="s">
        <v>108</v>
      </c>
      <c r="L6372" t="s">
        <v>109</v>
      </c>
      <c r="M6372" t="s">
        <v>112</v>
      </c>
      <c r="N6372" t="s">
        <v>101</v>
      </c>
      <c r="O6372" t="s">
        <v>1345</v>
      </c>
    </row>
    <row r="6373" spans="1:15" x14ac:dyDescent="0.3">
      <c r="A6373" s="130">
        <v>70543</v>
      </c>
      <c r="B6373" s="130">
        <v>70</v>
      </c>
      <c r="C6373" s="130" t="s">
        <v>7997</v>
      </c>
      <c r="D6373">
        <v>517</v>
      </c>
      <c r="E6373" s="131">
        <v>17227422</v>
      </c>
      <c r="F6373" t="s">
        <v>87</v>
      </c>
      <c r="G6373">
        <v>77</v>
      </c>
      <c r="H6373" t="s">
        <v>8953</v>
      </c>
      <c r="I6373" s="130">
        <v>2</v>
      </c>
      <c r="J6373" t="s">
        <v>7997</v>
      </c>
      <c r="K6373" t="s">
        <v>95</v>
      </c>
      <c r="L6373" t="s">
        <v>256</v>
      </c>
      <c r="M6373" t="s">
        <v>200</v>
      </c>
      <c r="N6373" t="s">
        <v>118</v>
      </c>
      <c r="O6373" t="s">
        <v>116</v>
      </c>
    </row>
    <row r="6374" spans="1:15" x14ac:dyDescent="0.3">
      <c r="A6374" s="130">
        <v>70544</v>
      </c>
      <c r="B6374" s="130">
        <v>10</v>
      </c>
      <c r="C6374" s="130" t="s">
        <v>7998</v>
      </c>
      <c r="D6374">
        <v>518</v>
      </c>
      <c r="E6374" s="130">
        <v>17159518</v>
      </c>
      <c r="F6374" t="s">
        <v>87</v>
      </c>
      <c r="G6374">
        <v>358</v>
      </c>
      <c r="H6374" t="s">
        <v>8951</v>
      </c>
      <c r="I6374" s="131">
        <v>2</v>
      </c>
      <c r="J6374" t="s">
        <v>7998</v>
      </c>
      <c r="K6374" t="s">
        <v>108</v>
      </c>
      <c r="L6374" t="s">
        <v>153</v>
      </c>
      <c r="M6374" t="s">
        <v>133</v>
      </c>
      <c r="N6374" t="s">
        <v>114</v>
      </c>
      <c r="O6374" t="s">
        <v>1345</v>
      </c>
    </row>
    <row r="6375" spans="1:15" x14ac:dyDescent="0.3">
      <c r="A6375" s="130">
        <v>70549</v>
      </c>
      <c r="B6375" s="130">
        <v>60</v>
      </c>
      <c r="C6375" s="130" t="s">
        <v>7999</v>
      </c>
      <c r="D6375">
        <v>519</v>
      </c>
      <c r="E6375" s="130">
        <v>17227422</v>
      </c>
      <c r="F6375" t="s">
        <v>87</v>
      </c>
      <c r="G6375">
        <v>77</v>
      </c>
      <c r="H6375" t="s">
        <v>8952</v>
      </c>
      <c r="I6375" s="131">
        <v>2</v>
      </c>
      <c r="J6375" t="s">
        <v>7999</v>
      </c>
      <c r="K6375" t="s">
        <v>95</v>
      </c>
      <c r="L6375" t="s">
        <v>256</v>
      </c>
      <c r="M6375" t="s">
        <v>97</v>
      </c>
      <c r="N6375" t="s">
        <v>118</v>
      </c>
      <c r="O6375" t="s">
        <v>116</v>
      </c>
    </row>
    <row r="6376" spans="1:15" x14ac:dyDescent="0.3">
      <c r="A6376" s="130">
        <v>70557</v>
      </c>
      <c r="B6376" s="130">
        <v>18</v>
      </c>
      <c r="C6376" s="130" t="s">
        <v>8000</v>
      </c>
      <c r="D6376">
        <v>520</v>
      </c>
      <c r="E6376" s="130">
        <v>1412207</v>
      </c>
      <c r="F6376" t="s">
        <v>87</v>
      </c>
      <c r="G6376">
        <v>78</v>
      </c>
      <c r="H6376" t="s">
        <v>8953</v>
      </c>
      <c r="I6376" s="130">
        <v>9</v>
      </c>
      <c r="J6376" t="s">
        <v>8000</v>
      </c>
      <c r="K6376" t="s">
        <v>95</v>
      </c>
      <c r="L6376" t="s">
        <v>125</v>
      </c>
      <c r="M6376" t="s">
        <v>112</v>
      </c>
      <c r="N6376" t="s">
        <v>114</v>
      </c>
      <c r="O6376" t="s">
        <v>1345</v>
      </c>
    </row>
    <row r="6377" spans="1:15" x14ac:dyDescent="0.3">
      <c r="A6377" s="130">
        <v>70563</v>
      </c>
      <c r="B6377" s="130">
        <v>30</v>
      </c>
      <c r="C6377" s="130" t="s">
        <v>8001</v>
      </c>
      <c r="D6377">
        <v>521</v>
      </c>
      <c r="E6377" s="131">
        <v>8343492</v>
      </c>
      <c r="F6377" t="s">
        <v>87</v>
      </c>
      <c r="G6377">
        <v>77</v>
      </c>
      <c r="H6377" t="s">
        <v>8951</v>
      </c>
      <c r="I6377" s="131">
        <v>18</v>
      </c>
      <c r="J6377" t="s">
        <v>8001</v>
      </c>
      <c r="K6377" t="s">
        <v>95</v>
      </c>
      <c r="L6377" t="s">
        <v>115</v>
      </c>
      <c r="M6377" t="s">
        <v>103</v>
      </c>
      <c r="N6377" t="s">
        <v>98</v>
      </c>
      <c r="O6377" t="s">
        <v>1345</v>
      </c>
    </row>
    <row r="6378" spans="1:15" x14ac:dyDescent="0.3">
      <c r="A6378" s="130">
        <v>70565</v>
      </c>
      <c r="B6378" s="130">
        <v>28</v>
      </c>
      <c r="C6378" s="130" t="s">
        <v>8002</v>
      </c>
      <c r="D6378">
        <v>522</v>
      </c>
      <c r="E6378" s="130">
        <v>19235340</v>
      </c>
      <c r="F6378" t="s">
        <v>87</v>
      </c>
      <c r="G6378">
        <v>358</v>
      </c>
      <c r="H6378" t="s">
        <v>8952</v>
      </c>
      <c r="I6378" s="130">
        <v>2</v>
      </c>
      <c r="J6378" t="s">
        <v>8002</v>
      </c>
      <c r="K6378" t="s">
        <v>95</v>
      </c>
      <c r="L6378" t="s">
        <v>111</v>
      </c>
      <c r="M6378" t="s">
        <v>130</v>
      </c>
      <c r="N6378" t="s">
        <v>98</v>
      </c>
      <c r="O6378" t="s">
        <v>116</v>
      </c>
    </row>
    <row r="6379" spans="1:15" x14ac:dyDescent="0.3">
      <c r="A6379" s="130">
        <v>70581</v>
      </c>
      <c r="B6379" s="130">
        <v>18</v>
      </c>
      <c r="C6379" s="130" t="s">
        <v>8003</v>
      </c>
      <c r="D6379">
        <v>523</v>
      </c>
      <c r="E6379" s="131">
        <v>17163528</v>
      </c>
      <c r="F6379" t="s">
        <v>87</v>
      </c>
      <c r="G6379">
        <v>358</v>
      </c>
      <c r="H6379" t="s">
        <v>8953</v>
      </c>
      <c r="I6379" s="130">
        <v>2</v>
      </c>
      <c r="J6379" t="s">
        <v>8003</v>
      </c>
      <c r="K6379" t="s">
        <v>108</v>
      </c>
      <c r="L6379" t="s">
        <v>99</v>
      </c>
      <c r="M6379" t="s">
        <v>112</v>
      </c>
      <c r="N6379" t="s">
        <v>121</v>
      </c>
      <c r="O6379" t="s">
        <v>1345</v>
      </c>
    </row>
    <row r="6380" spans="1:15" x14ac:dyDescent="0.3">
      <c r="A6380" s="130">
        <v>70584</v>
      </c>
      <c r="B6380" s="130">
        <v>18</v>
      </c>
      <c r="C6380" s="130" t="s">
        <v>8004</v>
      </c>
      <c r="D6380">
        <v>524</v>
      </c>
      <c r="E6380" s="130">
        <v>3050990</v>
      </c>
      <c r="F6380" t="s">
        <v>87</v>
      </c>
      <c r="G6380">
        <v>78</v>
      </c>
      <c r="H6380" t="s">
        <v>8951</v>
      </c>
      <c r="I6380" s="131">
        <v>18</v>
      </c>
      <c r="J6380" t="s">
        <v>8004</v>
      </c>
      <c r="K6380" t="s">
        <v>108</v>
      </c>
      <c r="L6380" t="s">
        <v>123</v>
      </c>
      <c r="M6380" t="s">
        <v>112</v>
      </c>
      <c r="N6380" t="s">
        <v>98</v>
      </c>
      <c r="O6380" t="s">
        <v>116</v>
      </c>
    </row>
    <row r="6381" spans="1:15" x14ac:dyDescent="0.3">
      <c r="A6381" s="130">
        <v>70603</v>
      </c>
      <c r="B6381" s="130">
        <v>30</v>
      </c>
      <c r="C6381" s="130" t="s">
        <v>8005</v>
      </c>
      <c r="D6381">
        <v>525</v>
      </c>
      <c r="E6381" s="130">
        <v>10349312</v>
      </c>
      <c r="F6381" t="s">
        <v>87</v>
      </c>
      <c r="G6381">
        <v>77</v>
      </c>
      <c r="H6381" t="s">
        <v>8952</v>
      </c>
      <c r="I6381" s="131">
        <v>2</v>
      </c>
      <c r="J6381" t="s">
        <v>8005</v>
      </c>
      <c r="K6381" t="s">
        <v>95</v>
      </c>
      <c r="L6381" t="s">
        <v>117</v>
      </c>
      <c r="M6381" t="s">
        <v>103</v>
      </c>
      <c r="N6381" t="s">
        <v>150</v>
      </c>
      <c r="O6381" t="s">
        <v>1345</v>
      </c>
    </row>
    <row r="6382" spans="1:15" x14ac:dyDescent="0.3">
      <c r="A6382" s="130">
        <v>70606</v>
      </c>
      <c r="B6382" s="130">
        <v>30</v>
      </c>
      <c r="C6382" s="130" t="s">
        <v>8006</v>
      </c>
      <c r="D6382">
        <v>526</v>
      </c>
      <c r="E6382" s="131">
        <v>61575775</v>
      </c>
      <c r="F6382" t="s">
        <v>87</v>
      </c>
      <c r="G6382">
        <v>78</v>
      </c>
      <c r="H6382" t="s">
        <v>8953</v>
      </c>
      <c r="I6382" s="130">
        <v>9</v>
      </c>
      <c r="J6382" t="s">
        <v>8006</v>
      </c>
      <c r="K6382" t="s">
        <v>95</v>
      </c>
      <c r="L6382" t="s">
        <v>125</v>
      </c>
      <c r="M6382" t="s">
        <v>103</v>
      </c>
      <c r="N6382" t="s">
        <v>98</v>
      </c>
      <c r="O6382" t="s">
        <v>1345</v>
      </c>
    </row>
    <row r="6383" spans="1:15" x14ac:dyDescent="0.3">
      <c r="A6383" s="130">
        <v>70608</v>
      </c>
      <c r="B6383" s="130">
        <v>18</v>
      </c>
      <c r="C6383" s="130" t="s">
        <v>8007</v>
      </c>
      <c r="D6383">
        <v>527</v>
      </c>
      <c r="E6383" s="130">
        <v>19485822</v>
      </c>
      <c r="F6383" t="s">
        <v>87</v>
      </c>
      <c r="G6383">
        <v>358</v>
      </c>
      <c r="H6383" t="s">
        <v>8951</v>
      </c>
      <c r="I6383" s="130">
        <v>18</v>
      </c>
      <c r="J6383" t="s">
        <v>8007</v>
      </c>
      <c r="K6383" t="s">
        <v>95</v>
      </c>
      <c r="L6383" t="s">
        <v>193</v>
      </c>
      <c r="M6383" t="s">
        <v>112</v>
      </c>
      <c r="N6383" t="s">
        <v>98</v>
      </c>
      <c r="O6383" t="s">
        <v>116</v>
      </c>
    </row>
    <row r="6384" spans="1:15" x14ac:dyDescent="0.3">
      <c r="A6384" s="130">
        <v>70615</v>
      </c>
      <c r="B6384" s="130">
        <v>60</v>
      </c>
      <c r="C6384" s="130" t="s">
        <v>8008</v>
      </c>
      <c r="D6384">
        <v>528</v>
      </c>
      <c r="E6384" s="131">
        <v>12056613</v>
      </c>
      <c r="F6384" t="s">
        <v>87</v>
      </c>
      <c r="G6384">
        <v>77</v>
      </c>
      <c r="H6384" t="s">
        <v>8952</v>
      </c>
      <c r="I6384" s="131">
        <v>2</v>
      </c>
      <c r="J6384" t="s">
        <v>8008</v>
      </c>
      <c r="K6384" t="s">
        <v>95</v>
      </c>
      <c r="L6384" t="s">
        <v>256</v>
      </c>
      <c r="M6384" t="s">
        <v>97</v>
      </c>
      <c r="N6384" t="s">
        <v>104</v>
      </c>
      <c r="O6384" t="s">
        <v>116</v>
      </c>
    </row>
    <row r="6385" spans="1:15" x14ac:dyDescent="0.3">
      <c r="A6385" s="130">
        <v>70617</v>
      </c>
      <c r="B6385" s="130">
        <v>90</v>
      </c>
      <c r="C6385" s="130" t="s">
        <v>8009</v>
      </c>
      <c r="D6385">
        <v>529</v>
      </c>
      <c r="E6385" s="131">
        <v>655209</v>
      </c>
      <c r="F6385" t="s">
        <v>87</v>
      </c>
      <c r="G6385">
        <v>78</v>
      </c>
      <c r="H6385" t="s">
        <v>8953</v>
      </c>
      <c r="I6385" s="130">
        <v>9</v>
      </c>
      <c r="J6385" t="s">
        <v>8009</v>
      </c>
      <c r="K6385" t="s">
        <v>95</v>
      </c>
      <c r="L6385" t="s">
        <v>181</v>
      </c>
      <c r="M6385" t="s">
        <v>170</v>
      </c>
      <c r="N6385" t="s">
        <v>114</v>
      </c>
      <c r="O6385" t="s">
        <v>116</v>
      </c>
    </row>
    <row r="6386" spans="1:15" x14ac:dyDescent="0.3">
      <c r="A6386" s="130">
        <v>70622</v>
      </c>
      <c r="B6386" s="130">
        <v>30</v>
      </c>
      <c r="C6386" s="130" t="s">
        <v>8010</v>
      </c>
      <c r="D6386">
        <v>530</v>
      </c>
      <c r="E6386" s="130">
        <v>8343492</v>
      </c>
      <c r="F6386" t="s">
        <v>87</v>
      </c>
      <c r="G6386">
        <v>77</v>
      </c>
      <c r="H6386" t="s">
        <v>8951</v>
      </c>
      <c r="I6386" s="130">
        <v>18</v>
      </c>
      <c r="J6386" t="s">
        <v>8010</v>
      </c>
      <c r="K6386" t="s">
        <v>95</v>
      </c>
      <c r="L6386" t="s">
        <v>115</v>
      </c>
      <c r="M6386" t="s">
        <v>103</v>
      </c>
      <c r="N6386" t="s">
        <v>98</v>
      </c>
      <c r="O6386" t="s">
        <v>116</v>
      </c>
    </row>
    <row r="6387" spans="1:15" x14ac:dyDescent="0.3">
      <c r="A6387" s="130">
        <v>70623</v>
      </c>
      <c r="B6387" s="130">
        <v>18</v>
      </c>
      <c r="C6387" s="130" t="s">
        <v>8011</v>
      </c>
      <c r="D6387">
        <v>531</v>
      </c>
      <c r="E6387" s="130">
        <v>975945</v>
      </c>
      <c r="F6387" t="s">
        <v>87</v>
      </c>
      <c r="G6387">
        <v>358</v>
      </c>
      <c r="H6387" t="s">
        <v>8952</v>
      </c>
      <c r="I6387" s="130">
        <v>9</v>
      </c>
      <c r="J6387" t="s">
        <v>8011</v>
      </c>
      <c r="K6387" t="s">
        <v>108</v>
      </c>
      <c r="L6387" t="s">
        <v>105</v>
      </c>
      <c r="M6387" t="s">
        <v>112</v>
      </c>
      <c r="N6387" t="s">
        <v>114</v>
      </c>
      <c r="O6387" t="s">
        <v>1345</v>
      </c>
    </row>
    <row r="6388" spans="1:15" x14ac:dyDescent="0.3">
      <c r="A6388" s="130">
        <v>70635</v>
      </c>
      <c r="B6388" s="130">
        <v>18</v>
      </c>
      <c r="C6388" s="130" t="s">
        <v>8012</v>
      </c>
      <c r="D6388">
        <v>532</v>
      </c>
      <c r="E6388" s="130">
        <v>22648300</v>
      </c>
      <c r="F6388" t="s">
        <v>87</v>
      </c>
      <c r="G6388">
        <v>78</v>
      </c>
      <c r="H6388" t="s">
        <v>8953</v>
      </c>
      <c r="I6388" s="131">
        <v>10</v>
      </c>
      <c r="J6388" t="s">
        <v>8012</v>
      </c>
      <c r="K6388" t="s">
        <v>108</v>
      </c>
      <c r="L6388" t="s">
        <v>127</v>
      </c>
      <c r="M6388" t="s">
        <v>112</v>
      </c>
      <c r="N6388" t="s">
        <v>114</v>
      </c>
      <c r="O6388" t="s">
        <v>1345</v>
      </c>
    </row>
    <row r="6389" spans="1:15" x14ac:dyDescent="0.3">
      <c r="A6389" s="130">
        <v>70641</v>
      </c>
      <c r="B6389" s="130">
        <v>18</v>
      </c>
      <c r="C6389" s="130" t="s">
        <v>8013</v>
      </c>
      <c r="D6389">
        <v>533</v>
      </c>
      <c r="E6389" s="130">
        <v>70059761</v>
      </c>
      <c r="F6389" t="s">
        <v>87</v>
      </c>
      <c r="G6389">
        <v>78</v>
      </c>
      <c r="H6389" t="s">
        <v>8951</v>
      </c>
      <c r="I6389" s="130">
        <v>19</v>
      </c>
      <c r="J6389" t="s">
        <v>8013</v>
      </c>
      <c r="K6389" t="s">
        <v>108</v>
      </c>
      <c r="L6389" t="s">
        <v>146</v>
      </c>
      <c r="M6389" t="s">
        <v>112</v>
      </c>
      <c r="N6389" t="s">
        <v>101</v>
      </c>
      <c r="O6389" t="s">
        <v>116</v>
      </c>
    </row>
    <row r="6390" spans="1:15" x14ac:dyDescent="0.3">
      <c r="A6390" s="130">
        <v>70645</v>
      </c>
      <c r="B6390" s="130">
        <v>18</v>
      </c>
      <c r="C6390" s="130" t="s">
        <v>8014</v>
      </c>
      <c r="D6390">
        <v>534</v>
      </c>
      <c r="E6390" s="131">
        <v>53503652</v>
      </c>
      <c r="F6390" t="s">
        <v>87</v>
      </c>
      <c r="G6390">
        <v>78</v>
      </c>
      <c r="H6390" t="s">
        <v>8952</v>
      </c>
      <c r="I6390" s="130">
        <v>9</v>
      </c>
      <c r="J6390" t="s">
        <v>8014</v>
      </c>
      <c r="K6390" t="s">
        <v>95</v>
      </c>
      <c r="L6390" t="s">
        <v>181</v>
      </c>
      <c r="M6390" t="s">
        <v>112</v>
      </c>
      <c r="N6390" t="s">
        <v>98</v>
      </c>
      <c r="O6390" t="s">
        <v>116</v>
      </c>
    </row>
    <row r="6391" spans="1:15" x14ac:dyDescent="0.3">
      <c r="A6391" s="130">
        <v>70652</v>
      </c>
      <c r="B6391" s="130">
        <v>18</v>
      </c>
      <c r="C6391" s="130" t="s">
        <v>8015</v>
      </c>
      <c r="D6391">
        <v>535</v>
      </c>
      <c r="E6391" s="130">
        <v>64667728</v>
      </c>
      <c r="F6391" t="s">
        <v>87</v>
      </c>
      <c r="G6391">
        <v>78</v>
      </c>
      <c r="H6391" t="s">
        <v>8953</v>
      </c>
      <c r="I6391" s="130">
        <v>9</v>
      </c>
      <c r="J6391" t="s">
        <v>8015</v>
      </c>
      <c r="K6391" t="s">
        <v>95</v>
      </c>
      <c r="L6391" t="s">
        <v>125</v>
      </c>
      <c r="M6391" t="s">
        <v>112</v>
      </c>
      <c r="N6391" t="s">
        <v>98</v>
      </c>
      <c r="O6391" t="s">
        <v>116</v>
      </c>
    </row>
    <row r="6392" spans="1:15" x14ac:dyDescent="0.3">
      <c r="A6392" s="130">
        <v>70657</v>
      </c>
      <c r="B6392" s="130">
        <v>30</v>
      </c>
      <c r="C6392" s="130" t="s">
        <v>8016</v>
      </c>
      <c r="D6392">
        <v>536</v>
      </c>
      <c r="E6392" s="130">
        <v>8928273</v>
      </c>
      <c r="F6392" t="s">
        <v>87</v>
      </c>
      <c r="G6392">
        <v>358</v>
      </c>
      <c r="H6392" t="s">
        <v>8951</v>
      </c>
      <c r="I6392" s="130">
        <v>2</v>
      </c>
      <c r="J6392" t="s">
        <v>8016</v>
      </c>
      <c r="K6392" t="s">
        <v>95</v>
      </c>
      <c r="L6392" t="s">
        <v>1346</v>
      </c>
      <c r="M6392" t="s">
        <v>103</v>
      </c>
      <c r="N6392" t="s">
        <v>124</v>
      </c>
      <c r="O6392" t="s">
        <v>1345</v>
      </c>
    </row>
    <row r="6393" spans="1:15" x14ac:dyDescent="0.3">
      <c r="A6393" s="130">
        <v>70658</v>
      </c>
      <c r="B6393" s="130">
        <v>28</v>
      </c>
      <c r="C6393" s="130" t="s">
        <v>8017</v>
      </c>
      <c r="D6393">
        <v>537</v>
      </c>
      <c r="E6393" s="130">
        <v>2565617</v>
      </c>
      <c r="F6393" t="s">
        <v>87</v>
      </c>
      <c r="G6393">
        <v>78</v>
      </c>
      <c r="H6393" t="s">
        <v>8952</v>
      </c>
      <c r="I6393" s="130">
        <v>18</v>
      </c>
      <c r="J6393" t="s">
        <v>8017</v>
      </c>
      <c r="K6393" t="s">
        <v>108</v>
      </c>
      <c r="L6393" t="s">
        <v>123</v>
      </c>
      <c r="M6393" t="s">
        <v>130</v>
      </c>
      <c r="N6393" t="s">
        <v>114</v>
      </c>
      <c r="O6393" t="s">
        <v>116</v>
      </c>
    </row>
    <row r="6394" spans="1:15" x14ac:dyDescent="0.3">
      <c r="A6394" s="130">
        <v>70660</v>
      </c>
      <c r="B6394" s="130">
        <v>28</v>
      </c>
      <c r="C6394" s="130" t="s">
        <v>8018</v>
      </c>
      <c r="D6394">
        <v>538</v>
      </c>
      <c r="E6394" s="130">
        <v>34792633</v>
      </c>
      <c r="F6394" t="s">
        <v>87</v>
      </c>
      <c r="G6394">
        <v>78</v>
      </c>
      <c r="H6394" t="s">
        <v>8953</v>
      </c>
      <c r="I6394" s="131">
        <v>24</v>
      </c>
      <c r="J6394" t="s">
        <v>8018</v>
      </c>
      <c r="K6394" t="s">
        <v>95</v>
      </c>
      <c r="L6394" t="s">
        <v>138</v>
      </c>
      <c r="M6394" t="s">
        <v>130</v>
      </c>
      <c r="N6394" t="s">
        <v>150</v>
      </c>
      <c r="O6394" t="s">
        <v>1345</v>
      </c>
    </row>
    <row r="6395" spans="1:15" x14ac:dyDescent="0.3">
      <c r="A6395" s="130">
        <v>70663</v>
      </c>
      <c r="B6395" s="130">
        <v>90</v>
      </c>
      <c r="C6395" s="130" t="s">
        <v>8019</v>
      </c>
      <c r="D6395">
        <v>539</v>
      </c>
      <c r="E6395" s="131">
        <v>35234509</v>
      </c>
      <c r="F6395" t="s">
        <v>87</v>
      </c>
      <c r="G6395">
        <v>78</v>
      </c>
      <c r="H6395" t="s">
        <v>8951</v>
      </c>
      <c r="I6395" s="131">
        <v>18</v>
      </c>
      <c r="J6395" t="s">
        <v>8019</v>
      </c>
      <c r="K6395" t="s">
        <v>95</v>
      </c>
      <c r="L6395" t="s">
        <v>102</v>
      </c>
      <c r="M6395" t="s">
        <v>170</v>
      </c>
      <c r="N6395" t="s">
        <v>98</v>
      </c>
      <c r="O6395" t="s">
        <v>116</v>
      </c>
    </row>
    <row r="6396" spans="1:15" x14ac:dyDescent="0.3">
      <c r="A6396" s="130">
        <v>70666</v>
      </c>
      <c r="B6396" s="130">
        <v>18</v>
      </c>
      <c r="C6396" s="130" t="s">
        <v>8020</v>
      </c>
      <c r="D6396">
        <v>540</v>
      </c>
      <c r="E6396" s="131">
        <v>11342829</v>
      </c>
      <c r="F6396" t="s">
        <v>87</v>
      </c>
      <c r="G6396">
        <v>358</v>
      </c>
      <c r="H6396" t="s">
        <v>8952</v>
      </c>
      <c r="I6396" s="130">
        <v>2</v>
      </c>
      <c r="J6396" t="s">
        <v>8020</v>
      </c>
      <c r="K6396" t="s">
        <v>108</v>
      </c>
      <c r="L6396" t="s">
        <v>111</v>
      </c>
      <c r="M6396" t="s">
        <v>112</v>
      </c>
      <c r="N6396" t="s">
        <v>101</v>
      </c>
      <c r="O6396" t="s">
        <v>1345</v>
      </c>
    </row>
    <row r="6397" spans="1:15" x14ac:dyDescent="0.3">
      <c r="A6397" s="130">
        <v>70670</v>
      </c>
      <c r="B6397" s="130">
        <v>18</v>
      </c>
      <c r="C6397" s="130" t="s">
        <v>8021</v>
      </c>
      <c r="D6397">
        <v>541</v>
      </c>
      <c r="E6397" s="130">
        <v>9325670</v>
      </c>
      <c r="F6397" t="s">
        <v>87</v>
      </c>
      <c r="G6397">
        <v>358</v>
      </c>
      <c r="H6397" t="s">
        <v>8953</v>
      </c>
      <c r="I6397" s="130">
        <v>2</v>
      </c>
      <c r="J6397" t="s">
        <v>8021</v>
      </c>
      <c r="K6397" t="s">
        <v>108</v>
      </c>
      <c r="L6397" t="s">
        <v>105</v>
      </c>
      <c r="M6397" t="s">
        <v>112</v>
      </c>
      <c r="N6397" t="s">
        <v>118</v>
      </c>
      <c r="O6397" t="s">
        <v>116</v>
      </c>
    </row>
    <row r="6398" spans="1:15" x14ac:dyDescent="0.3">
      <c r="A6398" s="130">
        <v>70672</v>
      </c>
      <c r="B6398" s="130">
        <v>18</v>
      </c>
      <c r="C6398" s="130" t="s">
        <v>8022</v>
      </c>
      <c r="D6398">
        <v>542</v>
      </c>
      <c r="E6398" s="130">
        <v>2052511</v>
      </c>
      <c r="F6398" t="s">
        <v>87</v>
      </c>
      <c r="G6398">
        <v>78</v>
      </c>
      <c r="H6398" t="s">
        <v>8951</v>
      </c>
      <c r="I6398" s="131">
        <v>10</v>
      </c>
      <c r="J6398" t="s">
        <v>8022</v>
      </c>
      <c r="K6398" t="s">
        <v>108</v>
      </c>
      <c r="L6398" t="s">
        <v>127</v>
      </c>
      <c r="M6398" t="s">
        <v>112</v>
      </c>
      <c r="N6398" t="s">
        <v>107</v>
      </c>
      <c r="O6398" t="s">
        <v>116</v>
      </c>
    </row>
    <row r="6399" spans="1:15" x14ac:dyDescent="0.3">
      <c r="A6399" s="130">
        <v>70683</v>
      </c>
      <c r="B6399" s="130">
        <v>30</v>
      </c>
      <c r="C6399" s="130" t="s">
        <v>8023</v>
      </c>
      <c r="D6399">
        <v>543</v>
      </c>
      <c r="E6399" s="130">
        <v>33193996</v>
      </c>
      <c r="F6399" t="s">
        <v>87</v>
      </c>
      <c r="G6399">
        <v>358</v>
      </c>
      <c r="H6399" t="s">
        <v>8952</v>
      </c>
      <c r="I6399" s="130">
        <v>2</v>
      </c>
      <c r="J6399" t="s">
        <v>8023</v>
      </c>
      <c r="K6399" t="s">
        <v>95</v>
      </c>
      <c r="L6399" t="s">
        <v>109</v>
      </c>
      <c r="M6399" t="s">
        <v>103</v>
      </c>
      <c r="N6399" t="s">
        <v>98</v>
      </c>
      <c r="O6399" t="s">
        <v>1345</v>
      </c>
    </row>
    <row r="6400" spans="1:15" x14ac:dyDescent="0.3">
      <c r="A6400" s="130">
        <v>70689</v>
      </c>
      <c r="B6400" s="130">
        <v>30</v>
      </c>
      <c r="C6400" s="130" t="s">
        <v>8024</v>
      </c>
      <c r="D6400">
        <v>544</v>
      </c>
      <c r="E6400" s="130">
        <v>17164435</v>
      </c>
      <c r="F6400" t="s">
        <v>87</v>
      </c>
      <c r="G6400">
        <v>358</v>
      </c>
      <c r="H6400" t="s">
        <v>8953</v>
      </c>
      <c r="I6400" s="131">
        <v>18</v>
      </c>
      <c r="J6400" t="s">
        <v>8024</v>
      </c>
      <c r="K6400" t="s">
        <v>95</v>
      </c>
      <c r="L6400" t="s">
        <v>99</v>
      </c>
      <c r="M6400" t="s">
        <v>103</v>
      </c>
      <c r="N6400" t="s">
        <v>98</v>
      </c>
      <c r="O6400" t="s">
        <v>1345</v>
      </c>
    </row>
    <row r="6401" spans="1:15" x14ac:dyDescent="0.3">
      <c r="A6401" s="130">
        <v>70697</v>
      </c>
      <c r="B6401" s="130">
        <v>28</v>
      </c>
      <c r="C6401" s="130" t="s">
        <v>8025</v>
      </c>
      <c r="D6401">
        <v>545</v>
      </c>
      <c r="E6401" s="130">
        <v>36146575</v>
      </c>
      <c r="F6401" t="s">
        <v>87</v>
      </c>
      <c r="G6401">
        <v>78</v>
      </c>
      <c r="H6401" t="s">
        <v>8951</v>
      </c>
      <c r="I6401" s="131">
        <v>24</v>
      </c>
      <c r="J6401" t="s">
        <v>8025</v>
      </c>
      <c r="K6401" t="s">
        <v>95</v>
      </c>
      <c r="L6401" t="s">
        <v>138</v>
      </c>
      <c r="M6401" t="s">
        <v>130</v>
      </c>
      <c r="N6401" t="s">
        <v>114</v>
      </c>
      <c r="O6401" t="s">
        <v>116</v>
      </c>
    </row>
    <row r="6402" spans="1:15" x14ac:dyDescent="0.3">
      <c r="A6402" s="130">
        <v>70698</v>
      </c>
      <c r="B6402" s="130">
        <v>30</v>
      </c>
      <c r="C6402" s="130" t="s">
        <v>8026</v>
      </c>
      <c r="D6402">
        <v>546</v>
      </c>
      <c r="E6402" s="130">
        <v>34151100</v>
      </c>
      <c r="F6402" t="s">
        <v>87</v>
      </c>
      <c r="G6402">
        <v>358</v>
      </c>
      <c r="H6402" t="s">
        <v>8952</v>
      </c>
      <c r="I6402" s="130">
        <v>2</v>
      </c>
      <c r="J6402" t="s">
        <v>8026</v>
      </c>
      <c r="K6402" t="s">
        <v>95</v>
      </c>
      <c r="L6402" t="s">
        <v>193</v>
      </c>
      <c r="M6402" t="s">
        <v>103</v>
      </c>
      <c r="N6402" t="s">
        <v>101</v>
      </c>
      <c r="O6402" t="s">
        <v>116</v>
      </c>
    </row>
    <row r="6403" spans="1:15" x14ac:dyDescent="0.3">
      <c r="A6403" s="130">
        <v>70706</v>
      </c>
      <c r="B6403" s="130">
        <v>28</v>
      </c>
      <c r="C6403" s="130" t="s">
        <v>8027</v>
      </c>
      <c r="D6403">
        <v>547</v>
      </c>
      <c r="E6403" s="130">
        <v>10577439</v>
      </c>
      <c r="F6403" t="s">
        <v>87</v>
      </c>
      <c r="G6403">
        <v>78</v>
      </c>
      <c r="H6403" t="s">
        <v>8953</v>
      </c>
      <c r="I6403" s="131">
        <v>18</v>
      </c>
      <c r="J6403" t="s">
        <v>8027</v>
      </c>
      <c r="K6403" t="s">
        <v>95</v>
      </c>
      <c r="L6403" t="s">
        <v>123</v>
      </c>
      <c r="M6403" t="s">
        <v>130</v>
      </c>
      <c r="N6403" t="s">
        <v>150</v>
      </c>
      <c r="O6403" t="s">
        <v>116</v>
      </c>
    </row>
    <row r="6404" spans="1:15" x14ac:dyDescent="0.3">
      <c r="A6404" s="130">
        <v>70707</v>
      </c>
      <c r="B6404" s="130">
        <v>18</v>
      </c>
      <c r="C6404" s="130" t="s">
        <v>8028</v>
      </c>
      <c r="D6404">
        <v>548</v>
      </c>
      <c r="E6404" s="130">
        <v>12094868</v>
      </c>
      <c r="F6404" t="s">
        <v>87</v>
      </c>
      <c r="G6404">
        <v>358</v>
      </c>
      <c r="H6404" t="s">
        <v>8951</v>
      </c>
      <c r="I6404" s="130">
        <v>9</v>
      </c>
      <c r="J6404" t="s">
        <v>8028</v>
      </c>
      <c r="K6404" t="s">
        <v>108</v>
      </c>
      <c r="L6404" t="s">
        <v>105</v>
      </c>
      <c r="M6404" t="s">
        <v>112</v>
      </c>
      <c r="N6404" t="s">
        <v>98</v>
      </c>
      <c r="O6404" t="s">
        <v>1345</v>
      </c>
    </row>
    <row r="6405" spans="1:15" x14ac:dyDescent="0.3">
      <c r="A6405" s="130">
        <v>70716</v>
      </c>
      <c r="B6405" s="130">
        <v>18</v>
      </c>
      <c r="C6405" s="130" t="s">
        <v>8029</v>
      </c>
      <c r="D6405">
        <v>549</v>
      </c>
      <c r="E6405" s="130">
        <v>27776903</v>
      </c>
      <c r="F6405" t="s">
        <v>87</v>
      </c>
      <c r="G6405">
        <v>78</v>
      </c>
      <c r="H6405" t="s">
        <v>8952</v>
      </c>
      <c r="I6405" s="131">
        <v>18</v>
      </c>
      <c r="J6405" t="s">
        <v>8029</v>
      </c>
      <c r="K6405" t="s">
        <v>108</v>
      </c>
      <c r="L6405" t="s">
        <v>123</v>
      </c>
      <c r="M6405" t="s">
        <v>112</v>
      </c>
      <c r="N6405" t="s">
        <v>110</v>
      </c>
      <c r="O6405" t="s">
        <v>116</v>
      </c>
    </row>
    <row r="6406" spans="1:15" x14ac:dyDescent="0.3">
      <c r="A6406" s="130">
        <v>70717</v>
      </c>
      <c r="B6406" s="130">
        <v>18</v>
      </c>
      <c r="C6406" s="130" t="s">
        <v>8030</v>
      </c>
      <c r="D6406">
        <v>550</v>
      </c>
      <c r="E6406" s="130">
        <v>2572696</v>
      </c>
      <c r="F6406" t="s">
        <v>87</v>
      </c>
      <c r="G6406">
        <v>78</v>
      </c>
      <c r="H6406" t="s">
        <v>8953</v>
      </c>
      <c r="I6406" s="131">
        <v>26</v>
      </c>
      <c r="J6406" t="s">
        <v>8030</v>
      </c>
      <c r="K6406" t="s">
        <v>108</v>
      </c>
      <c r="L6406" t="s">
        <v>151</v>
      </c>
      <c r="M6406" t="s">
        <v>112</v>
      </c>
      <c r="N6406" t="s">
        <v>114</v>
      </c>
      <c r="O6406" t="s">
        <v>1345</v>
      </c>
    </row>
    <row r="6407" spans="1:15" x14ac:dyDescent="0.3">
      <c r="A6407" s="130">
        <v>70718</v>
      </c>
      <c r="B6407" s="130">
        <v>18</v>
      </c>
      <c r="C6407" s="130" t="s">
        <v>8031</v>
      </c>
      <c r="D6407">
        <v>551</v>
      </c>
      <c r="E6407" s="130">
        <v>83646547</v>
      </c>
      <c r="F6407" t="s">
        <v>87</v>
      </c>
      <c r="G6407">
        <v>78</v>
      </c>
      <c r="H6407" t="s">
        <v>8951</v>
      </c>
      <c r="I6407" s="130">
        <v>9</v>
      </c>
      <c r="J6407" t="s">
        <v>8031</v>
      </c>
      <c r="K6407" t="s">
        <v>95</v>
      </c>
      <c r="L6407" t="s">
        <v>125</v>
      </c>
      <c r="M6407" t="s">
        <v>112</v>
      </c>
      <c r="N6407" t="s">
        <v>114</v>
      </c>
      <c r="O6407" t="s">
        <v>1345</v>
      </c>
    </row>
    <row r="6408" spans="1:15" x14ac:dyDescent="0.3">
      <c r="A6408" s="130">
        <v>70721</v>
      </c>
      <c r="B6408" s="130">
        <v>18</v>
      </c>
      <c r="C6408" s="130" t="s">
        <v>8032</v>
      </c>
      <c r="D6408">
        <v>552</v>
      </c>
      <c r="E6408" s="130">
        <v>17755975</v>
      </c>
      <c r="F6408" t="s">
        <v>87</v>
      </c>
      <c r="G6408">
        <v>358</v>
      </c>
      <c r="H6408" t="s">
        <v>8952</v>
      </c>
      <c r="I6408" s="130">
        <v>10</v>
      </c>
      <c r="J6408" t="s">
        <v>8032</v>
      </c>
      <c r="K6408" t="s">
        <v>95</v>
      </c>
      <c r="L6408" t="s">
        <v>105</v>
      </c>
      <c r="M6408" t="s">
        <v>112</v>
      </c>
      <c r="N6408" t="s">
        <v>118</v>
      </c>
      <c r="O6408" t="s">
        <v>116</v>
      </c>
    </row>
    <row r="6409" spans="1:15" x14ac:dyDescent="0.3">
      <c r="A6409" s="130">
        <v>70724</v>
      </c>
      <c r="B6409" s="130">
        <v>18</v>
      </c>
      <c r="C6409" s="130" t="s">
        <v>8033</v>
      </c>
      <c r="D6409">
        <v>553</v>
      </c>
      <c r="E6409" s="131">
        <v>11377665</v>
      </c>
      <c r="F6409" t="s">
        <v>87</v>
      </c>
      <c r="G6409">
        <v>78</v>
      </c>
      <c r="H6409" t="s">
        <v>8953</v>
      </c>
      <c r="I6409" s="130">
        <v>10</v>
      </c>
      <c r="J6409" t="s">
        <v>8033</v>
      </c>
      <c r="K6409" t="s">
        <v>108</v>
      </c>
      <c r="L6409" t="s">
        <v>127</v>
      </c>
      <c r="M6409" t="s">
        <v>112</v>
      </c>
      <c r="N6409" t="s">
        <v>118</v>
      </c>
      <c r="O6409" t="s">
        <v>116</v>
      </c>
    </row>
    <row r="6410" spans="1:15" x14ac:dyDescent="0.3">
      <c r="A6410" s="130">
        <v>70725</v>
      </c>
      <c r="B6410" s="130">
        <v>30</v>
      </c>
      <c r="C6410" s="130" t="s">
        <v>8034</v>
      </c>
      <c r="D6410">
        <v>554</v>
      </c>
      <c r="E6410" s="131">
        <v>54183587</v>
      </c>
      <c r="F6410" t="s">
        <v>87</v>
      </c>
      <c r="G6410">
        <v>78</v>
      </c>
      <c r="H6410" t="s">
        <v>8951</v>
      </c>
      <c r="I6410" s="131">
        <v>24</v>
      </c>
      <c r="J6410" t="s">
        <v>8034</v>
      </c>
      <c r="K6410" t="s">
        <v>95</v>
      </c>
      <c r="L6410" t="s">
        <v>138</v>
      </c>
      <c r="M6410" t="s">
        <v>103</v>
      </c>
      <c r="N6410" t="s">
        <v>98</v>
      </c>
      <c r="O6410" t="s">
        <v>1345</v>
      </c>
    </row>
    <row r="6411" spans="1:15" x14ac:dyDescent="0.3">
      <c r="A6411" s="130">
        <v>70726</v>
      </c>
      <c r="B6411" s="130">
        <v>18</v>
      </c>
      <c r="C6411" s="130" t="s">
        <v>8035</v>
      </c>
      <c r="D6411">
        <v>555</v>
      </c>
      <c r="E6411" s="130">
        <v>73305997</v>
      </c>
      <c r="F6411" t="s">
        <v>87</v>
      </c>
      <c r="G6411">
        <v>358</v>
      </c>
      <c r="H6411" t="s">
        <v>8952</v>
      </c>
      <c r="I6411" s="130">
        <v>10</v>
      </c>
      <c r="J6411" t="s">
        <v>8035</v>
      </c>
      <c r="K6411" t="s">
        <v>108</v>
      </c>
      <c r="L6411" t="s">
        <v>105</v>
      </c>
      <c r="M6411" t="s">
        <v>112</v>
      </c>
      <c r="N6411" t="s">
        <v>101</v>
      </c>
      <c r="O6411" t="s">
        <v>1345</v>
      </c>
    </row>
    <row r="6412" spans="1:15" x14ac:dyDescent="0.3">
      <c r="A6412" s="130">
        <v>70727</v>
      </c>
      <c r="B6412" s="130">
        <v>18</v>
      </c>
      <c r="C6412" s="130" t="s">
        <v>8036</v>
      </c>
      <c r="D6412">
        <v>556</v>
      </c>
      <c r="E6412" s="130">
        <v>59225698</v>
      </c>
      <c r="F6412" t="s">
        <v>87</v>
      </c>
      <c r="G6412">
        <v>78</v>
      </c>
      <c r="H6412" t="s">
        <v>8953</v>
      </c>
      <c r="I6412" s="131">
        <v>18</v>
      </c>
      <c r="J6412" t="s">
        <v>8036</v>
      </c>
      <c r="K6412" t="s">
        <v>108</v>
      </c>
      <c r="L6412" t="s">
        <v>123</v>
      </c>
      <c r="M6412" t="s">
        <v>112</v>
      </c>
      <c r="N6412" t="s">
        <v>98</v>
      </c>
      <c r="O6412" t="s">
        <v>1345</v>
      </c>
    </row>
    <row r="6413" spans="1:15" x14ac:dyDescent="0.3">
      <c r="A6413" s="130">
        <v>70730</v>
      </c>
      <c r="B6413" s="130">
        <v>18</v>
      </c>
      <c r="C6413" s="130" t="s">
        <v>8037</v>
      </c>
      <c r="D6413">
        <v>557</v>
      </c>
      <c r="E6413" s="130">
        <v>33146648</v>
      </c>
      <c r="F6413" t="s">
        <v>87</v>
      </c>
      <c r="G6413">
        <v>78</v>
      </c>
      <c r="H6413" t="s">
        <v>8951</v>
      </c>
      <c r="I6413" s="130">
        <v>26</v>
      </c>
      <c r="J6413" t="s">
        <v>8037</v>
      </c>
      <c r="K6413" t="s">
        <v>95</v>
      </c>
      <c r="L6413" t="s">
        <v>151</v>
      </c>
      <c r="M6413" t="s">
        <v>112</v>
      </c>
      <c r="N6413" t="s">
        <v>98</v>
      </c>
      <c r="O6413" t="s">
        <v>1345</v>
      </c>
    </row>
    <row r="6414" spans="1:15" x14ac:dyDescent="0.3">
      <c r="A6414" s="130">
        <v>70749</v>
      </c>
      <c r="B6414" s="130">
        <v>18</v>
      </c>
      <c r="C6414" s="130" t="s">
        <v>8038</v>
      </c>
      <c r="D6414">
        <v>558</v>
      </c>
      <c r="E6414" s="130">
        <v>731155</v>
      </c>
      <c r="F6414" t="s">
        <v>87</v>
      </c>
      <c r="G6414">
        <v>78</v>
      </c>
      <c r="H6414" t="s">
        <v>8952</v>
      </c>
      <c r="I6414" s="131">
        <v>10</v>
      </c>
      <c r="J6414" t="s">
        <v>8038</v>
      </c>
      <c r="K6414" t="s">
        <v>108</v>
      </c>
      <c r="L6414" t="s">
        <v>127</v>
      </c>
      <c r="M6414" t="s">
        <v>112</v>
      </c>
      <c r="N6414" t="s">
        <v>98</v>
      </c>
      <c r="O6414" t="s">
        <v>1345</v>
      </c>
    </row>
    <row r="6415" spans="1:15" x14ac:dyDescent="0.3">
      <c r="A6415" s="130">
        <v>70755</v>
      </c>
      <c r="B6415" s="130">
        <v>30</v>
      </c>
      <c r="C6415" s="130" t="s">
        <v>8039</v>
      </c>
      <c r="D6415">
        <v>559</v>
      </c>
      <c r="E6415" s="130">
        <v>30710769</v>
      </c>
      <c r="F6415" t="s">
        <v>87</v>
      </c>
      <c r="G6415">
        <v>77</v>
      </c>
      <c r="H6415" t="s">
        <v>8953</v>
      </c>
      <c r="I6415" s="131">
        <v>18</v>
      </c>
      <c r="J6415" t="s">
        <v>8039</v>
      </c>
      <c r="K6415" t="s">
        <v>95</v>
      </c>
      <c r="L6415" t="s">
        <v>115</v>
      </c>
      <c r="M6415" t="s">
        <v>103</v>
      </c>
      <c r="N6415" t="s">
        <v>98</v>
      </c>
      <c r="O6415" t="s">
        <v>1345</v>
      </c>
    </row>
    <row r="6416" spans="1:15" x14ac:dyDescent="0.3">
      <c r="A6416" s="130">
        <v>70757</v>
      </c>
      <c r="B6416" s="130">
        <v>18</v>
      </c>
      <c r="C6416" s="130" t="s">
        <v>8040</v>
      </c>
      <c r="D6416">
        <v>560</v>
      </c>
      <c r="E6416" s="130">
        <v>33028845</v>
      </c>
      <c r="F6416" t="s">
        <v>87</v>
      </c>
      <c r="G6416">
        <v>78</v>
      </c>
      <c r="H6416" t="s">
        <v>8951</v>
      </c>
      <c r="I6416" s="130">
        <v>9</v>
      </c>
      <c r="J6416" t="s">
        <v>8040</v>
      </c>
      <c r="K6416" t="s">
        <v>95</v>
      </c>
      <c r="L6416" t="s">
        <v>125</v>
      </c>
      <c r="M6416" t="s">
        <v>112</v>
      </c>
      <c r="N6416" t="s">
        <v>98</v>
      </c>
      <c r="O6416" t="s">
        <v>1345</v>
      </c>
    </row>
    <row r="6417" spans="1:15" x14ac:dyDescent="0.3">
      <c r="A6417" s="130">
        <v>70758</v>
      </c>
      <c r="B6417" s="130">
        <v>60</v>
      </c>
      <c r="C6417" s="130" t="s">
        <v>8041</v>
      </c>
      <c r="D6417">
        <v>561</v>
      </c>
      <c r="E6417" s="130">
        <v>17185786</v>
      </c>
      <c r="F6417" t="s">
        <v>87</v>
      </c>
      <c r="G6417">
        <v>358</v>
      </c>
      <c r="H6417" t="s">
        <v>8952</v>
      </c>
      <c r="I6417" s="130">
        <v>2</v>
      </c>
      <c r="J6417" t="s">
        <v>8041</v>
      </c>
      <c r="K6417" t="s">
        <v>95</v>
      </c>
      <c r="L6417" t="s">
        <v>109</v>
      </c>
      <c r="M6417" t="s">
        <v>97</v>
      </c>
      <c r="N6417" t="s">
        <v>98</v>
      </c>
      <c r="O6417" t="s">
        <v>1345</v>
      </c>
    </row>
    <row r="6418" spans="1:15" x14ac:dyDescent="0.3">
      <c r="A6418" s="130">
        <v>70785</v>
      </c>
      <c r="B6418" s="130">
        <v>18</v>
      </c>
      <c r="C6418" s="130" t="s">
        <v>8042</v>
      </c>
      <c r="D6418">
        <v>562</v>
      </c>
      <c r="E6418" s="131">
        <v>18863616</v>
      </c>
      <c r="F6418" t="s">
        <v>87</v>
      </c>
      <c r="G6418">
        <v>358</v>
      </c>
      <c r="H6418" t="s">
        <v>8953</v>
      </c>
      <c r="I6418" s="131">
        <v>2</v>
      </c>
      <c r="J6418" t="s">
        <v>8042</v>
      </c>
      <c r="K6418" t="s">
        <v>108</v>
      </c>
      <c r="L6418" t="s">
        <v>99</v>
      </c>
      <c r="M6418" t="s">
        <v>112</v>
      </c>
      <c r="N6418" t="s">
        <v>114</v>
      </c>
      <c r="O6418" t="s">
        <v>1345</v>
      </c>
    </row>
    <row r="6419" spans="1:15" x14ac:dyDescent="0.3">
      <c r="A6419" s="130">
        <v>70799</v>
      </c>
      <c r="B6419" s="130">
        <v>18</v>
      </c>
      <c r="C6419" s="130" t="s">
        <v>8043</v>
      </c>
      <c r="D6419">
        <v>563</v>
      </c>
      <c r="E6419" s="130">
        <v>10242636</v>
      </c>
      <c r="F6419" t="s">
        <v>87</v>
      </c>
      <c r="G6419">
        <v>78</v>
      </c>
      <c r="H6419" t="s">
        <v>8951</v>
      </c>
      <c r="I6419" s="130">
        <v>10</v>
      </c>
      <c r="J6419" t="s">
        <v>8043</v>
      </c>
      <c r="K6419" t="s">
        <v>95</v>
      </c>
      <c r="L6419" t="s">
        <v>127</v>
      </c>
      <c r="M6419" t="s">
        <v>112</v>
      </c>
      <c r="N6419" t="s">
        <v>118</v>
      </c>
      <c r="O6419" t="s">
        <v>116</v>
      </c>
    </row>
    <row r="6420" spans="1:15" x14ac:dyDescent="0.3">
      <c r="A6420" s="130">
        <v>70801</v>
      </c>
      <c r="B6420" s="130">
        <v>18</v>
      </c>
      <c r="C6420" s="130" t="s">
        <v>8044</v>
      </c>
      <c r="D6420">
        <v>564</v>
      </c>
      <c r="E6420" s="131">
        <v>21097159</v>
      </c>
      <c r="F6420" t="s">
        <v>87</v>
      </c>
      <c r="G6420">
        <v>358</v>
      </c>
      <c r="H6420" t="s">
        <v>8952</v>
      </c>
      <c r="I6420" s="130">
        <v>2</v>
      </c>
      <c r="J6420" t="s">
        <v>8044</v>
      </c>
      <c r="K6420" t="s">
        <v>108</v>
      </c>
      <c r="L6420" t="s">
        <v>99</v>
      </c>
      <c r="M6420" t="s">
        <v>112</v>
      </c>
      <c r="N6420" t="s">
        <v>98</v>
      </c>
      <c r="O6420" t="s">
        <v>1345</v>
      </c>
    </row>
    <row r="6421" spans="1:15" x14ac:dyDescent="0.3">
      <c r="A6421" s="130">
        <v>70802</v>
      </c>
      <c r="B6421" s="130" t="s">
        <v>156</v>
      </c>
      <c r="C6421" s="130" t="s">
        <v>8045</v>
      </c>
      <c r="D6421">
        <v>565</v>
      </c>
      <c r="E6421" s="131">
        <v>10764189</v>
      </c>
      <c r="F6421" t="s">
        <v>87</v>
      </c>
      <c r="G6421">
        <v>358</v>
      </c>
      <c r="H6421" t="s">
        <v>8953</v>
      </c>
      <c r="I6421" s="130">
        <v>2</v>
      </c>
      <c r="J6421" t="s">
        <v>8045</v>
      </c>
      <c r="K6421" t="s">
        <v>108</v>
      </c>
      <c r="L6421" t="s">
        <v>111</v>
      </c>
      <c r="M6421" t="s">
        <v>156</v>
      </c>
      <c r="N6421" t="s">
        <v>114</v>
      </c>
      <c r="O6421" t="s">
        <v>116</v>
      </c>
    </row>
    <row r="6422" spans="1:15" x14ac:dyDescent="0.3">
      <c r="A6422" s="130">
        <v>70807</v>
      </c>
      <c r="B6422" s="130">
        <v>18</v>
      </c>
      <c r="C6422" s="130" t="s">
        <v>8046</v>
      </c>
      <c r="D6422">
        <v>566</v>
      </c>
      <c r="E6422" s="130">
        <v>24217779</v>
      </c>
      <c r="F6422" t="s">
        <v>87</v>
      </c>
      <c r="G6422">
        <v>78</v>
      </c>
      <c r="H6422" t="s">
        <v>8951</v>
      </c>
      <c r="I6422" s="131">
        <v>18</v>
      </c>
      <c r="J6422" t="s">
        <v>8046</v>
      </c>
      <c r="K6422" t="s">
        <v>108</v>
      </c>
      <c r="L6422" t="s">
        <v>123</v>
      </c>
      <c r="M6422" t="s">
        <v>112</v>
      </c>
      <c r="N6422" t="s">
        <v>166</v>
      </c>
      <c r="O6422" t="s">
        <v>1345</v>
      </c>
    </row>
    <row r="6423" spans="1:15" x14ac:dyDescent="0.3">
      <c r="A6423" s="130">
        <v>70813</v>
      </c>
      <c r="B6423" s="130">
        <v>18</v>
      </c>
      <c r="C6423" s="130" t="s">
        <v>8047</v>
      </c>
      <c r="D6423">
        <v>567</v>
      </c>
      <c r="E6423" s="130">
        <v>5843874</v>
      </c>
      <c r="F6423" t="s">
        <v>87</v>
      </c>
      <c r="G6423">
        <v>358</v>
      </c>
      <c r="H6423" t="s">
        <v>8952</v>
      </c>
      <c r="I6423" s="130">
        <v>2</v>
      </c>
      <c r="J6423" t="s">
        <v>8047</v>
      </c>
      <c r="K6423" t="s">
        <v>108</v>
      </c>
      <c r="L6423" t="s">
        <v>109</v>
      </c>
      <c r="M6423" t="s">
        <v>112</v>
      </c>
      <c r="N6423" t="s">
        <v>114</v>
      </c>
      <c r="O6423" t="s">
        <v>1345</v>
      </c>
    </row>
    <row r="6424" spans="1:15" x14ac:dyDescent="0.3">
      <c r="A6424" s="130">
        <v>70817</v>
      </c>
      <c r="B6424" s="130">
        <v>18</v>
      </c>
      <c r="C6424" s="130" t="s">
        <v>8048</v>
      </c>
      <c r="D6424">
        <v>568</v>
      </c>
      <c r="E6424" s="131">
        <v>5843874</v>
      </c>
      <c r="F6424" t="s">
        <v>87</v>
      </c>
      <c r="G6424">
        <v>358</v>
      </c>
      <c r="H6424" t="s">
        <v>8953</v>
      </c>
      <c r="I6424" s="130">
        <v>2</v>
      </c>
      <c r="J6424" t="s">
        <v>8048</v>
      </c>
      <c r="K6424" t="s">
        <v>108</v>
      </c>
      <c r="L6424" t="s">
        <v>99</v>
      </c>
      <c r="M6424" t="s">
        <v>112</v>
      </c>
      <c r="N6424" t="s">
        <v>114</v>
      </c>
      <c r="O6424" t="s">
        <v>1345</v>
      </c>
    </row>
    <row r="6425" spans="1:15" x14ac:dyDescent="0.3">
      <c r="A6425" s="130">
        <v>70822</v>
      </c>
      <c r="B6425" s="130">
        <v>18</v>
      </c>
      <c r="C6425" s="130" t="s">
        <v>8049</v>
      </c>
      <c r="D6425">
        <v>569</v>
      </c>
      <c r="E6425" s="131">
        <v>2250663</v>
      </c>
      <c r="F6425" t="s">
        <v>87</v>
      </c>
      <c r="G6425">
        <v>78</v>
      </c>
      <c r="H6425" t="s">
        <v>8951</v>
      </c>
      <c r="I6425" s="131">
        <v>10</v>
      </c>
      <c r="J6425" t="s">
        <v>8049</v>
      </c>
      <c r="K6425" t="s">
        <v>108</v>
      </c>
      <c r="L6425" t="s">
        <v>127</v>
      </c>
      <c r="M6425" t="s">
        <v>112</v>
      </c>
      <c r="N6425" t="s">
        <v>98</v>
      </c>
      <c r="O6425" t="s">
        <v>1345</v>
      </c>
    </row>
    <row r="6426" spans="1:15" x14ac:dyDescent="0.3">
      <c r="A6426" s="130">
        <v>70825</v>
      </c>
      <c r="B6426" s="130">
        <v>60</v>
      </c>
      <c r="C6426" s="130" t="s">
        <v>8050</v>
      </c>
      <c r="D6426">
        <v>570</v>
      </c>
      <c r="E6426" s="130">
        <v>60744463</v>
      </c>
      <c r="F6426" t="s">
        <v>87</v>
      </c>
      <c r="G6426">
        <v>358</v>
      </c>
      <c r="H6426" t="s">
        <v>8952</v>
      </c>
      <c r="I6426" s="130">
        <v>24</v>
      </c>
      <c r="J6426" t="s">
        <v>8050</v>
      </c>
      <c r="K6426" t="s">
        <v>108</v>
      </c>
      <c r="L6426" t="s">
        <v>191</v>
      </c>
      <c r="M6426" t="s">
        <v>97</v>
      </c>
      <c r="N6426" t="s">
        <v>141</v>
      </c>
      <c r="O6426" t="s">
        <v>116</v>
      </c>
    </row>
    <row r="6427" spans="1:15" x14ac:dyDescent="0.3">
      <c r="A6427" s="130">
        <v>70843</v>
      </c>
      <c r="B6427" s="130">
        <v>18</v>
      </c>
      <c r="C6427" s="130" t="s">
        <v>8051</v>
      </c>
      <c r="D6427">
        <v>571</v>
      </c>
      <c r="E6427" s="130">
        <v>11472840</v>
      </c>
      <c r="F6427" t="s">
        <v>87</v>
      </c>
      <c r="G6427">
        <v>358</v>
      </c>
      <c r="H6427" t="s">
        <v>8953</v>
      </c>
      <c r="I6427" s="131">
        <v>10</v>
      </c>
      <c r="J6427" t="s">
        <v>8051</v>
      </c>
      <c r="K6427" t="s">
        <v>108</v>
      </c>
      <c r="L6427" t="s">
        <v>105</v>
      </c>
      <c r="M6427" t="s">
        <v>112</v>
      </c>
      <c r="N6427" t="s">
        <v>124</v>
      </c>
      <c r="O6427" t="s">
        <v>1345</v>
      </c>
    </row>
    <row r="6428" spans="1:15" x14ac:dyDescent="0.3">
      <c r="A6428" s="130">
        <v>70845</v>
      </c>
      <c r="B6428" s="130">
        <v>40</v>
      </c>
      <c r="C6428" s="130" t="s">
        <v>8052</v>
      </c>
      <c r="D6428">
        <v>572</v>
      </c>
      <c r="E6428" s="130">
        <v>17170150</v>
      </c>
      <c r="F6428" t="s">
        <v>87</v>
      </c>
      <c r="G6428">
        <v>77</v>
      </c>
      <c r="H6428" t="s">
        <v>8951</v>
      </c>
      <c r="I6428" s="130">
        <v>2</v>
      </c>
      <c r="J6428" t="s">
        <v>8052</v>
      </c>
      <c r="K6428" t="s">
        <v>95</v>
      </c>
      <c r="L6428" t="s">
        <v>117</v>
      </c>
      <c r="M6428" t="s">
        <v>239</v>
      </c>
      <c r="N6428" t="s">
        <v>118</v>
      </c>
      <c r="O6428" t="s">
        <v>116</v>
      </c>
    </row>
    <row r="6429" spans="1:15" x14ac:dyDescent="0.3">
      <c r="A6429" s="130">
        <v>70847</v>
      </c>
      <c r="B6429" s="130">
        <v>60</v>
      </c>
      <c r="C6429" s="130" t="s">
        <v>8053</v>
      </c>
      <c r="D6429">
        <v>573</v>
      </c>
      <c r="E6429" s="130">
        <v>3130160</v>
      </c>
      <c r="F6429" t="s">
        <v>87</v>
      </c>
      <c r="G6429">
        <v>78</v>
      </c>
      <c r="H6429" t="s">
        <v>8952</v>
      </c>
      <c r="I6429" s="130">
        <v>10</v>
      </c>
      <c r="J6429" t="s">
        <v>8053</v>
      </c>
      <c r="K6429" t="s">
        <v>108</v>
      </c>
      <c r="L6429" t="s">
        <v>127</v>
      </c>
      <c r="M6429" t="s">
        <v>97</v>
      </c>
      <c r="N6429" t="s">
        <v>124</v>
      </c>
      <c r="O6429" t="s">
        <v>1345</v>
      </c>
    </row>
    <row r="6430" spans="1:15" x14ac:dyDescent="0.3">
      <c r="A6430" s="130">
        <v>70861</v>
      </c>
      <c r="B6430" s="130">
        <v>18</v>
      </c>
      <c r="C6430" s="130" t="s">
        <v>8054</v>
      </c>
      <c r="D6430">
        <v>574</v>
      </c>
      <c r="E6430" s="131">
        <v>2617158</v>
      </c>
      <c r="F6430" t="s">
        <v>87</v>
      </c>
      <c r="G6430">
        <v>78</v>
      </c>
      <c r="H6430" t="s">
        <v>8953</v>
      </c>
      <c r="I6430" s="131">
        <v>10</v>
      </c>
      <c r="J6430" t="s">
        <v>8054</v>
      </c>
      <c r="K6430" t="s">
        <v>108</v>
      </c>
      <c r="L6430" t="s">
        <v>127</v>
      </c>
      <c r="M6430" t="s">
        <v>112</v>
      </c>
      <c r="N6430" t="s">
        <v>98</v>
      </c>
      <c r="O6430" t="s">
        <v>1345</v>
      </c>
    </row>
    <row r="6431" spans="1:15" x14ac:dyDescent="0.3">
      <c r="A6431" s="130">
        <v>70867</v>
      </c>
      <c r="B6431" s="130">
        <v>35</v>
      </c>
      <c r="C6431" s="130" t="s">
        <v>8055</v>
      </c>
      <c r="D6431">
        <v>575</v>
      </c>
      <c r="E6431" s="131">
        <v>5416618</v>
      </c>
      <c r="F6431" t="s">
        <v>87</v>
      </c>
      <c r="G6431">
        <v>78</v>
      </c>
      <c r="H6431" t="s">
        <v>8951</v>
      </c>
      <c r="I6431" s="130">
        <v>10</v>
      </c>
      <c r="J6431" t="s">
        <v>8055</v>
      </c>
      <c r="K6431" t="s">
        <v>95</v>
      </c>
      <c r="L6431" t="s">
        <v>127</v>
      </c>
      <c r="M6431" t="s">
        <v>161</v>
      </c>
      <c r="N6431" t="s">
        <v>101</v>
      </c>
      <c r="O6431" t="s">
        <v>1345</v>
      </c>
    </row>
    <row r="6432" spans="1:15" x14ac:dyDescent="0.3">
      <c r="A6432" s="130">
        <v>70870</v>
      </c>
      <c r="B6432" s="130">
        <v>18</v>
      </c>
      <c r="C6432" s="130" t="s">
        <v>8056</v>
      </c>
      <c r="D6432">
        <v>576</v>
      </c>
      <c r="E6432" s="130">
        <v>472805</v>
      </c>
      <c r="F6432" t="s">
        <v>87</v>
      </c>
      <c r="G6432">
        <v>358</v>
      </c>
      <c r="H6432" t="s">
        <v>8952</v>
      </c>
      <c r="I6432" s="130">
        <v>2</v>
      </c>
      <c r="J6432" t="s">
        <v>8056</v>
      </c>
      <c r="K6432" t="s">
        <v>108</v>
      </c>
      <c r="L6432" t="s">
        <v>99</v>
      </c>
      <c r="M6432" t="s">
        <v>112</v>
      </c>
      <c r="N6432" t="s">
        <v>98</v>
      </c>
      <c r="O6432" t="s">
        <v>1345</v>
      </c>
    </row>
    <row r="6433" spans="1:15" x14ac:dyDescent="0.3">
      <c r="A6433" s="130">
        <v>70876</v>
      </c>
      <c r="B6433" s="130">
        <v>45</v>
      </c>
      <c r="C6433" s="130" t="s">
        <v>8057</v>
      </c>
      <c r="D6433">
        <v>577</v>
      </c>
      <c r="E6433" s="130">
        <v>532740</v>
      </c>
      <c r="F6433" t="s">
        <v>87</v>
      </c>
      <c r="G6433">
        <v>78</v>
      </c>
      <c r="H6433" t="s">
        <v>8953</v>
      </c>
      <c r="I6433" s="130">
        <v>2</v>
      </c>
      <c r="J6433" t="s">
        <v>8057</v>
      </c>
      <c r="K6433" t="s">
        <v>95</v>
      </c>
      <c r="L6433" t="s">
        <v>96</v>
      </c>
      <c r="M6433" t="s">
        <v>106</v>
      </c>
      <c r="N6433" t="s">
        <v>98</v>
      </c>
      <c r="O6433" t="s">
        <v>1345</v>
      </c>
    </row>
    <row r="6434" spans="1:15" x14ac:dyDescent="0.3">
      <c r="A6434" s="130">
        <v>70877</v>
      </c>
      <c r="B6434" s="130">
        <v>18</v>
      </c>
      <c r="C6434" s="130" t="s">
        <v>8058</v>
      </c>
      <c r="D6434">
        <v>578</v>
      </c>
      <c r="E6434" s="130">
        <v>5515245</v>
      </c>
      <c r="F6434" t="s">
        <v>87</v>
      </c>
      <c r="G6434">
        <v>358</v>
      </c>
      <c r="H6434" t="s">
        <v>8951</v>
      </c>
      <c r="I6434" s="130">
        <v>24</v>
      </c>
      <c r="J6434" t="s">
        <v>8058</v>
      </c>
      <c r="K6434" t="s">
        <v>95</v>
      </c>
      <c r="L6434" t="s">
        <v>1346</v>
      </c>
      <c r="M6434" t="s">
        <v>112</v>
      </c>
      <c r="N6434" t="s">
        <v>98</v>
      </c>
      <c r="O6434" t="s">
        <v>1345</v>
      </c>
    </row>
    <row r="6435" spans="1:15" x14ac:dyDescent="0.3">
      <c r="A6435" s="130">
        <v>70881</v>
      </c>
      <c r="B6435" s="130">
        <v>30</v>
      </c>
      <c r="C6435" s="130" t="s">
        <v>8059</v>
      </c>
      <c r="D6435">
        <v>579</v>
      </c>
      <c r="E6435" s="130">
        <v>8310839</v>
      </c>
      <c r="F6435" t="s">
        <v>87</v>
      </c>
      <c r="G6435">
        <v>358</v>
      </c>
      <c r="H6435" t="s">
        <v>8952</v>
      </c>
      <c r="I6435" s="130">
        <v>18</v>
      </c>
      <c r="J6435" t="s">
        <v>8059</v>
      </c>
      <c r="K6435" t="s">
        <v>108</v>
      </c>
      <c r="L6435" t="s">
        <v>123</v>
      </c>
      <c r="M6435" t="s">
        <v>103</v>
      </c>
      <c r="N6435" t="s">
        <v>122</v>
      </c>
      <c r="O6435" t="s">
        <v>1345</v>
      </c>
    </row>
    <row r="6436" spans="1:15" x14ac:dyDescent="0.3">
      <c r="A6436" s="130">
        <v>70891</v>
      </c>
      <c r="B6436" s="130">
        <v>30</v>
      </c>
      <c r="C6436" s="130" t="s">
        <v>8060</v>
      </c>
      <c r="D6436">
        <v>580</v>
      </c>
      <c r="E6436" s="130">
        <v>7779913</v>
      </c>
      <c r="F6436" t="s">
        <v>87</v>
      </c>
      <c r="G6436">
        <v>78</v>
      </c>
      <c r="H6436" t="s">
        <v>8953</v>
      </c>
      <c r="I6436" s="131">
        <v>24</v>
      </c>
      <c r="J6436" t="s">
        <v>8060</v>
      </c>
      <c r="K6436" t="s">
        <v>108</v>
      </c>
      <c r="L6436" t="s">
        <v>138</v>
      </c>
      <c r="M6436" t="s">
        <v>103</v>
      </c>
      <c r="N6436" t="s">
        <v>98</v>
      </c>
      <c r="O6436" t="s">
        <v>1345</v>
      </c>
    </row>
    <row r="6437" spans="1:15" x14ac:dyDescent="0.3">
      <c r="A6437" s="130">
        <v>70897</v>
      </c>
      <c r="B6437" s="130">
        <v>30</v>
      </c>
      <c r="C6437" s="130" t="s">
        <v>8061</v>
      </c>
      <c r="D6437">
        <v>581</v>
      </c>
      <c r="E6437" s="130">
        <v>73305997</v>
      </c>
      <c r="F6437" t="s">
        <v>87</v>
      </c>
      <c r="G6437">
        <v>78</v>
      </c>
      <c r="H6437" t="s">
        <v>8951</v>
      </c>
      <c r="I6437" s="130">
        <v>9</v>
      </c>
      <c r="J6437" t="s">
        <v>8061</v>
      </c>
      <c r="K6437" t="s">
        <v>108</v>
      </c>
      <c r="L6437" t="s">
        <v>111</v>
      </c>
      <c r="M6437" t="s">
        <v>103</v>
      </c>
      <c r="N6437" t="s">
        <v>101</v>
      </c>
      <c r="O6437" t="s">
        <v>1345</v>
      </c>
    </row>
    <row r="6438" spans="1:15" x14ac:dyDescent="0.3">
      <c r="A6438" s="130">
        <v>70898</v>
      </c>
      <c r="B6438" s="130">
        <v>18</v>
      </c>
      <c r="C6438" s="130" t="s">
        <v>8062</v>
      </c>
      <c r="D6438">
        <v>582</v>
      </c>
      <c r="E6438" s="130">
        <v>31179314</v>
      </c>
      <c r="F6438" t="s">
        <v>87</v>
      </c>
      <c r="G6438">
        <v>78</v>
      </c>
      <c r="H6438" t="s">
        <v>8952</v>
      </c>
      <c r="I6438" s="130">
        <v>18</v>
      </c>
      <c r="J6438" t="s">
        <v>8062</v>
      </c>
      <c r="K6438" t="s">
        <v>108</v>
      </c>
      <c r="L6438" t="s">
        <v>123</v>
      </c>
      <c r="M6438" t="s">
        <v>112</v>
      </c>
      <c r="N6438" t="s">
        <v>101</v>
      </c>
      <c r="O6438" t="s">
        <v>1345</v>
      </c>
    </row>
    <row r="6439" spans="1:15" x14ac:dyDescent="0.3">
      <c r="A6439" s="130">
        <v>70900</v>
      </c>
      <c r="B6439" s="130">
        <v>18</v>
      </c>
      <c r="C6439" s="130" t="s">
        <v>8063</v>
      </c>
      <c r="D6439">
        <v>583</v>
      </c>
      <c r="E6439" s="130">
        <v>33960202</v>
      </c>
      <c r="F6439" t="s">
        <v>87</v>
      </c>
      <c r="G6439">
        <v>78</v>
      </c>
      <c r="H6439" t="s">
        <v>8953</v>
      </c>
      <c r="I6439" s="130">
        <v>10</v>
      </c>
      <c r="J6439" t="s">
        <v>8063</v>
      </c>
      <c r="K6439" t="s">
        <v>95</v>
      </c>
      <c r="L6439" t="s">
        <v>127</v>
      </c>
      <c r="M6439" t="s">
        <v>112</v>
      </c>
      <c r="N6439" t="s">
        <v>118</v>
      </c>
      <c r="O6439" t="s">
        <v>116</v>
      </c>
    </row>
    <row r="6440" spans="1:15" x14ac:dyDescent="0.3">
      <c r="A6440" s="130">
        <v>70902</v>
      </c>
      <c r="B6440" s="130">
        <v>60</v>
      </c>
      <c r="C6440" s="130" t="s">
        <v>8064</v>
      </c>
      <c r="D6440">
        <v>584</v>
      </c>
      <c r="E6440" s="130">
        <v>3176142</v>
      </c>
      <c r="F6440" t="s">
        <v>87</v>
      </c>
      <c r="G6440">
        <v>78</v>
      </c>
      <c r="H6440" t="s">
        <v>8951</v>
      </c>
      <c r="I6440" s="130">
        <v>9</v>
      </c>
      <c r="J6440" t="s">
        <v>8064</v>
      </c>
      <c r="K6440" t="s">
        <v>108</v>
      </c>
      <c r="L6440" t="s">
        <v>125</v>
      </c>
      <c r="M6440" t="s">
        <v>97</v>
      </c>
      <c r="N6440" t="s">
        <v>98</v>
      </c>
      <c r="O6440" t="s">
        <v>1345</v>
      </c>
    </row>
    <row r="6441" spans="1:15" x14ac:dyDescent="0.3">
      <c r="A6441" s="130">
        <v>70904</v>
      </c>
      <c r="B6441" s="130">
        <v>18</v>
      </c>
      <c r="C6441" s="130" t="s">
        <v>8065</v>
      </c>
      <c r="D6441">
        <v>585</v>
      </c>
      <c r="E6441" s="130">
        <v>31430936</v>
      </c>
      <c r="F6441" t="s">
        <v>87</v>
      </c>
      <c r="G6441">
        <v>358</v>
      </c>
      <c r="H6441" t="s">
        <v>8952</v>
      </c>
      <c r="I6441" s="130">
        <v>2</v>
      </c>
      <c r="J6441" t="s">
        <v>8065</v>
      </c>
      <c r="K6441" t="s">
        <v>108</v>
      </c>
      <c r="L6441" t="s">
        <v>109</v>
      </c>
      <c r="M6441" t="s">
        <v>112</v>
      </c>
      <c r="N6441" t="s">
        <v>101</v>
      </c>
      <c r="O6441" t="s">
        <v>1345</v>
      </c>
    </row>
    <row r="6442" spans="1:15" x14ac:dyDescent="0.3">
      <c r="A6442" s="130">
        <v>70908</v>
      </c>
      <c r="B6442" s="130">
        <v>30</v>
      </c>
      <c r="C6442" s="130" t="s">
        <v>8066</v>
      </c>
      <c r="D6442">
        <v>586</v>
      </c>
      <c r="E6442" s="130">
        <v>5848387</v>
      </c>
      <c r="F6442" t="s">
        <v>87</v>
      </c>
      <c r="G6442">
        <v>77</v>
      </c>
      <c r="H6442" t="s">
        <v>8953</v>
      </c>
      <c r="I6442" s="130">
        <v>10</v>
      </c>
      <c r="J6442" t="s">
        <v>8066</v>
      </c>
      <c r="K6442" t="s">
        <v>95</v>
      </c>
      <c r="L6442" t="s">
        <v>117</v>
      </c>
      <c r="M6442" t="s">
        <v>103</v>
      </c>
      <c r="N6442" t="s">
        <v>114</v>
      </c>
      <c r="O6442" t="s">
        <v>116</v>
      </c>
    </row>
    <row r="6443" spans="1:15" x14ac:dyDescent="0.3">
      <c r="A6443" s="130">
        <v>70909</v>
      </c>
      <c r="B6443" s="130">
        <v>30</v>
      </c>
      <c r="C6443" s="130" t="s">
        <v>8067</v>
      </c>
      <c r="D6443">
        <v>587</v>
      </c>
      <c r="E6443" s="130">
        <v>23921007</v>
      </c>
      <c r="F6443" t="s">
        <v>87</v>
      </c>
      <c r="G6443">
        <v>358</v>
      </c>
      <c r="H6443" t="s">
        <v>8951</v>
      </c>
      <c r="I6443" s="130">
        <v>2</v>
      </c>
      <c r="J6443" t="s">
        <v>8067</v>
      </c>
      <c r="K6443" t="s">
        <v>95</v>
      </c>
      <c r="L6443" t="s">
        <v>111</v>
      </c>
      <c r="M6443" t="s">
        <v>103</v>
      </c>
      <c r="N6443" t="s">
        <v>121</v>
      </c>
      <c r="O6443" t="s">
        <v>1345</v>
      </c>
    </row>
    <row r="6444" spans="1:15" x14ac:dyDescent="0.3">
      <c r="A6444" s="130">
        <v>70910</v>
      </c>
      <c r="B6444" s="130">
        <v>28</v>
      </c>
      <c r="C6444" s="130" t="s">
        <v>8068</v>
      </c>
      <c r="D6444">
        <v>588</v>
      </c>
      <c r="E6444" s="130">
        <v>34062393</v>
      </c>
      <c r="F6444" t="s">
        <v>87</v>
      </c>
      <c r="G6444">
        <v>78</v>
      </c>
      <c r="H6444" t="s">
        <v>8952</v>
      </c>
      <c r="I6444" s="130">
        <v>24</v>
      </c>
      <c r="J6444" t="s">
        <v>8068</v>
      </c>
      <c r="K6444" t="s">
        <v>95</v>
      </c>
      <c r="L6444" t="s">
        <v>138</v>
      </c>
      <c r="M6444" t="s">
        <v>130</v>
      </c>
      <c r="N6444" t="s">
        <v>150</v>
      </c>
      <c r="O6444" t="s">
        <v>1345</v>
      </c>
    </row>
    <row r="6445" spans="1:15" x14ac:dyDescent="0.3">
      <c r="A6445" s="130">
        <v>70911</v>
      </c>
      <c r="B6445" s="130">
        <v>28</v>
      </c>
      <c r="C6445" s="130" t="s">
        <v>8069</v>
      </c>
      <c r="D6445">
        <v>589</v>
      </c>
      <c r="E6445" s="130">
        <v>28763819</v>
      </c>
      <c r="F6445" t="s">
        <v>87</v>
      </c>
      <c r="G6445">
        <v>358</v>
      </c>
      <c r="H6445" t="s">
        <v>8953</v>
      </c>
      <c r="I6445" s="130">
        <v>2</v>
      </c>
      <c r="J6445" t="s">
        <v>8069</v>
      </c>
      <c r="K6445" t="s">
        <v>108</v>
      </c>
      <c r="L6445" t="s">
        <v>109</v>
      </c>
      <c r="M6445" t="s">
        <v>130</v>
      </c>
      <c r="N6445" t="s">
        <v>114</v>
      </c>
      <c r="O6445" t="s">
        <v>116</v>
      </c>
    </row>
    <row r="6446" spans="1:15" x14ac:dyDescent="0.3">
      <c r="A6446" s="130">
        <v>70912</v>
      </c>
      <c r="B6446" s="130">
        <v>30</v>
      </c>
      <c r="C6446" s="130" t="s">
        <v>8070</v>
      </c>
      <c r="D6446">
        <v>590</v>
      </c>
      <c r="E6446" s="130">
        <v>20700368</v>
      </c>
      <c r="F6446" t="s">
        <v>87</v>
      </c>
      <c r="G6446">
        <v>78</v>
      </c>
      <c r="H6446" t="s">
        <v>8951</v>
      </c>
      <c r="I6446" s="130">
        <v>9</v>
      </c>
      <c r="J6446" t="s">
        <v>8070</v>
      </c>
      <c r="K6446" t="s">
        <v>108</v>
      </c>
      <c r="L6446" t="s">
        <v>163</v>
      </c>
      <c r="M6446" t="s">
        <v>103</v>
      </c>
      <c r="N6446" t="s">
        <v>114</v>
      </c>
      <c r="O6446" t="s">
        <v>116</v>
      </c>
    </row>
    <row r="6447" spans="1:15" x14ac:dyDescent="0.3">
      <c r="A6447" s="130">
        <v>70916</v>
      </c>
      <c r="B6447" s="130">
        <v>60</v>
      </c>
      <c r="C6447" s="130" t="s">
        <v>8071</v>
      </c>
      <c r="D6447">
        <v>591</v>
      </c>
      <c r="E6447" s="130">
        <v>17185786</v>
      </c>
      <c r="F6447" t="s">
        <v>87</v>
      </c>
      <c r="G6447">
        <v>78</v>
      </c>
      <c r="H6447" t="s">
        <v>8952</v>
      </c>
      <c r="I6447" s="130">
        <v>2</v>
      </c>
      <c r="J6447" t="s">
        <v>8071</v>
      </c>
      <c r="K6447" t="s">
        <v>95</v>
      </c>
      <c r="L6447" t="s">
        <v>109</v>
      </c>
      <c r="M6447" t="s">
        <v>97</v>
      </c>
      <c r="N6447" t="s">
        <v>98</v>
      </c>
      <c r="O6447" t="s">
        <v>116</v>
      </c>
    </row>
    <row r="6448" spans="1:15" x14ac:dyDescent="0.3">
      <c r="A6448" s="130">
        <v>70919</v>
      </c>
      <c r="B6448" s="130">
        <v>28</v>
      </c>
      <c r="C6448" s="130" t="s">
        <v>8072</v>
      </c>
      <c r="D6448">
        <v>592</v>
      </c>
      <c r="E6448" s="130">
        <v>34171552</v>
      </c>
      <c r="F6448" t="s">
        <v>87</v>
      </c>
      <c r="G6448">
        <v>78</v>
      </c>
      <c r="H6448" t="s">
        <v>8953</v>
      </c>
      <c r="I6448" s="130">
        <v>24</v>
      </c>
      <c r="J6448" t="s">
        <v>8072</v>
      </c>
      <c r="K6448" t="s">
        <v>95</v>
      </c>
      <c r="L6448" t="s">
        <v>138</v>
      </c>
      <c r="M6448" t="s">
        <v>130</v>
      </c>
      <c r="N6448" t="s">
        <v>150</v>
      </c>
      <c r="O6448" t="s">
        <v>1345</v>
      </c>
    </row>
    <row r="6449" spans="1:15" x14ac:dyDescent="0.3">
      <c r="A6449" s="130">
        <v>70926</v>
      </c>
      <c r="B6449" s="130">
        <v>18</v>
      </c>
      <c r="C6449" s="130" t="s">
        <v>8073</v>
      </c>
      <c r="D6449">
        <v>593</v>
      </c>
      <c r="E6449" s="130">
        <v>620023</v>
      </c>
      <c r="F6449" t="s">
        <v>87</v>
      </c>
      <c r="G6449">
        <v>78</v>
      </c>
      <c r="H6449" t="s">
        <v>8951</v>
      </c>
      <c r="I6449" s="130">
        <v>9</v>
      </c>
      <c r="J6449" t="s">
        <v>8073</v>
      </c>
      <c r="K6449" t="s">
        <v>108</v>
      </c>
      <c r="L6449" t="s">
        <v>125</v>
      </c>
      <c r="M6449" t="s">
        <v>112</v>
      </c>
      <c r="N6449" t="s">
        <v>98</v>
      </c>
      <c r="O6449" t="s">
        <v>1345</v>
      </c>
    </row>
    <row r="6450" spans="1:15" x14ac:dyDescent="0.3">
      <c r="A6450" s="130">
        <v>70927</v>
      </c>
      <c r="B6450" s="130">
        <v>90</v>
      </c>
      <c r="C6450" s="130" t="s">
        <v>8074</v>
      </c>
      <c r="D6450">
        <v>594</v>
      </c>
      <c r="E6450" s="130">
        <v>655209</v>
      </c>
      <c r="F6450" t="s">
        <v>87</v>
      </c>
      <c r="G6450">
        <v>78</v>
      </c>
      <c r="H6450" t="s">
        <v>8952</v>
      </c>
      <c r="I6450" s="131">
        <v>9</v>
      </c>
      <c r="J6450" t="s">
        <v>8074</v>
      </c>
      <c r="K6450" t="s">
        <v>95</v>
      </c>
      <c r="L6450" t="s">
        <v>125</v>
      </c>
      <c r="M6450" t="s">
        <v>170</v>
      </c>
      <c r="N6450" t="s">
        <v>114</v>
      </c>
      <c r="O6450" t="s">
        <v>1345</v>
      </c>
    </row>
    <row r="6451" spans="1:15" x14ac:dyDescent="0.3">
      <c r="A6451" s="130">
        <v>70937</v>
      </c>
      <c r="B6451" s="130">
        <v>18</v>
      </c>
      <c r="C6451" s="130" t="s">
        <v>8075</v>
      </c>
      <c r="D6451">
        <v>595</v>
      </c>
      <c r="E6451" s="130">
        <v>18322925</v>
      </c>
      <c r="F6451" t="s">
        <v>87</v>
      </c>
      <c r="G6451">
        <v>358</v>
      </c>
      <c r="H6451" t="s">
        <v>8953</v>
      </c>
      <c r="I6451" s="131">
        <v>2</v>
      </c>
      <c r="J6451" t="s">
        <v>8075</v>
      </c>
      <c r="K6451" t="s">
        <v>108</v>
      </c>
      <c r="L6451" t="s">
        <v>111</v>
      </c>
      <c r="M6451" t="s">
        <v>112</v>
      </c>
      <c r="N6451" t="s">
        <v>98</v>
      </c>
      <c r="O6451" t="s">
        <v>116</v>
      </c>
    </row>
    <row r="6452" spans="1:15" x14ac:dyDescent="0.3">
      <c r="A6452" s="130">
        <v>70941</v>
      </c>
      <c r="B6452" s="130">
        <v>30</v>
      </c>
      <c r="C6452" s="130" t="s">
        <v>8076</v>
      </c>
      <c r="D6452">
        <v>596</v>
      </c>
      <c r="E6452" s="131">
        <v>14688220</v>
      </c>
      <c r="F6452" t="s">
        <v>87</v>
      </c>
      <c r="G6452">
        <v>78</v>
      </c>
      <c r="H6452" t="s">
        <v>8951</v>
      </c>
      <c r="I6452" s="131">
        <v>19</v>
      </c>
      <c r="J6452" t="s">
        <v>8076</v>
      </c>
      <c r="K6452" t="s">
        <v>95</v>
      </c>
      <c r="L6452" t="s">
        <v>146</v>
      </c>
      <c r="M6452" t="s">
        <v>103</v>
      </c>
      <c r="N6452" t="s">
        <v>101</v>
      </c>
      <c r="O6452" t="s">
        <v>1345</v>
      </c>
    </row>
    <row r="6453" spans="1:15" x14ac:dyDescent="0.3">
      <c r="A6453" s="130">
        <v>70950</v>
      </c>
      <c r="B6453" s="130">
        <v>30</v>
      </c>
      <c r="C6453" s="130" t="s">
        <v>8077</v>
      </c>
      <c r="D6453">
        <v>597</v>
      </c>
      <c r="E6453" s="130">
        <v>4980542</v>
      </c>
      <c r="F6453" t="s">
        <v>87</v>
      </c>
      <c r="G6453">
        <v>358</v>
      </c>
      <c r="H6453" t="s">
        <v>8952</v>
      </c>
      <c r="I6453" s="131">
        <v>2</v>
      </c>
      <c r="J6453" t="s">
        <v>8077</v>
      </c>
      <c r="K6453" t="s">
        <v>95</v>
      </c>
      <c r="L6453" t="s">
        <v>109</v>
      </c>
      <c r="M6453" t="s">
        <v>103</v>
      </c>
      <c r="N6453" t="s">
        <v>98</v>
      </c>
      <c r="O6453" t="s">
        <v>1345</v>
      </c>
    </row>
    <row r="6454" spans="1:15" x14ac:dyDescent="0.3">
      <c r="A6454" s="130">
        <v>70953</v>
      </c>
      <c r="B6454" s="130">
        <v>18</v>
      </c>
      <c r="C6454" s="130" t="s">
        <v>8078</v>
      </c>
      <c r="D6454">
        <v>598</v>
      </c>
      <c r="E6454" s="131">
        <v>4698606</v>
      </c>
      <c r="F6454" t="s">
        <v>87</v>
      </c>
      <c r="G6454">
        <v>358</v>
      </c>
      <c r="H6454" t="s">
        <v>8953</v>
      </c>
      <c r="I6454" s="130">
        <v>2</v>
      </c>
      <c r="J6454" t="s">
        <v>8078</v>
      </c>
      <c r="K6454" t="s">
        <v>95</v>
      </c>
      <c r="L6454" t="s">
        <v>1346</v>
      </c>
      <c r="M6454" t="s">
        <v>112</v>
      </c>
      <c r="N6454" t="s">
        <v>98</v>
      </c>
      <c r="O6454" t="s">
        <v>1345</v>
      </c>
    </row>
    <row r="6455" spans="1:15" x14ac:dyDescent="0.3">
      <c r="A6455" s="130">
        <v>70955</v>
      </c>
      <c r="B6455" s="130">
        <v>18</v>
      </c>
      <c r="C6455" s="130" t="s">
        <v>8079</v>
      </c>
      <c r="D6455">
        <v>599</v>
      </c>
      <c r="E6455" s="130">
        <v>3130160</v>
      </c>
      <c r="F6455" t="s">
        <v>87</v>
      </c>
      <c r="G6455">
        <v>358</v>
      </c>
      <c r="H6455" t="s">
        <v>8951</v>
      </c>
      <c r="I6455" s="131">
        <v>10</v>
      </c>
      <c r="J6455" t="s">
        <v>8079</v>
      </c>
      <c r="K6455" t="s">
        <v>108</v>
      </c>
      <c r="L6455" t="s">
        <v>105</v>
      </c>
      <c r="M6455" t="s">
        <v>112</v>
      </c>
      <c r="N6455" t="s">
        <v>98</v>
      </c>
      <c r="O6455" t="s">
        <v>1345</v>
      </c>
    </row>
    <row r="6456" spans="1:15" x14ac:dyDescent="0.3">
      <c r="A6456" s="130">
        <v>70956</v>
      </c>
      <c r="B6456" s="130">
        <v>18</v>
      </c>
      <c r="C6456" s="130" t="s">
        <v>8080</v>
      </c>
      <c r="D6456">
        <v>600</v>
      </c>
      <c r="E6456" s="131">
        <v>3130160</v>
      </c>
      <c r="F6456" t="s">
        <v>87</v>
      </c>
      <c r="G6456">
        <v>358</v>
      </c>
      <c r="H6456" t="s">
        <v>8952</v>
      </c>
      <c r="I6456" s="131">
        <v>10</v>
      </c>
      <c r="J6456" t="s">
        <v>8080</v>
      </c>
      <c r="K6456" t="s">
        <v>108</v>
      </c>
      <c r="L6456" t="s">
        <v>105</v>
      </c>
      <c r="M6456" t="s">
        <v>112</v>
      </c>
      <c r="N6456" t="s">
        <v>98</v>
      </c>
      <c r="O6456" t="s">
        <v>1345</v>
      </c>
    </row>
    <row r="6457" spans="1:15" x14ac:dyDescent="0.3">
      <c r="A6457" s="130">
        <v>70958</v>
      </c>
      <c r="B6457" s="130">
        <v>30</v>
      </c>
      <c r="C6457" s="130" t="s">
        <v>8081</v>
      </c>
      <c r="D6457">
        <v>601</v>
      </c>
      <c r="E6457" s="131">
        <v>532740</v>
      </c>
      <c r="F6457" t="s">
        <v>87</v>
      </c>
      <c r="G6457">
        <v>78</v>
      </c>
      <c r="H6457" t="s">
        <v>8953</v>
      </c>
      <c r="I6457" s="130">
        <v>10</v>
      </c>
      <c r="J6457" t="s">
        <v>8081</v>
      </c>
      <c r="K6457" t="s">
        <v>95</v>
      </c>
      <c r="L6457" t="s">
        <v>127</v>
      </c>
      <c r="M6457" t="s">
        <v>103</v>
      </c>
      <c r="N6457" t="s">
        <v>98</v>
      </c>
      <c r="O6457" t="s">
        <v>1345</v>
      </c>
    </row>
    <row r="6458" spans="1:15" x14ac:dyDescent="0.3">
      <c r="A6458" s="130">
        <v>70973</v>
      </c>
      <c r="B6458" s="130">
        <v>30</v>
      </c>
      <c r="C6458" s="130" t="s">
        <v>8082</v>
      </c>
      <c r="D6458">
        <v>602</v>
      </c>
      <c r="E6458" s="130">
        <v>4980542</v>
      </c>
      <c r="F6458" t="s">
        <v>87</v>
      </c>
      <c r="G6458">
        <v>358</v>
      </c>
      <c r="H6458" t="s">
        <v>8951</v>
      </c>
      <c r="I6458" s="130">
        <v>2</v>
      </c>
      <c r="J6458" t="s">
        <v>8082</v>
      </c>
      <c r="K6458" t="s">
        <v>95</v>
      </c>
      <c r="L6458" t="s">
        <v>99</v>
      </c>
      <c r="M6458" t="s">
        <v>103</v>
      </c>
      <c r="N6458" t="s">
        <v>98</v>
      </c>
      <c r="O6458" t="s">
        <v>1345</v>
      </c>
    </row>
    <row r="6459" spans="1:15" x14ac:dyDescent="0.3">
      <c r="A6459" s="130">
        <v>70977</v>
      </c>
      <c r="B6459" s="130">
        <v>60</v>
      </c>
      <c r="C6459" s="130" t="s">
        <v>8083</v>
      </c>
      <c r="D6459">
        <v>603</v>
      </c>
      <c r="E6459" s="131">
        <v>3130160</v>
      </c>
      <c r="F6459" t="s">
        <v>87</v>
      </c>
      <c r="G6459">
        <v>78</v>
      </c>
      <c r="H6459" t="s">
        <v>8952</v>
      </c>
      <c r="I6459" s="131">
        <v>10</v>
      </c>
      <c r="J6459" t="s">
        <v>8083</v>
      </c>
      <c r="K6459" t="s">
        <v>108</v>
      </c>
      <c r="L6459" t="s">
        <v>127</v>
      </c>
      <c r="M6459" t="s">
        <v>97</v>
      </c>
      <c r="N6459" t="s">
        <v>124</v>
      </c>
      <c r="O6459" t="s">
        <v>1345</v>
      </c>
    </row>
    <row r="6460" spans="1:15" x14ac:dyDescent="0.3">
      <c r="A6460" s="130">
        <v>70979</v>
      </c>
      <c r="B6460" s="130">
        <v>30</v>
      </c>
      <c r="C6460" s="130" t="s">
        <v>8084</v>
      </c>
      <c r="D6460">
        <v>604</v>
      </c>
      <c r="E6460" s="130">
        <v>27601782</v>
      </c>
      <c r="F6460" t="s">
        <v>87</v>
      </c>
      <c r="G6460">
        <v>78</v>
      </c>
      <c r="H6460" t="s">
        <v>8953</v>
      </c>
      <c r="I6460" s="131">
        <v>18</v>
      </c>
      <c r="J6460" t="s">
        <v>8084</v>
      </c>
      <c r="K6460" t="s">
        <v>95</v>
      </c>
      <c r="L6460" t="s">
        <v>123</v>
      </c>
      <c r="M6460" t="s">
        <v>103</v>
      </c>
      <c r="N6460" t="s">
        <v>150</v>
      </c>
      <c r="O6460" t="s">
        <v>1345</v>
      </c>
    </row>
    <row r="6461" spans="1:15" x14ac:dyDescent="0.3">
      <c r="A6461" s="130">
        <v>70982</v>
      </c>
      <c r="B6461" s="130">
        <v>18</v>
      </c>
      <c r="C6461" s="130" t="s">
        <v>8085</v>
      </c>
      <c r="D6461">
        <v>605</v>
      </c>
      <c r="E6461" s="130">
        <v>33960202</v>
      </c>
      <c r="F6461" t="s">
        <v>87</v>
      </c>
      <c r="G6461">
        <v>78</v>
      </c>
      <c r="H6461" t="s">
        <v>8951</v>
      </c>
      <c r="I6461" s="130">
        <v>10</v>
      </c>
      <c r="J6461" t="s">
        <v>8085</v>
      </c>
      <c r="K6461" t="s">
        <v>95</v>
      </c>
      <c r="L6461" t="s">
        <v>127</v>
      </c>
      <c r="M6461" t="s">
        <v>112</v>
      </c>
      <c r="N6461" t="s">
        <v>118</v>
      </c>
      <c r="O6461" t="s">
        <v>116</v>
      </c>
    </row>
    <row r="6462" spans="1:15" x14ac:dyDescent="0.3">
      <c r="A6462" s="130">
        <v>70983</v>
      </c>
      <c r="B6462" s="130">
        <v>18</v>
      </c>
      <c r="C6462" s="130" t="s">
        <v>8086</v>
      </c>
      <c r="D6462">
        <v>606</v>
      </c>
      <c r="E6462" s="130">
        <v>8054995</v>
      </c>
      <c r="F6462" t="s">
        <v>87</v>
      </c>
      <c r="G6462">
        <v>78</v>
      </c>
      <c r="H6462" t="s">
        <v>8952</v>
      </c>
      <c r="I6462" s="130">
        <v>10</v>
      </c>
      <c r="J6462" t="s">
        <v>8086</v>
      </c>
      <c r="K6462" t="s">
        <v>108</v>
      </c>
      <c r="L6462" t="s">
        <v>127</v>
      </c>
      <c r="M6462" t="s">
        <v>112</v>
      </c>
      <c r="N6462" t="s">
        <v>107</v>
      </c>
      <c r="O6462" t="s">
        <v>1345</v>
      </c>
    </row>
    <row r="6463" spans="1:15" x14ac:dyDescent="0.3">
      <c r="A6463" s="130">
        <v>70992</v>
      </c>
      <c r="B6463" s="130">
        <v>30</v>
      </c>
      <c r="C6463" s="130" t="s">
        <v>8087</v>
      </c>
      <c r="D6463">
        <v>607</v>
      </c>
      <c r="E6463" s="130">
        <v>31260645</v>
      </c>
      <c r="F6463" t="s">
        <v>87</v>
      </c>
      <c r="G6463">
        <v>78</v>
      </c>
      <c r="H6463" t="s">
        <v>8953</v>
      </c>
      <c r="I6463" s="130">
        <v>18</v>
      </c>
      <c r="J6463" t="s">
        <v>8087</v>
      </c>
      <c r="K6463" t="s">
        <v>95</v>
      </c>
      <c r="L6463" t="s">
        <v>123</v>
      </c>
      <c r="M6463" t="s">
        <v>103</v>
      </c>
      <c r="N6463" t="s">
        <v>150</v>
      </c>
      <c r="O6463" t="s">
        <v>1345</v>
      </c>
    </row>
    <row r="6464" spans="1:15" x14ac:dyDescent="0.3">
      <c r="A6464" s="130">
        <v>70993</v>
      </c>
      <c r="B6464" s="130">
        <v>18</v>
      </c>
      <c r="C6464" s="130" t="s">
        <v>8088</v>
      </c>
      <c r="D6464">
        <v>608</v>
      </c>
      <c r="E6464" s="131">
        <v>17069832</v>
      </c>
      <c r="F6464" t="s">
        <v>87</v>
      </c>
      <c r="G6464">
        <v>78</v>
      </c>
      <c r="H6464" t="s">
        <v>8951</v>
      </c>
      <c r="I6464" s="130">
        <v>24</v>
      </c>
      <c r="J6464" t="s">
        <v>8088</v>
      </c>
      <c r="K6464" t="s">
        <v>108</v>
      </c>
      <c r="L6464" t="s">
        <v>109</v>
      </c>
      <c r="M6464" t="s">
        <v>112</v>
      </c>
      <c r="N6464" t="s">
        <v>98</v>
      </c>
      <c r="O6464" t="s">
        <v>1345</v>
      </c>
    </row>
    <row r="6465" spans="1:15" x14ac:dyDescent="0.3">
      <c r="A6465" s="130">
        <v>70998</v>
      </c>
      <c r="B6465" s="130">
        <v>30</v>
      </c>
      <c r="C6465" s="130" t="s">
        <v>8089</v>
      </c>
      <c r="D6465">
        <v>609</v>
      </c>
      <c r="E6465" s="131">
        <v>4980542</v>
      </c>
      <c r="F6465" t="s">
        <v>87</v>
      </c>
      <c r="G6465">
        <v>358</v>
      </c>
      <c r="H6465" t="s">
        <v>8952</v>
      </c>
      <c r="I6465" s="130">
        <v>2</v>
      </c>
      <c r="J6465" t="s">
        <v>8089</v>
      </c>
      <c r="K6465" t="s">
        <v>95</v>
      </c>
      <c r="L6465" t="s">
        <v>109</v>
      </c>
      <c r="M6465" t="s">
        <v>103</v>
      </c>
      <c r="N6465" t="s">
        <v>98</v>
      </c>
      <c r="O6465" t="s">
        <v>1345</v>
      </c>
    </row>
    <row r="6466" spans="1:15" x14ac:dyDescent="0.3">
      <c r="A6466" s="130">
        <v>71000</v>
      </c>
      <c r="B6466" s="130">
        <v>30</v>
      </c>
      <c r="C6466" s="130" t="s">
        <v>8090</v>
      </c>
      <c r="D6466">
        <v>1350</v>
      </c>
      <c r="E6466" s="130">
        <v>17185786</v>
      </c>
      <c r="F6466" t="s">
        <v>87</v>
      </c>
      <c r="G6466">
        <v>78</v>
      </c>
      <c r="H6466" t="s">
        <v>8953</v>
      </c>
      <c r="I6466" s="130">
        <v>2</v>
      </c>
      <c r="J6466" t="s">
        <v>8090</v>
      </c>
      <c r="K6466" t="s">
        <v>95</v>
      </c>
      <c r="L6466" t="s">
        <v>96</v>
      </c>
      <c r="M6466" t="s">
        <v>103</v>
      </c>
      <c r="N6466" t="s">
        <v>98</v>
      </c>
      <c r="O6466" t="s">
        <v>1345</v>
      </c>
    </row>
    <row r="6467" spans="1:15" x14ac:dyDescent="0.3">
      <c r="A6467" s="130">
        <v>71013</v>
      </c>
      <c r="B6467" s="130">
        <v>30</v>
      </c>
      <c r="C6467" s="130" t="s">
        <v>8091</v>
      </c>
      <c r="D6467">
        <v>610</v>
      </c>
      <c r="E6467" s="130">
        <v>18160661</v>
      </c>
      <c r="F6467" t="s">
        <v>87</v>
      </c>
      <c r="G6467">
        <v>358</v>
      </c>
      <c r="H6467" t="s">
        <v>8951</v>
      </c>
      <c r="I6467" s="130">
        <v>2</v>
      </c>
      <c r="J6467" t="s">
        <v>8091</v>
      </c>
      <c r="K6467" t="s">
        <v>95</v>
      </c>
      <c r="L6467" t="s">
        <v>109</v>
      </c>
      <c r="M6467" t="s">
        <v>103</v>
      </c>
      <c r="N6467" t="s">
        <v>101</v>
      </c>
      <c r="O6467" t="s">
        <v>1345</v>
      </c>
    </row>
    <row r="6468" spans="1:15" x14ac:dyDescent="0.3">
      <c r="A6468" s="130">
        <v>71016</v>
      </c>
      <c r="B6468" s="130">
        <v>45</v>
      </c>
      <c r="C6468" s="130" t="s">
        <v>8092</v>
      </c>
      <c r="D6468">
        <v>611</v>
      </c>
      <c r="E6468" s="130">
        <v>7522191</v>
      </c>
      <c r="F6468" t="s">
        <v>87</v>
      </c>
      <c r="G6468">
        <v>78</v>
      </c>
      <c r="H6468" t="s">
        <v>8952</v>
      </c>
      <c r="I6468" s="131">
        <v>18</v>
      </c>
      <c r="J6468" t="s">
        <v>8092</v>
      </c>
      <c r="K6468" t="s">
        <v>95</v>
      </c>
      <c r="L6468" t="s">
        <v>123</v>
      </c>
      <c r="M6468" t="s">
        <v>106</v>
      </c>
      <c r="N6468" t="s">
        <v>114</v>
      </c>
      <c r="O6468" t="s">
        <v>1345</v>
      </c>
    </row>
    <row r="6469" spans="1:15" x14ac:dyDescent="0.3">
      <c r="A6469" s="130">
        <v>71024</v>
      </c>
      <c r="B6469" s="130">
        <v>18</v>
      </c>
      <c r="C6469" s="130" t="s">
        <v>8093</v>
      </c>
      <c r="D6469">
        <v>612</v>
      </c>
      <c r="E6469" s="130">
        <v>3130160</v>
      </c>
      <c r="F6469" t="s">
        <v>87</v>
      </c>
      <c r="G6469">
        <v>358</v>
      </c>
      <c r="H6469" t="s">
        <v>8953</v>
      </c>
      <c r="I6469" s="130">
        <v>24</v>
      </c>
      <c r="J6469" t="s">
        <v>8093</v>
      </c>
      <c r="K6469" t="s">
        <v>108</v>
      </c>
      <c r="L6469" t="s">
        <v>109</v>
      </c>
      <c r="M6469" t="s">
        <v>112</v>
      </c>
      <c r="N6469" t="s">
        <v>98</v>
      </c>
      <c r="O6469" t="s">
        <v>1345</v>
      </c>
    </row>
    <row r="6470" spans="1:15" x14ac:dyDescent="0.3">
      <c r="A6470" s="130">
        <v>71025</v>
      </c>
      <c r="B6470" s="130">
        <v>18</v>
      </c>
      <c r="C6470" s="130" t="s">
        <v>8094</v>
      </c>
      <c r="D6470">
        <v>613</v>
      </c>
      <c r="E6470" s="130">
        <v>15065102</v>
      </c>
      <c r="F6470" t="s">
        <v>87</v>
      </c>
      <c r="G6470">
        <v>78</v>
      </c>
      <c r="H6470" t="s">
        <v>8951</v>
      </c>
      <c r="I6470" s="130">
        <v>10</v>
      </c>
      <c r="J6470" t="s">
        <v>8094</v>
      </c>
      <c r="K6470" t="s">
        <v>108</v>
      </c>
      <c r="L6470" t="s">
        <v>127</v>
      </c>
      <c r="M6470" t="s">
        <v>112</v>
      </c>
      <c r="N6470" t="s">
        <v>101</v>
      </c>
      <c r="O6470" t="s">
        <v>1345</v>
      </c>
    </row>
    <row r="6471" spans="1:15" x14ac:dyDescent="0.3">
      <c r="A6471" s="130">
        <v>71028</v>
      </c>
      <c r="B6471" s="131">
        <v>18</v>
      </c>
      <c r="C6471" s="130" t="s">
        <v>8095</v>
      </c>
      <c r="D6471">
        <v>614</v>
      </c>
      <c r="E6471" s="130">
        <v>2617158</v>
      </c>
      <c r="F6471" t="s">
        <v>87</v>
      </c>
      <c r="G6471">
        <v>78</v>
      </c>
      <c r="H6471" t="s">
        <v>8952</v>
      </c>
      <c r="I6471" s="131">
        <v>10</v>
      </c>
      <c r="J6471" t="s">
        <v>8095</v>
      </c>
      <c r="K6471" t="s">
        <v>108</v>
      </c>
      <c r="L6471" t="s">
        <v>127</v>
      </c>
      <c r="M6471" t="s">
        <v>112</v>
      </c>
      <c r="N6471" t="s">
        <v>98</v>
      </c>
      <c r="O6471" t="s">
        <v>1345</v>
      </c>
    </row>
    <row r="6472" spans="1:15" x14ac:dyDescent="0.3">
      <c r="A6472" s="130">
        <v>71030</v>
      </c>
      <c r="B6472" s="130">
        <v>30</v>
      </c>
      <c r="C6472" s="130" t="s">
        <v>8096</v>
      </c>
      <c r="D6472">
        <v>615</v>
      </c>
      <c r="E6472" s="130">
        <v>17185786</v>
      </c>
      <c r="F6472" t="s">
        <v>87</v>
      </c>
      <c r="G6472">
        <v>358</v>
      </c>
      <c r="H6472" t="s">
        <v>8953</v>
      </c>
      <c r="I6472" s="131">
        <v>2</v>
      </c>
      <c r="J6472" t="s">
        <v>8096</v>
      </c>
      <c r="K6472" t="s">
        <v>95</v>
      </c>
      <c r="L6472" t="s">
        <v>109</v>
      </c>
      <c r="M6472" t="s">
        <v>103</v>
      </c>
      <c r="N6472" t="s">
        <v>98</v>
      </c>
      <c r="O6472" t="s">
        <v>1345</v>
      </c>
    </row>
    <row r="6473" spans="1:15" x14ac:dyDescent="0.3">
      <c r="A6473" s="130">
        <v>71033</v>
      </c>
      <c r="B6473" s="130">
        <v>30</v>
      </c>
      <c r="C6473" s="130" t="s">
        <v>8097</v>
      </c>
      <c r="D6473">
        <v>616</v>
      </c>
      <c r="E6473" s="131">
        <v>73305997</v>
      </c>
      <c r="F6473" t="s">
        <v>87</v>
      </c>
      <c r="G6473">
        <v>78</v>
      </c>
      <c r="H6473" t="s">
        <v>8951</v>
      </c>
      <c r="I6473" s="131">
        <v>9</v>
      </c>
      <c r="J6473" t="s">
        <v>8097</v>
      </c>
      <c r="K6473" t="s">
        <v>95</v>
      </c>
      <c r="L6473" t="s">
        <v>111</v>
      </c>
      <c r="M6473" t="s">
        <v>103</v>
      </c>
      <c r="N6473" t="s">
        <v>101</v>
      </c>
      <c r="O6473" t="s">
        <v>1345</v>
      </c>
    </row>
    <row r="6474" spans="1:15" x14ac:dyDescent="0.3">
      <c r="A6474" s="130">
        <v>71034</v>
      </c>
      <c r="B6474" s="130">
        <v>30</v>
      </c>
      <c r="C6474" s="130" t="s">
        <v>8098</v>
      </c>
      <c r="D6474">
        <v>617</v>
      </c>
      <c r="E6474" s="130">
        <v>31260645</v>
      </c>
      <c r="F6474" t="s">
        <v>87</v>
      </c>
      <c r="G6474">
        <v>78</v>
      </c>
      <c r="H6474" t="s">
        <v>8952</v>
      </c>
      <c r="I6474" s="130">
        <v>18</v>
      </c>
      <c r="J6474" t="s">
        <v>8098</v>
      </c>
      <c r="K6474" t="s">
        <v>95</v>
      </c>
      <c r="L6474" t="s">
        <v>123</v>
      </c>
      <c r="M6474" t="s">
        <v>103</v>
      </c>
      <c r="N6474" t="s">
        <v>150</v>
      </c>
      <c r="O6474" t="s">
        <v>1345</v>
      </c>
    </row>
    <row r="6475" spans="1:15" x14ac:dyDescent="0.3">
      <c r="A6475" s="130">
        <v>71036</v>
      </c>
      <c r="B6475" s="130">
        <v>30</v>
      </c>
      <c r="C6475" s="130" t="s">
        <v>8099</v>
      </c>
      <c r="D6475">
        <v>618</v>
      </c>
      <c r="E6475" s="130">
        <v>33193996</v>
      </c>
      <c r="F6475" t="s">
        <v>87</v>
      </c>
      <c r="G6475">
        <v>358</v>
      </c>
      <c r="H6475" t="s">
        <v>8953</v>
      </c>
      <c r="I6475" s="130">
        <v>2</v>
      </c>
      <c r="J6475" t="s">
        <v>8099</v>
      </c>
      <c r="K6475" t="s">
        <v>95</v>
      </c>
      <c r="L6475" t="s">
        <v>99</v>
      </c>
      <c r="M6475" t="s">
        <v>103</v>
      </c>
      <c r="N6475" t="s">
        <v>98</v>
      </c>
      <c r="O6475" t="s">
        <v>1345</v>
      </c>
    </row>
    <row r="6476" spans="1:15" x14ac:dyDescent="0.3">
      <c r="A6476" s="130">
        <v>71042</v>
      </c>
      <c r="B6476" s="130">
        <v>18</v>
      </c>
      <c r="C6476" s="130" t="s">
        <v>8100</v>
      </c>
      <c r="D6476">
        <v>619</v>
      </c>
      <c r="E6476" s="130">
        <v>54883194</v>
      </c>
      <c r="F6476" t="s">
        <v>87</v>
      </c>
      <c r="G6476">
        <v>78</v>
      </c>
      <c r="H6476" t="s">
        <v>8951</v>
      </c>
      <c r="I6476" s="130">
        <v>10</v>
      </c>
      <c r="J6476" t="s">
        <v>8100</v>
      </c>
      <c r="K6476" t="s">
        <v>95</v>
      </c>
      <c r="L6476" t="s">
        <v>127</v>
      </c>
      <c r="M6476" t="s">
        <v>112</v>
      </c>
      <c r="N6476" t="s">
        <v>98</v>
      </c>
      <c r="O6476" t="s">
        <v>1345</v>
      </c>
    </row>
    <row r="6477" spans="1:15" x14ac:dyDescent="0.3">
      <c r="A6477" s="130">
        <v>71043</v>
      </c>
      <c r="B6477" s="130">
        <v>30</v>
      </c>
      <c r="C6477" s="130" t="s">
        <v>8101</v>
      </c>
      <c r="D6477">
        <v>620</v>
      </c>
      <c r="E6477" s="130">
        <v>2565617</v>
      </c>
      <c r="F6477" t="s">
        <v>87</v>
      </c>
      <c r="G6477">
        <v>78</v>
      </c>
      <c r="H6477" t="s">
        <v>8952</v>
      </c>
      <c r="I6477" s="131">
        <v>18</v>
      </c>
      <c r="J6477" t="s">
        <v>8101</v>
      </c>
      <c r="K6477" t="s">
        <v>108</v>
      </c>
      <c r="L6477" t="s">
        <v>123</v>
      </c>
      <c r="M6477" t="s">
        <v>103</v>
      </c>
      <c r="N6477" t="s">
        <v>114</v>
      </c>
      <c r="O6477" t="s">
        <v>1345</v>
      </c>
    </row>
    <row r="6478" spans="1:15" x14ac:dyDescent="0.3">
      <c r="A6478" s="130">
        <v>71048</v>
      </c>
      <c r="B6478" s="130">
        <v>30</v>
      </c>
      <c r="C6478" s="130" t="s">
        <v>8102</v>
      </c>
      <c r="D6478">
        <v>621</v>
      </c>
      <c r="E6478" s="131">
        <v>5843874</v>
      </c>
      <c r="F6478" t="s">
        <v>87</v>
      </c>
      <c r="G6478">
        <v>358</v>
      </c>
      <c r="H6478" t="s">
        <v>8953</v>
      </c>
      <c r="I6478" s="130">
        <v>2</v>
      </c>
      <c r="J6478" t="s">
        <v>8102</v>
      </c>
      <c r="K6478" t="s">
        <v>95</v>
      </c>
      <c r="L6478" t="s">
        <v>109</v>
      </c>
      <c r="M6478" t="s">
        <v>103</v>
      </c>
      <c r="N6478" t="s">
        <v>114</v>
      </c>
      <c r="O6478" t="s">
        <v>1345</v>
      </c>
    </row>
    <row r="6479" spans="1:15" x14ac:dyDescent="0.3">
      <c r="A6479" s="130">
        <v>71050</v>
      </c>
      <c r="B6479" s="130">
        <v>18</v>
      </c>
      <c r="C6479" s="130" t="s">
        <v>8103</v>
      </c>
      <c r="D6479">
        <v>622</v>
      </c>
      <c r="E6479" s="130">
        <v>36976510</v>
      </c>
      <c r="F6479" t="s">
        <v>87</v>
      </c>
      <c r="G6479">
        <v>78</v>
      </c>
      <c r="H6479" t="s">
        <v>8951</v>
      </c>
      <c r="I6479" s="131">
        <v>24</v>
      </c>
      <c r="J6479" t="s">
        <v>8103</v>
      </c>
      <c r="K6479" t="s">
        <v>95</v>
      </c>
      <c r="L6479" t="s">
        <v>138</v>
      </c>
      <c r="M6479" t="s">
        <v>112</v>
      </c>
      <c r="N6479" t="s">
        <v>101</v>
      </c>
      <c r="O6479" t="s">
        <v>1345</v>
      </c>
    </row>
    <row r="6480" spans="1:15" x14ac:dyDescent="0.3">
      <c r="A6480" s="130">
        <v>71052</v>
      </c>
      <c r="B6480" s="130">
        <v>18</v>
      </c>
      <c r="C6480" s="130" t="s">
        <v>8104</v>
      </c>
      <c r="D6480">
        <v>623</v>
      </c>
      <c r="E6480" s="130">
        <v>16551114</v>
      </c>
      <c r="F6480" t="s">
        <v>87</v>
      </c>
      <c r="G6480">
        <v>358</v>
      </c>
      <c r="H6480" t="s">
        <v>8952</v>
      </c>
      <c r="I6480" s="130">
        <v>2</v>
      </c>
      <c r="J6480" t="s">
        <v>8104</v>
      </c>
      <c r="K6480" t="s">
        <v>108</v>
      </c>
      <c r="L6480" t="s">
        <v>109</v>
      </c>
      <c r="M6480" t="s">
        <v>112</v>
      </c>
      <c r="N6480" t="s">
        <v>98</v>
      </c>
      <c r="O6480" t="s">
        <v>1345</v>
      </c>
    </row>
    <row r="6481" spans="1:15" x14ac:dyDescent="0.3">
      <c r="A6481" s="130">
        <v>71053</v>
      </c>
      <c r="B6481" s="130">
        <v>18</v>
      </c>
      <c r="C6481" s="130" t="s">
        <v>8105</v>
      </c>
      <c r="D6481">
        <v>624</v>
      </c>
      <c r="E6481" s="131">
        <v>20555380807</v>
      </c>
      <c r="F6481" t="s">
        <v>87</v>
      </c>
      <c r="G6481">
        <v>78</v>
      </c>
      <c r="H6481" t="s">
        <v>8953</v>
      </c>
      <c r="I6481" s="131">
        <v>24</v>
      </c>
      <c r="J6481" t="s">
        <v>8105</v>
      </c>
      <c r="K6481" t="s">
        <v>95</v>
      </c>
      <c r="L6481" t="s">
        <v>138</v>
      </c>
      <c r="M6481" t="s">
        <v>112</v>
      </c>
      <c r="N6481" t="s">
        <v>110</v>
      </c>
      <c r="O6481" t="s">
        <v>1345</v>
      </c>
    </row>
    <row r="6482" spans="1:15" x14ac:dyDescent="0.3">
      <c r="A6482" s="130">
        <v>71055</v>
      </c>
      <c r="B6482" s="130">
        <v>30</v>
      </c>
      <c r="C6482" s="130" t="s">
        <v>8106</v>
      </c>
      <c r="D6482">
        <v>625</v>
      </c>
      <c r="E6482" s="131">
        <v>532740</v>
      </c>
      <c r="F6482" t="s">
        <v>87</v>
      </c>
      <c r="G6482">
        <v>78</v>
      </c>
      <c r="H6482" t="s">
        <v>8951</v>
      </c>
      <c r="I6482" s="130">
        <v>10</v>
      </c>
      <c r="J6482" t="s">
        <v>8106</v>
      </c>
      <c r="K6482" t="s">
        <v>95</v>
      </c>
      <c r="L6482" t="s">
        <v>127</v>
      </c>
      <c r="M6482" t="s">
        <v>103</v>
      </c>
      <c r="N6482" t="s">
        <v>98</v>
      </c>
      <c r="O6482" t="s">
        <v>1345</v>
      </c>
    </row>
    <row r="6483" spans="1:15" x14ac:dyDescent="0.3">
      <c r="A6483" s="130">
        <v>71056</v>
      </c>
      <c r="B6483" s="130">
        <v>18</v>
      </c>
      <c r="C6483" s="130" t="s">
        <v>8107</v>
      </c>
      <c r="D6483">
        <v>626</v>
      </c>
      <c r="E6483" s="130">
        <v>4167711</v>
      </c>
      <c r="F6483" t="s">
        <v>87</v>
      </c>
      <c r="G6483">
        <v>78</v>
      </c>
      <c r="H6483" t="s">
        <v>8952</v>
      </c>
      <c r="I6483" s="130">
        <v>24</v>
      </c>
      <c r="J6483" t="s">
        <v>8107</v>
      </c>
      <c r="K6483" t="s">
        <v>95</v>
      </c>
      <c r="L6483" t="s">
        <v>138</v>
      </c>
      <c r="M6483" t="s">
        <v>112</v>
      </c>
      <c r="N6483" t="s">
        <v>114</v>
      </c>
      <c r="O6483" t="s">
        <v>1345</v>
      </c>
    </row>
    <row r="6484" spans="1:15" x14ac:dyDescent="0.3">
      <c r="A6484" s="130">
        <v>71058</v>
      </c>
      <c r="B6484" s="130">
        <v>30</v>
      </c>
      <c r="C6484" s="130" t="s">
        <v>8108</v>
      </c>
      <c r="D6484">
        <v>627</v>
      </c>
      <c r="E6484" s="130">
        <v>19235340</v>
      </c>
      <c r="F6484" t="s">
        <v>87</v>
      </c>
      <c r="G6484">
        <v>78</v>
      </c>
      <c r="H6484" t="s">
        <v>8953</v>
      </c>
      <c r="I6484" s="131">
        <v>9</v>
      </c>
      <c r="J6484" t="s">
        <v>8108</v>
      </c>
      <c r="K6484" t="s">
        <v>95</v>
      </c>
      <c r="L6484" t="s">
        <v>125</v>
      </c>
      <c r="M6484" t="s">
        <v>103</v>
      </c>
      <c r="N6484" t="s">
        <v>98</v>
      </c>
      <c r="O6484" t="s">
        <v>1345</v>
      </c>
    </row>
    <row r="6485" spans="1:15" x14ac:dyDescent="0.3">
      <c r="A6485" s="130">
        <v>71061</v>
      </c>
      <c r="B6485" s="130">
        <v>18</v>
      </c>
      <c r="C6485" s="130" t="s">
        <v>8109</v>
      </c>
      <c r="D6485">
        <v>628</v>
      </c>
      <c r="E6485" s="130">
        <v>17069832</v>
      </c>
      <c r="F6485" t="s">
        <v>87</v>
      </c>
      <c r="G6485">
        <v>78</v>
      </c>
      <c r="H6485" t="s">
        <v>8951</v>
      </c>
      <c r="I6485" s="130">
        <v>24</v>
      </c>
      <c r="J6485" t="s">
        <v>8109</v>
      </c>
      <c r="K6485" t="s">
        <v>95</v>
      </c>
      <c r="L6485" t="s">
        <v>109</v>
      </c>
      <c r="M6485" t="s">
        <v>112</v>
      </c>
      <c r="N6485" t="s">
        <v>98</v>
      </c>
      <c r="O6485" t="s">
        <v>1345</v>
      </c>
    </row>
    <row r="6486" spans="1:15" x14ac:dyDescent="0.3">
      <c r="A6486" s="130">
        <v>71066</v>
      </c>
      <c r="B6486" s="130">
        <v>18</v>
      </c>
      <c r="C6486" s="130" t="s">
        <v>8110</v>
      </c>
      <c r="D6486">
        <v>629</v>
      </c>
      <c r="E6486" s="131">
        <v>19258554</v>
      </c>
      <c r="F6486" t="s">
        <v>87</v>
      </c>
      <c r="G6486">
        <v>78</v>
      </c>
      <c r="H6486" t="s">
        <v>8952</v>
      </c>
      <c r="I6486" s="130">
        <v>10</v>
      </c>
      <c r="J6486" t="s">
        <v>8110</v>
      </c>
      <c r="K6486" t="s">
        <v>108</v>
      </c>
      <c r="L6486" t="s">
        <v>127</v>
      </c>
      <c r="M6486" t="s">
        <v>112</v>
      </c>
      <c r="N6486" t="s">
        <v>114</v>
      </c>
      <c r="O6486" t="s">
        <v>1345</v>
      </c>
    </row>
    <row r="6487" spans="1:15" x14ac:dyDescent="0.3">
      <c r="A6487" s="130">
        <v>71067</v>
      </c>
      <c r="B6487" s="130">
        <v>30</v>
      </c>
      <c r="C6487" s="130" t="s">
        <v>8111</v>
      </c>
      <c r="D6487">
        <v>630</v>
      </c>
      <c r="E6487" s="130">
        <v>8928273</v>
      </c>
      <c r="F6487" t="s">
        <v>87</v>
      </c>
      <c r="G6487">
        <v>78</v>
      </c>
      <c r="H6487" t="s">
        <v>8953</v>
      </c>
      <c r="I6487" s="130">
        <v>10</v>
      </c>
      <c r="J6487" t="s">
        <v>8111</v>
      </c>
      <c r="K6487" t="s">
        <v>95</v>
      </c>
      <c r="L6487" t="s">
        <v>127</v>
      </c>
      <c r="M6487" t="s">
        <v>103</v>
      </c>
      <c r="N6487" t="s">
        <v>124</v>
      </c>
      <c r="O6487" t="s">
        <v>1345</v>
      </c>
    </row>
    <row r="6488" spans="1:15" x14ac:dyDescent="0.3">
      <c r="A6488" s="130">
        <v>71068</v>
      </c>
      <c r="B6488" s="130">
        <v>60</v>
      </c>
      <c r="C6488" s="130" t="s">
        <v>8112</v>
      </c>
      <c r="D6488">
        <v>631</v>
      </c>
      <c r="E6488" s="130">
        <v>16628281</v>
      </c>
      <c r="F6488" t="s">
        <v>87</v>
      </c>
      <c r="G6488">
        <v>77</v>
      </c>
      <c r="H6488" t="s">
        <v>8951</v>
      </c>
      <c r="I6488" s="130">
        <v>26</v>
      </c>
      <c r="J6488" t="s">
        <v>8112</v>
      </c>
      <c r="K6488" t="s">
        <v>95</v>
      </c>
      <c r="L6488" t="s">
        <v>1255</v>
      </c>
      <c r="M6488" t="s">
        <v>97</v>
      </c>
      <c r="N6488" t="s">
        <v>118</v>
      </c>
      <c r="O6488" t="s">
        <v>1345</v>
      </c>
    </row>
    <row r="6489" spans="1:15" x14ac:dyDescent="0.3">
      <c r="A6489" s="130">
        <v>71072</v>
      </c>
      <c r="B6489" s="130">
        <v>30</v>
      </c>
      <c r="C6489" s="130" t="s">
        <v>8113</v>
      </c>
      <c r="D6489">
        <v>632</v>
      </c>
      <c r="E6489" s="131">
        <v>10630328</v>
      </c>
      <c r="F6489" t="s">
        <v>87</v>
      </c>
      <c r="G6489">
        <v>358</v>
      </c>
      <c r="H6489" t="s">
        <v>8952</v>
      </c>
      <c r="I6489" s="130">
        <v>2</v>
      </c>
      <c r="J6489" t="s">
        <v>8113</v>
      </c>
      <c r="K6489" t="s">
        <v>95</v>
      </c>
      <c r="L6489" t="s">
        <v>99</v>
      </c>
      <c r="M6489" t="s">
        <v>103</v>
      </c>
      <c r="N6489" t="s">
        <v>98</v>
      </c>
      <c r="O6489" t="s">
        <v>1345</v>
      </c>
    </row>
    <row r="6490" spans="1:15" x14ac:dyDescent="0.3">
      <c r="A6490" s="130">
        <v>71076</v>
      </c>
      <c r="B6490" s="130">
        <v>30</v>
      </c>
      <c r="C6490" s="130" t="s">
        <v>8114</v>
      </c>
      <c r="D6490">
        <v>633</v>
      </c>
      <c r="E6490" s="130">
        <v>19674909</v>
      </c>
      <c r="F6490" t="s">
        <v>87</v>
      </c>
      <c r="G6490">
        <v>77</v>
      </c>
      <c r="H6490" t="s">
        <v>8953</v>
      </c>
      <c r="I6490" s="131">
        <v>2</v>
      </c>
      <c r="J6490" t="s">
        <v>8114</v>
      </c>
      <c r="K6490" t="s">
        <v>95</v>
      </c>
      <c r="L6490" t="s">
        <v>117</v>
      </c>
      <c r="M6490" t="s">
        <v>103</v>
      </c>
      <c r="N6490" t="s">
        <v>122</v>
      </c>
      <c r="O6490" t="s">
        <v>116</v>
      </c>
    </row>
    <row r="6491" spans="1:15" x14ac:dyDescent="0.3">
      <c r="A6491" s="130">
        <v>71081</v>
      </c>
      <c r="B6491" s="130">
        <v>60</v>
      </c>
      <c r="C6491" s="130" t="s">
        <v>8115</v>
      </c>
      <c r="D6491">
        <v>634</v>
      </c>
      <c r="E6491" s="130">
        <v>3176142</v>
      </c>
      <c r="F6491" t="s">
        <v>87</v>
      </c>
      <c r="G6491">
        <v>78</v>
      </c>
      <c r="H6491" t="s">
        <v>8951</v>
      </c>
      <c r="I6491" s="130">
        <v>9</v>
      </c>
      <c r="J6491" t="s">
        <v>8115</v>
      </c>
      <c r="K6491" t="s">
        <v>108</v>
      </c>
      <c r="L6491" t="s">
        <v>125</v>
      </c>
      <c r="M6491" t="s">
        <v>97</v>
      </c>
      <c r="N6491" t="s">
        <v>98</v>
      </c>
      <c r="O6491" t="s">
        <v>1345</v>
      </c>
    </row>
    <row r="6492" spans="1:15" x14ac:dyDescent="0.3">
      <c r="A6492" s="130">
        <v>71082</v>
      </c>
      <c r="B6492" s="130">
        <v>18</v>
      </c>
      <c r="C6492" s="130" t="s">
        <v>8116</v>
      </c>
      <c r="D6492">
        <v>635</v>
      </c>
      <c r="E6492" s="130">
        <v>1816152</v>
      </c>
      <c r="F6492" t="s">
        <v>87</v>
      </c>
      <c r="G6492">
        <v>78</v>
      </c>
      <c r="H6492" t="s">
        <v>8952</v>
      </c>
      <c r="I6492" s="130">
        <v>9</v>
      </c>
      <c r="J6492" t="s">
        <v>8116</v>
      </c>
      <c r="K6492" t="s">
        <v>108</v>
      </c>
      <c r="L6492" t="s">
        <v>125</v>
      </c>
      <c r="M6492" t="s">
        <v>112</v>
      </c>
      <c r="N6492" t="s">
        <v>98</v>
      </c>
      <c r="O6492" t="s">
        <v>1345</v>
      </c>
    </row>
    <row r="6493" spans="1:15" x14ac:dyDescent="0.3">
      <c r="A6493" s="130">
        <v>71085</v>
      </c>
      <c r="B6493" s="130">
        <v>18</v>
      </c>
      <c r="C6493" s="130" t="s">
        <v>8117</v>
      </c>
      <c r="D6493">
        <v>637</v>
      </c>
      <c r="E6493" s="131">
        <v>66336223</v>
      </c>
      <c r="F6493" t="s">
        <v>87</v>
      </c>
      <c r="G6493">
        <v>358</v>
      </c>
      <c r="H6493" t="s">
        <v>8953</v>
      </c>
      <c r="I6493" s="131">
        <v>2</v>
      </c>
      <c r="J6493" t="s">
        <v>8117</v>
      </c>
      <c r="K6493" t="s">
        <v>95</v>
      </c>
      <c r="L6493" t="s">
        <v>99</v>
      </c>
      <c r="M6493" t="s">
        <v>112</v>
      </c>
      <c r="N6493" t="s">
        <v>98</v>
      </c>
      <c r="O6493" t="s">
        <v>1345</v>
      </c>
    </row>
    <row r="6494" spans="1:15" x14ac:dyDescent="0.3">
      <c r="A6494" s="130">
        <v>71086</v>
      </c>
      <c r="B6494" s="130">
        <v>35</v>
      </c>
      <c r="C6494" s="130" t="s">
        <v>8118</v>
      </c>
      <c r="D6494">
        <v>638</v>
      </c>
      <c r="E6494" s="131">
        <v>3992929</v>
      </c>
      <c r="F6494" t="s">
        <v>87</v>
      </c>
      <c r="G6494">
        <v>78</v>
      </c>
      <c r="H6494" t="s">
        <v>8951</v>
      </c>
      <c r="I6494" s="131">
        <v>9</v>
      </c>
      <c r="J6494" t="s">
        <v>8118</v>
      </c>
      <c r="K6494" t="s">
        <v>95</v>
      </c>
      <c r="L6494" t="s">
        <v>125</v>
      </c>
      <c r="M6494" t="s">
        <v>161</v>
      </c>
      <c r="N6494" t="s">
        <v>98</v>
      </c>
      <c r="O6494" t="s">
        <v>1345</v>
      </c>
    </row>
    <row r="6495" spans="1:15" x14ac:dyDescent="0.3">
      <c r="A6495" s="130">
        <v>71091</v>
      </c>
      <c r="B6495" s="130">
        <v>30</v>
      </c>
      <c r="C6495" s="130" t="s">
        <v>8119</v>
      </c>
      <c r="D6495">
        <v>639</v>
      </c>
      <c r="E6495" s="130">
        <v>7605563</v>
      </c>
      <c r="F6495" t="s">
        <v>87</v>
      </c>
      <c r="G6495">
        <v>358</v>
      </c>
      <c r="H6495" t="s">
        <v>8952</v>
      </c>
      <c r="I6495" s="131">
        <v>10</v>
      </c>
      <c r="J6495" t="s">
        <v>8119</v>
      </c>
      <c r="K6495" t="s">
        <v>95</v>
      </c>
      <c r="L6495" t="s">
        <v>105</v>
      </c>
      <c r="M6495" t="s">
        <v>103</v>
      </c>
      <c r="N6495" t="s">
        <v>118</v>
      </c>
      <c r="O6495" t="s">
        <v>1345</v>
      </c>
    </row>
    <row r="6496" spans="1:15" x14ac:dyDescent="0.3">
      <c r="A6496" s="130">
        <v>71101</v>
      </c>
      <c r="B6496" s="130">
        <v>18</v>
      </c>
      <c r="C6496" s="130" t="s">
        <v>8120</v>
      </c>
      <c r="D6496">
        <v>640</v>
      </c>
      <c r="E6496" s="130">
        <v>862596</v>
      </c>
      <c r="F6496" t="s">
        <v>87</v>
      </c>
      <c r="G6496">
        <v>358</v>
      </c>
      <c r="H6496" t="s">
        <v>8953</v>
      </c>
      <c r="I6496" s="130">
        <v>2</v>
      </c>
      <c r="J6496" t="s">
        <v>8120</v>
      </c>
      <c r="K6496" t="s">
        <v>108</v>
      </c>
      <c r="L6496" t="s">
        <v>99</v>
      </c>
      <c r="M6496" t="s">
        <v>112</v>
      </c>
      <c r="N6496" t="s">
        <v>101</v>
      </c>
      <c r="O6496" t="s">
        <v>1345</v>
      </c>
    </row>
    <row r="6497" spans="1:15" x14ac:dyDescent="0.3">
      <c r="A6497" s="130">
        <v>71102</v>
      </c>
      <c r="B6497" s="130">
        <v>18</v>
      </c>
      <c r="C6497" s="130" t="s">
        <v>8121</v>
      </c>
      <c r="D6497">
        <v>641</v>
      </c>
      <c r="E6497" s="131">
        <v>8116572</v>
      </c>
      <c r="F6497" t="s">
        <v>87</v>
      </c>
      <c r="G6497">
        <v>78</v>
      </c>
      <c r="H6497" t="s">
        <v>8951</v>
      </c>
      <c r="I6497" s="131">
        <v>2</v>
      </c>
      <c r="J6497" t="s">
        <v>8121</v>
      </c>
      <c r="K6497" t="s">
        <v>95</v>
      </c>
      <c r="L6497" t="s">
        <v>102</v>
      </c>
      <c r="M6497" t="s">
        <v>112</v>
      </c>
      <c r="N6497" t="s">
        <v>101</v>
      </c>
      <c r="O6497" t="s">
        <v>1345</v>
      </c>
    </row>
    <row r="6498" spans="1:15" x14ac:dyDescent="0.3">
      <c r="A6498" s="130">
        <v>71112</v>
      </c>
      <c r="B6498" s="130">
        <v>90</v>
      </c>
      <c r="C6498" s="130" t="s">
        <v>8122</v>
      </c>
      <c r="D6498">
        <v>642</v>
      </c>
      <c r="E6498" s="131">
        <v>655209</v>
      </c>
      <c r="F6498" t="s">
        <v>87</v>
      </c>
      <c r="G6498">
        <v>78</v>
      </c>
      <c r="H6498" t="s">
        <v>8952</v>
      </c>
      <c r="I6498" s="131">
        <v>9</v>
      </c>
      <c r="J6498" t="s">
        <v>8122</v>
      </c>
      <c r="K6498" t="s">
        <v>95</v>
      </c>
      <c r="L6498" t="s">
        <v>1298</v>
      </c>
      <c r="M6498" t="s">
        <v>170</v>
      </c>
      <c r="N6498" t="s">
        <v>114</v>
      </c>
      <c r="O6498" t="s">
        <v>116</v>
      </c>
    </row>
    <row r="6499" spans="1:15" x14ac:dyDescent="0.3">
      <c r="A6499" s="130">
        <v>71114</v>
      </c>
      <c r="B6499" s="130">
        <v>30</v>
      </c>
      <c r="C6499" s="130" t="s">
        <v>8123</v>
      </c>
      <c r="D6499">
        <v>643</v>
      </c>
      <c r="E6499" s="130">
        <v>29736706</v>
      </c>
      <c r="F6499" t="s">
        <v>87</v>
      </c>
      <c r="G6499">
        <v>78</v>
      </c>
      <c r="H6499" t="s">
        <v>8953</v>
      </c>
      <c r="I6499" s="130">
        <v>18</v>
      </c>
      <c r="J6499" t="s">
        <v>8123</v>
      </c>
      <c r="K6499" t="s">
        <v>95</v>
      </c>
      <c r="L6499" t="s">
        <v>123</v>
      </c>
      <c r="M6499" t="s">
        <v>103</v>
      </c>
      <c r="N6499" t="s">
        <v>150</v>
      </c>
      <c r="O6499" t="s">
        <v>1345</v>
      </c>
    </row>
    <row r="6500" spans="1:15" x14ac:dyDescent="0.3">
      <c r="A6500" s="130">
        <v>71129</v>
      </c>
      <c r="B6500" s="130">
        <v>30</v>
      </c>
      <c r="C6500" s="130" t="s">
        <v>8124</v>
      </c>
      <c r="D6500">
        <v>644</v>
      </c>
      <c r="E6500" s="131">
        <v>3130160</v>
      </c>
      <c r="F6500" t="s">
        <v>87</v>
      </c>
      <c r="G6500">
        <v>358</v>
      </c>
      <c r="H6500" t="s">
        <v>8951</v>
      </c>
      <c r="I6500" s="130">
        <v>24</v>
      </c>
      <c r="J6500" t="s">
        <v>8124</v>
      </c>
      <c r="K6500" t="s">
        <v>108</v>
      </c>
      <c r="L6500" t="s">
        <v>109</v>
      </c>
      <c r="M6500" t="s">
        <v>103</v>
      </c>
      <c r="N6500" t="s">
        <v>98</v>
      </c>
      <c r="O6500" t="s">
        <v>1345</v>
      </c>
    </row>
    <row r="6501" spans="1:15" x14ac:dyDescent="0.3">
      <c r="A6501" s="130">
        <v>71130</v>
      </c>
      <c r="B6501" s="130">
        <v>18</v>
      </c>
      <c r="C6501" s="130" t="s">
        <v>8125</v>
      </c>
      <c r="D6501">
        <v>645</v>
      </c>
      <c r="E6501" s="131">
        <v>27462720</v>
      </c>
      <c r="F6501" t="s">
        <v>87</v>
      </c>
      <c r="G6501">
        <v>78</v>
      </c>
      <c r="H6501" t="s">
        <v>8952</v>
      </c>
      <c r="I6501" s="130">
        <v>18</v>
      </c>
      <c r="J6501" t="s">
        <v>8125</v>
      </c>
      <c r="K6501" t="s">
        <v>108</v>
      </c>
      <c r="L6501" t="s">
        <v>123</v>
      </c>
      <c r="M6501" t="s">
        <v>112</v>
      </c>
      <c r="N6501" t="s">
        <v>98</v>
      </c>
      <c r="O6501" t="s">
        <v>1345</v>
      </c>
    </row>
    <row r="6502" spans="1:15" x14ac:dyDescent="0.3">
      <c r="A6502" s="130">
        <v>71131</v>
      </c>
      <c r="B6502" s="130">
        <v>18</v>
      </c>
      <c r="C6502" s="130" t="s">
        <v>8126</v>
      </c>
      <c r="D6502">
        <v>646</v>
      </c>
      <c r="E6502" s="131">
        <v>91271528</v>
      </c>
      <c r="F6502" t="s">
        <v>87</v>
      </c>
      <c r="G6502">
        <v>358</v>
      </c>
      <c r="H6502" t="s">
        <v>8953</v>
      </c>
      <c r="I6502" s="130">
        <v>18</v>
      </c>
      <c r="J6502" t="s">
        <v>8126</v>
      </c>
      <c r="K6502" t="s">
        <v>108</v>
      </c>
      <c r="L6502" t="s">
        <v>99</v>
      </c>
      <c r="M6502" t="s">
        <v>112</v>
      </c>
      <c r="N6502" t="s">
        <v>98</v>
      </c>
      <c r="O6502" t="s">
        <v>1345</v>
      </c>
    </row>
    <row r="6503" spans="1:15" x14ac:dyDescent="0.3">
      <c r="A6503" s="130">
        <v>71137</v>
      </c>
      <c r="B6503" s="131">
        <v>18</v>
      </c>
      <c r="C6503" s="130" t="s">
        <v>8127</v>
      </c>
      <c r="D6503">
        <v>647</v>
      </c>
      <c r="E6503" s="130">
        <v>19498459</v>
      </c>
      <c r="F6503" t="s">
        <v>87</v>
      </c>
      <c r="G6503">
        <v>78</v>
      </c>
      <c r="H6503" t="s">
        <v>8951</v>
      </c>
      <c r="I6503" s="130">
        <v>26</v>
      </c>
      <c r="J6503" t="s">
        <v>8127</v>
      </c>
      <c r="K6503" t="s">
        <v>108</v>
      </c>
      <c r="L6503" t="s">
        <v>151</v>
      </c>
      <c r="M6503" t="s">
        <v>112</v>
      </c>
      <c r="N6503" t="s">
        <v>114</v>
      </c>
      <c r="O6503" t="s">
        <v>1345</v>
      </c>
    </row>
    <row r="6504" spans="1:15" x14ac:dyDescent="0.3">
      <c r="A6504" s="130">
        <v>71138</v>
      </c>
      <c r="B6504" s="130">
        <v>35</v>
      </c>
      <c r="C6504" s="130" t="s">
        <v>8128</v>
      </c>
      <c r="D6504">
        <v>648</v>
      </c>
      <c r="E6504" s="130">
        <v>20346524</v>
      </c>
      <c r="F6504" t="s">
        <v>87</v>
      </c>
      <c r="G6504">
        <v>77</v>
      </c>
      <c r="H6504" t="s">
        <v>8952</v>
      </c>
      <c r="I6504" s="130">
        <v>2</v>
      </c>
      <c r="J6504" t="s">
        <v>8128</v>
      </c>
      <c r="K6504" t="s">
        <v>95</v>
      </c>
      <c r="L6504" t="s">
        <v>117</v>
      </c>
      <c r="M6504" t="s">
        <v>161</v>
      </c>
      <c r="N6504" t="s">
        <v>118</v>
      </c>
      <c r="O6504" t="s">
        <v>1345</v>
      </c>
    </row>
    <row r="6505" spans="1:15" x14ac:dyDescent="0.3">
      <c r="A6505" s="130">
        <v>71139</v>
      </c>
      <c r="B6505" s="130">
        <v>30</v>
      </c>
      <c r="C6505" s="130" t="s">
        <v>8129</v>
      </c>
      <c r="D6505">
        <v>649</v>
      </c>
      <c r="E6505" s="131">
        <v>33617465</v>
      </c>
      <c r="F6505" t="s">
        <v>87</v>
      </c>
      <c r="G6505">
        <v>78</v>
      </c>
      <c r="H6505" t="s">
        <v>8953</v>
      </c>
      <c r="I6505" s="131">
        <v>18</v>
      </c>
      <c r="J6505" t="s">
        <v>8129</v>
      </c>
      <c r="K6505" t="s">
        <v>95</v>
      </c>
      <c r="L6505" t="s">
        <v>123</v>
      </c>
      <c r="M6505" t="s">
        <v>103</v>
      </c>
      <c r="N6505" t="s">
        <v>162</v>
      </c>
      <c r="O6505" t="s">
        <v>1345</v>
      </c>
    </row>
    <row r="6506" spans="1:15" x14ac:dyDescent="0.3">
      <c r="A6506" s="130">
        <v>71140</v>
      </c>
      <c r="B6506" s="130">
        <v>30</v>
      </c>
      <c r="C6506" s="130" t="s">
        <v>8130</v>
      </c>
      <c r="D6506">
        <v>650</v>
      </c>
      <c r="E6506" s="130">
        <v>16844462</v>
      </c>
      <c r="F6506" t="s">
        <v>87</v>
      </c>
      <c r="G6506">
        <v>78</v>
      </c>
      <c r="H6506" t="s">
        <v>8951</v>
      </c>
      <c r="I6506" s="130">
        <v>10</v>
      </c>
      <c r="J6506" t="s">
        <v>8130</v>
      </c>
      <c r="K6506" t="s">
        <v>95</v>
      </c>
      <c r="L6506" t="s">
        <v>127</v>
      </c>
      <c r="M6506" t="s">
        <v>103</v>
      </c>
      <c r="N6506" t="s">
        <v>118</v>
      </c>
      <c r="O6506" t="s">
        <v>1345</v>
      </c>
    </row>
    <row r="6507" spans="1:15" x14ac:dyDescent="0.3">
      <c r="A6507" s="130">
        <v>71142</v>
      </c>
      <c r="B6507" s="130">
        <v>18</v>
      </c>
      <c r="C6507" s="130" t="s">
        <v>8131</v>
      </c>
      <c r="D6507">
        <v>651</v>
      </c>
      <c r="E6507" s="131">
        <v>35674981</v>
      </c>
      <c r="F6507" t="s">
        <v>87</v>
      </c>
      <c r="G6507">
        <v>358</v>
      </c>
      <c r="H6507" t="s">
        <v>8952</v>
      </c>
      <c r="I6507" s="131">
        <v>2</v>
      </c>
      <c r="J6507" t="s">
        <v>8131</v>
      </c>
      <c r="K6507" t="s">
        <v>95</v>
      </c>
      <c r="L6507" t="s">
        <v>109</v>
      </c>
      <c r="M6507" t="s">
        <v>112</v>
      </c>
      <c r="N6507" t="s">
        <v>122</v>
      </c>
      <c r="O6507" t="s">
        <v>116</v>
      </c>
    </row>
    <row r="6508" spans="1:15" x14ac:dyDescent="0.3">
      <c r="A6508" s="130">
        <v>71147</v>
      </c>
      <c r="B6508" s="130">
        <v>30</v>
      </c>
      <c r="C6508" s="130" t="s">
        <v>8132</v>
      </c>
      <c r="D6508">
        <v>652</v>
      </c>
      <c r="E6508" s="130">
        <v>56679871</v>
      </c>
      <c r="F6508" t="s">
        <v>87</v>
      </c>
      <c r="G6508">
        <v>78</v>
      </c>
      <c r="H6508" t="s">
        <v>8953</v>
      </c>
      <c r="I6508" s="130">
        <v>24</v>
      </c>
      <c r="J6508" t="s">
        <v>8132</v>
      </c>
      <c r="K6508" t="s">
        <v>108</v>
      </c>
      <c r="L6508" t="s">
        <v>109</v>
      </c>
      <c r="M6508" t="s">
        <v>103</v>
      </c>
      <c r="N6508" t="s">
        <v>114</v>
      </c>
      <c r="O6508" t="s">
        <v>1345</v>
      </c>
    </row>
    <row r="6509" spans="1:15" x14ac:dyDescent="0.3">
      <c r="A6509" s="130">
        <v>71148</v>
      </c>
      <c r="B6509" s="130">
        <v>60</v>
      </c>
      <c r="C6509" s="130" t="s">
        <v>8133</v>
      </c>
      <c r="D6509">
        <v>653</v>
      </c>
      <c r="E6509" s="130">
        <v>3130160</v>
      </c>
      <c r="F6509" t="s">
        <v>87</v>
      </c>
      <c r="G6509">
        <v>358</v>
      </c>
      <c r="H6509" t="s">
        <v>8951</v>
      </c>
      <c r="I6509" s="131">
        <v>10</v>
      </c>
      <c r="J6509" t="s">
        <v>8133</v>
      </c>
      <c r="K6509" t="s">
        <v>95</v>
      </c>
      <c r="L6509" t="s">
        <v>105</v>
      </c>
      <c r="M6509" t="s">
        <v>97</v>
      </c>
      <c r="N6509" t="s">
        <v>98</v>
      </c>
      <c r="O6509" t="s">
        <v>1345</v>
      </c>
    </row>
    <row r="6510" spans="1:15" x14ac:dyDescent="0.3">
      <c r="A6510" s="130">
        <v>71149</v>
      </c>
      <c r="B6510" s="130">
        <v>60</v>
      </c>
      <c r="C6510" s="130" t="s">
        <v>8134</v>
      </c>
      <c r="D6510">
        <v>654</v>
      </c>
      <c r="E6510" s="130">
        <v>3130160</v>
      </c>
      <c r="F6510" t="s">
        <v>87</v>
      </c>
      <c r="G6510">
        <v>358</v>
      </c>
      <c r="H6510" t="s">
        <v>8952</v>
      </c>
      <c r="I6510" s="130">
        <v>10</v>
      </c>
      <c r="J6510" t="s">
        <v>8134</v>
      </c>
      <c r="K6510" t="s">
        <v>95</v>
      </c>
      <c r="L6510" t="s">
        <v>105</v>
      </c>
      <c r="M6510" t="s">
        <v>97</v>
      </c>
      <c r="N6510" t="s">
        <v>98</v>
      </c>
      <c r="O6510" t="s">
        <v>1345</v>
      </c>
    </row>
    <row r="6511" spans="1:15" x14ac:dyDescent="0.3">
      <c r="A6511" s="130">
        <v>71150</v>
      </c>
      <c r="B6511" s="130">
        <v>60</v>
      </c>
      <c r="C6511" s="130" t="s">
        <v>8135</v>
      </c>
      <c r="D6511">
        <v>655</v>
      </c>
      <c r="E6511" s="131">
        <v>3130160</v>
      </c>
      <c r="F6511" t="s">
        <v>87</v>
      </c>
      <c r="G6511">
        <v>358</v>
      </c>
      <c r="H6511" t="s">
        <v>8953</v>
      </c>
      <c r="I6511" s="131">
        <v>10</v>
      </c>
      <c r="J6511" t="s">
        <v>8135</v>
      </c>
      <c r="K6511" t="s">
        <v>95</v>
      </c>
      <c r="L6511" t="s">
        <v>105</v>
      </c>
      <c r="M6511" t="s">
        <v>97</v>
      </c>
      <c r="N6511" t="s">
        <v>98</v>
      </c>
      <c r="O6511" t="s">
        <v>1345</v>
      </c>
    </row>
    <row r="6512" spans="1:15" x14ac:dyDescent="0.3">
      <c r="A6512" s="130">
        <v>71151</v>
      </c>
      <c r="B6512" s="130">
        <v>30</v>
      </c>
      <c r="C6512" s="130" t="s">
        <v>8136</v>
      </c>
      <c r="D6512">
        <v>656</v>
      </c>
      <c r="E6512" s="130">
        <v>22459478</v>
      </c>
      <c r="F6512" t="s">
        <v>87</v>
      </c>
      <c r="G6512">
        <v>77</v>
      </c>
      <c r="H6512" t="s">
        <v>8951</v>
      </c>
      <c r="I6512" s="130">
        <v>2</v>
      </c>
      <c r="J6512" t="s">
        <v>8136</v>
      </c>
      <c r="K6512" t="s">
        <v>95</v>
      </c>
      <c r="L6512" t="s">
        <v>1255</v>
      </c>
      <c r="M6512" t="s">
        <v>103</v>
      </c>
      <c r="N6512" t="s">
        <v>150</v>
      </c>
      <c r="O6512" t="s">
        <v>1345</v>
      </c>
    </row>
    <row r="6513" spans="1:15" x14ac:dyDescent="0.3">
      <c r="A6513" s="130">
        <v>71152</v>
      </c>
      <c r="B6513" s="130">
        <v>30</v>
      </c>
      <c r="C6513" s="130" t="s">
        <v>8137</v>
      </c>
      <c r="D6513">
        <v>657</v>
      </c>
      <c r="E6513" s="131">
        <v>4980542</v>
      </c>
      <c r="F6513" t="s">
        <v>87</v>
      </c>
      <c r="G6513">
        <v>358</v>
      </c>
      <c r="H6513" t="s">
        <v>8952</v>
      </c>
      <c r="I6513" s="131">
        <v>2</v>
      </c>
      <c r="J6513" t="s">
        <v>8137</v>
      </c>
      <c r="K6513" t="s">
        <v>108</v>
      </c>
      <c r="L6513" t="s">
        <v>109</v>
      </c>
      <c r="M6513" t="s">
        <v>103</v>
      </c>
      <c r="N6513" t="s">
        <v>98</v>
      </c>
      <c r="O6513" t="s">
        <v>1345</v>
      </c>
    </row>
    <row r="6514" spans="1:15" x14ac:dyDescent="0.3">
      <c r="A6514" s="130">
        <v>71156</v>
      </c>
      <c r="B6514" s="130">
        <v>18</v>
      </c>
      <c r="C6514" s="130" t="s">
        <v>8138</v>
      </c>
      <c r="D6514">
        <v>658</v>
      </c>
      <c r="E6514" s="131">
        <v>22745178</v>
      </c>
      <c r="F6514" t="s">
        <v>87</v>
      </c>
      <c r="G6514">
        <v>358</v>
      </c>
      <c r="H6514" t="s">
        <v>8953</v>
      </c>
      <c r="I6514" s="130">
        <v>2</v>
      </c>
      <c r="J6514" t="s">
        <v>8138</v>
      </c>
      <c r="K6514" t="s">
        <v>108</v>
      </c>
      <c r="L6514" t="s">
        <v>109</v>
      </c>
      <c r="M6514" t="s">
        <v>112</v>
      </c>
      <c r="N6514" t="s">
        <v>98</v>
      </c>
      <c r="O6514" t="s">
        <v>1345</v>
      </c>
    </row>
    <row r="6515" spans="1:15" x14ac:dyDescent="0.3">
      <c r="A6515" s="130">
        <v>71161</v>
      </c>
      <c r="B6515" s="130">
        <v>18</v>
      </c>
      <c r="C6515" s="130" t="s">
        <v>8139</v>
      </c>
      <c r="D6515">
        <v>659</v>
      </c>
      <c r="E6515" s="130">
        <v>16587834</v>
      </c>
      <c r="F6515" t="s">
        <v>87</v>
      </c>
      <c r="G6515">
        <v>358</v>
      </c>
      <c r="H6515" t="s">
        <v>8951</v>
      </c>
      <c r="I6515" s="130">
        <v>10</v>
      </c>
      <c r="J6515" t="s">
        <v>8139</v>
      </c>
      <c r="K6515" t="s">
        <v>108</v>
      </c>
      <c r="L6515" t="s">
        <v>105</v>
      </c>
      <c r="M6515" t="s">
        <v>112</v>
      </c>
      <c r="N6515" t="s">
        <v>98</v>
      </c>
      <c r="O6515" t="s">
        <v>1345</v>
      </c>
    </row>
    <row r="6516" spans="1:15" x14ac:dyDescent="0.3">
      <c r="A6516" s="130">
        <v>71163</v>
      </c>
      <c r="B6516" s="130">
        <v>30</v>
      </c>
      <c r="C6516" s="130" t="s">
        <v>8140</v>
      </c>
      <c r="D6516">
        <v>660</v>
      </c>
      <c r="E6516" s="131">
        <v>4060779</v>
      </c>
      <c r="F6516" t="s">
        <v>87</v>
      </c>
      <c r="G6516">
        <v>358</v>
      </c>
      <c r="H6516" t="s">
        <v>8952</v>
      </c>
      <c r="I6516" s="130">
        <v>2</v>
      </c>
      <c r="J6516" t="s">
        <v>8140</v>
      </c>
      <c r="K6516" t="s">
        <v>95</v>
      </c>
      <c r="L6516" t="s">
        <v>111</v>
      </c>
      <c r="M6516" t="s">
        <v>103</v>
      </c>
      <c r="N6516" t="s">
        <v>98</v>
      </c>
      <c r="O6516" t="s">
        <v>116</v>
      </c>
    </row>
    <row r="6517" spans="1:15" x14ac:dyDescent="0.3">
      <c r="A6517" s="130">
        <v>71168</v>
      </c>
      <c r="B6517" s="130">
        <v>18</v>
      </c>
      <c r="C6517" s="130" t="s">
        <v>8141</v>
      </c>
      <c r="D6517">
        <v>661</v>
      </c>
      <c r="E6517" s="130">
        <v>17069832</v>
      </c>
      <c r="F6517" t="s">
        <v>87</v>
      </c>
      <c r="G6517">
        <v>358</v>
      </c>
      <c r="H6517" t="s">
        <v>8953</v>
      </c>
      <c r="I6517" s="131">
        <v>2</v>
      </c>
      <c r="J6517" t="s">
        <v>8141</v>
      </c>
      <c r="K6517" t="s">
        <v>108</v>
      </c>
      <c r="L6517" t="s">
        <v>99</v>
      </c>
      <c r="M6517" t="s">
        <v>112</v>
      </c>
      <c r="N6517" t="s">
        <v>98</v>
      </c>
      <c r="O6517" t="s">
        <v>1345</v>
      </c>
    </row>
    <row r="6518" spans="1:15" x14ac:dyDescent="0.3">
      <c r="A6518" s="130">
        <v>71172</v>
      </c>
      <c r="B6518" s="130">
        <v>18</v>
      </c>
      <c r="C6518" s="130" t="s">
        <v>8142</v>
      </c>
      <c r="D6518">
        <v>662</v>
      </c>
      <c r="E6518" s="130">
        <v>2617158</v>
      </c>
      <c r="F6518" t="s">
        <v>87</v>
      </c>
      <c r="G6518">
        <v>78</v>
      </c>
      <c r="H6518" t="s">
        <v>8951</v>
      </c>
      <c r="I6518" s="131">
        <v>10</v>
      </c>
      <c r="J6518" t="s">
        <v>8142</v>
      </c>
      <c r="K6518" t="s">
        <v>108</v>
      </c>
      <c r="L6518" t="s">
        <v>127</v>
      </c>
      <c r="M6518" t="s">
        <v>112</v>
      </c>
      <c r="N6518" t="s">
        <v>98</v>
      </c>
      <c r="O6518" t="s">
        <v>1345</v>
      </c>
    </row>
    <row r="6519" spans="1:15" x14ac:dyDescent="0.3">
      <c r="A6519" s="130">
        <v>71176</v>
      </c>
      <c r="B6519" s="130">
        <v>60</v>
      </c>
      <c r="C6519" s="130" t="s">
        <v>8143</v>
      </c>
      <c r="D6519">
        <v>663</v>
      </c>
      <c r="E6519" s="130">
        <v>33592510</v>
      </c>
      <c r="F6519" t="s">
        <v>87</v>
      </c>
      <c r="G6519">
        <v>77</v>
      </c>
      <c r="H6519" t="s">
        <v>8952</v>
      </c>
      <c r="I6519" s="130">
        <v>2</v>
      </c>
      <c r="J6519" t="s">
        <v>8143</v>
      </c>
      <c r="K6519" t="s">
        <v>95</v>
      </c>
      <c r="L6519" t="s">
        <v>256</v>
      </c>
      <c r="M6519" t="s">
        <v>97</v>
      </c>
      <c r="N6519" t="s">
        <v>118</v>
      </c>
      <c r="O6519" t="s">
        <v>1345</v>
      </c>
    </row>
    <row r="6520" spans="1:15" x14ac:dyDescent="0.3">
      <c r="A6520" s="130">
        <v>71177</v>
      </c>
      <c r="B6520" s="130">
        <v>18</v>
      </c>
      <c r="C6520" s="130" t="s">
        <v>8144</v>
      </c>
      <c r="D6520">
        <v>664</v>
      </c>
      <c r="E6520" s="131">
        <v>35571766</v>
      </c>
      <c r="F6520" t="s">
        <v>87</v>
      </c>
      <c r="G6520">
        <v>358</v>
      </c>
      <c r="H6520" t="s">
        <v>8953</v>
      </c>
      <c r="I6520" s="131">
        <v>2</v>
      </c>
      <c r="J6520" t="s">
        <v>8144</v>
      </c>
      <c r="K6520" t="s">
        <v>108</v>
      </c>
      <c r="L6520" t="s">
        <v>99</v>
      </c>
      <c r="M6520" t="s">
        <v>112</v>
      </c>
      <c r="N6520" t="s">
        <v>98</v>
      </c>
      <c r="O6520" t="s">
        <v>1345</v>
      </c>
    </row>
    <row r="6521" spans="1:15" x14ac:dyDescent="0.3">
      <c r="A6521" s="130">
        <v>71191</v>
      </c>
      <c r="B6521" s="130">
        <v>30</v>
      </c>
      <c r="C6521" s="130" t="s">
        <v>8145</v>
      </c>
      <c r="D6521">
        <v>665</v>
      </c>
      <c r="E6521" s="130">
        <v>19235340</v>
      </c>
      <c r="F6521" t="s">
        <v>87</v>
      </c>
      <c r="G6521">
        <v>78</v>
      </c>
      <c r="H6521" t="s">
        <v>8951</v>
      </c>
      <c r="I6521" s="130">
        <v>10</v>
      </c>
      <c r="J6521" t="s">
        <v>8145</v>
      </c>
      <c r="K6521" t="s">
        <v>95</v>
      </c>
      <c r="L6521" t="s">
        <v>127</v>
      </c>
      <c r="M6521" t="s">
        <v>103</v>
      </c>
      <c r="N6521" t="s">
        <v>98</v>
      </c>
      <c r="O6521" t="s">
        <v>1345</v>
      </c>
    </row>
    <row r="6522" spans="1:15" x14ac:dyDescent="0.3">
      <c r="A6522" s="130">
        <v>71194</v>
      </c>
      <c r="B6522" s="130">
        <v>18</v>
      </c>
      <c r="C6522" s="130" t="s">
        <v>8146</v>
      </c>
      <c r="D6522">
        <v>666</v>
      </c>
      <c r="E6522" s="131">
        <v>11205821</v>
      </c>
      <c r="F6522" t="s">
        <v>87</v>
      </c>
      <c r="G6522">
        <v>78</v>
      </c>
      <c r="H6522" t="s">
        <v>8952</v>
      </c>
      <c r="I6522" s="130">
        <v>24</v>
      </c>
      <c r="J6522" t="s">
        <v>8146</v>
      </c>
      <c r="K6522" t="s">
        <v>95</v>
      </c>
      <c r="L6522" t="s">
        <v>138</v>
      </c>
      <c r="M6522" t="s">
        <v>112</v>
      </c>
      <c r="N6522" t="s">
        <v>101</v>
      </c>
      <c r="O6522" t="s">
        <v>1345</v>
      </c>
    </row>
    <row r="6523" spans="1:15" x14ac:dyDescent="0.3">
      <c r="A6523" s="130">
        <v>71195</v>
      </c>
      <c r="B6523" s="130">
        <v>35</v>
      </c>
      <c r="C6523" s="130" t="s">
        <v>8147</v>
      </c>
      <c r="D6523">
        <v>667</v>
      </c>
      <c r="E6523" s="130">
        <v>17403551</v>
      </c>
      <c r="F6523" t="s">
        <v>87</v>
      </c>
      <c r="G6523">
        <v>358</v>
      </c>
      <c r="H6523" t="s">
        <v>8953</v>
      </c>
      <c r="I6523" s="130">
        <v>2</v>
      </c>
      <c r="J6523" t="s">
        <v>8147</v>
      </c>
      <c r="K6523" t="s">
        <v>108</v>
      </c>
      <c r="L6523" t="s">
        <v>111</v>
      </c>
      <c r="M6523" t="s">
        <v>161</v>
      </c>
      <c r="N6523" t="s">
        <v>101</v>
      </c>
      <c r="O6523" t="s">
        <v>1345</v>
      </c>
    </row>
    <row r="6524" spans="1:15" x14ac:dyDescent="0.3">
      <c r="A6524" s="130">
        <v>71197</v>
      </c>
      <c r="B6524" s="130">
        <v>30</v>
      </c>
      <c r="C6524" s="130" t="s">
        <v>8148</v>
      </c>
      <c r="D6524">
        <v>668</v>
      </c>
      <c r="E6524" s="130">
        <v>17119291</v>
      </c>
      <c r="F6524" t="s">
        <v>87</v>
      </c>
      <c r="G6524">
        <v>77</v>
      </c>
      <c r="H6524" t="s">
        <v>8951</v>
      </c>
      <c r="I6524" s="131">
        <v>2</v>
      </c>
      <c r="J6524" t="s">
        <v>8148</v>
      </c>
      <c r="K6524" t="s">
        <v>95</v>
      </c>
      <c r="L6524" t="s">
        <v>1255</v>
      </c>
      <c r="M6524" t="s">
        <v>103</v>
      </c>
      <c r="N6524" t="s">
        <v>132</v>
      </c>
      <c r="O6524" t="s">
        <v>1345</v>
      </c>
    </row>
    <row r="6525" spans="1:15" x14ac:dyDescent="0.3">
      <c r="A6525" s="130">
        <v>71198</v>
      </c>
      <c r="B6525" s="130">
        <v>30</v>
      </c>
      <c r="C6525" s="130" t="s">
        <v>8149</v>
      </c>
      <c r="D6525">
        <v>669</v>
      </c>
      <c r="E6525" s="130">
        <v>8343492</v>
      </c>
      <c r="F6525" t="s">
        <v>87</v>
      </c>
      <c r="G6525">
        <v>77</v>
      </c>
      <c r="H6525" t="s">
        <v>8952</v>
      </c>
      <c r="I6525" s="131">
        <v>18</v>
      </c>
      <c r="J6525" t="s">
        <v>8149</v>
      </c>
      <c r="K6525" t="s">
        <v>95</v>
      </c>
      <c r="L6525" t="s">
        <v>1255</v>
      </c>
      <c r="M6525" t="s">
        <v>103</v>
      </c>
      <c r="N6525" t="s">
        <v>98</v>
      </c>
      <c r="O6525" t="s">
        <v>1345</v>
      </c>
    </row>
    <row r="6526" spans="1:15" x14ac:dyDescent="0.3">
      <c r="A6526" s="130">
        <v>71202</v>
      </c>
      <c r="B6526" s="130">
        <v>35</v>
      </c>
      <c r="C6526" s="130" t="s">
        <v>8150</v>
      </c>
      <c r="D6526">
        <v>670</v>
      </c>
      <c r="E6526" s="130">
        <v>17403551</v>
      </c>
      <c r="F6526" t="s">
        <v>87</v>
      </c>
      <c r="G6526">
        <v>358</v>
      </c>
      <c r="H6526" t="s">
        <v>8953</v>
      </c>
      <c r="I6526" s="130">
        <v>2</v>
      </c>
      <c r="J6526" t="s">
        <v>8150</v>
      </c>
      <c r="K6526" t="s">
        <v>108</v>
      </c>
      <c r="L6526" t="s">
        <v>99</v>
      </c>
      <c r="M6526" t="s">
        <v>161</v>
      </c>
      <c r="N6526" t="s">
        <v>101</v>
      </c>
      <c r="O6526" t="s">
        <v>1345</v>
      </c>
    </row>
    <row r="6527" spans="1:15" x14ac:dyDescent="0.3">
      <c r="A6527" s="130">
        <v>71208</v>
      </c>
      <c r="B6527" s="130">
        <v>35</v>
      </c>
      <c r="C6527" s="130" t="s">
        <v>8151</v>
      </c>
      <c r="D6527">
        <v>671</v>
      </c>
      <c r="E6527" s="131">
        <v>35798877</v>
      </c>
      <c r="F6527" t="s">
        <v>87</v>
      </c>
      <c r="G6527">
        <v>78</v>
      </c>
      <c r="H6527" t="s">
        <v>8951</v>
      </c>
      <c r="I6527" s="130">
        <v>24</v>
      </c>
      <c r="J6527" t="s">
        <v>8151</v>
      </c>
      <c r="K6527" t="s">
        <v>95</v>
      </c>
      <c r="L6527" t="s">
        <v>138</v>
      </c>
      <c r="M6527" t="s">
        <v>161</v>
      </c>
      <c r="N6527" t="s">
        <v>98</v>
      </c>
      <c r="O6527" t="s">
        <v>1345</v>
      </c>
    </row>
    <row r="6528" spans="1:15" x14ac:dyDescent="0.3">
      <c r="A6528" s="130">
        <v>71211</v>
      </c>
      <c r="B6528" s="130">
        <v>30</v>
      </c>
      <c r="C6528" s="130" t="s">
        <v>8152</v>
      </c>
      <c r="D6528">
        <v>672</v>
      </c>
      <c r="E6528" s="130">
        <v>13247877</v>
      </c>
      <c r="F6528" t="s">
        <v>87</v>
      </c>
      <c r="G6528">
        <v>358</v>
      </c>
      <c r="H6528" t="s">
        <v>8952</v>
      </c>
      <c r="I6528" s="130">
        <v>2</v>
      </c>
      <c r="J6528" t="s">
        <v>8152</v>
      </c>
      <c r="K6528" t="s">
        <v>108</v>
      </c>
      <c r="L6528" t="s">
        <v>109</v>
      </c>
      <c r="M6528" t="s">
        <v>103</v>
      </c>
      <c r="N6528" t="s">
        <v>98</v>
      </c>
      <c r="O6528" t="s">
        <v>1345</v>
      </c>
    </row>
    <row r="6529" spans="1:15" x14ac:dyDescent="0.3">
      <c r="A6529" s="130">
        <v>71216</v>
      </c>
      <c r="B6529" s="130">
        <v>18</v>
      </c>
      <c r="C6529" s="130" t="s">
        <v>8153</v>
      </c>
      <c r="D6529">
        <v>673</v>
      </c>
      <c r="E6529" s="130">
        <v>4727090</v>
      </c>
      <c r="F6529" t="s">
        <v>87</v>
      </c>
      <c r="G6529">
        <v>358</v>
      </c>
      <c r="H6529" t="s">
        <v>8953</v>
      </c>
      <c r="I6529" s="131">
        <v>2</v>
      </c>
      <c r="J6529" t="s">
        <v>8153</v>
      </c>
      <c r="K6529" t="s">
        <v>108</v>
      </c>
      <c r="L6529" t="s">
        <v>99</v>
      </c>
      <c r="M6529" t="s">
        <v>112</v>
      </c>
      <c r="N6529" t="s">
        <v>101</v>
      </c>
      <c r="O6529" t="s">
        <v>1345</v>
      </c>
    </row>
    <row r="6530" spans="1:15" x14ac:dyDescent="0.3">
      <c r="A6530" s="130">
        <v>71218</v>
      </c>
      <c r="B6530" s="130">
        <v>18</v>
      </c>
      <c r="C6530" s="130" t="s">
        <v>8154</v>
      </c>
      <c r="D6530">
        <v>674</v>
      </c>
      <c r="E6530" s="130">
        <v>3514701</v>
      </c>
      <c r="F6530" t="s">
        <v>87</v>
      </c>
      <c r="G6530">
        <v>78</v>
      </c>
      <c r="H6530" t="s">
        <v>8951</v>
      </c>
      <c r="I6530" s="130">
        <v>10</v>
      </c>
      <c r="J6530" t="s">
        <v>8154</v>
      </c>
      <c r="K6530" t="s">
        <v>108</v>
      </c>
      <c r="L6530" t="s">
        <v>127</v>
      </c>
      <c r="M6530" t="s">
        <v>112</v>
      </c>
      <c r="N6530" t="s">
        <v>124</v>
      </c>
      <c r="O6530" t="s">
        <v>1345</v>
      </c>
    </row>
    <row r="6531" spans="1:15" x14ac:dyDescent="0.3">
      <c r="A6531" s="130">
        <v>71221</v>
      </c>
      <c r="B6531" s="130">
        <v>18</v>
      </c>
      <c r="C6531" s="130" t="s">
        <v>8155</v>
      </c>
      <c r="D6531">
        <v>675</v>
      </c>
      <c r="E6531" s="130">
        <v>5515245</v>
      </c>
      <c r="F6531" t="s">
        <v>87</v>
      </c>
      <c r="G6531">
        <v>78</v>
      </c>
      <c r="H6531" t="s">
        <v>8952</v>
      </c>
      <c r="I6531" s="130">
        <v>9</v>
      </c>
      <c r="J6531" t="s">
        <v>8155</v>
      </c>
      <c r="K6531" t="s">
        <v>95</v>
      </c>
      <c r="L6531" t="s">
        <v>125</v>
      </c>
      <c r="M6531" t="s">
        <v>112</v>
      </c>
      <c r="N6531" t="s">
        <v>98</v>
      </c>
      <c r="O6531" t="s">
        <v>1345</v>
      </c>
    </row>
    <row r="6532" spans="1:15" x14ac:dyDescent="0.3">
      <c r="A6532" s="130">
        <v>71225</v>
      </c>
      <c r="B6532" s="130">
        <v>18</v>
      </c>
      <c r="C6532" s="130" t="s">
        <v>8156</v>
      </c>
      <c r="D6532">
        <v>676</v>
      </c>
      <c r="E6532" s="130">
        <v>188111</v>
      </c>
      <c r="F6532" t="s">
        <v>87</v>
      </c>
      <c r="G6532">
        <v>358</v>
      </c>
      <c r="H6532" t="s">
        <v>8953</v>
      </c>
      <c r="I6532" s="130">
        <v>10</v>
      </c>
      <c r="J6532" t="s">
        <v>8156</v>
      </c>
      <c r="K6532" t="s">
        <v>108</v>
      </c>
      <c r="L6532" t="s">
        <v>105</v>
      </c>
      <c r="M6532" t="s">
        <v>112</v>
      </c>
      <c r="N6532" t="s">
        <v>98</v>
      </c>
      <c r="O6532" t="s">
        <v>116</v>
      </c>
    </row>
    <row r="6533" spans="1:15" x14ac:dyDescent="0.3">
      <c r="A6533" s="130">
        <v>71228</v>
      </c>
      <c r="B6533" s="130">
        <v>30</v>
      </c>
      <c r="C6533" s="130" t="s">
        <v>8157</v>
      </c>
      <c r="D6533">
        <v>677</v>
      </c>
      <c r="E6533" s="131">
        <v>33193996</v>
      </c>
      <c r="F6533" t="s">
        <v>87</v>
      </c>
      <c r="G6533">
        <v>358</v>
      </c>
      <c r="H6533" t="s">
        <v>8951</v>
      </c>
      <c r="I6533" s="131">
        <v>2</v>
      </c>
      <c r="J6533" t="s">
        <v>8157</v>
      </c>
      <c r="K6533" t="s">
        <v>95</v>
      </c>
      <c r="L6533" t="s">
        <v>96</v>
      </c>
      <c r="M6533" t="s">
        <v>103</v>
      </c>
      <c r="N6533" t="s">
        <v>98</v>
      </c>
      <c r="O6533" t="s">
        <v>1345</v>
      </c>
    </row>
    <row r="6534" spans="1:15" x14ac:dyDescent="0.3">
      <c r="A6534" s="130">
        <v>71235</v>
      </c>
      <c r="B6534" s="130">
        <v>18</v>
      </c>
      <c r="C6534" s="130" t="s">
        <v>8158</v>
      </c>
      <c r="D6534">
        <v>678</v>
      </c>
      <c r="E6534" s="130">
        <v>3426130</v>
      </c>
      <c r="F6534" t="s">
        <v>87</v>
      </c>
      <c r="G6534">
        <v>78</v>
      </c>
      <c r="H6534" t="s">
        <v>8952</v>
      </c>
      <c r="I6534" s="131">
        <v>19</v>
      </c>
      <c r="J6534" t="s">
        <v>8158</v>
      </c>
      <c r="K6534" t="s">
        <v>108</v>
      </c>
      <c r="L6534" t="s">
        <v>146</v>
      </c>
      <c r="M6534" t="s">
        <v>112</v>
      </c>
      <c r="N6534" t="s">
        <v>98</v>
      </c>
      <c r="O6534" t="s">
        <v>116</v>
      </c>
    </row>
    <row r="6535" spans="1:15" x14ac:dyDescent="0.3">
      <c r="A6535" s="130">
        <v>71241</v>
      </c>
      <c r="B6535" s="130">
        <v>30</v>
      </c>
      <c r="C6535" s="130" t="s">
        <v>8159</v>
      </c>
      <c r="D6535">
        <v>679</v>
      </c>
      <c r="E6535" s="131">
        <v>33000167</v>
      </c>
      <c r="F6535" t="s">
        <v>87</v>
      </c>
      <c r="G6535">
        <v>77</v>
      </c>
      <c r="H6535" t="s">
        <v>8953</v>
      </c>
      <c r="I6535" s="130">
        <v>18</v>
      </c>
      <c r="J6535" t="s">
        <v>8159</v>
      </c>
      <c r="K6535" t="s">
        <v>95</v>
      </c>
      <c r="L6535" t="s">
        <v>117</v>
      </c>
      <c r="M6535" t="s">
        <v>103</v>
      </c>
      <c r="N6535" t="s">
        <v>101</v>
      </c>
      <c r="O6535" t="s">
        <v>116</v>
      </c>
    </row>
    <row r="6536" spans="1:15" x14ac:dyDescent="0.3">
      <c r="A6536" s="130">
        <v>71243</v>
      </c>
      <c r="B6536" s="130">
        <v>35</v>
      </c>
      <c r="C6536" s="130" t="s">
        <v>8160</v>
      </c>
      <c r="D6536">
        <v>680</v>
      </c>
      <c r="E6536" s="130">
        <v>3992929</v>
      </c>
      <c r="F6536" t="s">
        <v>87</v>
      </c>
      <c r="G6536">
        <v>78</v>
      </c>
      <c r="H6536" t="s">
        <v>8951</v>
      </c>
      <c r="I6536" s="131">
        <v>9</v>
      </c>
      <c r="J6536" t="s">
        <v>8160</v>
      </c>
      <c r="K6536" t="s">
        <v>108</v>
      </c>
      <c r="L6536" t="s">
        <v>125</v>
      </c>
      <c r="M6536" t="s">
        <v>161</v>
      </c>
      <c r="N6536" t="s">
        <v>98</v>
      </c>
      <c r="O6536" t="s">
        <v>1345</v>
      </c>
    </row>
    <row r="6537" spans="1:15" x14ac:dyDescent="0.3">
      <c r="A6537" s="130">
        <v>71245</v>
      </c>
      <c r="B6537" s="130">
        <v>18</v>
      </c>
      <c r="C6537" s="130" t="s">
        <v>8161</v>
      </c>
      <c r="D6537">
        <v>681</v>
      </c>
      <c r="E6537" s="130">
        <v>51085033</v>
      </c>
      <c r="F6537" t="s">
        <v>87</v>
      </c>
      <c r="G6537">
        <v>78</v>
      </c>
      <c r="H6537" t="s">
        <v>8952</v>
      </c>
      <c r="I6537" s="131">
        <v>24</v>
      </c>
      <c r="J6537" t="s">
        <v>8161</v>
      </c>
      <c r="K6537" t="s">
        <v>95</v>
      </c>
      <c r="L6537" t="s">
        <v>138</v>
      </c>
      <c r="M6537" t="s">
        <v>112</v>
      </c>
      <c r="N6537" t="s">
        <v>150</v>
      </c>
      <c r="O6537" t="s">
        <v>1345</v>
      </c>
    </row>
    <row r="6538" spans="1:15" x14ac:dyDescent="0.3">
      <c r="A6538" s="130">
        <v>71252</v>
      </c>
      <c r="B6538" s="130">
        <v>60</v>
      </c>
      <c r="C6538" s="130" t="s">
        <v>8162</v>
      </c>
      <c r="D6538">
        <v>682</v>
      </c>
      <c r="E6538" s="131">
        <v>36499875</v>
      </c>
      <c r="F6538" t="s">
        <v>87</v>
      </c>
      <c r="G6538">
        <v>358</v>
      </c>
      <c r="H6538" t="s">
        <v>8953</v>
      </c>
      <c r="I6538" s="130">
        <v>19</v>
      </c>
      <c r="J6538" t="s">
        <v>8162</v>
      </c>
      <c r="K6538" t="s">
        <v>95</v>
      </c>
      <c r="L6538" t="s">
        <v>105</v>
      </c>
      <c r="M6538" t="s">
        <v>97</v>
      </c>
      <c r="N6538" t="s">
        <v>124</v>
      </c>
      <c r="O6538" t="s">
        <v>116</v>
      </c>
    </row>
    <row r="6539" spans="1:15" x14ac:dyDescent="0.3">
      <c r="A6539" s="130">
        <v>71253</v>
      </c>
      <c r="B6539" s="130">
        <v>18</v>
      </c>
      <c r="C6539" s="130" t="s">
        <v>8163</v>
      </c>
      <c r="D6539">
        <v>683</v>
      </c>
      <c r="E6539" s="130">
        <v>8608991</v>
      </c>
      <c r="F6539" t="s">
        <v>87</v>
      </c>
      <c r="G6539">
        <v>78</v>
      </c>
      <c r="H6539" t="s">
        <v>8951</v>
      </c>
      <c r="I6539" s="130">
        <v>9</v>
      </c>
      <c r="J6539" t="s">
        <v>8163</v>
      </c>
      <c r="K6539" t="s">
        <v>108</v>
      </c>
      <c r="L6539" t="s">
        <v>125</v>
      </c>
      <c r="M6539" t="s">
        <v>112</v>
      </c>
      <c r="N6539" t="s">
        <v>98</v>
      </c>
      <c r="O6539" t="s">
        <v>1345</v>
      </c>
    </row>
    <row r="6540" spans="1:15" x14ac:dyDescent="0.3">
      <c r="A6540" s="130">
        <v>71254</v>
      </c>
      <c r="B6540" s="130">
        <v>18</v>
      </c>
      <c r="C6540" s="130" t="s">
        <v>8164</v>
      </c>
      <c r="D6540">
        <v>684</v>
      </c>
      <c r="E6540" s="130">
        <v>28660696</v>
      </c>
      <c r="F6540" t="s">
        <v>87</v>
      </c>
      <c r="G6540">
        <v>78</v>
      </c>
      <c r="H6540" t="s">
        <v>8952</v>
      </c>
      <c r="I6540" s="131">
        <v>9</v>
      </c>
      <c r="J6540" t="s">
        <v>8164</v>
      </c>
      <c r="K6540" t="s">
        <v>95</v>
      </c>
      <c r="L6540" t="s">
        <v>125</v>
      </c>
      <c r="M6540" t="s">
        <v>112</v>
      </c>
      <c r="N6540" t="s">
        <v>124</v>
      </c>
      <c r="O6540" t="s">
        <v>1345</v>
      </c>
    </row>
    <row r="6541" spans="1:15" x14ac:dyDescent="0.3">
      <c r="A6541" s="130">
        <v>71255</v>
      </c>
      <c r="B6541" s="130">
        <v>28</v>
      </c>
      <c r="C6541" s="130" t="s">
        <v>8165</v>
      </c>
      <c r="D6541">
        <v>685</v>
      </c>
      <c r="E6541" s="130">
        <v>24949232</v>
      </c>
      <c r="F6541" t="s">
        <v>87</v>
      </c>
      <c r="G6541">
        <v>358</v>
      </c>
      <c r="H6541" t="s">
        <v>8953</v>
      </c>
      <c r="I6541" s="131">
        <v>2</v>
      </c>
      <c r="J6541" t="s">
        <v>8165</v>
      </c>
      <c r="K6541" t="s">
        <v>95</v>
      </c>
      <c r="L6541" t="s">
        <v>99</v>
      </c>
      <c r="M6541" t="s">
        <v>130</v>
      </c>
      <c r="N6541" t="s">
        <v>114</v>
      </c>
      <c r="O6541" t="s">
        <v>1345</v>
      </c>
    </row>
    <row r="6542" spans="1:15" x14ac:dyDescent="0.3">
      <c r="A6542" s="130">
        <v>71256</v>
      </c>
      <c r="B6542" s="130">
        <v>30</v>
      </c>
      <c r="C6542" s="130" t="s">
        <v>8166</v>
      </c>
      <c r="D6542">
        <v>686</v>
      </c>
      <c r="E6542" s="130">
        <v>73305997</v>
      </c>
      <c r="F6542" t="s">
        <v>87</v>
      </c>
      <c r="G6542">
        <v>78</v>
      </c>
      <c r="H6542" t="s">
        <v>8951</v>
      </c>
      <c r="I6542" s="130">
        <v>10</v>
      </c>
      <c r="J6542" t="s">
        <v>8166</v>
      </c>
      <c r="K6542" t="s">
        <v>95</v>
      </c>
      <c r="L6542" t="s">
        <v>127</v>
      </c>
      <c r="M6542" t="s">
        <v>103</v>
      </c>
      <c r="N6542" t="s">
        <v>118</v>
      </c>
      <c r="O6542" t="s">
        <v>1345</v>
      </c>
    </row>
    <row r="6543" spans="1:15" x14ac:dyDescent="0.3">
      <c r="A6543" s="130">
        <v>71261</v>
      </c>
      <c r="B6543" s="130">
        <v>18</v>
      </c>
      <c r="C6543" s="130" t="s">
        <v>8167</v>
      </c>
      <c r="D6543">
        <v>687</v>
      </c>
      <c r="E6543" s="130">
        <v>17332857</v>
      </c>
      <c r="F6543" t="s">
        <v>87</v>
      </c>
      <c r="G6543">
        <v>78</v>
      </c>
      <c r="H6543" t="s">
        <v>8952</v>
      </c>
      <c r="I6543" s="130">
        <v>18</v>
      </c>
      <c r="J6543" t="s">
        <v>8167</v>
      </c>
      <c r="K6543" t="s">
        <v>108</v>
      </c>
      <c r="L6543" t="s">
        <v>123</v>
      </c>
      <c r="M6543" t="s">
        <v>112</v>
      </c>
      <c r="N6543" t="s">
        <v>98</v>
      </c>
      <c r="O6543" t="s">
        <v>1345</v>
      </c>
    </row>
    <row r="6544" spans="1:15" x14ac:dyDescent="0.3">
      <c r="A6544" s="130">
        <v>71262</v>
      </c>
      <c r="B6544" s="130">
        <v>30</v>
      </c>
      <c r="C6544" s="130" t="s">
        <v>8168</v>
      </c>
      <c r="D6544">
        <v>688</v>
      </c>
      <c r="E6544" s="131">
        <v>33000167</v>
      </c>
      <c r="F6544" t="s">
        <v>87</v>
      </c>
      <c r="G6544">
        <v>78</v>
      </c>
      <c r="H6544" t="s">
        <v>8953</v>
      </c>
      <c r="I6544" s="130">
        <v>24</v>
      </c>
      <c r="J6544" t="s">
        <v>8168</v>
      </c>
      <c r="K6544" t="s">
        <v>95</v>
      </c>
      <c r="L6544" t="s">
        <v>102</v>
      </c>
      <c r="M6544" t="s">
        <v>103</v>
      </c>
      <c r="N6544" t="s">
        <v>101</v>
      </c>
      <c r="O6544" t="s">
        <v>116</v>
      </c>
    </row>
    <row r="6545" spans="1:15" x14ac:dyDescent="0.3">
      <c r="A6545" s="130">
        <v>71267</v>
      </c>
      <c r="B6545" s="130">
        <v>30</v>
      </c>
      <c r="C6545" s="130" t="s">
        <v>8169</v>
      </c>
      <c r="D6545">
        <v>689</v>
      </c>
      <c r="E6545" s="131">
        <v>33000167</v>
      </c>
      <c r="F6545" t="s">
        <v>87</v>
      </c>
      <c r="G6545">
        <v>78</v>
      </c>
      <c r="H6545" t="s">
        <v>8951</v>
      </c>
      <c r="I6545" s="131">
        <v>24</v>
      </c>
      <c r="J6545" t="s">
        <v>8169</v>
      </c>
      <c r="K6545" t="s">
        <v>95</v>
      </c>
      <c r="L6545" t="s">
        <v>102</v>
      </c>
      <c r="M6545" t="s">
        <v>103</v>
      </c>
      <c r="N6545" t="s">
        <v>101</v>
      </c>
      <c r="O6545" t="s">
        <v>116</v>
      </c>
    </row>
    <row r="6546" spans="1:15" x14ac:dyDescent="0.3">
      <c r="A6546" s="130">
        <v>71268</v>
      </c>
      <c r="B6546" s="130">
        <v>18</v>
      </c>
      <c r="C6546" s="130" t="s">
        <v>8170</v>
      </c>
      <c r="D6546">
        <v>690</v>
      </c>
      <c r="E6546" s="130">
        <v>32235235</v>
      </c>
      <c r="F6546" t="s">
        <v>87</v>
      </c>
      <c r="G6546">
        <v>78</v>
      </c>
      <c r="H6546" t="s">
        <v>8952</v>
      </c>
      <c r="I6546" s="130">
        <v>10</v>
      </c>
      <c r="J6546" t="s">
        <v>8170</v>
      </c>
      <c r="K6546" t="s">
        <v>108</v>
      </c>
      <c r="L6546" t="s">
        <v>127</v>
      </c>
      <c r="M6546" t="s">
        <v>112</v>
      </c>
      <c r="N6546" t="s">
        <v>98</v>
      </c>
      <c r="O6546" t="s">
        <v>1345</v>
      </c>
    </row>
    <row r="6547" spans="1:15" x14ac:dyDescent="0.3">
      <c r="A6547" s="130">
        <v>71274</v>
      </c>
      <c r="B6547" s="130">
        <v>18</v>
      </c>
      <c r="C6547" s="130" t="s">
        <v>8171</v>
      </c>
      <c r="D6547">
        <v>691</v>
      </c>
      <c r="E6547" s="130">
        <v>3092799</v>
      </c>
      <c r="F6547" t="s">
        <v>87</v>
      </c>
      <c r="G6547">
        <v>78</v>
      </c>
      <c r="H6547" t="s">
        <v>8953</v>
      </c>
      <c r="I6547" s="130">
        <v>19</v>
      </c>
      <c r="J6547" t="s">
        <v>8171</v>
      </c>
      <c r="K6547" t="s">
        <v>95</v>
      </c>
      <c r="L6547" t="s">
        <v>146</v>
      </c>
      <c r="M6547" t="s">
        <v>112</v>
      </c>
      <c r="N6547" t="s">
        <v>98</v>
      </c>
      <c r="O6547" t="s">
        <v>1345</v>
      </c>
    </row>
    <row r="6548" spans="1:15" x14ac:dyDescent="0.3">
      <c r="A6548" s="130">
        <v>71275</v>
      </c>
      <c r="B6548" s="130">
        <v>30</v>
      </c>
      <c r="C6548" s="130" t="s">
        <v>8172</v>
      </c>
      <c r="D6548">
        <v>692</v>
      </c>
      <c r="E6548" s="130">
        <v>21764807</v>
      </c>
      <c r="F6548" t="s">
        <v>87</v>
      </c>
      <c r="G6548">
        <v>77</v>
      </c>
      <c r="H6548" t="s">
        <v>8951</v>
      </c>
      <c r="I6548" s="130">
        <v>2</v>
      </c>
      <c r="J6548" t="s">
        <v>8172</v>
      </c>
      <c r="K6548" t="s">
        <v>95</v>
      </c>
      <c r="L6548" t="s">
        <v>1255</v>
      </c>
      <c r="M6548" t="s">
        <v>103</v>
      </c>
      <c r="N6548" t="s">
        <v>150</v>
      </c>
      <c r="O6548" t="s">
        <v>1345</v>
      </c>
    </row>
    <row r="6549" spans="1:15" x14ac:dyDescent="0.3">
      <c r="A6549" s="130">
        <v>71278</v>
      </c>
      <c r="B6549" s="130">
        <v>30</v>
      </c>
      <c r="C6549" s="130" t="s">
        <v>8173</v>
      </c>
      <c r="D6549">
        <v>693</v>
      </c>
      <c r="E6549" s="130">
        <v>17155391</v>
      </c>
      <c r="F6549" t="s">
        <v>87</v>
      </c>
      <c r="G6549">
        <v>78</v>
      </c>
      <c r="H6549" t="s">
        <v>8952</v>
      </c>
      <c r="I6549" s="130">
        <v>10</v>
      </c>
      <c r="J6549" t="s">
        <v>8173</v>
      </c>
      <c r="K6549" t="s">
        <v>95</v>
      </c>
      <c r="L6549" t="s">
        <v>127</v>
      </c>
      <c r="M6549" t="s">
        <v>103</v>
      </c>
      <c r="N6549" t="s">
        <v>98</v>
      </c>
      <c r="O6549" t="s">
        <v>1345</v>
      </c>
    </row>
    <row r="6550" spans="1:15" x14ac:dyDescent="0.3">
      <c r="A6550" s="130">
        <v>71282</v>
      </c>
      <c r="B6550" s="130">
        <v>30</v>
      </c>
      <c r="C6550" s="130" t="s">
        <v>8174</v>
      </c>
      <c r="D6550">
        <v>694</v>
      </c>
      <c r="E6550" s="130">
        <v>33000167</v>
      </c>
      <c r="F6550" t="s">
        <v>87</v>
      </c>
      <c r="G6550">
        <v>78</v>
      </c>
      <c r="H6550" t="s">
        <v>8953</v>
      </c>
      <c r="I6550" s="131">
        <v>18</v>
      </c>
      <c r="J6550" t="s">
        <v>8174</v>
      </c>
      <c r="K6550" t="s">
        <v>95</v>
      </c>
      <c r="L6550" t="s">
        <v>102</v>
      </c>
      <c r="M6550" t="s">
        <v>103</v>
      </c>
      <c r="N6550" t="s">
        <v>101</v>
      </c>
      <c r="O6550" t="s">
        <v>116</v>
      </c>
    </row>
    <row r="6551" spans="1:15" x14ac:dyDescent="0.3">
      <c r="A6551" s="130">
        <v>71284</v>
      </c>
      <c r="B6551" s="130">
        <v>18</v>
      </c>
      <c r="C6551" s="130" t="s">
        <v>8175</v>
      </c>
      <c r="D6551">
        <v>695</v>
      </c>
      <c r="E6551" s="130">
        <v>64132277</v>
      </c>
      <c r="F6551" t="s">
        <v>87</v>
      </c>
      <c r="G6551">
        <v>358</v>
      </c>
      <c r="H6551" t="s">
        <v>8951</v>
      </c>
      <c r="I6551" s="131">
        <v>2</v>
      </c>
      <c r="J6551" t="s">
        <v>8175</v>
      </c>
      <c r="K6551" t="s">
        <v>108</v>
      </c>
      <c r="L6551" t="s">
        <v>99</v>
      </c>
      <c r="M6551" t="s">
        <v>112</v>
      </c>
      <c r="N6551" t="s">
        <v>98</v>
      </c>
      <c r="O6551" t="s">
        <v>1345</v>
      </c>
    </row>
    <row r="6552" spans="1:15" x14ac:dyDescent="0.3">
      <c r="A6552" s="130">
        <v>71286</v>
      </c>
      <c r="B6552" s="130">
        <v>20</v>
      </c>
      <c r="C6552" s="130" t="s">
        <v>8176</v>
      </c>
      <c r="D6552">
        <v>696</v>
      </c>
      <c r="E6552" s="130">
        <v>10736565</v>
      </c>
      <c r="F6552" t="s">
        <v>87</v>
      </c>
      <c r="G6552">
        <v>358</v>
      </c>
      <c r="H6552" t="s">
        <v>8952</v>
      </c>
      <c r="I6552" s="130">
        <v>2</v>
      </c>
      <c r="J6552" t="s">
        <v>8176</v>
      </c>
      <c r="K6552" t="s">
        <v>95</v>
      </c>
      <c r="L6552" t="s">
        <v>99</v>
      </c>
      <c r="M6552" t="s">
        <v>148</v>
      </c>
      <c r="N6552" t="s">
        <v>114</v>
      </c>
      <c r="O6552" t="s">
        <v>1345</v>
      </c>
    </row>
    <row r="6553" spans="1:15" x14ac:dyDescent="0.3">
      <c r="A6553" s="130">
        <v>71291</v>
      </c>
      <c r="B6553" s="130">
        <v>18</v>
      </c>
      <c r="C6553" s="130" t="s">
        <v>8177</v>
      </c>
      <c r="D6553">
        <v>697</v>
      </c>
      <c r="E6553" s="130">
        <v>13746352</v>
      </c>
      <c r="F6553" t="s">
        <v>87</v>
      </c>
      <c r="G6553">
        <v>358</v>
      </c>
      <c r="H6553" t="s">
        <v>8953</v>
      </c>
      <c r="I6553" s="131">
        <v>2</v>
      </c>
      <c r="J6553" t="s">
        <v>8177</v>
      </c>
      <c r="K6553" t="s">
        <v>95</v>
      </c>
      <c r="L6553" t="s">
        <v>96</v>
      </c>
      <c r="M6553" t="s">
        <v>112</v>
      </c>
      <c r="N6553" t="s">
        <v>110</v>
      </c>
      <c r="O6553" t="s">
        <v>1345</v>
      </c>
    </row>
    <row r="6554" spans="1:15" x14ac:dyDescent="0.3">
      <c r="A6554" s="130">
        <v>71295</v>
      </c>
      <c r="B6554" s="130">
        <v>30</v>
      </c>
      <c r="C6554" s="130" t="s">
        <v>8178</v>
      </c>
      <c r="D6554">
        <v>698</v>
      </c>
      <c r="E6554" s="130">
        <v>6094474</v>
      </c>
      <c r="F6554" t="s">
        <v>87</v>
      </c>
      <c r="G6554">
        <v>358</v>
      </c>
      <c r="H6554" t="s">
        <v>8951</v>
      </c>
      <c r="I6554" s="130">
        <v>10</v>
      </c>
      <c r="J6554" t="s">
        <v>8178</v>
      </c>
      <c r="K6554" t="s">
        <v>95</v>
      </c>
      <c r="L6554" t="s">
        <v>105</v>
      </c>
      <c r="M6554" t="s">
        <v>103</v>
      </c>
      <c r="N6554" t="s">
        <v>101</v>
      </c>
      <c r="O6554" t="s">
        <v>116</v>
      </c>
    </row>
    <row r="6555" spans="1:15" x14ac:dyDescent="0.3">
      <c r="A6555" s="130">
        <v>71297</v>
      </c>
      <c r="B6555" s="130">
        <v>30</v>
      </c>
      <c r="C6555" s="130" t="s">
        <v>8179</v>
      </c>
      <c r="D6555">
        <v>699</v>
      </c>
      <c r="E6555" s="131">
        <v>17162983</v>
      </c>
      <c r="F6555" t="s">
        <v>87</v>
      </c>
      <c r="G6555">
        <v>358</v>
      </c>
      <c r="H6555" t="s">
        <v>8952</v>
      </c>
      <c r="I6555" s="131">
        <v>2</v>
      </c>
      <c r="J6555" t="s">
        <v>8179</v>
      </c>
      <c r="K6555" t="s">
        <v>108</v>
      </c>
      <c r="L6555" t="s">
        <v>109</v>
      </c>
      <c r="M6555" t="s">
        <v>103</v>
      </c>
      <c r="N6555" t="s">
        <v>98</v>
      </c>
      <c r="O6555" t="s">
        <v>1345</v>
      </c>
    </row>
    <row r="6556" spans="1:15" x14ac:dyDescent="0.3">
      <c r="A6556" s="130">
        <v>71308</v>
      </c>
      <c r="B6556" s="130">
        <v>18</v>
      </c>
      <c r="C6556" s="130" t="s">
        <v>8180</v>
      </c>
      <c r="D6556">
        <v>700</v>
      </c>
      <c r="E6556" s="131">
        <v>13746352</v>
      </c>
      <c r="F6556" t="s">
        <v>87</v>
      </c>
      <c r="G6556">
        <v>358</v>
      </c>
      <c r="H6556" t="s">
        <v>8953</v>
      </c>
      <c r="I6556" s="130">
        <v>2</v>
      </c>
      <c r="J6556" t="s">
        <v>8180</v>
      </c>
      <c r="K6556" t="s">
        <v>108</v>
      </c>
      <c r="L6556" t="s">
        <v>99</v>
      </c>
      <c r="M6556" t="s">
        <v>112</v>
      </c>
      <c r="N6556" t="s">
        <v>110</v>
      </c>
      <c r="O6556" t="s">
        <v>1345</v>
      </c>
    </row>
    <row r="6557" spans="1:15" x14ac:dyDescent="0.3">
      <c r="A6557" s="130">
        <v>71309</v>
      </c>
      <c r="B6557" s="130">
        <v>30</v>
      </c>
      <c r="C6557" s="130" t="s">
        <v>8181</v>
      </c>
      <c r="D6557">
        <v>701</v>
      </c>
      <c r="E6557" s="131">
        <v>33000167</v>
      </c>
      <c r="F6557" t="s">
        <v>87</v>
      </c>
      <c r="G6557">
        <v>78</v>
      </c>
      <c r="H6557" t="s">
        <v>8951</v>
      </c>
      <c r="I6557" s="130">
        <v>24</v>
      </c>
      <c r="J6557" t="s">
        <v>8181</v>
      </c>
      <c r="K6557" t="s">
        <v>95</v>
      </c>
      <c r="L6557" t="s">
        <v>102</v>
      </c>
      <c r="M6557" t="s">
        <v>103</v>
      </c>
      <c r="N6557" t="s">
        <v>101</v>
      </c>
      <c r="O6557" t="s">
        <v>1345</v>
      </c>
    </row>
    <row r="6558" spans="1:15" x14ac:dyDescent="0.3">
      <c r="A6558" s="130">
        <v>71310</v>
      </c>
      <c r="B6558" s="130">
        <v>30</v>
      </c>
      <c r="C6558" s="130" t="s">
        <v>8182</v>
      </c>
      <c r="D6558">
        <v>702</v>
      </c>
      <c r="E6558" s="130">
        <v>33000167</v>
      </c>
      <c r="F6558" t="s">
        <v>87</v>
      </c>
      <c r="G6558">
        <v>78</v>
      </c>
      <c r="H6558" t="s">
        <v>8952</v>
      </c>
      <c r="I6558" s="131">
        <v>24</v>
      </c>
      <c r="J6558" t="s">
        <v>8182</v>
      </c>
      <c r="K6558" t="s">
        <v>95</v>
      </c>
      <c r="L6558" t="s">
        <v>102</v>
      </c>
      <c r="M6558" t="s">
        <v>103</v>
      </c>
      <c r="N6558" t="s">
        <v>101</v>
      </c>
      <c r="O6558" t="s">
        <v>1345</v>
      </c>
    </row>
    <row r="6559" spans="1:15" x14ac:dyDescent="0.3">
      <c r="A6559" s="130">
        <v>71315</v>
      </c>
      <c r="B6559" s="130">
        <v>18</v>
      </c>
      <c r="C6559" s="130" t="s">
        <v>8183</v>
      </c>
      <c r="D6559">
        <v>703</v>
      </c>
      <c r="E6559" s="130">
        <v>11616556</v>
      </c>
      <c r="F6559" t="s">
        <v>87</v>
      </c>
      <c r="G6559">
        <v>78</v>
      </c>
      <c r="H6559" t="s">
        <v>8953</v>
      </c>
      <c r="I6559" s="130">
        <v>18</v>
      </c>
      <c r="J6559" t="s">
        <v>8183</v>
      </c>
      <c r="K6559" t="s">
        <v>95</v>
      </c>
      <c r="L6559" t="s">
        <v>123</v>
      </c>
      <c r="M6559" t="s">
        <v>112</v>
      </c>
      <c r="N6559" t="s">
        <v>114</v>
      </c>
      <c r="O6559" t="s">
        <v>1345</v>
      </c>
    </row>
    <row r="6560" spans="1:15" x14ac:dyDescent="0.3">
      <c r="A6560" s="130">
        <v>71316</v>
      </c>
      <c r="B6560" s="130">
        <v>30</v>
      </c>
      <c r="C6560" s="130" t="s">
        <v>8184</v>
      </c>
      <c r="D6560">
        <v>704</v>
      </c>
      <c r="E6560" s="130">
        <v>2250663</v>
      </c>
      <c r="F6560" t="s">
        <v>87</v>
      </c>
      <c r="G6560">
        <v>78</v>
      </c>
      <c r="H6560" t="s">
        <v>8951</v>
      </c>
      <c r="I6560" s="130">
        <v>10</v>
      </c>
      <c r="J6560" t="s">
        <v>8184</v>
      </c>
      <c r="K6560" t="s">
        <v>95</v>
      </c>
      <c r="L6560" t="s">
        <v>127</v>
      </c>
      <c r="M6560" t="s">
        <v>103</v>
      </c>
      <c r="N6560" t="s">
        <v>98</v>
      </c>
      <c r="O6560" t="s">
        <v>1345</v>
      </c>
    </row>
    <row r="6561" spans="1:15" x14ac:dyDescent="0.3">
      <c r="A6561" s="130">
        <v>71319</v>
      </c>
      <c r="B6561" s="130">
        <v>18</v>
      </c>
      <c r="C6561" s="130" t="s">
        <v>8185</v>
      </c>
      <c r="D6561">
        <v>705</v>
      </c>
      <c r="E6561" s="130">
        <v>44574374</v>
      </c>
      <c r="F6561" t="s">
        <v>87</v>
      </c>
      <c r="G6561">
        <v>78</v>
      </c>
      <c r="H6561" t="s">
        <v>8952</v>
      </c>
      <c r="I6561" s="130">
        <v>24</v>
      </c>
      <c r="J6561" t="s">
        <v>8185</v>
      </c>
      <c r="K6561" t="s">
        <v>95</v>
      </c>
      <c r="L6561" t="s">
        <v>138</v>
      </c>
      <c r="M6561" t="s">
        <v>112</v>
      </c>
      <c r="N6561" t="s">
        <v>141</v>
      </c>
      <c r="O6561" t="s">
        <v>116</v>
      </c>
    </row>
    <row r="6562" spans="1:15" x14ac:dyDescent="0.3">
      <c r="A6562" s="130">
        <v>71324</v>
      </c>
      <c r="B6562" s="130">
        <v>18</v>
      </c>
      <c r="C6562" s="130" t="s">
        <v>8186</v>
      </c>
      <c r="D6562">
        <v>706</v>
      </c>
      <c r="E6562" s="130">
        <v>7984054</v>
      </c>
      <c r="F6562" t="s">
        <v>87</v>
      </c>
      <c r="G6562">
        <v>358</v>
      </c>
      <c r="H6562" t="s">
        <v>8953</v>
      </c>
      <c r="I6562" s="130">
        <v>2</v>
      </c>
      <c r="J6562" t="s">
        <v>8186</v>
      </c>
      <c r="K6562" t="s">
        <v>108</v>
      </c>
      <c r="L6562" t="s">
        <v>99</v>
      </c>
      <c r="M6562" t="s">
        <v>112</v>
      </c>
      <c r="N6562" t="s">
        <v>114</v>
      </c>
      <c r="O6562" t="s">
        <v>1345</v>
      </c>
    </row>
    <row r="6563" spans="1:15" x14ac:dyDescent="0.3">
      <c r="A6563" s="130">
        <v>71328</v>
      </c>
      <c r="B6563" s="130">
        <v>30</v>
      </c>
      <c r="C6563" s="130" t="s">
        <v>8187</v>
      </c>
      <c r="D6563">
        <v>707</v>
      </c>
      <c r="E6563" s="130">
        <v>8343492</v>
      </c>
      <c r="F6563" t="s">
        <v>87</v>
      </c>
      <c r="G6563">
        <v>77</v>
      </c>
      <c r="H6563" t="s">
        <v>8951</v>
      </c>
      <c r="I6563" s="131">
        <v>18</v>
      </c>
      <c r="J6563" t="s">
        <v>8187</v>
      </c>
      <c r="K6563" t="s">
        <v>95</v>
      </c>
      <c r="L6563" t="s">
        <v>1255</v>
      </c>
      <c r="M6563" t="s">
        <v>103</v>
      </c>
      <c r="N6563" t="s">
        <v>98</v>
      </c>
      <c r="O6563" t="s">
        <v>1345</v>
      </c>
    </row>
    <row r="6564" spans="1:15" x14ac:dyDescent="0.3">
      <c r="A6564" s="130">
        <v>71331</v>
      </c>
      <c r="B6564" s="130">
        <v>30</v>
      </c>
      <c r="C6564" s="130" t="s">
        <v>8188</v>
      </c>
      <c r="D6564">
        <v>708</v>
      </c>
      <c r="E6564" s="130">
        <v>3426130</v>
      </c>
      <c r="F6564" t="s">
        <v>87</v>
      </c>
      <c r="G6564">
        <v>78</v>
      </c>
      <c r="H6564" t="s">
        <v>8952</v>
      </c>
      <c r="I6564" s="130">
        <v>19</v>
      </c>
      <c r="J6564" t="s">
        <v>8188</v>
      </c>
      <c r="K6564" t="s">
        <v>108</v>
      </c>
      <c r="L6564" t="s">
        <v>146</v>
      </c>
      <c r="M6564" t="s">
        <v>103</v>
      </c>
      <c r="N6564" t="s">
        <v>98</v>
      </c>
      <c r="O6564" t="s">
        <v>116</v>
      </c>
    </row>
    <row r="6565" spans="1:15" x14ac:dyDescent="0.3">
      <c r="A6565" s="130">
        <v>71336</v>
      </c>
      <c r="B6565" s="130">
        <v>30</v>
      </c>
      <c r="C6565" s="130" t="s">
        <v>8189</v>
      </c>
      <c r="D6565">
        <v>709</v>
      </c>
      <c r="E6565" s="130">
        <v>33000167</v>
      </c>
      <c r="F6565" t="s">
        <v>87</v>
      </c>
      <c r="G6565">
        <v>78</v>
      </c>
      <c r="H6565" t="s">
        <v>8953</v>
      </c>
      <c r="I6565" s="130">
        <v>18</v>
      </c>
      <c r="J6565" t="s">
        <v>8189</v>
      </c>
      <c r="K6565" t="s">
        <v>95</v>
      </c>
      <c r="L6565" t="s">
        <v>102</v>
      </c>
      <c r="M6565" t="s">
        <v>103</v>
      </c>
      <c r="N6565" t="s">
        <v>101</v>
      </c>
      <c r="O6565" t="s">
        <v>116</v>
      </c>
    </row>
    <row r="6566" spans="1:15" x14ac:dyDescent="0.3">
      <c r="A6566" s="130">
        <v>71337</v>
      </c>
      <c r="B6566" s="130">
        <v>18</v>
      </c>
      <c r="C6566" s="130" t="s">
        <v>8190</v>
      </c>
      <c r="D6566">
        <v>710</v>
      </c>
      <c r="E6566" s="130">
        <v>67669424</v>
      </c>
      <c r="F6566" t="s">
        <v>87</v>
      </c>
      <c r="G6566">
        <v>78</v>
      </c>
      <c r="H6566" t="s">
        <v>8951</v>
      </c>
      <c r="I6566" s="130">
        <v>26</v>
      </c>
      <c r="J6566" t="s">
        <v>8190</v>
      </c>
      <c r="K6566" t="s">
        <v>108</v>
      </c>
      <c r="L6566" t="s">
        <v>123</v>
      </c>
      <c r="M6566" t="s">
        <v>112</v>
      </c>
      <c r="N6566" t="s">
        <v>101</v>
      </c>
      <c r="O6566" t="s">
        <v>1345</v>
      </c>
    </row>
    <row r="6567" spans="1:15" x14ac:dyDescent="0.3">
      <c r="A6567" s="130">
        <v>71338</v>
      </c>
      <c r="B6567" s="130">
        <v>18</v>
      </c>
      <c r="C6567" s="130" t="s">
        <v>8191</v>
      </c>
      <c r="D6567">
        <v>711</v>
      </c>
      <c r="E6567" s="130">
        <v>35907482</v>
      </c>
      <c r="F6567" t="s">
        <v>87</v>
      </c>
      <c r="G6567">
        <v>78</v>
      </c>
      <c r="H6567" t="s">
        <v>8952</v>
      </c>
      <c r="I6567" s="131">
        <v>10</v>
      </c>
      <c r="J6567" t="s">
        <v>8191</v>
      </c>
      <c r="K6567" t="s">
        <v>108</v>
      </c>
      <c r="L6567" t="s">
        <v>127</v>
      </c>
      <c r="M6567" t="s">
        <v>112</v>
      </c>
      <c r="N6567" t="s">
        <v>98</v>
      </c>
      <c r="O6567" t="s">
        <v>116</v>
      </c>
    </row>
    <row r="6568" spans="1:15" x14ac:dyDescent="0.3">
      <c r="A6568" s="130">
        <v>71340</v>
      </c>
      <c r="B6568" s="130">
        <v>18</v>
      </c>
      <c r="C6568" s="130" t="s">
        <v>8192</v>
      </c>
      <c r="D6568">
        <v>712</v>
      </c>
      <c r="E6568" s="130">
        <v>5025210</v>
      </c>
      <c r="F6568" t="s">
        <v>87</v>
      </c>
      <c r="G6568">
        <v>78</v>
      </c>
      <c r="H6568" t="s">
        <v>8953</v>
      </c>
      <c r="I6568" s="130">
        <v>10</v>
      </c>
      <c r="J6568" t="s">
        <v>8192</v>
      </c>
      <c r="K6568" t="s">
        <v>108</v>
      </c>
      <c r="L6568" t="s">
        <v>127</v>
      </c>
      <c r="M6568" t="s">
        <v>112</v>
      </c>
      <c r="N6568" t="s">
        <v>101</v>
      </c>
      <c r="O6568" t="s">
        <v>1345</v>
      </c>
    </row>
    <row r="6569" spans="1:15" x14ac:dyDescent="0.3">
      <c r="A6569" s="130">
        <v>71341</v>
      </c>
      <c r="B6569" s="130">
        <v>18</v>
      </c>
      <c r="C6569" s="130" t="s">
        <v>8193</v>
      </c>
      <c r="D6569">
        <v>713</v>
      </c>
      <c r="E6569" s="130">
        <v>3887613</v>
      </c>
      <c r="F6569" t="s">
        <v>87</v>
      </c>
      <c r="G6569">
        <v>78</v>
      </c>
      <c r="H6569" t="s">
        <v>8951</v>
      </c>
      <c r="I6569" s="130">
        <v>10</v>
      </c>
      <c r="J6569" t="s">
        <v>8193</v>
      </c>
      <c r="K6569" t="s">
        <v>108</v>
      </c>
      <c r="L6569" t="s">
        <v>127</v>
      </c>
      <c r="M6569" t="s">
        <v>112</v>
      </c>
      <c r="N6569" t="s">
        <v>98</v>
      </c>
      <c r="O6569" t="s">
        <v>116</v>
      </c>
    </row>
    <row r="6570" spans="1:15" x14ac:dyDescent="0.3">
      <c r="A6570" s="130">
        <v>71344</v>
      </c>
      <c r="B6570" s="130">
        <v>18</v>
      </c>
      <c r="C6570" s="130" t="s">
        <v>8194</v>
      </c>
      <c r="D6570">
        <v>714</v>
      </c>
      <c r="E6570" s="130">
        <v>15063096</v>
      </c>
      <c r="F6570" t="s">
        <v>87</v>
      </c>
      <c r="G6570">
        <v>358</v>
      </c>
      <c r="H6570" t="s">
        <v>8952</v>
      </c>
      <c r="I6570" s="130">
        <v>10</v>
      </c>
      <c r="J6570" t="s">
        <v>8194</v>
      </c>
      <c r="K6570" t="s">
        <v>108</v>
      </c>
      <c r="L6570" t="s">
        <v>105</v>
      </c>
      <c r="M6570" t="s">
        <v>112</v>
      </c>
      <c r="N6570" t="s">
        <v>114</v>
      </c>
      <c r="O6570" t="s">
        <v>1345</v>
      </c>
    </row>
    <row r="6571" spans="1:15" x14ac:dyDescent="0.3">
      <c r="A6571" s="130">
        <v>71345</v>
      </c>
      <c r="B6571" s="130">
        <v>18</v>
      </c>
      <c r="C6571" s="130" t="s">
        <v>8195</v>
      </c>
      <c r="D6571">
        <v>715</v>
      </c>
      <c r="E6571" s="130">
        <v>15063096</v>
      </c>
      <c r="F6571" t="s">
        <v>87</v>
      </c>
      <c r="G6571">
        <v>358</v>
      </c>
      <c r="H6571" t="s">
        <v>8953</v>
      </c>
      <c r="I6571" s="130">
        <v>10</v>
      </c>
      <c r="J6571" t="s">
        <v>8195</v>
      </c>
      <c r="K6571" t="s">
        <v>95</v>
      </c>
      <c r="L6571" t="s">
        <v>105</v>
      </c>
      <c r="M6571" t="s">
        <v>112</v>
      </c>
      <c r="N6571" t="s">
        <v>114</v>
      </c>
      <c r="O6571" t="s">
        <v>1345</v>
      </c>
    </row>
    <row r="6572" spans="1:15" x14ac:dyDescent="0.3">
      <c r="A6572" s="130">
        <v>71361</v>
      </c>
      <c r="B6572" s="130">
        <v>30</v>
      </c>
      <c r="C6572" s="130" t="s">
        <v>8196</v>
      </c>
      <c r="D6572">
        <v>716</v>
      </c>
      <c r="E6572" s="131">
        <v>17185786</v>
      </c>
      <c r="F6572" t="s">
        <v>87</v>
      </c>
      <c r="G6572">
        <v>358</v>
      </c>
      <c r="H6572" t="s">
        <v>8951</v>
      </c>
      <c r="I6572" s="130">
        <v>10</v>
      </c>
      <c r="J6572" t="s">
        <v>8196</v>
      </c>
      <c r="K6572" t="s">
        <v>95</v>
      </c>
      <c r="L6572" t="s">
        <v>105</v>
      </c>
      <c r="M6572" t="s">
        <v>103</v>
      </c>
      <c r="N6572" t="s">
        <v>98</v>
      </c>
      <c r="O6572" t="s">
        <v>1345</v>
      </c>
    </row>
    <row r="6573" spans="1:15" x14ac:dyDescent="0.3">
      <c r="A6573" s="130">
        <v>71365</v>
      </c>
      <c r="B6573" s="130">
        <v>60</v>
      </c>
      <c r="C6573" s="130" t="s">
        <v>8197</v>
      </c>
      <c r="D6573">
        <v>717</v>
      </c>
      <c r="E6573" s="130">
        <v>33592510</v>
      </c>
      <c r="F6573" t="s">
        <v>87</v>
      </c>
      <c r="G6573">
        <v>77</v>
      </c>
      <c r="H6573" t="s">
        <v>8952</v>
      </c>
      <c r="I6573" s="130">
        <v>2</v>
      </c>
      <c r="J6573" t="s">
        <v>8197</v>
      </c>
      <c r="K6573" t="s">
        <v>95</v>
      </c>
      <c r="L6573" t="s">
        <v>1255</v>
      </c>
      <c r="M6573" t="s">
        <v>97</v>
      </c>
      <c r="N6573" t="s">
        <v>118</v>
      </c>
      <c r="O6573" t="s">
        <v>1345</v>
      </c>
    </row>
    <row r="6574" spans="1:15" x14ac:dyDescent="0.3">
      <c r="A6574" s="130">
        <v>71366</v>
      </c>
      <c r="B6574" s="130">
        <v>18</v>
      </c>
      <c r="C6574" s="130" t="s">
        <v>8198</v>
      </c>
      <c r="D6574">
        <v>718</v>
      </c>
      <c r="E6574" s="130">
        <v>34867599</v>
      </c>
      <c r="F6574" t="s">
        <v>87</v>
      </c>
      <c r="G6574">
        <v>78</v>
      </c>
      <c r="H6574" t="s">
        <v>8953</v>
      </c>
      <c r="I6574" s="130">
        <v>24</v>
      </c>
      <c r="J6574" t="s">
        <v>8198</v>
      </c>
      <c r="K6574" t="s">
        <v>108</v>
      </c>
      <c r="L6574" t="s">
        <v>1346</v>
      </c>
      <c r="M6574" t="s">
        <v>112</v>
      </c>
      <c r="N6574" t="s">
        <v>152</v>
      </c>
      <c r="O6574" t="s">
        <v>1345</v>
      </c>
    </row>
    <row r="6575" spans="1:15" x14ac:dyDescent="0.3">
      <c r="A6575" s="130">
        <v>71374</v>
      </c>
      <c r="B6575" s="130">
        <v>18</v>
      </c>
      <c r="C6575" s="130" t="s">
        <v>8199</v>
      </c>
      <c r="D6575">
        <v>719</v>
      </c>
      <c r="E6575" s="130">
        <v>30957942</v>
      </c>
      <c r="F6575" t="s">
        <v>87</v>
      </c>
      <c r="G6575">
        <v>78</v>
      </c>
      <c r="H6575" t="s">
        <v>8951</v>
      </c>
      <c r="I6575" s="130">
        <v>9</v>
      </c>
      <c r="J6575" t="s">
        <v>8199</v>
      </c>
      <c r="K6575" t="s">
        <v>108</v>
      </c>
      <c r="L6575" t="s">
        <v>125</v>
      </c>
      <c r="M6575" t="s">
        <v>112</v>
      </c>
      <c r="N6575" t="s">
        <v>98</v>
      </c>
      <c r="O6575" t="s">
        <v>116</v>
      </c>
    </row>
    <row r="6576" spans="1:15" x14ac:dyDescent="0.3">
      <c r="A6576" s="130">
        <v>71375</v>
      </c>
      <c r="B6576" s="130">
        <v>18</v>
      </c>
      <c r="C6576" s="130" t="s">
        <v>8200</v>
      </c>
      <c r="D6576">
        <v>720</v>
      </c>
      <c r="E6576" s="130">
        <v>2265872</v>
      </c>
      <c r="F6576" t="s">
        <v>87</v>
      </c>
      <c r="G6576">
        <v>358</v>
      </c>
      <c r="H6576" t="s">
        <v>8952</v>
      </c>
      <c r="I6576" s="130">
        <v>2</v>
      </c>
      <c r="J6576" t="s">
        <v>8200</v>
      </c>
      <c r="K6576" t="s">
        <v>95</v>
      </c>
      <c r="L6576" t="s">
        <v>99</v>
      </c>
      <c r="M6576" t="s">
        <v>112</v>
      </c>
      <c r="N6576" t="s">
        <v>98</v>
      </c>
      <c r="O6576" t="s">
        <v>1345</v>
      </c>
    </row>
    <row r="6577" spans="1:15" x14ac:dyDescent="0.3">
      <c r="A6577" s="130">
        <v>71376</v>
      </c>
      <c r="B6577" s="130">
        <v>60</v>
      </c>
      <c r="C6577" s="130" t="s">
        <v>8201</v>
      </c>
      <c r="D6577">
        <v>721</v>
      </c>
      <c r="E6577" s="130">
        <v>3176142</v>
      </c>
      <c r="F6577" t="s">
        <v>87</v>
      </c>
      <c r="G6577">
        <v>78</v>
      </c>
      <c r="H6577" t="s">
        <v>8953</v>
      </c>
      <c r="I6577" s="130">
        <v>9</v>
      </c>
      <c r="J6577" t="s">
        <v>8201</v>
      </c>
      <c r="K6577" t="s">
        <v>108</v>
      </c>
      <c r="L6577" t="s">
        <v>125</v>
      </c>
      <c r="M6577" t="s">
        <v>97</v>
      </c>
      <c r="N6577" t="s">
        <v>98</v>
      </c>
      <c r="O6577" t="s">
        <v>1345</v>
      </c>
    </row>
    <row r="6578" spans="1:15" x14ac:dyDescent="0.3">
      <c r="A6578" s="130">
        <v>71381</v>
      </c>
      <c r="B6578" s="130">
        <v>30</v>
      </c>
      <c r="C6578" s="130" t="s">
        <v>8202</v>
      </c>
      <c r="D6578">
        <v>722</v>
      </c>
      <c r="E6578" s="130">
        <v>18715383</v>
      </c>
      <c r="F6578" t="s">
        <v>87</v>
      </c>
      <c r="G6578">
        <v>77</v>
      </c>
      <c r="H6578" t="s">
        <v>8951</v>
      </c>
      <c r="I6578" s="131">
        <v>2</v>
      </c>
      <c r="J6578" t="s">
        <v>8202</v>
      </c>
      <c r="K6578" t="s">
        <v>95</v>
      </c>
      <c r="L6578" t="s">
        <v>256</v>
      </c>
      <c r="M6578" t="s">
        <v>103</v>
      </c>
      <c r="N6578" t="s">
        <v>131</v>
      </c>
      <c r="O6578" t="s">
        <v>116</v>
      </c>
    </row>
    <row r="6579" spans="1:15" x14ac:dyDescent="0.3">
      <c r="A6579" s="130">
        <v>71385</v>
      </c>
      <c r="B6579" s="130">
        <v>30</v>
      </c>
      <c r="C6579" s="130" t="s">
        <v>8203</v>
      </c>
      <c r="D6579">
        <v>723</v>
      </c>
      <c r="E6579" s="130">
        <v>33000167</v>
      </c>
      <c r="F6579" t="s">
        <v>87</v>
      </c>
      <c r="G6579">
        <v>78</v>
      </c>
      <c r="H6579" t="s">
        <v>8952</v>
      </c>
      <c r="I6579" s="130">
        <v>24</v>
      </c>
      <c r="J6579" t="s">
        <v>8203</v>
      </c>
      <c r="K6579" t="s">
        <v>95</v>
      </c>
      <c r="L6579" t="s">
        <v>102</v>
      </c>
      <c r="M6579" t="s">
        <v>103</v>
      </c>
      <c r="N6579" t="s">
        <v>101</v>
      </c>
      <c r="O6579" t="s">
        <v>116</v>
      </c>
    </row>
    <row r="6580" spans="1:15" x14ac:dyDescent="0.3">
      <c r="A6580" s="130">
        <v>71386</v>
      </c>
      <c r="B6580" s="130">
        <v>30</v>
      </c>
      <c r="C6580" s="130" t="s">
        <v>8204</v>
      </c>
      <c r="D6580">
        <v>724</v>
      </c>
      <c r="E6580" s="131">
        <v>33000167</v>
      </c>
      <c r="F6580" t="s">
        <v>87</v>
      </c>
      <c r="G6580">
        <v>78</v>
      </c>
      <c r="H6580" t="s">
        <v>8953</v>
      </c>
      <c r="I6580" s="130">
        <v>24</v>
      </c>
      <c r="J6580" t="s">
        <v>8204</v>
      </c>
      <c r="K6580" t="s">
        <v>95</v>
      </c>
      <c r="L6580" t="s">
        <v>102</v>
      </c>
      <c r="M6580" t="s">
        <v>103</v>
      </c>
      <c r="N6580" t="s">
        <v>101</v>
      </c>
      <c r="O6580" t="s">
        <v>116</v>
      </c>
    </row>
    <row r="6581" spans="1:15" x14ac:dyDescent="0.3">
      <c r="A6581" s="130">
        <v>71387</v>
      </c>
      <c r="B6581" s="130">
        <v>30</v>
      </c>
      <c r="C6581" s="130" t="s">
        <v>8205</v>
      </c>
      <c r="D6581">
        <v>725</v>
      </c>
      <c r="E6581" s="130">
        <v>33000167</v>
      </c>
      <c r="F6581" t="s">
        <v>87</v>
      </c>
      <c r="G6581">
        <v>78</v>
      </c>
      <c r="H6581" t="s">
        <v>8951</v>
      </c>
      <c r="I6581" s="130">
        <v>24</v>
      </c>
      <c r="J6581" t="s">
        <v>8205</v>
      </c>
      <c r="K6581" t="s">
        <v>95</v>
      </c>
      <c r="L6581" t="s">
        <v>102</v>
      </c>
      <c r="M6581" t="s">
        <v>103</v>
      </c>
      <c r="N6581" t="s">
        <v>101</v>
      </c>
      <c r="O6581" t="s">
        <v>1345</v>
      </c>
    </row>
    <row r="6582" spans="1:15" x14ac:dyDescent="0.3">
      <c r="A6582" s="130">
        <v>71394</v>
      </c>
      <c r="B6582" s="130">
        <v>60</v>
      </c>
      <c r="C6582" s="130" t="s">
        <v>8206</v>
      </c>
      <c r="D6582">
        <v>726</v>
      </c>
      <c r="E6582" s="130">
        <v>17185786</v>
      </c>
      <c r="F6582" t="s">
        <v>87</v>
      </c>
      <c r="G6582">
        <v>78</v>
      </c>
      <c r="H6582" t="s">
        <v>8952</v>
      </c>
      <c r="I6582" s="130">
        <v>10</v>
      </c>
      <c r="J6582" t="s">
        <v>8206</v>
      </c>
      <c r="K6582" t="s">
        <v>95</v>
      </c>
      <c r="L6582" t="s">
        <v>105</v>
      </c>
      <c r="M6582" t="s">
        <v>97</v>
      </c>
      <c r="N6582" t="s">
        <v>98</v>
      </c>
      <c r="O6582" t="s">
        <v>1345</v>
      </c>
    </row>
    <row r="6583" spans="1:15" x14ac:dyDescent="0.3">
      <c r="A6583" s="130">
        <v>71418</v>
      </c>
      <c r="B6583" s="130">
        <v>30</v>
      </c>
      <c r="C6583" s="130" t="s">
        <v>8207</v>
      </c>
      <c r="D6583">
        <v>727</v>
      </c>
      <c r="E6583" s="130">
        <v>19330112</v>
      </c>
      <c r="F6583" t="s">
        <v>87</v>
      </c>
      <c r="G6583">
        <v>77</v>
      </c>
      <c r="H6583" t="s">
        <v>8953</v>
      </c>
      <c r="I6583" s="130">
        <v>2</v>
      </c>
      <c r="J6583" t="s">
        <v>8207</v>
      </c>
      <c r="K6583" t="s">
        <v>95</v>
      </c>
      <c r="L6583" t="s">
        <v>1255</v>
      </c>
      <c r="M6583" t="s">
        <v>103</v>
      </c>
      <c r="N6583" t="s">
        <v>150</v>
      </c>
      <c r="O6583" t="s">
        <v>1345</v>
      </c>
    </row>
    <row r="6584" spans="1:15" x14ac:dyDescent="0.3">
      <c r="A6584" s="130">
        <v>71430</v>
      </c>
      <c r="B6584" s="130">
        <v>18</v>
      </c>
      <c r="C6584" s="130" t="s">
        <v>8208</v>
      </c>
      <c r="D6584">
        <v>728</v>
      </c>
      <c r="E6584" s="131">
        <v>33591466</v>
      </c>
      <c r="F6584" t="s">
        <v>87</v>
      </c>
      <c r="G6584">
        <v>78</v>
      </c>
      <c r="H6584" t="s">
        <v>8951</v>
      </c>
      <c r="I6584" s="131">
        <v>24</v>
      </c>
      <c r="J6584" t="s">
        <v>8208</v>
      </c>
      <c r="K6584" t="s">
        <v>95</v>
      </c>
      <c r="L6584" t="s">
        <v>138</v>
      </c>
      <c r="M6584" t="s">
        <v>112</v>
      </c>
      <c r="N6584" t="s">
        <v>101</v>
      </c>
      <c r="O6584" t="s">
        <v>1345</v>
      </c>
    </row>
    <row r="6585" spans="1:15" x14ac:dyDescent="0.3">
      <c r="A6585" s="130">
        <v>71431</v>
      </c>
      <c r="B6585" s="130">
        <v>30</v>
      </c>
      <c r="C6585" s="130" t="s">
        <v>8209</v>
      </c>
      <c r="D6585">
        <v>729</v>
      </c>
      <c r="E6585" s="130">
        <v>31260473</v>
      </c>
      <c r="F6585" t="s">
        <v>87</v>
      </c>
      <c r="G6585">
        <v>78</v>
      </c>
      <c r="H6585" t="s">
        <v>8952</v>
      </c>
      <c r="I6585" s="130">
        <v>18</v>
      </c>
      <c r="J6585" t="s">
        <v>8209</v>
      </c>
      <c r="K6585" t="s">
        <v>95</v>
      </c>
      <c r="L6585" t="s">
        <v>123</v>
      </c>
      <c r="M6585" t="s">
        <v>103</v>
      </c>
      <c r="N6585" t="s">
        <v>150</v>
      </c>
      <c r="O6585" t="s">
        <v>1345</v>
      </c>
    </row>
    <row r="6586" spans="1:15" x14ac:dyDescent="0.3">
      <c r="A6586" s="130">
        <v>71433</v>
      </c>
      <c r="B6586" s="130">
        <v>30</v>
      </c>
      <c r="C6586" s="130" t="s">
        <v>8210</v>
      </c>
      <c r="D6586">
        <v>730</v>
      </c>
      <c r="E6586" s="131">
        <v>33000167</v>
      </c>
      <c r="F6586" t="s">
        <v>87</v>
      </c>
      <c r="G6586">
        <v>78</v>
      </c>
      <c r="H6586" t="s">
        <v>8953</v>
      </c>
      <c r="I6586" s="131">
        <v>18</v>
      </c>
      <c r="J6586" t="s">
        <v>8210</v>
      </c>
      <c r="K6586" t="s">
        <v>95</v>
      </c>
      <c r="L6586" t="s">
        <v>102</v>
      </c>
      <c r="M6586" t="s">
        <v>103</v>
      </c>
      <c r="N6586" t="s">
        <v>101</v>
      </c>
      <c r="O6586" t="s">
        <v>1345</v>
      </c>
    </row>
    <row r="6587" spans="1:15" x14ac:dyDescent="0.3">
      <c r="A6587" s="130">
        <v>71445</v>
      </c>
      <c r="B6587" s="130">
        <v>18</v>
      </c>
      <c r="C6587" s="130" t="s">
        <v>8211</v>
      </c>
      <c r="D6587">
        <v>731</v>
      </c>
      <c r="E6587" s="131">
        <v>5823631</v>
      </c>
      <c r="F6587" t="s">
        <v>87</v>
      </c>
      <c r="G6587">
        <v>78</v>
      </c>
      <c r="H6587" t="s">
        <v>8951</v>
      </c>
      <c r="I6587" s="130">
        <v>19</v>
      </c>
      <c r="J6587" t="s">
        <v>8211</v>
      </c>
      <c r="K6587" t="s">
        <v>108</v>
      </c>
      <c r="L6587" t="s">
        <v>146</v>
      </c>
      <c r="M6587" t="s">
        <v>112</v>
      </c>
      <c r="N6587" t="s">
        <v>101</v>
      </c>
      <c r="O6587" t="s">
        <v>1345</v>
      </c>
    </row>
    <row r="6588" spans="1:15" x14ac:dyDescent="0.3">
      <c r="A6588" s="130">
        <v>71469</v>
      </c>
      <c r="B6588" s="130">
        <v>18</v>
      </c>
      <c r="C6588" s="130" t="s">
        <v>8212</v>
      </c>
      <c r="D6588">
        <v>732</v>
      </c>
      <c r="E6588" s="130">
        <v>20176160</v>
      </c>
      <c r="F6588" t="s">
        <v>87</v>
      </c>
      <c r="G6588">
        <v>358</v>
      </c>
      <c r="H6588" t="s">
        <v>8952</v>
      </c>
      <c r="I6588" s="130">
        <v>2</v>
      </c>
      <c r="J6588" t="s">
        <v>8212</v>
      </c>
      <c r="K6588" t="s">
        <v>108</v>
      </c>
      <c r="L6588" t="s">
        <v>99</v>
      </c>
      <c r="M6588" t="s">
        <v>112</v>
      </c>
      <c r="N6588" t="s">
        <v>114</v>
      </c>
      <c r="O6588" t="s">
        <v>1345</v>
      </c>
    </row>
    <row r="6589" spans="1:15" x14ac:dyDescent="0.3">
      <c r="A6589" s="130">
        <v>71477</v>
      </c>
      <c r="B6589" s="130">
        <v>18</v>
      </c>
      <c r="C6589" s="130" t="s">
        <v>8213</v>
      </c>
      <c r="D6589">
        <v>733</v>
      </c>
      <c r="E6589" s="130">
        <v>29473493</v>
      </c>
      <c r="F6589" t="s">
        <v>87</v>
      </c>
      <c r="G6589">
        <v>78</v>
      </c>
      <c r="H6589" t="s">
        <v>8953</v>
      </c>
      <c r="I6589" s="131">
        <v>26</v>
      </c>
      <c r="J6589" t="s">
        <v>8213</v>
      </c>
      <c r="K6589" t="s">
        <v>108</v>
      </c>
      <c r="L6589" t="s">
        <v>151</v>
      </c>
      <c r="M6589" t="s">
        <v>112</v>
      </c>
      <c r="N6589" t="s">
        <v>98</v>
      </c>
      <c r="O6589" t="s">
        <v>1345</v>
      </c>
    </row>
    <row r="6590" spans="1:15" x14ac:dyDescent="0.3">
      <c r="A6590" s="130">
        <v>71480</v>
      </c>
      <c r="B6590" s="130">
        <v>18</v>
      </c>
      <c r="C6590" s="130" t="s">
        <v>8214</v>
      </c>
      <c r="D6590">
        <v>734</v>
      </c>
      <c r="E6590" s="130">
        <v>20177671</v>
      </c>
      <c r="F6590" t="s">
        <v>87</v>
      </c>
      <c r="G6590">
        <v>78</v>
      </c>
      <c r="H6590" t="s">
        <v>8951</v>
      </c>
      <c r="I6590" s="131">
        <v>10</v>
      </c>
      <c r="J6590" t="s">
        <v>8214</v>
      </c>
      <c r="K6590" t="s">
        <v>95</v>
      </c>
      <c r="L6590" t="s">
        <v>127</v>
      </c>
      <c r="M6590" t="s">
        <v>112</v>
      </c>
      <c r="N6590" t="s">
        <v>98</v>
      </c>
      <c r="O6590" t="s">
        <v>1345</v>
      </c>
    </row>
    <row r="6591" spans="1:15" x14ac:dyDescent="0.3">
      <c r="A6591" s="130">
        <v>71484</v>
      </c>
      <c r="B6591" s="130">
        <v>18</v>
      </c>
      <c r="C6591" s="130" t="s">
        <v>8215</v>
      </c>
      <c r="D6591">
        <v>735</v>
      </c>
      <c r="E6591" s="130">
        <v>72030927</v>
      </c>
      <c r="F6591" t="s">
        <v>87</v>
      </c>
      <c r="G6591">
        <v>78</v>
      </c>
      <c r="H6591" t="s">
        <v>8952</v>
      </c>
      <c r="I6591" s="130">
        <v>18</v>
      </c>
      <c r="J6591" t="s">
        <v>8215</v>
      </c>
      <c r="K6591" t="s">
        <v>95</v>
      </c>
      <c r="L6591" t="s">
        <v>123</v>
      </c>
      <c r="M6591" t="s">
        <v>112</v>
      </c>
      <c r="N6591" t="s">
        <v>98</v>
      </c>
      <c r="O6591" t="s">
        <v>1345</v>
      </c>
    </row>
    <row r="6592" spans="1:15" x14ac:dyDescent="0.3">
      <c r="A6592" s="130">
        <v>71485</v>
      </c>
      <c r="B6592" s="130">
        <v>35</v>
      </c>
      <c r="C6592" s="130" t="s">
        <v>8216</v>
      </c>
      <c r="D6592">
        <v>736</v>
      </c>
      <c r="E6592" s="131">
        <v>3992929</v>
      </c>
      <c r="F6592" t="s">
        <v>87</v>
      </c>
      <c r="G6592">
        <v>78</v>
      </c>
      <c r="H6592" t="s">
        <v>8953</v>
      </c>
      <c r="I6592" s="130">
        <v>9</v>
      </c>
      <c r="J6592" t="s">
        <v>8216</v>
      </c>
      <c r="K6592" t="s">
        <v>95</v>
      </c>
      <c r="L6592" t="s">
        <v>125</v>
      </c>
      <c r="M6592" t="s">
        <v>161</v>
      </c>
      <c r="N6592" t="s">
        <v>98</v>
      </c>
      <c r="O6592" t="s">
        <v>1345</v>
      </c>
    </row>
    <row r="6593" spans="1:15" x14ac:dyDescent="0.3">
      <c r="A6593" s="130">
        <v>71486</v>
      </c>
      <c r="B6593" s="130">
        <v>30</v>
      </c>
      <c r="C6593" s="130" t="s">
        <v>8217</v>
      </c>
      <c r="D6593">
        <v>737</v>
      </c>
      <c r="E6593" s="130">
        <v>19330112</v>
      </c>
      <c r="F6593" t="s">
        <v>87</v>
      </c>
      <c r="G6593">
        <v>77</v>
      </c>
      <c r="H6593" t="s">
        <v>8951</v>
      </c>
      <c r="I6593" s="130">
        <v>2</v>
      </c>
      <c r="J6593" t="s">
        <v>8217</v>
      </c>
      <c r="K6593" t="s">
        <v>95</v>
      </c>
      <c r="L6593" t="s">
        <v>1255</v>
      </c>
      <c r="M6593" t="s">
        <v>103</v>
      </c>
      <c r="N6593" t="s">
        <v>150</v>
      </c>
      <c r="O6593" t="s">
        <v>1345</v>
      </c>
    </row>
    <row r="6594" spans="1:15" x14ac:dyDescent="0.3">
      <c r="A6594" s="130">
        <v>71488</v>
      </c>
      <c r="B6594" s="130">
        <v>18</v>
      </c>
      <c r="C6594" s="130" t="s">
        <v>8218</v>
      </c>
      <c r="D6594">
        <v>738</v>
      </c>
      <c r="E6594" s="130">
        <v>37096803</v>
      </c>
      <c r="F6594" t="s">
        <v>87</v>
      </c>
      <c r="G6594">
        <v>78</v>
      </c>
      <c r="H6594" t="s">
        <v>8952</v>
      </c>
      <c r="I6594" s="131">
        <v>24</v>
      </c>
      <c r="J6594" t="s">
        <v>8218</v>
      </c>
      <c r="K6594" t="s">
        <v>108</v>
      </c>
      <c r="L6594" t="s">
        <v>138</v>
      </c>
      <c r="M6594" t="s">
        <v>112</v>
      </c>
      <c r="N6594" t="s">
        <v>101</v>
      </c>
      <c r="O6594" t="s">
        <v>116</v>
      </c>
    </row>
    <row r="6595" spans="1:15" x14ac:dyDescent="0.3">
      <c r="A6595" s="130">
        <v>71490</v>
      </c>
      <c r="B6595" s="130">
        <v>18</v>
      </c>
      <c r="C6595" s="130" t="s">
        <v>8219</v>
      </c>
      <c r="D6595">
        <v>739</v>
      </c>
      <c r="E6595" s="130">
        <v>10736565</v>
      </c>
      <c r="F6595" t="s">
        <v>87</v>
      </c>
      <c r="G6595">
        <v>78</v>
      </c>
      <c r="H6595" t="s">
        <v>8953</v>
      </c>
      <c r="I6595" s="130">
        <v>10</v>
      </c>
      <c r="J6595" t="s">
        <v>8219</v>
      </c>
      <c r="K6595" t="s">
        <v>108</v>
      </c>
      <c r="L6595" t="s">
        <v>127</v>
      </c>
      <c r="M6595" t="s">
        <v>112</v>
      </c>
      <c r="N6595" t="s">
        <v>114</v>
      </c>
      <c r="O6595" t="s">
        <v>1345</v>
      </c>
    </row>
    <row r="6596" spans="1:15" x14ac:dyDescent="0.3">
      <c r="A6596" s="130">
        <v>71492</v>
      </c>
      <c r="B6596" s="130">
        <v>18</v>
      </c>
      <c r="C6596" s="130" t="s">
        <v>8220</v>
      </c>
      <c r="D6596">
        <v>740</v>
      </c>
      <c r="E6596" s="131">
        <v>4727090</v>
      </c>
      <c r="F6596" t="s">
        <v>87</v>
      </c>
      <c r="G6596">
        <v>358</v>
      </c>
      <c r="H6596" t="s">
        <v>8951</v>
      </c>
      <c r="I6596" s="130">
        <v>2</v>
      </c>
      <c r="J6596" t="s">
        <v>8220</v>
      </c>
      <c r="K6596" t="s">
        <v>108</v>
      </c>
      <c r="L6596" t="s">
        <v>99</v>
      </c>
      <c r="M6596" t="s">
        <v>112</v>
      </c>
      <c r="N6596" t="s">
        <v>101</v>
      </c>
      <c r="O6596" t="s">
        <v>1345</v>
      </c>
    </row>
    <row r="6597" spans="1:15" x14ac:dyDescent="0.3">
      <c r="A6597" s="130">
        <v>71495</v>
      </c>
      <c r="B6597" s="130">
        <v>30</v>
      </c>
      <c r="C6597" s="130" t="s">
        <v>8221</v>
      </c>
      <c r="D6597">
        <v>741</v>
      </c>
      <c r="E6597" s="130">
        <v>33000167</v>
      </c>
      <c r="F6597" t="s">
        <v>87</v>
      </c>
      <c r="G6597">
        <v>78</v>
      </c>
      <c r="H6597" t="s">
        <v>8952</v>
      </c>
      <c r="I6597" s="130">
        <v>24</v>
      </c>
      <c r="J6597" t="s">
        <v>8221</v>
      </c>
      <c r="K6597" t="s">
        <v>95</v>
      </c>
      <c r="L6597" t="s">
        <v>102</v>
      </c>
      <c r="M6597" t="s">
        <v>103</v>
      </c>
      <c r="N6597" t="s">
        <v>101</v>
      </c>
      <c r="O6597" t="s">
        <v>116</v>
      </c>
    </row>
    <row r="6598" spans="1:15" x14ac:dyDescent="0.3">
      <c r="A6598" s="130">
        <v>71500</v>
      </c>
      <c r="B6598" s="130">
        <v>30</v>
      </c>
      <c r="C6598" s="130" t="s">
        <v>8222</v>
      </c>
      <c r="D6598">
        <v>742</v>
      </c>
      <c r="E6598" s="131">
        <v>14688220</v>
      </c>
      <c r="F6598" t="s">
        <v>87</v>
      </c>
      <c r="G6598">
        <v>78</v>
      </c>
      <c r="H6598" t="s">
        <v>8953</v>
      </c>
      <c r="I6598" s="131">
        <v>19</v>
      </c>
      <c r="J6598" t="s">
        <v>8222</v>
      </c>
      <c r="K6598" t="s">
        <v>95</v>
      </c>
      <c r="L6598" t="s">
        <v>146</v>
      </c>
      <c r="M6598" t="s">
        <v>103</v>
      </c>
      <c r="N6598" t="s">
        <v>101</v>
      </c>
      <c r="O6598" t="s">
        <v>1345</v>
      </c>
    </row>
    <row r="6599" spans="1:15" x14ac:dyDescent="0.3">
      <c r="A6599" s="130">
        <v>71502</v>
      </c>
      <c r="B6599" s="130">
        <v>30</v>
      </c>
      <c r="C6599" s="130" t="s">
        <v>8223</v>
      </c>
      <c r="D6599">
        <v>743</v>
      </c>
      <c r="E6599" s="130">
        <v>1704488</v>
      </c>
      <c r="F6599" t="s">
        <v>87</v>
      </c>
      <c r="G6599">
        <v>78</v>
      </c>
      <c r="H6599" t="s">
        <v>8951</v>
      </c>
      <c r="I6599" s="130">
        <v>10</v>
      </c>
      <c r="J6599" t="s">
        <v>8223</v>
      </c>
      <c r="K6599" t="s">
        <v>95</v>
      </c>
      <c r="L6599" t="s">
        <v>127</v>
      </c>
      <c r="M6599" t="s">
        <v>103</v>
      </c>
      <c r="N6599" t="s">
        <v>98</v>
      </c>
      <c r="O6599" t="s">
        <v>1345</v>
      </c>
    </row>
    <row r="6600" spans="1:15" x14ac:dyDescent="0.3">
      <c r="A6600" s="130">
        <v>71503</v>
      </c>
      <c r="B6600" s="130">
        <v>18</v>
      </c>
      <c r="C6600" s="130" t="s">
        <v>8224</v>
      </c>
      <c r="D6600">
        <v>744</v>
      </c>
      <c r="E6600" s="130">
        <v>6261152</v>
      </c>
      <c r="F6600" t="s">
        <v>87</v>
      </c>
      <c r="G6600">
        <v>78</v>
      </c>
      <c r="H6600" t="s">
        <v>8952</v>
      </c>
      <c r="I6600" s="130">
        <v>10</v>
      </c>
      <c r="J6600" t="s">
        <v>8224</v>
      </c>
      <c r="K6600" t="s">
        <v>108</v>
      </c>
      <c r="L6600" t="s">
        <v>127</v>
      </c>
      <c r="M6600" t="s">
        <v>112</v>
      </c>
      <c r="N6600" t="s">
        <v>98</v>
      </c>
      <c r="O6600" t="s">
        <v>1345</v>
      </c>
    </row>
    <row r="6601" spans="1:15" x14ac:dyDescent="0.3">
      <c r="A6601" s="130">
        <v>71504</v>
      </c>
      <c r="B6601" s="130">
        <v>30</v>
      </c>
      <c r="C6601" s="130" t="s">
        <v>8225</v>
      </c>
      <c r="D6601">
        <v>745</v>
      </c>
      <c r="E6601" s="131">
        <v>2283886</v>
      </c>
      <c r="F6601" t="s">
        <v>87</v>
      </c>
      <c r="G6601">
        <v>78</v>
      </c>
      <c r="H6601" t="s">
        <v>8953</v>
      </c>
      <c r="I6601" s="131">
        <v>10</v>
      </c>
      <c r="J6601" t="s">
        <v>8225</v>
      </c>
      <c r="K6601" t="s">
        <v>95</v>
      </c>
      <c r="L6601" t="s">
        <v>127</v>
      </c>
      <c r="M6601" t="s">
        <v>103</v>
      </c>
      <c r="N6601" t="s">
        <v>101</v>
      </c>
      <c r="O6601" t="s">
        <v>1345</v>
      </c>
    </row>
    <row r="6602" spans="1:15" x14ac:dyDescent="0.3">
      <c r="A6602" s="130">
        <v>71505</v>
      </c>
      <c r="B6602" s="130">
        <v>18</v>
      </c>
      <c r="C6602" s="130" t="s">
        <v>8226</v>
      </c>
      <c r="D6602">
        <v>746</v>
      </c>
      <c r="E6602" s="130">
        <v>3887613</v>
      </c>
      <c r="F6602" t="s">
        <v>87</v>
      </c>
      <c r="G6602">
        <v>78</v>
      </c>
      <c r="H6602" t="s">
        <v>8951</v>
      </c>
      <c r="I6602" s="131">
        <v>10</v>
      </c>
      <c r="J6602" t="s">
        <v>8226</v>
      </c>
      <c r="K6602" t="s">
        <v>108</v>
      </c>
      <c r="L6602" t="s">
        <v>127</v>
      </c>
      <c r="M6602" t="s">
        <v>112</v>
      </c>
      <c r="N6602" t="s">
        <v>98</v>
      </c>
      <c r="O6602" t="s">
        <v>116</v>
      </c>
    </row>
    <row r="6603" spans="1:15" x14ac:dyDescent="0.3">
      <c r="A6603" s="130">
        <v>71506</v>
      </c>
      <c r="B6603" s="130">
        <v>35</v>
      </c>
      <c r="C6603" s="130" t="s">
        <v>8227</v>
      </c>
      <c r="D6603">
        <v>747</v>
      </c>
      <c r="E6603" s="130">
        <v>5275</v>
      </c>
      <c r="F6603" t="s">
        <v>87</v>
      </c>
      <c r="G6603">
        <v>78</v>
      </c>
      <c r="H6603" t="s">
        <v>8952</v>
      </c>
      <c r="I6603" s="131">
        <v>24</v>
      </c>
      <c r="J6603" t="s">
        <v>8227</v>
      </c>
      <c r="K6603" t="s">
        <v>95</v>
      </c>
      <c r="L6603" t="s">
        <v>138</v>
      </c>
      <c r="M6603" t="s">
        <v>161</v>
      </c>
      <c r="N6603" t="s">
        <v>98</v>
      </c>
      <c r="O6603" t="s">
        <v>1345</v>
      </c>
    </row>
    <row r="6604" spans="1:15" x14ac:dyDescent="0.3">
      <c r="A6604" s="130">
        <v>71507</v>
      </c>
      <c r="B6604" s="130">
        <v>18</v>
      </c>
      <c r="C6604" s="130" t="s">
        <v>8228</v>
      </c>
      <c r="D6604">
        <v>748</v>
      </c>
      <c r="E6604" s="131">
        <v>4483550</v>
      </c>
      <c r="F6604" t="s">
        <v>87</v>
      </c>
      <c r="G6604">
        <v>78</v>
      </c>
      <c r="H6604" t="s">
        <v>8953</v>
      </c>
      <c r="I6604" s="131">
        <v>24</v>
      </c>
      <c r="J6604" t="s">
        <v>8228</v>
      </c>
      <c r="K6604" t="s">
        <v>95</v>
      </c>
      <c r="L6604" t="s">
        <v>138</v>
      </c>
      <c r="M6604" t="s">
        <v>112</v>
      </c>
      <c r="N6604" t="s">
        <v>98</v>
      </c>
      <c r="O6604" t="s">
        <v>1345</v>
      </c>
    </row>
    <row r="6605" spans="1:15" x14ac:dyDescent="0.3">
      <c r="A6605" s="130">
        <v>71510</v>
      </c>
      <c r="B6605" s="130">
        <v>30</v>
      </c>
      <c r="C6605" s="130" t="s">
        <v>8229</v>
      </c>
      <c r="D6605">
        <v>749</v>
      </c>
      <c r="E6605" s="131">
        <v>33534821</v>
      </c>
      <c r="F6605" t="s">
        <v>87</v>
      </c>
      <c r="G6605">
        <v>78</v>
      </c>
      <c r="H6605" t="s">
        <v>8951</v>
      </c>
      <c r="I6605" s="130">
        <v>2</v>
      </c>
      <c r="J6605" t="s">
        <v>8229</v>
      </c>
      <c r="K6605" t="s">
        <v>95</v>
      </c>
      <c r="L6605" t="s">
        <v>127</v>
      </c>
      <c r="M6605" t="s">
        <v>103</v>
      </c>
      <c r="N6605" t="s">
        <v>98</v>
      </c>
      <c r="O6605" t="s">
        <v>1345</v>
      </c>
    </row>
    <row r="6606" spans="1:15" x14ac:dyDescent="0.3">
      <c r="A6606" s="130">
        <v>71512</v>
      </c>
      <c r="B6606" s="130">
        <v>30</v>
      </c>
      <c r="C6606" s="130" t="s">
        <v>8230</v>
      </c>
      <c r="D6606">
        <v>750</v>
      </c>
      <c r="E6606" s="130">
        <v>17155391</v>
      </c>
      <c r="F6606" t="s">
        <v>87</v>
      </c>
      <c r="G6606">
        <v>78</v>
      </c>
      <c r="H6606" t="s">
        <v>8952</v>
      </c>
      <c r="I6606" s="130">
        <v>10</v>
      </c>
      <c r="J6606" t="s">
        <v>8230</v>
      </c>
      <c r="K6606" t="s">
        <v>95</v>
      </c>
      <c r="L6606" t="s">
        <v>127</v>
      </c>
      <c r="M6606" t="s">
        <v>103</v>
      </c>
      <c r="N6606" t="s">
        <v>98</v>
      </c>
      <c r="O6606" t="s">
        <v>1345</v>
      </c>
    </row>
    <row r="6607" spans="1:15" x14ac:dyDescent="0.3">
      <c r="A6607" s="130">
        <v>71517</v>
      </c>
      <c r="B6607" s="130">
        <v>60</v>
      </c>
      <c r="C6607" s="130" t="s">
        <v>8231</v>
      </c>
      <c r="D6607">
        <v>751</v>
      </c>
      <c r="E6607" s="131">
        <v>28537364</v>
      </c>
      <c r="F6607" t="s">
        <v>87</v>
      </c>
      <c r="G6607">
        <v>358</v>
      </c>
      <c r="H6607" t="s">
        <v>8953</v>
      </c>
      <c r="I6607" s="131">
        <v>2</v>
      </c>
      <c r="J6607" t="s">
        <v>8231</v>
      </c>
      <c r="K6607" t="s">
        <v>95</v>
      </c>
      <c r="L6607" t="s">
        <v>99</v>
      </c>
      <c r="M6607" t="s">
        <v>97</v>
      </c>
      <c r="N6607" t="s">
        <v>98</v>
      </c>
      <c r="O6607" t="s">
        <v>1345</v>
      </c>
    </row>
    <row r="6608" spans="1:15" x14ac:dyDescent="0.3">
      <c r="A6608" s="130">
        <v>71525</v>
      </c>
      <c r="B6608" s="130">
        <v>7</v>
      </c>
      <c r="C6608" s="130" t="s">
        <v>8232</v>
      </c>
      <c r="D6608">
        <v>752</v>
      </c>
      <c r="E6608" s="130">
        <v>7257635</v>
      </c>
      <c r="F6608" t="s">
        <v>87</v>
      </c>
      <c r="G6608">
        <v>358</v>
      </c>
      <c r="H6608" t="s">
        <v>8951</v>
      </c>
      <c r="I6608" s="130">
        <v>10</v>
      </c>
      <c r="J6608" t="s">
        <v>8232</v>
      </c>
      <c r="K6608" t="s">
        <v>108</v>
      </c>
      <c r="L6608" t="s">
        <v>105</v>
      </c>
      <c r="M6608" t="s">
        <v>197</v>
      </c>
      <c r="N6608" t="s">
        <v>98</v>
      </c>
      <c r="O6608" t="s">
        <v>1345</v>
      </c>
    </row>
    <row r="6609" spans="1:15" x14ac:dyDescent="0.3">
      <c r="A6609" s="130">
        <v>71527</v>
      </c>
      <c r="B6609" s="130">
        <v>18</v>
      </c>
      <c r="C6609" s="130" t="s">
        <v>8233</v>
      </c>
      <c r="D6609">
        <v>753</v>
      </c>
      <c r="E6609" s="130">
        <v>18322925</v>
      </c>
      <c r="F6609" t="s">
        <v>87</v>
      </c>
      <c r="G6609">
        <v>358</v>
      </c>
      <c r="H6609" t="s">
        <v>8952</v>
      </c>
      <c r="I6609" s="130">
        <v>2</v>
      </c>
      <c r="J6609" t="s">
        <v>8233</v>
      </c>
      <c r="K6609" t="s">
        <v>108</v>
      </c>
      <c r="L6609" t="s">
        <v>109</v>
      </c>
      <c r="M6609" t="s">
        <v>112</v>
      </c>
      <c r="N6609" t="s">
        <v>98</v>
      </c>
      <c r="O6609" t="s">
        <v>1345</v>
      </c>
    </row>
    <row r="6610" spans="1:15" x14ac:dyDescent="0.3">
      <c r="A6610" s="130">
        <v>71528</v>
      </c>
      <c r="B6610" s="130">
        <v>18</v>
      </c>
      <c r="C6610" s="130" t="s">
        <v>8234</v>
      </c>
      <c r="D6610">
        <v>754</v>
      </c>
      <c r="E6610" s="130">
        <v>37371679</v>
      </c>
      <c r="F6610" t="s">
        <v>87</v>
      </c>
      <c r="G6610">
        <v>78</v>
      </c>
      <c r="H6610" t="s">
        <v>8953</v>
      </c>
      <c r="I6610" s="131">
        <v>24</v>
      </c>
      <c r="J6610" t="s">
        <v>8234</v>
      </c>
      <c r="K6610" t="s">
        <v>95</v>
      </c>
      <c r="L6610" t="s">
        <v>138</v>
      </c>
      <c r="M6610" t="s">
        <v>112</v>
      </c>
      <c r="N6610" t="s">
        <v>101</v>
      </c>
      <c r="O6610" t="s">
        <v>1345</v>
      </c>
    </row>
    <row r="6611" spans="1:15" x14ac:dyDescent="0.3">
      <c r="A6611" s="130">
        <v>71531</v>
      </c>
      <c r="B6611" s="130">
        <v>30</v>
      </c>
      <c r="C6611" s="130" t="s">
        <v>8235</v>
      </c>
      <c r="D6611">
        <v>755</v>
      </c>
      <c r="E6611" s="130">
        <v>14688220</v>
      </c>
      <c r="F6611" t="s">
        <v>87</v>
      </c>
      <c r="G6611">
        <v>78</v>
      </c>
      <c r="H6611" t="s">
        <v>8951</v>
      </c>
      <c r="I6611" s="130">
        <v>19</v>
      </c>
      <c r="J6611" t="s">
        <v>8235</v>
      </c>
      <c r="K6611" t="s">
        <v>95</v>
      </c>
      <c r="L6611" t="s">
        <v>146</v>
      </c>
      <c r="M6611" t="s">
        <v>103</v>
      </c>
      <c r="N6611" t="s">
        <v>101</v>
      </c>
      <c r="O6611" t="s">
        <v>1345</v>
      </c>
    </row>
    <row r="6612" spans="1:15" x14ac:dyDescent="0.3">
      <c r="A6612" s="130">
        <v>71533</v>
      </c>
      <c r="B6612" s="130">
        <v>18</v>
      </c>
      <c r="C6612" s="130" t="s">
        <v>8236</v>
      </c>
      <c r="D6612">
        <v>756</v>
      </c>
      <c r="E6612" s="131">
        <v>3601435</v>
      </c>
      <c r="F6612" t="s">
        <v>87</v>
      </c>
      <c r="G6612">
        <v>358</v>
      </c>
      <c r="H6612" t="s">
        <v>8952</v>
      </c>
      <c r="I6612" s="131">
        <v>2</v>
      </c>
      <c r="J6612" t="s">
        <v>8236</v>
      </c>
      <c r="K6612" t="s">
        <v>108</v>
      </c>
      <c r="L6612" t="s">
        <v>99</v>
      </c>
      <c r="M6612" t="s">
        <v>112</v>
      </c>
      <c r="N6612" t="s">
        <v>98</v>
      </c>
      <c r="O6612" t="s">
        <v>1345</v>
      </c>
    </row>
    <row r="6613" spans="1:15" x14ac:dyDescent="0.3">
      <c r="A6613" s="130">
        <v>71534</v>
      </c>
      <c r="B6613" s="130">
        <v>18</v>
      </c>
      <c r="C6613" s="130" t="s">
        <v>8237</v>
      </c>
      <c r="D6613">
        <v>757</v>
      </c>
      <c r="E6613" s="130">
        <v>13560217</v>
      </c>
      <c r="F6613" t="s">
        <v>87</v>
      </c>
      <c r="G6613">
        <v>78</v>
      </c>
      <c r="H6613" t="s">
        <v>8953</v>
      </c>
      <c r="I6613" s="131">
        <v>43</v>
      </c>
      <c r="J6613" t="s">
        <v>8237</v>
      </c>
      <c r="K6613" t="s">
        <v>108</v>
      </c>
      <c r="L6613" t="s">
        <v>146</v>
      </c>
      <c r="M6613" t="s">
        <v>112</v>
      </c>
      <c r="N6613" t="s">
        <v>152</v>
      </c>
      <c r="O6613" t="s">
        <v>1345</v>
      </c>
    </row>
    <row r="6614" spans="1:15" x14ac:dyDescent="0.3">
      <c r="A6614" s="130">
        <v>71537</v>
      </c>
      <c r="B6614" s="130">
        <v>18</v>
      </c>
      <c r="C6614" s="130" t="s">
        <v>8238</v>
      </c>
      <c r="D6614">
        <v>758</v>
      </c>
      <c r="E6614" s="131">
        <v>28990543</v>
      </c>
      <c r="F6614" t="s">
        <v>87</v>
      </c>
      <c r="G6614">
        <v>358</v>
      </c>
      <c r="H6614" t="s">
        <v>8951</v>
      </c>
      <c r="I6614" s="130">
        <v>2</v>
      </c>
      <c r="J6614" t="s">
        <v>8238</v>
      </c>
      <c r="K6614" t="s">
        <v>108</v>
      </c>
      <c r="L6614" t="s">
        <v>109</v>
      </c>
      <c r="M6614" t="s">
        <v>112</v>
      </c>
      <c r="N6614" t="s">
        <v>124</v>
      </c>
      <c r="O6614" t="s">
        <v>1345</v>
      </c>
    </row>
    <row r="6615" spans="1:15" x14ac:dyDescent="0.3">
      <c r="A6615" s="130">
        <v>71538</v>
      </c>
      <c r="B6615" s="130">
        <v>20</v>
      </c>
      <c r="C6615" s="130" t="s">
        <v>8239</v>
      </c>
      <c r="D6615">
        <v>759</v>
      </c>
      <c r="E6615" s="130">
        <v>28917748</v>
      </c>
      <c r="F6615" t="s">
        <v>87</v>
      </c>
      <c r="G6615">
        <v>358</v>
      </c>
      <c r="H6615" t="s">
        <v>8952</v>
      </c>
      <c r="I6615" s="131">
        <v>2</v>
      </c>
      <c r="J6615" t="s">
        <v>8239</v>
      </c>
      <c r="K6615" t="s">
        <v>108</v>
      </c>
      <c r="L6615" t="s">
        <v>109</v>
      </c>
      <c r="M6615" t="s">
        <v>148</v>
      </c>
      <c r="N6615" t="s">
        <v>118</v>
      </c>
      <c r="O6615" t="s">
        <v>1345</v>
      </c>
    </row>
    <row r="6616" spans="1:15" x14ac:dyDescent="0.3">
      <c r="A6616" s="130">
        <v>71539</v>
      </c>
      <c r="B6616" s="130">
        <v>18</v>
      </c>
      <c r="C6616" s="130" t="s">
        <v>8240</v>
      </c>
      <c r="D6616">
        <v>760</v>
      </c>
      <c r="E6616" s="130">
        <v>10764189</v>
      </c>
      <c r="F6616" t="s">
        <v>87</v>
      </c>
      <c r="G6616">
        <v>358</v>
      </c>
      <c r="H6616" t="s">
        <v>8953</v>
      </c>
      <c r="I6616" s="130">
        <v>2</v>
      </c>
      <c r="J6616" t="s">
        <v>8240</v>
      </c>
      <c r="K6616" t="s">
        <v>95</v>
      </c>
      <c r="L6616" t="s">
        <v>99</v>
      </c>
      <c r="M6616" t="s">
        <v>112</v>
      </c>
      <c r="N6616" t="s">
        <v>114</v>
      </c>
      <c r="O6616" t="s">
        <v>1345</v>
      </c>
    </row>
    <row r="6617" spans="1:15" x14ac:dyDescent="0.3">
      <c r="A6617" s="130">
        <v>71546</v>
      </c>
      <c r="B6617" s="130">
        <v>30</v>
      </c>
      <c r="C6617" s="130" t="s">
        <v>8241</v>
      </c>
      <c r="D6617">
        <v>761</v>
      </c>
      <c r="E6617" s="130">
        <v>18715383</v>
      </c>
      <c r="F6617" t="s">
        <v>87</v>
      </c>
      <c r="G6617">
        <v>77</v>
      </c>
      <c r="H6617" t="s">
        <v>8951</v>
      </c>
      <c r="I6617" s="131">
        <v>2</v>
      </c>
      <c r="J6617" t="s">
        <v>8241</v>
      </c>
      <c r="K6617" t="s">
        <v>95</v>
      </c>
      <c r="L6617" t="s">
        <v>1255</v>
      </c>
      <c r="M6617" t="s">
        <v>103</v>
      </c>
      <c r="N6617" t="s">
        <v>131</v>
      </c>
      <c r="O6617" t="s">
        <v>1345</v>
      </c>
    </row>
    <row r="6618" spans="1:15" x14ac:dyDescent="0.3">
      <c r="A6618" s="130">
        <v>71550</v>
      </c>
      <c r="B6618" s="130">
        <v>30</v>
      </c>
      <c r="C6618" s="130" t="s">
        <v>8242</v>
      </c>
      <c r="D6618">
        <v>762</v>
      </c>
      <c r="E6618" s="130">
        <v>33000167</v>
      </c>
      <c r="F6618" t="s">
        <v>87</v>
      </c>
      <c r="G6618">
        <v>78</v>
      </c>
      <c r="H6618" t="s">
        <v>8952</v>
      </c>
      <c r="I6618" s="130">
        <v>18</v>
      </c>
      <c r="J6618" t="s">
        <v>8242</v>
      </c>
      <c r="K6618" t="s">
        <v>95</v>
      </c>
      <c r="L6618" t="s">
        <v>102</v>
      </c>
      <c r="M6618" t="s">
        <v>103</v>
      </c>
      <c r="N6618" t="s">
        <v>101</v>
      </c>
      <c r="O6618" t="s">
        <v>1345</v>
      </c>
    </row>
    <row r="6619" spans="1:15" x14ac:dyDescent="0.3">
      <c r="A6619" s="130">
        <v>71562</v>
      </c>
      <c r="B6619" s="130">
        <v>45</v>
      </c>
      <c r="C6619" s="130" t="s">
        <v>8243</v>
      </c>
      <c r="D6619">
        <v>763</v>
      </c>
      <c r="E6619" s="131">
        <v>1294551</v>
      </c>
      <c r="F6619" t="s">
        <v>87</v>
      </c>
      <c r="G6619">
        <v>78</v>
      </c>
      <c r="H6619" t="s">
        <v>8953</v>
      </c>
      <c r="I6619" s="131">
        <v>9</v>
      </c>
      <c r="J6619" t="s">
        <v>8243</v>
      </c>
      <c r="K6619" t="s">
        <v>95</v>
      </c>
      <c r="L6619" t="s">
        <v>125</v>
      </c>
      <c r="M6619" t="s">
        <v>106</v>
      </c>
      <c r="N6619" t="s">
        <v>98</v>
      </c>
      <c r="O6619" t="s">
        <v>116</v>
      </c>
    </row>
    <row r="6620" spans="1:15" x14ac:dyDescent="0.3">
      <c r="A6620" s="130">
        <v>71567</v>
      </c>
      <c r="B6620" s="130">
        <v>60</v>
      </c>
      <c r="C6620" s="130" t="s">
        <v>8244</v>
      </c>
      <c r="D6620">
        <v>1351</v>
      </c>
      <c r="E6620" s="131">
        <v>33592510</v>
      </c>
      <c r="F6620" t="s">
        <v>87</v>
      </c>
      <c r="G6620">
        <v>77</v>
      </c>
      <c r="H6620" t="s">
        <v>8951</v>
      </c>
      <c r="I6620" s="130">
        <v>44</v>
      </c>
      <c r="J6620" t="s">
        <v>8244</v>
      </c>
      <c r="K6620" t="s">
        <v>95</v>
      </c>
      <c r="L6620" t="s">
        <v>117</v>
      </c>
      <c r="M6620" t="s">
        <v>97</v>
      </c>
      <c r="N6620" t="s">
        <v>118</v>
      </c>
      <c r="O6620" t="s">
        <v>1256</v>
      </c>
    </row>
    <row r="6621" spans="1:15" x14ac:dyDescent="0.3">
      <c r="A6621" s="130">
        <v>71571</v>
      </c>
      <c r="B6621" s="130">
        <v>18</v>
      </c>
      <c r="C6621" s="130" t="s">
        <v>8245</v>
      </c>
      <c r="D6621">
        <v>764</v>
      </c>
      <c r="E6621" s="130">
        <v>19235340</v>
      </c>
      <c r="F6621" t="s">
        <v>87</v>
      </c>
      <c r="G6621">
        <v>358</v>
      </c>
      <c r="H6621" t="s">
        <v>8952</v>
      </c>
      <c r="I6621" s="130">
        <v>2</v>
      </c>
      <c r="J6621" t="s">
        <v>8245</v>
      </c>
      <c r="K6621" t="s">
        <v>95</v>
      </c>
      <c r="L6621" t="s">
        <v>105</v>
      </c>
      <c r="M6621" t="s">
        <v>112</v>
      </c>
      <c r="N6621" t="s">
        <v>98</v>
      </c>
      <c r="O6621" t="s">
        <v>116</v>
      </c>
    </row>
    <row r="6622" spans="1:15" x14ac:dyDescent="0.3">
      <c r="A6622" s="130">
        <v>71572</v>
      </c>
      <c r="B6622" s="130">
        <v>18</v>
      </c>
      <c r="C6622" s="130" t="s">
        <v>8246</v>
      </c>
      <c r="D6622">
        <v>765</v>
      </c>
      <c r="E6622" s="130">
        <v>33150074</v>
      </c>
      <c r="F6622" t="s">
        <v>87</v>
      </c>
      <c r="G6622">
        <v>358</v>
      </c>
      <c r="H6622" t="s">
        <v>8953</v>
      </c>
      <c r="I6622" s="130">
        <v>2</v>
      </c>
      <c r="J6622" t="s">
        <v>8246</v>
      </c>
      <c r="K6622" t="s">
        <v>108</v>
      </c>
      <c r="L6622" t="s">
        <v>109</v>
      </c>
      <c r="M6622" t="s">
        <v>112</v>
      </c>
      <c r="N6622" t="s">
        <v>98</v>
      </c>
      <c r="O6622" t="s">
        <v>1345</v>
      </c>
    </row>
    <row r="6623" spans="1:15" x14ac:dyDescent="0.3">
      <c r="A6623" s="130">
        <v>71573</v>
      </c>
      <c r="B6623" s="130">
        <v>18</v>
      </c>
      <c r="C6623" s="130" t="s">
        <v>8247</v>
      </c>
      <c r="D6623">
        <v>766</v>
      </c>
      <c r="E6623" s="130">
        <v>20098146</v>
      </c>
      <c r="F6623" t="s">
        <v>87</v>
      </c>
      <c r="G6623">
        <v>358</v>
      </c>
      <c r="H6623" t="s">
        <v>8951</v>
      </c>
      <c r="I6623" s="131">
        <v>2</v>
      </c>
      <c r="J6623" t="s">
        <v>8247</v>
      </c>
      <c r="K6623" t="s">
        <v>108</v>
      </c>
      <c r="L6623" t="s">
        <v>99</v>
      </c>
      <c r="M6623" t="s">
        <v>112</v>
      </c>
      <c r="N6623" t="s">
        <v>114</v>
      </c>
      <c r="O6623" t="s">
        <v>1345</v>
      </c>
    </row>
    <row r="6624" spans="1:15" x14ac:dyDescent="0.3">
      <c r="A6624" s="130">
        <v>71577</v>
      </c>
      <c r="B6624" s="130">
        <v>18</v>
      </c>
      <c r="C6624" s="130" t="s">
        <v>8248</v>
      </c>
      <c r="D6624">
        <v>767</v>
      </c>
      <c r="E6624" s="130">
        <v>28016310</v>
      </c>
      <c r="F6624" t="s">
        <v>87</v>
      </c>
      <c r="G6624">
        <v>358</v>
      </c>
      <c r="H6624" t="s">
        <v>8952</v>
      </c>
      <c r="I6624" s="130">
        <v>24</v>
      </c>
      <c r="J6624" t="s">
        <v>8248</v>
      </c>
      <c r="K6624" t="s">
        <v>108</v>
      </c>
      <c r="L6624" t="s">
        <v>1346</v>
      </c>
      <c r="M6624" t="s">
        <v>112</v>
      </c>
      <c r="N6624" t="s">
        <v>150</v>
      </c>
      <c r="O6624" t="s">
        <v>1345</v>
      </c>
    </row>
    <row r="6625" spans="1:15" x14ac:dyDescent="0.3">
      <c r="A6625" s="130">
        <v>71580</v>
      </c>
      <c r="B6625" s="130">
        <v>18</v>
      </c>
      <c r="C6625" s="130" t="s">
        <v>8249</v>
      </c>
      <c r="D6625">
        <v>768</v>
      </c>
      <c r="E6625" s="131">
        <v>33150074</v>
      </c>
      <c r="F6625" t="s">
        <v>87</v>
      </c>
      <c r="G6625">
        <v>358</v>
      </c>
      <c r="H6625" t="s">
        <v>8953</v>
      </c>
      <c r="I6625" s="130">
        <v>18</v>
      </c>
      <c r="J6625" t="s">
        <v>8249</v>
      </c>
      <c r="K6625" t="s">
        <v>95</v>
      </c>
      <c r="L6625" t="s">
        <v>111</v>
      </c>
      <c r="M6625" t="s">
        <v>112</v>
      </c>
      <c r="N6625" t="s">
        <v>98</v>
      </c>
      <c r="O6625" t="s">
        <v>116</v>
      </c>
    </row>
    <row r="6626" spans="1:15" x14ac:dyDescent="0.3">
      <c r="A6626" s="130">
        <v>71581</v>
      </c>
      <c r="B6626" s="130">
        <v>18</v>
      </c>
      <c r="C6626" s="130" t="s">
        <v>8250</v>
      </c>
      <c r="D6626">
        <v>769</v>
      </c>
      <c r="E6626" s="130">
        <v>33150074</v>
      </c>
      <c r="F6626" t="s">
        <v>87</v>
      </c>
      <c r="G6626">
        <v>358</v>
      </c>
      <c r="H6626" t="s">
        <v>8951</v>
      </c>
      <c r="I6626" s="131">
        <v>24</v>
      </c>
      <c r="J6626" t="s">
        <v>8250</v>
      </c>
      <c r="K6626" t="s">
        <v>95</v>
      </c>
      <c r="L6626" t="s">
        <v>111</v>
      </c>
      <c r="M6626" t="s">
        <v>112</v>
      </c>
      <c r="N6626" t="s">
        <v>98</v>
      </c>
      <c r="O6626" t="s">
        <v>1345</v>
      </c>
    </row>
    <row r="6627" spans="1:15" x14ac:dyDescent="0.3">
      <c r="A6627" s="130">
        <v>71595</v>
      </c>
      <c r="B6627" s="130">
        <v>18</v>
      </c>
      <c r="C6627" s="130" t="s">
        <v>8251</v>
      </c>
      <c r="D6627">
        <v>770</v>
      </c>
      <c r="E6627" s="131">
        <v>28757170</v>
      </c>
      <c r="F6627" t="s">
        <v>87</v>
      </c>
      <c r="G6627">
        <v>78</v>
      </c>
      <c r="H6627" t="s">
        <v>8952</v>
      </c>
      <c r="I6627" s="130">
        <v>9</v>
      </c>
      <c r="J6627" t="s">
        <v>8251</v>
      </c>
      <c r="K6627" t="s">
        <v>108</v>
      </c>
      <c r="L6627" t="s">
        <v>125</v>
      </c>
      <c r="M6627" t="s">
        <v>112</v>
      </c>
      <c r="N6627" t="s">
        <v>98</v>
      </c>
      <c r="O6627" t="s">
        <v>1345</v>
      </c>
    </row>
    <row r="6628" spans="1:15" x14ac:dyDescent="0.3">
      <c r="A6628" s="130">
        <v>71608</v>
      </c>
      <c r="B6628" s="130">
        <v>30</v>
      </c>
      <c r="C6628" s="130" t="s">
        <v>8252</v>
      </c>
      <c r="D6628">
        <v>771</v>
      </c>
      <c r="E6628" s="130">
        <v>33193996</v>
      </c>
      <c r="F6628" t="s">
        <v>87</v>
      </c>
      <c r="G6628">
        <v>358</v>
      </c>
      <c r="H6628" t="s">
        <v>8953</v>
      </c>
      <c r="I6628" s="130">
        <v>2</v>
      </c>
      <c r="J6628" t="s">
        <v>8252</v>
      </c>
      <c r="K6628" t="s">
        <v>95</v>
      </c>
      <c r="L6628" t="s">
        <v>105</v>
      </c>
      <c r="M6628" t="s">
        <v>103</v>
      </c>
      <c r="N6628" t="s">
        <v>118</v>
      </c>
      <c r="O6628" t="s">
        <v>1345</v>
      </c>
    </row>
    <row r="6629" spans="1:15" x14ac:dyDescent="0.3">
      <c r="A6629" s="130">
        <v>71609</v>
      </c>
      <c r="B6629" s="130">
        <v>18</v>
      </c>
      <c r="C6629" s="130" t="s">
        <v>8253</v>
      </c>
      <c r="D6629">
        <v>772</v>
      </c>
      <c r="E6629" s="130">
        <v>7791042</v>
      </c>
      <c r="F6629" t="s">
        <v>87</v>
      </c>
      <c r="G6629">
        <v>78</v>
      </c>
      <c r="H6629" t="s">
        <v>8951</v>
      </c>
      <c r="I6629" s="130">
        <v>38</v>
      </c>
      <c r="J6629" t="s">
        <v>8253</v>
      </c>
      <c r="K6629" t="s">
        <v>95</v>
      </c>
      <c r="L6629" t="s">
        <v>126</v>
      </c>
      <c r="M6629" t="s">
        <v>112</v>
      </c>
      <c r="N6629" t="s">
        <v>98</v>
      </c>
      <c r="O6629" t="s">
        <v>1345</v>
      </c>
    </row>
    <row r="6630" spans="1:15" x14ac:dyDescent="0.3">
      <c r="A6630" s="130">
        <v>71616</v>
      </c>
      <c r="B6630" s="130">
        <v>18</v>
      </c>
      <c r="C6630" s="130" t="s">
        <v>8254</v>
      </c>
      <c r="D6630">
        <v>773</v>
      </c>
      <c r="E6630" s="130">
        <v>19183895272</v>
      </c>
      <c r="F6630" t="s">
        <v>87</v>
      </c>
      <c r="G6630">
        <v>78</v>
      </c>
      <c r="H6630" t="s">
        <v>8952</v>
      </c>
      <c r="I6630" s="130">
        <v>38</v>
      </c>
      <c r="J6630" t="s">
        <v>8254</v>
      </c>
      <c r="K6630" t="s">
        <v>95</v>
      </c>
      <c r="L6630" t="s">
        <v>126</v>
      </c>
      <c r="M6630" t="s">
        <v>112</v>
      </c>
      <c r="N6630" t="s">
        <v>110</v>
      </c>
      <c r="O6630" t="s">
        <v>1345</v>
      </c>
    </row>
    <row r="6631" spans="1:15" x14ac:dyDescent="0.3">
      <c r="A6631" s="130">
        <v>71620</v>
      </c>
      <c r="B6631" s="130">
        <v>18</v>
      </c>
      <c r="C6631" s="130" t="s">
        <v>8255</v>
      </c>
      <c r="D6631">
        <v>774</v>
      </c>
      <c r="E6631" s="131">
        <v>7308747</v>
      </c>
      <c r="F6631" t="s">
        <v>87</v>
      </c>
      <c r="G6631">
        <v>78</v>
      </c>
      <c r="H6631" t="s">
        <v>8953</v>
      </c>
      <c r="I6631" s="130">
        <v>9</v>
      </c>
      <c r="J6631" t="s">
        <v>8255</v>
      </c>
      <c r="K6631" t="s">
        <v>95</v>
      </c>
      <c r="L6631" t="s">
        <v>125</v>
      </c>
      <c r="M6631" t="s">
        <v>112</v>
      </c>
      <c r="N6631" t="s">
        <v>98</v>
      </c>
      <c r="O6631" t="s">
        <v>1345</v>
      </c>
    </row>
    <row r="6632" spans="1:15" x14ac:dyDescent="0.3">
      <c r="A6632" s="130">
        <v>71621</v>
      </c>
      <c r="B6632" s="130">
        <v>18</v>
      </c>
      <c r="C6632" s="130" t="s">
        <v>8256</v>
      </c>
      <c r="D6632">
        <v>775</v>
      </c>
      <c r="E6632" s="130">
        <v>17162983</v>
      </c>
      <c r="F6632" t="s">
        <v>87</v>
      </c>
      <c r="G6632">
        <v>358</v>
      </c>
      <c r="H6632" t="s">
        <v>8951</v>
      </c>
      <c r="I6632" s="130">
        <v>2</v>
      </c>
      <c r="J6632" t="s">
        <v>8256</v>
      </c>
      <c r="K6632" t="s">
        <v>108</v>
      </c>
      <c r="L6632" t="s">
        <v>109</v>
      </c>
      <c r="M6632" t="s">
        <v>112</v>
      </c>
      <c r="N6632" t="s">
        <v>98</v>
      </c>
      <c r="O6632" t="s">
        <v>1345</v>
      </c>
    </row>
    <row r="6633" spans="1:15" x14ac:dyDescent="0.3">
      <c r="A6633" s="130">
        <v>71626</v>
      </c>
      <c r="B6633" s="130">
        <v>18</v>
      </c>
      <c r="C6633" s="130" t="s">
        <v>8257</v>
      </c>
      <c r="D6633">
        <v>776</v>
      </c>
      <c r="E6633" s="131">
        <v>33841727</v>
      </c>
      <c r="F6633" t="s">
        <v>87</v>
      </c>
      <c r="G6633">
        <v>78</v>
      </c>
      <c r="H6633" t="s">
        <v>8952</v>
      </c>
      <c r="I6633" s="130">
        <v>19</v>
      </c>
      <c r="J6633" t="s">
        <v>8257</v>
      </c>
      <c r="K6633" t="s">
        <v>108</v>
      </c>
      <c r="L6633" t="s">
        <v>146</v>
      </c>
      <c r="M6633" t="s">
        <v>112</v>
      </c>
      <c r="N6633" t="s">
        <v>98</v>
      </c>
      <c r="O6633" t="s">
        <v>1345</v>
      </c>
    </row>
    <row r="6634" spans="1:15" x14ac:dyDescent="0.3">
      <c r="A6634" s="130">
        <v>71627</v>
      </c>
      <c r="B6634" s="130">
        <v>18</v>
      </c>
      <c r="C6634" s="130" t="s">
        <v>8258</v>
      </c>
      <c r="D6634">
        <v>777</v>
      </c>
      <c r="E6634" s="130">
        <v>32901467</v>
      </c>
      <c r="F6634" t="s">
        <v>87</v>
      </c>
      <c r="G6634">
        <v>78</v>
      </c>
      <c r="H6634" t="s">
        <v>8953</v>
      </c>
      <c r="I6634" s="130">
        <v>19</v>
      </c>
      <c r="J6634" t="s">
        <v>8258</v>
      </c>
      <c r="K6634" t="s">
        <v>95</v>
      </c>
      <c r="L6634" t="s">
        <v>146</v>
      </c>
      <c r="M6634" t="s">
        <v>112</v>
      </c>
      <c r="N6634" t="s">
        <v>132</v>
      </c>
      <c r="O6634" t="s">
        <v>116</v>
      </c>
    </row>
    <row r="6635" spans="1:15" x14ac:dyDescent="0.3">
      <c r="A6635" s="130">
        <v>71630</v>
      </c>
      <c r="B6635" s="130">
        <v>18</v>
      </c>
      <c r="C6635" s="130" t="s">
        <v>8259</v>
      </c>
      <c r="D6635">
        <v>778</v>
      </c>
      <c r="E6635" s="131">
        <v>19235340</v>
      </c>
      <c r="F6635" t="s">
        <v>87</v>
      </c>
      <c r="G6635">
        <v>358</v>
      </c>
      <c r="H6635" t="s">
        <v>8951</v>
      </c>
      <c r="I6635" s="130">
        <v>24</v>
      </c>
      <c r="J6635" t="s">
        <v>8259</v>
      </c>
      <c r="K6635" t="s">
        <v>95</v>
      </c>
      <c r="L6635" t="s">
        <v>99</v>
      </c>
      <c r="M6635" t="s">
        <v>112</v>
      </c>
      <c r="N6635" t="s">
        <v>98</v>
      </c>
      <c r="O6635" t="s">
        <v>1345</v>
      </c>
    </row>
    <row r="6636" spans="1:15" x14ac:dyDescent="0.3">
      <c r="A6636" s="130">
        <v>71633</v>
      </c>
      <c r="B6636" s="130">
        <v>18</v>
      </c>
      <c r="C6636" s="130" t="s">
        <v>8260</v>
      </c>
      <c r="D6636">
        <v>779</v>
      </c>
      <c r="E6636" s="130">
        <v>12557849</v>
      </c>
      <c r="F6636" t="s">
        <v>87</v>
      </c>
      <c r="G6636">
        <v>78</v>
      </c>
      <c r="H6636" t="s">
        <v>8952</v>
      </c>
      <c r="I6636" s="131">
        <v>9</v>
      </c>
      <c r="J6636" t="s">
        <v>8260</v>
      </c>
      <c r="K6636" t="s">
        <v>108</v>
      </c>
      <c r="L6636" t="s">
        <v>1298</v>
      </c>
      <c r="M6636" t="s">
        <v>112</v>
      </c>
      <c r="N6636" t="s">
        <v>98</v>
      </c>
      <c r="O6636" t="s">
        <v>116</v>
      </c>
    </row>
    <row r="6637" spans="1:15" x14ac:dyDescent="0.3">
      <c r="A6637" s="130">
        <v>71638</v>
      </c>
      <c r="B6637" s="130">
        <v>30</v>
      </c>
      <c r="C6637" s="130" t="s">
        <v>8261</v>
      </c>
      <c r="D6637">
        <v>780</v>
      </c>
      <c r="E6637" s="131">
        <v>22459478</v>
      </c>
      <c r="F6637" t="s">
        <v>87</v>
      </c>
      <c r="G6637">
        <v>77</v>
      </c>
      <c r="H6637" t="s">
        <v>8953</v>
      </c>
      <c r="I6637" s="130">
        <v>2</v>
      </c>
      <c r="J6637" t="s">
        <v>8261</v>
      </c>
      <c r="K6637" t="s">
        <v>95</v>
      </c>
      <c r="L6637" t="s">
        <v>1255</v>
      </c>
      <c r="M6637" t="s">
        <v>103</v>
      </c>
      <c r="N6637" t="s">
        <v>150</v>
      </c>
      <c r="O6637" t="s">
        <v>1345</v>
      </c>
    </row>
    <row r="6638" spans="1:15" x14ac:dyDescent="0.3">
      <c r="A6638" s="130">
        <v>71639</v>
      </c>
      <c r="B6638" s="130">
        <v>30</v>
      </c>
      <c r="C6638" s="130" t="s">
        <v>8262</v>
      </c>
      <c r="D6638">
        <v>781</v>
      </c>
      <c r="E6638" s="131">
        <v>15315406</v>
      </c>
      <c r="F6638" t="s">
        <v>87</v>
      </c>
      <c r="G6638">
        <v>77</v>
      </c>
      <c r="H6638" t="s">
        <v>8951</v>
      </c>
      <c r="I6638" s="130">
        <v>2</v>
      </c>
      <c r="J6638" t="s">
        <v>8262</v>
      </c>
      <c r="K6638" t="s">
        <v>95</v>
      </c>
      <c r="L6638" t="s">
        <v>1255</v>
      </c>
      <c r="M6638" t="s">
        <v>103</v>
      </c>
      <c r="N6638" t="s">
        <v>150</v>
      </c>
      <c r="O6638" t="s">
        <v>1345</v>
      </c>
    </row>
    <row r="6639" spans="1:15" x14ac:dyDescent="0.3">
      <c r="A6639" s="130">
        <v>71645</v>
      </c>
      <c r="B6639" s="130">
        <v>18</v>
      </c>
      <c r="C6639" s="130" t="s">
        <v>8263</v>
      </c>
      <c r="D6639">
        <v>782</v>
      </c>
      <c r="E6639" s="130">
        <v>14788495</v>
      </c>
      <c r="F6639" t="s">
        <v>87</v>
      </c>
      <c r="G6639">
        <v>78</v>
      </c>
      <c r="H6639" t="s">
        <v>8952</v>
      </c>
      <c r="I6639" s="130">
        <v>24</v>
      </c>
      <c r="J6639" t="s">
        <v>8263</v>
      </c>
      <c r="K6639" t="s">
        <v>95</v>
      </c>
      <c r="L6639" t="s">
        <v>144</v>
      </c>
      <c r="M6639" t="s">
        <v>112</v>
      </c>
      <c r="N6639" t="s">
        <v>124</v>
      </c>
      <c r="O6639" t="s">
        <v>1345</v>
      </c>
    </row>
    <row r="6640" spans="1:15" x14ac:dyDescent="0.3">
      <c r="A6640" s="130">
        <v>71650</v>
      </c>
      <c r="B6640" s="130">
        <v>30</v>
      </c>
      <c r="C6640" s="130" t="s">
        <v>8264</v>
      </c>
      <c r="D6640">
        <v>783</v>
      </c>
      <c r="E6640" s="130">
        <v>33000167</v>
      </c>
      <c r="F6640" t="s">
        <v>87</v>
      </c>
      <c r="G6640">
        <v>78</v>
      </c>
      <c r="H6640" t="s">
        <v>8953</v>
      </c>
      <c r="I6640" s="130">
        <v>18</v>
      </c>
      <c r="J6640" t="s">
        <v>8264</v>
      </c>
      <c r="K6640" t="s">
        <v>95</v>
      </c>
      <c r="L6640" t="s">
        <v>102</v>
      </c>
      <c r="M6640" t="s">
        <v>103</v>
      </c>
      <c r="N6640" t="s">
        <v>101</v>
      </c>
      <c r="O6640" t="s">
        <v>116</v>
      </c>
    </row>
    <row r="6641" spans="1:15" x14ac:dyDescent="0.3">
      <c r="A6641" s="130">
        <v>71651</v>
      </c>
      <c r="B6641" s="130">
        <v>30</v>
      </c>
      <c r="C6641" s="130" t="s">
        <v>8265</v>
      </c>
      <c r="D6641">
        <v>784</v>
      </c>
      <c r="E6641" s="130">
        <v>89723977</v>
      </c>
      <c r="F6641" t="s">
        <v>87</v>
      </c>
      <c r="G6641">
        <v>78</v>
      </c>
      <c r="H6641" t="s">
        <v>8951</v>
      </c>
      <c r="I6641" s="130">
        <v>10</v>
      </c>
      <c r="J6641" t="s">
        <v>8265</v>
      </c>
      <c r="K6641" t="s">
        <v>108</v>
      </c>
      <c r="L6641" t="s">
        <v>127</v>
      </c>
      <c r="M6641" t="s">
        <v>103</v>
      </c>
      <c r="N6641" t="s">
        <v>98</v>
      </c>
      <c r="O6641" t="s">
        <v>1345</v>
      </c>
    </row>
    <row r="6642" spans="1:15" x14ac:dyDescent="0.3">
      <c r="A6642" s="130">
        <v>71659</v>
      </c>
      <c r="B6642" s="130">
        <v>18</v>
      </c>
      <c r="C6642" s="130" t="s">
        <v>8266</v>
      </c>
      <c r="D6642">
        <v>785</v>
      </c>
      <c r="E6642" s="131">
        <v>18254635</v>
      </c>
      <c r="F6642" t="s">
        <v>87</v>
      </c>
      <c r="G6642">
        <v>78</v>
      </c>
      <c r="H6642" t="s">
        <v>8952</v>
      </c>
      <c r="I6642" s="131">
        <v>24</v>
      </c>
      <c r="J6642" t="s">
        <v>8266</v>
      </c>
      <c r="K6642" t="s">
        <v>108</v>
      </c>
      <c r="L6642" t="s">
        <v>109</v>
      </c>
      <c r="M6642" t="s">
        <v>112</v>
      </c>
      <c r="N6642" t="s">
        <v>150</v>
      </c>
      <c r="O6642" t="s">
        <v>116</v>
      </c>
    </row>
    <row r="6643" spans="1:15" x14ac:dyDescent="0.3">
      <c r="A6643" s="130">
        <v>71661</v>
      </c>
      <c r="B6643" s="130">
        <v>35</v>
      </c>
      <c r="C6643" s="130" t="s">
        <v>8267</v>
      </c>
      <c r="D6643">
        <v>786</v>
      </c>
      <c r="E6643" s="130">
        <v>3992929</v>
      </c>
      <c r="F6643" t="s">
        <v>87</v>
      </c>
      <c r="G6643">
        <v>78</v>
      </c>
      <c r="H6643" t="s">
        <v>8953</v>
      </c>
      <c r="I6643" s="130">
        <v>9</v>
      </c>
      <c r="J6643" t="s">
        <v>8267</v>
      </c>
      <c r="K6643" t="s">
        <v>95</v>
      </c>
      <c r="L6643" t="s">
        <v>125</v>
      </c>
      <c r="M6643" t="s">
        <v>161</v>
      </c>
      <c r="N6643" t="s">
        <v>98</v>
      </c>
      <c r="O6643" t="s">
        <v>1345</v>
      </c>
    </row>
    <row r="6644" spans="1:15" x14ac:dyDescent="0.3">
      <c r="A6644" s="130">
        <v>71665</v>
      </c>
      <c r="B6644" s="130">
        <v>30</v>
      </c>
      <c r="C6644" s="130" t="s">
        <v>8268</v>
      </c>
      <c r="D6644">
        <v>787</v>
      </c>
      <c r="E6644" s="130">
        <v>2692797</v>
      </c>
      <c r="F6644" t="s">
        <v>87</v>
      </c>
      <c r="G6644">
        <v>78</v>
      </c>
      <c r="H6644" t="s">
        <v>8951</v>
      </c>
      <c r="I6644" s="131">
        <v>18</v>
      </c>
      <c r="J6644" t="s">
        <v>8268</v>
      </c>
      <c r="K6644" t="s">
        <v>108</v>
      </c>
      <c r="L6644" t="s">
        <v>123</v>
      </c>
      <c r="M6644" t="s">
        <v>103</v>
      </c>
      <c r="N6644" t="s">
        <v>101</v>
      </c>
      <c r="O6644" t="s">
        <v>116</v>
      </c>
    </row>
    <row r="6645" spans="1:15" x14ac:dyDescent="0.3">
      <c r="A6645" s="130">
        <v>71667</v>
      </c>
      <c r="B6645" s="130">
        <v>30</v>
      </c>
      <c r="C6645" s="130" t="s">
        <v>8269</v>
      </c>
      <c r="D6645">
        <v>788</v>
      </c>
      <c r="E6645" s="131">
        <v>36892514</v>
      </c>
      <c r="F6645" t="s">
        <v>87</v>
      </c>
      <c r="G6645">
        <v>78</v>
      </c>
      <c r="H6645" t="s">
        <v>8952</v>
      </c>
      <c r="I6645" s="130">
        <v>9</v>
      </c>
      <c r="J6645" t="s">
        <v>8269</v>
      </c>
      <c r="K6645" t="s">
        <v>95</v>
      </c>
      <c r="L6645" t="s">
        <v>125</v>
      </c>
      <c r="M6645" t="s">
        <v>103</v>
      </c>
      <c r="N6645" t="s">
        <v>98</v>
      </c>
      <c r="O6645" t="s">
        <v>1345</v>
      </c>
    </row>
    <row r="6646" spans="1:15" x14ac:dyDescent="0.3">
      <c r="A6646" s="130">
        <v>71674</v>
      </c>
      <c r="B6646" s="130">
        <v>18</v>
      </c>
      <c r="C6646" s="130" t="s">
        <v>8270</v>
      </c>
      <c r="D6646">
        <v>789</v>
      </c>
      <c r="E6646" s="130">
        <v>24899026</v>
      </c>
      <c r="F6646" t="s">
        <v>87</v>
      </c>
      <c r="G6646">
        <v>78</v>
      </c>
      <c r="H6646" t="s">
        <v>8953</v>
      </c>
      <c r="I6646" s="131">
        <v>10</v>
      </c>
      <c r="J6646" t="s">
        <v>8270</v>
      </c>
      <c r="K6646" t="s">
        <v>95</v>
      </c>
      <c r="L6646" t="s">
        <v>127</v>
      </c>
      <c r="M6646" t="s">
        <v>112</v>
      </c>
      <c r="N6646" t="s">
        <v>118</v>
      </c>
      <c r="O6646" t="s">
        <v>1345</v>
      </c>
    </row>
    <row r="6647" spans="1:15" x14ac:dyDescent="0.3">
      <c r="A6647" s="130">
        <v>71675</v>
      </c>
      <c r="B6647" s="130">
        <v>18</v>
      </c>
      <c r="C6647" s="130" t="s">
        <v>8271</v>
      </c>
      <c r="D6647">
        <v>790</v>
      </c>
      <c r="E6647" s="130">
        <v>33193996</v>
      </c>
      <c r="F6647" t="s">
        <v>87</v>
      </c>
      <c r="G6647">
        <v>358</v>
      </c>
      <c r="H6647" t="s">
        <v>8951</v>
      </c>
      <c r="I6647" s="130">
        <v>10</v>
      </c>
      <c r="J6647" t="s">
        <v>8271</v>
      </c>
      <c r="K6647" t="s">
        <v>108</v>
      </c>
      <c r="L6647" t="s">
        <v>105</v>
      </c>
      <c r="M6647" t="s">
        <v>112</v>
      </c>
      <c r="N6647" t="s">
        <v>98</v>
      </c>
      <c r="O6647" t="s">
        <v>1345</v>
      </c>
    </row>
    <row r="6648" spans="1:15" x14ac:dyDescent="0.3">
      <c r="A6648" s="130">
        <v>71678</v>
      </c>
      <c r="B6648" s="130">
        <v>18</v>
      </c>
      <c r="C6648" s="130" t="s">
        <v>8272</v>
      </c>
      <c r="D6648">
        <v>791</v>
      </c>
      <c r="E6648" s="130">
        <v>2154018</v>
      </c>
      <c r="F6648" t="s">
        <v>87</v>
      </c>
      <c r="G6648">
        <v>78</v>
      </c>
      <c r="H6648" t="s">
        <v>8952</v>
      </c>
      <c r="I6648" s="130">
        <v>19</v>
      </c>
      <c r="J6648" t="s">
        <v>8272</v>
      </c>
      <c r="K6648" t="s">
        <v>108</v>
      </c>
      <c r="L6648" t="s">
        <v>146</v>
      </c>
      <c r="M6648" t="s">
        <v>112</v>
      </c>
      <c r="N6648" t="s">
        <v>114</v>
      </c>
      <c r="O6648" t="s">
        <v>1345</v>
      </c>
    </row>
    <row r="6649" spans="1:15" x14ac:dyDescent="0.3">
      <c r="A6649" s="130">
        <v>71685</v>
      </c>
      <c r="B6649" s="130">
        <v>30</v>
      </c>
      <c r="C6649" s="130" t="s">
        <v>8273</v>
      </c>
      <c r="D6649">
        <v>792</v>
      </c>
      <c r="E6649" s="130">
        <v>20700368</v>
      </c>
      <c r="F6649" t="s">
        <v>87</v>
      </c>
      <c r="G6649">
        <v>78</v>
      </c>
      <c r="H6649" t="s">
        <v>8953</v>
      </c>
      <c r="I6649" s="131">
        <v>9</v>
      </c>
      <c r="J6649" t="s">
        <v>8273</v>
      </c>
      <c r="K6649" t="s">
        <v>108</v>
      </c>
      <c r="L6649" t="s">
        <v>163</v>
      </c>
      <c r="M6649" t="s">
        <v>103</v>
      </c>
      <c r="N6649" t="s">
        <v>114</v>
      </c>
      <c r="O6649" t="s">
        <v>1345</v>
      </c>
    </row>
    <row r="6650" spans="1:15" x14ac:dyDescent="0.3">
      <c r="A6650" s="130">
        <v>71688</v>
      </c>
      <c r="B6650" s="130">
        <v>30</v>
      </c>
      <c r="C6650" s="130" t="s">
        <v>8274</v>
      </c>
      <c r="D6650">
        <v>793</v>
      </c>
      <c r="E6650" s="131">
        <v>33000167</v>
      </c>
      <c r="F6650" t="s">
        <v>87</v>
      </c>
      <c r="G6650">
        <v>78</v>
      </c>
      <c r="H6650" t="s">
        <v>8951</v>
      </c>
      <c r="I6650" s="130">
        <v>24</v>
      </c>
      <c r="J6650" t="s">
        <v>8274</v>
      </c>
      <c r="K6650" t="s">
        <v>95</v>
      </c>
      <c r="L6650" t="s">
        <v>102</v>
      </c>
      <c r="M6650" t="s">
        <v>103</v>
      </c>
      <c r="N6650" t="s">
        <v>101</v>
      </c>
      <c r="O6650" t="s">
        <v>116</v>
      </c>
    </row>
    <row r="6651" spans="1:15" x14ac:dyDescent="0.3">
      <c r="A6651" s="130">
        <v>71691</v>
      </c>
      <c r="B6651" s="130">
        <v>18</v>
      </c>
      <c r="C6651" s="130" t="s">
        <v>8275</v>
      </c>
      <c r="D6651">
        <v>794</v>
      </c>
      <c r="E6651" s="131">
        <v>18322925</v>
      </c>
      <c r="F6651" t="s">
        <v>87</v>
      </c>
      <c r="G6651">
        <v>358</v>
      </c>
      <c r="H6651" t="s">
        <v>8952</v>
      </c>
      <c r="I6651" s="130">
        <v>2</v>
      </c>
      <c r="J6651" t="s">
        <v>8275</v>
      </c>
      <c r="K6651" t="s">
        <v>108</v>
      </c>
      <c r="L6651" t="s">
        <v>99</v>
      </c>
      <c r="M6651" t="s">
        <v>112</v>
      </c>
      <c r="N6651" t="s">
        <v>98</v>
      </c>
      <c r="O6651" t="s">
        <v>1345</v>
      </c>
    </row>
    <row r="6652" spans="1:15" x14ac:dyDescent="0.3">
      <c r="A6652" s="130">
        <v>71692</v>
      </c>
      <c r="B6652" s="130">
        <v>18</v>
      </c>
      <c r="C6652" s="130" t="s">
        <v>8276</v>
      </c>
      <c r="D6652">
        <v>795</v>
      </c>
      <c r="E6652" s="130">
        <v>34730851</v>
      </c>
      <c r="F6652" t="s">
        <v>87</v>
      </c>
      <c r="G6652">
        <v>78</v>
      </c>
      <c r="H6652" t="s">
        <v>8953</v>
      </c>
      <c r="I6652" s="130">
        <v>19</v>
      </c>
      <c r="J6652" t="s">
        <v>8276</v>
      </c>
      <c r="K6652" t="s">
        <v>108</v>
      </c>
      <c r="L6652" t="s">
        <v>146</v>
      </c>
      <c r="M6652" t="s">
        <v>112</v>
      </c>
      <c r="N6652" t="s">
        <v>114</v>
      </c>
      <c r="O6652" t="s">
        <v>116</v>
      </c>
    </row>
    <row r="6653" spans="1:15" x14ac:dyDescent="0.3">
      <c r="A6653" s="130">
        <v>71695</v>
      </c>
      <c r="B6653" s="130">
        <v>18</v>
      </c>
      <c r="C6653" s="130" t="s">
        <v>8277</v>
      </c>
      <c r="D6653">
        <v>796</v>
      </c>
      <c r="E6653" s="130">
        <v>2390760</v>
      </c>
      <c r="F6653" t="s">
        <v>87</v>
      </c>
      <c r="G6653">
        <v>78</v>
      </c>
      <c r="H6653" t="s">
        <v>8951</v>
      </c>
      <c r="I6653" s="130">
        <v>9</v>
      </c>
      <c r="J6653" t="s">
        <v>8277</v>
      </c>
      <c r="K6653" t="s">
        <v>108</v>
      </c>
      <c r="L6653" t="s">
        <v>134</v>
      </c>
      <c r="M6653" t="s">
        <v>112</v>
      </c>
      <c r="N6653" t="s">
        <v>98</v>
      </c>
      <c r="O6653" t="s">
        <v>1345</v>
      </c>
    </row>
    <row r="6654" spans="1:15" x14ac:dyDescent="0.3">
      <c r="A6654" s="130">
        <v>71696</v>
      </c>
      <c r="B6654" s="130">
        <v>30</v>
      </c>
      <c r="C6654" s="130" t="s">
        <v>8278</v>
      </c>
      <c r="D6654">
        <v>797</v>
      </c>
      <c r="E6654" s="130">
        <v>7605563</v>
      </c>
      <c r="F6654" t="s">
        <v>87</v>
      </c>
      <c r="G6654">
        <v>358</v>
      </c>
      <c r="H6654" t="s">
        <v>8952</v>
      </c>
      <c r="I6654" s="130">
        <v>10</v>
      </c>
      <c r="J6654" t="s">
        <v>8278</v>
      </c>
      <c r="K6654" t="s">
        <v>95</v>
      </c>
      <c r="L6654" t="s">
        <v>109</v>
      </c>
      <c r="M6654" t="s">
        <v>103</v>
      </c>
      <c r="N6654" t="s">
        <v>118</v>
      </c>
      <c r="O6654" t="s">
        <v>116</v>
      </c>
    </row>
    <row r="6655" spans="1:15" x14ac:dyDescent="0.3">
      <c r="A6655" s="130">
        <v>71697</v>
      </c>
      <c r="B6655" s="130">
        <v>30</v>
      </c>
      <c r="C6655" s="130" t="s">
        <v>8279</v>
      </c>
      <c r="D6655">
        <v>798</v>
      </c>
      <c r="E6655" s="130">
        <v>26787117</v>
      </c>
      <c r="F6655" t="s">
        <v>87</v>
      </c>
      <c r="G6655">
        <v>77</v>
      </c>
      <c r="H6655" t="s">
        <v>8953</v>
      </c>
      <c r="I6655" s="130">
        <v>2</v>
      </c>
      <c r="J6655" t="s">
        <v>8279</v>
      </c>
      <c r="K6655" t="s">
        <v>95</v>
      </c>
      <c r="L6655" t="s">
        <v>1255</v>
      </c>
      <c r="M6655" t="s">
        <v>103</v>
      </c>
      <c r="N6655" t="s">
        <v>150</v>
      </c>
      <c r="O6655" t="s">
        <v>1345</v>
      </c>
    </row>
    <row r="6656" spans="1:15" x14ac:dyDescent="0.3">
      <c r="A6656" s="130">
        <v>71706</v>
      </c>
      <c r="B6656" s="130">
        <v>60</v>
      </c>
      <c r="C6656" s="130" t="s">
        <v>8280</v>
      </c>
      <c r="D6656">
        <v>799</v>
      </c>
      <c r="E6656" s="130">
        <v>3130160</v>
      </c>
      <c r="F6656" t="s">
        <v>87</v>
      </c>
      <c r="G6656">
        <v>78</v>
      </c>
      <c r="H6656" t="s">
        <v>8951</v>
      </c>
      <c r="I6656" s="130">
        <v>10</v>
      </c>
      <c r="J6656" t="s">
        <v>8280</v>
      </c>
      <c r="K6656" t="s">
        <v>108</v>
      </c>
      <c r="L6656" t="s">
        <v>127</v>
      </c>
      <c r="M6656" t="s">
        <v>97</v>
      </c>
      <c r="N6656" t="s">
        <v>124</v>
      </c>
      <c r="O6656" t="s">
        <v>1345</v>
      </c>
    </row>
    <row r="6657" spans="1:15" x14ac:dyDescent="0.3">
      <c r="A6657" s="130">
        <v>71707</v>
      </c>
      <c r="B6657" s="130">
        <v>60</v>
      </c>
      <c r="C6657" s="130" t="s">
        <v>8281</v>
      </c>
      <c r="D6657">
        <v>800</v>
      </c>
      <c r="E6657" s="131">
        <v>3130160</v>
      </c>
      <c r="F6657" t="s">
        <v>87</v>
      </c>
      <c r="G6657">
        <v>78</v>
      </c>
      <c r="H6657" t="s">
        <v>8952</v>
      </c>
      <c r="I6657" s="131">
        <v>10</v>
      </c>
      <c r="J6657" t="s">
        <v>8281</v>
      </c>
      <c r="K6657" t="s">
        <v>108</v>
      </c>
      <c r="L6657" t="s">
        <v>127</v>
      </c>
      <c r="M6657" t="s">
        <v>97</v>
      </c>
      <c r="N6657" t="s">
        <v>124</v>
      </c>
      <c r="O6657" t="s">
        <v>1345</v>
      </c>
    </row>
    <row r="6658" spans="1:15" x14ac:dyDescent="0.3">
      <c r="A6658" s="130">
        <v>71715</v>
      </c>
      <c r="B6658" s="130">
        <v>18</v>
      </c>
      <c r="C6658" s="130" t="s">
        <v>8282</v>
      </c>
      <c r="D6658">
        <v>801</v>
      </c>
      <c r="E6658" s="130">
        <v>15063096</v>
      </c>
      <c r="F6658" t="s">
        <v>87</v>
      </c>
      <c r="G6658">
        <v>358</v>
      </c>
      <c r="H6658" t="s">
        <v>8953</v>
      </c>
      <c r="I6658" s="131">
        <v>2</v>
      </c>
      <c r="J6658" t="s">
        <v>8282</v>
      </c>
      <c r="K6658" t="s">
        <v>95</v>
      </c>
      <c r="L6658" t="s">
        <v>99</v>
      </c>
      <c r="M6658" t="s">
        <v>112</v>
      </c>
      <c r="N6658" t="s">
        <v>114</v>
      </c>
      <c r="O6658" t="s">
        <v>1345</v>
      </c>
    </row>
    <row r="6659" spans="1:15" x14ac:dyDescent="0.3">
      <c r="A6659" s="130">
        <v>71719</v>
      </c>
      <c r="B6659" s="130">
        <v>30</v>
      </c>
      <c r="C6659" s="130" t="s">
        <v>8283</v>
      </c>
      <c r="D6659">
        <v>802</v>
      </c>
      <c r="E6659" s="130">
        <v>4980542</v>
      </c>
      <c r="F6659" t="s">
        <v>87</v>
      </c>
      <c r="G6659">
        <v>358</v>
      </c>
      <c r="H6659" t="s">
        <v>8951</v>
      </c>
      <c r="I6659" s="131">
        <v>2</v>
      </c>
      <c r="J6659" t="s">
        <v>8283</v>
      </c>
      <c r="K6659" t="s">
        <v>95</v>
      </c>
      <c r="L6659" t="s">
        <v>109</v>
      </c>
      <c r="M6659" t="s">
        <v>103</v>
      </c>
      <c r="N6659" t="s">
        <v>98</v>
      </c>
      <c r="O6659" t="s">
        <v>1345</v>
      </c>
    </row>
    <row r="6660" spans="1:15" x14ac:dyDescent="0.3">
      <c r="A6660" s="130">
        <v>71725</v>
      </c>
      <c r="B6660" s="130">
        <v>20</v>
      </c>
      <c r="C6660" s="130" t="s">
        <v>8284</v>
      </c>
      <c r="D6660">
        <v>803</v>
      </c>
      <c r="E6660" s="130">
        <v>10736565</v>
      </c>
      <c r="F6660" t="s">
        <v>87</v>
      </c>
      <c r="G6660">
        <v>358</v>
      </c>
      <c r="H6660" t="s">
        <v>8952</v>
      </c>
      <c r="I6660" s="131">
        <v>2</v>
      </c>
      <c r="J6660" t="s">
        <v>8284</v>
      </c>
      <c r="K6660" t="s">
        <v>95</v>
      </c>
      <c r="L6660" t="s">
        <v>109</v>
      </c>
      <c r="M6660" t="s">
        <v>148</v>
      </c>
      <c r="N6660" t="s">
        <v>114</v>
      </c>
      <c r="O6660" t="s">
        <v>1345</v>
      </c>
    </row>
    <row r="6661" spans="1:15" x14ac:dyDescent="0.3">
      <c r="A6661" s="130">
        <v>71732</v>
      </c>
      <c r="B6661" s="130">
        <v>30</v>
      </c>
      <c r="C6661" s="130" t="s">
        <v>8285</v>
      </c>
      <c r="D6661">
        <v>804</v>
      </c>
      <c r="E6661" s="131">
        <v>8343492</v>
      </c>
      <c r="F6661" t="s">
        <v>87</v>
      </c>
      <c r="G6661">
        <v>77</v>
      </c>
      <c r="H6661" t="s">
        <v>8953</v>
      </c>
      <c r="I6661" s="130">
        <v>18</v>
      </c>
      <c r="J6661" t="s">
        <v>8285</v>
      </c>
      <c r="K6661" t="s">
        <v>95</v>
      </c>
      <c r="L6661" t="s">
        <v>1255</v>
      </c>
      <c r="M6661" t="s">
        <v>103</v>
      </c>
      <c r="N6661" t="s">
        <v>98</v>
      </c>
      <c r="O6661" t="s">
        <v>1345</v>
      </c>
    </row>
    <row r="6662" spans="1:15" x14ac:dyDescent="0.3">
      <c r="A6662" s="130">
        <v>71739</v>
      </c>
      <c r="B6662" s="130">
        <v>18</v>
      </c>
      <c r="C6662" s="130" t="s">
        <v>8286</v>
      </c>
      <c r="D6662">
        <v>805</v>
      </c>
      <c r="E6662" s="130">
        <v>2783217</v>
      </c>
      <c r="F6662" t="s">
        <v>87</v>
      </c>
      <c r="G6662">
        <v>78</v>
      </c>
      <c r="H6662" t="s">
        <v>8951</v>
      </c>
      <c r="I6662" s="130">
        <v>19</v>
      </c>
      <c r="J6662" t="s">
        <v>8286</v>
      </c>
      <c r="K6662" t="s">
        <v>108</v>
      </c>
      <c r="L6662" t="s">
        <v>146</v>
      </c>
      <c r="M6662" t="s">
        <v>112</v>
      </c>
      <c r="N6662" t="s">
        <v>107</v>
      </c>
      <c r="O6662" t="s">
        <v>1345</v>
      </c>
    </row>
    <row r="6663" spans="1:15" x14ac:dyDescent="0.3">
      <c r="A6663" s="130">
        <v>71740</v>
      </c>
      <c r="B6663" s="130">
        <v>18</v>
      </c>
      <c r="C6663" s="130" t="s">
        <v>8287</v>
      </c>
      <c r="D6663">
        <v>806</v>
      </c>
      <c r="E6663" s="130">
        <v>61854147</v>
      </c>
      <c r="F6663" t="s">
        <v>87</v>
      </c>
      <c r="G6663">
        <v>78</v>
      </c>
      <c r="H6663" t="s">
        <v>8952</v>
      </c>
      <c r="I6663" s="131">
        <v>19</v>
      </c>
      <c r="J6663" t="s">
        <v>8287</v>
      </c>
      <c r="K6663" t="s">
        <v>108</v>
      </c>
      <c r="L6663" t="s">
        <v>146</v>
      </c>
      <c r="M6663" t="s">
        <v>112</v>
      </c>
      <c r="N6663" t="s">
        <v>107</v>
      </c>
      <c r="O6663" t="s">
        <v>1345</v>
      </c>
    </row>
    <row r="6664" spans="1:15" x14ac:dyDescent="0.3">
      <c r="A6664" s="130">
        <v>71753</v>
      </c>
      <c r="B6664" s="130">
        <v>18</v>
      </c>
      <c r="C6664" s="130" t="s">
        <v>8288</v>
      </c>
      <c r="D6664">
        <v>807</v>
      </c>
      <c r="E6664" s="130">
        <v>2763210</v>
      </c>
      <c r="F6664" t="s">
        <v>87</v>
      </c>
      <c r="G6664">
        <v>78</v>
      </c>
      <c r="H6664" t="s">
        <v>8953</v>
      </c>
      <c r="I6664" s="130">
        <v>9</v>
      </c>
      <c r="J6664" t="s">
        <v>8288</v>
      </c>
      <c r="K6664" t="s">
        <v>95</v>
      </c>
      <c r="L6664" t="s">
        <v>125</v>
      </c>
      <c r="M6664" t="s">
        <v>112</v>
      </c>
      <c r="N6664" t="s">
        <v>98</v>
      </c>
      <c r="O6664" t="s">
        <v>1345</v>
      </c>
    </row>
    <row r="6665" spans="1:15" x14ac:dyDescent="0.3">
      <c r="A6665" s="130">
        <v>71758</v>
      </c>
      <c r="B6665" s="130">
        <v>45</v>
      </c>
      <c r="C6665" s="130" t="s">
        <v>8289</v>
      </c>
      <c r="D6665">
        <v>808</v>
      </c>
      <c r="E6665" s="131">
        <v>1294551</v>
      </c>
      <c r="F6665" t="s">
        <v>87</v>
      </c>
      <c r="G6665">
        <v>78</v>
      </c>
      <c r="H6665" t="s">
        <v>8951</v>
      </c>
      <c r="I6665" s="131">
        <v>9</v>
      </c>
      <c r="J6665" t="s">
        <v>8289</v>
      </c>
      <c r="K6665" t="s">
        <v>95</v>
      </c>
      <c r="L6665" t="s">
        <v>125</v>
      </c>
      <c r="M6665" t="s">
        <v>106</v>
      </c>
      <c r="N6665" t="s">
        <v>98</v>
      </c>
      <c r="O6665" t="s">
        <v>1345</v>
      </c>
    </row>
    <row r="6666" spans="1:15" x14ac:dyDescent="0.3">
      <c r="A6666" s="130">
        <v>71760</v>
      </c>
      <c r="B6666" s="130">
        <v>30</v>
      </c>
      <c r="C6666" s="130" t="s">
        <v>8290</v>
      </c>
      <c r="D6666">
        <v>809</v>
      </c>
      <c r="E6666" s="131">
        <v>17155391</v>
      </c>
      <c r="F6666" t="s">
        <v>87</v>
      </c>
      <c r="G6666">
        <v>78</v>
      </c>
      <c r="H6666" t="s">
        <v>8952</v>
      </c>
      <c r="I6666" s="130">
        <v>10</v>
      </c>
      <c r="J6666" t="s">
        <v>8290</v>
      </c>
      <c r="K6666" t="s">
        <v>95</v>
      </c>
      <c r="L6666" t="s">
        <v>105</v>
      </c>
      <c r="M6666" t="s">
        <v>103</v>
      </c>
      <c r="N6666" t="s">
        <v>98</v>
      </c>
      <c r="O6666" t="s">
        <v>1345</v>
      </c>
    </row>
    <row r="6667" spans="1:15" x14ac:dyDescent="0.3">
      <c r="A6667" s="130">
        <v>71764</v>
      </c>
      <c r="B6667" s="130">
        <v>30</v>
      </c>
      <c r="C6667" s="130" t="s">
        <v>8291</v>
      </c>
      <c r="D6667">
        <v>810</v>
      </c>
      <c r="E6667" s="131">
        <v>4980542</v>
      </c>
      <c r="F6667" t="s">
        <v>87</v>
      </c>
      <c r="G6667">
        <v>358</v>
      </c>
      <c r="H6667" t="s">
        <v>8953</v>
      </c>
      <c r="I6667" s="131">
        <v>2</v>
      </c>
      <c r="J6667" t="s">
        <v>8291</v>
      </c>
      <c r="K6667" t="s">
        <v>95</v>
      </c>
      <c r="L6667" t="s">
        <v>140</v>
      </c>
      <c r="M6667" t="s">
        <v>103</v>
      </c>
      <c r="N6667" t="s">
        <v>98</v>
      </c>
      <c r="O6667" t="s">
        <v>1345</v>
      </c>
    </row>
    <row r="6668" spans="1:15" x14ac:dyDescent="0.3">
      <c r="A6668" s="130">
        <v>71765</v>
      </c>
      <c r="B6668" s="130">
        <v>18</v>
      </c>
      <c r="C6668" s="130" t="s">
        <v>8292</v>
      </c>
      <c r="D6668">
        <v>811</v>
      </c>
      <c r="E6668" s="131">
        <v>34844289</v>
      </c>
      <c r="F6668" t="s">
        <v>87</v>
      </c>
      <c r="G6668">
        <v>358</v>
      </c>
      <c r="H6668" t="s">
        <v>8951</v>
      </c>
      <c r="I6668" s="130">
        <v>2</v>
      </c>
      <c r="J6668" t="s">
        <v>8292</v>
      </c>
      <c r="K6668" t="s">
        <v>108</v>
      </c>
      <c r="L6668" t="s">
        <v>193</v>
      </c>
      <c r="M6668" t="s">
        <v>112</v>
      </c>
      <c r="N6668" t="s">
        <v>101</v>
      </c>
      <c r="O6668" t="s">
        <v>1345</v>
      </c>
    </row>
    <row r="6669" spans="1:15" x14ac:dyDescent="0.3">
      <c r="A6669" s="130">
        <v>71767</v>
      </c>
      <c r="B6669" s="130">
        <v>30</v>
      </c>
      <c r="C6669" s="130" t="s">
        <v>8293</v>
      </c>
      <c r="D6669">
        <v>812</v>
      </c>
      <c r="E6669" s="130">
        <v>7605563</v>
      </c>
      <c r="F6669" t="s">
        <v>87</v>
      </c>
      <c r="G6669">
        <v>358</v>
      </c>
      <c r="H6669" t="s">
        <v>8952</v>
      </c>
      <c r="I6669" s="130">
        <v>10</v>
      </c>
      <c r="J6669" t="s">
        <v>8293</v>
      </c>
      <c r="K6669" t="s">
        <v>95</v>
      </c>
      <c r="L6669" t="s">
        <v>105</v>
      </c>
      <c r="M6669" t="s">
        <v>103</v>
      </c>
      <c r="N6669" t="s">
        <v>118</v>
      </c>
      <c r="O6669" t="s">
        <v>1345</v>
      </c>
    </row>
    <row r="6670" spans="1:15" x14ac:dyDescent="0.3">
      <c r="A6670" s="130">
        <v>71768</v>
      </c>
      <c r="B6670" s="130">
        <v>30</v>
      </c>
      <c r="C6670" s="130" t="s">
        <v>8294</v>
      </c>
      <c r="D6670">
        <v>813</v>
      </c>
      <c r="E6670" s="130">
        <v>7605563</v>
      </c>
      <c r="F6670" t="s">
        <v>87</v>
      </c>
      <c r="G6670">
        <v>358</v>
      </c>
      <c r="H6670" t="s">
        <v>8953</v>
      </c>
      <c r="I6670" s="130">
        <v>10</v>
      </c>
      <c r="J6670" t="s">
        <v>8294</v>
      </c>
      <c r="K6670" t="s">
        <v>95</v>
      </c>
      <c r="L6670" t="s">
        <v>105</v>
      </c>
      <c r="M6670" t="s">
        <v>103</v>
      </c>
      <c r="N6670" t="s">
        <v>118</v>
      </c>
      <c r="O6670" t="s">
        <v>1345</v>
      </c>
    </row>
    <row r="6671" spans="1:15" x14ac:dyDescent="0.3">
      <c r="A6671" s="130">
        <v>71772</v>
      </c>
      <c r="B6671" s="130">
        <v>30</v>
      </c>
      <c r="C6671" s="130" t="s">
        <v>8295</v>
      </c>
      <c r="D6671">
        <v>814</v>
      </c>
      <c r="E6671" s="131">
        <v>4060779</v>
      </c>
      <c r="F6671" t="s">
        <v>87</v>
      </c>
      <c r="G6671">
        <v>358</v>
      </c>
      <c r="H6671" t="s">
        <v>8951</v>
      </c>
      <c r="I6671" s="131">
        <v>2</v>
      </c>
      <c r="J6671" t="s">
        <v>8295</v>
      </c>
      <c r="K6671" t="s">
        <v>95</v>
      </c>
      <c r="L6671" t="s">
        <v>109</v>
      </c>
      <c r="M6671" t="s">
        <v>103</v>
      </c>
      <c r="N6671" t="s">
        <v>98</v>
      </c>
      <c r="O6671" t="s">
        <v>1345</v>
      </c>
    </row>
    <row r="6672" spans="1:15" x14ac:dyDescent="0.3">
      <c r="A6672" s="130">
        <v>71776</v>
      </c>
      <c r="B6672" s="130">
        <v>30</v>
      </c>
      <c r="C6672" s="130" t="s">
        <v>8296</v>
      </c>
      <c r="D6672">
        <v>815</v>
      </c>
      <c r="E6672" s="130">
        <v>17069832</v>
      </c>
      <c r="F6672" t="s">
        <v>87</v>
      </c>
      <c r="G6672">
        <v>78</v>
      </c>
      <c r="H6672" t="s">
        <v>8952</v>
      </c>
      <c r="I6672" s="131">
        <v>24</v>
      </c>
      <c r="J6672" t="s">
        <v>8296</v>
      </c>
      <c r="K6672" t="s">
        <v>108</v>
      </c>
      <c r="L6672" t="s">
        <v>1346</v>
      </c>
      <c r="M6672" t="s">
        <v>103</v>
      </c>
      <c r="N6672" t="s">
        <v>98</v>
      </c>
      <c r="O6672" t="s">
        <v>1345</v>
      </c>
    </row>
    <row r="6673" spans="1:15" x14ac:dyDescent="0.3">
      <c r="A6673" s="130">
        <v>71779</v>
      </c>
      <c r="B6673" s="130">
        <v>18</v>
      </c>
      <c r="C6673" s="130" t="s">
        <v>8297</v>
      </c>
      <c r="D6673">
        <v>816</v>
      </c>
      <c r="E6673" s="130">
        <v>22060255</v>
      </c>
      <c r="F6673" t="s">
        <v>87</v>
      </c>
      <c r="G6673">
        <v>358</v>
      </c>
      <c r="H6673" t="s">
        <v>8953</v>
      </c>
      <c r="I6673" s="130">
        <v>2</v>
      </c>
      <c r="J6673" t="s">
        <v>8297</v>
      </c>
      <c r="K6673" t="s">
        <v>95</v>
      </c>
      <c r="L6673" t="s">
        <v>111</v>
      </c>
      <c r="M6673" t="s">
        <v>112</v>
      </c>
      <c r="N6673" t="s">
        <v>98</v>
      </c>
      <c r="O6673" t="s">
        <v>1345</v>
      </c>
    </row>
    <row r="6674" spans="1:15" x14ac:dyDescent="0.3">
      <c r="A6674" s="130">
        <v>71780</v>
      </c>
      <c r="B6674" s="130">
        <v>18</v>
      </c>
      <c r="C6674" s="130" t="s">
        <v>8298</v>
      </c>
      <c r="D6674">
        <v>817</v>
      </c>
      <c r="E6674" s="130">
        <v>25216186</v>
      </c>
      <c r="F6674" t="s">
        <v>87</v>
      </c>
      <c r="G6674">
        <v>78</v>
      </c>
      <c r="H6674" t="s">
        <v>8951</v>
      </c>
      <c r="I6674" s="130">
        <v>24</v>
      </c>
      <c r="J6674" t="s">
        <v>8298</v>
      </c>
      <c r="K6674" t="s">
        <v>95</v>
      </c>
      <c r="L6674" t="s">
        <v>138</v>
      </c>
      <c r="M6674" t="s">
        <v>112</v>
      </c>
      <c r="N6674" t="s">
        <v>150</v>
      </c>
      <c r="O6674" t="s">
        <v>1345</v>
      </c>
    </row>
    <row r="6675" spans="1:15" x14ac:dyDescent="0.3">
      <c r="A6675" s="130">
        <v>71786</v>
      </c>
      <c r="B6675" s="130">
        <v>28</v>
      </c>
      <c r="C6675" s="130" t="s">
        <v>8299</v>
      </c>
      <c r="D6675">
        <v>818</v>
      </c>
      <c r="E6675" s="130">
        <v>29886501</v>
      </c>
      <c r="F6675" t="s">
        <v>87</v>
      </c>
      <c r="G6675">
        <v>78</v>
      </c>
      <c r="H6675" t="s">
        <v>8952</v>
      </c>
      <c r="I6675" s="130">
        <v>24</v>
      </c>
      <c r="J6675" t="s">
        <v>8299</v>
      </c>
      <c r="K6675" t="s">
        <v>95</v>
      </c>
      <c r="L6675" t="s">
        <v>138</v>
      </c>
      <c r="M6675" t="s">
        <v>130</v>
      </c>
      <c r="N6675" t="s">
        <v>98</v>
      </c>
      <c r="O6675" t="s">
        <v>1345</v>
      </c>
    </row>
    <row r="6676" spans="1:15" x14ac:dyDescent="0.3">
      <c r="A6676" s="130">
        <v>71791</v>
      </c>
      <c r="B6676" s="130">
        <v>18</v>
      </c>
      <c r="C6676" s="130" t="s">
        <v>8300</v>
      </c>
      <c r="D6676">
        <v>819</v>
      </c>
      <c r="E6676" s="130">
        <v>34597906</v>
      </c>
      <c r="F6676" t="s">
        <v>87</v>
      </c>
      <c r="G6676">
        <v>358</v>
      </c>
      <c r="H6676" t="s">
        <v>8953</v>
      </c>
      <c r="I6676" s="131">
        <v>10</v>
      </c>
      <c r="J6676" t="s">
        <v>8300</v>
      </c>
      <c r="K6676" t="s">
        <v>95</v>
      </c>
      <c r="L6676" t="s">
        <v>105</v>
      </c>
      <c r="M6676" t="s">
        <v>112</v>
      </c>
      <c r="N6676" t="s">
        <v>98</v>
      </c>
      <c r="O6676" t="s">
        <v>1345</v>
      </c>
    </row>
    <row r="6677" spans="1:15" x14ac:dyDescent="0.3">
      <c r="A6677" s="130">
        <v>71792</v>
      </c>
      <c r="B6677" s="130">
        <v>18</v>
      </c>
      <c r="C6677" s="130" t="s">
        <v>8301</v>
      </c>
      <c r="D6677">
        <v>820</v>
      </c>
      <c r="E6677" s="130">
        <v>34597906</v>
      </c>
      <c r="F6677" t="s">
        <v>87</v>
      </c>
      <c r="G6677">
        <v>358</v>
      </c>
      <c r="H6677" t="s">
        <v>8951</v>
      </c>
      <c r="I6677" s="130">
        <v>10</v>
      </c>
      <c r="J6677" t="s">
        <v>8301</v>
      </c>
      <c r="K6677" t="s">
        <v>95</v>
      </c>
      <c r="L6677" t="s">
        <v>105</v>
      </c>
      <c r="M6677" t="s">
        <v>112</v>
      </c>
      <c r="N6677" t="s">
        <v>98</v>
      </c>
      <c r="O6677" t="s">
        <v>1345</v>
      </c>
    </row>
    <row r="6678" spans="1:15" x14ac:dyDescent="0.3">
      <c r="A6678" s="130">
        <v>71794</v>
      </c>
      <c r="B6678" s="130">
        <v>30</v>
      </c>
      <c r="C6678" s="130" t="s">
        <v>8302</v>
      </c>
      <c r="D6678">
        <v>821</v>
      </c>
      <c r="E6678" s="130">
        <v>17159856</v>
      </c>
      <c r="F6678" t="s">
        <v>87</v>
      </c>
      <c r="G6678">
        <v>358</v>
      </c>
      <c r="H6678" t="s">
        <v>8952</v>
      </c>
      <c r="I6678" s="130">
        <v>43</v>
      </c>
      <c r="J6678" t="s">
        <v>8302</v>
      </c>
      <c r="K6678" t="s">
        <v>95</v>
      </c>
      <c r="L6678" t="s">
        <v>105</v>
      </c>
      <c r="M6678" t="s">
        <v>103</v>
      </c>
      <c r="N6678" t="s">
        <v>114</v>
      </c>
      <c r="O6678" t="s">
        <v>1345</v>
      </c>
    </row>
    <row r="6679" spans="1:15" x14ac:dyDescent="0.3">
      <c r="A6679" s="130">
        <v>71801</v>
      </c>
      <c r="B6679" s="130">
        <v>28</v>
      </c>
      <c r="C6679" s="130" t="s">
        <v>8303</v>
      </c>
      <c r="D6679">
        <v>822</v>
      </c>
      <c r="E6679" s="131">
        <v>34660772</v>
      </c>
      <c r="F6679" t="s">
        <v>87</v>
      </c>
      <c r="G6679">
        <v>78</v>
      </c>
      <c r="H6679" t="s">
        <v>8953</v>
      </c>
      <c r="I6679" s="130">
        <v>24</v>
      </c>
      <c r="J6679" t="s">
        <v>8303</v>
      </c>
      <c r="K6679" t="s">
        <v>95</v>
      </c>
      <c r="L6679" t="s">
        <v>138</v>
      </c>
      <c r="M6679" t="s">
        <v>130</v>
      </c>
      <c r="N6679" t="s">
        <v>150</v>
      </c>
      <c r="O6679" t="s">
        <v>1345</v>
      </c>
    </row>
    <row r="6680" spans="1:15" x14ac:dyDescent="0.3">
      <c r="A6680" s="130">
        <v>71815</v>
      </c>
      <c r="B6680" s="130">
        <v>30</v>
      </c>
      <c r="C6680" s="130" t="s">
        <v>8304</v>
      </c>
      <c r="D6680">
        <v>823</v>
      </c>
      <c r="E6680" s="130">
        <v>82502196</v>
      </c>
      <c r="F6680" t="s">
        <v>87</v>
      </c>
      <c r="G6680">
        <v>358</v>
      </c>
      <c r="H6680" t="s">
        <v>8951</v>
      </c>
      <c r="I6680" s="130">
        <v>10</v>
      </c>
      <c r="J6680" t="s">
        <v>8304</v>
      </c>
      <c r="K6680" t="s">
        <v>95</v>
      </c>
      <c r="L6680" t="s">
        <v>105</v>
      </c>
      <c r="M6680" t="s">
        <v>103</v>
      </c>
      <c r="N6680" t="s">
        <v>98</v>
      </c>
      <c r="O6680" t="s">
        <v>1345</v>
      </c>
    </row>
    <row r="6681" spans="1:15" x14ac:dyDescent="0.3">
      <c r="A6681" s="130">
        <v>71828</v>
      </c>
      <c r="B6681" s="130">
        <v>30</v>
      </c>
      <c r="C6681" s="130" t="s">
        <v>8305</v>
      </c>
      <c r="D6681">
        <v>824</v>
      </c>
      <c r="E6681" s="130">
        <v>8343492</v>
      </c>
      <c r="F6681" t="s">
        <v>87</v>
      </c>
      <c r="G6681">
        <v>77</v>
      </c>
      <c r="H6681" t="s">
        <v>8952</v>
      </c>
      <c r="I6681" s="130">
        <v>18</v>
      </c>
      <c r="J6681" t="s">
        <v>8305</v>
      </c>
      <c r="K6681" t="s">
        <v>95</v>
      </c>
      <c r="L6681" t="s">
        <v>119</v>
      </c>
      <c r="M6681" t="s">
        <v>103</v>
      </c>
      <c r="N6681" t="s">
        <v>98</v>
      </c>
      <c r="O6681" t="s">
        <v>1345</v>
      </c>
    </row>
    <row r="6682" spans="1:15" x14ac:dyDescent="0.3">
      <c r="A6682" s="130">
        <v>71837</v>
      </c>
      <c r="B6682" s="130">
        <v>18</v>
      </c>
      <c r="C6682" s="130" t="s">
        <v>8306</v>
      </c>
      <c r="D6682">
        <v>825</v>
      </c>
      <c r="E6682" s="130">
        <v>36163718</v>
      </c>
      <c r="F6682" t="s">
        <v>87</v>
      </c>
      <c r="G6682">
        <v>78</v>
      </c>
      <c r="H6682" t="s">
        <v>8953</v>
      </c>
      <c r="I6682" s="130">
        <v>24</v>
      </c>
      <c r="J6682" t="s">
        <v>8306</v>
      </c>
      <c r="K6682" t="s">
        <v>108</v>
      </c>
      <c r="L6682" t="s">
        <v>138</v>
      </c>
      <c r="M6682" t="s">
        <v>112</v>
      </c>
      <c r="N6682" t="s">
        <v>101</v>
      </c>
      <c r="O6682" t="s">
        <v>116</v>
      </c>
    </row>
    <row r="6683" spans="1:15" x14ac:dyDescent="0.3">
      <c r="A6683" s="130">
        <v>71840</v>
      </c>
      <c r="B6683" s="130">
        <v>18</v>
      </c>
      <c r="C6683" s="130" t="s">
        <v>8307</v>
      </c>
      <c r="D6683">
        <v>826</v>
      </c>
      <c r="E6683" s="130">
        <v>38288277</v>
      </c>
      <c r="F6683" t="s">
        <v>87</v>
      </c>
      <c r="G6683">
        <v>78</v>
      </c>
      <c r="H6683" t="s">
        <v>8951</v>
      </c>
      <c r="I6683" s="130">
        <v>24</v>
      </c>
      <c r="J6683" t="s">
        <v>8307</v>
      </c>
      <c r="K6683" t="s">
        <v>95</v>
      </c>
      <c r="L6683" t="s">
        <v>138</v>
      </c>
      <c r="M6683" t="s">
        <v>112</v>
      </c>
      <c r="N6683" t="s">
        <v>101</v>
      </c>
      <c r="O6683" t="s">
        <v>1345</v>
      </c>
    </row>
    <row r="6684" spans="1:15" x14ac:dyDescent="0.3">
      <c r="A6684" s="130">
        <v>71843</v>
      </c>
      <c r="B6684" s="130">
        <v>18</v>
      </c>
      <c r="C6684" s="130" t="s">
        <v>8308</v>
      </c>
      <c r="D6684">
        <v>827</v>
      </c>
      <c r="E6684" s="130">
        <v>2973324</v>
      </c>
      <c r="F6684" t="s">
        <v>87</v>
      </c>
      <c r="G6684">
        <v>78</v>
      </c>
      <c r="H6684" t="s">
        <v>8952</v>
      </c>
      <c r="I6684" s="130">
        <v>24</v>
      </c>
      <c r="J6684" t="s">
        <v>8308</v>
      </c>
      <c r="K6684" t="s">
        <v>95</v>
      </c>
      <c r="L6684" t="s">
        <v>138</v>
      </c>
      <c r="M6684" t="s">
        <v>112</v>
      </c>
      <c r="N6684" t="s">
        <v>98</v>
      </c>
      <c r="O6684" t="s">
        <v>1345</v>
      </c>
    </row>
    <row r="6685" spans="1:15" x14ac:dyDescent="0.3">
      <c r="A6685" s="130">
        <v>71844</v>
      </c>
      <c r="B6685" s="130">
        <v>30</v>
      </c>
      <c r="C6685" s="130" t="s">
        <v>8309</v>
      </c>
      <c r="D6685">
        <v>828</v>
      </c>
      <c r="E6685" s="130">
        <v>61584223</v>
      </c>
      <c r="F6685" t="s">
        <v>87</v>
      </c>
      <c r="G6685">
        <v>78</v>
      </c>
      <c r="H6685" t="s">
        <v>8953</v>
      </c>
      <c r="I6685" s="131">
        <v>2</v>
      </c>
      <c r="J6685" t="s">
        <v>8309</v>
      </c>
      <c r="K6685" t="s">
        <v>95</v>
      </c>
      <c r="L6685" t="s">
        <v>111</v>
      </c>
      <c r="M6685" t="s">
        <v>103</v>
      </c>
      <c r="N6685" t="s">
        <v>98</v>
      </c>
      <c r="O6685" t="s">
        <v>116</v>
      </c>
    </row>
    <row r="6686" spans="1:15" x14ac:dyDescent="0.3">
      <c r="A6686" s="130">
        <v>71845</v>
      </c>
      <c r="B6686" s="130">
        <v>28</v>
      </c>
      <c r="C6686" s="130" t="s">
        <v>8310</v>
      </c>
      <c r="D6686">
        <v>829</v>
      </c>
      <c r="E6686" s="130">
        <v>34792633</v>
      </c>
      <c r="F6686" t="s">
        <v>87</v>
      </c>
      <c r="G6686">
        <v>78</v>
      </c>
      <c r="H6686" t="s">
        <v>8951</v>
      </c>
      <c r="I6686" s="130">
        <v>24</v>
      </c>
      <c r="J6686" t="s">
        <v>8310</v>
      </c>
      <c r="K6686" t="s">
        <v>95</v>
      </c>
      <c r="L6686" t="s">
        <v>138</v>
      </c>
      <c r="M6686" t="s">
        <v>130</v>
      </c>
      <c r="N6686" t="s">
        <v>150</v>
      </c>
      <c r="O6686" t="s">
        <v>1345</v>
      </c>
    </row>
    <row r="6687" spans="1:15" x14ac:dyDescent="0.3">
      <c r="A6687" s="130">
        <v>71846</v>
      </c>
      <c r="B6687" s="130">
        <v>18</v>
      </c>
      <c r="C6687" s="130" t="s">
        <v>8311</v>
      </c>
      <c r="D6687">
        <v>830</v>
      </c>
      <c r="E6687" s="131">
        <v>28660696</v>
      </c>
      <c r="F6687" t="s">
        <v>87</v>
      </c>
      <c r="G6687">
        <v>78</v>
      </c>
      <c r="H6687" t="s">
        <v>8952</v>
      </c>
      <c r="I6687" s="131">
        <v>9</v>
      </c>
      <c r="J6687" t="s">
        <v>8311</v>
      </c>
      <c r="K6687" t="s">
        <v>95</v>
      </c>
      <c r="L6687" t="s">
        <v>125</v>
      </c>
      <c r="M6687" t="s">
        <v>112</v>
      </c>
      <c r="N6687" t="s">
        <v>124</v>
      </c>
      <c r="O6687" t="s">
        <v>1345</v>
      </c>
    </row>
    <row r="6688" spans="1:15" x14ac:dyDescent="0.3">
      <c r="A6688" s="130">
        <v>71847</v>
      </c>
      <c r="B6688" s="130">
        <v>30</v>
      </c>
      <c r="C6688" s="130" t="s">
        <v>8312</v>
      </c>
      <c r="D6688">
        <v>831</v>
      </c>
      <c r="E6688" s="130">
        <v>8343492</v>
      </c>
      <c r="F6688" t="s">
        <v>87</v>
      </c>
      <c r="G6688">
        <v>77</v>
      </c>
      <c r="H6688" t="s">
        <v>8953</v>
      </c>
      <c r="I6688" s="130">
        <v>18</v>
      </c>
      <c r="J6688" t="s">
        <v>8312</v>
      </c>
      <c r="K6688" t="s">
        <v>95</v>
      </c>
      <c r="L6688" t="s">
        <v>119</v>
      </c>
      <c r="M6688" t="s">
        <v>103</v>
      </c>
      <c r="N6688" t="s">
        <v>98</v>
      </c>
      <c r="O6688" t="s">
        <v>1345</v>
      </c>
    </row>
    <row r="6689" spans="1:15" x14ac:dyDescent="0.3">
      <c r="A6689" s="130">
        <v>71852</v>
      </c>
      <c r="B6689" s="130">
        <v>30</v>
      </c>
      <c r="C6689" s="130" t="s">
        <v>8313</v>
      </c>
      <c r="D6689">
        <v>832</v>
      </c>
      <c r="E6689" s="130">
        <v>4762861</v>
      </c>
      <c r="F6689" t="s">
        <v>87</v>
      </c>
      <c r="G6689">
        <v>78</v>
      </c>
      <c r="H6689" t="s">
        <v>8951</v>
      </c>
      <c r="I6689" s="130">
        <v>38</v>
      </c>
      <c r="J6689" t="s">
        <v>8313</v>
      </c>
      <c r="K6689" t="s">
        <v>108</v>
      </c>
      <c r="L6689" t="s">
        <v>126</v>
      </c>
      <c r="M6689" t="s">
        <v>103</v>
      </c>
      <c r="N6689" t="s">
        <v>98</v>
      </c>
      <c r="O6689" t="s">
        <v>116</v>
      </c>
    </row>
    <row r="6690" spans="1:15" x14ac:dyDescent="0.3">
      <c r="A6690" s="130">
        <v>71859</v>
      </c>
      <c r="B6690" s="130">
        <v>18</v>
      </c>
      <c r="C6690" s="130" t="s">
        <v>8314</v>
      </c>
      <c r="D6690">
        <v>833</v>
      </c>
      <c r="E6690" s="130">
        <v>8743714</v>
      </c>
      <c r="F6690" t="s">
        <v>87</v>
      </c>
      <c r="G6690">
        <v>78</v>
      </c>
      <c r="H6690" t="s">
        <v>8952</v>
      </c>
      <c r="I6690" s="130">
        <v>9</v>
      </c>
      <c r="J6690" t="s">
        <v>8314</v>
      </c>
      <c r="K6690" t="s">
        <v>108</v>
      </c>
      <c r="L6690" t="s">
        <v>134</v>
      </c>
      <c r="M6690" t="s">
        <v>112</v>
      </c>
      <c r="N6690" t="s">
        <v>98</v>
      </c>
      <c r="O6690" t="s">
        <v>1345</v>
      </c>
    </row>
    <row r="6691" spans="1:15" x14ac:dyDescent="0.3">
      <c r="A6691" s="130">
        <v>71861</v>
      </c>
      <c r="B6691" s="130">
        <v>18</v>
      </c>
      <c r="C6691" s="130" t="s">
        <v>8315</v>
      </c>
      <c r="D6691">
        <v>834</v>
      </c>
      <c r="E6691" s="131">
        <v>8055090</v>
      </c>
      <c r="F6691" t="s">
        <v>87</v>
      </c>
      <c r="G6691">
        <v>358</v>
      </c>
      <c r="H6691" t="s">
        <v>8953</v>
      </c>
      <c r="I6691" s="130">
        <v>2</v>
      </c>
      <c r="J6691" t="s">
        <v>8315</v>
      </c>
      <c r="K6691" t="s">
        <v>108</v>
      </c>
      <c r="L6691" t="s">
        <v>109</v>
      </c>
      <c r="M6691" t="s">
        <v>112</v>
      </c>
      <c r="N6691" t="s">
        <v>98</v>
      </c>
      <c r="O6691" t="s">
        <v>1345</v>
      </c>
    </row>
    <row r="6692" spans="1:15" x14ac:dyDescent="0.3">
      <c r="A6692" s="130">
        <v>71862</v>
      </c>
      <c r="B6692" s="130">
        <v>28</v>
      </c>
      <c r="C6692" s="130" t="s">
        <v>8316</v>
      </c>
      <c r="D6692">
        <v>835</v>
      </c>
      <c r="E6692" s="130">
        <v>34062225</v>
      </c>
      <c r="F6692" t="s">
        <v>87</v>
      </c>
      <c r="G6692">
        <v>78</v>
      </c>
      <c r="H6692" t="s">
        <v>8951</v>
      </c>
      <c r="I6692" s="130">
        <v>24</v>
      </c>
      <c r="J6692" t="s">
        <v>8316</v>
      </c>
      <c r="K6692" t="s">
        <v>95</v>
      </c>
      <c r="L6692" t="s">
        <v>138</v>
      </c>
      <c r="M6692" t="s">
        <v>130</v>
      </c>
      <c r="N6692" t="s">
        <v>150</v>
      </c>
      <c r="O6692" t="s">
        <v>1345</v>
      </c>
    </row>
    <row r="6693" spans="1:15" x14ac:dyDescent="0.3">
      <c r="A6693" s="130">
        <v>71865</v>
      </c>
      <c r="B6693" s="130">
        <v>18</v>
      </c>
      <c r="C6693" s="130" t="s">
        <v>8317</v>
      </c>
      <c r="D6693">
        <v>836</v>
      </c>
      <c r="E6693" s="130">
        <v>2617158</v>
      </c>
      <c r="F6693" t="s">
        <v>87</v>
      </c>
      <c r="G6693">
        <v>78</v>
      </c>
      <c r="H6693" t="s">
        <v>8952</v>
      </c>
      <c r="I6693" s="131">
        <v>10</v>
      </c>
      <c r="J6693" t="s">
        <v>8317</v>
      </c>
      <c r="K6693" t="s">
        <v>108</v>
      </c>
      <c r="L6693" t="s">
        <v>127</v>
      </c>
      <c r="M6693" t="s">
        <v>112</v>
      </c>
      <c r="N6693" t="s">
        <v>98</v>
      </c>
      <c r="O6693" t="s">
        <v>1345</v>
      </c>
    </row>
    <row r="6694" spans="1:15" x14ac:dyDescent="0.3">
      <c r="A6694" s="130">
        <v>71866</v>
      </c>
      <c r="B6694" s="130">
        <v>30</v>
      </c>
      <c r="C6694" s="130" t="s">
        <v>8318</v>
      </c>
      <c r="D6694">
        <v>837</v>
      </c>
      <c r="E6694" s="130">
        <v>92660604</v>
      </c>
      <c r="F6694" t="s">
        <v>87</v>
      </c>
      <c r="G6694">
        <v>78</v>
      </c>
      <c r="H6694" t="s">
        <v>8953</v>
      </c>
      <c r="I6694" s="131">
        <v>24</v>
      </c>
      <c r="J6694" t="s">
        <v>8318</v>
      </c>
      <c r="K6694" t="s">
        <v>95</v>
      </c>
      <c r="L6694" t="s">
        <v>117</v>
      </c>
      <c r="M6694" t="s">
        <v>103</v>
      </c>
      <c r="N6694" t="s">
        <v>114</v>
      </c>
      <c r="O6694" t="s">
        <v>116</v>
      </c>
    </row>
    <row r="6695" spans="1:15" x14ac:dyDescent="0.3">
      <c r="A6695" s="130">
        <v>71868</v>
      </c>
      <c r="B6695" s="130">
        <v>30</v>
      </c>
      <c r="C6695" s="130" t="s">
        <v>8319</v>
      </c>
      <c r="D6695">
        <v>838</v>
      </c>
      <c r="E6695" s="131">
        <v>92660604</v>
      </c>
      <c r="F6695" t="s">
        <v>87</v>
      </c>
      <c r="G6695">
        <v>78</v>
      </c>
      <c r="H6695" t="s">
        <v>8951</v>
      </c>
      <c r="I6695" s="130">
        <v>24</v>
      </c>
      <c r="J6695" t="s">
        <v>8319</v>
      </c>
      <c r="K6695" t="s">
        <v>95</v>
      </c>
      <c r="L6695" t="s">
        <v>241</v>
      </c>
      <c r="M6695" t="s">
        <v>103</v>
      </c>
      <c r="N6695" t="s">
        <v>114</v>
      </c>
      <c r="O6695" t="s">
        <v>1345</v>
      </c>
    </row>
    <row r="6696" spans="1:15" x14ac:dyDescent="0.3">
      <c r="A6696" s="130">
        <v>71874</v>
      </c>
      <c r="B6696" s="130">
        <v>60</v>
      </c>
      <c r="C6696" s="130" t="s">
        <v>8320</v>
      </c>
      <c r="D6696">
        <v>839</v>
      </c>
      <c r="E6696" s="130">
        <v>12056613</v>
      </c>
      <c r="F6696" t="s">
        <v>87</v>
      </c>
      <c r="G6696">
        <v>77</v>
      </c>
      <c r="H6696" t="s">
        <v>8952</v>
      </c>
      <c r="I6696" s="131">
        <v>2</v>
      </c>
      <c r="J6696" t="s">
        <v>8320</v>
      </c>
      <c r="K6696" t="s">
        <v>95</v>
      </c>
      <c r="L6696" t="s">
        <v>256</v>
      </c>
      <c r="M6696" t="s">
        <v>97</v>
      </c>
      <c r="N6696" t="s">
        <v>118</v>
      </c>
      <c r="O6696" t="s">
        <v>116</v>
      </c>
    </row>
    <row r="6697" spans="1:15" x14ac:dyDescent="0.3">
      <c r="A6697" s="130">
        <v>71875</v>
      </c>
      <c r="B6697" s="130">
        <v>18</v>
      </c>
      <c r="C6697" s="130" t="s">
        <v>8321</v>
      </c>
      <c r="D6697">
        <v>840</v>
      </c>
      <c r="E6697" s="130">
        <v>7791042</v>
      </c>
      <c r="F6697" t="s">
        <v>87</v>
      </c>
      <c r="G6697">
        <v>78</v>
      </c>
      <c r="H6697" t="s">
        <v>8953</v>
      </c>
      <c r="I6697" s="130">
        <v>43</v>
      </c>
      <c r="J6697" t="s">
        <v>8321</v>
      </c>
      <c r="K6697" t="s">
        <v>108</v>
      </c>
      <c r="L6697" t="s">
        <v>146</v>
      </c>
      <c r="M6697" t="s">
        <v>112</v>
      </c>
      <c r="N6697" t="s">
        <v>98</v>
      </c>
      <c r="O6697" t="s">
        <v>1345</v>
      </c>
    </row>
    <row r="6698" spans="1:15" x14ac:dyDescent="0.3">
      <c r="A6698" s="130">
        <v>71876</v>
      </c>
      <c r="B6698" s="130">
        <v>18</v>
      </c>
      <c r="C6698" s="130" t="s">
        <v>8322</v>
      </c>
      <c r="D6698">
        <v>841</v>
      </c>
      <c r="E6698" s="130">
        <v>37056169</v>
      </c>
      <c r="F6698" t="s">
        <v>87</v>
      </c>
      <c r="G6698">
        <v>78</v>
      </c>
      <c r="H6698" t="s">
        <v>8951</v>
      </c>
      <c r="I6698" s="131">
        <v>24</v>
      </c>
      <c r="J6698" t="s">
        <v>8322</v>
      </c>
      <c r="K6698" t="s">
        <v>95</v>
      </c>
      <c r="L6698" t="s">
        <v>138</v>
      </c>
      <c r="M6698" t="s">
        <v>112</v>
      </c>
      <c r="N6698" t="s">
        <v>101</v>
      </c>
      <c r="O6698" t="s">
        <v>1345</v>
      </c>
    </row>
    <row r="6699" spans="1:15" x14ac:dyDescent="0.3">
      <c r="A6699" s="130">
        <v>71878</v>
      </c>
      <c r="B6699" s="130">
        <v>18</v>
      </c>
      <c r="C6699" s="130" t="s">
        <v>8323</v>
      </c>
      <c r="D6699">
        <v>842</v>
      </c>
      <c r="E6699" s="130">
        <v>7310925</v>
      </c>
      <c r="F6699" t="s">
        <v>87</v>
      </c>
      <c r="G6699">
        <v>78</v>
      </c>
      <c r="H6699" t="s">
        <v>8952</v>
      </c>
      <c r="I6699" s="130">
        <v>19</v>
      </c>
      <c r="J6699" t="s">
        <v>8323</v>
      </c>
      <c r="K6699" t="s">
        <v>108</v>
      </c>
      <c r="L6699" t="s">
        <v>146</v>
      </c>
      <c r="M6699" t="s">
        <v>112</v>
      </c>
      <c r="N6699" t="s">
        <v>98</v>
      </c>
      <c r="O6699" t="s">
        <v>1345</v>
      </c>
    </row>
    <row r="6700" spans="1:15" x14ac:dyDescent="0.3">
      <c r="A6700" s="130">
        <v>71886</v>
      </c>
      <c r="B6700" s="130">
        <v>30</v>
      </c>
      <c r="C6700" s="130" t="s">
        <v>8324</v>
      </c>
      <c r="D6700">
        <v>843</v>
      </c>
      <c r="E6700" s="130">
        <v>35234509</v>
      </c>
      <c r="F6700" t="s">
        <v>87</v>
      </c>
      <c r="G6700">
        <v>78</v>
      </c>
      <c r="H6700" t="s">
        <v>8953</v>
      </c>
      <c r="I6700" s="130">
        <v>18</v>
      </c>
      <c r="J6700" t="s">
        <v>8324</v>
      </c>
      <c r="K6700" t="s">
        <v>95</v>
      </c>
      <c r="L6700" t="s">
        <v>102</v>
      </c>
      <c r="M6700" t="s">
        <v>103</v>
      </c>
      <c r="N6700" t="s">
        <v>98</v>
      </c>
      <c r="O6700" t="s">
        <v>1345</v>
      </c>
    </row>
    <row r="6701" spans="1:15" x14ac:dyDescent="0.3">
      <c r="A6701" s="130">
        <v>71889</v>
      </c>
      <c r="B6701" s="130">
        <v>60</v>
      </c>
      <c r="C6701" s="130" t="s">
        <v>8325</v>
      </c>
      <c r="D6701">
        <v>844</v>
      </c>
      <c r="E6701" s="130">
        <v>4060779</v>
      </c>
      <c r="F6701" t="s">
        <v>87</v>
      </c>
      <c r="G6701">
        <v>358</v>
      </c>
      <c r="H6701" t="s">
        <v>8951</v>
      </c>
      <c r="I6701" s="130">
        <v>2</v>
      </c>
      <c r="J6701" t="s">
        <v>8325</v>
      </c>
      <c r="K6701" t="s">
        <v>95</v>
      </c>
      <c r="L6701" t="s">
        <v>105</v>
      </c>
      <c r="M6701" t="s">
        <v>97</v>
      </c>
      <c r="N6701" t="s">
        <v>98</v>
      </c>
      <c r="O6701" t="s">
        <v>116</v>
      </c>
    </row>
    <row r="6702" spans="1:15" x14ac:dyDescent="0.3">
      <c r="A6702" s="130">
        <v>71892</v>
      </c>
      <c r="B6702" s="130">
        <v>30</v>
      </c>
      <c r="C6702" s="130" t="s">
        <v>8326</v>
      </c>
      <c r="D6702">
        <v>845</v>
      </c>
      <c r="E6702" s="131">
        <v>33000167</v>
      </c>
      <c r="F6702" t="s">
        <v>87</v>
      </c>
      <c r="G6702">
        <v>78</v>
      </c>
      <c r="H6702" t="s">
        <v>8952</v>
      </c>
      <c r="I6702" s="130">
        <v>18</v>
      </c>
      <c r="J6702" t="s">
        <v>8326</v>
      </c>
      <c r="K6702" t="s">
        <v>95</v>
      </c>
      <c r="L6702" t="s">
        <v>102</v>
      </c>
      <c r="M6702" t="s">
        <v>103</v>
      </c>
      <c r="N6702" t="s">
        <v>101</v>
      </c>
      <c r="O6702" t="s">
        <v>116</v>
      </c>
    </row>
    <row r="6703" spans="1:15" x14ac:dyDescent="0.3">
      <c r="A6703" s="130">
        <v>71898</v>
      </c>
      <c r="B6703" s="130">
        <v>18</v>
      </c>
      <c r="C6703" s="130" t="s">
        <v>8327</v>
      </c>
      <c r="D6703">
        <v>846</v>
      </c>
      <c r="E6703" s="131">
        <v>34597906</v>
      </c>
      <c r="F6703" t="s">
        <v>87</v>
      </c>
      <c r="G6703">
        <v>78</v>
      </c>
      <c r="H6703" t="s">
        <v>8953</v>
      </c>
      <c r="I6703" s="131">
        <v>10</v>
      </c>
      <c r="J6703" t="s">
        <v>8327</v>
      </c>
      <c r="K6703" t="s">
        <v>108</v>
      </c>
      <c r="L6703" t="s">
        <v>127</v>
      </c>
      <c r="M6703" t="s">
        <v>112</v>
      </c>
      <c r="N6703" t="s">
        <v>98</v>
      </c>
      <c r="O6703" t="s">
        <v>1345</v>
      </c>
    </row>
    <row r="6704" spans="1:15" x14ac:dyDescent="0.3">
      <c r="A6704" s="130">
        <v>71905</v>
      </c>
      <c r="B6704" s="130">
        <v>30</v>
      </c>
      <c r="C6704" s="130" t="s">
        <v>8328</v>
      </c>
      <c r="D6704">
        <v>847</v>
      </c>
      <c r="E6704" s="131">
        <v>18715383</v>
      </c>
      <c r="F6704" t="s">
        <v>87</v>
      </c>
      <c r="G6704">
        <v>77</v>
      </c>
      <c r="H6704" t="s">
        <v>8951</v>
      </c>
      <c r="I6704" s="130">
        <v>2</v>
      </c>
      <c r="J6704" t="s">
        <v>8328</v>
      </c>
      <c r="K6704" t="s">
        <v>95</v>
      </c>
      <c r="L6704" t="s">
        <v>119</v>
      </c>
      <c r="M6704" t="s">
        <v>103</v>
      </c>
      <c r="N6704" t="s">
        <v>131</v>
      </c>
      <c r="O6704" t="s">
        <v>1345</v>
      </c>
    </row>
    <row r="6705" spans="1:15" x14ac:dyDescent="0.3">
      <c r="A6705" s="130">
        <v>71907</v>
      </c>
      <c r="B6705" s="130">
        <v>18</v>
      </c>
      <c r="C6705" s="130" t="s">
        <v>8329</v>
      </c>
      <c r="D6705">
        <v>848</v>
      </c>
      <c r="E6705" s="130">
        <v>33841727</v>
      </c>
      <c r="F6705" t="s">
        <v>87</v>
      </c>
      <c r="G6705">
        <v>78</v>
      </c>
      <c r="H6705" t="s">
        <v>8952</v>
      </c>
      <c r="I6705" s="131">
        <v>19</v>
      </c>
      <c r="J6705" t="s">
        <v>8329</v>
      </c>
      <c r="K6705" t="s">
        <v>108</v>
      </c>
      <c r="L6705" t="s">
        <v>146</v>
      </c>
      <c r="M6705" t="s">
        <v>112</v>
      </c>
      <c r="N6705" t="s">
        <v>98</v>
      </c>
      <c r="O6705" t="s">
        <v>1345</v>
      </c>
    </row>
    <row r="6706" spans="1:15" x14ac:dyDescent="0.3">
      <c r="A6706" s="130">
        <v>71910</v>
      </c>
      <c r="B6706" s="130">
        <v>30</v>
      </c>
      <c r="C6706" s="130" t="s">
        <v>8330</v>
      </c>
      <c r="D6706">
        <v>849</v>
      </c>
      <c r="E6706" s="131">
        <v>7605563</v>
      </c>
      <c r="F6706" t="s">
        <v>87</v>
      </c>
      <c r="G6706">
        <v>358</v>
      </c>
      <c r="H6706" t="s">
        <v>8953</v>
      </c>
      <c r="I6706" s="130">
        <v>10</v>
      </c>
      <c r="J6706" t="s">
        <v>8330</v>
      </c>
      <c r="K6706" t="s">
        <v>95</v>
      </c>
      <c r="L6706" t="s">
        <v>105</v>
      </c>
      <c r="M6706" t="s">
        <v>103</v>
      </c>
      <c r="N6706" t="s">
        <v>118</v>
      </c>
      <c r="O6706" t="s">
        <v>1345</v>
      </c>
    </row>
    <row r="6707" spans="1:15" x14ac:dyDescent="0.3">
      <c r="A6707" s="130">
        <v>71912</v>
      </c>
      <c r="B6707" s="130">
        <v>15</v>
      </c>
      <c r="C6707" s="130" t="s">
        <v>8331</v>
      </c>
      <c r="D6707">
        <v>850</v>
      </c>
      <c r="E6707" s="130">
        <v>55194369</v>
      </c>
      <c r="F6707" t="s">
        <v>87</v>
      </c>
      <c r="G6707">
        <v>78</v>
      </c>
      <c r="H6707" t="s">
        <v>8951</v>
      </c>
      <c r="I6707" s="130">
        <v>10</v>
      </c>
      <c r="J6707" t="s">
        <v>8331</v>
      </c>
      <c r="K6707" t="s">
        <v>108</v>
      </c>
      <c r="L6707" t="s">
        <v>127</v>
      </c>
      <c r="M6707" t="s">
        <v>145</v>
      </c>
      <c r="N6707" t="s">
        <v>118</v>
      </c>
      <c r="O6707" t="s">
        <v>1345</v>
      </c>
    </row>
    <row r="6708" spans="1:15" x14ac:dyDescent="0.3">
      <c r="A6708" s="130">
        <v>71914</v>
      </c>
      <c r="B6708" s="130">
        <v>30</v>
      </c>
      <c r="C6708" s="130" t="s">
        <v>8332</v>
      </c>
      <c r="D6708">
        <v>851</v>
      </c>
      <c r="E6708" s="130">
        <v>7605563</v>
      </c>
      <c r="F6708" t="s">
        <v>87</v>
      </c>
      <c r="G6708">
        <v>358</v>
      </c>
      <c r="H6708" t="s">
        <v>8952</v>
      </c>
      <c r="I6708" s="130">
        <v>10</v>
      </c>
      <c r="J6708" t="s">
        <v>8332</v>
      </c>
      <c r="K6708" t="s">
        <v>95</v>
      </c>
      <c r="L6708" t="s">
        <v>105</v>
      </c>
      <c r="M6708" t="s">
        <v>103</v>
      </c>
      <c r="N6708" t="s">
        <v>118</v>
      </c>
      <c r="O6708" t="s">
        <v>1345</v>
      </c>
    </row>
    <row r="6709" spans="1:15" x14ac:dyDescent="0.3">
      <c r="A6709" s="130">
        <v>71919</v>
      </c>
      <c r="B6709" s="130">
        <v>45</v>
      </c>
      <c r="C6709" s="130" t="s">
        <v>8333</v>
      </c>
      <c r="D6709">
        <v>852</v>
      </c>
      <c r="E6709" s="131">
        <v>3130160</v>
      </c>
      <c r="F6709" t="s">
        <v>87</v>
      </c>
      <c r="G6709">
        <v>358</v>
      </c>
      <c r="H6709" t="s">
        <v>8953</v>
      </c>
      <c r="I6709" s="131">
        <v>2</v>
      </c>
      <c r="J6709" t="s">
        <v>8333</v>
      </c>
      <c r="K6709" t="s">
        <v>95</v>
      </c>
      <c r="L6709" t="s">
        <v>105</v>
      </c>
      <c r="M6709" t="s">
        <v>106</v>
      </c>
      <c r="N6709" t="s">
        <v>98</v>
      </c>
      <c r="O6709" t="s">
        <v>1345</v>
      </c>
    </row>
    <row r="6710" spans="1:15" x14ac:dyDescent="0.3">
      <c r="A6710" s="130">
        <v>71920</v>
      </c>
      <c r="B6710" s="130">
        <v>45</v>
      </c>
      <c r="C6710" s="130" t="s">
        <v>8334</v>
      </c>
      <c r="D6710">
        <v>853</v>
      </c>
      <c r="E6710" s="130">
        <v>3130160</v>
      </c>
      <c r="F6710" t="s">
        <v>87</v>
      </c>
      <c r="G6710">
        <v>358</v>
      </c>
      <c r="H6710" t="s">
        <v>8951</v>
      </c>
      <c r="I6710" s="131">
        <v>2</v>
      </c>
      <c r="J6710" t="s">
        <v>8334</v>
      </c>
      <c r="K6710" t="s">
        <v>95</v>
      </c>
      <c r="L6710" t="s">
        <v>105</v>
      </c>
      <c r="M6710" t="s">
        <v>106</v>
      </c>
      <c r="N6710" t="s">
        <v>98</v>
      </c>
      <c r="O6710" t="s">
        <v>1345</v>
      </c>
    </row>
    <row r="6711" spans="1:15" x14ac:dyDescent="0.3">
      <c r="A6711" s="130">
        <v>71921</v>
      </c>
      <c r="B6711" s="130">
        <v>18</v>
      </c>
      <c r="C6711" s="130" t="s">
        <v>8335</v>
      </c>
      <c r="D6711">
        <v>854</v>
      </c>
      <c r="E6711" s="130">
        <v>5515245</v>
      </c>
      <c r="F6711" t="s">
        <v>87</v>
      </c>
      <c r="G6711">
        <v>78</v>
      </c>
      <c r="H6711" t="s">
        <v>8952</v>
      </c>
      <c r="I6711" s="131">
        <v>9</v>
      </c>
      <c r="J6711" t="s">
        <v>8335</v>
      </c>
      <c r="K6711" t="s">
        <v>95</v>
      </c>
      <c r="L6711" t="s">
        <v>111</v>
      </c>
      <c r="M6711" t="s">
        <v>112</v>
      </c>
      <c r="N6711" t="s">
        <v>98</v>
      </c>
      <c r="O6711" t="s">
        <v>116</v>
      </c>
    </row>
    <row r="6712" spans="1:15" x14ac:dyDescent="0.3">
      <c r="A6712" s="130">
        <v>71924</v>
      </c>
      <c r="B6712" s="130">
        <v>30</v>
      </c>
      <c r="C6712" s="130" t="s">
        <v>8336</v>
      </c>
      <c r="D6712">
        <v>855</v>
      </c>
      <c r="E6712" s="131">
        <v>9329077</v>
      </c>
      <c r="F6712" t="s">
        <v>87</v>
      </c>
      <c r="G6712">
        <v>78</v>
      </c>
      <c r="H6712" t="s">
        <v>8953</v>
      </c>
      <c r="I6712" s="130">
        <v>2</v>
      </c>
      <c r="J6712" t="s">
        <v>8336</v>
      </c>
      <c r="K6712" t="s">
        <v>95</v>
      </c>
      <c r="L6712" t="s">
        <v>96</v>
      </c>
      <c r="M6712" t="s">
        <v>103</v>
      </c>
      <c r="N6712" t="s">
        <v>98</v>
      </c>
      <c r="O6712" t="s">
        <v>1345</v>
      </c>
    </row>
    <row r="6713" spans="1:15" x14ac:dyDescent="0.3">
      <c r="A6713" s="130">
        <v>71926</v>
      </c>
      <c r="B6713" s="130">
        <v>18</v>
      </c>
      <c r="C6713" s="130" t="s">
        <v>8337</v>
      </c>
      <c r="D6713">
        <v>856</v>
      </c>
      <c r="E6713" s="130">
        <v>41012964</v>
      </c>
      <c r="F6713" t="s">
        <v>87</v>
      </c>
      <c r="G6713">
        <v>78</v>
      </c>
      <c r="H6713" t="s">
        <v>8951</v>
      </c>
      <c r="I6713" s="130">
        <v>19</v>
      </c>
      <c r="J6713" t="s">
        <v>8337</v>
      </c>
      <c r="K6713" t="s">
        <v>108</v>
      </c>
      <c r="L6713" t="s">
        <v>146</v>
      </c>
      <c r="M6713" t="s">
        <v>112</v>
      </c>
      <c r="N6713" t="s">
        <v>98</v>
      </c>
      <c r="O6713" t="s">
        <v>1345</v>
      </c>
    </row>
    <row r="6714" spans="1:15" x14ac:dyDescent="0.3">
      <c r="A6714" s="130">
        <v>71933</v>
      </c>
      <c r="B6714" s="130">
        <v>18</v>
      </c>
      <c r="C6714" s="130" t="s">
        <v>8338</v>
      </c>
      <c r="D6714">
        <v>857</v>
      </c>
      <c r="E6714" s="130">
        <v>15161336</v>
      </c>
      <c r="F6714" t="s">
        <v>87</v>
      </c>
      <c r="G6714">
        <v>78</v>
      </c>
      <c r="H6714" t="s">
        <v>8952</v>
      </c>
      <c r="I6714" s="130">
        <v>19</v>
      </c>
      <c r="J6714" t="s">
        <v>8338</v>
      </c>
      <c r="K6714" t="s">
        <v>108</v>
      </c>
      <c r="L6714" t="s">
        <v>146</v>
      </c>
      <c r="M6714" t="s">
        <v>112</v>
      </c>
      <c r="N6714" t="s">
        <v>150</v>
      </c>
      <c r="O6714" t="s">
        <v>1345</v>
      </c>
    </row>
    <row r="6715" spans="1:15" x14ac:dyDescent="0.3">
      <c r="A6715" s="130">
        <v>71935</v>
      </c>
      <c r="B6715" s="130">
        <v>18</v>
      </c>
      <c r="C6715" s="130" t="s">
        <v>8339</v>
      </c>
      <c r="D6715">
        <v>858</v>
      </c>
      <c r="E6715" s="130">
        <v>5773057</v>
      </c>
      <c r="F6715" t="s">
        <v>87</v>
      </c>
      <c r="G6715">
        <v>358</v>
      </c>
      <c r="H6715" t="s">
        <v>8953</v>
      </c>
      <c r="I6715" s="130">
        <v>2</v>
      </c>
      <c r="J6715" t="s">
        <v>8339</v>
      </c>
      <c r="K6715" t="s">
        <v>95</v>
      </c>
      <c r="L6715" t="s">
        <v>193</v>
      </c>
      <c r="M6715" t="s">
        <v>112</v>
      </c>
      <c r="N6715" t="s">
        <v>118</v>
      </c>
      <c r="O6715" t="s">
        <v>1345</v>
      </c>
    </row>
    <row r="6716" spans="1:15" x14ac:dyDescent="0.3">
      <c r="A6716" s="130">
        <v>71941</v>
      </c>
      <c r="B6716" s="130">
        <v>60</v>
      </c>
      <c r="C6716" s="130" t="s">
        <v>8340</v>
      </c>
      <c r="D6716">
        <v>859</v>
      </c>
      <c r="E6716" s="130">
        <v>3176142</v>
      </c>
      <c r="F6716" t="s">
        <v>87</v>
      </c>
      <c r="G6716">
        <v>78</v>
      </c>
      <c r="H6716" t="s">
        <v>8951</v>
      </c>
      <c r="I6716" s="130">
        <v>18</v>
      </c>
      <c r="J6716" t="s">
        <v>8340</v>
      </c>
      <c r="K6716" t="s">
        <v>108</v>
      </c>
      <c r="L6716" t="s">
        <v>123</v>
      </c>
      <c r="M6716" t="s">
        <v>97</v>
      </c>
      <c r="N6716" t="s">
        <v>98</v>
      </c>
      <c r="O6716" t="s">
        <v>116</v>
      </c>
    </row>
    <row r="6717" spans="1:15" x14ac:dyDescent="0.3">
      <c r="A6717" s="130">
        <v>71949</v>
      </c>
      <c r="B6717" s="130">
        <v>18</v>
      </c>
      <c r="C6717" s="130" t="s">
        <v>8341</v>
      </c>
      <c r="D6717">
        <v>860</v>
      </c>
      <c r="E6717" s="130">
        <v>3649389</v>
      </c>
      <c r="F6717" t="s">
        <v>87</v>
      </c>
      <c r="G6717">
        <v>358</v>
      </c>
      <c r="H6717" t="s">
        <v>8952</v>
      </c>
      <c r="I6717" s="130">
        <v>2</v>
      </c>
      <c r="J6717" t="s">
        <v>8341</v>
      </c>
      <c r="K6717" t="s">
        <v>108</v>
      </c>
      <c r="L6717" t="s">
        <v>99</v>
      </c>
      <c r="M6717" t="s">
        <v>112</v>
      </c>
      <c r="N6717" t="s">
        <v>98</v>
      </c>
      <c r="O6717" t="s">
        <v>1345</v>
      </c>
    </row>
    <row r="6718" spans="1:15" x14ac:dyDescent="0.3">
      <c r="A6718" s="130">
        <v>71950</v>
      </c>
      <c r="B6718" s="130">
        <v>21</v>
      </c>
      <c r="C6718" s="130" t="s">
        <v>8342</v>
      </c>
      <c r="D6718">
        <v>861</v>
      </c>
      <c r="E6718" s="130">
        <v>9625762</v>
      </c>
      <c r="F6718" t="s">
        <v>87</v>
      </c>
      <c r="G6718">
        <v>78</v>
      </c>
      <c r="H6718" t="s">
        <v>8953</v>
      </c>
      <c r="I6718" s="130">
        <v>43</v>
      </c>
      <c r="J6718" t="s">
        <v>8342</v>
      </c>
      <c r="K6718" t="s">
        <v>95</v>
      </c>
      <c r="L6718" t="s">
        <v>146</v>
      </c>
      <c r="M6718" t="s">
        <v>137</v>
      </c>
      <c r="N6718" t="s">
        <v>150</v>
      </c>
      <c r="O6718" t="s">
        <v>1345</v>
      </c>
    </row>
    <row r="6719" spans="1:15" x14ac:dyDescent="0.3">
      <c r="A6719" s="130">
        <v>71951</v>
      </c>
      <c r="B6719" s="130">
        <v>30</v>
      </c>
      <c r="C6719" s="130" t="s">
        <v>8343</v>
      </c>
      <c r="D6719">
        <v>862</v>
      </c>
      <c r="E6719" s="131">
        <v>36178464</v>
      </c>
      <c r="F6719" t="s">
        <v>87</v>
      </c>
      <c r="G6719">
        <v>78</v>
      </c>
      <c r="H6719" t="s">
        <v>8951</v>
      </c>
      <c r="I6719" s="131">
        <v>24</v>
      </c>
      <c r="J6719" t="s">
        <v>8343</v>
      </c>
      <c r="K6719" t="s">
        <v>95</v>
      </c>
      <c r="L6719" t="s">
        <v>138</v>
      </c>
      <c r="M6719" t="s">
        <v>103</v>
      </c>
      <c r="N6719" t="s">
        <v>98</v>
      </c>
      <c r="O6719" t="s">
        <v>1345</v>
      </c>
    </row>
    <row r="6720" spans="1:15" x14ac:dyDescent="0.3">
      <c r="A6720" s="130">
        <v>71952</v>
      </c>
      <c r="B6720" s="130">
        <v>90</v>
      </c>
      <c r="C6720" s="130" t="s">
        <v>8344</v>
      </c>
      <c r="D6720">
        <v>863</v>
      </c>
      <c r="E6720" s="131">
        <v>35234509</v>
      </c>
      <c r="F6720" t="s">
        <v>87</v>
      </c>
      <c r="G6720">
        <v>78</v>
      </c>
      <c r="H6720" t="s">
        <v>8952</v>
      </c>
      <c r="I6720" s="130">
        <v>18</v>
      </c>
      <c r="J6720" t="s">
        <v>8344</v>
      </c>
      <c r="K6720" t="s">
        <v>95</v>
      </c>
      <c r="L6720" t="s">
        <v>102</v>
      </c>
      <c r="M6720" t="s">
        <v>170</v>
      </c>
      <c r="N6720" t="s">
        <v>98</v>
      </c>
      <c r="O6720" t="s">
        <v>116</v>
      </c>
    </row>
    <row r="6721" spans="1:15" x14ac:dyDescent="0.3">
      <c r="A6721" s="130">
        <v>71956</v>
      </c>
      <c r="B6721" s="130">
        <v>18</v>
      </c>
      <c r="C6721" s="130" t="s">
        <v>8345</v>
      </c>
      <c r="D6721">
        <v>864</v>
      </c>
      <c r="E6721" s="131">
        <v>17155391</v>
      </c>
      <c r="F6721" t="s">
        <v>87</v>
      </c>
      <c r="G6721">
        <v>358</v>
      </c>
      <c r="H6721" t="s">
        <v>8953</v>
      </c>
      <c r="I6721" s="130">
        <v>10</v>
      </c>
      <c r="J6721" t="s">
        <v>8345</v>
      </c>
      <c r="K6721" t="s">
        <v>95</v>
      </c>
      <c r="L6721" t="s">
        <v>105</v>
      </c>
      <c r="M6721" t="s">
        <v>112</v>
      </c>
      <c r="N6721" t="s">
        <v>98</v>
      </c>
      <c r="O6721" t="s">
        <v>1345</v>
      </c>
    </row>
    <row r="6722" spans="1:15" x14ac:dyDescent="0.3">
      <c r="A6722" s="130">
        <v>71957</v>
      </c>
      <c r="B6722" s="130">
        <v>18</v>
      </c>
      <c r="C6722" s="130" t="s">
        <v>8346</v>
      </c>
      <c r="D6722">
        <v>865</v>
      </c>
      <c r="E6722" s="130">
        <v>21471093</v>
      </c>
      <c r="F6722" t="s">
        <v>87</v>
      </c>
      <c r="G6722">
        <v>358</v>
      </c>
      <c r="H6722" t="s">
        <v>8951</v>
      </c>
      <c r="I6722" s="130">
        <v>2</v>
      </c>
      <c r="J6722" t="s">
        <v>8346</v>
      </c>
      <c r="K6722" t="s">
        <v>108</v>
      </c>
      <c r="L6722" t="s">
        <v>193</v>
      </c>
      <c r="M6722" t="s">
        <v>112</v>
      </c>
      <c r="N6722" t="s">
        <v>98</v>
      </c>
      <c r="O6722" t="s">
        <v>116</v>
      </c>
    </row>
    <row r="6723" spans="1:15" x14ac:dyDescent="0.3">
      <c r="A6723" s="130">
        <v>71960</v>
      </c>
      <c r="B6723" s="130">
        <v>30</v>
      </c>
      <c r="C6723" s="130" t="s">
        <v>8347</v>
      </c>
      <c r="D6723">
        <v>866</v>
      </c>
      <c r="E6723" s="130">
        <v>11630309</v>
      </c>
      <c r="F6723" t="s">
        <v>87</v>
      </c>
      <c r="G6723">
        <v>77</v>
      </c>
      <c r="H6723" t="s">
        <v>8952</v>
      </c>
      <c r="I6723" s="130">
        <v>2</v>
      </c>
      <c r="J6723" t="s">
        <v>8347</v>
      </c>
      <c r="K6723" t="s">
        <v>95</v>
      </c>
      <c r="L6723" t="s">
        <v>119</v>
      </c>
      <c r="M6723" t="s">
        <v>103</v>
      </c>
      <c r="N6723" t="s">
        <v>150</v>
      </c>
      <c r="O6723" t="s">
        <v>1345</v>
      </c>
    </row>
    <row r="6724" spans="1:15" x14ac:dyDescent="0.3">
      <c r="A6724" s="130">
        <v>71961</v>
      </c>
      <c r="B6724" s="130">
        <v>28</v>
      </c>
      <c r="C6724" s="130" t="s">
        <v>8348</v>
      </c>
      <c r="D6724">
        <v>867</v>
      </c>
      <c r="E6724" s="130">
        <v>34186786</v>
      </c>
      <c r="F6724" t="s">
        <v>87</v>
      </c>
      <c r="G6724">
        <v>78</v>
      </c>
      <c r="H6724" t="s">
        <v>8953</v>
      </c>
      <c r="I6724" s="130">
        <v>24</v>
      </c>
      <c r="J6724" t="s">
        <v>8348</v>
      </c>
      <c r="K6724" t="s">
        <v>95</v>
      </c>
      <c r="L6724" t="s">
        <v>138</v>
      </c>
      <c r="M6724" t="s">
        <v>130</v>
      </c>
      <c r="N6724" t="s">
        <v>150</v>
      </c>
      <c r="O6724" t="s">
        <v>1345</v>
      </c>
    </row>
    <row r="6725" spans="1:15" x14ac:dyDescent="0.3">
      <c r="A6725" s="130">
        <v>71965</v>
      </c>
      <c r="B6725" s="130">
        <v>18</v>
      </c>
      <c r="C6725" s="130" t="s">
        <v>8349</v>
      </c>
      <c r="D6725">
        <v>868</v>
      </c>
      <c r="E6725" s="130">
        <v>4311533</v>
      </c>
      <c r="F6725" t="s">
        <v>87</v>
      </c>
      <c r="G6725">
        <v>78</v>
      </c>
      <c r="H6725" t="s">
        <v>8951</v>
      </c>
      <c r="I6725" s="130">
        <v>10</v>
      </c>
      <c r="J6725" t="s">
        <v>8349</v>
      </c>
      <c r="K6725" t="s">
        <v>108</v>
      </c>
      <c r="L6725" t="s">
        <v>127</v>
      </c>
      <c r="M6725" t="s">
        <v>112</v>
      </c>
      <c r="N6725" t="s">
        <v>101</v>
      </c>
      <c r="O6725" t="s">
        <v>1345</v>
      </c>
    </row>
    <row r="6726" spans="1:15" x14ac:dyDescent="0.3">
      <c r="A6726" s="130">
        <v>71969</v>
      </c>
      <c r="B6726" s="130">
        <v>30</v>
      </c>
      <c r="C6726" s="130" t="s">
        <v>8350</v>
      </c>
      <c r="D6726">
        <v>869</v>
      </c>
      <c r="E6726" s="130">
        <v>33193996</v>
      </c>
      <c r="F6726" t="s">
        <v>87</v>
      </c>
      <c r="G6726">
        <v>358</v>
      </c>
      <c r="H6726" t="s">
        <v>8952</v>
      </c>
      <c r="I6726" s="130">
        <v>2</v>
      </c>
      <c r="J6726" t="s">
        <v>8350</v>
      </c>
      <c r="K6726" t="s">
        <v>95</v>
      </c>
      <c r="L6726" t="s">
        <v>111</v>
      </c>
      <c r="M6726" t="s">
        <v>103</v>
      </c>
      <c r="N6726" t="s">
        <v>98</v>
      </c>
      <c r="O6726" t="s">
        <v>1345</v>
      </c>
    </row>
    <row r="6727" spans="1:15" x14ac:dyDescent="0.3">
      <c r="A6727" s="130">
        <v>71972</v>
      </c>
      <c r="B6727" s="130">
        <v>18</v>
      </c>
      <c r="C6727" s="130" t="s">
        <v>8351</v>
      </c>
      <c r="D6727">
        <v>870</v>
      </c>
      <c r="E6727" s="131">
        <v>71427389</v>
      </c>
      <c r="F6727" t="s">
        <v>87</v>
      </c>
      <c r="G6727">
        <v>358</v>
      </c>
      <c r="H6727" t="s">
        <v>8953</v>
      </c>
      <c r="I6727" s="130">
        <v>2</v>
      </c>
      <c r="J6727" t="s">
        <v>8351</v>
      </c>
      <c r="K6727" t="s">
        <v>108</v>
      </c>
      <c r="L6727" t="s">
        <v>111</v>
      </c>
      <c r="M6727" t="s">
        <v>112</v>
      </c>
      <c r="N6727" t="s">
        <v>150</v>
      </c>
      <c r="O6727" t="s">
        <v>1345</v>
      </c>
    </row>
    <row r="6728" spans="1:15" x14ac:dyDescent="0.3">
      <c r="A6728" s="130">
        <v>71978</v>
      </c>
      <c r="B6728" s="130">
        <v>18</v>
      </c>
      <c r="C6728" s="130" t="s">
        <v>8352</v>
      </c>
      <c r="D6728">
        <v>871</v>
      </c>
      <c r="E6728" s="131">
        <v>33841727</v>
      </c>
      <c r="F6728" t="s">
        <v>87</v>
      </c>
      <c r="G6728">
        <v>78</v>
      </c>
      <c r="H6728" t="s">
        <v>8951</v>
      </c>
      <c r="I6728" s="131">
        <v>19</v>
      </c>
      <c r="J6728" t="s">
        <v>8352</v>
      </c>
      <c r="K6728" t="s">
        <v>108</v>
      </c>
      <c r="L6728" t="s">
        <v>146</v>
      </c>
      <c r="M6728" t="s">
        <v>112</v>
      </c>
      <c r="N6728" t="s">
        <v>98</v>
      </c>
      <c r="O6728" t="s">
        <v>1345</v>
      </c>
    </row>
    <row r="6729" spans="1:15" x14ac:dyDescent="0.3">
      <c r="A6729" s="130">
        <v>71979</v>
      </c>
      <c r="B6729" s="130">
        <v>30</v>
      </c>
      <c r="C6729" s="130" t="s">
        <v>8353</v>
      </c>
      <c r="D6729">
        <v>872</v>
      </c>
      <c r="E6729" s="130">
        <v>5451496</v>
      </c>
      <c r="F6729" t="s">
        <v>87</v>
      </c>
      <c r="G6729">
        <v>358</v>
      </c>
      <c r="H6729" t="s">
        <v>8952</v>
      </c>
      <c r="I6729" s="131">
        <v>2</v>
      </c>
      <c r="J6729" t="s">
        <v>8353</v>
      </c>
      <c r="K6729" t="s">
        <v>95</v>
      </c>
      <c r="L6729" t="s">
        <v>111</v>
      </c>
      <c r="M6729" t="s">
        <v>103</v>
      </c>
      <c r="N6729" t="s">
        <v>101</v>
      </c>
      <c r="O6729" t="s">
        <v>1345</v>
      </c>
    </row>
    <row r="6730" spans="1:15" x14ac:dyDescent="0.3">
      <c r="A6730" s="130">
        <v>71981</v>
      </c>
      <c r="B6730" s="130">
        <v>30</v>
      </c>
      <c r="C6730" s="130" t="s">
        <v>8354</v>
      </c>
      <c r="D6730">
        <v>873</v>
      </c>
      <c r="E6730" s="131">
        <v>5848387</v>
      </c>
      <c r="F6730" t="s">
        <v>87</v>
      </c>
      <c r="G6730">
        <v>77</v>
      </c>
      <c r="H6730" t="s">
        <v>8953</v>
      </c>
      <c r="I6730" s="131">
        <v>10</v>
      </c>
      <c r="J6730" t="s">
        <v>8354</v>
      </c>
      <c r="K6730" t="s">
        <v>95</v>
      </c>
      <c r="L6730" t="s">
        <v>117</v>
      </c>
      <c r="M6730" t="s">
        <v>103</v>
      </c>
      <c r="N6730" t="s">
        <v>114</v>
      </c>
      <c r="O6730" t="s">
        <v>116</v>
      </c>
    </row>
    <row r="6731" spans="1:15" x14ac:dyDescent="0.3">
      <c r="A6731" s="130">
        <v>71983</v>
      </c>
      <c r="B6731" s="130">
        <v>60</v>
      </c>
      <c r="C6731" s="130" t="s">
        <v>8355</v>
      </c>
      <c r="D6731">
        <v>874</v>
      </c>
      <c r="E6731" s="130">
        <v>42150391</v>
      </c>
      <c r="F6731" t="s">
        <v>87</v>
      </c>
      <c r="G6731">
        <v>77</v>
      </c>
      <c r="H6731" t="s">
        <v>8951</v>
      </c>
      <c r="I6731" s="130">
        <v>19</v>
      </c>
      <c r="J6731" t="s">
        <v>8355</v>
      </c>
      <c r="K6731" t="s">
        <v>95</v>
      </c>
      <c r="L6731" t="s">
        <v>117</v>
      </c>
      <c r="M6731" t="s">
        <v>97</v>
      </c>
      <c r="N6731" t="s">
        <v>114</v>
      </c>
      <c r="O6731" t="s">
        <v>116</v>
      </c>
    </row>
    <row r="6732" spans="1:15" x14ac:dyDescent="0.3">
      <c r="A6732" s="130">
        <v>71986</v>
      </c>
      <c r="B6732" s="130">
        <v>18</v>
      </c>
      <c r="C6732" s="130" t="s">
        <v>8356</v>
      </c>
      <c r="D6732">
        <v>875</v>
      </c>
      <c r="E6732" s="131">
        <v>1875668</v>
      </c>
      <c r="F6732" t="s">
        <v>87</v>
      </c>
      <c r="G6732">
        <v>78</v>
      </c>
      <c r="H6732" t="s">
        <v>8952</v>
      </c>
      <c r="I6732" s="131">
        <v>24</v>
      </c>
      <c r="J6732" t="s">
        <v>8356</v>
      </c>
      <c r="K6732" t="s">
        <v>108</v>
      </c>
      <c r="L6732" t="s">
        <v>138</v>
      </c>
      <c r="M6732" t="s">
        <v>112</v>
      </c>
      <c r="N6732" t="s">
        <v>101</v>
      </c>
      <c r="O6732" t="s">
        <v>1345</v>
      </c>
    </row>
    <row r="6733" spans="1:15" x14ac:dyDescent="0.3">
      <c r="A6733" s="130">
        <v>71991</v>
      </c>
      <c r="B6733" s="130">
        <v>18</v>
      </c>
      <c r="C6733" s="130" t="s">
        <v>8357</v>
      </c>
      <c r="D6733">
        <v>876</v>
      </c>
      <c r="E6733" s="131">
        <v>17445321</v>
      </c>
      <c r="F6733" t="s">
        <v>87</v>
      </c>
      <c r="G6733">
        <v>358</v>
      </c>
      <c r="H6733" t="s">
        <v>8953</v>
      </c>
      <c r="I6733" s="130">
        <v>2</v>
      </c>
      <c r="J6733" t="s">
        <v>8357</v>
      </c>
      <c r="K6733" t="s">
        <v>108</v>
      </c>
      <c r="L6733" t="s">
        <v>99</v>
      </c>
      <c r="M6733" t="s">
        <v>112</v>
      </c>
      <c r="N6733" t="s">
        <v>162</v>
      </c>
      <c r="O6733" t="s">
        <v>1345</v>
      </c>
    </row>
    <row r="6734" spans="1:15" x14ac:dyDescent="0.3">
      <c r="A6734" s="130">
        <v>72000</v>
      </c>
      <c r="B6734" s="130">
        <v>35</v>
      </c>
      <c r="C6734" s="130" t="s">
        <v>8358</v>
      </c>
      <c r="D6734">
        <v>877</v>
      </c>
      <c r="E6734" s="131">
        <v>3992929</v>
      </c>
      <c r="F6734" t="s">
        <v>87</v>
      </c>
      <c r="G6734">
        <v>78</v>
      </c>
      <c r="H6734" t="s">
        <v>8951</v>
      </c>
      <c r="I6734" s="131">
        <v>9</v>
      </c>
      <c r="J6734" t="s">
        <v>8358</v>
      </c>
      <c r="K6734" t="s">
        <v>95</v>
      </c>
      <c r="L6734" t="s">
        <v>125</v>
      </c>
      <c r="M6734" t="s">
        <v>161</v>
      </c>
      <c r="N6734" t="s">
        <v>98</v>
      </c>
      <c r="O6734" t="s">
        <v>1345</v>
      </c>
    </row>
    <row r="6735" spans="1:15" x14ac:dyDescent="0.3">
      <c r="A6735" s="130">
        <v>72001</v>
      </c>
      <c r="B6735" s="130">
        <v>18</v>
      </c>
      <c r="C6735" s="130" t="s">
        <v>8359</v>
      </c>
      <c r="D6735">
        <v>878</v>
      </c>
      <c r="E6735" s="131">
        <v>5202938</v>
      </c>
      <c r="F6735" t="s">
        <v>87</v>
      </c>
      <c r="G6735">
        <v>78</v>
      </c>
      <c r="H6735" t="s">
        <v>8952</v>
      </c>
      <c r="I6735" s="131">
        <v>9</v>
      </c>
      <c r="J6735" t="s">
        <v>8359</v>
      </c>
      <c r="K6735" t="s">
        <v>95</v>
      </c>
      <c r="L6735" t="s">
        <v>181</v>
      </c>
      <c r="M6735" t="s">
        <v>112</v>
      </c>
      <c r="N6735" t="s">
        <v>98</v>
      </c>
      <c r="O6735" t="s">
        <v>1345</v>
      </c>
    </row>
    <row r="6736" spans="1:15" x14ac:dyDescent="0.3">
      <c r="A6736" s="130">
        <v>72003</v>
      </c>
      <c r="B6736" s="130">
        <v>60</v>
      </c>
      <c r="C6736" s="130" t="s">
        <v>8360</v>
      </c>
      <c r="D6736">
        <v>879</v>
      </c>
      <c r="E6736" s="131">
        <v>3176142</v>
      </c>
      <c r="F6736" t="s">
        <v>87</v>
      </c>
      <c r="G6736">
        <v>78</v>
      </c>
      <c r="H6736" t="s">
        <v>8953</v>
      </c>
      <c r="I6736" s="130">
        <v>18</v>
      </c>
      <c r="J6736" t="s">
        <v>8360</v>
      </c>
      <c r="K6736" t="s">
        <v>95</v>
      </c>
      <c r="L6736" t="s">
        <v>123</v>
      </c>
      <c r="M6736" t="s">
        <v>97</v>
      </c>
      <c r="N6736" t="s">
        <v>98</v>
      </c>
      <c r="O6736" t="s">
        <v>1345</v>
      </c>
    </row>
    <row r="6737" spans="1:15" x14ac:dyDescent="0.3">
      <c r="A6737" s="130">
        <v>72007</v>
      </c>
      <c r="B6737" s="130">
        <v>30</v>
      </c>
      <c r="C6737" s="130" t="s">
        <v>8361</v>
      </c>
      <c r="D6737">
        <v>880</v>
      </c>
      <c r="E6737" s="130">
        <v>27426196</v>
      </c>
      <c r="F6737" t="s">
        <v>87</v>
      </c>
      <c r="G6737">
        <v>78</v>
      </c>
      <c r="H6737" t="s">
        <v>8951</v>
      </c>
      <c r="I6737" s="130">
        <v>10</v>
      </c>
      <c r="J6737" t="s">
        <v>8361</v>
      </c>
      <c r="K6737" t="s">
        <v>95</v>
      </c>
      <c r="L6737" t="s">
        <v>127</v>
      </c>
      <c r="M6737" t="s">
        <v>103</v>
      </c>
      <c r="N6737" t="s">
        <v>98</v>
      </c>
      <c r="O6737" t="s">
        <v>1345</v>
      </c>
    </row>
    <row r="6738" spans="1:15" x14ac:dyDescent="0.3">
      <c r="A6738" s="130">
        <v>72015</v>
      </c>
      <c r="B6738" s="130">
        <v>3</v>
      </c>
      <c r="C6738" s="130" t="s">
        <v>8362</v>
      </c>
      <c r="D6738">
        <v>881</v>
      </c>
      <c r="E6738" s="131">
        <v>6066763</v>
      </c>
      <c r="F6738" t="s">
        <v>87</v>
      </c>
      <c r="G6738">
        <v>78</v>
      </c>
      <c r="H6738" t="s">
        <v>8952</v>
      </c>
      <c r="I6738" s="131">
        <v>9</v>
      </c>
      <c r="J6738" t="s">
        <v>8362</v>
      </c>
      <c r="K6738" t="s">
        <v>108</v>
      </c>
      <c r="L6738" t="s">
        <v>125</v>
      </c>
      <c r="M6738" t="s">
        <v>1347</v>
      </c>
      <c r="N6738" t="s">
        <v>107</v>
      </c>
      <c r="O6738" t="s">
        <v>1345</v>
      </c>
    </row>
    <row r="6739" spans="1:15" x14ac:dyDescent="0.3">
      <c r="A6739" s="130">
        <v>72017</v>
      </c>
      <c r="B6739" s="130">
        <v>30</v>
      </c>
      <c r="C6739" s="130" t="s">
        <v>8363</v>
      </c>
      <c r="D6739">
        <v>882</v>
      </c>
      <c r="E6739" s="130">
        <v>31260089</v>
      </c>
      <c r="F6739" t="s">
        <v>87</v>
      </c>
      <c r="G6739">
        <v>78</v>
      </c>
      <c r="H6739" t="s">
        <v>8953</v>
      </c>
      <c r="I6739" s="130">
        <v>19</v>
      </c>
      <c r="J6739" t="s">
        <v>8363</v>
      </c>
      <c r="K6739" t="s">
        <v>95</v>
      </c>
      <c r="L6739" t="s">
        <v>146</v>
      </c>
      <c r="M6739" t="s">
        <v>103</v>
      </c>
      <c r="N6739" t="s">
        <v>150</v>
      </c>
      <c r="O6739" t="s">
        <v>1345</v>
      </c>
    </row>
    <row r="6740" spans="1:15" x14ac:dyDescent="0.3">
      <c r="A6740" s="130">
        <v>72020</v>
      </c>
      <c r="B6740" s="130">
        <v>18</v>
      </c>
      <c r="C6740" s="130" t="s">
        <v>8364</v>
      </c>
      <c r="D6740">
        <v>883</v>
      </c>
      <c r="E6740" s="130">
        <v>3031991</v>
      </c>
      <c r="F6740" t="s">
        <v>87</v>
      </c>
      <c r="G6740">
        <v>358</v>
      </c>
      <c r="H6740" t="s">
        <v>8951</v>
      </c>
      <c r="I6740" s="130">
        <v>2</v>
      </c>
      <c r="J6740" t="s">
        <v>8364</v>
      </c>
      <c r="K6740" t="s">
        <v>108</v>
      </c>
      <c r="L6740" t="s">
        <v>96</v>
      </c>
      <c r="M6740" t="s">
        <v>112</v>
      </c>
      <c r="N6740" t="s">
        <v>98</v>
      </c>
      <c r="O6740" t="s">
        <v>1345</v>
      </c>
    </row>
    <row r="6741" spans="1:15" x14ac:dyDescent="0.3">
      <c r="A6741" s="130">
        <v>72022</v>
      </c>
      <c r="B6741" s="130">
        <v>30</v>
      </c>
      <c r="C6741" s="130" t="s">
        <v>8365</v>
      </c>
      <c r="D6741">
        <v>884</v>
      </c>
      <c r="E6741" s="131">
        <v>27426196</v>
      </c>
      <c r="F6741" t="s">
        <v>87</v>
      </c>
      <c r="G6741">
        <v>78</v>
      </c>
      <c r="H6741" t="s">
        <v>8952</v>
      </c>
      <c r="I6741" s="131">
        <v>10</v>
      </c>
      <c r="J6741" t="s">
        <v>8365</v>
      </c>
      <c r="K6741" t="s">
        <v>95</v>
      </c>
      <c r="L6741" t="s">
        <v>127</v>
      </c>
      <c r="M6741" t="s">
        <v>103</v>
      </c>
      <c r="N6741" t="s">
        <v>98</v>
      </c>
      <c r="O6741" t="s">
        <v>1345</v>
      </c>
    </row>
    <row r="6742" spans="1:15" x14ac:dyDescent="0.3">
      <c r="A6742" s="130">
        <v>72023</v>
      </c>
      <c r="B6742" s="130">
        <v>18</v>
      </c>
      <c r="C6742" s="130" t="s">
        <v>8366</v>
      </c>
      <c r="D6742">
        <v>885</v>
      </c>
      <c r="E6742" s="130">
        <v>7791042</v>
      </c>
      <c r="F6742" t="s">
        <v>87</v>
      </c>
      <c r="G6742">
        <v>78</v>
      </c>
      <c r="H6742" t="s">
        <v>8953</v>
      </c>
      <c r="I6742" s="131">
        <v>19</v>
      </c>
      <c r="J6742" t="s">
        <v>8366</v>
      </c>
      <c r="K6742" t="s">
        <v>108</v>
      </c>
      <c r="L6742" t="s">
        <v>146</v>
      </c>
      <c r="M6742" t="s">
        <v>112</v>
      </c>
      <c r="N6742" t="s">
        <v>98</v>
      </c>
      <c r="O6742" t="s">
        <v>1345</v>
      </c>
    </row>
    <row r="6743" spans="1:15" x14ac:dyDescent="0.3">
      <c r="A6743" s="130">
        <v>72024</v>
      </c>
      <c r="B6743" s="130">
        <v>18</v>
      </c>
      <c r="C6743" s="130" t="s">
        <v>8367</v>
      </c>
      <c r="D6743">
        <v>886</v>
      </c>
      <c r="E6743" s="131">
        <v>2617158</v>
      </c>
      <c r="F6743" t="s">
        <v>87</v>
      </c>
      <c r="G6743">
        <v>78</v>
      </c>
      <c r="H6743" t="s">
        <v>8951</v>
      </c>
      <c r="I6743" s="131">
        <v>10</v>
      </c>
      <c r="J6743" t="s">
        <v>8367</v>
      </c>
      <c r="K6743" t="s">
        <v>108</v>
      </c>
      <c r="L6743" t="s">
        <v>127</v>
      </c>
      <c r="M6743" t="s">
        <v>112</v>
      </c>
      <c r="N6743" t="s">
        <v>98</v>
      </c>
      <c r="O6743" t="s">
        <v>1345</v>
      </c>
    </row>
    <row r="6744" spans="1:15" x14ac:dyDescent="0.3">
      <c r="A6744" s="130">
        <v>72025</v>
      </c>
      <c r="B6744" s="130">
        <v>18</v>
      </c>
      <c r="C6744" s="130" t="s">
        <v>8368</v>
      </c>
      <c r="D6744">
        <v>887</v>
      </c>
      <c r="E6744" s="130">
        <v>4663056</v>
      </c>
      <c r="F6744" t="s">
        <v>87</v>
      </c>
      <c r="G6744">
        <v>78</v>
      </c>
      <c r="H6744" t="s">
        <v>8952</v>
      </c>
      <c r="I6744" s="130">
        <v>26</v>
      </c>
      <c r="J6744" t="s">
        <v>8368</v>
      </c>
      <c r="K6744" t="s">
        <v>108</v>
      </c>
      <c r="L6744" t="s">
        <v>151</v>
      </c>
      <c r="M6744" t="s">
        <v>112</v>
      </c>
      <c r="N6744" t="s">
        <v>98</v>
      </c>
      <c r="O6744" t="s">
        <v>116</v>
      </c>
    </row>
    <row r="6745" spans="1:15" x14ac:dyDescent="0.3">
      <c r="A6745" s="130">
        <v>72030</v>
      </c>
      <c r="B6745" s="130">
        <v>30</v>
      </c>
      <c r="C6745" s="130" t="s">
        <v>8369</v>
      </c>
      <c r="D6745">
        <v>888</v>
      </c>
      <c r="E6745" s="130">
        <v>31260089</v>
      </c>
      <c r="F6745" t="s">
        <v>87</v>
      </c>
      <c r="G6745">
        <v>78</v>
      </c>
      <c r="H6745" t="s">
        <v>8953</v>
      </c>
      <c r="I6745" s="130">
        <v>19</v>
      </c>
      <c r="J6745" t="s">
        <v>8369</v>
      </c>
      <c r="K6745" t="s">
        <v>95</v>
      </c>
      <c r="L6745" t="s">
        <v>146</v>
      </c>
      <c r="M6745" t="s">
        <v>103</v>
      </c>
      <c r="N6745" t="s">
        <v>150</v>
      </c>
      <c r="O6745" t="s">
        <v>1345</v>
      </c>
    </row>
    <row r="6746" spans="1:15" x14ac:dyDescent="0.3">
      <c r="A6746" s="130">
        <v>72031</v>
      </c>
      <c r="B6746" s="130">
        <v>18</v>
      </c>
      <c r="C6746" s="130" t="s">
        <v>8370</v>
      </c>
      <c r="D6746">
        <v>889</v>
      </c>
      <c r="E6746" s="131">
        <v>74017005</v>
      </c>
      <c r="F6746" t="s">
        <v>87</v>
      </c>
      <c r="G6746">
        <v>78</v>
      </c>
      <c r="H6746" t="s">
        <v>8951</v>
      </c>
      <c r="I6746" s="130">
        <v>38</v>
      </c>
      <c r="J6746" t="s">
        <v>8370</v>
      </c>
      <c r="K6746" t="s">
        <v>108</v>
      </c>
      <c r="L6746" t="s">
        <v>126</v>
      </c>
      <c r="M6746" t="s">
        <v>112</v>
      </c>
      <c r="N6746" t="s">
        <v>98</v>
      </c>
      <c r="O6746" t="s">
        <v>116</v>
      </c>
    </row>
    <row r="6747" spans="1:15" x14ac:dyDescent="0.3">
      <c r="A6747" s="130">
        <v>72032</v>
      </c>
      <c r="B6747" s="130">
        <v>45</v>
      </c>
      <c r="C6747" s="130" t="s">
        <v>8371</v>
      </c>
      <c r="D6747">
        <v>890</v>
      </c>
      <c r="E6747" s="130">
        <v>3130160</v>
      </c>
      <c r="F6747" t="s">
        <v>87</v>
      </c>
      <c r="G6747">
        <v>358</v>
      </c>
      <c r="H6747" t="s">
        <v>8952</v>
      </c>
      <c r="I6747" s="130">
        <v>10</v>
      </c>
      <c r="J6747" t="s">
        <v>8371</v>
      </c>
      <c r="K6747" t="s">
        <v>95</v>
      </c>
      <c r="L6747" t="s">
        <v>105</v>
      </c>
      <c r="M6747" t="s">
        <v>106</v>
      </c>
      <c r="N6747" t="s">
        <v>98</v>
      </c>
      <c r="O6747" t="s">
        <v>1345</v>
      </c>
    </row>
    <row r="6748" spans="1:15" x14ac:dyDescent="0.3">
      <c r="A6748" s="130">
        <v>72042</v>
      </c>
      <c r="B6748" s="130">
        <v>18</v>
      </c>
      <c r="C6748" s="130" t="s">
        <v>8372</v>
      </c>
      <c r="D6748">
        <v>891</v>
      </c>
      <c r="E6748" s="130">
        <v>28660696</v>
      </c>
      <c r="F6748" t="s">
        <v>87</v>
      </c>
      <c r="G6748">
        <v>78</v>
      </c>
      <c r="H6748" t="s">
        <v>8953</v>
      </c>
      <c r="I6748" s="130">
        <v>9</v>
      </c>
      <c r="J6748" t="s">
        <v>8372</v>
      </c>
      <c r="K6748" t="s">
        <v>95</v>
      </c>
      <c r="L6748" t="s">
        <v>125</v>
      </c>
      <c r="M6748" t="s">
        <v>112</v>
      </c>
      <c r="N6748" t="s">
        <v>124</v>
      </c>
      <c r="O6748" t="s">
        <v>1345</v>
      </c>
    </row>
    <row r="6749" spans="1:15" x14ac:dyDescent="0.3">
      <c r="A6749" s="130">
        <v>72043</v>
      </c>
      <c r="B6749" s="130">
        <v>30</v>
      </c>
      <c r="C6749" s="130" t="s">
        <v>8373</v>
      </c>
      <c r="D6749">
        <v>892</v>
      </c>
      <c r="E6749" s="131">
        <v>33534821</v>
      </c>
      <c r="F6749" t="s">
        <v>87</v>
      </c>
      <c r="G6749">
        <v>78</v>
      </c>
      <c r="H6749" t="s">
        <v>8951</v>
      </c>
      <c r="I6749" s="130">
        <v>10</v>
      </c>
      <c r="J6749" t="s">
        <v>8373</v>
      </c>
      <c r="K6749" t="s">
        <v>95</v>
      </c>
      <c r="L6749" t="s">
        <v>127</v>
      </c>
      <c r="M6749" t="s">
        <v>103</v>
      </c>
      <c r="N6749" t="s">
        <v>98</v>
      </c>
      <c r="O6749" t="s">
        <v>1345</v>
      </c>
    </row>
    <row r="6750" spans="1:15" x14ac:dyDescent="0.3">
      <c r="A6750" s="130">
        <v>72045</v>
      </c>
      <c r="B6750" s="130">
        <v>30</v>
      </c>
      <c r="C6750" s="130" t="s">
        <v>8374</v>
      </c>
      <c r="D6750">
        <v>893</v>
      </c>
      <c r="E6750" s="130">
        <v>72030927</v>
      </c>
      <c r="F6750" t="s">
        <v>87</v>
      </c>
      <c r="G6750">
        <v>78</v>
      </c>
      <c r="H6750" t="s">
        <v>8952</v>
      </c>
      <c r="I6750" s="130">
        <v>18</v>
      </c>
      <c r="J6750" t="s">
        <v>8374</v>
      </c>
      <c r="K6750" t="s">
        <v>95</v>
      </c>
      <c r="L6750" t="s">
        <v>123</v>
      </c>
      <c r="M6750" t="s">
        <v>103</v>
      </c>
      <c r="N6750" t="s">
        <v>98</v>
      </c>
      <c r="O6750" t="s">
        <v>1345</v>
      </c>
    </row>
    <row r="6751" spans="1:15" x14ac:dyDescent="0.3">
      <c r="A6751" s="130">
        <v>72047</v>
      </c>
      <c r="B6751" s="130">
        <v>18</v>
      </c>
      <c r="C6751" s="130" t="s">
        <v>8375</v>
      </c>
      <c r="D6751">
        <v>894</v>
      </c>
      <c r="E6751" s="130">
        <v>23143189</v>
      </c>
      <c r="F6751" t="s">
        <v>87</v>
      </c>
      <c r="G6751">
        <v>78</v>
      </c>
      <c r="H6751" t="s">
        <v>8953</v>
      </c>
      <c r="I6751" s="131">
        <v>9</v>
      </c>
      <c r="J6751" t="s">
        <v>8375</v>
      </c>
      <c r="K6751" t="s">
        <v>108</v>
      </c>
      <c r="L6751" t="s">
        <v>134</v>
      </c>
      <c r="M6751" t="s">
        <v>112</v>
      </c>
      <c r="N6751" t="s">
        <v>114</v>
      </c>
      <c r="O6751" t="s">
        <v>1345</v>
      </c>
    </row>
    <row r="6752" spans="1:15" x14ac:dyDescent="0.3">
      <c r="A6752" s="130">
        <v>72048</v>
      </c>
      <c r="B6752" s="130">
        <v>18</v>
      </c>
      <c r="C6752" s="130" t="s">
        <v>8376</v>
      </c>
      <c r="D6752">
        <v>895</v>
      </c>
      <c r="E6752" s="130">
        <v>6047087</v>
      </c>
      <c r="F6752" t="s">
        <v>87</v>
      </c>
      <c r="G6752">
        <v>78</v>
      </c>
      <c r="H6752" t="s">
        <v>8951</v>
      </c>
      <c r="I6752" s="131">
        <v>19</v>
      </c>
      <c r="J6752" t="s">
        <v>8376</v>
      </c>
      <c r="K6752" t="s">
        <v>108</v>
      </c>
      <c r="L6752" t="s">
        <v>146</v>
      </c>
      <c r="M6752" t="s">
        <v>112</v>
      </c>
      <c r="N6752" t="s">
        <v>166</v>
      </c>
      <c r="O6752" t="s">
        <v>1345</v>
      </c>
    </row>
    <row r="6753" spans="1:15" x14ac:dyDescent="0.3">
      <c r="A6753" s="130">
        <v>72050</v>
      </c>
      <c r="B6753" s="130">
        <v>18</v>
      </c>
      <c r="C6753" s="130" t="s">
        <v>8377</v>
      </c>
      <c r="D6753">
        <v>896</v>
      </c>
      <c r="E6753" s="130">
        <v>28757170</v>
      </c>
      <c r="F6753" t="s">
        <v>87</v>
      </c>
      <c r="G6753">
        <v>78</v>
      </c>
      <c r="H6753" t="s">
        <v>8952</v>
      </c>
      <c r="I6753" s="130">
        <v>9</v>
      </c>
      <c r="J6753" t="s">
        <v>8377</v>
      </c>
      <c r="K6753" t="s">
        <v>108</v>
      </c>
      <c r="L6753" t="s">
        <v>125</v>
      </c>
      <c r="M6753" t="s">
        <v>112</v>
      </c>
      <c r="N6753" t="s">
        <v>98</v>
      </c>
      <c r="O6753" t="s">
        <v>1345</v>
      </c>
    </row>
    <row r="6754" spans="1:15" x14ac:dyDescent="0.3">
      <c r="A6754" s="130">
        <v>72054</v>
      </c>
      <c r="B6754" s="130">
        <v>18</v>
      </c>
      <c r="C6754" s="130" t="s">
        <v>8378</v>
      </c>
      <c r="D6754">
        <v>897</v>
      </c>
      <c r="E6754" s="130">
        <v>57394652</v>
      </c>
      <c r="F6754" t="s">
        <v>87</v>
      </c>
      <c r="G6754">
        <v>78</v>
      </c>
      <c r="H6754" t="s">
        <v>8953</v>
      </c>
      <c r="I6754" s="131">
        <v>38</v>
      </c>
      <c r="J6754" t="s">
        <v>8378</v>
      </c>
      <c r="K6754" t="s">
        <v>108</v>
      </c>
      <c r="L6754" t="s">
        <v>126</v>
      </c>
      <c r="M6754" t="s">
        <v>112</v>
      </c>
      <c r="N6754" t="s">
        <v>162</v>
      </c>
      <c r="O6754" t="s">
        <v>1345</v>
      </c>
    </row>
    <row r="6755" spans="1:15" x14ac:dyDescent="0.3">
      <c r="A6755" s="130">
        <v>72059</v>
      </c>
      <c r="B6755" s="130">
        <v>60</v>
      </c>
      <c r="C6755" s="130" t="s">
        <v>8379</v>
      </c>
      <c r="D6755">
        <v>898</v>
      </c>
      <c r="E6755" s="130">
        <v>33592510</v>
      </c>
      <c r="F6755" t="s">
        <v>87</v>
      </c>
      <c r="G6755">
        <v>77</v>
      </c>
      <c r="H6755" t="s">
        <v>8951</v>
      </c>
      <c r="I6755" s="131">
        <v>2</v>
      </c>
      <c r="J6755" t="s">
        <v>8379</v>
      </c>
      <c r="K6755" t="s">
        <v>95</v>
      </c>
      <c r="L6755" t="s">
        <v>1255</v>
      </c>
      <c r="M6755" t="s">
        <v>97</v>
      </c>
      <c r="N6755" t="s">
        <v>118</v>
      </c>
      <c r="O6755" t="s">
        <v>1345</v>
      </c>
    </row>
    <row r="6756" spans="1:15" x14ac:dyDescent="0.3">
      <c r="A6756" s="130">
        <v>72062</v>
      </c>
      <c r="B6756" s="130">
        <v>18</v>
      </c>
      <c r="C6756" s="130" t="s">
        <v>8380</v>
      </c>
      <c r="D6756">
        <v>899</v>
      </c>
      <c r="E6756" s="130">
        <v>8054995</v>
      </c>
      <c r="F6756" t="s">
        <v>87</v>
      </c>
      <c r="G6756">
        <v>358</v>
      </c>
      <c r="H6756" t="s">
        <v>8952</v>
      </c>
      <c r="I6756" s="130">
        <v>10</v>
      </c>
      <c r="J6756" t="s">
        <v>8380</v>
      </c>
      <c r="K6756" t="s">
        <v>108</v>
      </c>
      <c r="L6756" t="s">
        <v>105</v>
      </c>
      <c r="M6756" t="s">
        <v>112</v>
      </c>
      <c r="N6756" t="s">
        <v>107</v>
      </c>
      <c r="O6756" t="s">
        <v>1345</v>
      </c>
    </row>
    <row r="6757" spans="1:15" x14ac:dyDescent="0.3">
      <c r="A6757" s="130">
        <v>72063</v>
      </c>
      <c r="B6757" s="130">
        <v>30</v>
      </c>
      <c r="C6757" s="130" t="s">
        <v>8381</v>
      </c>
      <c r="D6757">
        <v>900</v>
      </c>
      <c r="E6757" s="131">
        <v>89723977</v>
      </c>
      <c r="F6757" t="s">
        <v>87</v>
      </c>
      <c r="G6757">
        <v>78</v>
      </c>
      <c r="H6757" t="s">
        <v>8953</v>
      </c>
      <c r="I6757" s="130">
        <v>10</v>
      </c>
      <c r="J6757" t="s">
        <v>8381</v>
      </c>
      <c r="K6757" t="s">
        <v>95</v>
      </c>
      <c r="L6757" t="s">
        <v>127</v>
      </c>
      <c r="M6757" t="s">
        <v>103</v>
      </c>
      <c r="N6757" t="s">
        <v>98</v>
      </c>
      <c r="O6757" t="s">
        <v>1345</v>
      </c>
    </row>
    <row r="6758" spans="1:15" x14ac:dyDescent="0.3">
      <c r="A6758" s="130">
        <v>72064</v>
      </c>
      <c r="B6758" s="130">
        <v>30</v>
      </c>
      <c r="C6758" s="130" t="s">
        <v>8382</v>
      </c>
      <c r="D6758">
        <v>901</v>
      </c>
      <c r="E6758" s="130">
        <v>7522191</v>
      </c>
      <c r="F6758" t="s">
        <v>87</v>
      </c>
      <c r="G6758">
        <v>78</v>
      </c>
      <c r="H6758" t="s">
        <v>8951</v>
      </c>
      <c r="I6758" s="130">
        <v>10</v>
      </c>
      <c r="J6758" t="s">
        <v>8382</v>
      </c>
      <c r="K6758" t="s">
        <v>95</v>
      </c>
      <c r="L6758" t="s">
        <v>127</v>
      </c>
      <c r="M6758" t="s">
        <v>103</v>
      </c>
      <c r="N6758" t="s">
        <v>118</v>
      </c>
      <c r="O6758" t="s">
        <v>116</v>
      </c>
    </row>
    <row r="6759" spans="1:15" x14ac:dyDescent="0.3">
      <c r="A6759" s="130">
        <v>72065</v>
      </c>
      <c r="B6759" s="130">
        <v>18</v>
      </c>
      <c r="C6759" s="130" t="s">
        <v>8383</v>
      </c>
      <c r="D6759">
        <v>902</v>
      </c>
      <c r="E6759" s="130">
        <v>14327494</v>
      </c>
      <c r="F6759" t="s">
        <v>87</v>
      </c>
      <c r="G6759">
        <v>78</v>
      </c>
      <c r="H6759" t="s">
        <v>8952</v>
      </c>
      <c r="I6759" s="130">
        <v>2</v>
      </c>
      <c r="J6759" t="s">
        <v>8383</v>
      </c>
      <c r="K6759" t="s">
        <v>95</v>
      </c>
      <c r="L6759" t="s">
        <v>96</v>
      </c>
      <c r="M6759" t="s">
        <v>112</v>
      </c>
      <c r="N6759" t="s">
        <v>122</v>
      </c>
      <c r="O6759" t="s">
        <v>116</v>
      </c>
    </row>
    <row r="6760" spans="1:15" x14ac:dyDescent="0.3">
      <c r="A6760" s="130">
        <v>72069</v>
      </c>
      <c r="B6760" s="130">
        <v>18</v>
      </c>
      <c r="C6760" s="130" t="s">
        <v>8384</v>
      </c>
      <c r="D6760">
        <v>903</v>
      </c>
      <c r="E6760" s="130">
        <v>17162983</v>
      </c>
      <c r="F6760" t="s">
        <v>87</v>
      </c>
      <c r="G6760">
        <v>358</v>
      </c>
      <c r="H6760" t="s">
        <v>8953</v>
      </c>
      <c r="I6760" s="131">
        <v>2</v>
      </c>
      <c r="J6760" t="s">
        <v>8384</v>
      </c>
      <c r="K6760" t="s">
        <v>95</v>
      </c>
      <c r="L6760" t="s">
        <v>109</v>
      </c>
      <c r="M6760" t="s">
        <v>112</v>
      </c>
      <c r="N6760" t="s">
        <v>98</v>
      </c>
      <c r="O6760" t="s">
        <v>1345</v>
      </c>
    </row>
    <row r="6761" spans="1:15" x14ac:dyDescent="0.3">
      <c r="A6761" s="130">
        <v>72070</v>
      </c>
      <c r="B6761" s="130">
        <v>18</v>
      </c>
      <c r="C6761" s="130" t="s">
        <v>8385</v>
      </c>
      <c r="D6761">
        <v>904</v>
      </c>
      <c r="E6761" s="130">
        <v>5586184</v>
      </c>
      <c r="F6761" t="s">
        <v>87</v>
      </c>
      <c r="G6761">
        <v>358</v>
      </c>
      <c r="H6761" t="s">
        <v>8951</v>
      </c>
      <c r="I6761" s="130">
        <v>2</v>
      </c>
      <c r="J6761" t="s">
        <v>8385</v>
      </c>
      <c r="K6761" t="s">
        <v>108</v>
      </c>
      <c r="L6761" t="s">
        <v>1293</v>
      </c>
      <c r="M6761" t="s">
        <v>112</v>
      </c>
      <c r="N6761" t="s">
        <v>114</v>
      </c>
      <c r="O6761" t="s">
        <v>116</v>
      </c>
    </row>
    <row r="6762" spans="1:15" x14ac:dyDescent="0.3">
      <c r="A6762" s="130">
        <v>72073</v>
      </c>
      <c r="B6762" s="130">
        <v>18</v>
      </c>
      <c r="C6762" s="130" t="s">
        <v>8386</v>
      </c>
      <c r="D6762">
        <v>905</v>
      </c>
      <c r="E6762" s="130">
        <v>38154906</v>
      </c>
      <c r="F6762" t="s">
        <v>87</v>
      </c>
      <c r="G6762">
        <v>78</v>
      </c>
      <c r="H6762" t="s">
        <v>8952</v>
      </c>
      <c r="I6762" s="130">
        <v>24</v>
      </c>
      <c r="J6762" t="s">
        <v>8386</v>
      </c>
      <c r="K6762" t="s">
        <v>108</v>
      </c>
      <c r="L6762" t="s">
        <v>193</v>
      </c>
      <c r="M6762" t="s">
        <v>112</v>
      </c>
      <c r="N6762" t="s">
        <v>101</v>
      </c>
      <c r="O6762" t="s">
        <v>116</v>
      </c>
    </row>
    <row r="6763" spans="1:15" x14ac:dyDescent="0.3">
      <c r="A6763" s="130">
        <v>72074</v>
      </c>
      <c r="B6763" s="130">
        <v>30</v>
      </c>
      <c r="C6763" s="130" t="s">
        <v>8387</v>
      </c>
      <c r="D6763">
        <v>906</v>
      </c>
      <c r="E6763" s="130">
        <v>4060779</v>
      </c>
      <c r="F6763" t="s">
        <v>87</v>
      </c>
      <c r="G6763">
        <v>358</v>
      </c>
      <c r="H6763" t="s">
        <v>8953</v>
      </c>
      <c r="I6763" s="131">
        <v>2</v>
      </c>
      <c r="J6763" t="s">
        <v>8387</v>
      </c>
      <c r="K6763" t="s">
        <v>95</v>
      </c>
      <c r="L6763" t="s">
        <v>111</v>
      </c>
      <c r="M6763" t="s">
        <v>103</v>
      </c>
      <c r="N6763" t="s">
        <v>98</v>
      </c>
      <c r="O6763" t="s">
        <v>1345</v>
      </c>
    </row>
    <row r="6764" spans="1:15" x14ac:dyDescent="0.3">
      <c r="A6764" s="130">
        <v>72077</v>
      </c>
      <c r="B6764" s="130">
        <v>30</v>
      </c>
      <c r="C6764" s="130" t="s">
        <v>8388</v>
      </c>
      <c r="D6764">
        <v>907</v>
      </c>
      <c r="E6764" s="131">
        <v>36499875</v>
      </c>
      <c r="F6764" t="s">
        <v>87</v>
      </c>
      <c r="G6764">
        <v>78</v>
      </c>
      <c r="H6764" t="s">
        <v>8951</v>
      </c>
      <c r="I6764" s="130">
        <v>2</v>
      </c>
      <c r="J6764" t="s">
        <v>8388</v>
      </c>
      <c r="K6764" t="s">
        <v>95</v>
      </c>
      <c r="L6764" t="s">
        <v>96</v>
      </c>
      <c r="M6764" t="s">
        <v>103</v>
      </c>
      <c r="N6764" t="s">
        <v>124</v>
      </c>
      <c r="O6764" t="s">
        <v>1345</v>
      </c>
    </row>
    <row r="6765" spans="1:15" x14ac:dyDescent="0.3">
      <c r="A6765" s="130">
        <v>72078</v>
      </c>
      <c r="B6765" s="130">
        <v>30</v>
      </c>
      <c r="C6765" s="130" t="s">
        <v>8389</v>
      </c>
      <c r="D6765">
        <v>908</v>
      </c>
      <c r="E6765" s="131">
        <v>33000167</v>
      </c>
      <c r="F6765" t="s">
        <v>87</v>
      </c>
      <c r="G6765">
        <v>78</v>
      </c>
      <c r="H6765" t="s">
        <v>8952</v>
      </c>
      <c r="I6765" s="131">
        <v>24</v>
      </c>
      <c r="J6765" t="s">
        <v>8389</v>
      </c>
      <c r="K6765" t="s">
        <v>95</v>
      </c>
      <c r="L6765" t="s">
        <v>102</v>
      </c>
      <c r="M6765" t="s">
        <v>103</v>
      </c>
      <c r="N6765" t="s">
        <v>101</v>
      </c>
      <c r="O6765" t="s">
        <v>1345</v>
      </c>
    </row>
    <row r="6766" spans="1:15" x14ac:dyDescent="0.3">
      <c r="A6766" s="130">
        <v>72082</v>
      </c>
      <c r="B6766" s="130">
        <v>18</v>
      </c>
      <c r="C6766" s="130" t="s">
        <v>8390</v>
      </c>
      <c r="D6766">
        <v>909</v>
      </c>
      <c r="E6766" s="130">
        <v>60863404</v>
      </c>
      <c r="F6766" t="s">
        <v>87</v>
      </c>
      <c r="G6766">
        <v>358</v>
      </c>
      <c r="H6766" t="s">
        <v>8953</v>
      </c>
      <c r="I6766" s="130">
        <v>2</v>
      </c>
      <c r="J6766" t="s">
        <v>8390</v>
      </c>
      <c r="K6766" t="s">
        <v>108</v>
      </c>
      <c r="L6766" t="s">
        <v>109</v>
      </c>
      <c r="M6766" t="s">
        <v>112</v>
      </c>
      <c r="N6766" t="s">
        <v>114</v>
      </c>
      <c r="O6766" t="s">
        <v>1345</v>
      </c>
    </row>
    <row r="6767" spans="1:15" x14ac:dyDescent="0.3">
      <c r="A6767" s="130">
        <v>72083</v>
      </c>
      <c r="B6767" s="130">
        <v>30</v>
      </c>
      <c r="C6767" s="130" t="s">
        <v>8391</v>
      </c>
      <c r="D6767">
        <v>910</v>
      </c>
      <c r="E6767" s="131">
        <v>33000167</v>
      </c>
      <c r="F6767" t="s">
        <v>87</v>
      </c>
      <c r="G6767">
        <v>78</v>
      </c>
      <c r="H6767" t="s">
        <v>8951</v>
      </c>
      <c r="I6767" s="130">
        <v>24</v>
      </c>
      <c r="J6767" t="s">
        <v>8391</v>
      </c>
      <c r="K6767" t="s">
        <v>95</v>
      </c>
      <c r="L6767" t="s">
        <v>102</v>
      </c>
      <c r="M6767" t="s">
        <v>103</v>
      </c>
      <c r="N6767" t="s">
        <v>101</v>
      </c>
      <c r="O6767" t="s">
        <v>116</v>
      </c>
    </row>
    <row r="6768" spans="1:15" x14ac:dyDescent="0.3">
      <c r="A6768" s="130">
        <v>72087</v>
      </c>
      <c r="B6768" s="130">
        <v>18</v>
      </c>
      <c r="C6768" s="130" t="s">
        <v>8392</v>
      </c>
      <c r="D6768">
        <v>911</v>
      </c>
      <c r="E6768" s="130">
        <v>38154906</v>
      </c>
      <c r="F6768" t="s">
        <v>87</v>
      </c>
      <c r="G6768">
        <v>78</v>
      </c>
      <c r="H6768" t="s">
        <v>8952</v>
      </c>
      <c r="I6768" s="130">
        <v>24</v>
      </c>
      <c r="J6768" t="s">
        <v>8392</v>
      </c>
      <c r="K6768" t="s">
        <v>108</v>
      </c>
      <c r="L6768" t="s">
        <v>193</v>
      </c>
      <c r="M6768" t="s">
        <v>112</v>
      </c>
      <c r="N6768" t="s">
        <v>101</v>
      </c>
      <c r="O6768" t="s">
        <v>1345</v>
      </c>
    </row>
    <row r="6769" spans="1:15" x14ac:dyDescent="0.3">
      <c r="A6769" s="130">
        <v>72090</v>
      </c>
      <c r="B6769" s="130">
        <v>18</v>
      </c>
      <c r="C6769" s="130" t="s">
        <v>8393</v>
      </c>
      <c r="D6769">
        <v>912</v>
      </c>
      <c r="E6769" s="130">
        <v>31911806</v>
      </c>
      <c r="F6769" t="s">
        <v>87</v>
      </c>
      <c r="G6769">
        <v>78</v>
      </c>
      <c r="H6769" t="s">
        <v>8953</v>
      </c>
      <c r="I6769" s="130">
        <v>10</v>
      </c>
      <c r="J6769" t="s">
        <v>8393</v>
      </c>
      <c r="K6769" t="s">
        <v>108</v>
      </c>
      <c r="L6769" t="s">
        <v>127</v>
      </c>
      <c r="M6769" t="s">
        <v>112</v>
      </c>
      <c r="N6769" t="s">
        <v>101</v>
      </c>
      <c r="O6769" t="s">
        <v>1345</v>
      </c>
    </row>
    <row r="6770" spans="1:15" x14ac:dyDescent="0.3">
      <c r="A6770" s="130">
        <v>72094</v>
      </c>
      <c r="B6770" s="130">
        <v>18</v>
      </c>
      <c r="C6770" s="130" t="s">
        <v>8394</v>
      </c>
      <c r="D6770">
        <v>913</v>
      </c>
      <c r="E6770" s="130">
        <v>6604094880</v>
      </c>
      <c r="F6770" t="s">
        <v>87</v>
      </c>
      <c r="G6770">
        <v>78</v>
      </c>
      <c r="H6770" t="s">
        <v>8951</v>
      </c>
      <c r="I6770" s="130">
        <v>24</v>
      </c>
      <c r="J6770" t="s">
        <v>8394</v>
      </c>
      <c r="K6770" t="s">
        <v>108</v>
      </c>
      <c r="L6770" t="s">
        <v>144</v>
      </c>
      <c r="M6770" t="s">
        <v>112</v>
      </c>
      <c r="N6770" t="s">
        <v>110</v>
      </c>
      <c r="O6770" t="s">
        <v>1345</v>
      </c>
    </row>
    <row r="6771" spans="1:15" x14ac:dyDescent="0.3">
      <c r="A6771" s="130">
        <v>72099</v>
      </c>
      <c r="B6771" s="130">
        <v>18</v>
      </c>
      <c r="C6771" s="130" t="s">
        <v>8395</v>
      </c>
      <c r="D6771">
        <v>914</v>
      </c>
      <c r="E6771" s="130">
        <v>58133703</v>
      </c>
      <c r="F6771" t="s">
        <v>87</v>
      </c>
      <c r="G6771">
        <v>78</v>
      </c>
      <c r="H6771" t="s">
        <v>8952</v>
      </c>
      <c r="I6771" s="130">
        <v>24</v>
      </c>
      <c r="J6771" t="s">
        <v>8395</v>
      </c>
      <c r="K6771" t="s">
        <v>108</v>
      </c>
      <c r="L6771" t="s">
        <v>1352</v>
      </c>
      <c r="M6771" t="s">
        <v>112</v>
      </c>
      <c r="N6771" t="s">
        <v>114</v>
      </c>
      <c r="O6771" t="s">
        <v>1345</v>
      </c>
    </row>
    <row r="6772" spans="1:15" x14ac:dyDescent="0.3">
      <c r="A6772" s="130">
        <v>72103</v>
      </c>
      <c r="B6772" s="130">
        <v>30</v>
      </c>
      <c r="C6772" s="130" t="s">
        <v>8396</v>
      </c>
      <c r="D6772">
        <v>915</v>
      </c>
      <c r="E6772" s="130">
        <v>8945525</v>
      </c>
      <c r="F6772" t="s">
        <v>87</v>
      </c>
      <c r="G6772">
        <v>78</v>
      </c>
      <c r="H6772" t="s">
        <v>8953</v>
      </c>
      <c r="I6772" s="130">
        <v>24</v>
      </c>
      <c r="J6772" t="s">
        <v>8396</v>
      </c>
      <c r="K6772" t="s">
        <v>95</v>
      </c>
      <c r="L6772" t="s">
        <v>1352</v>
      </c>
      <c r="M6772" t="s">
        <v>103</v>
      </c>
      <c r="N6772" t="s">
        <v>98</v>
      </c>
      <c r="O6772" t="s">
        <v>1345</v>
      </c>
    </row>
    <row r="6773" spans="1:15" x14ac:dyDescent="0.3">
      <c r="A6773" s="130">
        <v>72109</v>
      </c>
      <c r="B6773" s="130">
        <v>35</v>
      </c>
      <c r="C6773" s="130" t="s">
        <v>8397</v>
      </c>
      <c r="D6773">
        <v>916</v>
      </c>
      <c r="E6773" s="130">
        <v>5275</v>
      </c>
      <c r="F6773" t="s">
        <v>87</v>
      </c>
      <c r="G6773">
        <v>78</v>
      </c>
      <c r="H6773" t="s">
        <v>8951</v>
      </c>
      <c r="I6773" s="130">
        <v>24</v>
      </c>
      <c r="J6773" t="s">
        <v>8397</v>
      </c>
      <c r="K6773" t="s">
        <v>95</v>
      </c>
      <c r="L6773" t="s">
        <v>138</v>
      </c>
      <c r="M6773" t="s">
        <v>161</v>
      </c>
      <c r="N6773" t="s">
        <v>98</v>
      </c>
      <c r="O6773" t="s">
        <v>1345</v>
      </c>
    </row>
    <row r="6774" spans="1:15" x14ac:dyDescent="0.3">
      <c r="A6774" s="130">
        <v>72118</v>
      </c>
      <c r="B6774" s="130">
        <v>30</v>
      </c>
      <c r="C6774" s="130" t="s">
        <v>8398</v>
      </c>
      <c r="D6774">
        <v>917</v>
      </c>
      <c r="E6774" s="130">
        <v>22320881</v>
      </c>
      <c r="F6774" t="s">
        <v>87</v>
      </c>
      <c r="G6774">
        <v>358</v>
      </c>
      <c r="H6774" t="s">
        <v>8952</v>
      </c>
      <c r="I6774" s="130">
        <v>2</v>
      </c>
      <c r="J6774" t="s">
        <v>8398</v>
      </c>
      <c r="K6774" t="s">
        <v>108</v>
      </c>
      <c r="L6774" t="s">
        <v>111</v>
      </c>
      <c r="M6774" t="s">
        <v>103</v>
      </c>
      <c r="N6774" t="s">
        <v>101</v>
      </c>
      <c r="O6774" t="s">
        <v>1345</v>
      </c>
    </row>
    <row r="6775" spans="1:15" x14ac:dyDescent="0.3">
      <c r="A6775" s="130">
        <v>72119</v>
      </c>
      <c r="B6775" s="130">
        <v>18</v>
      </c>
      <c r="C6775" s="130" t="s">
        <v>8399</v>
      </c>
      <c r="D6775">
        <v>918</v>
      </c>
      <c r="E6775" s="130">
        <v>16774577</v>
      </c>
      <c r="F6775" t="s">
        <v>87</v>
      </c>
      <c r="G6775">
        <v>78</v>
      </c>
      <c r="H6775" t="s">
        <v>8953</v>
      </c>
      <c r="I6775" s="130">
        <v>24</v>
      </c>
      <c r="J6775" t="s">
        <v>8399</v>
      </c>
      <c r="K6775" t="s">
        <v>95</v>
      </c>
      <c r="L6775" t="s">
        <v>138</v>
      </c>
      <c r="M6775" t="s">
        <v>112</v>
      </c>
      <c r="N6775" t="s">
        <v>101</v>
      </c>
      <c r="O6775" t="s">
        <v>1345</v>
      </c>
    </row>
    <row r="6776" spans="1:15" x14ac:dyDescent="0.3">
      <c r="A6776" s="130">
        <v>72120</v>
      </c>
      <c r="B6776" s="130">
        <v>60</v>
      </c>
      <c r="C6776" s="130" t="s">
        <v>8400</v>
      </c>
      <c r="D6776">
        <v>919</v>
      </c>
      <c r="E6776" s="130">
        <v>42150391</v>
      </c>
      <c r="F6776" t="s">
        <v>87</v>
      </c>
      <c r="G6776">
        <v>77</v>
      </c>
      <c r="H6776" t="s">
        <v>8951</v>
      </c>
      <c r="I6776" s="130">
        <v>24</v>
      </c>
      <c r="J6776" t="s">
        <v>8400</v>
      </c>
      <c r="K6776" t="s">
        <v>95</v>
      </c>
      <c r="L6776" t="s">
        <v>117</v>
      </c>
      <c r="M6776" t="s">
        <v>97</v>
      </c>
      <c r="N6776" t="s">
        <v>114</v>
      </c>
      <c r="O6776" t="s">
        <v>1345</v>
      </c>
    </row>
    <row r="6777" spans="1:15" x14ac:dyDescent="0.3">
      <c r="A6777" s="130">
        <v>72122</v>
      </c>
      <c r="B6777" s="130">
        <v>18</v>
      </c>
      <c r="C6777" s="130" t="s">
        <v>8401</v>
      </c>
      <c r="D6777">
        <v>920</v>
      </c>
      <c r="E6777" s="130">
        <v>33841727</v>
      </c>
      <c r="F6777" t="s">
        <v>87</v>
      </c>
      <c r="G6777">
        <v>78</v>
      </c>
      <c r="H6777" t="s">
        <v>8952</v>
      </c>
      <c r="I6777" s="130">
        <v>19</v>
      </c>
      <c r="J6777" t="s">
        <v>8401</v>
      </c>
      <c r="K6777" t="s">
        <v>108</v>
      </c>
      <c r="L6777" t="s">
        <v>146</v>
      </c>
      <c r="M6777" t="s">
        <v>112</v>
      </c>
      <c r="N6777" t="s">
        <v>98</v>
      </c>
      <c r="O6777" t="s">
        <v>1345</v>
      </c>
    </row>
    <row r="6778" spans="1:15" x14ac:dyDescent="0.3">
      <c r="A6778" s="130">
        <v>72123</v>
      </c>
      <c r="B6778" s="130">
        <v>18</v>
      </c>
      <c r="C6778" s="130" t="s">
        <v>8402</v>
      </c>
      <c r="D6778">
        <v>921</v>
      </c>
      <c r="E6778" s="130">
        <v>17340315</v>
      </c>
      <c r="F6778" t="s">
        <v>87</v>
      </c>
      <c r="G6778">
        <v>358</v>
      </c>
      <c r="H6778" t="s">
        <v>8953</v>
      </c>
      <c r="I6778" s="130">
        <v>2</v>
      </c>
      <c r="J6778" t="s">
        <v>8402</v>
      </c>
      <c r="K6778" t="s">
        <v>108</v>
      </c>
      <c r="L6778" t="s">
        <v>109</v>
      </c>
      <c r="M6778" t="s">
        <v>112</v>
      </c>
      <c r="N6778" t="s">
        <v>98</v>
      </c>
      <c r="O6778" t="s">
        <v>1345</v>
      </c>
    </row>
    <row r="6779" spans="1:15" x14ac:dyDescent="0.3">
      <c r="A6779" s="130">
        <v>72129</v>
      </c>
      <c r="B6779" s="130">
        <v>18</v>
      </c>
      <c r="C6779" s="130" t="s">
        <v>8403</v>
      </c>
      <c r="D6779">
        <v>922</v>
      </c>
      <c r="E6779" s="130">
        <v>2617158</v>
      </c>
      <c r="F6779" t="s">
        <v>87</v>
      </c>
      <c r="G6779">
        <v>78</v>
      </c>
      <c r="H6779" t="s">
        <v>8951</v>
      </c>
      <c r="I6779" s="130">
        <v>10</v>
      </c>
      <c r="J6779" t="s">
        <v>8403</v>
      </c>
      <c r="K6779" t="s">
        <v>95</v>
      </c>
      <c r="L6779" t="s">
        <v>127</v>
      </c>
      <c r="M6779" t="s">
        <v>112</v>
      </c>
      <c r="N6779" t="s">
        <v>98</v>
      </c>
      <c r="O6779" t="s">
        <v>1345</v>
      </c>
    </row>
    <row r="6780" spans="1:15" x14ac:dyDescent="0.3">
      <c r="A6780" s="130">
        <v>72130</v>
      </c>
      <c r="B6780" s="130">
        <v>18</v>
      </c>
      <c r="C6780" s="130" t="s">
        <v>8404</v>
      </c>
      <c r="D6780">
        <v>923</v>
      </c>
      <c r="E6780" s="131">
        <v>16729710</v>
      </c>
      <c r="F6780" t="s">
        <v>87</v>
      </c>
      <c r="G6780">
        <v>78</v>
      </c>
      <c r="H6780" t="s">
        <v>8952</v>
      </c>
      <c r="I6780" s="130">
        <v>26</v>
      </c>
      <c r="J6780" t="s">
        <v>8404</v>
      </c>
      <c r="K6780" t="s">
        <v>108</v>
      </c>
      <c r="L6780" t="s">
        <v>151</v>
      </c>
      <c r="M6780" t="s">
        <v>112</v>
      </c>
      <c r="N6780" t="s">
        <v>98</v>
      </c>
      <c r="O6780" t="s">
        <v>1345</v>
      </c>
    </row>
    <row r="6781" spans="1:15" x14ac:dyDescent="0.3">
      <c r="A6781" s="130">
        <v>72131</v>
      </c>
      <c r="B6781" s="130">
        <v>18</v>
      </c>
      <c r="C6781" s="130" t="s">
        <v>8405</v>
      </c>
      <c r="D6781">
        <v>924</v>
      </c>
      <c r="E6781" s="131">
        <v>4060779</v>
      </c>
      <c r="F6781" t="s">
        <v>87</v>
      </c>
      <c r="G6781">
        <v>78</v>
      </c>
      <c r="H6781" t="s">
        <v>8953</v>
      </c>
      <c r="I6781" s="130">
        <v>2</v>
      </c>
      <c r="J6781" t="s">
        <v>8405</v>
      </c>
      <c r="K6781" t="s">
        <v>95</v>
      </c>
      <c r="L6781" t="s">
        <v>96</v>
      </c>
      <c r="M6781" t="s">
        <v>112</v>
      </c>
      <c r="N6781" t="s">
        <v>98</v>
      </c>
      <c r="O6781" t="s">
        <v>116</v>
      </c>
    </row>
    <row r="6782" spans="1:15" x14ac:dyDescent="0.3">
      <c r="A6782" s="130">
        <v>72136</v>
      </c>
      <c r="B6782" s="130">
        <v>18</v>
      </c>
      <c r="C6782" s="130" t="s">
        <v>8406</v>
      </c>
      <c r="D6782">
        <v>925</v>
      </c>
      <c r="E6782" s="131">
        <v>37765981</v>
      </c>
      <c r="F6782" t="s">
        <v>87</v>
      </c>
      <c r="G6782">
        <v>78</v>
      </c>
      <c r="H6782" t="s">
        <v>8951</v>
      </c>
      <c r="I6782" s="130">
        <v>24</v>
      </c>
      <c r="J6782" t="s">
        <v>8406</v>
      </c>
      <c r="K6782" t="s">
        <v>108</v>
      </c>
      <c r="L6782" t="s">
        <v>138</v>
      </c>
      <c r="M6782" t="s">
        <v>112</v>
      </c>
      <c r="N6782" t="s">
        <v>216</v>
      </c>
      <c r="O6782" t="s">
        <v>116</v>
      </c>
    </row>
    <row r="6783" spans="1:15" x14ac:dyDescent="0.3">
      <c r="A6783" s="130">
        <v>72137</v>
      </c>
      <c r="B6783" s="130">
        <v>18</v>
      </c>
      <c r="C6783" s="130" t="s">
        <v>8407</v>
      </c>
      <c r="D6783">
        <v>926</v>
      </c>
      <c r="E6783" s="130">
        <v>19994706</v>
      </c>
      <c r="F6783" t="s">
        <v>87</v>
      </c>
      <c r="G6783">
        <v>358</v>
      </c>
      <c r="H6783" t="s">
        <v>8952</v>
      </c>
      <c r="I6783" s="131">
        <v>9</v>
      </c>
      <c r="J6783" t="s">
        <v>8407</v>
      </c>
      <c r="K6783" t="s">
        <v>108</v>
      </c>
      <c r="L6783" t="s">
        <v>105</v>
      </c>
      <c r="M6783" t="s">
        <v>112</v>
      </c>
      <c r="N6783" t="s">
        <v>101</v>
      </c>
      <c r="O6783" t="s">
        <v>116</v>
      </c>
    </row>
    <row r="6784" spans="1:15" x14ac:dyDescent="0.3">
      <c r="A6784" s="130">
        <v>72138</v>
      </c>
      <c r="B6784" s="130">
        <v>30</v>
      </c>
      <c r="C6784" s="130" t="s">
        <v>8408</v>
      </c>
      <c r="D6784">
        <v>927</v>
      </c>
      <c r="E6784" s="130">
        <v>33000167</v>
      </c>
      <c r="F6784" t="s">
        <v>87</v>
      </c>
      <c r="G6784">
        <v>78</v>
      </c>
      <c r="H6784" t="s">
        <v>8953</v>
      </c>
      <c r="I6784" s="130">
        <v>24</v>
      </c>
      <c r="J6784" t="s">
        <v>8408</v>
      </c>
      <c r="K6784" t="s">
        <v>95</v>
      </c>
      <c r="L6784" t="s">
        <v>102</v>
      </c>
      <c r="M6784" t="s">
        <v>103</v>
      </c>
      <c r="N6784" t="s">
        <v>101</v>
      </c>
      <c r="O6784" t="s">
        <v>1345</v>
      </c>
    </row>
    <row r="6785" spans="1:15" x14ac:dyDescent="0.3">
      <c r="A6785" s="130">
        <v>72140</v>
      </c>
      <c r="B6785" s="130">
        <v>18</v>
      </c>
      <c r="C6785" s="130" t="s">
        <v>8409</v>
      </c>
      <c r="D6785">
        <v>928</v>
      </c>
      <c r="E6785" s="130">
        <v>44013159</v>
      </c>
      <c r="F6785" t="s">
        <v>87</v>
      </c>
      <c r="G6785">
        <v>358</v>
      </c>
      <c r="H6785" t="s">
        <v>8951</v>
      </c>
      <c r="I6785" s="130">
        <v>26</v>
      </c>
      <c r="J6785" t="s">
        <v>8409</v>
      </c>
      <c r="K6785" t="s">
        <v>95</v>
      </c>
      <c r="L6785" t="s">
        <v>111</v>
      </c>
      <c r="M6785" t="s">
        <v>112</v>
      </c>
      <c r="N6785" t="s">
        <v>98</v>
      </c>
      <c r="O6785" t="s">
        <v>116</v>
      </c>
    </row>
    <row r="6786" spans="1:15" x14ac:dyDescent="0.3">
      <c r="A6786" s="130">
        <v>72144</v>
      </c>
      <c r="B6786" s="130">
        <v>30</v>
      </c>
      <c r="C6786" s="130" t="s">
        <v>8410</v>
      </c>
      <c r="D6786">
        <v>929</v>
      </c>
      <c r="E6786" s="131">
        <v>15723066</v>
      </c>
      <c r="F6786" t="s">
        <v>87</v>
      </c>
      <c r="G6786">
        <v>77</v>
      </c>
      <c r="H6786" t="s">
        <v>8952</v>
      </c>
      <c r="I6786" s="130">
        <v>2</v>
      </c>
      <c r="J6786" t="s">
        <v>8410</v>
      </c>
      <c r="K6786" t="s">
        <v>95</v>
      </c>
      <c r="L6786" t="s">
        <v>1255</v>
      </c>
      <c r="M6786" t="s">
        <v>103</v>
      </c>
      <c r="N6786" t="s">
        <v>150</v>
      </c>
      <c r="O6786" t="s">
        <v>1345</v>
      </c>
    </row>
    <row r="6787" spans="1:15" x14ac:dyDescent="0.3">
      <c r="A6787" s="130">
        <v>72150</v>
      </c>
      <c r="B6787" s="130">
        <v>30</v>
      </c>
      <c r="C6787" s="130" t="s">
        <v>8411</v>
      </c>
      <c r="D6787">
        <v>930</v>
      </c>
      <c r="E6787" s="130">
        <v>7522191</v>
      </c>
      <c r="F6787" t="s">
        <v>87</v>
      </c>
      <c r="G6787">
        <v>78</v>
      </c>
      <c r="H6787" t="s">
        <v>8953</v>
      </c>
      <c r="I6787" s="131">
        <v>9</v>
      </c>
      <c r="J6787" t="s">
        <v>8411</v>
      </c>
      <c r="K6787" t="s">
        <v>95</v>
      </c>
      <c r="L6787" t="s">
        <v>163</v>
      </c>
      <c r="M6787" t="s">
        <v>103</v>
      </c>
      <c r="N6787" t="s">
        <v>98</v>
      </c>
      <c r="O6787" t="s">
        <v>116</v>
      </c>
    </row>
    <row r="6788" spans="1:15" x14ac:dyDescent="0.3">
      <c r="A6788" s="130">
        <v>72151</v>
      </c>
      <c r="B6788" s="130">
        <v>10</v>
      </c>
      <c r="C6788" s="130" t="s">
        <v>8412</v>
      </c>
      <c r="D6788">
        <v>931</v>
      </c>
      <c r="E6788" s="130">
        <v>34470067</v>
      </c>
      <c r="F6788" t="s">
        <v>87</v>
      </c>
      <c r="G6788">
        <v>78</v>
      </c>
      <c r="H6788" t="s">
        <v>8951</v>
      </c>
      <c r="I6788" s="131">
        <v>24</v>
      </c>
      <c r="J6788" t="s">
        <v>8412</v>
      </c>
      <c r="K6788" t="s">
        <v>95</v>
      </c>
      <c r="L6788" t="s">
        <v>138</v>
      </c>
      <c r="M6788" t="s">
        <v>133</v>
      </c>
      <c r="N6788" t="s">
        <v>98</v>
      </c>
      <c r="O6788" t="s">
        <v>1345</v>
      </c>
    </row>
    <row r="6789" spans="1:15" x14ac:dyDescent="0.3">
      <c r="A6789" s="130">
        <v>72158</v>
      </c>
      <c r="B6789" s="130">
        <v>30</v>
      </c>
      <c r="C6789" s="130" t="s">
        <v>8413</v>
      </c>
      <c r="D6789">
        <v>932</v>
      </c>
      <c r="E6789" s="130">
        <v>6880609</v>
      </c>
      <c r="F6789" t="s">
        <v>87</v>
      </c>
      <c r="G6789">
        <v>78</v>
      </c>
      <c r="H6789" t="s">
        <v>8952</v>
      </c>
      <c r="I6789" s="131">
        <v>9</v>
      </c>
      <c r="J6789" t="s">
        <v>8413</v>
      </c>
      <c r="K6789" t="s">
        <v>95</v>
      </c>
      <c r="L6789" t="s">
        <v>125</v>
      </c>
      <c r="M6789" t="s">
        <v>103</v>
      </c>
      <c r="N6789" t="s">
        <v>98</v>
      </c>
      <c r="O6789" t="s">
        <v>1345</v>
      </c>
    </row>
    <row r="6790" spans="1:15" x14ac:dyDescent="0.3">
      <c r="A6790" s="130">
        <v>72167</v>
      </c>
      <c r="B6790" s="130">
        <v>18</v>
      </c>
      <c r="C6790" s="130" t="s">
        <v>8414</v>
      </c>
      <c r="D6790">
        <v>933</v>
      </c>
      <c r="E6790" s="130">
        <v>34151100</v>
      </c>
      <c r="F6790" t="s">
        <v>87</v>
      </c>
      <c r="G6790">
        <v>358</v>
      </c>
      <c r="H6790" t="s">
        <v>8953</v>
      </c>
      <c r="I6790" s="130">
        <v>2</v>
      </c>
      <c r="J6790" t="s">
        <v>8414</v>
      </c>
      <c r="K6790" t="s">
        <v>95</v>
      </c>
      <c r="L6790" t="s">
        <v>109</v>
      </c>
      <c r="M6790" t="s">
        <v>112</v>
      </c>
      <c r="N6790" t="s">
        <v>101</v>
      </c>
      <c r="O6790" t="s">
        <v>116</v>
      </c>
    </row>
    <row r="6791" spans="1:15" x14ac:dyDescent="0.3">
      <c r="A6791" s="130">
        <v>72169</v>
      </c>
      <c r="B6791" s="130">
        <v>30</v>
      </c>
      <c r="C6791" s="130" t="s">
        <v>8415</v>
      </c>
      <c r="D6791">
        <v>934</v>
      </c>
      <c r="E6791" s="130">
        <v>11609464</v>
      </c>
      <c r="F6791" t="s">
        <v>87</v>
      </c>
      <c r="G6791">
        <v>78</v>
      </c>
      <c r="H6791" t="s">
        <v>8951</v>
      </c>
      <c r="I6791" s="130">
        <v>10</v>
      </c>
      <c r="J6791" t="s">
        <v>8415</v>
      </c>
      <c r="K6791" t="s">
        <v>95</v>
      </c>
      <c r="L6791" t="s">
        <v>127</v>
      </c>
      <c r="M6791" t="s">
        <v>103</v>
      </c>
      <c r="N6791" t="s">
        <v>98</v>
      </c>
      <c r="O6791" t="s">
        <v>1345</v>
      </c>
    </row>
    <row r="6792" spans="1:15" x14ac:dyDescent="0.3">
      <c r="A6792" s="130">
        <v>72170</v>
      </c>
      <c r="B6792" s="130">
        <v>60</v>
      </c>
      <c r="C6792" s="130" t="s">
        <v>8416</v>
      </c>
      <c r="D6792">
        <v>935</v>
      </c>
      <c r="E6792" s="131">
        <v>33592510</v>
      </c>
      <c r="F6792" t="s">
        <v>87</v>
      </c>
      <c r="G6792">
        <v>77</v>
      </c>
      <c r="H6792" t="s">
        <v>8952</v>
      </c>
      <c r="I6792" s="131">
        <v>2</v>
      </c>
      <c r="J6792" t="s">
        <v>8416</v>
      </c>
      <c r="K6792" t="s">
        <v>95</v>
      </c>
      <c r="L6792" t="s">
        <v>1255</v>
      </c>
      <c r="M6792" t="s">
        <v>97</v>
      </c>
      <c r="N6792" t="s">
        <v>118</v>
      </c>
      <c r="O6792" t="s">
        <v>1345</v>
      </c>
    </row>
    <row r="6793" spans="1:15" x14ac:dyDescent="0.3">
      <c r="A6793" s="130">
        <v>72171</v>
      </c>
      <c r="B6793" s="130">
        <v>18</v>
      </c>
      <c r="C6793" s="130" t="s">
        <v>8417</v>
      </c>
      <c r="D6793">
        <v>936</v>
      </c>
      <c r="E6793" s="130">
        <v>29099910</v>
      </c>
      <c r="F6793" t="s">
        <v>87</v>
      </c>
      <c r="G6793">
        <v>78</v>
      </c>
      <c r="H6793" t="s">
        <v>8953</v>
      </c>
      <c r="I6793" s="131">
        <v>24</v>
      </c>
      <c r="J6793" t="s">
        <v>8417</v>
      </c>
      <c r="K6793" t="s">
        <v>108</v>
      </c>
      <c r="L6793" t="s">
        <v>138</v>
      </c>
      <c r="M6793" t="s">
        <v>112</v>
      </c>
      <c r="N6793" t="s">
        <v>101</v>
      </c>
      <c r="O6793" t="s">
        <v>1345</v>
      </c>
    </row>
    <row r="6794" spans="1:15" x14ac:dyDescent="0.3">
      <c r="A6794" s="130">
        <v>72172</v>
      </c>
      <c r="B6794" s="130">
        <v>35</v>
      </c>
      <c r="C6794" s="130" t="s">
        <v>8418</v>
      </c>
      <c r="D6794">
        <v>937</v>
      </c>
      <c r="E6794" s="130">
        <v>3992929</v>
      </c>
      <c r="F6794" t="s">
        <v>87</v>
      </c>
      <c r="G6794">
        <v>78</v>
      </c>
      <c r="H6794" t="s">
        <v>8951</v>
      </c>
      <c r="I6794" s="131">
        <v>9</v>
      </c>
      <c r="J6794" t="s">
        <v>8418</v>
      </c>
      <c r="K6794" t="s">
        <v>95</v>
      </c>
      <c r="L6794" t="s">
        <v>125</v>
      </c>
      <c r="M6794" t="s">
        <v>161</v>
      </c>
      <c r="N6794" t="s">
        <v>98</v>
      </c>
      <c r="O6794" t="s">
        <v>1345</v>
      </c>
    </row>
    <row r="6795" spans="1:15" x14ac:dyDescent="0.3">
      <c r="A6795" s="130">
        <v>72175</v>
      </c>
      <c r="B6795" s="130">
        <v>30</v>
      </c>
      <c r="C6795" s="130" t="s">
        <v>8419</v>
      </c>
      <c r="D6795">
        <v>938</v>
      </c>
      <c r="E6795" s="130">
        <v>61575775</v>
      </c>
      <c r="F6795" t="s">
        <v>87</v>
      </c>
      <c r="G6795">
        <v>78</v>
      </c>
      <c r="H6795" t="s">
        <v>8952</v>
      </c>
      <c r="I6795" s="130">
        <v>9</v>
      </c>
      <c r="J6795" t="s">
        <v>8419</v>
      </c>
      <c r="K6795" t="s">
        <v>95</v>
      </c>
      <c r="L6795" t="s">
        <v>125</v>
      </c>
      <c r="M6795" t="s">
        <v>103</v>
      </c>
      <c r="N6795" t="s">
        <v>98</v>
      </c>
      <c r="O6795" t="s">
        <v>1345</v>
      </c>
    </row>
    <row r="6796" spans="1:15" x14ac:dyDescent="0.3">
      <c r="A6796" s="130">
        <v>72177</v>
      </c>
      <c r="B6796" s="130">
        <v>18</v>
      </c>
      <c r="C6796" s="130" t="s">
        <v>8420</v>
      </c>
      <c r="D6796">
        <v>939</v>
      </c>
      <c r="E6796" s="130">
        <v>12322473</v>
      </c>
      <c r="F6796" t="s">
        <v>87</v>
      </c>
      <c r="G6796">
        <v>78</v>
      </c>
      <c r="H6796" t="s">
        <v>8953</v>
      </c>
      <c r="I6796" s="130">
        <v>26</v>
      </c>
      <c r="J6796" t="s">
        <v>8420</v>
      </c>
      <c r="K6796" t="s">
        <v>108</v>
      </c>
      <c r="L6796" t="s">
        <v>151</v>
      </c>
      <c r="M6796" t="s">
        <v>112</v>
      </c>
      <c r="N6796" t="s">
        <v>101</v>
      </c>
      <c r="O6796" t="s">
        <v>116</v>
      </c>
    </row>
    <row r="6797" spans="1:15" x14ac:dyDescent="0.3">
      <c r="A6797" s="130">
        <v>72178</v>
      </c>
      <c r="B6797" s="130">
        <v>28</v>
      </c>
      <c r="C6797" s="130" t="s">
        <v>8421</v>
      </c>
      <c r="D6797">
        <v>940</v>
      </c>
      <c r="E6797" s="130">
        <v>36417724</v>
      </c>
      <c r="F6797" t="s">
        <v>87</v>
      </c>
      <c r="G6797">
        <v>78</v>
      </c>
      <c r="H6797" t="s">
        <v>8951</v>
      </c>
      <c r="I6797" s="130">
        <v>24</v>
      </c>
      <c r="J6797" t="s">
        <v>8421</v>
      </c>
      <c r="K6797" t="s">
        <v>95</v>
      </c>
      <c r="L6797" t="s">
        <v>138</v>
      </c>
      <c r="M6797" t="s">
        <v>130</v>
      </c>
      <c r="N6797" t="s">
        <v>150</v>
      </c>
      <c r="O6797" t="s">
        <v>1345</v>
      </c>
    </row>
    <row r="6798" spans="1:15" x14ac:dyDescent="0.3">
      <c r="A6798" s="130">
        <v>72179</v>
      </c>
      <c r="B6798" s="130">
        <v>18</v>
      </c>
      <c r="C6798" s="130" t="s">
        <v>8422</v>
      </c>
      <c r="D6798">
        <v>941</v>
      </c>
      <c r="E6798" s="131">
        <v>38304664</v>
      </c>
      <c r="F6798" t="s">
        <v>87</v>
      </c>
      <c r="G6798">
        <v>358</v>
      </c>
      <c r="H6798" t="s">
        <v>8952</v>
      </c>
      <c r="I6798" s="131">
        <v>2</v>
      </c>
      <c r="J6798" t="s">
        <v>8422</v>
      </c>
      <c r="K6798" t="s">
        <v>108</v>
      </c>
      <c r="L6798" t="s">
        <v>109</v>
      </c>
      <c r="M6798" t="s">
        <v>112</v>
      </c>
      <c r="N6798" t="s">
        <v>101</v>
      </c>
      <c r="O6798" t="s">
        <v>1345</v>
      </c>
    </row>
    <row r="6799" spans="1:15" x14ac:dyDescent="0.3">
      <c r="A6799" s="130">
        <v>72181</v>
      </c>
      <c r="B6799" s="130">
        <v>18</v>
      </c>
      <c r="C6799" s="130" t="s">
        <v>8423</v>
      </c>
      <c r="D6799">
        <v>942</v>
      </c>
      <c r="E6799" s="130">
        <v>3517123</v>
      </c>
      <c r="F6799" t="s">
        <v>87</v>
      </c>
      <c r="G6799">
        <v>358</v>
      </c>
      <c r="H6799" t="s">
        <v>8953</v>
      </c>
      <c r="I6799" s="130">
        <v>2</v>
      </c>
      <c r="J6799" t="s">
        <v>8423</v>
      </c>
      <c r="K6799" t="s">
        <v>108</v>
      </c>
      <c r="L6799" t="s">
        <v>109</v>
      </c>
      <c r="M6799" t="s">
        <v>112</v>
      </c>
      <c r="N6799" t="s">
        <v>98</v>
      </c>
      <c r="O6799" t="s">
        <v>116</v>
      </c>
    </row>
    <row r="6800" spans="1:15" x14ac:dyDescent="0.3">
      <c r="A6800" s="130">
        <v>72196</v>
      </c>
      <c r="B6800" s="130">
        <v>30</v>
      </c>
      <c r="C6800" s="130" t="s">
        <v>8424</v>
      </c>
      <c r="D6800">
        <v>943</v>
      </c>
      <c r="E6800" s="130">
        <v>8343492</v>
      </c>
      <c r="F6800" t="s">
        <v>87</v>
      </c>
      <c r="G6800">
        <v>77</v>
      </c>
      <c r="H6800" t="s">
        <v>8951</v>
      </c>
      <c r="I6800" s="131">
        <v>18</v>
      </c>
      <c r="J6800" t="s">
        <v>8424</v>
      </c>
      <c r="K6800" t="s">
        <v>95</v>
      </c>
      <c r="L6800" t="s">
        <v>1255</v>
      </c>
      <c r="M6800" t="s">
        <v>103</v>
      </c>
      <c r="N6800" t="s">
        <v>98</v>
      </c>
      <c r="O6800" t="s">
        <v>1345</v>
      </c>
    </row>
    <row r="6801" spans="1:15" x14ac:dyDescent="0.3">
      <c r="A6801" s="130">
        <v>72203</v>
      </c>
      <c r="B6801" s="130">
        <v>18</v>
      </c>
      <c r="C6801" s="130" t="s">
        <v>8425</v>
      </c>
      <c r="D6801">
        <v>944</v>
      </c>
      <c r="E6801" s="130">
        <v>2250663</v>
      </c>
      <c r="F6801" t="s">
        <v>87</v>
      </c>
      <c r="G6801">
        <v>78</v>
      </c>
      <c r="H6801" t="s">
        <v>8952</v>
      </c>
      <c r="I6801" s="130">
        <v>10</v>
      </c>
      <c r="J6801" t="s">
        <v>8425</v>
      </c>
      <c r="K6801" t="s">
        <v>108</v>
      </c>
      <c r="L6801" t="s">
        <v>127</v>
      </c>
      <c r="M6801" t="s">
        <v>112</v>
      </c>
      <c r="N6801" t="s">
        <v>98</v>
      </c>
      <c r="O6801" t="s">
        <v>1345</v>
      </c>
    </row>
    <row r="6802" spans="1:15" x14ac:dyDescent="0.3">
      <c r="A6802" s="130">
        <v>72207</v>
      </c>
      <c r="B6802" s="130">
        <v>30</v>
      </c>
      <c r="C6802" s="130" t="s">
        <v>8426</v>
      </c>
      <c r="D6802">
        <v>945</v>
      </c>
      <c r="E6802" s="130">
        <v>33000167</v>
      </c>
      <c r="F6802" t="s">
        <v>87</v>
      </c>
      <c r="G6802">
        <v>78</v>
      </c>
      <c r="H6802" t="s">
        <v>8953</v>
      </c>
      <c r="I6802" s="130">
        <v>24</v>
      </c>
      <c r="J6802" t="s">
        <v>8426</v>
      </c>
      <c r="K6802" t="s">
        <v>95</v>
      </c>
      <c r="L6802" t="s">
        <v>102</v>
      </c>
      <c r="M6802" t="s">
        <v>103</v>
      </c>
      <c r="N6802" t="s">
        <v>101</v>
      </c>
      <c r="O6802" t="s">
        <v>116</v>
      </c>
    </row>
    <row r="6803" spans="1:15" x14ac:dyDescent="0.3">
      <c r="A6803" s="130">
        <v>72208</v>
      </c>
      <c r="B6803" s="130">
        <v>30</v>
      </c>
      <c r="C6803" s="130" t="s">
        <v>8427</v>
      </c>
      <c r="D6803">
        <v>946</v>
      </c>
      <c r="E6803" s="130">
        <v>8343492</v>
      </c>
      <c r="F6803" t="s">
        <v>87</v>
      </c>
      <c r="G6803">
        <v>77</v>
      </c>
      <c r="H6803" t="s">
        <v>8951</v>
      </c>
      <c r="I6803" s="131">
        <v>18</v>
      </c>
      <c r="J6803" t="s">
        <v>8427</v>
      </c>
      <c r="K6803" t="s">
        <v>95</v>
      </c>
      <c r="L6803" t="s">
        <v>1255</v>
      </c>
      <c r="M6803" t="s">
        <v>103</v>
      </c>
      <c r="N6803" t="s">
        <v>98</v>
      </c>
      <c r="O6803" t="s">
        <v>1345</v>
      </c>
    </row>
    <row r="6804" spans="1:15" x14ac:dyDescent="0.3">
      <c r="A6804" s="130">
        <v>72211</v>
      </c>
      <c r="B6804" s="130">
        <v>18</v>
      </c>
      <c r="C6804" s="130" t="s">
        <v>8428</v>
      </c>
      <c r="D6804">
        <v>947</v>
      </c>
      <c r="E6804" s="130">
        <v>12165888</v>
      </c>
      <c r="F6804" t="s">
        <v>87</v>
      </c>
      <c r="G6804">
        <v>78</v>
      </c>
      <c r="H6804" t="s">
        <v>8952</v>
      </c>
      <c r="I6804" s="131">
        <v>9</v>
      </c>
      <c r="J6804" t="s">
        <v>8428</v>
      </c>
      <c r="K6804" t="s">
        <v>108</v>
      </c>
      <c r="L6804" t="s">
        <v>134</v>
      </c>
      <c r="M6804" t="s">
        <v>112</v>
      </c>
      <c r="N6804" t="s">
        <v>132</v>
      </c>
      <c r="O6804" t="s">
        <v>1345</v>
      </c>
    </row>
    <row r="6805" spans="1:15" x14ac:dyDescent="0.3">
      <c r="A6805" s="130">
        <v>72213</v>
      </c>
      <c r="B6805" s="130">
        <v>30</v>
      </c>
      <c r="C6805" s="130" t="s">
        <v>8429</v>
      </c>
      <c r="D6805">
        <v>948</v>
      </c>
      <c r="E6805" s="130">
        <v>6094474</v>
      </c>
      <c r="F6805" t="s">
        <v>87</v>
      </c>
      <c r="G6805">
        <v>358</v>
      </c>
      <c r="H6805" t="s">
        <v>8953</v>
      </c>
      <c r="I6805" s="130">
        <v>2</v>
      </c>
      <c r="J6805" t="s">
        <v>8429</v>
      </c>
      <c r="K6805" t="s">
        <v>95</v>
      </c>
      <c r="L6805" t="s">
        <v>109</v>
      </c>
      <c r="M6805" t="s">
        <v>103</v>
      </c>
      <c r="N6805" t="s">
        <v>101</v>
      </c>
      <c r="O6805" t="s">
        <v>1345</v>
      </c>
    </row>
    <row r="6806" spans="1:15" x14ac:dyDescent="0.3">
      <c r="A6806" s="130">
        <v>72215</v>
      </c>
      <c r="B6806" s="130">
        <v>2</v>
      </c>
      <c r="C6806" s="130" t="s">
        <v>8430</v>
      </c>
      <c r="D6806">
        <v>949</v>
      </c>
      <c r="E6806" s="130">
        <v>4449802</v>
      </c>
      <c r="F6806" t="s">
        <v>87</v>
      </c>
      <c r="G6806">
        <v>78</v>
      </c>
      <c r="H6806" t="s">
        <v>8951</v>
      </c>
      <c r="I6806" s="130">
        <v>26</v>
      </c>
      <c r="J6806" t="s">
        <v>8430</v>
      </c>
      <c r="K6806" t="s">
        <v>95</v>
      </c>
      <c r="L6806" t="s">
        <v>151</v>
      </c>
      <c r="M6806" t="s">
        <v>224</v>
      </c>
      <c r="N6806" t="s">
        <v>98</v>
      </c>
      <c r="O6806" t="s">
        <v>116</v>
      </c>
    </row>
    <row r="6807" spans="1:15" x14ac:dyDescent="0.3">
      <c r="A6807" s="130">
        <v>72217</v>
      </c>
      <c r="B6807" s="130">
        <v>90</v>
      </c>
      <c r="C6807" s="130" t="s">
        <v>8431</v>
      </c>
      <c r="D6807">
        <v>950</v>
      </c>
      <c r="E6807" s="131">
        <v>35234509</v>
      </c>
      <c r="F6807" t="s">
        <v>87</v>
      </c>
      <c r="G6807">
        <v>78</v>
      </c>
      <c r="H6807" t="s">
        <v>8952</v>
      </c>
      <c r="I6807" s="130">
        <v>18</v>
      </c>
      <c r="J6807" t="s">
        <v>8431</v>
      </c>
      <c r="K6807" t="s">
        <v>95</v>
      </c>
      <c r="L6807" t="s">
        <v>102</v>
      </c>
      <c r="M6807" t="s">
        <v>170</v>
      </c>
      <c r="N6807" t="s">
        <v>98</v>
      </c>
      <c r="O6807" t="s">
        <v>116</v>
      </c>
    </row>
    <row r="6808" spans="1:15" x14ac:dyDescent="0.3">
      <c r="A6808" s="130">
        <v>72220</v>
      </c>
      <c r="B6808" s="130">
        <v>30</v>
      </c>
      <c r="C6808" s="130" t="s">
        <v>8432</v>
      </c>
      <c r="D6808">
        <v>951</v>
      </c>
      <c r="E6808" s="131">
        <v>63081764</v>
      </c>
      <c r="F6808" t="s">
        <v>87</v>
      </c>
      <c r="G6808">
        <v>78</v>
      </c>
      <c r="H6808" t="s">
        <v>8953</v>
      </c>
      <c r="I6808" s="130">
        <v>10</v>
      </c>
      <c r="J6808" t="s">
        <v>8432</v>
      </c>
      <c r="K6808" t="s">
        <v>95</v>
      </c>
      <c r="L6808" t="s">
        <v>127</v>
      </c>
      <c r="M6808" t="s">
        <v>103</v>
      </c>
      <c r="N6808" t="s">
        <v>114</v>
      </c>
      <c r="O6808" t="s">
        <v>1345</v>
      </c>
    </row>
    <row r="6809" spans="1:15" x14ac:dyDescent="0.3">
      <c r="A6809" s="130">
        <v>72222</v>
      </c>
      <c r="B6809" s="130">
        <v>35</v>
      </c>
      <c r="C6809" s="130" t="s">
        <v>8433</v>
      </c>
      <c r="D6809">
        <v>952</v>
      </c>
      <c r="E6809" s="130">
        <v>3992929</v>
      </c>
      <c r="F6809" t="s">
        <v>87</v>
      </c>
      <c r="G6809">
        <v>78</v>
      </c>
      <c r="H6809" t="s">
        <v>8951</v>
      </c>
      <c r="I6809" s="131">
        <v>9</v>
      </c>
      <c r="J6809" t="s">
        <v>8433</v>
      </c>
      <c r="K6809" t="s">
        <v>95</v>
      </c>
      <c r="L6809" t="s">
        <v>125</v>
      </c>
      <c r="M6809" t="s">
        <v>161</v>
      </c>
      <c r="N6809" t="s">
        <v>98</v>
      </c>
      <c r="O6809" t="s">
        <v>1345</v>
      </c>
    </row>
    <row r="6810" spans="1:15" x14ac:dyDescent="0.3">
      <c r="A6810" s="130">
        <v>72228</v>
      </c>
      <c r="B6810" s="130">
        <v>60</v>
      </c>
      <c r="C6810" s="130" t="s">
        <v>8434</v>
      </c>
      <c r="D6810">
        <v>953</v>
      </c>
      <c r="E6810" s="130">
        <v>33534821</v>
      </c>
      <c r="F6810" t="s">
        <v>87</v>
      </c>
      <c r="G6810">
        <v>78</v>
      </c>
      <c r="H6810" t="s">
        <v>8952</v>
      </c>
      <c r="I6810" s="130">
        <v>10</v>
      </c>
      <c r="J6810" t="s">
        <v>8434</v>
      </c>
      <c r="K6810" t="s">
        <v>95</v>
      </c>
      <c r="L6810" t="s">
        <v>127</v>
      </c>
      <c r="M6810" t="s">
        <v>97</v>
      </c>
      <c r="N6810" t="s">
        <v>98</v>
      </c>
      <c r="O6810" t="s">
        <v>1345</v>
      </c>
    </row>
    <row r="6811" spans="1:15" x14ac:dyDescent="0.3">
      <c r="A6811" s="130">
        <v>72234</v>
      </c>
      <c r="B6811" s="130">
        <v>18</v>
      </c>
      <c r="C6811" s="130" t="s">
        <v>8435</v>
      </c>
      <c r="D6811">
        <v>954</v>
      </c>
      <c r="E6811" s="130">
        <v>28660696</v>
      </c>
      <c r="F6811" t="s">
        <v>87</v>
      </c>
      <c r="G6811">
        <v>78</v>
      </c>
      <c r="H6811" t="s">
        <v>8953</v>
      </c>
      <c r="I6811" s="130">
        <v>9</v>
      </c>
      <c r="J6811" t="s">
        <v>8435</v>
      </c>
      <c r="K6811" t="s">
        <v>95</v>
      </c>
      <c r="L6811" t="s">
        <v>125</v>
      </c>
      <c r="M6811" t="s">
        <v>112</v>
      </c>
      <c r="N6811" t="s">
        <v>124</v>
      </c>
      <c r="O6811" t="s">
        <v>1345</v>
      </c>
    </row>
    <row r="6812" spans="1:15" x14ac:dyDescent="0.3">
      <c r="A6812" s="130">
        <v>72235</v>
      </c>
      <c r="B6812" s="130">
        <v>30</v>
      </c>
      <c r="C6812" s="130" t="s">
        <v>8436</v>
      </c>
      <c r="D6812">
        <v>955</v>
      </c>
      <c r="E6812" s="130">
        <v>63081764</v>
      </c>
      <c r="F6812" t="s">
        <v>87</v>
      </c>
      <c r="G6812">
        <v>78</v>
      </c>
      <c r="H6812" t="s">
        <v>8951</v>
      </c>
      <c r="I6812" s="130">
        <v>10</v>
      </c>
      <c r="J6812" t="s">
        <v>8436</v>
      </c>
      <c r="K6812" t="s">
        <v>95</v>
      </c>
      <c r="L6812" t="s">
        <v>127</v>
      </c>
      <c r="M6812" t="s">
        <v>103</v>
      </c>
      <c r="N6812" t="s">
        <v>118</v>
      </c>
      <c r="O6812" t="s">
        <v>1345</v>
      </c>
    </row>
    <row r="6813" spans="1:15" x14ac:dyDescent="0.3">
      <c r="A6813" s="130">
        <v>72238</v>
      </c>
      <c r="B6813" s="130">
        <v>30</v>
      </c>
      <c r="C6813" s="130" t="s">
        <v>8437</v>
      </c>
      <c r="D6813">
        <v>956</v>
      </c>
      <c r="E6813" s="131">
        <v>34209835</v>
      </c>
      <c r="F6813" t="s">
        <v>87</v>
      </c>
      <c r="G6813">
        <v>77</v>
      </c>
      <c r="H6813" t="s">
        <v>8952</v>
      </c>
      <c r="I6813" s="130">
        <v>10</v>
      </c>
      <c r="J6813" t="s">
        <v>8437</v>
      </c>
      <c r="K6813" t="s">
        <v>95</v>
      </c>
      <c r="L6813" t="s">
        <v>117</v>
      </c>
      <c r="M6813" t="s">
        <v>103</v>
      </c>
      <c r="N6813" t="s">
        <v>98</v>
      </c>
      <c r="O6813" t="s">
        <v>116</v>
      </c>
    </row>
    <row r="6814" spans="1:15" x14ac:dyDescent="0.3">
      <c r="A6814" s="130">
        <v>72239</v>
      </c>
      <c r="B6814" s="130">
        <v>30</v>
      </c>
      <c r="C6814" s="130" t="s">
        <v>8438</v>
      </c>
      <c r="D6814">
        <v>957</v>
      </c>
      <c r="E6814" s="130">
        <v>34209835</v>
      </c>
      <c r="F6814" t="s">
        <v>87</v>
      </c>
      <c r="G6814">
        <v>77</v>
      </c>
      <c r="H6814" t="s">
        <v>8953</v>
      </c>
      <c r="I6814" s="130">
        <v>10</v>
      </c>
      <c r="J6814" t="s">
        <v>8438</v>
      </c>
      <c r="K6814" t="s">
        <v>95</v>
      </c>
      <c r="L6814" t="s">
        <v>117</v>
      </c>
      <c r="M6814" t="s">
        <v>103</v>
      </c>
      <c r="N6814" t="s">
        <v>98</v>
      </c>
      <c r="O6814" t="s">
        <v>116</v>
      </c>
    </row>
    <row r="6815" spans="1:15" x14ac:dyDescent="0.3">
      <c r="A6815" s="130">
        <v>72240</v>
      </c>
      <c r="B6815" s="130">
        <v>30</v>
      </c>
      <c r="C6815" s="130" t="s">
        <v>8439</v>
      </c>
      <c r="D6815">
        <v>958</v>
      </c>
      <c r="E6815" s="131">
        <v>34209835</v>
      </c>
      <c r="F6815" t="s">
        <v>87</v>
      </c>
      <c r="G6815">
        <v>77</v>
      </c>
      <c r="H6815" t="s">
        <v>8951</v>
      </c>
      <c r="I6815" s="131">
        <v>10</v>
      </c>
      <c r="J6815" t="s">
        <v>8439</v>
      </c>
      <c r="K6815" t="s">
        <v>95</v>
      </c>
      <c r="L6815" t="s">
        <v>117</v>
      </c>
      <c r="M6815" t="s">
        <v>103</v>
      </c>
      <c r="N6815" t="s">
        <v>98</v>
      </c>
      <c r="O6815" t="s">
        <v>1345</v>
      </c>
    </row>
    <row r="6816" spans="1:15" x14ac:dyDescent="0.3">
      <c r="A6816" s="130">
        <v>72241</v>
      </c>
      <c r="B6816" s="130">
        <v>18</v>
      </c>
      <c r="C6816" s="130" t="s">
        <v>8440</v>
      </c>
      <c r="D6816">
        <v>959</v>
      </c>
      <c r="E6816" s="130">
        <v>2888032</v>
      </c>
      <c r="F6816" t="s">
        <v>87</v>
      </c>
      <c r="G6816">
        <v>78</v>
      </c>
      <c r="H6816" t="s">
        <v>8952</v>
      </c>
      <c r="I6816" s="131">
        <v>18</v>
      </c>
      <c r="J6816" t="s">
        <v>8440</v>
      </c>
      <c r="K6816" t="s">
        <v>95</v>
      </c>
      <c r="L6816" t="s">
        <v>123</v>
      </c>
      <c r="M6816" t="s">
        <v>112</v>
      </c>
      <c r="N6816" t="s">
        <v>98</v>
      </c>
      <c r="O6816" t="s">
        <v>116</v>
      </c>
    </row>
    <row r="6817" spans="1:15" x14ac:dyDescent="0.3">
      <c r="A6817" s="130">
        <v>72243</v>
      </c>
      <c r="B6817" s="130">
        <v>18</v>
      </c>
      <c r="C6817" s="130" t="s">
        <v>8441</v>
      </c>
      <c r="D6817">
        <v>960</v>
      </c>
      <c r="E6817" s="130">
        <v>801512</v>
      </c>
      <c r="F6817" t="s">
        <v>87</v>
      </c>
      <c r="G6817">
        <v>78</v>
      </c>
      <c r="H6817" t="s">
        <v>8953</v>
      </c>
      <c r="I6817" s="131">
        <v>9</v>
      </c>
      <c r="J6817" t="s">
        <v>8441</v>
      </c>
      <c r="K6817" t="s">
        <v>108</v>
      </c>
      <c r="L6817" t="s">
        <v>181</v>
      </c>
      <c r="M6817" t="s">
        <v>112</v>
      </c>
      <c r="N6817" t="s">
        <v>101</v>
      </c>
      <c r="O6817" t="s">
        <v>116</v>
      </c>
    </row>
    <row r="6818" spans="1:15" x14ac:dyDescent="0.3">
      <c r="A6818" s="130">
        <v>72245</v>
      </c>
      <c r="B6818" s="130">
        <v>18</v>
      </c>
      <c r="C6818" s="130" t="s">
        <v>8442</v>
      </c>
      <c r="D6818">
        <v>961</v>
      </c>
      <c r="E6818" s="131">
        <v>2617158</v>
      </c>
      <c r="F6818" t="s">
        <v>87</v>
      </c>
      <c r="G6818">
        <v>78</v>
      </c>
      <c r="H6818" t="s">
        <v>8951</v>
      </c>
      <c r="I6818" s="130">
        <v>10</v>
      </c>
      <c r="J6818" t="s">
        <v>8442</v>
      </c>
      <c r="K6818" t="s">
        <v>108</v>
      </c>
      <c r="L6818" t="s">
        <v>127</v>
      </c>
      <c r="M6818" t="s">
        <v>112</v>
      </c>
      <c r="N6818" t="s">
        <v>98</v>
      </c>
      <c r="O6818" t="s">
        <v>1345</v>
      </c>
    </row>
    <row r="6819" spans="1:15" x14ac:dyDescent="0.3">
      <c r="A6819" s="130">
        <v>72246</v>
      </c>
      <c r="B6819" s="130">
        <v>30</v>
      </c>
      <c r="C6819" s="130" t="s">
        <v>8443</v>
      </c>
      <c r="D6819">
        <v>962</v>
      </c>
      <c r="E6819" s="130">
        <v>8054995</v>
      </c>
      <c r="F6819" t="s">
        <v>87</v>
      </c>
      <c r="G6819">
        <v>358</v>
      </c>
      <c r="H6819" t="s">
        <v>8952</v>
      </c>
      <c r="I6819" s="130">
        <v>10</v>
      </c>
      <c r="J6819" t="s">
        <v>8443</v>
      </c>
      <c r="K6819" t="s">
        <v>95</v>
      </c>
      <c r="L6819" t="s">
        <v>105</v>
      </c>
      <c r="M6819" t="s">
        <v>103</v>
      </c>
      <c r="N6819" t="s">
        <v>107</v>
      </c>
      <c r="O6819" t="s">
        <v>1345</v>
      </c>
    </row>
    <row r="6820" spans="1:15" x14ac:dyDescent="0.3">
      <c r="A6820" s="130">
        <v>72250</v>
      </c>
      <c r="B6820" s="130">
        <v>30</v>
      </c>
      <c r="C6820" s="130" t="s">
        <v>8444</v>
      </c>
      <c r="D6820">
        <v>963</v>
      </c>
      <c r="E6820" s="130">
        <v>7134777</v>
      </c>
      <c r="F6820" t="s">
        <v>87</v>
      </c>
      <c r="G6820">
        <v>78</v>
      </c>
      <c r="H6820" t="s">
        <v>8953</v>
      </c>
      <c r="I6820" s="130">
        <v>9</v>
      </c>
      <c r="J6820" t="s">
        <v>8444</v>
      </c>
      <c r="K6820" t="s">
        <v>95</v>
      </c>
      <c r="L6820" t="s">
        <v>134</v>
      </c>
      <c r="M6820" t="s">
        <v>103</v>
      </c>
      <c r="N6820" t="s">
        <v>98</v>
      </c>
      <c r="O6820" t="s">
        <v>1345</v>
      </c>
    </row>
    <row r="6821" spans="1:15" x14ac:dyDescent="0.3">
      <c r="A6821" s="130">
        <v>72251</v>
      </c>
      <c r="B6821" s="130">
        <v>18</v>
      </c>
      <c r="C6821" s="130" t="s">
        <v>8445</v>
      </c>
      <c r="D6821">
        <v>964</v>
      </c>
      <c r="E6821" s="131">
        <v>2617158</v>
      </c>
      <c r="F6821" t="s">
        <v>87</v>
      </c>
      <c r="G6821">
        <v>78</v>
      </c>
      <c r="H6821" t="s">
        <v>8951</v>
      </c>
      <c r="I6821" s="130">
        <v>10</v>
      </c>
      <c r="J6821" t="s">
        <v>8445</v>
      </c>
      <c r="K6821" t="s">
        <v>108</v>
      </c>
      <c r="L6821" t="s">
        <v>127</v>
      </c>
      <c r="M6821" t="s">
        <v>112</v>
      </c>
      <c r="N6821" t="s">
        <v>98</v>
      </c>
      <c r="O6821" t="s">
        <v>1345</v>
      </c>
    </row>
    <row r="6822" spans="1:15" x14ac:dyDescent="0.3">
      <c r="A6822" s="130">
        <v>72252</v>
      </c>
      <c r="B6822" s="130">
        <v>18</v>
      </c>
      <c r="C6822" s="130" t="s">
        <v>8446</v>
      </c>
      <c r="D6822">
        <v>965</v>
      </c>
      <c r="E6822" s="130">
        <v>2617158</v>
      </c>
      <c r="F6822" t="s">
        <v>87</v>
      </c>
      <c r="G6822">
        <v>78</v>
      </c>
      <c r="H6822" t="s">
        <v>8952</v>
      </c>
      <c r="I6822" s="131">
        <v>10</v>
      </c>
      <c r="J6822" t="s">
        <v>8446</v>
      </c>
      <c r="K6822" t="s">
        <v>108</v>
      </c>
      <c r="L6822" t="s">
        <v>127</v>
      </c>
      <c r="M6822" t="s">
        <v>112</v>
      </c>
      <c r="N6822" t="s">
        <v>98</v>
      </c>
      <c r="O6822" t="s">
        <v>1345</v>
      </c>
    </row>
    <row r="6823" spans="1:15" x14ac:dyDescent="0.3">
      <c r="A6823" s="130">
        <v>72253</v>
      </c>
      <c r="B6823" s="130">
        <v>18</v>
      </c>
      <c r="C6823" s="130" t="s">
        <v>8447</v>
      </c>
      <c r="D6823">
        <v>966</v>
      </c>
      <c r="E6823" s="130">
        <v>8054995</v>
      </c>
      <c r="F6823" t="s">
        <v>87</v>
      </c>
      <c r="G6823">
        <v>358</v>
      </c>
      <c r="H6823" t="s">
        <v>8953</v>
      </c>
      <c r="I6823" s="130">
        <v>10</v>
      </c>
      <c r="J6823" t="s">
        <v>8447</v>
      </c>
      <c r="K6823" t="s">
        <v>108</v>
      </c>
      <c r="L6823" t="s">
        <v>105</v>
      </c>
      <c r="M6823" t="s">
        <v>112</v>
      </c>
      <c r="N6823" t="s">
        <v>107</v>
      </c>
      <c r="O6823" t="s">
        <v>1345</v>
      </c>
    </row>
    <row r="6824" spans="1:15" x14ac:dyDescent="0.3">
      <c r="A6824" s="130">
        <v>72257</v>
      </c>
      <c r="B6824" s="130">
        <v>18</v>
      </c>
      <c r="C6824" s="130" t="s">
        <v>8448</v>
      </c>
      <c r="D6824">
        <v>967</v>
      </c>
      <c r="E6824" s="130">
        <v>20830837</v>
      </c>
      <c r="F6824" t="s">
        <v>87</v>
      </c>
      <c r="G6824">
        <v>358</v>
      </c>
      <c r="H6824" t="s">
        <v>8951</v>
      </c>
      <c r="I6824" s="130">
        <v>43</v>
      </c>
      <c r="J6824" t="s">
        <v>8448</v>
      </c>
      <c r="K6824" t="s">
        <v>95</v>
      </c>
      <c r="L6824" t="s">
        <v>105</v>
      </c>
      <c r="M6824" t="s">
        <v>112</v>
      </c>
      <c r="N6824" t="s">
        <v>98</v>
      </c>
      <c r="O6824" t="s">
        <v>116</v>
      </c>
    </row>
    <row r="6825" spans="1:15" x14ac:dyDescent="0.3">
      <c r="A6825" s="130">
        <v>72258</v>
      </c>
      <c r="B6825" s="130">
        <v>18</v>
      </c>
      <c r="C6825" s="130" t="s">
        <v>8449</v>
      </c>
      <c r="D6825">
        <v>968</v>
      </c>
      <c r="E6825" s="130">
        <v>27174276</v>
      </c>
      <c r="F6825" t="s">
        <v>87</v>
      </c>
      <c r="G6825">
        <v>78</v>
      </c>
      <c r="H6825" t="s">
        <v>8952</v>
      </c>
      <c r="I6825" s="130">
        <v>26</v>
      </c>
      <c r="J6825" t="s">
        <v>8449</v>
      </c>
      <c r="K6825" t="s">
        <v>108</v>
      </c>
      <c r="L6825" t="s">
        <v>151</v>
      </c>
      <c r="M6825" t="s">
        <v>112</v>
      </c>
      <c r="N6825" t="s">
        <v>124</v>
      </c>
      <c r="O6825" t="s">
        <v>1345</v>
      </c>
    </row>
    <row r="6826" spans="1:15" x14ac:dyDescent="0.3">
      <c r="A6826" s="130">
        <v>72259</v>
      </c>
      <c r="B6826" s="130">
        <v>18</v>
      </c>
      <c r="C6826" s="130" t="s">
        <v>8450</v>
      </c>
      <c r="D6826">
        <v>969</v>
      </c>
      <c r="E6826" s="131">
        <v>71427389</v>
      </c>
      <c r="F6826" t="s">
        <v>87</v>
      </c>
      <c r="G6826">
        <v>358</v>
      </c>
      <c r="H6826" t="s">
        <v>8953</v>
      </c>
      <c r="I6826" s="131">
        <v>2</v>
      </c>
      <c r="J6826" t="s">
        <v>8450</v>
      </c>
      <c r="K6826" t="s">
        <v>108</v>
      </c>
      <c r="L6826" t="s">
        <v>109</v>
      </c>
      <c r="M6826" t="s">
        <v>112</v>
      </c>
      <c r="N6826" t="s">
        <v>150</v>
      </c>
      <c r="O6826" t="s">
        <v>116</v>
      </c>
    </row>
    <row r="6827" spans="1:15" x14ac:dyDescent="0.3">
      <c r="A6827" s="130">
        <v>72264</v>
      </c>
      <c r="B6827" s="130">
        <v>30</v>
      </c>
      <c r="C6827" s="130" t="s">
        <v>8451</v>
      </c>
      <c r="D6827">
        <v>970</v>
      </c>
      <c r="E6827" s="130">
        <v>29286001</v>
      </c>
      <c r="F6827" t="s">
        <v>87</v>
      </c>
      <c r="G6827">
        <v>78</v>
      </c>
      <c r="H6827" t="s">
        <v>8951</v>
      </c>
      <c r="I6827" s="130">
        <v>18</v>
      </c>
      <c r="J6827" t="s">
        <v>8451</v>
      </c>
      <c r="K6827" t="s">
        <v>95</v>
      </c>
      <c r="L6827" t="s">
        <v>123</v>
      </c>
      <c r="M6827" t="s">
        <v>103</v>
      </c>
      <c r="N6827" t="s">
        <v>169</v>
      </c>
      <c r="O6827" t="s">
        <v>1345</v>
      </c>
    </row>
    <row r="6828" spans="1:15" x14ac:dyDescent="0.3">
      <c r="A6828" s="130">
        <v>72270</v>
      </c>
      <c r="B6828" s="130">
        <v>18</v>
      </c>
      <c r="C6828" s="130" t="s">
        <v>8452</v>
      </c>
      <c r="D6828">
        <v>971</v>
      </c>
      <c r="E6828" s="130">
        <v>28178342</v>
      </c>
      <c r="F6828" t="s">
        <v>87</v>
      </c>
      <c r="G6828">
        <v>358</v>
      </c>
      <c r="H6828" t="s">
        <v>8952</v>
      </c>
      <c r="I6828" s="131">
        <v>2</v>
      </c>
      <c r="J6828" t="s">
        <v>8452</v>
      </c>
      <c r="K6828" t="s">
        <v>95</v>
      </c>
      <c r="L6828" t="s">
        <v>109</v>
      </c>
      <c r="M6828" t="s">
        <v>112</v>
      </c>
      <c r="N6828" t="s">
        <v>98</v>
      </c>
      <c r="O6828" t="s">
        <v>1345</v>
      </c>
    </row>
    <row r="6829" spans="1:15" x14ac:dyDescent="0.3">
      <c r="A6829" s="130">
        <v>72279</v>
      </c>
      <c r="B6829" s="130">
        <v>18</v>
      </c>
      <c r="C6829" s="130" t="s">
        <v>8453</v>
      </c>
      <c r="D6829">
        <v>972</v>
      </c>
      <c r="E6829" s="130">
        <v>43711951</v>
      </c>
      <c r="F6829" t="s">
        <v>87</v>
      </c>
      <c r="G6829">
        <v>358</v>
      </c>
      <c r="H6829" t="s">
        <v>8953</v>
      </c>
      <c r="I6829" s="130">
        <v>18</v>
      </c>
      <c r="J6829" t="s">
        <v>8453</v>
      </c>
      <c r="K6829" t="s">
        <v>95</v>
      </c>
      <c r="L6829" t="s">
        <v>111</v>
      </c>
      <c r="M6829" t="s">
        <v>112</v>
      </c>
      <c r="N6829" t="s">
        <v>114</v>
      </c>
      <c r="O6829" t="s">
        <v>1345</v>
      </c>
    </row>
    <row r="6830" spans="1:15" x14ac:dyDescent="0.3">
      <c r="A6830" s="130">
        <v>72280</v>
      </c>
      <c r="B6830" s="130">
        <v>30</v>
      </c>
      <c r="C6830" s="130" t="s">
        <v>8454</v>
      </c>
      <c r="D6830">
        <v>973</v>
      </c>
      <c r="E6830" s="131">
        <v>28660696</v>
      </c>
      <c r="F6830" t="s">
        <v>87</v>
      </c>
      <c r="G6830">
        <v>78</v>
      </c>
      <c r="H6830" t="s">
        <v>8951</v>
      </c>
      <c r="I6830" s="130">
        <v>9</v>
      </c>
      <c r="J6830" t="s">
        <v>8454</v>
      </c>
      <c r="K6830" t="s">
        <v>95</v>
      </c>
      <c r="L6830" t="s">
        <v>125</v>
      </c>
      <c r="M6830" t="s">
        <v>103</v>
      </c>
      <c r="N6830" t="s">
        <v>124</v>
      </c>
      <c r="O6830" t="s">
        <v>1345</v>
      </c>
    </row>
    <row r="6831" spans="1:15" x14ac:dyDescent="0.3">
      <c r="A6831" s="130">
        <v>72282</v>
      </c>
      <c r="B6831" s="130">
        <v>18</v>
      </c>
      <c r="C6831" s="130" t="s">
        <v>8455</v>
      </c>
      <c r="D6831">
        <v>974</v>
      </c>
      <c r="E6831" s="130">
        <v>25566035</v>
      </c>
      <c r="F6831" t="s">
        <v>87</v>
      </c>
      <c r="G6831">
        <v>358</v>
      </c>
      <c r="H6831" t="s">
        <v>8952</v>
      </c>
      <c r="I6831" s="130">
        <v>2</v>
      </c>
      <c r="J6831" t="s">
        <v>8455</v>
      </c>
      <c r="K6831" t="s">
        <v>95</v>
      </c>
      <c r="L6831" t="s">
        <v>96</v>
      </c>
      <c r="M6831" t="s">
        <v>112</v>
      </c>
      <c r="N6831" t="s">
        <v>98</v>
      </c>
      <c r="O6831" t="s">
        <v>1345</v>
      </c>
    </row>
    <row r="6832" spans="1:15" x14ac:dyDescent="0.3">
      <c r="A6832" s="130">
        <v>72284</v>
      </c>
      <c r="B6832" s="130">
        <v>18</v>
      </c>
      <c r="C6832" s="130" t="s">
        <v>8456</v>
      </c>
      <c r="D6832">
        <v>975</v>
      </c>
      <c r="E6832" s="130">
        <v>17344459</v>
      </c>
      <c r="F6832" t="s">
        <v>87</v>
      </c>
      <c r="G6832">
        <v>78</v>
      </c>
      <c r="H6832" t="s">
        <v>8953</v>
      </c>
      <c r="I6832" s="130">
        <v>24</v>
      </c>
      <c r="J6832" t="s">
        <v>8456</v>
      </c>
      <c r="K6832" t="s">
        <v>95</v>
      </c>
      <c r="L6832" t="s">
        <v>138</v>
      </c>
      <c r="M6832" t="s">
        <v>112</v>
      </c>
      <c r="N6832" t="s">
        <v>98</v>
      </c>
      <c r="O6832" t="s">
        <v>1345</v>
      </c>
    </row>
    <row r="6833" spans="1:15" x14ac:dyDescent="0.3">
      <c r="A6833" s="130">
        <v>72287</v>
      </c>
      <c r="B6833" s="130">
        <v>30</v>
      </c>
      <c r="C6833" s="130" t="s">
        <v>8457</v>
      </c>
      <c r="D6833">
        <v>976</v>
      </c>
      <c r="E6833" s="130">
        <v>35234509</v>
      </c>
      <c r="F6833" t="s">
        <v>87</v>
      </c>
      <c r="G6833">
        <v>78</v>
      </c>
      <c r="H6833" t="s">
        <v>8951</v>
      </c>
      <c r="I6833" s="131">
        <v>19</v>
      </c>
      <c r="J6833" t="s">
        <v>8457</v>
      </c>
      <c r="K6833" t="s">
        <v>95</v>
      </c>
      <c r="L6833" t="s">
        <v>102</v>
      </c>
      <c r="M6833" t="s">
        <v>103</v>
      </c>
      <c r="N6833" t="s">
        <v>98</v>
      </c>
      <c r="O6833" t="s">
        <v>1345</v>
      </c>
    </row>
    <row r="6834" spans="1:15" x14ac:dyDescent="0.3">
      <c r="A6834" s="130">
        <v>72290</v>
      </c>
      <c r="B6834" s="130">
        <v>30</v>
      </c>
      <c r="C6834" s="130" t="s">
        <v>8458</v>
      </c>
      <c r="D6834">
        <v>977</v>
      </c>
      <c r="E6834" s="131">
        <v>35234509</v>
      </c>
      <c r="F6834" t="s">
        <v>87</v>
      </c>
      <c r="G6834">
        <v>78</v>
      </c>
      <c r="H6834" t="s">
        <v>8952</v>
      </c>
      <c r="I6834" s="131">
        <v>18</v>
      </c>
      <c r="J6834" t="s">
        <v>8458</v>
      </c>
      <c r="K6834" t="s">
        <v>95</v>
      </c>
      <c r="L6834" t="s">
        <v>102</v>
      </c>
      <c r="M6834" t="s">
        <v>103</v>
      </c>
      <c r="N6834" t="s">
        <v>98</v>
      </c>
      <c r="O6834" t="s">
        <v>1345</v>
      </c>
    </row>
    <row r="6835" spans="1:15" x14ac:dyDescent="0.3">
      <c r="A6835" s="130">
        <v>72294</v>
      </c>
      <c r="B6835" s="130">
        <v>30</v>
      </c>
      <c r="C6835" s="130" t="s">
        <v>8459</v>
      </c>
      <c r="D6835">
        <v>978</v>
      </c>
      <c r="E6835" s="130">
        <v>8343492</v>
      </c>
      <c r="F6835" t="s">
        <v>87</v>
      </c>
      <c r="G6835">
        <v>78</v>
      </c>
      <c r="H6835" t="s">
        <v>8953</v>
      </c>
      <c r="I6835" s="130">
        <v>24</v>
      </c>
      <c r="J6835" t="s">
        <v>8459</v>
      </c>
      <c r="K6835" t="s">
        <v>95</v>
      </c>
      <c r="L6835" t="s">
        <v>138</v>
      </c>
      <c r="M6835" t="s">
        <v>103</v>
      </c>
      <c r="N6835" t="s">
        <v>98</v>
      </c>
      <c r="O6835" t="s">
        <v>1345</v>
      </c>
    </row>
    <row r="6836" spans="1:15" x14ac:dyDescent="0.3">
      <c r="A6836" s="130">
        <v>72301</v>
      </c>
      <c r="B6836" s="130">
        <v>45</v>
      </c>
      <c r="C6836" s="130" t="s">
        <v>8460</v>
      </c>
      <c r="D6836">
        <v>979</v>
      </c>
      <c r="E6836" s="130">
        <v>3130160</v>
      </c>
      <c r="F6836" t="s">
        <v>87</v>
      </c>
      <c r="G6836">
        <v>78</v>
      </c>
      <c r="H6836" t="s">
        <v>8951</v>
      </c>
      <c r="I6836" s="130">
        <v>10</v>
      </c>
      <c r="J6836" t="s">
        <v>8460</v>
      </c>
      <c r="K6836" t="s">
        <v>108</v>
      </c>
      <c r="L6836" t="s">
        <v>127</v>
      </c>
      <c r="M6836" t="s">
        <v>106</v>
      </c>
      <c r="N6836" t="s">
        <v>124</v>
      </c>
      <c r="O6836" t="s">
        <v>1345</v>
      </c>
    </row>
    <row r="6837" spans="1:15" x14ac:dyDescent="0.3">
      <c r="A6837" s="130">
        <v>72302</v>
      </c>
      <c r="B6837" s="130">
        <v>18</v>
      </c>
      <c r="C6837" s="130" t="s">
        <v>8461</v>
      </c>
      <c r="D6837">
        <v>980</v>
      </c>
      <c r="E6837" s="130">
        <v>2250663</v>
      </c>
      <c r="F6837" t="s">
        <v>87</v>
      </c>
      <c r="G6837">
        <v>78</v>
      </c>
      <c r="H6837" t="s">
        <v>8952</v>
      </c>
      <c r="I6837" s="130">
        <v>10</v>
      </c>
      <c r="J6837" t="s">
        <v>8461</v>
      </c>
      <c r="K6837" t="s">
        <v>108</v>
      </c>
      <c r="L6837" t="s">
        <v>127</v>
      </c>
      <c r="M6837" t="s">
        <v>112</v>
      </c>
      <c r="N6837" t="s">
        <v>98</v>
      </c>
      <c r="O6837" t="s">
        <v>1345</v>
      </c>
    </row>
    <row r="6838" spans="1:15" x14ac:dyDescent="0.3">
      <c r="A6838" s="130">
        <v>72309</v>
      </c>
      <c r="B6838" s="130">
        <v>30</v>
      </c>
      <c r="C6838" s="130" t="s">
        <v>8462</v>
      </c>
      <c r="D6838">
        <v>981</v>
      </c>
      <c r="E6838" s="130">
        <v>53503652</v>
      </c>
      <c r="F6838" t="s">
        <v>87</v>
      </c>
      <c r="G6838">
        <v>78</v>
      </c>
      <c r="H6838" t="s">
        <v>8953</v>
      </c>
      <c r="I6838" s="130">
        <v>9</v>
      </c>
      <c r="J6838" t="s">
        <v>8462</v>
      </c>
      <c r="K6838" t="s">
        <v>95</v>
      </c>
      <c r="L6838" t="s">
        <v>125</v>
      </c>
      <c r="M6838" t="s">
        <v>103</v>
      </c>
      <c r="N6838" t="s">
        <v>98</v>
      </c>
      <c r="O6838" t="s">
        <v>116</v>
      </c>
    </row>
    <row r="6839" spans="1:15" x14ac:dyDescent="0.3">
      <c r="A6839" s="130">
        <v>72311</v>
      </c>
      <c r="B6839" s="130">
        <v>18</v>
      </c>
      <c r="C6839" s="130" t="s">
        <v>8463</v>
      </c>
      <c r="D6839">
        <v>982</v>
      </c>
      <c r="E6839" s="131">
        <v>17445321</v>
      </c>
      <c r="F6839" t="s">
        <v>87</v>
      </c>
      <c r="G6839">
        <v>358</v>
      </c>
      <c r="H6839" t="s">
        <v>8951</v>
      </c>
      <c r="I6839" s="130">
        <v>2</v>
      </c>
      <c r="J6839" t="s">
        <v>8463</v>
      </c>
      <c r="K6839" t="s">
        <v>108</v>
      </c>
      <c r="L6839" t="s">
        <v>99</v>
      </c>
      <c r="M6839" t="s">
        <v>112</v>
      </c>
      <c r="N6839" t="s">
        <v>162</v>
      </c>
      <c r="O6839" t="s">
        <v>1345</v>
      </c>
    </row>
    <row r="6840" spans="1:15" x14ac:dyDescent="0.3">
      <c r="A6840" s="130">
        <v>72313</v>
      </c>
      <c r="B6840" s="130">
        <v>18</v>
      </c>
      <c r="C6840" s="130" t="s">
        <v>8464</v>
      </c>
      <c r="D6840">
        <v>983</v>
      </c>
      <c r="E6840" s="130">
        <v>5877181</v>
      </c>
      <c r="F6840" t="s">
        <v>87</v>
      </c>
      <c r="G6840">
        <v>358</v>
      </c>
      <c r="H6840" t="s">
        <v>8952</v>
      </c>
      <c r="I6840" s="130">
        <v>2</v>
      </c>
      <c r="J6840" t="s">
        <v>8464</v>
      </c>
      <c r="K6840" t="s">
        <v>108</v>
      </c>
      <c r="L6840" t="s">
        <v>1346</v>
      </c>
      <c r="M6840" t="s">
        <v>112</v>
      </c>
      <c r="N6840" t="s">
        <v>98</v>
      </c>
      <c r="O6840" t="s">
        <v>1345</v>
      </c>
    </row>
    <row r="6841" spans="1:15" x14ac:dyDescent="0.3">
      <c r="A6841" s="130">
        <v>72317</v>
      </c>
      <c r="B6841" s="131">
        <v>18</v>
      </c>
      <c r="C6841" s="130" t="s">
        <v>8465</v>
      </c>
      <c r="D6841">
        <v>984</v>
      </c>
      <c r="E6841" s="130">
        <v>5427215</v>
      </c>
      <c r="F6841" t="s">
        <v>87</v>
      </c>
      <c r="G6841">
        <v>358</v>
      </c>
      <c r="H6841" t="s">
        <v>8953</v>
      </c>
      <c r="I6841" s="131">
        <v>9</v>
      </c>
      <c r="J6841" t="s">
        <v>8465</v>
      </c>
      <c r="K6841" t="s">
        <v>108</v>
      </c>
      <c r="L6841" t="s">
        <v>105</v>
      </c>
      <c r="M6841" t="s">
        <v>112</v>
      </c>
      <c r="N6841" t="s">
        <v>101</v>
      </c>
      <c r="O6841" t="s">
        <v>1345</v>
      </c>
    </row>
    <row r="6842" spans="1:15" x14ac:dyDescent="0.3">
      <c r="A6842" s="130">
        <v>72318</v>
      </c>
      <c r="B6842" s="130">
        <v>30</v>
      </c>
      <c r="C6842" s="130" t="s">
        <v>8466</v>
      </c>
      <c r="D6842">
        <v>985</v>
      </c>
      <c r="E6842" s="130">
        <v>37494855</v>
      </c>
      <c r="F6842" t="s">
        <v>87</v>
      </c>
      <c r="G6842">
        <v>358</v>
      </c>
      <c r="H6842" t="s">
        <v>8951</v>
      </c>
      <c r="I6842" s="130">
        <v>43</v>
      </c>
      <c r="J6842" t="s">
        <v>8466</v>
      </c>
      <c r="K6842" t="s">
        <v>108</v>
      </c>
      <c r="L6842" t="s">
        <v>105</v>
      </c>
      <c r="M6842" t="s">
        <v>103</v>
      </c>
      <c r="N6842" t="s">
        <v>98</v>
      </c>
      <c r="O6842" t="s">
        <v>116</v>
      </c>
    </row>
    <row r="6843" spans="1:15" x14ac:dyDescent="0.3">
      <c r="A6843" s="130">
        <v>72321</v>
      </c>
      <c r="B6843" s="130">
        <v>18</v>
      </c>
      <c r="C6843" s="130" t="s">
        <v>8467</v>
      </c>
      <c r="D6843">
        <v>986</v>
      </c>
      <c r="E6843" s="131">
        <v>5675750</v>
      </c>
      <c r="F6843" t="s">
        <v>87</v>
      </c>
      <c r="G6843">
        <v>78</v>
      </c>
      <c r="H6843" t="s">
        <v>8952</v>
      </c>
      <c r="I6843" s="130">
        <v>26</v>
      </c>
      <c r="J6843" t="s">
        <v>8467</v>
      </c>
      <c r="K6843" t="s">
        <v>95</v>
      </c>
      <c r="L6843" t="s">
        <v>151</v>
      </c>
      <c r="M6843" t="s">
        <v>112</v>
      </c>
      <c r="N6843" t="s">
        <v>132</v>
      </c>
      <c r="O6843" t="s">
        <v>1345</v>
      </c>
    </row>
    <row r="6844" spans="1:15" x14ac:dyDescent="0.3">
      <c r="A6844" s="130">
        <v>72322</v>
      </c>
      <c r="B6844" s="130">
        <v>18</v>
      </c>
      <c r="C6844" s="130" t="s">
        <v>8468</v>
      </c>
      <c r="D6844">
        <v>987</v>
      </c>
      <c r="E6844" s="131">
        <v>12580932</v>
      </c>
      <c r="F6844" t="s">
        <v>87</v>
      </c>
      <c r="G6844">
        <v>78</v>
      </c>
      <c r="H6844" t="s">
        <v>8953</v>
      </c>
      <c r="I6844" s="131">
        <v>9</v>
      </c>
      <c r="J6844" t="s">
        <v>8468</v>
      </c>
      <c r="K6844" t="s">
        <v>108</v>
      </c>
      <c r="L6844" t="s">
        <v>125</v>
      </c>
      <c r="M6844" t="s">
        <v>112</v>
      </c>
      <c r="N6844" t="s">
        <v>98</v>
      </c>
      <c r="O6844" t="s">
        <v>1345</v>
      </c>
    </row>
    <row r="6845" spans="1:15" x14ac:dyDescent="0.3">
      <c r="A6845" s="130">
        <v>72325</v>
      </c>
      <c r="B6845" s="130">
        <v>60</v>
      </c>
      <c r="C6845" s="130" t="s">
        <v>8469</v>
      </c>
      <c r="D6845">
        <v>1352</v>
      </c>
      <c r="E6845" s="130">
        <v>33592510</v>
      </c>
      <c r="F6845" t="s">
        <v>87</v>
      </c>
      <c r="G6845">
        <v>77</v>
      </c>
      <c r="H6845" t="s">
        <v>8951</v>
      </c>
      <c r="I6845" s="131">
        <v>2</v>
      </c>
      <c r="J6845" t="s">
        <v>8469</v>
      </c>
      <c r="K6845" t="s">
        <v>95</v>
      </c>
      <c r="L6845" t="s">
        <v>1255</v>
      </c>
      <c r="M6845" t="s">
        <v>97</v>
      </c>
      <c r="N6845" t="s">
        <v>118</v>
      </c>
      <c r="O6845" t="s">
        <v>1345</v>
      </c>
    </row>
    <row r="6846" spans="1:15" x14ac:dyDescent="0.3">
      <c r="A6846" s="130">
        <v>72326</v>
      </c>
      <c r="B6846" s="130">
        <v>30</v>
      </c>
      <c r="C6846" s="130" t="s">
        <v>8470</v>
      </c>
      <c r="D6846">
        <v>988</v>
      </c>
      <c r="E6846" s="131">
        <v>2617158</v>
      </c>
      <c r="F6846" t="s">
        <v>87</v>
      </c>
      <c r="G6846">
        <v>358</v>
      </c>
      <c r="H6846" t="s">
        <v>8952</v>
      </c>
      <c r="I6846" s="131">
        <v>2</v>
      </c>
      <c r="J6846" t="s">
        <v>8470</v>
      </c>
      <c r="K6846" t="s">
        <v>108</v>
      </c>
      <c r="L6846" t="s">
        <v>99</v>
      </c>
      <c r="M6846" t="s">
        <v>103</v>
      </c>
      <c r="N6846" t="s">
        <v>98</v>
      </c>
      <c r="O6846" t="s">
        <v>1345</v>
      </c>
    </row>
    <row r="6847" spans="1:15" x14ac:dyDescent="0.3">
      <c r="A6847" s="130">
        <v>72329</v>
      </c>
      <c r="B6847" s="130">
        <v>18</v>
      </c>
      <c r="C6847" s="130" t="s">
        <v>8471</v>
      </c>
      <c r="D6847">
        <v>989</v>
      </c>
      <c r="E6847" s="130">
        <v>22192546</v>
      </c>
      <c r="F6847" t="s">
        <v>87</v>
      </c>
      <c r="G6847">
        <v>358</v>
      </c>
      <c r="H6847" t="s">
        <v>8953</v>
      </c>
      <c r="I6847" s="130">
        <v>19</v>
      </c>
      <c r="J6847" t="s">
        <v>8471</v>
      </c>
      <c r="K6847" t="s">
        <v>108</v>
      </c>
      <c r="L6847" t="s">
        <v>105</v>
      </c>
      <c r="M6847" t="s">
        <v>112</v>
      </c>
      <c r="N6847" t="s">
        <v>118</v>
      </c>
      <c r="O6847" t="s">
        <v>1345</v>
      </c>
    </row>
    <row r="6848" spans="1:15" x14ac:dyDescent="0.3">
      <c r="A6848" s="130">
        <v>72331</v>
      </c>
      <c r="B6848" s="130">
        <v>18</v>
      </c>
      <c r="C6848" s="130" t="s">
        <v>8472</v>
      </c>
      <c r="D6848">
        <v>990</v>
      </c>
      <c r="E6848" s="131">
        <v>15054850</v>
      </c>
      <c r="F6848" t="s">
        <v>87</v>
      </c>
      <c r="G6848">
        <v>78</v>
      </c>
      <c r="H6848" t="s">
        <v>8951</v>
      </c>
      <c r="I6848" s="130">
        <v>38</v>
      </c>
      <c r="J6848" t="s">
        <v>8472</v>
      </c>
      <c r="K6848" t="s">
        <v>108</v>
      </c>
      <c r="L6848" t="s">
        <v>126</v>
      </c>
      <c r="M6848" t="s">
        <v>112</v>
      </c>
      <c r="N6848" t="s">
        <v>101</v>
      </c>
      <c r="O6848" t="s">
        <v>116</v>
      </c>
    </row>
    <row r="6849" spans="1:15" x14ac:dyDescent="0.3">
      <c r="A6849" s="130">
        <v>72333</v>
      </c>
      <c r="B6849" s="130">
        <v>18</v>
      </c>
      <c r="C6849" s="130" t="s">
        <v>8473</v>
      </c>
      <c r="D6849">
        <v>991</v>
      </c>
      <c r="E6849" s="130">
        <v>2250663</v>
      </c>
      <c r="F6849" t="s">
        <v>87</v>
      </c>
      <c r="G6849">
        <v>78</v>
      </c>
      <c r="H6849" t="s">
        <v>8952</v>
      </c>
      <c r="I6849" s="131">
        <v>10</v>
      </c>
      <c r="J6849" t="s">
        <v>8473</v>
      </c>
      <c r="K6849" t="s">
        <v>108</v>
      </c>
      <c r="L6849" t="s">
        <v>127</v>
      </c>
      <c r="M6849" t="s">
        <v>112</v>
      </c>
      <c r="N6849" t="s">
        <v>98</v>
      </c>
      <c r="O6849" t="s">
        <v>1345</v>
      </c>
    </row>
    <row r="6850" spans="1:15" x14ac:dyDescent="0.3">
      <c r="A6850" s="130">
        <v>72337</v>
      </c>
      <c r="B6850" s="130">
        <v>18</v>
      </c>
      <c r="C6850" s="130" t="s">
        <v>8474</v>
      </c>
      <c r="D6850">
        <v>992</v>
      </c>
      <c r="E6850" s="130">
        <v>10242636</v>
      </c>
      <c r="F6850" t="s">
        <v>87</v>
      </c>
      <c r="G6850">
        <v>78</v>
      </c>
      <c r="H6850" t="s">
        <v>8953</v>
      </c>
      <c r="I6850" s="131">
        <v>10</v>
      </c>
      <c r="J6850" t="s">
        <v>8474</v>
      </c>
      <c r="K6850" t="s">
        <v>95</v>
      </c>
      <c r="L6850" t="s">
        <v>127</v>
      </c>
      <c r="M6850" t="s">
        <v>112</v>
      </c>
      <c r="N6850" t="s">
        <v>118</v>
      </c>
      <c r="O6850" t="s">
        <v>116</v>
      </c>
    </row>
    <row r="6851" spans="1:15" x14ac:dyDescent="0.3">
      <c r="A6851" s="130">
        <v>72338</v>
      </c>
      <c r="B6851" s="130">
        <v>10</v>
      </c>
      <c r="C6851" s="130" t="s">
        <v>8475</v>
      </c>
      <c r="D6851">
        <v>993</v>
      </c>
      <c r="E6851" s="130">
        <v>27847022</v>
      </c>
      <c r="F6851" t="s">
        <v>87</v>
      </c>
      <c r="G6851">
        <v>78</v>
      </c>
      <c r="H6851" t="s">
        <v>8951</v>
      </c>
      <c r="I6851" s="130">
        <v>38</v>
      </c>
      <c r="J6851" t="s">
        <v>8475</v>
      </c>
      <c r="K6851" t="s">
        <v>108</v>
      </c>
      <c r="L6851" t="s">
        <v>105</v>
      </c>
      <c r="M6851" t="s">
        <v>133</v>
      </c>
      <c r="N6851" t="s">
        <v>124</v>
      </c>
      <c r="O6851" t="s">
        <v>1345</v>
      </c>
    </row>
    <row r="6852" spans="1:15" x14ac:dyDescent="0.3">
      <c r="A6852" s="130">
        <v>72340</v>
      </c>
      <c r="B6852" s="130">
        <v>30</v>
      </c>
      <c r="C6852" s="130" t="s">
        <v>8476</v>
      </c>
      <c r="D6852">
        <v>994</v>
      </c>
      <c r="E6852" s="131">
        <v>19330233</v>
      </c>
      <c r="F6852" t="s">
        <v>87</v>
      </c>
      <c r="G6852">
        <v>78</v>
      </c>
      <c r="H6852" t="s">
        <v>8952</v>
      </c>
      <c r="I6852" s="131">
        <v>18</v>
      </c>
      <c r="J6852" t="s">
        <v>8476</v>
      </c>
      <c r="K6852" t="s">
        <v>95</v>
      </c>
      <c r="L6852" t="s">
        <v>123</v>
      </c>
      <c r="M6852" t="s">
        <v>103</v>
      </c>
      <c r="N6852" t="s">
        <v>150</v>
      </c>
      <c r="O6852" t="s">
        <v>1345</v>
      </c>
    </row>
    <row r="6853" spans="1:15" x14ac:dyDescent="0.3">
      <c r="A6853" s="130">
        <v>72346</v>
      </c>
      <c r="B6853" s="130">
        <v>60</v>
      </c>
      <c r="C6853" s="130" t="s">
        <v>8477</v>
      </c>
      <c r="D6853">
        <v>995</v>
      </c>
      <c r="E6853" s="131">
        <v>33968740</v>
      </c>
      <c r="F6853" t="s">
        <v>87</v>
      </c>
      <c r="G6853">
        <v>358</v>
      </c>
      <c r="H6853" t="s">
        <v>8953</v>
      </c>
      <c r="I6853" s="131">
        <v>2</v>
      </c>
      <c r="J6853" t="s">
        <v>8477</v>
      </c>
      <c r="K6853" t="s">
        <v>95</v>
      </c>
      <c r="L6853" t="s">
        <v>99</v>
      </c>
      <c r="M6853" t="s">
        <v>97</v>
      </c>
      <c r="N6853" t="s">
        <v>98</v>
      </c>
      <c r="O6853" t="s">
        <v>1345</v>
      </c>
    </row>
    <row r="6854" spans="1:15" x14ac:dyDescent="0.3">
      <c r="A6854" s="130">
        <v>72347</v>
      </c>
      <c r="B6854" s="130">
        <v>18</v>
      </c>
      <c r="C6854" s="130" t="s">
        <v>8478</v>
      </c>
      <c r="D6854">
        <v>996</v>
      </c>
      <c r="E6854" s="130">
        <v>19693476</v>
      </c>
      <c r="F6854" t="s">
        <v>87</v>
      </c>
      <c r="G6854">
        <v>78</v>
      </c>
      <c r="H6854" t="s">
        <v>8951</v>
      </c>
      <c r="I6854" s="131">
        <v>10</v>
      </c>
      <c r="J6854" t="s">
        <v>8478</v>
      </c>
      <c r="K6854" t="s">
        <v>108</v>
      </c>
      <c r="L6854" t="s">
        <v>127</v>
      </c>
      <c r="M6854" t="s">
        <v>112</v>
      </c>
      <c r="N6854" t="s">
        <v>98</v>
      </c>
      <c r="O6854" t="s">
        <v>1345</v>
      </c>
    </row>
    <row r="6855" spans="1:15" x14ac:dyDescent="0.3">
      <c r="A6855" s="130">
        <v>72348</v>
      </c>
      <c r="B6855" s="130">
        <v>18</v>
      </c>
      <c r="C6855" s="130" t="s">
        <v>8479</v>
      </c>
      <c r="D6855">
        <v>997</v>
      </c>
      <c r="E6855" s="130">
        <v>33086173823</v>
      </c>
      <c r="F6855" t="s">
        <v>87</v>
      </c>
      <c r="G6855">
        <v>78</v>
      </c>
      <c r="H6855" t="s">
        <v>8952</v>
      </c>
      <c r="I6855" s="131">
        <v>24</v>
      </c>
      <c r="J6855" t="s">
        <v>8479</v>
      </c>
      <c r="K6855" t="s">
        <v>95</v>
      </c>
      <c r="L6855" t="s">
        <v>138</v>
      </c>
      <c r="M6855" t="s">
        <v>112</v>
      </c>
      <c r="N6855" t="s">
        <v>110</v>
      </c>
      <c r="O6855" t="s">
        <v>1345</v>
      </c>
    </row>
    <row r="6856" spans="1:15" x14ac:dyDescent="0.3">
      <c r="A6856" s="130">
        <v>72350</v>
      </c>
      <c r="B6856" s="130">
        <v>18</v>
      </c>
      <c r="C6856" s="130" t="s">
        <v>8480</v>
      </c>
      <c r="D6856">
        <v>998</v>
      </c>
      <c r="E6856" s="130">
        <v>4784802</v>
      </c>
      <c r="F6856" t="s">
        <v>87</v>
      </c>
      <c r="G6856">
        <v>78</v>
      </c>
      <c r="H6856" t="s">
        <v>8953</v>
      </c>
      <c r="I6856" s="130">
        <v>9</v>
      </c>
      <c r="J6856" t="s">
        <v>8480</v>
      </c>
      <c r="K6856" t="s">
        <v>95</v>
      </c>
      <c r="L6856" t="s">
        <v>134</v>
      </c>
      <c r="M6856" t="s">
        <v>112</v>
      </c>
      <c r="N6856" t="s">
        <v>122</v>
      </c>
      <c r="O6856" t="s">
        <v>1345</v>
      </c>
    </row>
    <row r="6857" spans="1:15" x14ac:dyDescent="0.3">
      <c r="A6857" s="130">
        <v>72355</v>
      </c>
      <c r="B6857" s="130">
        <v>18</v>
      </c>
      <c r="C6857" s="130" t="s">
        <v>8481</v>
      </c>
      <c r="D6857">
        <v>999</v>
      </c>
      <c r="E6857" s="130">
        <v>5353545</v>
      </c>
      <c r="F6857" t="s">
        <v>87</v>
      </c>
      <c r="G6857">
        <v>78</v>
      </c>
      <c r="H6857" t="s">
        <v>8951</v>
      </c>
      <c r="I6857" s="130">
        <v>9</v>
      </c>
      <c r="J6857" t="s">
        <v>8481</v>
      </c>
      <c r="K6857" t="s">
        <v>95</v>
      </c>
      <c r="L6857" t="s">
        <v>163</v>
      </c>
      <c r="M6857" t="s">
        <v>112</v>
      </c>
      <c r="N6857" t="s">
        <v>98</v>
      </c>
      <c r="O6857" t="s">
        <v>116</v>
      </c>
    </row>
    <row r="6858" spans="1:15" x14ac:dyDescent="0.3">
      <c r="A6858" s="130">
        <v>72358</v>
      </c>
      <c r="B6858" s="130">
        <v>30</v>
      </c>
      <c r="C6858" s="130" t="s">
        <v>8482</v>
      </c>
      <c r="D6858">
        <v>1000</v>
      </c>
      <c r="E6858" s="131">
        <v>8343492</v>
      </c>
      <c r="F6858" t="s">
        <v>87</v>
      </c>
      <c r="G6858">
        <v>78</v>
      </c>
      <c r="H6858" t="s">
        <v>8952</v>
      </c>
      <c r="I6858" s="130">
        <v>24</v>
      </c>
      <c r="J6858" t="s">
        <v>8482</v>
      </c>
      <c r="K6858" t="s">
        <v>95</v>
      </c>
      <c r="L6858" t="s">
        <v>138</v>
      </c>
      <c r="M6858" t="s">
        <v>103</v>
      </c>
      <c r="N6858" t="s">
        <v>98</v>
      </c>
      <c r="O6858" t="s">
        <v>1345</v>
      </c>
    </row>
    <row r="6859" spans="1:15" x14ac:dyDescent="0.3">
      <c r="A6859" s="130">
        <v>72361</v>
      </c>
      <c r="B6859" s="130">
        <v>18</v>
      </c>
      <c r="C6859" s="130" t="s">
        <v>8483</v>
      </c>
      <c r="D6859">
        <v>1001</v>
      </c>
      <c r="E6859" s="130">
        <v>7447917</v>
      </c>
      <c r="F6859" t="s">
        <v>87</v>
      </c>
      <c r="G6859">
        <v>358</v>
      </c>
      <c r="H6859" t="s">
        <v>8953</v>
      </c>
      <c r="I6859" s="130">
        <v>2</v>
      </c>
      <c r="J6859" t="s">
        <v>8483</v>
      </c>
      <c r="K6859" t="s">
        <v>108</v>
      </c>
      <c r="L6859" t="s">
        <v>140</v>
      </c>
      <c r="M6859" t="s">
        <v>112</v>
      </c>
      <c r="N6859" t="s">
        <v>98</v>
      </c>
      <c r="O6859" t="s">
        <v>1345</v>
      </c>
    </row>
    <row r="6860" spans="1:15" x14ac:dyDescent="0.3">
      <c r="A6860" s="130">
        <v>72363</v>
      </c>
      <c r="B6860" s="130">
        <v>30</v>
      </c>
      <c r="C6860" s="130" t="s">
        <v>8484</v>
      </c>
      <c r="D6860">
        <v>1002</v>
      </c>
      <c r="E6860" s="131">
        <v>37494855</v>
      </c>
      <c r="F6860" t="s">
        <v>87</v>
      </c>
      <c r="G6860">
        <v>358</v>
      </c>
      <c r="H6860" t="s">
        <v>8951</v>
      </c>
      <c r="I6860" s="130">
        <v>43</v>
      </c>
      <c r="J6860" t="s">
        <v>8484</v>
      </c>
      <c r="K6860" t="s">
        <v>108</v>
      </c>
      <c r="L6860" t="s">
        <v>105</v>
      </c>
      <c r="M6860" t="s">
        <v>103</v>
      </c>
      <c r="N6860" t="s">
        <v>98</v>
      </c>
      <c r="O6860" t="s">
        <v>116</v>
      </c>
    </row>
    <row r="6861" spans="1:15" x14ac:dyDescent="0.3">
      <c r="A6861" s="130">
        <v>72367</v>
      </c>
      <c r="B6861" s="130">
        <v>18</v>
      </c>
      <c r="C6861" s="130" t="s">
        <v>8485</v>
      </c>
      <c r="D6861">
        <v>1003</v>
      </c>
      <c r="E6861" s="131">
        <v>8435875</v>
      </c>
      <c r="F6861" t="s">
        <v>87</v>
      </c>
      <c r="G6861">
        <v>358</v>
      </c>
      <c r="H6861" t="s">
        <v>8952</v>
      </c>
      <c r="I6861" s="130">
        <v>24</v>
      </c>
      <c r="J6861" t="s">
        <v>8485</v>
      </c>
      <c r="K6861" t="s">
        <v>108</v>
      </c>
      <c r="L6861" t="s">
        <v>105</v>
      </c>
      <c r="M6861" t="s">
        <v>112</v>
      </c>
      <c r="N6861" t="s">
        <v>114</v>
      </c>
      <c r="O6861" t="s">
        <v>1345</v>
      </c>
    </row>
    <row r="6862" spans="1:15" x14ac:dyDescent="0.3">
      <c r="A6862" s="130">
        <v>72368</v>
      </c>
      <c r="B6862" s="130">
        <v>18</v>
      </c>
      <c r="C6862" s="130" t="s">
        <v>8486</v>
      </c>
      <c r="D6862">
        <v>1004</v>
      </c>
      <c r="E6862" s="130">
        <v>1412207</v>
      </c>
      <c r="F6862" t="s">
        <v>87</v>
      </c>
      <c r="G6862">
        <v>78</v>
      </c>
      <c r="H6862" t="s">
        <v>8953</v>
      </c>
      <c r="I6862" s="130">
        <v>9</v>
      </c>
      <c r="J6862" t="s">
        <v>8486</v>
      </c>
      <c r="K6862" t="s">
        <v>95</v>
      </c>
      <c r="L6862" t="s">
        <v>125</v>
      </c>
      <c r="M6862" t="s">
        <v>112</v>
      </c>
      <c r="N6862" t="s">
        <v>114</v>
      </c>
      <c r="O6862" t="s">
        <v>1345</v>
      </c>
    </row>
    <row r="6863" spans="1:15" x14ac:dyDescent="0.3">
      <c r="A6863" s="130">
        <v>72369</v>
      </c>
      <c r="B6863" s="130">
        <v>30</v>
      </c>
      <c r="C6863" s="130" t="s">
        <v>8487</v>
      </c>
      <c r="D6863">
        <v>1005</v>
      </c>
      <c r="E6863" s="131">
        <v>13713901</v>
      </c>
      <c r="F6863" t="s">
        <v>87</v>
      </c>
      <c r="G6863">
        <v>77</v>
      </c>
      <c r="H6863" t="s">
        <v>8951</v>
      </c>
      <c r="I6863" s="130">
        <v>18</v>
      </c>
      <c r="J6863" t="s">
        <v>8487</v>
      </c>
      <c r="K6863" t="s">
        <v>95</v>
      </c>
      <c r="L6863" t="s">
        <v>1255</v>
      </c>
      <c r="M6863" t="s">
        <v>103</v>
      </c>
      <c r="N6863" t="s">
        <v>98</v>
      </c>
      <c r="O6863" t="s">
        <v>1345</v>
      </c>
    </row>
    <row r="6864" spans="1:15" x14ac:dyDescent="0.3">
      <c r="A6864" s="130">
        <v>72371</v>
      </c>
      <c r="B6864" s="130">
        <v>18</v>
      </c>
      <c r="C6864" s="130" t="s">
        <v>8488</v>
      </c>
      <c r="D6864">
        <v>1006</v>
      </c>
      <c r="E6864" s="130">
        <v>10405464</v>
      </c>
      <c r="F6864" t="s">
        <v>87</v>
      </c>
      <c r="G6864">
        <v>358</v>
      </c>
      <c r="H6864" t="s">
        <v>8952</v>
      </c>
      <c r="I6864" s="131">
        <v>2</v>
      </c>
      <c r="J6864" t="s">
        <v>8488</v>
      </c>
      <c r="K6864" t="s">
        <v>108</v>
      </c>
      <c r="L6864" t="s">
        <v>111</v>
      </c>
      <c r="M6864" t="s">
        <v>112</v>
      </c>
      <c r="N6864" t="s">
        <v>114</v>
      </c>
      <c r="O6864" t="s">
        <v>116</v>
      </c>
    </row>
    <row r="6865" spans="1:15" x14ac:dyDescent="0.3">
      <c r="A6865" s="130">
        <v>72372</v>
      </c>
      <c r="B6865" s="130">
        <v>18</v>
      </c>
      <c r="C6865" s="130" t="s">
        <v>8489</v>
      </c>
      <c r="D6865">
        <v>1007</v>
      </c>
      <c r="E6865" s="130">
        <v>3021334</v>
      </c>
      <c r="F6865" t="s">
        <v>87</v>
      </c>
      <c r="G6865">
        <v>78</v>
      </c>
      <c r="H6865" t="s">
        <v>8953</v>
      </c>
      <c r="I6865" s="130">
        <v>9</v>
      </c>
      <c r="J6865" t="s">
        <v>8489</v>
      </c>
      <c r="K6865" t="s">
        <v>95</v>
      </c>
      <c r="L6865" t="s">
        <v>125</v>
      </c>
      <c r="M6865" t="s">
        <v>112</v>
      </c>
      <c r="N6865" t="s">
        <v>114</v>
      </c>
      <c r="O6865" t="s">
        <v>1345</v>
      </c>
    </row>
    <row r="6866" spans="1:15" x14ac:dyDescent="0.3">
      <c r="A6866" s="130">
        <v>72373</v>
      </c>
      <c r="B6866" s="130">
        <v>18</v>
      </c>
      <c r="C6866" s="130" t="s">
        <v>8490</v>
      </c>
      <c r="D6866">
        <v>1008</v>
      </c>
      <c r="E6866" s="131">
        <v>10405464</v>
      </c>
      <c r="F6866" t="s">
        <v>87</v>
      </c>
      <c r="G6866">
        <v>358</v>
      </c>
      <c r="H6866" t="s">
        <v>8951</v>
      </c>
      <c r="I6866" s="130">
        <v>2</v>
      </c>
      <c r="J6866" t="s">
        <v>8490</v>
      </c>
      <c r="K6866" t="s">
        <v>108</v>
      </c>
      <c r="L6866" t="s">
        <v>193</v>
      </c>
      <c r="M6866" t="s">
        <v>112</v>
      </c>
      <c r="N6866" t="s">
        <v>114</v>
      </c>
      <c r="O6866" t="s">
        <v>116</v>
      </c>
    </row>
    <row r="6867" spans="1:15" x14ac:dyDescent="0.3">
      <c r="A6867" s="130">
        <v>72374</v>
      </c>
      <c r="B6867" s="130">
        <v>18</v>
      </c>
      <c r="C6867" s="130" t="s">
        <v>8491</v>
      </c>
      <c r="D6867">
        <v>1009</v>
      </c>
      <c r="E6867" s="130">
        <v>10405464</v>
      </c>
      <c r="F6867" t="s">
        <v>87</v>
      </c>
      <c r="G6867">
        <v>358</v>
      </c>
      <c r="H6867" t="s">
        <v>8952</v>
      </c>
      <c r="I6867" s="131">
        <v>2</v>
      </c>
      <c r="J6867" t="s">
        <v>8491</v>
      </c>
      <c r="K6867" t="s">
        <v>108</v>
      </c>
      <c r="L6867" t="s">
        <v>111</v>
      </c>
      <c r="M6867" t="s">
        <v>112</v>
      </c>
      <c r="N6867" t="s">
        <v>114</v>
      </c>
      <c r="O6867" t="s">
        <v>116</v>
      </c>
    </row>
    <row r="6868" spans="1:15" x14ac:dyDescent="0.3">
      <c r="A6868" s="130">
        <v>72376</v>
      </c>
      <c r="B6868" s="130">
        <v>18</v>
      </c>
      <c r="C6868" s="130" t="s">
        <v>8492</v>
      </c>
      <c r="D6868">
        <v>1010</v>
      </c>
      <c r="E6868" s="131">
        <v>10405464</v>
      </c>
      <c r="F6868" t="s">
        <v>87</v>
      </c>
      <c r="G6868">
        <v>358</v>
      </c>
      <c r="H6868" t="s">
        <v>8953</v>
      </c>
      <c r="I6868" s="130">
        <v>2</v>
      </c>
      <c r="J6868" t="s">
        <v>8492</v>
      </c>
      <c r="K6868" t="s">
        <v>108</v>
      </c>
      <c r="L6868" t="s">
        <v>111</v>
      </c>
      <c r="M6868" t="s">
        <v>112</v>
      </c>
      <c r="N6868" t="s">
        <v>114</v>
      </c>
      <c r="O6868" t="s">
        <v>116</v>
      </c>
    </row>
    <row r="6869" spans="1:15" x14ac:dyDescent="0.3">
      <c r="A6869" s="130">
        <v>72379</v>
      </c>
      <c r="B6869" s="130">
        <v>18</v>
      </c>
      <c r="C6869" s="130" t="s">
        <v>8493</v>
      </c>
      <c r="D6869">
        <v>1011</v>
      </c>
      <c r="E6869" s="131">
        <v>10405464</v>
      </c>
      <c r="F6869" t="s">
        <v>87</v>
      </c>
      <c r="G6869">
        <v>358</v>
      </c>
      <c r="H6869" t="s">
        <v>8951</v>
      </c>
      <c r="I6869" s="130">
        <v>2</v>
      </c>
      <c r="J6869" t="s">
        <v>8493</v>
      </c>
      <c r="K6869" t="s">
        <v>108</v>
      </c>
      <c r="L6869" t="s">
        <v>111</v>
      </c>
      <c r="M6869" t="s">
        <v>112</v>
      </c>
      <c r="N6869" t="s">
        <v>114</v>
      </c>
      <c r="O6869" t="s">
        <v>116</v>
      </c>
    </row>
    <row r="6870" spans="1:15" x14ac:dyDescent="0.3">
      <c r="A6870" s="130">
        <v>72380</v>
      </c>
      <c r="B6870" s="130">
        <v>18</v>
      </c>
      <c r="C6870" s="130" t="s">
        <v>8494</v>
      </c>
      <c r="D6870">
        <v>1012</v>
      </c>
      <c r="E6870" s="130">
        <v>10405464</v>
      </c>
      <c r="F6870" t="s">
        <v>87</v>
      </c>
      <c r="G6870">
        <v>358</v>
      </c>
      <c r="H6870" t="s">
        <v>8952</v>
      </c>
      <c r="I6870" s="131">
        <v>2</v>
      </c>
      <c r="J6870" t="s">
        <v>8494</v>
      </c>
      <c r="K6870" t="s">
        <v>108</v>
      </c>
      <c r="L6870" t="s">
        <v>111</v>
      </c>
      <c r="M6870" t="s">
        <v>112</v>
      </c>
      <c r="N6870" t="s">
        <v>114</v>
      </c>
      <c r="O6870" t="s">
        <v>1345</v>
      </c>
    </row>
    <row r="6871" spans="1:15" x14ac:dyDescent="0.3">
      <c r="A6871" s="130">
        <v>72382</v>
      </c>
      <c r="B6871" s="130">
        <v>18</v>
      </c>
      <c r="C6871" s="130" t="s">
        <v>8495</v>
      </c>
      <c r="D6871">
        <v>1013</v>
      </c>
      <c r="E6871" s="130">
        <v>27492351</v>
      </c>
      <c r="F6871" t="s">
        <v>87</v>
      </c>
      <c r="G6871">
        <v>78</v>
      </c>
      <c r="H6871" t="s">
        <v>8953</v>
      </c>
      <c r="I6871" s="131">
        <v>24</v>
      </c>
      <c r="J6871" t="s">
        <v>8495</v>
      </c>
      <c r="K6871" t="s">
        <v>95</v>
      </c>
      <c r="L6871" t="s">
        <v>144</v>
      </c>
      <c r="M6871" t="s">
        <v>112</v>
      </c>
      <c r="N6871" t="s">
        <v>101</v>
      </c>
      <c r="O6871" t="s">
        <v>1345</v>
      </c>
    </row>
    <row r="6872" spans="1:15" x14ac:dyDescent="0.3">
      <c r="A6872" s="130">
        <v>72383</v>
      </c>
      <c r="B6872" s="130">
        <v>18</v>
      </c>
      <c r="C6872" s="130" t="s">
        <v>8496</v>
      </c>
      <c r="D6872">
        <v>1014</v>
      </c>
      <c r="E6872" s="130">
        <v>8435875</v>
      </c>
      <c r="F6872" t="s">
        <v>87</v>
      </c>
      <c r="G6872">
        <v>358</v>
      </c>
      <c r="H6872" t="s">
        <v>8951</v>
      </c>
      <c r="I6872" s="130">
        <v>24</v>
      </c>
      <c r="J6872" t="s">
        <v>8496</v>
      </c>
      <c r="K6872" t="s">
        <v>108</v>
      </c>
      <c r="L6872" t="s">
        <v>109</v>
      </c>
      <c r="M6872" t="s">
        <v>112</v>
      </c>
      <c r="N6872" t="s">
        <v>114</v>
      </c>
      <c r="O6872" t="s">
        <v>1345</v>
      </c>
    </row>
    <row r="6873" spans="1:15" x14ac:dyDescent="0.3">
      <c r="A6873" s="130">
        <v>72384</v>
      </c>
      <c r="B6873" s="130">
        <v>18</v>
      </c>
      <c r="C6873" s="130" t="s">
        <v>8497</v>
      </c>
      <c r="D6873">
        <v>1015</v>
      </c>
      <c r="E6873" s="131">
        <v>26770408</v>
      </c>
      <c r="F6873" t="s">
        <v>87</v>
      </c>
      <c r="G6873">
        <v>78</v>
      </c>
      <c r="H6873" t="s">
        <v>8952</v>
      </c>
      <c r="I6873" s="130">
        <v>10</v>
      </c>
      <c r="J6873" t="s">
        <v>8497</v>
      </c>
      <c r="K6873" t="s">
        <v>108</v>
      </c>
      <c r="L6873" t="s">
        <v>105</v>
      </c>
      <c r="M6873" t="s">
        <v>112</v>
      </c>
      <c r="N6873" t="s">
        <v>98</v>
      </c>
      <c r="O6873" t="s">
        <v>1345</v>
      </c>
    </row>
    <row r="6874" spans="1:15" x14ac:dyDescent="0.3">
      <c r="A6874" s="130">
        <v>72386</v>
      </c>
      <c r="B6874" s="130">
        <v>18</v>
      </c>
      <c r="C6874" s="130" t="s">
        <v>8498</v>
      </c>
      <c r="D6874">
        <v>1016</v>
      </c>
      <c r="E6874" s="131">
        <v>3887613</v>
      </c>
      <c r="F6874" t="s">
        <v>87</v>
      </c>
      <c r="G6874">
        <v>78</v>
      </c>
      <c r="H6874" t="s">
        <v>8953</v>
      </c>
      <c r="I6874" s="131">
        <v>10</v>
      </c>
      <c r="J6874" t="s">
        <v>8498</v>
      </c>
      <c r="K6874" t="s">
        <v>108</v>
      </c>
      <c r="L6874" t="s">
        <v>127</v>
      </c>
      <c r="M6874" t="s">
        <v>112</v>
      </c>
      <c r="N6874" t="s">
        <v>98</v>
      </c>
      <c r="O6874" t="s">
        <v>116</v>
      </c>
    </row>
    <row r="6875" spans="1:15" x14ac:dyDescent="0.3">
      <c r="A6875" s="130">
        <v>72388</v>
      </c>
      <c r="B6875" s="130">
        <v>30</v>
      </c>
      <c r="C6875" s="130" t="s">
        <v>8499</v>
      </c>
      <c r="D6875">
        <v>1017</v>
      </c>
      <c r="E6875" s="130">
        <v>17155391</v>
      </c>
      <c r="F6875" t="s">
        <v>87</v>
      </c>
      <c r="G6875">
        <v>78</v>
      </c>
      <c r="H6875" t="s">
        <v>8951</v>
      </c>
      <c r="I6875" s="130">
        <v>10</v>
      </c>
      <c r="J6875" t="s">
        <v>8499</v>
      </c>
      <c r="K6875" t="s">
        <v>95</v>
      </c>
      <c r="L6875" t="s">
        <v>105</v>
      </c>
      <c r="M6875" t="s">
        <v>103</v>
      </c>
      <c r="N6875" t="s">
        <v>98</v>
      </c>
      <c r="O6875" t="s">
        <v>1345</v>
      </c>
    </row>
    <row r="6876" spans="1:15" x14ac:dyDescent="0.3">
      <c r="A6876" s="130">
        <v>72396</v>
      </c>
      <c r="B6876" s="130">
        <v>18</v>
      </c>
      <c r="C6876" s="130" t="s">
        <v>8500</v>
      </c>
      <c r="D6876">
        <v>1018</v>
      </c>
      <c r="E6876" s="130">
        <v>2617158</v>
      </c>
      <c r="F6876" t="s">
        <v>87</v>
      </c>
      <c r="G6876">
        <v>78</v>
      </c>
      <c r="H6876" t="s">
        <v>8952</v>
      </c>
      <c r="I6876" s="130">
        <v>10</v>
      </c>
      <c r="J6876" t="s">
        <v>8500</v>
      </c>
      <c r="K6876" t="s">
        <v>95</v>
      </c>
      <c r="L6876" t="s">
        <v>134</v>
      </c>
      <c r="M6876" t="s">
        <v>112</v>
      </c>
      <c r="N6876" t="s">
        <v>98</v>
      </c>
      <c r="O6876" t="s">
        <v>1345</v>
      </c>
    </row>
    <row r="6877" spans="1:15" x14ac:dyDescent="0.3">
      <c r="A6877" s="130">
        <v>72397</v>
      </c>
      <c r="B6877" s="130">
        <v>30</v>
      </c>
      <c r="C6877" s="130" t="s">
        <v>8501</v>
      </c>
      <c r="D6877">
        <v>1019</v>
      </c>
      <c r="E6877" s="130">
        <v>3307926</v>
      </c>
      <c r="F6877" t="s">
        <v>87</v>
      </c>
      <c r="G6877">
        <v>78</v>
      </c>
      <c r="H6877" t="s">
        <v>8953</v>
      </c>
      <c r="I6877" s="130">
        <v>9</v>
      </c>
      <c r="J6877" t="s">
        <v>8501</v>
      </c>
      <c r="K6877" t="s">
        <v>108</v>
      </c>
      <c r="L6877" t="s">
        <v>125</v>
      </c>
      <c r="M6877" t="s">
        <v>103</v>
      </c>
      <c r="N6877" t="s">
        <v>122</v>
      </c>
      <c r="O6877" t="s">
        <v>1345</v>
      </c>
    </row>
    <row r="6878" spans="1:15" x14ac:dyDescent="0.3">
      <c r="A6878" s="130">
        <v>72398</v>
      </c>
      <c r="B6878" s="130">
        <v>30</v>
      </c>
      <c r="C6878" s="130" t="s">
        <v>8502</v>
      </c>
      <c r="D6878">
        <v>1020</v>
      </c>
      <c r="E6878" s="130">
        <v>3307926</v>
      </c>
      <c r="F6878" t="s">
        <v>87</v>
      </c>
      <c r="G6878">
        <v>78</v>
      </c>
      <c r="H6878" t="s">
        <v>8951</v>
      </c>
      <c r="I6878" s="131">
        <v>9</v>
      </c>
      <c r="J6878" t="s">
        <v>8502</v>
      </c>
      <c r="K6878" t="s">
        <v>108</v>
      </c>
      <c r="L6878" t="s">
        <v>134</v>
      </c>
      <c r="M6878" t="s">
        <v>103</v>
      </c>
      <c r="N6878" t="s">
        <v>122</v>
      </c>
      <c r="O6878" t="s">
        <v>1345</v>
      </c>
    </row>
    <row r="6879" spans="1:15" x14ac:dyDescent="0.3">
      <c r="A6879" s="130">
        <v>72402</v>
      </c>
      <c r="B6879" s="130">
        <v>60</v>
      </c>
      <c r="C6879" s="130" t="s">
        <v>8503</v>
      </c>
      <c r="D6879">
        <v>1021</v>
      </c>
      <c r="E6879" s="130">
        <v>12056613</v>
      </c>
      <c r="F6879" t="s">
        <v>87</v>
      </c>
      <c r="G6879">
        <v>77</v>
      </c>
      <c r="H6879" t="s">
        <v>8952</v>
      </c>
      <c r="I6879" s="130">
        <v>2</v>
      </c>
      <c r="J6879" t="s">
        <v>8503</v>
      </c>
      <c r="K6879" t="s">
        <v>95</v>
      </c>
      <c r="L6879" t="s">
        <v>119</v>
      </c>
      <c r="M6879" t="s">
        <v>97</v>
      </c>
      <c r="N6879" t="s">
        <v>118</v>
      </c>
      <c r="O6879" t="s">
        <v>1345</v>
      </c>
    </row>
    <row r="6880" spans="1:15" x14ac:dyDescent="0.3">
      <c r="A6880" s="130">
        <v>72403</v>
      </c>
      <c r="B6880" s="130">
        <v>18</v>
      </c>
      <c r="C6880" s="130" t="s">
        <v>8504</v>
      </c>
      <c r="D6880">
        <v>1022</v>
      </c>
      <c r="E6880" s="130">
        <v>906178</v>
      </c>
      <c r="F6880" t="s">
        <v>87</v>
      </c>
      <c r="G6880">
        <v>78</v>
      </c>
      <c r="H6880" t="s">
        <v>8953</v>
      </c>
      <c r="I6880" s="131">
        <v>19</v>
      </c>
      <c r="J6880" t="s">
        <v>8504</v>
      </c>
      <c r="K6880" t="s">
        <v>108</v>
      </c>
      <c r="L6880" t="s">
        <v>146</v>
      </c>
      <c r="M6880" t="s">
        <v>112</v>
      </c>
      <c r="N6880" t="s">
        <v>114</v>
      </c>
      <c r="O6880" t="s">
        <v>1345</v>
      </c>
    </row>
    <row r="6881" spans="1:15" x14ac:dyDescent="0.3">
      <c r="A6881" s="130">
        <v>72406</v>
      </c>
      <c r="B6881" s="130">
        <v>18</v>
      </c>
      <c r="C6881" s="130" t="s">
        <v>8505</v>
      </c>
      <c r="D6881">
        <v>1023</v>
      </c>
      <c r="E6881" s="130">
        <v>59279430</v>
      </c>
      <c r="F6881" t="s">
        <v>87</v>
      </c>
      <c r="G6881">
        <v>358</v>
      </c>
      <c r="H6881" t="s">
        <v>8951</v>
      </c>
      <c r="I6881" s="131">
        <v>2</v>
      </c>
      <c r="J6881" t="s">
        <v>8505</v>
      </c>
      <c r="K6881" t="s">
        <v>108</v>
      </c>
      <c r="L6881" t="s">
        <v>1346</v>
      </c>
      <c r="M6881" t="s">
        <v>112</v>
      </c>
      <c r="N6881" t="s">
        <v>98</v>
      </c>
      <c r="O6881" t="s">
        <v>1345</v>
      </c>
    </row>
    <row r="6882" spans="1:15" x14ac:dyDescent="0.3">
      <c r="A6882" s="130">
        <v>72407</v>
      </c>
      <c r="B6882" s="130">
        <v>18</v>
      </c>
      <c r="C6882" s="130" t="s">
        <v>8506</v>
      </c>
      <c r="D6882">
        <v>1024</v>
      </c>
      <c r="E6882" s="130">
        <v>28426989</v>
      </c>
      <c r="F6882" t="s">
        <v>87</v>
      </c>
      <c r="G6882">
        <v>358</v>
      </c>
      <c r="H6882" t="s">
        <v>8952</v>
      </c>
      <c r="I6882" s="130">
        <v>2</v>
      </c>
      <c r="J6882" t="s">
        <v>8506</v>
      </c>
      <c r="K6882" t="s">
        <v>108</v>
      </c>
      <c r="L6882" t="s">
        <v>105</v>
      </c>
      <c r="M6882" t="s">
        <v>112</v>
      </c>
      <c r="N6882" t="s">
        <v>101</v>
      </c>
      <c r="O6882" t="s">
        <v>1345</v>
      </c>
    </row>
    <row r="6883" spans="1:15" x14ac:dyDescent="0.3">
      <c r="A6883" s="130">
        <v>72408</v>
      </c>
      <c r="B6883" s="130">
        <v>18</v>
      </c>
      <c r="C6883" s="130" t="s">
        <v>8507</v>
      </c>
      <c r="D6883">
        <v>1025</v>
      </c>
      <c r="E6883" s="130">
        <v>28426989</v>
      </c>
      <c r="F6883" t="s">
        <v>87</v>
      </c>
      <c r="G6883">
        <v>358</v>
      </c>
      <c r="H6883" t="s">
        <v>8953</v>
      </c>
      <c r="I6883" s="130">
        <v>2</v>
      </c>
      <c r="J6883" t="s">
        <v>8507</v>
      </c>
      <c r="K6883" t="s">
        <v>108</v>
      </c>
      <c r="L6883" t="s">
        <v>105</v>
      </c>
      <c r="M6883" t="s">
        <v>112</v>
      </c>
      <c r="N6883" t="s">
        <v>101</v>
      </c>
      <c r="O6883" t="s">
        <v>1345</v>
      </c>
    </row>
    <row r="6884" spans="1:15" x14ac:dyDescent="0.3">
      <c r="A6884" s="130">
        <v>72413</v>
      </c>
      <c r="B6884" s="130">
        <v>35</v>
      </c>
      <c r="C6884" s="130" t="s">
        <v>8508</v>
      </c>
      <c r="D6884">
        <v>1026</v>
      </c>
      <c r="E6884" s="131">
        <v>5416618</v>
      </c>
      <c r="F6884" t="s">
        <v>87</v>
      </c>
      <c r="G6884">
        <v>358</v>
      </c>
      <c r="H6884" t="s">
        <v>8951</v>
      </c>
      <c r="I6884" s="130">
        <v>19</v>
      </c>
      <c r="J6884" t="s">
        <v>8508</v>
      </c>
      <c r="K6884" t="s">
        <v>108</v>
      </c>
      <c r="L6884" t="s">
        <v>105</v>
      </c>
      <c r="M6884" t="s">
        <v>161</v>
      </c>
      <c r="N6884" t="s">
        <v>101</v>
      </c>
      <c r="O6884" t="s">
        <v>116</v>
      </c>
    </row>
    <row r="6885" spans="1:15" x14ac:dyDescent="0.3">
      <c r="A6885" s="130">
        <v>72419</v>
      </c>
      <c r="B6885" s="130">
        <v>30</v>
      </c>
      <c r="C6885" s="130" t="s">
        <v>8509</v>
      </c>
      <c r="D6885">
        <v>1027</v>
      </c>
      <c r="E6885" s="130">
        <v>27426196</v>
      </c>
      <c r="F6885" t="s">
        <v>87</v>
      </c>
      <c r="G6885">
        <v>78</v>
      </c>
      <c r="H6885" t="s">
        <v>8952</v>
      </c>
      <c r="I6885" s="131">
        <v>10</v>
      </c>
      <c r="J6885" t="s">
        <v>8509</v>
      </c>
      <c r="K6885" t="s">
        <v>95</v>
      </c>
      <c r="L6885" t="s">
        <v>127</v>
      </c>
      <c r="M6885" t="s">
        <v>103</v>
      </c>
      <c r="N6885" t="s">
        <v>98</v>
      </c>
      <c r="O6885" t="s">
        <v>1345</v>
      </c>
    </row>
    <row r="6886" spans="1:15" x14ac:dyDescent="0.3">
      <c r="A6886" s="130">
        <v>72426</v>
      </c>
      <c r="B6886" s="130">
        <v>60</v>
      </c>
      <c r="C6886" s="130" t="s">
        <v>8510</v>
      </c>
      <c r="D6886">
        <v>1028</v>
      </c>
      <c r="E6886" s="130">
        <v>17155391</v>
      </c>
      <c r="F6886" t="s">
        <v>87</v>
      </c>
      <c r="G6886">
        <v>358</v>
      </c>
      <c r="H6886" t="s">
        <v>8953</v>
      </c>
      <c r="I6886" s="130">
        <v>2</v>
      </c>
      <c r="J6886" t="s">
        <v>8510</v>
      </c>
      <c r="K6886" t="s">
        <v>95</v>
      </c>
      <c r="L6886" t="s">
        <v>99</v>
      </c>
      <c r="M6886" t="s">
        <v>97</v>
      </c>
      <c r="N6886" t="s">
        <v>98</v>
      </c>
      <c r="O6886" t="s">
        <v>1345</v>
      </c>
    </row>
    <row r="6887" spans="1:15" x14ac:dyDescent="0.3">
      <c r="A6887" s="130">
        <v>72429</v>
      </c>
      <c r="B6887" s="130">
        <v>35</v>
      </c>
      <c r="C6887" s="130" t="s">
        <v>8511</v>
      </c>
      <c r="D6887">
        <v>1029</v>
      </c>
      <c r="E6887" s="131">
        <v>3992929</v>
      </c>
      <c r="F6887" t="s">
        <v>87</v>
      </c>
      <c r="G6887">
        <v>78</v>
      </c>
      <c r="H6887" t="s">
        <v>8951</v>
      </c>
      <c r="I6887" s="131">
        <v>10</v>
      </c>
      <c r="J6887" t="s">
        <v>8511</v>
      </c>
      <c r="K6887" t="s">
        <v>95</v>
      </c>
      <c r="L6887" t="s">
        <v>127</v>
      </c>
      <c r="M6887" t="s">
        <v>161</v>
      </c>
      <c r="N6887" t="s">
        <v>98</v>
      </c>
      <c r="O6887" t="s">
        <v>1345</v>
      </c>
    </row>
    <row r="6888" spans="1:15" x14ac:dyDescent="0.3">
      <c r="A6888" s="130">
        <v>72430</v>
      </c>
      <c r="B6888" s="130">
        <v>18</v>
      </c>
      <c r="C6888" s="130" t="s">
        <v>8512</v>
      </c>
      <c r="D6888">
        <v>1030</v>
      </c>
      <c r="E6888" s="130">
        <v>23050967</v>
      </c>
      <c r="F6888" t="s">
        <v>87</v>
      </c>
      <c r="G6888">
        <v>358</v>
      </c>
      <c r="H6888" t="s">
        <v>8952</v>
      </c>
      <c r="I6888" s="130">
        <v>24</v>
      </c>
      <c r="J6888" t="s">
        <v>8512</v>
      </c>
      <c r="K6888" t="s">
        <v>108</v>
      </c>
      <c r="L6888" t="s">
        <v>1245</v>
      </c>
      <c r="M6888" t="s">
        <v>112</v>
      </c>
      <c r="N6888" t="s">
        <v>98</v>
      </c>
      <c r="O6888" t="s">
        <v>1345</v>
      </c>
    </row>
    <row r="6889" spans="1:15" x14ac:dyDescent="0.3">
      <c r="A6889" s="130">
        <v>72435</v>
      </c>
      <c r="B6889" s="130">
        <v>18</v>
      </c>
      <c r="C6889" s="130" t="s">
        <v>8513</v>
      </c>
      <c r="D6889">
        <v>1031</v>
      </c>
      <c r="E6889" s="130">
        <v>29060647</v>
      </c>
      <c r="F6889" t="s">
        <v>87</v>
      </c>
      <c r="G6889">
        <v>78</v>
      </c>
      <c r="H6889" t="s">
        <v>8953</v>
      </c>
      <c r="I6889" s="130">
        <v>10</v>
      </c>
      <c r="J6889" t="s">
        <v>8513</v>
      </c>
      <c r="K6889" t="s">
        <v>95</v>
      </c>
      <c r="L6889" t="s">
        <v>105</v>
      </c>
      <c r="M6889" t="s">
        <v>112</v>
      </c>
      <c r="N6889" t="s">
        <v>98</v>
      </c>
      <c r="O6889" t="s">
        <v>1345</v>
      </c>
    </row>
    <row r="6890" spans="1:15" x14ac:dyDescent="0.3">
      <c r="A6890" s="130">
        <v>72440</v>
      </c>
      <c r="B6890" s="130">
        <v>15</v>
      </c>
      <c r="C6890" s="130" t="s">
        <v>8514</v>
      </c>
      <c r="D6890">
        <v>1032</v>
      </c>
      <c r="E6890" s="130">
        <v>1681351</v>
      </c>
      <c r="F6890" t="s">
        <v>87</v>
      </c>
      <c r="G6890">
        <v>358</v>
      </c>
      <c r="H6890" t="s">
        <v>8951</v>
      </c>
      <c r="I6890" s="131">
        <v>2</v>
      </c>
      <c r="J6890" t="s">
        <v>8514</v>
      </c>
      <c r="K6890" t="s">
        <v>95</v>
      </c>
      <c r="L6890" t="s">
        <v>105</v>
      </c>
      <c r="M6890" t="s">
        <v>145</v>
      </c>
      <c r="N6890" t="s">
        <v>98</v>
      </c>
      <c r="O6890" t="s">
        <v>1345</v>
      </c>
    </row>
    <row r="6891" spans="1:15" x14ac:dyDescent="0.3">
      <c r="A6891" s="130">
        <v>72441</v>
      </c>
      <c r="B6891" s="130">
        <v>18</v>
      </c>
      <c r="C6891" s="130" t="s">
        <v>8515</v>
      </c>
      <c r="D6891">
        <v>1033</v>
      </c>
      <c r="E6891" s="130">
        <v>7308747</v>
      </c>
      <c r="F6891" t="s">
        <v>87</v>
      </c>
      <c r="G6891">
        <v>78</v>
      </c>
      <c r="H6891" t="s">
        <v>8952</v>
      </c>
      <c r="I6891" s="130">
        <v>9</v>
      </c>
      <c r="J6891" t="s">
        <v>8515</v>
      </c>
      <c r="K6891" t="s">
        <v>95</v>
      </c>
      <c r="L6891" t="s">
        <v>125</v>
      </c>
      <c r="M6891" t="s">
        <v>112</v>
      </c>
      <c r="N6891" t="s">
        <v>98</v>
      </c>
      <c r="O6891" t="s">
        <v>1345</v>
      </c>
    </row>
    <row r="6892" spans="1:15" x14ac:dyDescent="0.3">
      <c r="A6892" s="130">
        <v>72444</v>
      </c>
      <c r="B6892" s="130">
        <v>18</v>
      </c>
      <c r="C6892" s="130" t="s">
        <v>8516</v>
      </c>
      <c r="D6892">
        <v>1034</v>
      </c>
      <c r="E6892" s="130">
        <v>20984620</v>
      </c>
      <c r="F6892" t="s">
        <v>87</v>
      </c>
      <c r="G6892">
        <v>358</v>
      </c>
      <c r="H6892" t="s">
        <v>8953</v>
      </c>
      <c r="I6892" s="131">
        <v>2</v>
      </c>
      <c r="J6892" t="s">
        <v>8516</v>
      </c>
      <c r="K6892" t="s">
        <v>108</v>
      </c>
      <c r="L6892" t="s">
        <v>1346</v>
      </c>
      <c r="M6892" t="s">
        <v>112</v>
      </c>
      <c r="N6892" t="s">
        <v>98</v>
      </c>
      <c r="O6892" t="s">
        <v>1345</v>
      </c>
    </row>
    <row r="6893" spans="1:15" x14ac:dyDescent="0.3">
      <c r="A6893" s="130">
        <v>72445</v>
      </c>
      <c r="B6893" s="130">
        <v>18</v>
      </c>
      <c r="C6893" s="130" t="s">
        <v>8517</v>
      </c>
      <c r="D6893">
        <v>1035</v>
      </c>
      <c r="E6893" s="131">
        <v>23822551</v>
      </c>
      <c r="F6893" t="s">
        <v>87</v>
      </c>
      <c r="G6893">
        <v>78</v>
      </c>
      <c r="H6893" t="s">
        <v>8951</v>
      </c>
      <c r="I6893" s="131">
        <v>9</v>
      </c>
      <c r="J6893" t="s">
        <v>8517</v>
      </c>
      <c r="K6893" t="s">
        <v>108</v>
      </c>
      <c r="L6893" t="s">
        <v>134</v>
      </c>
      <c r="M6893" t="s">
        <v>112</v>
      </c>
      <c r="N6893" t="s">
        <v>118</v>
      </c>
      <c r="O6893" t="s">
        <v>1345</v>
      </c>
    </row>
    <row r="6894" spans="1:15" x14ac:dyDescent="0.3">
      <c r="A6894" s="130">
        <v>72448</v>
      </c>
      <c r="B6894" s="130">
        <v>18</v>
      </c>
      <c r="C6894" s="130" t="s">
        <v>8518</v>
      </c>
      <c r="D6894">
        <v>1036</v>
      </c>
      <c r="E6894" s="130">
        <v>18865549</v>
      </c>
      <c r="F6894" t="s">
        <v>87</v>
      </c>
      <c r="G6894">
        <v>78</v>
      </c>
      <c r="H6894" t="s">
        <v>8952</v>
      </c>
      <c r="I6894" s="131">
        <v>24</v>
      </c>
      <c r="J6894" t="s">
        <v>8518</v>
      </c>
      <c r="K6894" t="s">
        <v>95</v>
      </c>
      <c r="L6894" t="s">
        <v>138</v>
      </c>
      <c r="M6894" t="s">
        <v>112</v>
      </c>
      <c r="N6894" t="s">
        <v>98</v>
      </c>
      <c r="O6894" t="s">
        <v>1345</v>
      </c>
    </row>
    <row r="6895" spans="1:15" x14ac:dyDescent="0.3">
      <c r="A6895" s="130">
        <v>72450</v>
      </c>
      <c r="B6895" s="130">
        <v>30</v>
      </c>
      <c r="C6895" s="130" t="s">
        <v>8519</v>
      </c>
      <c r="D6895">
        <v>1037</v>
      </c>
      <c r="E6895" s="130">
        <v>60742855</v>
      </c>
      <c r="F6895" t="s">
        <v>87</v>
      </c>
      <c r="G6895">
        <v>358</v>
      </c>
      <c r="H6895" t="s">
        <v>8953</v>
      </c>
      <c r="I6895" s="130">
        <v>2</v>
      </c>
      <c r="J6895" t="s">
        <v>8519</v>
      </c>
      <c r="K6895" t="s">
        <v>108</v>
      </c>
      <c r="L6895" t="s">
        <v>109</v>
      </c>
      <c r="M6895" t="s">
        <v>103</v>
      </c>
      <c r="N6895" t="s">
        <v>121</v>
      </c>
      <c r="O6895" t="s">
        <v>1345</v>
      </c>
    </row>
    <row r="6896" spans="1:15" x14ac:dyDescent="0.3">
      <c r="A6896" s="130">
        <v>72452</v>
      </c>
      <c r="B6896" s="130">
        <v>30</v>
      </c>
      <c r="C6896" s="130" t="s">
        <v>8520</v>
      </c>
      <c r="D6896">
        <v>1038</v>
      </c>
      <c r="E6896" s="131">
        <v>20651311</v>
      </c>
      <c r="F6896" t="s">
        <v>87</v>
      </c>
      <c r="G6896">
        <v>358</v>
      </c>
      <c r="H6896" t="s">
        <v>8951</v>
      </c>
      <c r="I6896" s="130">
        <v>2</v>
      </c>
      <c r="J6896" t="s">
        <v>8520</v>
      </c>
      <c r="K6896" t="s">
        <v>95</v>
      </c>
      <c r="L6896" t="s">
        <v>96</v>
      </c>
      <c r="M6896" t="s">
        <v>103</v>
      </c>
      <c r="N6896" t="s">
        <v>98</v>
      </c>
      <c r="O6896" t="s">
        <v>1345</v>
      </c>
    </row>
    <row r="6897" spans="1:15" x14ac:dyDescent="0.3">
      <c r="A6897" s="130">
        <v>72457</v>
      </c>
      <c r="B6897" s="130">
        <v>18</v>
      </c>
      <c r="C6897" s="130" t="s">
        <v>8521</v>
      </c>
      <c r="D6897">
        <v>1039</v>
      </c>
      <c r="E6897" s="130">
        <v>2905110</v>
      </c>
      <c r="F6897" t="s">
        <v>87</v>
      </c>
      <c r="G6897">
        <v>78</v>
      </c>
      <c r="H6897" t="s">
        <v>8952</v>
      </c>
      <c r="I6897" s="130">
        <v>24</v>
      </c>
      <c r="J6897" t="s">
        <v>8521</v>
      </c>
      <c r="K6897" t="s">
        <v>108</v>
      </c>
      <c r="L6897" t="s">
        <v>241</v>
      </c>
      <c r="M6897" t="s">
        <v>112</v>
      </c>
      <c r="N6897" t="s">
        <v>216</v>
      </c>
      <c r="O6897" t="s">
        <v>1345</v>
      </c>
    </row>
    <row r="6898" spans="1:15" x14ac:dyDescent="0.3">
      <c r="A6898" s="130">
        <v>72458</v>
      </c>
      <c r="B6898" s="130">
        <v>30</v>
      </c>
      <c r="C6898" s="130" t="s">
        <v>8522</v>
      </c>
      <c r="D6898">
        <v>1040</v>
      </c>
      <c r="E6898" s="130">
        <v>6094474</v>
      </c>
      <c r="F6898" t="s">
        <v>87</v>
      </c>
      <c r="G6898">
        <v>78</v>
      </c>
      <c r="H6898" t="s">
        <v>8953</v>
      </c>
      <c r="I6898" s="130">
        <v>10</v>
      </c>
      <c r="J6898" t="s">
        <v>8522</v>
      </c>
      <c r="K6898" t="s">
        <v>95</v>
      </c>
      <c r="L6898" t="s">
        <v>96</v>
      </c>
      <c r="M6898" t="s">
        <v>103</v>
      </c>
      <c r="N6898" t="s">
        <v>101</v>
      </c>
      <c r="O6898" t="s">
        <v>1345</v>
      </c>
    </row>
    <row r="6899" spans="1:15" x14ac:dyDescent="0.3">
      <c r="A6899" s="130">
        <v>72460</v>
      </c>
      <c r="B6899" s="130">
        <v>18</v>
      </c>
      <c r="C6899" s="130" t="s">
        <v>8523</v>
      </c>
      <c r="D6899">
        <v>1041</v>
      </c>
      <c r="E6899" s="130">
        <v>37284896</v>
      </c>
      <c r="F6899" t="s">
        <v>87</v>
      </c>
      <c r="G6899">
        <v>78</v>
      </c>
      <c r="H6899" t="s">
        <v>8951</v>
      </c>
      <c r="I6899" s="130">
        <v>24</v>
      </c>
      <c r="J6899" t="s">
        <v>8523</v>
      </c>
      <c r="K6899" t="s">
        <v>108</v>
      </c>
      <c r="L6899" t="s">
        <v>138</v>
      </c>
      <c r="M6899" t="s">
        <v>112</v>
      </c>
      <c r="N6899" t="s">
        <v>101</v>
      </c>
      <c r="O6899" t="s">
        <v>116</v>
      </c>
    </row>
    <row r="6900" spans="1:15" x14ac:dyDescent="0.3">
      <c r="A6900" s="130">
        <v>72463</v>
      </c>
      <c r="B6900" s="130">
        <v>45</v>
      </c>
      <c r="C6900" s="130" t="s">
        <v>8524</v>
      </c>
      <c r="D6900">
        <v>1042</v>
      </c>
      <c r="E6900" s="130">
        <v>8343492</v>
      </c>
      <c r="F6900" t="s">
        <v>87</v>
      </c>
      <c r="G6900">
        <v>78</v>
      </c>
      <c r="H6900" t="s">
        <v>8952</v>
      </c>
      <c r="I6900" s="131">
        <v>19</v>
      </c>
      <c r="J6900" t="s">
        <v>8524</v>
      </c>
      <c r="K6900" t="s">
        <v>95</v>
      </c>
      <c r="L6900" t="s">
        <v>146</v>
      </c>
      <c r="M6900" t="s">
        <v>106</v>
      </c>
      <c r="N6900" t="s">
        <v>98</v>
      </c>
      <c r="O6900" t="s">
        <v>116</v>
      </c>
    </row>
    <row r="6901" spans="1:15" x14ac:dyDescent="0.3">
      <c r="A6901" s="130">
        <v>72464</v>
      </c>
      <c r="B6901" s="130">
        <v>18</v>
      </c>
      <c r="C6901" s="130" t="s">
        <v>8525</v>
      </c>
      <c r="D6901">
        <v>1043</v>
      </c>
      <c r="E6901" s="130">
        <v>79379491</v>
      </c>
      <c r="F6901" t="s">
        <v>87</v>
      </c>
      <c r="G6901">
        <v>78</v>
      </c>
      <c r="H6901" t="s">
        <v>8953</v>
      </c>
      <c r="I6901" s="130">
        <v>38</v>
      </c>
      <c r="J6901" t="s">
        <v>8525</v>
      </c>
      <c r="K6901" t="s">
        <v>108</v>
      </c>
      <c r="L6901" t="s">
        <v>126</v>
      </c>
      <c r="M6901" t="s">
        <v>112</v>
      </c>
      <c r="N6901" t="s">
        <v>98</v>
      </c>
      <c r="O6901" t="s">
        <v>1345</v>
      </c>
    </row>
    <row r="6902" spans="1:15" x14ac:dyDescent="0.3">
      <c r="A6902" s="130">
        <v>72465</v>
      </c>
      <c r="B6902" s="130">
        <v>30</v>
      </c>
      <c r="C6902" s="130" t="s">
        <v>8526</v>
      </c>
      <c r="D6902">
        <v>1044</v>
      </c>
      <c r="E6902" s="131">
        <v>17469701</v>
      </c>
      <c r="F6902" t="s">
        <v>87</v>
      </c>
      <c r="G6902">
        <v>77</v>
      </c>
      <c r="H6902" t="s">
        <v>8951</v>
      </c>
      <c r="I6902" s="130">
        <v>26</v>
      </c>
      <c r="J6902" t="s">
        <v>8526</v>
      </c>
      <c r="K6902" t="s">
        <v>95</v>
      </c>
      <c r="L6902" t="s">
        <v>117</v>
      </c>
      <c r="M6902" t="s">
        <v>103</v>
      </c>
      <c r="N6902" t="s">
        <v>118</v>
      </c>
      <c r="O6902" t="s">
        <v>116</v>
      </c>
    </row>
    <row r="6903" spans="1:15" x14ac:dyDescent="0.3">
      <c r="A6903" s="130">
        <v>72470</v>
      </c>
      <c r="B6903" s="130">
        <v>18</v>
      </c>
      <c r="C6903" s="130" t="s">
        <v>8527</v>
      </c>
      <c r="D6903">
        <v>1045</v>
      </c>
      <c r="E6903" s="130">
        <v>28178342</v>
      </c>
      <c r="F6903" t="s">
        <v>87</v>
      </c>
      <c r="G6903">
        <v>358</v>
      </c>
      <c r="H6903" t="s">
        <v>8952</v>
      </c>
      <c r="I6903" s="130">
        <v>2</v>
      </c>
      <c r="J6903" t="s">
        <v>8527</v>
      </c>
      <c r="K6903" t="s">
        <v>95</v>
      </c>
      <c r="L6903" t="s">
        <v>109</v>
      </c>
      <c r="M6903" t="s">
        <v>112</v>
      </c>
      <c r="N6903" t="s">
        <v>98</v>
      </c>
      <c r="O6903" t="s">
        <v>1345</v>
      </c>
    </row>
    <row r="6904" spans="1:15" x14ac:dyDescent="0.3">
      <c r="A6904" s="130">
        <v>72473</v>
      </c>
      <c r="B6904" s="130">
        <v>30</v>
      </c>
      <c r="C6904" s="130" t="s">
        <v>8528</v>
      </c>
      <c r="D6904">
        <v>1046</v>
      </c>
      <c r="E6904" s="131">
        <v>21552845</v>
      </c>
      <c r="F6904" t="s">
        <v>87</v>
      </c>
      <c r="G6904">
        <v>78</v>
      </c>
      <c r="H6904" t="s">
        <v>8953</v>
      </c>
      <c r="I6904" s="130">
        <v>18</v>
      </c>
      <c r="J6904" t="s">
        <v>8528</v>
      </c>
      <c r="K6904" t="s">
        <v>108</v>
      </c>
      <c r="L6904" t="s">
        <v>123</v>
      </c>
      <c r="M6904" t="s">
        <v>103</v>
      </c>
      <c r="N6904" t="s">
        <v>101</v>
      </c>
      <c r="O6904" t="s">
        <v>116</v>
      </c>
    </row>
    <row r="6905" spans="1:15" x14ac:dyDescent="0.3">
      <c r="A6905" s="130">
        <v>72474</v>
      </c>
      <c r="B6905" s="130">
        <v>18</v>
      </c>
      <c r="C6905" s="130" t="s">
        <v>8529</v>
      </c>
      <c r="D6905">
        <v>1047</v>
      </c>
      <c r="E6905" s="130">
        <v>19727473</v>
      </c>
      <c r="F6905" t="s">
        <v>87</v>
      </c>
      <c r="G6905">
        <v>358</v>
      </c>
      <c r="H6905" t="s">
        <v>8951</v>
      </c>
      <c r="I6905" s="131">
        <v>2</v>
      </c>
      <c r="J6905" t="s">
        <v>8529</v>
      </c>
      <c r="K6905" t="s">
        <v>108</v>
      </c>
      <c r="L6905" t="s">
        <v>105</v>
      </c>
      <c r="M6905" t="s">
        <v>112</v>
      </c>
      <c r="N6905" t="s">
        <v>98</v>
      </c>
      <c r="O6905" t="s">
        <v>116</v>
      </c>
    </row>
    <row r="6906" spans="1:15" x14ac:dyDescent="0.3">
      <c r="A6906" s="130">
        <v>72475</v>
      </c>
      <c r="B6906" s="130">
        <v>30</v>
      </c>
      <c r="C6906" s="130" t="s">
        <v>8530</v>
      </c>
      <c r="D6906">
        <v>1048</v>
      </c>
      <c r="E6906" s="131">
        <v>27426196</v>
      </c>
      <c r="F6906" t="s">
        <v>87</v>
      </c>
      <c r="G6906">
        <v>78</v>
      </c>
      <c r="H6906" t="s">
        <v>8952</v>
      </c>
      <c r="I6906" s="131">
        <v>9</v>
      </c>
      <c r="J6906" t="s">
        <v>8530</v>
      </c>
      <c r="K6906" t="s">
        <v>95</v>
      </c>
      <c r="L6906" t="s">
        <v>96</v>
      </c>
      <c r="M6906" t="s">
        <v>103</v>
      </c>
      <c r="N6906" t="s">
        <v>98</v>
      </c>
      <c r="O6906" t="s">
        <v>1345</v>
      </c>
    </row>
    <row r="6907" spans="1:15" x14ac:dyDescent="0.3">
      <c r="A6907" s="130">
        <v>72478</v>
      </c>
      <c r="B6907" s="130">
        <v>18</v>
      </c>
      <c r="C6907" s="130" t="s">
        <v>8531</v>
      </c>
      <c r="D6907">
        <v>1049</v>
      </c>
      <c r="E6907" s="130">
        <v>10248815</v>
      </c>
      <c r="F6907" t="s">
        <v>87</v>
      </c>
      <c r="G6907">
        <v>78</v>
      </c>
      <c r="H6907" t="s">
        <v>8953</v>
      </c>
      <c r="I6907" s="130">
        <v>10</v>
      </c>
      <c r="J6907" t="s">
        <v>8531</v>
      </c>
      <c r="K6907" t="s">
        <v>108</v>
      </c>
      <c r="L6907" t="s">
        <v>127</v>
      </c>
      <c r="M6907" t="s">
        <v>112</v>
      </c>
      <c r="N6907" t="s">
        <v>118</v>
      </c>
      <c r="O6907" t="s">
        <v>1345</v>
      </c>
    </row>
    <row r="6908" spans="1:15" x14ac:dyDescent="0.3">
      <c r="A6908" s="130">
        <v>72483</v>
      </c>
      <c r="B6908" s="130">
        <v>18</v>
      </c>
      <c r="C6908" s="130" t="s">
        <v>8532</v>
      </c>
      <c r="D6908">
        <v>1050</v>
      </c>
      <c r="E6908" s="130">
        <v>8226134</v>
      </c>
      <c r="F6908" t="s">
        <v>87</v>
      </c>
      <c r="G6908">
        <v>78</v>
      </c>
      <c r="H6908" t="s">
        <v>8951</v>
      </c>
      <c r="I6908" s="130">
        <v>38</v>
      </c>
      <c r="J6908" t="s">
        <v>8532</v>
      </c>
      <c r="K6908" t="s">
        <v>108</v>
      </c>
      <c r="L6908" t="s">
        <v>126</v>
      </c>
      <c r="M6908" t="s">
        <v>112</v>
      </c>
      <c r="N6908" t="s">
        <v>98</v>
      </c>
      <c r="O6908" t="s">
        <v>1345</v>
      </c>
    </row>
    <row r="6909" spans="1:15" x14ac:dyDescent="0.3">
      <c r="A6909" s="130">
        <v>72484</v>
      </c>
      <c r="B6909" s="130">
        <v>30</v>
      </c>
      <c r="C6909" s="130" t="s">
        <v>8533</v>
      </c>
      <c r="D6909">
        <v>1051</v>
      </c>
      <c r="E6909" s="130">
        <v>33000167</v>
      </c>
      <c r="F6909" t="s">
        <v>87</v>
      </c>
      <c r="G6909">
        <v>78</v>
      </c>
      <c r="H6909" t="s">
        <v>8952</v>
      </c>
      <c r="I6909" s="130">
        <v>24</v>
      </c>
      <c r="J6909" t="s">
        <v>8533</v>
      </c>
      <c r="K6909" t="s">
        <v>95</v>
      </c>
      <c r="L6909" t="s">
        <v>102</v>
      </c>
      <c r="M6909" t="s">
        <v>103</v>
      </c>
      <c r="N6909" t="s">
        <v>101</v>
      </c>
      <c r="O6909" t="s">
        <v>1345</v>
      </c>
    </row>
    <row r="6910" spans="1:15" x14ac:dyDescent="0.3">
      <c r="A6910" s="130">
        <v>72485</v>
      </c>
      <c r="B6910" s="130">
        <v>18</v>
      </c>
      <c r="C6910" s="130" t="s">
        <v>8534</v>
      </c>
      <c r="D6910">
        <v>1052</v>
      </c>
      <c r="E6910" s="130">
        <v>7776083</v>
      </c>
      <c r="F6910" t="s">
        <v>87</v>
      </c>
      <c r="G6910">
        <v>78</v>
      </c>
      <c r="H6910" t="s">
        <v>8953</v>
      </c>
      <c r="I6910" s="131">
        <v>9</v>
      </c>
      <c r="J6910" t="s">
        <v>8534</v>
      </c>
      <c r="K6910" t="s">
        <v>95</v>
      </c>
      <c r="L6910" t="s">
        <v>134</v>
      </c>
      <c r="M6910" t="s">
        <v>112</v>
      </c>
      <c r="N6910" t="s">
        <v>98</v>
      </c>
      <c r="O6910" t="s">
        <v>1345</v>
      </c>
    </row>
    <row r="6911" spans="1:15" x14ac:dyDescent="0.3">
      <c r="A6911" s="130">
        <v>72487</v>
      </c>
      <c r="B6911" s="130">
        <v>28</v>
      </c>
      <c r="C6911" s="130" t="s">
        <v>8535</v>
      </c>
      <c r="D6911">
        <v>1053</v>
      </c>
      <c r="E6911" s="130">
        <v>27143007</v>
      </c>
      <c r="F6911" t="s">
        <v>87</v>
      </c>
      <c r="G6911">
        <v>358</v>
      </c>
      <c r="H6911" t="s">
        <v>8951</v>
      </c>
      <c r="I6911" s="130">
        <v>18</v>
      </c>
      <c r="J6911" t="s">
        <v>8535</v>
      </c>
      <c r="K6911" t="s">
        <v>95</v>
      </c>
      <c r="L6911" t="s">
        <v>111</v>
      </c>
      <c r="M6911" t="s">
        <v>130</v>
      </c>
      <c r="N6911" t="s">
        <v>98</v>
      </c>
      <c r="O6911" t="s">
        <v>1345</v>
      </c>
    </row>
    <row r="6912" spans="1:15" x14ac:dyDescent="0.3">
      <c r="A6912" s="130">
        <v>72488</v>
      </c>
      <c r="B6912" s="130">
        <v>30</v>
      </c>
      <c r="C6912" s="130" t="s">
        <v>8536</v>
      </c>
      <c r="D6912">
        <v>1054</v>
      </c>
      <c r="E6912" s="130">
        <v>27426196</v>
      </c>
      <c r="F6912" t="s">
        <v>87</v>
      </c>
      <c r="G6912">
        <v>78</v>
      </c>
      <c r="H6912" t="s">
        <v>8952</v>
      </c>
      <c r="I6912" s="131">
        <v>9</v>
      </c>
      <c r="J6912" t="s">
        <v>8536</v>
      </c>
      <c r="K6912" t="s">
        <v>95</v>
      </c>
      <c r="L6912" t="s">
        <v>134</v>
      </c>
      <c r="M6912" t="s">
        <v>103</v>
      </c>
      <c r="N6912" t="s">
        <v>98</v>
      </c>
      <c r="O6912" t="s">
        <v>1345</v>
      </c>
    </row>
    <row r="6913" spans="1:15" x14ac:dyDescent="0.3">
      <c r="A6913" s="130">
        <v>72491</v>
      </c>
      <c r="B6913" s="130">
        <v>18</v>
      </c>
      <c r="C6913" s="130" t="s">
        <v>8537</v>
      </c>
      <c r="D6913">
        <v>1055</v>
      </c>
      <c r="E6913" s="131">
        <v>17855027</v>
      </c>
      <c r="F6913" t="s">
        <v>87</v>
      </c>
      <c r="G6913">
        <v>78</v>
      </c>
      <c r="H6913" t="s">
        <v>8953</v>
      </c>
      <c r="I6913" s="131">
        <v>10</v>
      </c>
      <c r="J6913" t="s">
        <v>8537</v>
      </c>
      <c r="K6913" t="s">
        <v>95</v>
      </c>
      <c r="L6913" t="s">
        <v>127</v>
      </c>
      <c r="M6913" t="s">
        <v>112</v>
      </c>
      <c r="N6913" t="s">
        <v>101</v>
      </c>
      <c r="O6913" t="s">
        <v>1345</v>
      </c>
    </row>
    <row r="6914" spans="1:15" x14ac:dyDescent="0.3">
      <c r="A6914" s="130">
        <v>72492</v>
      </c>
      <c r="B6914" s="130">
        <v>18</v>
      </c>
      <c r="C6914" s="130" t="s">
        <v>8538</v>
      </c>
      <c r="D6914">
        <v>1056</v>
      </c>
      <c r="E6914" s="130">
        <v>23963565</v>
      </c>
      <c r="F6914" t="s">
        <v>87</v>
      </c>
      <c r="G6914">
        <v>78</v>
      </c>
      <c r="H6914" t="s">
        <v>8951</v>
      </c>
      <c r="I6914" s="130">
        <v>10</v>
      </c>
      <c r="J6914" t="s">
        <v>8538</v>
      </c>
      <c r="K6914" t="s">
        <v>108</v>
      </c>
      <c r="L6914" t="s">
        <v>127</v>
      </c>
      <c r="M6914" t="s">
        <v>112</v>
      </c>
      <c r="N6914" t="s">
        <v>104</v>
      </c>
      <c r="O6914" t="s">
        <v>1345</v>
      </c>
    </row>
    <row r="6915" spans="1:15" x14ac:dyDescent="0.3">
      <c r="A6915" s="130">
        <v>72495</v>
      </c>
      <c r="B6915" s="130">
        <v>30</v>
      </c>
      <c r="C6915" s="130" t="s">
        <v>8539</v>
      </c>
      <c r="D6915">
        <v>1057</v>
      </c>
      <c r="E6915" s="131">
        <v>89723977</v>
      </c>
      <c r="F6915" t="s">
        <v>87</v>
      </c>
      <c r="G6915">
        <v>78</v>
      </c>
      <c r="H6915" t="s">
        <v>8952</v>
      </c>
      <c r="I6915" s="131">
        <v>2</v>
      </c>
      <c r="J6915" t="s">
        <v>8539</v>
      </c>
      <c r="K6915" t="s">
        <v>95</v>
      </c>
      <c r="L6915" t="s">
        <v>96</v>
      </c>
      <c r="M6915" t="s">
        <v>103</v>
      </c>
      <c r="N6915" t="s">
        <v>98</v>
      </c>
      <c r="O6915" t="s">
        <v>1345</v>
      </c>
    </row>
    <row r="6916" spans="1:15" x14ac:dyDescent="0.3">
      <c r="A6916" s="130">
        <v>72497</v>
      </c>
      <c r="B6916" s="130">
        <v>30</v>
      </c>
      <c r="C6916" s="130" t="s">
        <v>8540</v>
      </c>
      <c r="D6916">
        <v>1058</v>
      </c>
      <c r="E6916" s="131">
        <v>31260089</v>
      </c>
      <c r="F6916" t="s">
        <v>87</v>
      </c>
      <c r="G6916">
        <v>78</v>
      </c>
      <c r="H6916" t="s">
        <v>8953</v>
      </c>
      <c r="I6916" s="131">
        <v>19</v>
      </c>
      <c r="J6916" t="s">
        <v>8540</v>
      </c>
      <c r="K6916" t="s">
        <v>95</v>
      </c>
      <c r="L6916" t="s">
        <v>146</v>
      </c>
      <c r="M6916" t="s">
        <v>103</v>
      </c>
      <c r="N6916" t="s">
        <v>150</v>
      </c>
      <c r="O6916" t="s">
        <v>1345</v>
      </c>
    </row>
    <row r="6917" spans="1:15" x14ac:dyDescent="0.3">
      <c r="A6917" s="130">
        <v>72506</v>
      </c>
      <c r="B6917" s="130">
        <v>18</v>
      </c>
      <c r="C6917" s="130" t="s">
        <v>8541</v>
      </c>
      <c r="D6917">
        <v>1059</v>
      </c>
      <c r="E6917" s="130">
        <v>2372112</v>
      </c>
      <c r="F6917" t="s">
        <v>87</v>
      </c>
      <c r="G6917">
        <v>78</v>
      </c>
      <c r="H6917" t="s">
        <v>8951</v>
      </c>
      <c r="I6917" s="131">
        <v>24</v>
      </c>
      <c r="J6917" t="s">
        <v>8541</v>
      </c>
      <c r="K6917" t="s">
        <v>95</v>
      </c>
      <c r="L6917" t="s">
        <v>138</v>
      </c>
      <c r="M6917" t="s">
        <v>112</v>
      </c>
      <c r="N6917" t="s">
        <v>98</v>
      </c>
      <c r="O6917" t="s">
        <v>1345</v>
      </c>
    </row>
    <row r="6918" spans="1:15" x14ac:dyDescent="0.3">
      <c r="A6918" s="130">
        <v>72512</v>
      </c>
      <c r="B6918" s="130">
        <v>18</v>
      </c>
      <c r="C6918" s="130" t="s">
        <v>8542</v>
      </c>
      <c r="D6918">
        <v>1060</v>
      </c>
      <c r="E6918" s="131">
        <v>22415842</v>
      </c>
      <c r="F6918" t="s">
        <v>87</v>
      </c>
      <c r="G6918">
        <v>78</v>
      </c>
      <c r="H6918" t="s">
        <v>8952</v>
      </c>
      <c r="I6918" s="130">
        <v>10</v>
      </c>
      <c r="J6918" t="s">
        <v>8542</v>
      </c>
      <c r="K6918" t="s">
        <v>108</v>
      </c>
      <c r="L6918" t="s">
        <v>127</v>
      </c>
      <c r="M6918" t="s">
        <v>112</v>
      </c>
      <c r="N6918" t="s">
        <v>131</v>
      </c>
      <c r="O6918" t="s">
        <v>1345</v>
      </c>
    </row>
    <row r="6919" spans="1:15" x14ac:dyDescent="0.3">
      <c r="A6919" s="130">
        <v>72514</v>
      </c>
      <c r="B6919" s="130">
        <v>30</v>
      </c>
      <c r="C6919" s="130" t="s">
        <v>8543</v>
      </c>
      <c r="D6919">
        <v>1353</v>
      </c>
      <c r="E6919" s="130">
        <v>33000167</v>
      </c>
      <c r="F6919" t="s">
        <v>87</v>
      </c>
      <c r="G6919">
        <v>78</v>
      </c>
      <c r="H6919" t="s">
        <v>8953</v>
      </c>
      <c r="I6919" s="131">
        <v>2</v>
      </c>
      <c r="J6919" t="s">
        <v>8543</v>
      </c>
      <c r="K6919" t="s">
        <v>95</v>
      </c>
      <c r="L6919" t="s">
        <v>102</v>
      </c>
      <c r="M6919" t="s">
        <v>103</v>
      </c>
      <c r="N6919" t="s">
        <v>114</v>
      </c>
      <c r="O6919" t="s">
        <v>1345</v>
      </c>
    </row>
    <row r="6920" spans="1:15" x14ac:dyDescent="0.3">
      <c r="A6920" s="130">
        <v>72529</v>
      </c>
      <c r="B6920" s="130">
        <v>30</v>
      </c>
      <c r="C6920" s="130" t="s">
        <v>8544</v>
      </c>
      <c r="D6920">
        <v>1061</v>
      </c>
      <c r="E6920" s="130">
        <v>33000167</v>
      </c>
      <c r="F6920" t="s">
        <v>87</v>
      </c>
      <c r="G6920">
        <v>78</v>
      </c>
      <c r="H6920" t="s">
        <v>8951</v>
      </c>
      <c r="I6920" s="130">
        <v>24</v>
      </c>
      <c r="J6920" t="s">
        <v>8544</v>
      </c>
      <c r="K6920" t="s">
        <v>95</v>
      </c>
      <c r="L6920" t="s">
        <v>102</v>
      </c>
      <c r="M6920" t="s">
        <v>103</v>
      </c>
      <c r="N6920" t="s">
        <v>101</v>
      </c>
      <c r="O6920" t="s">
        <v>116</v>
      </c>
    </row>
    <row r="6921" spans="1:15" x14ac:dyDescent="0.3">
      <c r="A6921" s="130">
        <v>72535</v>
      </c>
      <c r="B6921" s="130">
        <v>18</v>
      </c>
      <c r="C6921" s="130" t="s">
        <v>8545</v>
      </c>
      <c r="D6921">
        <v>1062</v>
      </c>
      <c r="E6921" s="130">
        <v>23575242</v>
      </c>
      <c r="F6921" t="s">
        <v>87</v>
      </c>
      <c r="G6921">
        <v>78</v>
      </c>
      <c r="H6921" t="s">
        <v>8952</v>
      </c>
      <c r="I6921" s="130">
        <v>38</v>
      </c>
      <c r="J6921" t="s">
        <v>8545</v>
      </c>
      <c r="K6921" t="s">
        <v>108</v>
      </c>
      <c r="L6921" t="s">
        <v>126</v>
      </c>
      <c r="M6921" t="s">
        <v>112</v>
      </c>
      <c r="N6921" t="s">
        <v>98</v>
      </c>
      <c r="O6921" t="s">
        <v>1345</v>
      </c>
    </row>
    <row r="6922" spans="1:15" x14ac:dyDescent="0.3">
      <c r="A6922" s="130">
        <v>72544</v>
      </c>
      <c r="B6922" s="130">
        <v>18</v>
      </c>
      <c r="C6922" s="130" t="s">
        <v>8546</v>
      </c>
      <c r="D6922">
        <v>1063</v>
      </c>
      <c r="E6922" s="130">
        <v>13278976</v>
      </c>
      <c r="F6922" t="s">
        <v>87</v>
      </c>
      <c r="G6922">
        <v>358</v>
      </c>
      <c r="H6922" t="s">
        <v>8953</v>
      </c>
      <c r="I6922" s="131">
        <v>2</v>
      </c>
      <c r="J6922" t="s">
        <v>8546</v>
      </c>
      <c r="K6922" t="s">
        <v>108</v>
      </c>
      <c r="L6922" t="s">
        <v>109</v>
      </c>
      <c r="M6922" t="s">
        <v>112</v>
      </c>
      <c r="N6922" t="s">
        <v>98</v>
      </c>
      <c r="O6922" t="s">
        <v>1345</v>
      </c>
    </row>
    <row r="6923" spans="1:15" x14ac:dyDescent="0.3">
      <c r="A6923" s="130">
        <v>72546</v>
      </c>
      <c r="B6923" s="130">
        <v>18</v>
      </c>
      <c r="C6923" s="130" t="s">
        <v>8547</v>
      </c>
      <c r="D6923">
        <v>1064</v>
      </c>
      <c r="E6923" s="130">
        <v>15063096</v>
      </c>
      <c r="F6923" t="s">
        <v>87</v>
      </c>
      <c r="G6923">
        <v>358</v>
      </c>
      <c r="H6923" t="s">
        <v>8951</v>
      </c>
      <c r="I6923" s="130">
        <v>2</v>
      </c>
      <c r="J6923" t="s">
        <v>8547</v>
      </c>
      <c r="K6923" t="s">
        <v>108</v>
      </c>
      <c r="L6923" t="s">
        <v>105</v>
      </c>
      <c r="M6923" t="s">
        <v>112</v>
      </c>
      <c r="N6923" t="s">
        <v>114</v>
      </c>
      <c r="O6923" t="s">
        <v>1345</v>
      </c>
    </row>
    <row r="6924" spans="1:15" x14ac:dyDescent="0.3">
      <c r="A6924" s="130">
        <v>72551</v>
      </c>
      <c r="B6924" s="130">
        <v>30</v>
      </c>
      <c r="C6924" s="130" t="s">
        <v>8548</v>
      </c>
      <c r="D6924">
        <v>1065</v>
      </c>
      <c r="E6924" s="130">
        <v>8343492</v>
      </c>
      <c r="F6924" t="s">
        <v>87</v>
      </c>
      <c r="G6924">
        <v>77</v>
      </c>
      <c r="H6924" t="s">
        <v>8952</v>
      </c>
      <c r="I6924" s="131">
        <v>18</v>
      </c>
      <c r="J6924" t="s">
        <v>8548</v>
      </c>
      <c r="K6924" t="s">
        <v>95</v>
      </c>
      <c r="L6924" t="s">
        <v>1255</v>
      </c>
      <c r="M6924" t="s">
        <v>103</v>
      </c>
      <c r="N6924" t="s">
        <v>98</v>
      </c>
      <c r="O6924" t="s">
        <v>1345</v>
      </c>
    </row>
    <row r="6925" spans="1:15" x14ac:dyDescent="0.3">
      <c r="A6925" s="130">
        <v>72555</v>
      </c>
      <c r="B6925" s="130">
        <v>18</v>
      </c>
      <c r="C6925" s="130" t="s">
        <v>8549</v>
      </c>
      <c r="D6925">
        <v>1066</v>
      </c>
      <c r="E6925" s="130">
        <v>15063096</v>
      </c>
      <c r="F6925" t="s">
        <v>87</v>
      </c>
      <c r="G6925">
        <v>358</v>
      </c>
      <c r="H6925" t="s">
        <v>8953</v>
      </c>
      <c r="I6925" s="130">
        <v>2</v>
      </c>
      <c r="J6925" t="s">
        <v>8549</v>
      </c>
      <c r="K6925" t="s">
        <v>108</v>
      </c>
      <c r="L6925" t="s">
        <v>105</v>
      </c>
      <c r="M6925" t="s">
        <v>112</v>
      </c>
      <c r="N6925" t="s">
        <v>114</v>
      </c>
      <c r="O6925" t="s">
        <v>1345</v>
      </c>
    </row>
    <row r="6926" spans="1:15" x14ac:dyDescent="0.3">
      <c r="A6926" s="130">
        <v>72558</v>
      </c>
      <c r="B6926" s="130" t="s">
        <v>156</v>
      </c>
      <c r="C6926" s="130" t="s">
        <v>8550</v>
      </c>
      <c r="D6926">
        <v>1067</v>
      </c>
      <c r="E6926" s="130">
        <v>7134777</v>
      </c>
      <c r="F6926" t="s">
        <v>87</v>
      </c>
      <c r="G6926">
        <v>78</v>
      </c>
      <c r="H6926" t="s">
        <v>8951</v>
      </c>
      <c r="I6926" s="130">
        <v>9</v>
      </c>
      <c r="J6926" t="s">
        <v>8550</v>
      </c>
      <c r="K6926" t="s">
        <v>95</v>
      </c>
      <c r="L6926" t="s">
        <v>105</v>
      </c>
      <c r="M6926" t="s">
        <v>156</v>
      </c>
      <c r="N6926" t="s">
        <v>98</v>
      </c>
      <c r="O6926" t="s">
        <v>116</v>
      </c>
    </row>
    <row r="6927" spans="1:15" x14ac:dyDescent="0.3">
      <c r="A6927" s="130">
        <v>72559</v>
      </c>
      <c r="B6927" s="130">
        <v>18</v>
      </c>
      <c r="C6927" s="130" t="s">
        <v>8551</v>
      </c>
      <c r="D6927">
        <v>1068</v>
      </c>
      <c r="E6927" s="130">
        <v>19268002</v>
      </c>
      <c r="F6927" t="s">
        <v>87</v>
      </c>
      <c r="G6927">
        <v>358</v>
      </c>
      <c r="H6927" t="s">
        <v>8952</v>
      </c>
      <c r="I6927" s="131">
        <v>2</v>
      </c>
      <c r="J6927" t="s">
        <v>8551</v>
      </c>
      <c r="K6927" t="s">
        <v>95</v>
      </c>
      <c r="L6927" t="s">
        <v>99</v>
      </c>
      <c r="M6927" t="s">
        <v>112</v>
      </c>
      <c r="N6927" t="s">
        <v>98</v>
      </c>
      <c r="O6927" t="s">
        <v>1345</v>
      </c>
    </row>
    <row r="6928" spans="1:15" x14ac:dyDescent="0.3">
      <c r="A6928" s="130">
        <v>72561</v>
      </c>
      <c r="B6928" s="130">
        <v>30</v>
      </c>
      <c r="C6928" s="130" t="s">
        <v>8552</v>
      </c>
      <c r="D6928">
        <v>1069</v>
      </c>
      <c r="E6928" s="131">
        <v>19896986</v>
      </c>
      <c r="F6928" t="s">
        <v>87</v>
      </c>
      <c r="G6928">
        <v>358</v>
      </c>
      <c r="H6928" t="s">
        <v>8953</v>
      </c>
      <c r="I6928" s="131">
        <v>2</v>
      </c>
      <c r="J6928" t="s">
        <v>8552</v>
      </c>
      <c r="K6928" t="s">
        <v>108</v>
      </c>
      <c r="L6928" t="s">
        <v>109</v>
      </c>
      <c r="M6928" t="s">
        <v>103</v>
      </c>
      <c r="N6928" t="s">
        <v>101</v>
      </c>
      <c r="O6928" t="s">
        <v>116</v>
      </c>
    </row>
    <row r="6929" spans="1:15" x14ac:dyDescent="0.3">
      <c r="A6929" s="130">
        <v>72562</v>
      </c>
      <c r="B6929" s="130">
        <v>18</v>
      </c>
      <c r="C6929" s="130" t="s">
        <v>8553</v>
      </c>
      <c r="D6929">
        <v>1070</v>
      </c>
      <c r="E6929" s="130">
        <v>19245954</v>
      </c>
      <c r="F6929" t="s">
        <v>87</v>
      </c>
      <c r="G6929">
        <v>78</v>
      </c>
      <c r="H6929" t="s">
        <v>8951</v>
      </c>
      <c r="I6929" s="130">
        <v>26</v>
      </c>
      <c r="J6929" t="s">
        <v>8553</v>
      </c>
      <c r="K6929" t="s">
        <v>108</v>
      </c>
      <c r="L6929" t="s">
        <v>151</v>
      </c>
      <c r="M6929" t="s">
        <v>112</v>
      </c>
      <c r="N6929" t="s">
        <v>98</v>
      </c>
      <c r="O6929" t="s">
        <v>1345</v>
      </c>
    </row>
    <row r="6930" spans="1:15" x14ac:dyDescent="0.3">
      <c r="A6930" s="130">
        <v>72568</v>
      </c>
      <c r="B6930" s="130">
        <v>30</v>
      </c>
      <c r="C6930" s="130" t="s">
        <v>8554</v>
      </c>
      <c r="D6930">
        <v>1071</v>
      </c>
      <c r="E6930" s="130">
        <v>23975006</v>
      </c>
      <c r="F6930" t="s">
        <v>87</v>
      </c>
      <c r="G6930">
        <v>358</v>
      </c>
      <c r="H6930" t="s">
        <v>8952</v>
      </c>
      <c r="I6930" s="131">
        <v>2</v>
      </c>
      <c r="J6930" t="s">
        <v>8554</v>
      </c>
      <c r="K6930" t="s">
        <v>95</v>
      </c>
      <c r="L6930" t="s">
        <v>99</v>
      </c>
      <c r="M6930" t="s">
        <v>103</v>
      </c>
      <c r="N6930" t="s">
        <v>98</v>
      </c>
      <c r="O6930" t="s">
        <v>1345</v>
      </c>
    </row>
    <row r="6931" spans="1:15" x14ac:dyDescent="0.3">
      <c r="A6931" s="130">
        <v>72570</v>
      </c>
      <c r="B6931" s="130">
        <v>18</v>
      </c>
      <c r="C6931" s="130" t="s">
        <v>8555</v>
      </c>
      <c r="D6931">
        <v>1072</v>
      </c>
      <c r="E6931" s="130">
        <v>34140804</v>
      </c>
      <c r="F6931" t="s">
        <v>87</v>
      </c>
      <c r="G6931">
        <v>78</v>
      </c>
      <c r="H6931" t="s">
        <v>8953</v>
      </c>
      <c r="I6931" s="130">
        <v>24</v>
      </c>
      <c r="J6931" t="s">
        <v>8555</v>
      </c>
      <c r="K6931" t="s">
        <v>108</v>
      </c>
      <c r="L6931" t="s">
        <v>138</v>
      </c>
      <c r="M6931" t="s">
        <v>112</v>
      </c>
      <c r="N6931" t="s">
        <v>98</v>
      </c>
      <c r="O6931" t="s">
        <v>1345</v>
      </c>
    </row>
    <row r="6932" spans="1:15" x14ac:dyDescent="0.3">
      <c r="A6932" s="130">
        <v>72571</v>
      </c>
      <c r="B6932" s="130">
        <v>18</v>
      </c>
      <c r="C6932" s="130" t="s">
        <v>8556</v>
      </c>
      <c r="D6932">
        <v>1073</v>
      </c>
      <c r="E6932" s="130">
        <v>41795584</v>
      </c>
      <c r="F6932" t="s">
        <v>87</v>
      </c>
      <c r="G6932">
        <v>358</v>
      </c>
      <c r="H6932" t="s">
        <v>8951</v>
      </c>
      <c r="I6932" s="130">
        <v>2</v>
      </c>
      <c r="J6932" t="s">
        <v>8556</v>
      </c>
      <c r="K6932" t="s">
        <v>108</v>
      </c>
      <c r="L6932" t="s">
        <v>109</v>
      </c>
      <c r="M6932" t="s">
        <v>112</v>
      </c>
      <c r="N6932" t="s">
        <v>98</v>
      </c>
      <c r="O6932" t="s">
        <v>1345</v>
      </c>
    </row>
    <row r="6933" spans="1:15" x14ac:dyDescent="0.3">
      <c r="A6933" s="130">
        <v>72577</v>
      </c>
      <c r="B6933" s="130">
        <v>18</v>
      </c>
      <c r="C6933" s="130" t="s">
        <v>8557</v>
      </c>
      <c r="D6933">
        <v>1074</v>
      </c>
      <c r="E6933" s="130">
        <v>20286415</v>
      </c>
      <c r="F6933" t="s">
        <v>87</v>
      </c>
      <c r="G6933">
        <v>358</v>
      </c>
      <c r="H6933" t="s">
        <v>8952</v>
      </c>
      <c r="I6933" s="131">
        <v>2</v>
      </c>
      <c r="J6933" t="s">
        <v>8557</v>
      </c>
      <c r="K6933" t="s">
        <v>108</v>
      </c>
      <c r="L6933" t="s">
        <v>109</v>
      </c>
      <c r="M6933" t="s">
        <v>112</v>
      </c>
      <c r="N6933" t="s">
        <v>98</v>
      </c>
      <c r="O6933" t="s">
        <v>1345</v>
      </c>
    </row>
    <row r="6934" spans="1:15" x14ac:dyDescent="0.3">
      <c r="A6934" s="130">
        <v>72582</v>
      </c>
      <c r="B6934" s="130">
        <v>18</v>
      </c>
      <c r="C6934" s="130" t="s">
        <v>8558</v>
      </c>
      <c r="D6934">
        <v>1075</v>
      </c>
      <c r="E6934" s="130">
        <v>26946431</v>
      </c>
      <c r="F6934" t="s">
        <v>87</v>
      </c>
      <c r="G6934">
        <v>358</v>
      </c>
      <c r="H6934" t="s">
        <v>8953</v>
      </c>
      <c r="I6934" s="130">
        <v>26</v>
      </c>
      <c r="J6934" t="s">
        <v>8558</v>
      </c>
      <c r="K6934" t="s">
        <v>108</v>
      </c>
      <c r="L6934" t="s">
        <v>109</v>
      </c>
      <c r="M6934" t="s">
        <v>112</v>
      </c>
      <c r="N6934" t="s">
        <v>101</v>
      </c>
      <c r="O6934" t="s">
        <v>1345</v>
      </c>
    </row>
    <row r="6935" spans="1:15" x14ac:dyDescent="0.3">
      <c r="A6935" s="130">
        <v>72583</v>
      </c>
      <c r="B6935" s="130">
        <v>18</v>
      </c>
      <c r="C6935" s="130" t="s">
        <v>8559</v>
      </c>
      <c r="D6935">
        <v>1076</v>
      </c>
      <c r="E6935" s="131">
        <v>2187703</v>
      </c>
      <c r="F6935" t="s">
        <v>87</v>
      </c>
      <c r="G6935">
        <v>358</v>
      </c>
      <c r="H6935" t="s">
        <v>8951</v>
      </c>
      <c r="I6935" s="130">
        <v>9</v>
      </c>
      <c r="J6935" t="s">
        <v>8559</v>
      </c>
      <c r="K6935" t="s">
        <v>108</v>
      </c>
      <c r="L6935" t="s">
        <v>109</v>
      </c>
      <c r="M6935" t="s">
        <v>112</v>
      </c>
      <c r="N6935" t="s">
        <v>101</v>
      </c>
      <c r="O6935" t="s">
        <v>1345</v>
      </c>
    </row>
    <row r="6936" spans="1:15" x14ac:dyDescent="0.3">
      <c r="A6936" s="130">
        <v>72587</v>
      </c>
      <c r="B6936" s="130">
        <v>18</v>
      </c>
      <c r="C6936" s="130" t="s">
        <v>8560</v>
      </c>
      <c r="D6936">
        <v>1077</v>
      </c>
      <c r="E6936" s="131">
        <v>24601599</v>
      </c>
      <c r="F6936" t="s">
        <v>87</v>
      </c>
      <c r="G6936">
        <v>78</v>
      </c>
      <c r="H6936" t="s">
        <v>8952</v>
      </c>
      <c r="I6936" s="131">
        <v>24</v>
      </c>
      <c r="J6936" t="s">
        <v>8560</v>
      </c>
      <c r="K6936" t="s">
        <v>108</v>
      </c>
      <c r="L6936" t="s">
        <v>1352</v>
      </c>
      <c r="M6936" t="s">
        <v>112</v>
      </c>
      <c r="N6936" t="s">
        <v>110</v>
      </c>
      <c r="O6936" t="s">
        <v>1345</v>
      </c>
    </row>
    <row r="6937" spans="1:15" x14ac:dyDescent="0.3">
      <c r="A6937" s="130">
        <v>72588</v>
      </c>
      <c r="B6937" s="130">
        <v>18</v>
      </c>
      <c r="C6937" s="130" t="s">
        <v>8561</v>
      </c>
      <c r="D6937">
        <v>1078</v>
      </c>
      <c r="E6937" s="130">
        <v>2102318</v>
      </c>
      <c r="F6937" t="s">
        <v>87</v>
      </c>
      <c r="G6937">
        <v>358</v>
      </c>
      <c r="H6937" t="s">
        <v>8953</v>
      </c>
      <c r="I6937" s="131">
        <v>2</v>
      </c>
      <c r="J6937" t="s">
        <v>8561</v>
      </c>
      <c r="K6937" t="s">
        <v>95</v>
      </c>
      <c r="L6937" t="s">
        <v>111</v>
      </c>
      <c r="M6937" t="s">
        <v>112</v>
      </c>
      <c r="N6937" t="s">
        <v>101</v>
      </c>
      <c r="O6937" t="s">
        <v>1345</v>
      </c>
    </row>
    <row r="6938" spans="1:15" x14ac:dyDescent="0.3">
      <c r="A6938" s="130">
        <v>72589</v>
      </c>
      <c r="B6938" s="130">
        <v>18</v>
      </c>
      <c r="C6938" s="130" t="s">
        <v>8562</v>
      </c>
      <c r="D6938">
        <v>1079</v>
      </c>
      <c r="E6938" s="130">
        <v>20286415</v>
      </c>
      <c r="F6938" t="s">
        <v>87</v>
      </c>
      <c r="G6938">
        <v>358</v>
      </c>
      <c r="H6938" t="s">
        <v>8951</v>
      </c>
      <c r="I6938" s="130">
        <v>2</v>
      </c>
      <c r="J6938" t="s">
        <v>8562</v>
      </c>
      <c r="K6938" t="s">
        <v>108</v>
      </c>
      <c r="L6938" t="s">
        <v>1245</v>
      </c>
      <c r="M6938" t="s">
        <v>112</v>
      </c>
      <c r="N6938" t="s">
        <v>98</v>
      </c>
      <c r="O6938" t="s">
        <v>1345</v>
      </c>
    </row>
    <row r="6939" spans="1:15" x14ac:dyDescent="0.3">
      <c r="A6939" s="130">
        <v>72590</v>
      </c>
      <c r="B6939" s="130">
        <v>18</v>
      </c>
      <c r="C6939" s="130" t="s">
        <v>8563</v>
      </c>
      <c r="D6939">
        <v>1080</v>
      </c>
      <c r="E6939" s="131">
        <v>31790710</v>
      </c>
      <c r="F6939" t="s">
        <v>87</v>
      </c>
      <c r="G6939">
        <v>78</v>
      </c>
      <c r="H6939" t="s">
        <v>8952</v>
      </c>
      <c r="I6939" s="130">
        <v>18</v>
      </c>
      <c r="J6939" t="s">
        <v>8563</v>
      </c>
      <c r="K6939" t="s">
        <v>108</v>
      </c>
      <c r="L6939" t="s">
        <v>123</v>
      </c>
      <c r="M6939" t="s">
        <v>112</v>
      </c>
      <c r="N6939" t="s">
        <v>114</v>
      </c>
      <c r="O6939" t="s">
        <v>1345</v>
      </c>
    </row>
    <row r="6940" spans="1:15" x14ac:dyDescent="0.3">
      <c r="A6940" s="130">
        <v>72595</v>
      </c>
      <c r="B6940" s="130" t="s">
        <v>156</v>
      </c>
      <c r="C6940" s="130" t="s">
        <v>8564</v>
      </c>
      <c r="D6940">
        <v>1081</v>
      </c>
      <c r="E6940" s="130">
        <v>1712812</v>
      </c>
      <c r="F6940" t="s">
        <v>87</v>
      </c>
      <c r="G6940">
        <v>78</v>
      </c>
      <c r="H6940" t="s">
        <v>8953</v>
      </c>
      <c r="I6940" s="131">
        <v>9</v>
      </c>
      <c r="J6940" t="s">
        <v>8564</v>
      </c>
      <c r="K6940" t="s">
        <v>108</v>
      </c>
      <c r="L6940" t="s">
        <v>1298</v>
      </c>
      <c r="M6940" t="s">
        <v>156</v>
      </c>
      <c r="N6940" t="s">
        <v>98</v>
      </c>
      <c r="O6940" t="s">
        <v>116</v>
      </c>
    </row>
    <row r="6941" spans="1:15" x14ac:dyDescent="0.3">
      <c r="A6941" s="130">
        <v>72596</v>
      </c>
      <c r="B6941" s="130">
        <v>30</v>
      </c>
      <c r="C6941" s="130" t="s">
        <v>8565</v>
      </c>
      <c r="D6941">
        <v>1082</v>
      </c>
      <c r="E6941" s="130">
        <v>21256870</v>
      </c>
      <c r="F6941" t="s">
        <v>87</v>
      </c>
      <c r="G6941">
        <v>77</v>
      </c>
      <c r="H6941" t="s">
        <v>8951</v>
      </c>
      <c r="I6941" s="131">
        <v>2</v>
      </c>
      <c r="J6941" t="s">
        <v>8565</v>
      </c>
      <c r="K6941" t="s">
        <v>95</v>
      </c>
      <c r="L6941" t="s">
        <v>119</v>
      </c>
      <c r="M6941" t="s">
        <v>103</v>
      </c>
      <c r="N6941" t="s">
        <v>104</v>
      </c>
      <c r="O6941" t="s">
        <v>1345</v>
      </c>
    </row>
    <row r="6942" spans="1:15" x14ac:dyDescent="0.3">
      <c r="A6942" s="130">
        <v>72597</v>
      </c>
      <c r="B6942" s="130">
        <v>18</v>
      </c>
      <c r="C6942" s="130" t="s">
        <v>8566</v>
      </c>
      <c r="D6942">
        <v>1083</v>
      </c>
      <c r="E6942" s="130">
        <v>7197417</v>
      </c>
      <c r="F6942" t="s">
        <v>87</v>
      </c>
      <c r="G6942">
        <v>78</v>
      </c>
      <c r="H6942" t="s">
        <v>8952</v>
      </c>
      <c r="I6942" s="131">
        <v>18</v>
      </c>
      <c r="J6942" t="s">
        <v>8566</v>
      </c>
      <c r="K6942" t="s">
        <v>95</v>
      </c>
      <c r="L6942" t="s">
        <v>151</v>
      </c>
      <c r="M6942" t="s">
        <v>112</v>
      </c>
      <c r="N6942" t="s">
        <v>98</v>
      </c>
      <c r="O6942" t="s">
        <v>1345</v>
      </c>
    </row>
    <row r="6943" spans="1:15" x14ac:dyDescent="0.3">
      <c r="A6943" s="130">
        <v>72598</v>
      </c>
      <c r="B6943" s="130">
        <v>18</v>
      </c>
      <c r="C6943" s="130" t="s">
        <v>8567</v>
      </c>
      <c r="D6943">
        <v>1084</v>
      </c>
      <c r="E6943" s="131">
        <v>7197417</v>
      </c>
      <c r="F6943" t="s">
        <v>87</v>
      </c>
      <c r="G6943">
        <v>78</v>
      </c>
      <c r="H6943" t="s">
        <v>8953</v>
      </c>
      <c r="I6943" s="131">
        <v>18</v>
      </c>
      <c r="J6943" t="s">
        <v>8567</v>
      </c>
      <c r="K6943" t="s">
        <v>95</v>
      </c>
      <c r="L6943" t="s">
        <v>151</v>
      </c>
      <c r="M6943" t="s">
        <v>112</v>
      </c>
      <c r="N6943" t="s">
        <v>98</v>
      </c>
      <c r="O6943" t="s">
        <v>1345</v>
      </c>
    </row>
    <row r="6944" spans="1:15" x14ac:dyDescent="0.3">
      <c r="A6944" s="130">
        <v>72599</v>
      </c>
      <c r="B6944" s="130">
        <v>18</v>
      </c>
      <c r="C6944" s="130" t="s">
        <v>8568</v>
      </c>
      <c r="D6944">
        <v>1085</v>
      </c>
      <c r="E6944" s="131">
        <v>7197417</v>
      </c>
      <c r="F6944" t="s">
        <v>87</v>
      </c>
      <c r="G6944">
        <v>78</v>
      </c>
      <c r="H6944" t="s">
        <v>8951</v>
      </c>
      <c r="I6944" s="130">
        <v>26</v>
      </c>
      <c r="J6944" t="s">
        <v>8568</v>
      </c>
      <c r="K6944" t="s">
        <v>95</v>
      </c>
      <c r="L6944" t="s">
        <v>151</v>
      </c>
      <c r="M6944" t="s">
        <v>112</v>
      </c>
      <c r="N6944" t="s">
        <v>98</v>
      </c>
      <c r="O6944" t="s">
        <v>1345</v>
      </c>
    </row>
    <row r="6945" spans="1:15" x14ac:dyDescent="0.3">
      <c r="A6945" s="130">
        <v>72600</v>
      </c>
      <c r="B6945" s="130">
        <v>18</v>
      </c>
      <c r="C6945" s="130" t="s">
        <v>8569</v>
      </c>
      <c r="D6945">
        <v>1086</v>
      </c>
      <c r="E6945" s="131">
        <v>7197417</v>
      </c>
      <c r="F6945" t="s">
        <v>87</v>
      </c>
      <c r="G6945">
        <v>78</v>
      </c>
      <c r="H6945" t="s">
        <v>8952</v>
      </c>
      <c r="I6945" s="130">
        <v>26</v>
      </c>
      <c r="J6945" t="s">
        <v>8569</v>
      </c>
      <c r="K6945" t="s">
        <v>95</v>
      </c>
      <c r="L6945" t="s">
        <v>151</v>
      </c>
      <c r="M6945" t="s">
        <v>112</v>
      </c>
      <c r="N6945" t="s">
        <v>98</v>
      </c>
      <c r="O6945" t="s">
        <v>1345</v>
      </c>
    </row>
    <row r="6946" spans="1:15" x14ac:dyDescent="0.3">
      <c r="A6946" s="130">
        <v>72602</v>
      </c>
      <c r="B6946" s="130">
        <v>0</v>
      </c>
      <c r="C6946" s="130" t="s">
        <v>8570</v>
      </c>
      <c r="D6946">
        <v>1354</v>
      </c>
      <c r="E6946" s="130">
        <v>8573695</v>
      </c>
      <c r="F6946" t="s">
        <v>87</v>
      </c>
      <c r="G6946">
        <v>78</v>
      </c>
      <c r="H6946" t="s">
        <v>8953</v>
      </c>
      <c r="I6946" s="131">
        <v>19</v>
      </c>
      <c r="J6946" t="s">
        <v>8570</v>
      </c>
      <c r="K6946" t="s">
        <v>108</v>
      </c>
      <c r="L6946" t="s">
        <v>146</v>
      </c>
      <c r="M6946" t="s">
        <v>100</v>
      </c>
      <c r="N6946" t="s">
        <v>107</v>
      </c>
      <c r="O6946" t="s">
        <v>1345</v>
      </c>
    </row>
    <row r="6947" spans="1:15" x14ac:dyDescent="0.3">
      <c r="A6947" s="130">
        <v>72603</v>
      </c>
      <c r="B6947" s="130">
        <v>18</v>
      </c>
      <c r="C6947" s="130" t="s">
        <v>8571</v>
      </c>
      <c r="D6947">
        <v>1087</v>
      </c>
      <c r="E6947" s="130">
        <v>18985180</v>
      </c>
      <c r="F6947" t="s">
        <v>87</v>
      </c>
      <c r="G6947">
        <v>358</v>
      </c>
      <c r="H6947" t="s">
        <v>8951</v>
      </c>
      <c r="I6947" s="130">
        <v>2</v>
      </c>
      <c r="J6947" t="s">
        <v>8571</v>
      </c>
      <c r="K6947" t="s">
        <v>108</v>
      </c>
      <c r="L6947" t="s">
        <v>109</v>
      </c>
      <c r="M6947" t="s">
        <v>112</v>
      </c>
      <c r="N6947" t="s">
        <v>98</v>
      </c>
      <c r="O6947" t="s">
        <v>1345</v>
      </c>
    </row>
    <row r="6948" spans="1:15" x14ac:dyDescent="0.3">
      <c r="A6948" s="130">
        <v>72604</v>
      </c>
      <c r="B6948" s="130">
        <v>18</v>
      </c>
      <c r="C6948" s="130" t="s">
        <v>8572</v>
      </c>
      <c r="D6948">
        <v>1088</v>
      </c>
      <c r="E6948" s="131">
        <v>5773057</v>
      </c>
      <c r="F6948" t="s">
        <v>87</v>
      </c>
      <c r="G6948">
        <v>358</v>
      </c>
      <c r="H6948" t="s">
        <v>8952</v>
      </c>
      <c r="I6948" s="131">
        <v>2</v>
      </c>
      <c r="J6948" t="s">
        <v>8572</v>
      </c>
      <c r="K6948" t="s">
        <v>95</v>
      </c>
      <c r="L6948" t="s">
        <v>111</v>
      </c>
      <c r="M6948" t="s">
        <v>112</v>
      </c>
      <c r="N6948" t="s">
        <v>118</v>
      </c>
      <c r="O6948" t="s">
        <v>1345</v>
      </c>
    </row>
    <row r="6949" spans="1:15" x14ac:dyDescent="0.3">
      <c r="A6949" s="130">
        <v>72606</v>
      </c>
      <c r="B6949" s="130">
        <v>18</v>
      </c>
      <c r="C6949" s="130" t="s">
        <v>8573</v>
      </c>
      <c r="D6949">
        <v>1089</v>
      </c>
      <c r="E6949" s="130">
        <v>60498706</v>
      </c>
      <c r="F6949" t="s">
        <v>87</v>
      </c>
      <c r="G6949">
        <v>358</v>
      </c>
      <c r="H6949" t="s">
        <v>8953</v>
      </c>
      <c r="I6949" s="131">
        <v>43</v>
      </c>
      <c r="J6949" t="s">
        <v>8573</v>
      </c>
      <c r="K6949" t="s">
        <v>108</v>
      </c>
      <c r="L6949" t="s">
        <v>105</v>
      </c>
      <c r="M6949" t="s">
        <v>112</v>
      </c>
      <c r="N6949" t="s">
        <v>114</v>
      </c>
      <c r="O6949" t="s">
        <v>1345</v>
      </c>
    </row>
    <row r="6950" spans="1:15" x14ac:dyDescent="0.3">
      <c r="A6950" s="130">
        <v>72608</v>
      </c>
      <c r="B6950" s="130">
        <v>30</v>
      </c>
      <c r="C6950" s="130" t="s">
        <v>8574</v>
      </c>
      <c r="D6950">
        <v>1090</v>
      </c>
      <c r="E6950" s="130">
        <v>20502525</v>
      </c>
      <c r="F6950" t="s">
        <v>87</v>
      </c>
      <c r="G6950">
        <v>78</v>
      </c>
      <c r="H6950" t="s">
        <v>8951</v>
      </c>
      <c r="I6950" s="131">
        <v>10</v>
      </c>
      <c r="J6950" t="s">
        <v>8574</v>
      </c>
      <c r="K6950" t="s">
        <v>108</v>
      </c>
      <c r="L6950" t="s">
        <v>127</v>
      </c>
      <c r="M6950" t="s">
        <v>103</v>
      </c>
      <c r="N6950" t="s">
        <v>98</v>
      </c>
      <c r="O6950" t="s">
        <v>1345</v>
      </c>
    </row>
    <row r="6951" spans="1:15" x14ac:dyDescent="0.3">
      <c r="A6951" s="130">
        <v>72609</v>
      </c>
      <c r="B6951" s="130">
        <v>18</v>
      </c>
      <c r="C6951" s="130" t="s">
        <v>8575</v>
      </c>
      <c r="D6951">
        <v>1091</v>
      </c>
      <c r="E6951" s="131">
        <v>29626366</v>
      </c>
      <c r="F6951" t="s">
        <v>87</v>
      </c>
      <c r="G6951">
        <v>78</v>
      </c>
      <c r="H6951" t="s">
        <v>8952</v>
      </c>
      <c r="I6951" s="130">
        <v>9</v>
      </c>
      <c r="J6951" t="s">
        <v>8575</v>
      </c>
      <c r="K6951" t="s">
        <v>95</v>
      </c>
      <c r="L6951" t="s">
        <v>111</v>
      </c>
      <c r="M6951" t="s">
        <v>112</v>
      </c>
      <c r="N6951" t="s">
        <v>114</v>
      </c>
      <c r="O6951" t="s">
        <v>1345</v>
      </c>
    </row>
    <row r="6952" spans="1:15" x14ac:dyDescent="0.3">
      <c r="A6952" s="130">
        <v>72610</v>
      </c>
      <c r="B6952" s="130">
        <v>-1</v>
      </c>
      <c r="C6952" s="130" t="s">
        <v>8576</v>
      </c>
      <c r="D6952">
        <v>1092</v>
      </c>
      <c r="E6952" s="130">
        <v>60498706</v>
      </c>
      <c r="F6952" t="s">
        <v>87</v>
      </c>
      <c r="G6952">
        <v>358</v>
      </c>
      <c r="H6952" t="s">
        <v>8953</v>
      </c>
      <c r="I6952" s="131">
        <v>43</v>
      </c>
      <c r="J6952" t="s">
        <v>8576</v>
      </c>
      <c r="K6952" t="s">
        <v>108</v>
      </c>
      <c r="L6952" t="s">
        <v>105</v>
      </c>
      <c r="M6952" t="s">
        <v>174</v>
      </c>
      <c r="N6952" t="s">
        <v>114</v>
      </c>
      <c r="O6952" t="s">
        <v>1345</v>
      </c>
    </row>
    <row r="6953" spans="1:15" x14ac:dyDescent="0.3">
      <c r="A6953" s="130">
        <v>72611</v>
      </c>
      <c r="B6953" s="130">
        <v>-1</v>
      </c>
      <c r="C6953" s="130" t="s">
        <v>8577</v>
      </c>
      <c r="D6953">
        <v>1093</v>
      </c>
      <c r="E6953" s="130">
        <v>60498706</v>
      </c>
      <c r="F6953" t="s">
        <v>87</v>
      </c>
      <c r="G6953">
        <v>358</v>
      </c>
      <c r="H6953" t="s">
        <v>8951</v>
      </c>
      <c r="I6953" s="131">
        <v>43</v>
      </c>
      <c r="J6953" t="s">
        <v>8577</v>
      </c>
      <c r="K6953" t="s">
        <v>108</v>
      </c>
      <c r="L6953" t="s">
        <v>105</v>
      </c>
      <c r="M6953" t="s">
        <v>174</v>
      </c>
      <c r="N6953" t="s">
        <v>114</v>
      </c>
      <c r="O6953" t="s">
        <v>1345</v>
      </c>
    </row>
    <row r="6954" spans="1:15" x14ac:dyDescent="0.3">
      <c r="A6954" s="130">
        <v>72612</v>
      </c>
      <c r="B6954" s="130">
        <v>-1</v>
      </c>
      <c r="C6954" s="130" t="s">
        <v>8578</v>
      </c>
      <c r="D6954">
        <v>1094</v>
      </c>
      <c r="E6954" s="130">
        <v>60498706</v>
      </c>
      <c r="F6954" t="s">
        <v>87</v>
      </c>
      <c r="G6954">
        <v>358</v>
      </c>
      <c r="H6954" t="s">
        <v>8952</v>
      </c>
      <c r="I6954" s="131">
        <v>43</v>
      </c>
      <c r="J6954" t="s">
        <v>8578</v>
      </c>
      <c r="K6954" t="s">
        <v>108</v>
      </c>
      <c r="L6954" t="s">
        <v>1245</v>
      </c>
      <c r="M6954" t="s">
        <v>174</v>
      </c>
      <c r="N6954" t="s">
        <v>114</v>
      </c>
      <c r="O6954" t="s">
        <v>1345</v>
      </c>
    </row>
    <row r="6955" spans="1:15" x14ac:dyDescent="0.3">
      <c r="A6955" s="130">
        <v>72614</v>
      </c>
      <c r="B6955" s="130">
        <v>0</v>
      </c>
      <c r="C6955" s="130" t="s">
        <v>8579</v>
      </c>
      <c r="D6955">
        <v>1095</v>
      </c>
      <c r="E6955" s="130">
        <v>60498706</v>
      </c>
      <c r="F6955" t="s">
        <v>87</v>
      </c>
      <c r="G6955">
        <v>358</v>
      </c>
      <c r="H6955" t="s">
        <v>8953</v>
      </c>
      <c r="I6955" s="130">
        <v>43</v>
      </c>
      <c r="J6955" t="s">
        <v>8579</v>
      </c>
      <c r="K6955" t="s">
        <v>108</v>
      </c>
      <c r="L6955" t="s">
        <v>1245</v>
      </c>
      <c r="M6955" t="s">
        <v>100</v>
      </c>
      <c r="N6955" t="s">
        <v>114</v>
      </c>
      <c r="O6955" t="s">
        <v>1345</v>
      </c>
    </row>
    <row r="6956" spans="1:15" x14ac:dyDescent="0.3">
      <c r="A6956" s="130">
        <v>72616</v>
      </c>
      <c r="B6956" s="130">
        <v>30</v>
      </c>
      <c r="C6956" s="130" t="s">
        <v>8580</v>
      </c>
      <c r="D6956">
        <v>1096</v>
      </c>
      <c r="E6956" s="131">
        <v>39530924</v>
      </c>
      <c r="F6956" t="s">
        <v>87</v>
      </c>
      <c r="G6956">
        <v>78</v>
      </c>
      <c r="H6956" t="s">
        <v>8951</v>
      </c>
      <c r="I6956" s="131">
        <v>2</v>
      </c>
      <c r="J6956" t="s">
        <v>8580</v>
      </c>
      <c r="K6956" t="s">
        <v>95</v>
      </c>
      <c r="L6956" t="s">
        <v>96</v>
      </c>
      <c r="M6956" t="s">
        <v>103</v>
      </c>
      <c r="N6956" t="s">
        <v>98</v>
      </c>
      <c r="O6956" t="s">
        <v>1345</v>
      </c>
    </row>
    <row r="6957" spans="1:15" x14ac:dyDescent="0.3">
      <c r="A6957" s="130">
        <v>72617</v>
      </c>
      <c r="B6957" s="130">
        <v>18</v>
      </c>
      <c r="C6957" s="130" t="s">
        <v>8581</v>
      </c>
      <c r="D6957">
        <v>1097</v>
      </c>
      <c r="E6957" s="130">
        <v>5515245</v>
      </c>
      <c r="F6957" t="s">
        <v>87</v>
      </c>
      <c r="G6957">
        <v>78</v>
      </c>
      <c r="H6957" t="s">
        <v>8952</v>
      </c>
      <c r="I6957" s="130">
        <v>9</v>
      </c>
      <c r="J6957" t="s">
        <v>8581</v>
      </c>
      <c r="K6957" t="s">
        <v>95</v>
      </c>
      <c r="L6957" t="s">
        <v>125</v>
      </c>
      <c r="M6957" t="s">
        <v>112</v>
      </c>
      <c r="N6957" t="s">
        <v>98</v>
      </c>
      <c r="O6957" t="s">
        <v>1345</v>
      </c>
    </row>
    <row r="6958" spans="1:15" x14ac:dyDescent="0.3">
      <c r="A6958" s="130">
        <v>72619</v>
      </c>
      <c r="B6958" s="130">
        <v>45</v>
      </c>
      <c r="C6958" s="130" t="s">
        <v>8582</v>
      </c>
      <c r="D6958">
        <v>1355</v>
      </c>
      <c r="E6958" s="130">
        <v>1294551</v>
      </c>
      <c r="F6958" t="s">
        <v>87</v>
      </c>
      <c r="G6958">
        <v>78</v>
      </c>
      <c r="H6958" t="s">
        <v>8953</v>
      </c>
      <c r="I6958" s="131">
        <v>9</v>
      </c>
      <c r="J6958" t="s">
        <v>8582</v>
      </c>
      <c r="K6958" t="s">
        <v>95</v>
      </c>
      <c r="L6958" t="s">
        <v>125</v>
      </c>
      <c r="M6958" t="s">
        <v>106</v>
      </c>
      <c r="N6958" t="s">
        <v>114</v>
      </c>
      <c r="O6958" t="s">
        <v>1345</v>
      </c>
    </row>
    <row r="6959" spans="1:15" x14ac:dyDescent="0.3">
      <c r="A6959" s="130">
        <v>72620</v>
      </c>
      <c r="B6959" s="130">
        <v>30</v>
      </c>
      <c r="C6959" s="130" t="s">
        <v>8583</v>
      </c>
      <c r="D6959">
        <v>1098</v>
      </c>
      <c r="E6959" s="130">
        <v>8928273</v>
      </c>
      <c r="F6959" t="s">
        <v>87</v>
      </c>
      <c r="G6959">
        <v>78</v>
      </c>
      <c r="H6959" t="s">
        <v>8951</v>
      </c>
      <c r="I6959" s="131">
        <v>10</v>
      </c>
      <c r="J6959" t="s">
        <v>8583</v>
      </c>
      <c r="K6959" t="s">
        <v>95</v>
      </c>
      <c r="L6959" t="s">
        <v>127</v>
      </c>
      <c r="M6959" t="s">
        <v>103</v>
      </c>
      <c r="N6959" t="s">
        <v>124</v>
      </c>
      <c r="O6959" t="s">
        <v>1345</v>
      </c>
    </row>
    <row r="6960" spans="1:15" x14ac:dyDescent="0.3">
      <c r="A6960" s="130">
        <v>72625</v>
      </c>
      <c r="B6960" s="130">
        <v>18</v>
      </c>
      <c r="C6960" s="130" t="s">
        <v>8584</v>
      </c>
      <c r="D6960">
        <v>1099</v>
      </c>
      <c r="E6960" s="130">
        <v>5515245</v>
      </c>
      <c r="F6960" t="s">
        <v>87</v>
      </c>
      <c r="G6960">
        <v>78</v>
      </c>
      <c r="H6960" t="s">
        <v>8952</v>
      </c>
      <c r="I6960" s="130">
        <v>9</v>
      </c>
      <c r="J6960" t="s">
        <v>8584</v>
      </c>
      <c r="K6960" t="s">
        <v>95</v>
      </c>
      <c r="L6960" t="s">
        <v>125</v>
      </c>
      <c r="M6960" t="s">
        <v>112</v>
      </c>
      <c r="N6960" t="s">
        <v>98</v>
      </c>
      <c r="O6960" t="s">
        <v>1345</v>
      </c>
    </row>
    <row r="6961" spans="1:15" x14ac:dyDescent="0.3">
      <c r="A6961" s="130">
        <v>72628</v>
      </c>
      <c r="B6961" s="130">
        <v>30</v>
      </c>
      <c r="C6961" s="130" t="s">
        <v>8585</v>
      </c>
      <c r="D6961">
        <v>1100</v>
      </c>
      <c r="E6961" s="130">
        <v>8343492</v>
      </c>
      <c r="F6961" t="s">
        <v>87</v>
      </c>
      <c r="G6961">
        <v>77</v>
      </c>
      <c r="H6961" t="s">
        <v>8953</v>
      </c>
      <c r="I6961" s="131">
        <v>18</v>
      </c>
      <c r="J6961" t="s">
        <v>8585</v>
      </c>
      <c r="K6961" t="s">
        <v>95</v>
      </c>
      <c r="L6961" t="s">
        <v>256</v>
      </c>
      <c r="M6961" t="s">
        <v>103</v>
      </c>
      <c r="N6961" t="s">
        <v>98</v>
      </c>
      <c r="O6961" t="s">
        <v>116</v>
      </c>
    </row>
    <row r="6962" spans="1:15" x14ac:dyDescent="0.3">
      <c r="A6962" s="130">
        <v>72632</v>
      </c>
      <c r="B6962" s="130">
        <v>30</v>
      </c>
      <c r="C6962" s="130" t="s">
        <v>8586</v>
      </c>
      <c r="D6962">
        <v>1357</v>
      </c>
      <c r="E6962" s="131">
        <v>33000167</v>
      </c>
      <c r="F6962" t="s">
        <v>87</v>
      </c>
      <c r="G6962">
        <v>78</v>
      </c>
      <c r="H6962" t="s">
        <v>8951</v>
      </c>
      <c r="I6962" s="131">
        <v>24</v>
      </c>
      <c r="J6962" t="s">
        <v>8586</v>
      </c>
      <c r="K6962" t="s">
        <v>95</v>
      </c>
      <c r="L6962" t="s">
        <v>102</v>
      </c>
      <c r="M6962" t="s">
        <v>103</v>
      </c>
      <c r="N6962" t="s">
        <v>114</v>
      </c>
      <c r="O6962" t="s">
        <v>1345</v>
      </c>
    </row>
    <row r="6963" spans="1:15" x14ac:dyDescent="0.3">
      <c r="A6963" s="130">
        <v>72633</v>
      </c>
      <c r="B6963" s="130">
        <v>18</v>
      </c>
      <c r="C6963" s="130" t="s">
        <v>8587</v>
      </c>
      <c r="D6963">
        <v>1101</v>
      </c>
      <c r="E6963" s="131">
        <v>62517347</v>
      </c>
      <c r="F6963" t="s">
        <v>87</v>
      </c>
      <c r="G6963">
        <v>78</v>
      </c>
      <c r="H6963" t="s">
        <v>8952</v>
      </c>
      <c r="I6963" s="130">
        <v>24</v>
      </c>
      <c r="J6963" t="s">
        <v>8587</v>
      </c>
      <c r="K6963" t="s">
        <v>95</v>
      </c>
      <c r="L6963" t="s">
        <v>138</v>
      </c>
      <c r="M6963" t="s">
        <v>112</v>
      </c>
      <c r="N6963" t="s">
        <v>114</v>
      </c>
      <c r="O6963" t="s">
        <v>1345</v>
      </c>
    </row>
    <row r="6964" spans="1:15" x14ac:dyDescent="0.3">
      <c r="A6964" s="130">
        <v>72636</v>
      </c>
      <c r="B6964" s="130">
        <v>30</v>
      </c>
      <c r="C6964" s="130" t="s">
        <v>8588</v>
      </c>
      <c r="D6964">
        <v>1102</v>
      </c>
      <c r="E6964" s="130">
        <v>82502196</v>
      </c>
      <c r="F6964" t="s">
        <v>87</v>
      </c>
      <c r="G6964">
        <v>78</v>
      </c>
      <c r="H6964" t="s">
        <v>8953</v>
      </c>
      <c r="I6964" s="130">
        <v>10</v>
      </c>
      <c r="J6964" t="s">
        <v>8588</v>
      </c>
      <c r="K6964" t="s">
        <v>95</v>
      </c>
      <c r="L6964" t="s">
        <v>127</v>
      </c>
      <c r="M6964" t="s">
        <v>103</v>
      </c>
      <c r="N6964" t="s">
        <v>118</v>
      </c>
      <c r="O6964" t="s">
        <v>1345</v>
      </c>
    </row>
    <row r="6965" spans="1:15" x14ac:dyDescent="0.3">
      <c r="A6965" s="130">
        <v>72638</v>
      </c>
      <c r="B6965" s="130">
        <v>18</v>
      </c>
      <c r="C6965" s="130" t="s">
        <v>8589</v>
      </c>
      <c r="D6965">
        <v>1103</v>
      </c>
      <c r="E6965" s="130">
        <v>21596467</v>
      </c>
      <c r="F6965" t="s">
        <v>87</v>
      </c>
      <c r="G6965">
        <v>78</v>
      </c>
      <c r="H6965" t="s">
        <v>8951</v>
      </c>
      <c r="I6965" s="130">
        <v>19</v>
      </c>
      <c r="J6965" t="s">
        <v>8589</v>
      </c>
      <c r="K6965" t="s">
        <v>108</v>
      </c>
      <c r="L6965" t="s">
        <v>146</v>
      </c>
      <c r="M6965" t="s">
        <v>112</v>
      </c>
      <c r="N6965" t="s">
        <v>122</v>
      </c>
      <c r="O6965" t="s">
        <v>1345</v>
      </c>
    </row>
    <row r="6966" spans="1:15" x14ac:dyDescent="0.3">
      <c r="A6966" s="130">
        <v>72640</v>
      </c>
      <c r="B6966" s="130">
        <v>30</v>
      </c>
      <c r="C6966" s="130" t="s">
        <v>8590</v>
      </c>
      <c r="D6966">
        <v>1104</v>
      </c>
      <c r="E6966" s="130">
        <v>17560185</v>
      </c>
      <c r="F6966" t="s">
        <v>87</v>
      </c>
      <c r="G6966">
        <v>358</v>
      </c>
      <c r="H6966" t="s">
        <v>8952</v>
      </c>
      <c r="I6966" s="130">
        <v>2</v>
      </c>
      <c r="J6966" t="s">
        <v>8590</v>
      </c>
      <c r="K6966" t="s">
        <v>95</v>
      </c>
      <c r="L6966" t="s">
        <v>111</v>
      </c>
      <c r="M6966" t="s">
        <v>103</v>
      </c>
      <c r="N6966" t="s">
        <v>98</v>
      </c>
      <c r="O6966" t="s">
        <v>1345</v>
      </c>
    </row>
    <row r="6967" spans="1:15" x14ac:dyDescent="0.3">
      <c r="A6967" s="130">
        <v>72644</v>
      </c>
      <c r="B6967" s="130">
        <v>18</v>
      </c>
      <c r="C6967" s="130" t="s">
        <v>8591</v>
      </c>
      <c r="D6967">
        <v>1105</v>
      </c>
      <c r="E6967" s="131">
        <v>35089530</v>
      </c>
      <c r="F6967" t="s">
        <v>87</v>
      </c>
      <c r="G6967">
        <v>9135</v>
      </c>
      <c r="H6967" t="s">
        <v>8953</v>
      </c>
      <c r="I6967" s="130">
        <v>38</v>
      </c>
      <c r="J6967" t="s">
        <v>8591</v>
      </c>
      <c r="K6967" t="s">
        <v>108</v>
      </c>
      <c r="L6967" t="s">
        <v>126</v>
      </c>
      <c r="M6967" t="s">
        <v>112</v>
      </c>
      <c r="N6967" t="s">
        <v>98</v>
      </c>
      <c r="O6967" t="s">
        <v>1345</v>
      </c>
    </row>
    <row r="6968" spans="1:15" x14ac:dyDescent="0.3">
      <c r="A6968" s="130">
        <v>72645</v>
      </c>
      <c r="B6968" s="130">
        <v>18</v>
      </c>
      <c r="C6968" s="130" t="s">
        <v>8592</v>
      </c>
      <c r="D6968">
        <v>1359</v>
      </c>
      <c r="E6968" s="130">
        <v>63827026</v>
      </c>
      <c r="F6968" t="s">
        <v>87</v>
      </c>
      <c r="G6968">
        <v>78</v>
      </c>
      <c r="H6968" t="s">
        <v>8951</v>
      </c>
      <c r="I6968" s="130">
        <v>10</v>
      </c>
      <c r="J6968" t="s">
        <v>8592</v>
      </c>
      <c r="K6968" t="s">
        <v>108</v>
      </c>
      <c r="L6968" t="s">
        <v>127</v>
      </c>
      <c r="M6968" t="s">
        <v>112</v>
      </c>
      <c r="N6968" t="s">
        <v>118</v>
      </c>
      <c r="O6968" t="s">
        <v>116</v>
      </c>
    </row>
    <row r="6969" spans="1:15" x14ac:dyDescent="0.3">
      <c r="A6969" s="130">
        <v>72647</v>
      </c>
      <c r="B6969" s="130">
        <v>60</v>
      </c>
      <c r="C6969" s="130" t="s">
        <v>8593</v>
      </c>
      <c r="D6969">
        <v>1106</v>
      </c>
      <c r="E6969" s="130">
        <v>34209835</v>
      </c>
      <c r="F6969" t="s">
        <v>87</v>
      </c>
      <c r="G6969">
        <v>77</v>
      </c>
      <c r="H6969" t="s">
        <v>8952</v>
      </c>
      <c r="I6969" s="130">
        <v>2</v>
      </c>
      <c r="J6969" t="s">
        <v>8593</v>
      </c>
      <c r="K6969" t="s">
        <v>95</v>
      </c>
      <c r="L6969" t="s">
        <v>117</v>
      </c>
      <c r="M6969" t="s">
        <v>97</v>
      </c>
      <c r="N6969" t="s">
        <v>98</v>
      </c>
      <c r="O6969" t="s">
        <v>1345</v>
      </c>
    </row>
    <row r="6970" spans="1:15" x14ac:dyDescent="0.3">
      <c r="A6970" s="130">
        <v>72650</v>
      </c>
      <c r="B6970" s="130">
        <v>18</v>
      </c>
      <c r="C6970" s="130" t="s">
        <v>8594</v>
      </c>
      <c r="D6970">
        <v>1107</v>
      </c>
      <c r="E6970" s="131">
        <v>9536473</v>
      </c>
      <c r="F6970" t="s">
        <v>87</v>
      </c>
      <c r="G6970">
        <v>78</v>
      </c>
      <c r="H6970" t="s">
        <v>8953</v>
      </c>
      <c r="I6970" s="130">
        <v>26</v>
      </c>
      <c r="J6970" t="s">
        <v>8594</v>
      </c>
      <c r="K6970" t="s">
        <v>108</v>
      </c>
      <c r="L6970" t="s">
        <v>151</v>
      </c>
      <c r="M6970" t="s">
        <v>112</v>
      </c>
      <c r="N6970" t="s">
        <v>114</v>
      </c>
      <c r="O6970" t="s">
        <v>1345</v>
      </c>
    </row>
    <row r="6971" spans="1:15" x14ac:dyDescent="0.3">
      <c r="A6971" s="130">
        <v>72655</v>
      </c>
      <c r="B6971" s="130">
        <v>18</v>
      </c>
      <c r="C6971" s="130" t="s">
        <v>8595</v>
      </c>
      <c r="D6971">
        <v>1108</v>
      </c>
      <c r="E6971" s="130">
        <v>59225698</v>
      </c>
      <c r="F6971" t="s">
        <v>87</v>
      </c>
      <c r="G6971">
        <v>358</v>
      </c>
      <c r="H6971" t="s">
        <v>8951</v>
      </c>
      <c r="I6971" s="131">
        <v>18</v>
      </c>
      <c r="J6971" t="s">
        <v>8595</v>
      </c>
      <c r="K6971" t="s">
        <v>108</v>
      </c>
      <c r="L6971" t="s">
        <v>1245</v>
      </c>
      <c r="M6971" t="s">
        <v>112</v>
      </c>
      <c r="N6971" t="s">
        <v>98</v>
      </c>
      <c r="O6971" t="s">
        <v>1345</v>
      </c>
    </row>
    <row r="6972" spans="1:15" x14ac:dyDescent="0.3">
      <c r="A6972" s="130">
        <v>72656</v>
      </c>
      <c r="B6972" s="130">
        <v>18</v>
      </c>
      <c r="C6972" s="130" t="s">
        <v>8596</v>
      </c>
      <c r="D6972">
        <v>1109</v>
      </c>
      <c r="E6972" s="131">
        <v>7502178</v>
      </c>
      <c r="F6972" t="s">
        <v>87</v>
      </c>
      <c r="G6972">
        <v>78</v>
      </c>
      <c r="H6972" t="s">
        <v>8952</v>
      </c>
      <c r="I6972" s="131">
        <v>19</v>
      </c>
      <c r="J6972" t="s">
        <v>8596</v>
      </c>
      <c r="K6972" t="s">
        <v>108</v>
      </c>
      <c r="L6972" t="s">
        <v>146</v>
      </c>
      <c r="M6972" t="s">
        <v>112</v>
      </c>
      <c r="N6972" t="s">
        <v>98</v>
      </c>
      <c r="O6972" t="s">
        <v>1345</v>
      </c>
    </row>
    <row r="6973" spans="1:15" x14ac:dyDescent="0.3">
      <c r="A6973" s="130">
        <v>72659</v>
      </c>
      <c r="B6973" s="130">
        <v>18</v>
      </c>
      <c r="C6973" s="130" t="s">
        <v>8597</v>
      </c>
      <c r="D6973">
        <v>1110</v>
      </c>
      <c r="E6973" s="130">
        <v>4727090</v>
      </c>
      <c r="F6973" t="s">
        <v>87</v>
      </c>
      <c r="G6973">
        <v>358</v>
      </c>
      <c r="H6973" t="s">
        <v>8953</v>
      </c>
      <c r="I6973" s="130">
        <v>2</v>
      </c>
      <c r="J6973" t="s">
        <v>8597</v>
      </c>
      <c r="K6973" t="s">
        <v>95</v>
      </c>
      <c r="L6973" t="s">
        <v>153</v>
      </c>
      <c r="M6973" t="s">
        <v>112</v>
      </c>
      <c r="N6973" t="s">
        <v>101</v>
      </c>
      <c r="O6973" t="s">
        <v>1345</v>
      </c>
    </row>
    <row r="6974" spans="1:15" x14ac:dyDescent="0.3">
      <c r="A6974" s="130">
        <v>72660</v>
      </c>
      <c r="B6974" s="130">
        <v>18</v>
      </c>
      <c r="C6974" s="130" t="s">
        <v>8598</v>
      </c>
      <c r="D6974">
        <v>1111</v>
      </c>
      <c r="E6974" s="130">
        <v>83693366</v>
      </c>
      <c r="F6974" t="s">
        <v>87</v>
      </c>
      <c r="G6974">
        <v>78</v>
      </c>
      <c r="H6974" t="s">
        <v>8951</v>
      </c>
      <c r="I6974" s="130">
        <v>24</v>
      </c>
      <c r="J6974" t="s">
        <v>8598</v>
      </c>
      <c r="K6974" t="s">
        <v>95</v>
      </c>
      <c r="L6974" t="s">
        <v>138</v>
      </c>
      <c r="M6974" t="s">
        <v>112</v>
      </c>
      <c r="N6974" t="s">
        <v>98</v>
      </c>
      <c r="O6974" t="s">
        <v>1345</v>
      </c>
    </row>
    <row r="6975" spans="1:15" x14ac:dyDescent="0.3">
      <c r="A6975" s="130">
        <v>72662</v>
      </c>
      <c r="B6975" s="130">
        <v>30</v>
      </c>
      <c r="C6975" s="130" t="s">
        <v>8599</v>
      </c>
      <c r="D6975">
        <v>1360</v>
      </c>
      <c r="E6975" s="131">
        <v>17185786</v>
      </c>
      <c r="F6975" t="s">
        <v>87</v>
      </c>
      <c r="G6975">
        <v>78</v>
      </c>
      <c r="H6975" t="s">
        <v>8952</v>
      </c>
      <c r="I6975" s="131">
        <v>2</v>
      </c>
      <c r="J6975" t="s">
        <v>8599</v>
      </c>
      <c r="K6975" t="s">
        <v>95</v>
      </c>
      <c r="L6975" t="s">
        <v>96</v>
      </c>
      <c r="M6975" t="s">
        <v>103</v>
      </c>
      <c r="N6975" t="s">
        <v>98</v>
      </c>
      <c r="O6975" t="s">
        <v>1345</v>
      </c>
    </row>
    <row r="6976" spans="1:15" x14ac:dyDescent="0.3">
      <c r="A6976" s="130">
        <v>72665</v>
      </c>
      <c r="B6976" s="130">
        <v>18</v>
      </c>
      <c r="C6976" s="130" t="s">
        <v>8600</v>
      </c>
      <c r="D6976">
        <v>1112</v>
      </c>
      <c r="E6976" s="130">
        <v>29296671</v>
      </c>
      <c r="F6976" t="s">
        <v>87</v>
      </c>
      <c r="G6976">
        <v>78</v>
      </c>
      <c r="H6976" t="s">
        <v>8953</v>
      </c>
      <c r="I6976" s="131">
        <v>10</v>
      </c>
      <c r="J6976" t="s">
        <v>8600</v>
      </c>
      <c r="K6976" t="s">
        <v>108</v>
      </c>
      <c r="L6976" t="s">
        <v>127</v>
      </c>
      <c r="M6976" t="s">
        <v>112</v>
      </c>
      <c r="N6976" t="s">
        <v>118</v>
      </c>
      <c r="O6976" t="s">
        <v>1345</v>
      </c>
    </row>
    <row r="6977" spans="1:15" x14ac:dyDescent="0.3">
      <c r="A6977" s="130">
        <v>72666</v>
      </c>
      <c r="B6977" s="130">
        <v>28</v>
      </c>
      <c r="C6977" s="130" t="s">
        <v>8601</v>
      </c>
      <c r="D6977">
        <v>1113</v>
      </c>
      <c r="E6977" s="131">
        <v>91894774</v>
      </c>
      <c r="F6977" t="s">
        <v>87</v>
      </c>
      <c r="G6977">
        <v>77</v>
      </c>
      <c r="H6977" t="s">
        <v>8951</v>
      </c>
      <c r="I6977" s="130">
        <v>19</v>
      </c>
      <c r="J6977" t="s">
        <v>8601</v>
      </c>
      <c r="K6977" t="s">
        <v>95</v>
      </c>
      <c r="L6977" t="s">
        <v>117</v>
      </c>
      <c r="M6977" t="s">
        <v>130</v>
      </c>
      <c r="N6977" t="s">
        <v>98</v>
      </c>
      <c r="O6977" t="s">
        <v>1345</v>
      </c>
    </row>
    <row r="6978" spans="1:15" x14ac:dyDescent="0.3">
      <c r="A6978" s="130">
        <v>72668</v>
      </c>
      <c r="B6978" s="130">
        <v>30</v>
      </c>
      <c r="C6978" s="130" t="s">
        <v>8602</v>
      </c>
      <c r="D6978">
        <v>1114</v>
      </c>
      <c r="E6978" s="130">
        <v>46588950</v>
      </c>
      <c r="F6978" t="s">
        <v>87</v>
      </c>
      <c r="G6978">
        <v>78</v>
      </c>
      <c r="H6978" t="s">
        <v>8952</v>
      </c>
      <c r="I6978" s="131">
        <v>24</v>
      </c>
      <c r="J6978" t="s">
        <v>8602</v>
      </c>
      <c r="K6978" t="s">
        <v>95</v>
      </c>
      <c r="L6978" t="s">
        <v>138</v>
      </c>
      <c r="M6978" t="s">
        <v>103</v>
      </c>
      <c r="N6978" t="s">
        <v>131</v>
      </c>
      <c r="O6978" t="s">
        <v>1345</v>
      </c>
    </row>
    <row r="6979" spans="1:15" x14ac:dyDescent="0.3">
      <c r="A6979" s="130">
        <v>72671</v>
      </c>
      <c r="B6979" s="130">
        <v>18</v>
      </c>
      <c r="C6979" s="130" t="s">
        <v>8603</v>
      </c>
      <c r="D6979">
        <v>1115</v>
      </c>
      <c r="E6979" s="130">
        <v>34181399</v>
      </c>
      <c r="F6979" t="s">
        <v>87</v>
      </c>
      <c r="G6979">
        <v>358</v>
      </c>
      <c r="H6979" t="s">
        <v>8953</v>
      </c>
      <c r="I6979" s="130">
        <v>18</v>
      </c>
      <c r="J6979" t="s">
        <v>8603</v>
      </c>
      <c r="K6979" t="s">
        <v>108</v>
      </c>
      <c r="L6979" t="s">
        <v>1346</v>
      </c>
      <c r="M6979" t="s">
        <v>112</v>
      </c>
      <c r="N6979" t="s">
        <v>98</v>
      </c>
      <c r="O6979" t="s">
        <v>1345</v>
      </c>
    </row>
    <row r="6980" spans="1:15" x14ac:dyDescent="0.3">
      <c r="A6980" s="130">
        <v>72672</v>
      </c>
      <c r="B6980" s="130">
        <v>30</v>
      </c>
      <c r="C6980" s="130" t="s">
        <v>8604</v>
      </c>
      <c r="D6980">
        <v>1116</v>
      </c>
      <c r="E6980" s="130">
        <v>18715383</v>
      </c>
      <c r="F6980" t="s">
        <v>87</v>
      </c>
      <c r="G6980">
        <v>77</v>
      </c>
      <c r="H6980" t="s">
        <v>8951</v>
      </c>
      <c r="I6980" s="130">
        <v>2</v>
      </c>
      <c r="J6980" t="s">
        <v>8604</v>
      </c>
      <c r="K6980" t="s">
        <v>95</v>
      </c>
      <c r="L6980" t="s">
        <v>256</v>
      </c>
      <c r="M6980" t="s">
        <v>103</v>
      </c>
      <c r="N6980" t="s">
        <v>131</v>
      </c>
      <c r="O6980" t="s">
        <v>116</v>
      </c>
    </row>
    <row r="6981" spans="1:15" x14ac:dyDescent="0.3">
      <c r="A6981" s="130">
        <v>72676</v>
      </c>
      <c r="B6981" s="130">
        <v>18</v>
      </c>
      <c r="C6981" s="130" t="s">
        <v>8605</v>
      </c>
      <c r="D6981">
        <v>1117</v>
      </c>
      <c r="E6981" s="130">
        <v>8958446</v>
      </c>
      <c r="F6981" t="s">
        <v>87</v>
      </c>
      <c r="G6981">
        <v>78</v>
      </c>
      <c r="H6981" t="s">
        <v>8952</v>
      </c>
      <c r="I6981" s="131">
        <v>24</v>
      </c>
      <c r="J6981" t="s">
        <v>8605</v>
      </c>
      <c r="K6981" t="s">
        <v>108</v>
      </c>
      <c r="L6981" t="s">
        <v>1352</v>
      </c>
      <c r="M6981" t="s">
        <v>112</v>
      </c>
      <c r="N6981" t="s">
        <v>101</v>
      </c>
      <c r="O6981" t="s">
        <v>1345</v>
      </c>
    </row>
    <row r="6982" spans="1:15" x14ac:dyDescent="0.3">
      <c r="A6982" s="130">
        <v>72677</v>
      </c>
      <c r="B6982" s="130">
        <v>18</v>
      </c>
      <c r="C6982" s="130" t="s">
        <v>8606</v>
      </c>
      <c r="D6982">
        <v>1118</v>
      </c>
      <c r="E6982" s="130">
        <v>8958446</v>
      </c>
      <c r="F6982" t="s">
        <v>87</v>
      </c>
      <c r="G6982">
        <v>78</v>
      </c>
      <c r="H6982" t="s">
        <v>8953</v>
      </c>
      <c r="I6982" s="130">
        <v>24</v>
      </c>
      <c r="J6982" t="s">
        <v>8606</v>
      </c>
      <c r="K6982" t="s">
        <v>108</v>
      </c>
      <c r="L6982" t="s">
        <v>1352</v>
      </c>
      <c r="M6982" t="s">
        <v>112</v>
      </c>
      <c r="N6982" t="s">
        <v>101</v>
      </c>
      <c r="O6982" t="s">
        <v>1345</v>
      </c>
    </row>
    <row r="6983" spans="1:15" x14ac:dyDescent="0.3">
      <c r="A6983" s="130">
        <v>72678</v>
      </c>
      <c r="B6983" s="130">
        <v>30</v>
      </c>
      <c r="C6983" s="130" t="s">
        <v>8607</v>
      </c>
      <c r="D6983">
        <v>1119</v>
      </c>
      <c r="E6983" s="130">
        <v>1313486</v>
      </c>
      <c r="F6983" t="s">
        <v>87</v>
      </c>
      <c r="G6983">
        <v>78</v>
      </c>
      <c r="H6983" t="s">
        <v>8951</v>
      </c>
      <c r="I6983" s="130">
        <v>10</v>
      </c>
      <c r="J6983" t="s">
        <v>8607</v>
      </c>
      <c r="K6983" t="s">
        <v>108</v>
      </c>
      <c r="L6983" t="s">
        <v>127</v>
      </c>
      <c r="M6983" t="s">
        <v>103</v>
      </c>
      <c r="N6983" t="s">
        <v>118</v>
      </c>
      <c r="O6983" t="s">
        <v>1345</v>
      </c>
    </row>
    <row r="6984" spans="1:15" x14ac:dyDescent="0.3">
      <c r="A6984" s="130">
        <v>72680</v>
      </c>
      <c r="B6984" s="130">
        <v>18</v>
      </c>
      <c r="C6984" s="130" t="s">
        <v>8608</v>
      </c>
      <c r="D6984">
        <v>1120</v>
      </c>
      <c r="E6984" s="130">
        <v>7134777</v>
      </c>
      <c r="F6984" t="s">
        <v>87</v>
      </c>
      <c r="G6984">
        <v>78</v>
      </c>
      <c r="H6984" t="s">
        <v>8952</v>
      </c>
      <c r="I6984" s="131">
        <v>10</v>
      </c>
      <c r="J6984" t="s">
        <v>8608</v>
      </c>
      <c r="K6984" t="s">
        <v>108</v>
      </c>
      <c r="L6984" t="s">
        <v>127</v>
      </c>
      <c r="M6984" t="s">
        <v>112</v>
      </c>
      <c r="N6984" t="s">
        <v>98</v>
      </c>
      <c r="O6984" t="s">
        <v>1345</v>
      </c>
    </row>
    <row r="6985" spans="1:15" x14ac:dyDescent="0.3">
      <c r="A6985" s="130">
        <v>72683</v>
      </c>
      <c r="B6985" s="130">
        <v>0</v>
      </c>
      <c r="C6985" s="130" t="s">
        <v>8609</v>
      </c>
      <c r="D6985">
        <v>1364</v>
      </c>
      <c r="E6985" s="131">
        <v>34127232</v>
      </c>
      <c r="F6985" t="s">
        <v>87</v>
      </c>
      <c r="G6985">
        <v>358</v>
      </c>
      <c r="H6985" t="s">
        <v>8953</v>
      </c>
      <c r="I6985" s="130">
        <v>2</v>
      </c>
      <c r="J6985" t="s">
        <v>8609</v>
      </c>
      <c r="K6985" t="s">
        <v>108</v>
      </c>
      <c r="L6985" t="s">
        <v>99</v>
      </c>
      <c r="M6985" t="s">
        <v>100</v>
      </c>
      <c r="N6985" t="s">
        <v>118</v>
      </c>
      <c r="O6985" t="s">
        <v>1345</v>
      </c>
    </row>
    <row r="6986" spans="1:15" x14ac:dyDescent="0.3">
      <c r="A6986" s="130">
        <v>72684</v>
      </c>
      <c r="B6986" s="130">
        <v>18</v>
      </c>
      <c r="C6986" s="130" t="s">
        <v>8610</v>
      </c>
      <c r="D6986">
        <v>1121</v>
      </c>
      <c r="E6986" s="130">
        <v>5515245</v>
      </c>
      <c r="F6986" t="s">
        <v>87</v>
      </c>
      <c r="G6986">
        <v>358</v>
      </c>
      <c r="H6986" t="s">
        <v>8951</v>
      </c>
      <c r="I6986" s="130">
        <v>24</v>
      </c>
      <c r="J6986" t="s">
        <v>8610</v>
      </c>
      <c r="K6986" t="s">
        <v>95</v>
      </c>
      <c r="L6986" t="s">
        <v>109</v>
      </c>
      <c r="M6986" t="s">
        <v>112</v>
      </c>
      <c r="N6986" t="s">
        <v>98</v>
      </c>
      <c r="O6986" t="s">
        <v>1345</v>
      </c>
    </row>
    <row r="6987" spans="1:15" x14ac:dyDescent="0.3">
      <c r="A6987" s="130">
        <v>72685</v>
      </c>
      <c r="B6987" s="130">
        <v>18</v>
      </c>
      <c r="C6987" s="130" t="s">
        <v>8611</v>
      </c>
      <c r="D6987">
        <v>1365</v>
      </c>
      <c r="E6987" s="131">
        <v>27786322</v>
      </c>
      <c r="F6987" t="s">
        <v>87</v>
      </c>
      <c r="G6987">
        <v>78</v>
      </c>
      <c r="H6987" t="s">
        <v>8952</v>
      </c>
      <c r="I6987" s="130">
        <v>19</v>
      </c>
      <c r="J6987" t="s">
        <v>8611</v>
      </c>
      <c r="K6987" t="s">
        <v>108</v>
      </c>
      <c r="L6987" t="s">
        <v>146</v>
      </c>
      <c r="M6987" t="s">
        <v>112</v>
      </c>
      <c r="N6987" t="s">
        <v>124</v>
      </c>
      <c r="O6987" t="s">
        <v>1345</v>
      </c>
    </row>
    <row r="6988" spans="1:15" x14ac:dyDescent="0.3">
      <c r="A6988" s="130">
        <v>72686</v>
      </c>
      <c r="B6988" s="130">
        <v>18</v>
      </c>
      <c r="C6988" s="130" t="s">
        <v>8612</v>
      </c>
      <c r="D6988">
        <v>1366</v>
      </c>
      <c r="E6988" s="130">
        <v>27786322</v>
      </c>
      <c r="F6988" t="s">
        <v>87</v>
      </c>
      <c r="G6988">
        <v>78</v>
      </c>
      <c r="H6988" t="s">
        <v>8953</v>
      </c>
      <c r="I6988" s="131">
        <v>19</v>
      </c>
      <c r="J6988" t="s">
        <v>8612</v>
      </c>
      <c r="K6988" t="s">
        <v>108</v>
      </c>
      <c r="L6988" t="s">
        <v>146</v>
      </c>
      <c r="M6988" t="s">
        <v>112</v>
      </c>
      <c r="N6988" t="s">
        <v>124</v>
      </c>
      <c r="O6988" t="s">
        <v>1345</v>
      </c>
    </row>
    <row r="6989" spans="1:15" x14ac:dyDescent="0.3">
      <c r="A6989" s="130">
        <v>72687</v>
      </c>
      <c r="B6989" s="130">
        <v>18</v>
      </c>
      <c r="C6989" s="130" t="s">
        <v>8613</v>
      </c>
      <c r="D6989">
        <v>1367</v>
      </c>
      <c r="E6989" s="130">
        <v>27143007</v>
      </c>
      <c r="F6989" t="s">
        <v>87</v>
      </c>
      <c r="G6989">
        <v>358</v>
      </c>
      <c r="H6989" t="s">
        <v>8951</v>
      </c>
      <c r="I6989" s="130">
        <v>18</v>
      </c>
      <c r="J6989" t="s">
        <v>8613</v>
      </c>
      <c r="K6989" t="s">
        <v>108</v>
      </c>
      <c r="L6989" t="s">
        <v>140</v>
      </c>
      <c r="M6989" t="s">
        <v>112</v>
      </c>
      <c r="N6989" t="s">
        <v>98</v>
      </c>
      <c r="O6989" t="s">
        <v>1345</v>
      </c>
    </row>
    <row r="6990" spans="1:15" x14ac:dyDescent="0.3">
      <c r="A6990" s="130">
        <v>72688</v>
      </c>
      <c r="B6990" s="130">
        <v>18</v>
      </c>
      <c r="C6990" s="130" t="s">
        <v>8614</v>
      </c>
      <c r="D6990">
        <v>1122</v>
      </c>
      <c r="E6990" s="130">
        <v>7502178</v>
      </c>
      <c r="F6990" t="s">
        <v>87</v>
      </c>
      <c r="G6990">
        <v>78</v>
      </c>
      <c r="H6990" t="s">
        <v>8952</v>
      </c>
      <c r="I6990" s="131">
        <v>43</v>
      </c>
      <c r="J6990" t="s">
        <v>8614</v>
      </c>
      <c r="K6990" t="s">
        <v>95</v>
      </c>
      <c r="L6990" t="s">
        <v>105</v>
      </c>
      <c r="M6990" t="s">
        <v>112</v>
      </c>
      <c r="N6990" t="s">
        <v>98</v>
      </c>
      <c r="O6990" t="s">
        <v>116</v>
      </c>
    </row>
    <row r="6991" spans="1:15" x14ac:dyDescent="0.3">
      <c r="A6991" s="130">
        <v>72689</v>
      </c>
      <c r="B6991" s="130">
        <v>18</v>
      </c>
      <c r="C6991" s="130" t="s">
        <v>8615</v>
      </c>
      <c r="D6991">
        <v>1123</v>
      </c>
      <c r="E6991" s="130">
        <v>19805483</v>
      </c>
      <c r="F6991" t="s">
        <v>87</v>
      </c>
      <c r="G6991">
        <v>78</v>
      </c>
      <c r="H6991" t="s">
        <v>8953</v>
      </c>
      <c r="I6991" s="130">
        <v>9</v>
      </c>
      <c r="J6991" t="s">
        <v>8615</v>
      </c>
      <c r="K6991" t="s">
        <v>108</v>
      </c>
      <c r="L6991" t="s">
        <v>125</v>
      </c>
      <c r="M6991" t="s">
        <v>112</v>
      </c>
      <c r="N6991" t="s">
        <v>101</v>
      </c>
      <c r="O6991" t="s">
        <v>1345</v>
      </c>
    </row>
    <row r="6992" spans="1:15" x14ac:dyDescent="0.3">
      <c r="A6992" s="130">
        <v>72691</v>
      </c>
      <c r="B6992" s="130">
        <v>30</v>
      </c>
      <c r="C6992" s="130" t="s">
        <v>8616</v>
      </c>
      <c r="D6992">
        <v>1124</v>
      </c>
      <c r="E6992" s="130">
        <v>7134777</v>
      </c>
      <c r="F6992" t="s">
        <v>87</v>
      </c>
      <c r="G6992">
        <v>78</v>
      </c>
      <c r="H6992" t="s">
        <v>8951</v>
      </c>
      <c r="I6992" s="130">
        <v>9</v>
      </c>
      <c r="J6992" t="s">
        <v>8616</v>
      </c>
      <c r="K6992" t="s">
        <v>95</v>
      </c>
      <c r="L6992" t="s">
        <v>125</v>
      </c>
      <c r="M6992" t="s">
        <v>103</v>
      </c>
      <c r="N6992" t="s">
        <v>98</v>
      </c>
      <c r="O6992" t="s">
        <v>1345</v>
      </c>
    </row>
    <row r="6993" spans="1:15" x14ac:dyDescent="0.3">
      <c r="A6993" s="130">
        <v>72692</v>
      </c>
      <c r="B6993" s="130">
        <v>18</v>
      </c>
      <c r="C6993" s="130" t="s">
        <v>8617</v>
      </c>
      <c r="D6993">
        <v>1125</v>
      </c>
      <c r="E6993" s="130">
        <v>35542443</v>
      </c>
      <c r="F6993" t="s">
        <v>87</v>
      </c>
      <c r="G6993">
        <v>358</v>
      </c>
      <c r="H6993" t="s">
        <v>8952</v>
      </c>
      <c r="I6993" s="130">
        <v>2</v>
      </c>
      <c r="J6993" t="s">
        <v>8617</v>
      </c>
      <c r="K6993" t="s">
        <v>108</v>
      </c>
      <c r="L6993" t="s">
        <v>111</v>
      </c>
      <c r="M6993" t="s">
        <v>112</v>
      </c>
      <c r="N6993" t="s">
        <v>101</v>
      </c>
      <c r="O6993" t="s">
        <v>1345</v>
      </c>
    </row>
    <row r="6994" spans="1:15" x14ac:dyDescent="0.3">
      <c r="A6994" s="130">
        <v>72695</v>
      </c>
      <c r="B6994" s="130">
        <v>18</v>
      </c>
      <c r="C6994" s="130" t="s">
        <v>8618</v>
      </c>
      <c r="D6994">
        <v>1126</v>
      </c>
      <c r="E6994" s="130">
        <v>21596467</v>
      </c>
      <c r="F6994" t="s">
        <v>87</v>
      </c>
      <c r="G6994">
        <v>78</v>
      </c>
      <c r="H6994" t="s">
        <v>8953</v>
      </c>
      <c r="I6994" s="130">
        <v>19</v>
      </c>
      <c r="J6994" t="s">
        <v>8618</v>
      </c>
      <c r="K6994" t="s">
        <v>108</v>
      </c>
      <c r="L6994" t="s">
        <v>146</v>
      </c>
      <c r="M6994" t="s">
        <v>112</v>
      </c>
      <c r="N6994" t="s">
        <v>122</v>
      </c>
      <c r="O6994" t="s">
        <v>116</v>
      </c>
    </row>
    <row r="6995" spans="1:15" x14ac:dyDescent="0.3">
      <c r="A6995" s="130">
        <v>72701</v>
      </c>
      <c r="B6995" s="130">
        <v>18</v>
      </c>
      <c r="C6995" s="130" t="s">
        <v>8619</v>
      </c>
      <c r="D6995">
        <v>1127</v>
      </c>
      <c r="E6995" s="131">
        <v>34146259</v>
      </c>
      <c r="F6995" t="s">
        <v>87</v>
      </c>
      <c r="G6995">
        <v>78</v>
      </c>
      <c r="H6995" t="s">
        <v>8951</v>
      </c>
      <c r="I6995" s="131">
        <v>10</v>
      </c>
      <c r="J6995" t="s">
        <v>8619</v>
      </c>
      <c r="K6995" t="s">
        <v>108</v>
      </c>
      <c r="L6995" t="s">
        <v>127</v>
      </c>
      <c r="M6995" t="s">
        <v>112</v>
      </c>
      <c r="N6995" t="s">
        <v>122</v>
      </c>
      <c r="O6995" t="s">
        <v>1345</v>
      </c>
    </row>
    <row r="6996" spans="1:15" x14ac:dyDescent="0.3">
      <c r="A6996" s="130">
        <v>72702</v>
      </c>
      <c r="B6996" s="130">
        <v>60</v>
      </c>
      <c r="C6996" s="130" t="s">
        <v>8620</v>
      </c>
      <c r="D6996">
        <v>1128</v>
      </c>
      <c r="E6996" s="130">
        <v>17164435</v>
      </c>
      <c r="F6996" t="s">
        <v>87</v>
      </c>
      <c r="G6996">
        <v>358</v>
      </c>
      <c r="H6996" t="s">
        <v>8952</v>
      </c>
      <c r="I6996" s="131">
        <v>2</v>
      </c>
      <c r="J6996" t="s">
        <v>8620</v>
      </c>
      <c r="K6996" t="s">
        <v>95</v>
      </c>
      <c r="L6996" t="s">
        <v>99</v>
      </c>
      <c r="M6996" t="s">
        <v>97</v>
      </c>
      <c r="N6996" t="s">
        <v>98</v>
      </c>
      <c r="O6996" t="s">
        <v>1345</v>
      </c>
    </row>
    <row r="6997" spans="1:15" x14ac:dyDescent="0.3">
      <c r="A6997" s="130">
        <v>72704</v>
      </c>
      <c r="B6997" s="130">
        <v>28</v>
      </c>
      <c r="C6997" s="130" t="s">
        <v>8621</v>
      </c>
      <c r="D6997">
        <v>1129</v>
      </c>
      <c r="E6997" s="130">
        <v>2265872</v>
      </c>
      <c r="F6997" t="s">
        <v>87</v>
      </c>
      <c r="G6997">
        <v>358</v>
      </c>
      <c r="H6997" t="s">
        <v>8953</v>
      </c>
      <c r="I6997" s="130">
        <v>2</v>
      </c>
      <c r="J6997" t="s">
        <v>8621</v>
      </c>
      <c r="K6997" t="s">
        <v>95</v>
      </c>
      <c r="L6997" t="s">
        <v>99</v>
      </c>
      <c r="M6997" t="s">
        <v>130</v>
      </c>
      <c r="N6997" t="s">
        <v>98</v>
      </c>
      <c r="O6997" t="s">
        <v>1345</v>
      </c>
    </row>
    <row r="6998" spans="1:15" x14ac:dyDescent="0.3">
      <c r="A6998" s="130">
        <v>72705</v>
      </c>
      <c r="B6998" s="130">
        <v>30</v>
      </c>
      <c r="C6998" s="130" t="s">
        <v>8622</v>
      </c>
      <c r="D6998">
        <v>1130</v>
      </c>
      <c r="E6998" s="130">
        <v>33193996</v>
      </c>
      <c r="F6998" t="s">
        <v>87</v>
      </c>
      <c r="G6998">
        <v>78</v>
      </c>
      <c r="H6998" t="s">
        <v>8951</v>
      </c>
      <c r="I6998" s="131">
        <v>10</v>
      </c>
      <c r="J6998" t="s">
        <v>8622</v>
      </c>
      <c r="K6998" t="s">
        <v>95</v>
      </c>
      <c r="L6998" t="s">
        <v>127</v>
      </c>
      <c r="M6998" t="s">
        <v>103</v>
      </c>
      <c r="N6998" t="s">
        <v>118</v>
      </c>
      <c r="O6998" t="s">
        <v>1345</v>
      </c>
    </row>
    <row r="6999" spans="1:15" x14ac:dyDescent="0.3">
      <c r="A6999" s="130">
        <v>72706</v>
      </c>
      <c r="B6999" s="130">
        <v>18</v>
      </c>
      <c r="C6999" s="130" t="s">
        <v>8623</v>
      </c>
      <c r="D6999">
        <v>1131</v>
      </c>
      <c r="E6999" s="130">
        <v>17236192</v>
      </c>
      <c r="F6999" t="s">
        <v>87</v>
      </c>
      <c r="G6999">
        <v>358</v>
      </c>
      <c r="H6999" t="s">
        <v>8952</v>
      </c>
      <c r="I6999" s="130">
        <v>2</v>
      </c>
      <c r="J6999" t="s">
        <v>8623</v>
      </c>
      <c r="K6999" t="s">
        <v>108</v>
      </c>
      <c r="L6999" t="s">
        <v>1245</v>
      </c>
      <c r="M6999" t="s">
        <v>112</v>
      </c>
      <c r="N6999" t="s">
        <v>150</v>
      </c>
      <c r="O6999" t="s">
        <v>1345</v>
      </c>
    </row>
    <row r="7000" spans="1:15" x14ac:dyDescent="0.3">
      <c r="A7000" s="130">
        <v>72710</v>
      </c>
      <c r="B7000" s="130">
        <v>18</v>
      </c>
      <c r="C7000" s="130" t="s">
        <v>8624</v>
      </c>
      <c r="D7000">
        <v>1132</v>
      </c>
      <c r="E7000" s="130">
        <v>7899139</v>
      </c>
      <c r="F7000" t="s">
        <v>87</v>
      </c>
      <c r="G7000">
        <v>78</v>
      </c>
      <c r="H7000" t="s">
        <v>8953</v>
      </c>
      <c r="I7000" s="130">
        <v>10</v>
      </c>
      <c r="J7000" t="s">
        <v>8624</v>
      </c>
      <c r="K7000" t="s">
        <v>108</v>
      </c>
      <c r="L7000" t="s">
        <v>127</v>
      </c>
      <c r="M7000" t="s">
        <v>112</v>
      </c>
      <c r="N7000" t="s">
        <v>98</v>
      </c>
      <c r="O7000" t="s">
        <v>1345</v>
      </c>
    </row>
    <row r="7001" spans="1:15" x14ac:dyDescent="0.3">
      <c r="A7001" s="130">
        <v>72711</v>
      </c>
      <c r="B7001" s="130">
        <v>30</v>
      </c>
      <c r="C7001" s="130" t="s">
        <v>8625</v>
      </c>
      <c r="D7001">
        <v>1133</v>
      </c>
      <c r="E7001" s="130">
        <v>13473637</v>
      </c>
      <c r="F7001" t="s">
        <v>87</v>
      </c>
      <c r="G7001">
        <v>78</v>
      </c>
      <c r="H7001" t="s">
        <v>8951</v>
      </c>
      <c r="I7001" s="131">
        <v>24</v>
      </c>
      <c r="J7001" t="s">
        <v>8625</v>
      </c>
      <c r="K7001" t="s">
        <v>95</v>
      </c>
      <c r="L7001" t="s">
        <v>138</v>
      </c>
      <c r="M7001" t="s">
        <v>103</v>
      </c>
      <c r="N7001" t="s">
        <v>98</v>
      </c>
      <c r="O7001" t="s">
        <v>1345</v>
      </c>
    </row>
    <row r="7002" spans="1:15" x14ac:dyDescent="0.3">
      <c r="A7002" s="130">
        <v>72719</v>
      </c>
      <c r="B7002" s="130">
        <v>18</v>
      </c>
      <c r="C7002" s="130" t="s">
        <v>8626</v>
      </c>
      <c r="D7002">
        <v>1134</v>
      </c>
      <c r="E7002" s="130">
        <v>5899350</v>
      </c>
      <c r="F7002" t="s">
        <v>87</v>
      </c>
      <c r="G7002">
        <v>78</v>
      </c>
      <c r="H7002" t="s">
        <v>8952</v>
      </c>
      <c r="I7002" s="131">
        <v>9</v>
      </c>
      <c r="J7002" t="s">
        <v>8626</v>
      </c>
      <c r="K7002" t="s">
        <v>108</v>
      </c>
      <c r="L7002" t="s">
        <v>125</v>
      </c>
      <c r="M7002" t="s">
        <v>112</v>
      </c>
      <c r="N7002" t="s">
        <v>122</v>
      </c>
      <c r="O7002" t="s">
        <v>1345</v>
      </c>
    </row>
    <row r="7003" spans="1:15" x14ac:dyDescent="0.3">
      <c r="A7003" s="130">
        <v>72721</v>
      </c>
      <c r="B7003" s="130">
        <v>30</v>
      </c>
      <c r="C7003" s="130" t="s">
        <v>8627</v>
      </c>
      <c r="D7003">
        <v>1135</v>
      </c>
      <c r="E7003" s="130">
        <v>8343492</v>
      </c>
      <c r="F7003" t="s">
        <v>87</v>
      </c>
      <c r="G7003">
        <v>77</v>
      </c>
      <c r="H7003" t="s">
        <v>8953</v>
      </c>
      <c r="I7003" s="130">
        <v>2</v>
      </c>
      <c r="J7003" t="s">
        <v>8627</v>
      </c>
      <c r="K7003" t="s">
        <v>95</v>
      </c>
      <c r="L7003" t="s">
        <v>1255</v>
      </c>
      <c r="M7003" t="s">
        <v>103</v>
      </c>
      <c r="N7003" t="s">
        <v>98</v>
      </c>
      <c r="O7003" t="s">
        <v>1345</v>
      </c>
    </row>
    <row r="7004" spans="1:15" x14ac:dyDescent="0.3">
      <c r="A7004" s="130">
        <v>72722</v>
      </c>
      <c r="B7004" s="130">
        <v>18</v>
      </c>
      <c r="C7004" s="130" t="s">
        <v>8628</v>
      </c>
      <c r="D7004">
        <v>1136</v>
      </c>
      <c r="E7004" s="130">
        <v>23341686</v>
      </c>
      <c r="F7004" t="s">
        <v>87</v>
      </c>
      <c r="G7004">
        <v>78</v>
      </c>
      <c r="H7004" t="s">
        <v>8951</v>
      </c>
      <c r="I7004" s="130">
        <v>18</v>
      </c>
      <c r="J7004" t="s">
        <v>8628</v>
      </c>
      <c r="K7004" t="s">
        <v>108</v>
      </c>
      <c r="L7004" t="s">
        <v>123</v>
      </c>
      <c r="M7004" t="s">
        <v>112</v>
      </c>
      <c r="N7004" t="s">
        <v>114</v>
      </c>
      <c r="O7004" t="s">
        <v>1345</v>
      </c>
    </row>
    <row r="7005" spans="1:15" x14ac:dyDescent="0.3">
      <c r="A7005" s="130">
        <v>72723</v>
      </c>
      <c r="B7005" s="130">
        <v>30</v>
      </c>
      <c r="C7005" s="130" t="s">
        <v>8629</v>
      </c>
      <c r="D7005">
        <v>1137</v>
      </c>
      <c r="E7005" s="131">
        <v>8343492</v>
      </c>
      <c r="F7005" t="s">
        <v>87</v>
      </c>
      <c r="G7005">
        <v>77</v>
      </c>
      <c r="H7005" t="s">
        <v>8952</v>
      </c>
      <c r="I7005" s="130">
        <v>18</v>
      </c>
      <c r="J7005" t="s">
        <v>8629</v>
      </c>
      <c r="K7005" t="s">
        <v>95</v>
      </c>
      <c r="L7005" t="s">
        <v>1255</v>
      </c>
      <c r="M7005" t="s">
        <v>103</v>
      </c>
      <c r="N7005" t="s">
        <v>98</v>
      </c>
      <c r="O7005" t="s">
        <v>1345</v>
      </c>
    </row>
    <row r="7006" spans="1:15" x14ac:dyDescent="0.3">
      <c r="A7006" s="130">
        <v>72724</v>
      </c>
      <c r="B7006" s="130">
        <v>0</v>
      </c>
      <c r="C7006" s="130" t="s">
        <v>8630</v>
      </c>
      <c r="D7006">
        <v>1370</v>
      </c>
      <c r="E7006" s="130">
        <v>6974176</v>
      </c>
      <c r="F7006" t="s">
        <v>87</v>
      </c>
      <c r="G7006">
        <v>78</v>
      </c>
      <c r="H7006" t="s">
        <v>8953</v>
      </c>
      <c r="I7006" s="131">
        <v>2</v>
      </c>
      <c r="J7006" t="s">
        <v>8630</v>
      </c>
      <c r="K7006" t="s">
        <v>108</v>
      </c>
      <c r="L7006" t="s">
        <v>102</v>
      </c>
      <c r="M7006" t="s">
        <v>100</v>
      </c>
      <c r="N7006" t="s">
        <v>121</v>
      </c>
      <c r="O7006" t="s">
        <v>1345</v>
      </c>
    </row>
    <row r="7007" spans="1:15" x14ac:dyDescent="0.3">
      <c r="A7007" s="130">
        <v>72725</v>
      </c>
      <c r="B7007" s="130">
        <v>30</v>
      </c>
      <c r="C7007" s="130" t="s">
        <v>8631</v>
      </c>
      <c r="D7007">
        <v>1138</v>
      </c>
      <c r="E7007" s="130">
        <v>5515245</v>
      </c>
      <c r="F7007" t="s">
        <v>87</v>
      </c>
      <c r="G7007">
        <v>78</v>
      </c>
      <c r="H7007" t="s">
        <v>8951</v>
      </c>
      <c r="I7007" s="130">
        <v>9</v>
      </c>
      <c r="J7007" t="s">
        <v>8631</v>
      </c>
      <c r="K7007" t="s">
        <v>95</v>
      </c>
      <c r="L7007" t="s">
        <v>111</v>
      </c>
      <c r="M7007" t="s">
        <v>103</v>
      </c>
      <c r="N7007" t="s">
        <v>98</v>
      </c>
      <c r="O7007" t="s">
        <v>116</v>
      </c>
    </row>
    <row r="7008" spans="1:15" x14ac:dyDescent="0.3">
      <c r="A7008" s="130">
        <v>72726</v>
      </c>
      <c r="B7008" s="130">
        <v>15</v>
      </c>
      <c r="C7008" s="130" t="s">
        <v>8632</v>
      </c>
      <c r="D7008">
        <v>1139</v>
      </c>
      <c r="E7008" s="130">
        <v>37227676</v>
      </c>
      <c r="F7008" t="s">
        <v>87</v>
      </c>
      <c r="G7008">
        <v>78</v>
      </c>
      <c r="H7008" t="s">
        <v>8952</v>
      </c>
      <c r="I7008" s="131">
        <v>24</v>
      </c>
      <c r="J7008" t="s">
        <v>8632</v>
      </c>
      <c r="K7008" t="s">
        <v>95</v>
      </c>
      <c r="L7008" t="s">
        <v>138</v>
      </c>
      <c r="M7008" t="s">
        <v>145</v>
      </c>
      <c r="N7008" t="s">
        <v>98</v>
      </c>
      <c r="O7008" t="s">
        <v>1345</v>
      </c>
    </row>
    <row r="7009" spans="1:15" x14ac:dyDescent="0.3">
      <c r="A7009" s="130">
        <v>72727</v>
      </c>
      <c r="B7009" s="130">
        <v>18</v>
      </c>
      <c r="C7009" s="130" t="s">
        <v>8633</v>
      </c>
      <c r="D7009">
        <v>1371</v>
      </c>
      <c r="E7009" s="131">
        <v>28426989</v>
      </c>
      <c r="F7009" t="s">
        <v>87</v>
      </c>
      <c r="G7009">
        <v>358</v>
      </c>
      <c r="H7009" t="s">
        <v>8953</v>
      </c>
      <c r="I7009" s="130">
        <v>2</v>
      </c>
      <c r="J7009" t="s">
        <v>8633</v>
      </c>
      <c r="K7009" t="s">
        <v>108</v>
      </c>
      <c r="L7009" t="s">
        <v>111</v>
      </c>
      <c r="M7009" t="s">
        <v>112</v>
      </c>
      <c r="N7009" t="s">
        <v>101</v>
      </c>
      <c r="O7009" t="s">
        <v>1345</v>
      </c>
    </row>
    <row r="7010" spans="1:15" x14ac:dyDescent="0.3">
      <c r="A7010" s="130">
        <v>72728</v>
      </c>
      <c r="B7010" s="130">
        <v>18</v>
      </c>
      <c r="C7010" s="130" t="s">
        <v>8634</v>
      </c>
      <c r="D7010">
        <v>1140</v>
      </c>
      <c r="E7010" s="130">
        <v>38154906</v>
      </c>
      <c r="F7010" t="s">
        <v>87</v>
      </c>
      <c r="G7010">
        <v>78</v>
      </c>
      <c r="H7010" t="s">
        <v>8951</v>
      </c>
      <c r="I7010" s="130">
        <v>24</v>
      </c>
      <c r="J7010" t="s">
        <v>8634</v>
      </c>
      <c r="K7010" t="s">
        <v>108</v>
      </c>
      <c r="L7010" t="s">
        <v>1346</v>
      </c>
      <c r="M7010" t="s">
        <v>112</v>
      </c>
      <c r="N7010" t="s">
        <v>101</v>
      </c>
      <c r="O7010" t="s">
        <v>1345</v>
      </c>
    </row>
    <row r="7011" spans="1:15" x14ac:dyDescent="0.3">
      <c r="A7011" s="130">
        <v>72730</v>
      </c>
      <c r="B7011" s="130">
        <v>18</v>
      </c>
      <c r="C7011" s="130" t="s">
        <v>8635</v>
      </c>
      <c r="D7011">
        <v>1141</v>
      </c>
      <c r="E7011" s="131">
        <v>11472840</v>
      </c>
      <c r="F7011" t="s">
        <v>87</v>
      </c>
      <c r="G7011">
        <v>78</v>
      </c>
      <c r="H7011" t="s">
        <v>8952</v>
      </c>
      <c r="I7011" s="131">
        <v>26</v>
      </c>
      <c r="J7011" t="s">
        <v>8635</v>
      </c>
      <c r="K7011" t="s">
        <v>108</v>
      </c>
      <c r="L7011" t="s">
        <v>151</v>
      </c>
      <c r="M7011" t="s">
        <v>112</v>
      </c>
      <c r="N7011" t="s">
        <v>124</v>
      </c>
      <c r="O7011" t="s">
        <v>1345</v>
      </c>
    </row>
    <row r="7012" spans="1:15" x14ac:dyDescent="0.3">
      <c r="A7012" s="130">
        <v>72731</v>
      </c>
      <c r="B7012" s="130">
        <v>30</v>
      </c>
      <c r="C7012" s="130" t="s">
        <v>8636</v>
      </c>
      <c r="D7012">
        <v>1142</v>
      </c>
      <c r="E7012" s="131">
        <v>9329077</v>
      </c>
      <c r="F7012" t="s">
        <v>87</v>
      </c>
      <c r="G7012">
        <v>78</v>
      </c>
      <c r="H7012" t="s">
        <v>8953</v>
      </c>
      <c r="I7012" s="131">
        <v>18</v>
      </c>
      <c r="J7012" t="s">
        <v>8636</v>
      </c>
      <c r="K7012" t="s">
        <v>95</v>
      </c>
      <c r="L7012" t="s">
        <v>123</v>
      </c>
      <c r="M7012" t="s">
        <v>103</v>
      </c>
      <c r="N7012" t="s">
        <v>98</v>
      </c>
      <c r="O7012" t="s">
        <v>1345</v>
      </c>
    </row>
    <row r="7013" spans="1:15" x14ac:dyDescent="0.3">
      <c r="A7013" s="130">
        <v>72732</v>
      </c>
      <c r="B7013" s="130">
        <v>18</v>
      </c>
      <c r="C7013" s="130" t="s">
        <v>8637</v>
      </c>
      <c r="D7013">
        <v>1143</v>
      </c>
      <c r="E7013" s="130">
        <v>5515245</v>
      </c>
      <c r="F7013" t="s">
        <v>87</v>
      </c>
      <c r="G7013">
        <v>358</v>
      </c>
      <c r="H7013" t="s">
        <v>8951</v>
      </c>
      <c r="I7013" s="130">
        <v>24</v>
      </c>
      <c r="J7013" t="s">
        <v>8637</v>
      </c>
      <c r="K7013" t="s">
        <v>95</v>
      </c>
      <c r="L7013" t="s">
        <v>109</v>
      </c>
      <c r="M7013" t="s">
        <v>112</v>
      </c>
      <c r="N7013" t="s">
        <v>98</v>
      </c>
      <c r="O7013" t="s">
        <v>1345</v>
      </c>
    </row>
    <row r="7014" spans="1:15" x14ac:dyDescent="0.3">
      <c r="A7014" s="130">
        <v>72734</v>
      </c>
      <c r="B7014" s="130">
        <v>18</v>
      </c>
      <c r="C7014" s="130" t="s">
        <v>8638</v>
      </c>
      <c r="D7014">
        <v>1144</v>
      </c>
      <c r="E7014" s="130">
        <v>8404952</v>
      </c>
      <c r="F7014" t="s">
        <v>87</v>
      </c>
      <c r="G7014">
        <v>358</v>
      </c>
      <c r="H7014" t="s">
        <v>8952</v>
      </c>
      <c r="I7014" s="130">
        <v>2</v>
      </c>
      <c r="J7014" t="s">
        <v>8638</v>
      </c>
      <c r="K7014" t="s">
        <v>95</v>
      </c>
      <c r="L7014" t="s">
        <v>99</v>
      </c>
      <c r="M7014" t="s">
        <v>112</v>
      </c>
      <c r="N7014" t="s">
        <v>162</v>
      </c>
      <c r="O7014" t="s">
        <v>1345</v>
      </c>
    </row>
    <row r="7015" spans="1:15" x14ac:dyDescent="0.3">
      <c r="A7015" s="130">
        <v>72735</v>
      </c>
      <c r="B7015" s="130">
        <v>30</v>
      </c>
      <c r="C7015" s="130" t="s">
        <v>8639</v>
      </c>
      <c r="D7015">
        <v>1145</v>
      </c>
      <c r="E7015" s="131">
        <v>33000167</v>
      </c>
      <c r="F7015" t="s">
        <v>87</v>
      </c>
      <c r="G7015">
        <v>78</v>
      </c>
      <c r="H7015" t="s">
        <v>8953</v>
      </c>
      <c r="I7015" s="131">
        <v>24</v>
      </c>
      <c r="J7015" t="s">
        <v>8639</v>
      </c>
      <c r="K7015" t="s">
        <v>95</v>
      </c>
      <c r="L7015" t="s">
        <v>102</v>
      </c>
      <c r="M7015" t="s">
        <v>103</v>
      </c>
      <c r="N7015" t="s">
        <v>101</v>
      </c>
      <c r="O7015" t="s">
        <v>1345</v>
      </c>
    </row>
    <row r="7016" spans="1:15" x14ac:dyDescent="0.3">
      <c r="A7016" s="130">
        <v>72737</v>
      </c>
      <c r="B7016" s="130">
        <v>18</v>
      </c>
      <c r="C7016" s="130" t="s">
        <v>8640</v>
      </c>
      <c r="D7016">
        <v>1146</v>
      </c>
      <c r="E7016" s="131">
        <v>23768603</v>
      </c>
      <c r="F7016" t="s">
        <v>87</v>
      </c>
      <c r="G7016">
        <v>358</v>
      </c>
      <c r="H7016" t="s">
        <v>8951</v>
      </c>
      <c r="I7016" s="130">
        <v>9</v>
      </c>
      <c r="J7016" t="s">
        <v>8640</v>
      </c>
      <c r="K7016" t="s">
        <v>108</v>
      </c>
      <c r="L7016" t="s">
        <v>105</v>
      </c>
      <c r="M7016" t="s">
        <v>112</v>
      </c>
      <c r="N7016" t="s">
        <v>98</v>
      </c>
      <c r="O7016" t="s">
        <v>1345</v>
      </c>
    </row>
    <row r="7017" spans="1:15" x14ac:dyDescent="0.3">
      <c r="A7017" s="130">
        <v>72738</v>
      </c>
      <c r="B7017" s="130">
        <v>60</v>
      </c>
      <c r="C7017" s="130" t="s">
        <v>8641</v>
      </c>
      <c r="D7017">
        <v>1147</v>
      </c>
      <c r="E7017" s="130">
        <v>3176142</v>
      </c>
      <c r="F7017" t="s">
        <v>87</v>
      </c>
      <c r="G7017">
        <v>78</v>
      </c>
      <c r="H7017" t="s">
        <v>8952</v>
      </c>
      <c r="I7017" s="130">
        <v>18</v>
      </c>
      <c r="J7017" t="s">
        <v>8641</v>
      </c>
      <c r="K7017" t="s">
        <v>108</v>
      </c>
      <c r="L7017" t="s">
        <v>123</v>
      </c>
      <c r="M7017" t="s">
        <v>97</v>
      </c>
      <c r="N7017" t="s">
        <v>98</v>
      </c>
      <c r="O7017" t="s">
        <v>116</v>
      </c>
    </row>
    <row r="7018" spans="1:15" x14ac:dyDescent="0.3">
      <c r="A7018" s="130">
        <v>72739</v>
      </c>
      <c r="B7018" s="130">
        <v>30</v>
      </c>
      <c r="C7018" s="130" t="s">
        <v>8642</v>
      </c>
      <c r="D7018">
        <v>1148</v>
      </c>
      <c r="E7018" s="130">
        <v>73305997</v>
      </c>
      <c r="F7018" t="s">
        <v>87</v>
      </c>
      <c r="G7018">
        <v>78</v>
      </c>
      <c r="H7018" t="s">
        <v>8953</v>
      </c>
      <c r="I7018" s="130">
        <v>10</v>
      </c>
      <c r="J7018" t="s">
        <v>8642</v>
      </c>
      <c r="K7018" t="s">
        <v>95</v>
      </c>
      <c r="L7018" t="s">
        <v>127</v>
      </c>
      <c r="M7018" t="s">
        <v>103</v>
      </c>
      <c r="N7018" t="s">
        <v>118</v>
      </c>
      <c r="O7018" t="s">
        <v>1345</v>
      </c>
    </row>
    <row r="7019" spans="1:15" x14ac:dyDescent="0.3">
      <c r="A7019" s="130">
        <v>72741</v>
      </c>
      <c r="B7019" s="130">
        <v>30</v>
      </c>
      <c r="C7019" s="130" t="s">
        <v>8643</v>
      </c>
      <c r="D7019">
        <v>1373</v>
      </c>
      <c r="E7019" s="130">
        <v>60394665</v>
      </c>
      <c r="F7019" t="s">
        <v>87</v>
      </c>
      <c r="G7019">
        <v>78</v>
      </c>
      <c r="H7019" t="s">
        <v>8951</v>
      </c>
      <c r="I7019" s="130">
        <v>10</v>
      </c>
      <c r="J7019" t="s">
        <v>8643</v>
      </c>
      <c r="K7019" t="s">
        <v>95</v>
      </c>
      <c r="L7019" t="s">
        <v>127</v>
      </c>
      <c r="M7019" t="s">
        <v>103</v>
      </c>
      <c r="N7019" t="s">
        <v>118</v>
      </c>
      <c r="O7019" t="s">
        <v>1345</v>
      </c>
    </row>
    <row r="7020" spans="1:15" x14ac:dyDescent="0.3">
      <c r="A7020" s="130">
        <v>72744</v>
      </c>
      <c r="B7020" s="130">
        <v>18</v>
      </c>
      <c r="C7020" s="130" t="s">
        <v>8644</v>
      </c>
      <c r="D7020">
        <v>1149</v>
      </c>
      <c r="E7020" s="131">
        <v>21097159</v>
      </c>
      <c r="F7020" t="s">
        <v>87</v>
      </c>
      <c r="G7020">
        <v>358</v>
      </c>
      <c r="H7020" t="s">
        <v>8952</v>
      </c>
      <c r="I7020" s="130">
        <v>18</v>
      </c>
      <c r="J7020" t="s">
        <v>8644</v>
      </c>
      <c r="K7020" t="s">
        <v>108</v>
      </c>
      <c r="L7020" t="s">
        <v>99</v>
      </c>
      <c r="M7020" t="s">
        <v>112</v>
      </c>
      <c r="N7020" t="s">
        <v>98</v>
      </c>
      <c r="O7020" t="s">
        <v>1345</v>
      </c>
    </row>
    <row r="7021" spans="1:15" x14ac:dyDescent="0.3">
      <c r="A7021" s="130">
        <v>72745</v>
      </c>
      <c r="B7021" s="130">
        <v>30</v>
      </c>
      <c r="C7021" s="130" t="s">
        <v>8645</v>
      </c>
      <c r="D7021">
        <v>1150</v>
      </c>
      <c r="E7021" s="131">
        <v>6094474</v>
      </c>
      <c r="F7021" t="s">
        <v>87</v>
      </c>
      <c r="G7021">
        <v>358</v>
      </c>
      <c r="H7021" t="s">
        <v>8953</v>
      </c>
      <c r="I7021" s="130">
        <v>2</v>
      </c>
      <c r="J7021" t="s">
        <v>8645</v>
      </c>
      <c r="K7021" t="s">
        <v>95</v>
      </c>
      <c r="L7021" t="s">
        <v>105</v>
      </c>
      <c r="M7021" t="s">
        <v>103</v>
      </c>
      <c r="N7021" t="s">
        <v>101</v>
      </c>
      <c r="O7021" t="s">
        <v>1345</v>
      </c>
    </row>
    <row r="7022" spans="1:15" x14ac:dyDescent="0.3">
      <c r="A7022" s="130">
        <v>72746</v>
      </c>
      <c r="B7022" s="130">
        <v>18</v>
      </c>
      <c r="C7022" s="130" t="s">
        <v>8646</v>
      </c>
      <c r="D7022">
        <v>1151</v>
      </c>
      <c r="E7022" s="131">
        <v>3517123</v>
      </c>
      <c r="F7022" t="s">
        <v>87</v>
      </c>
      <c r="G7022">
        <v>358</v>
      </c>
      <c r="H7022" t="s">
        <v>8951</v>
      </c>
      <c r="I7022" s="131">
        <v>2</v>
      </c>
      <c r="J7022" t="s">
        <v>8646</v>
      </c>
      <c r="K7022" t="s">
        <v>108</v>
      </c>
      <c r="L7022" t="s">
        <v>111</v>
      </c>
      <c r="M7022" t="s">
        <v>112</v>
      </c>
      <c r="N7022" t="s">
        <v>98</v>
      </c>
      <c r="O7022" t="s">
        <v>116</v>
      </c>
    </row>
    <row r="7023" spans="1:15" x14ac:dyDescent="0.3">
      <c r="A7023" s="130">
        <v>72748</v>
      </c>
      <c r="B7023" s="130">
        <v>30</v>
      </c>
      <c r="C7023" s="130" t="s">
        <v>8647</v>
      </c>
      <c r="D7023">
        <v>1152</v>
      </c>
      <c r="E7023" s="130">
        <v>3573571</v>
      </c>
      <c r="F7023" t="s">
        <v>87</v>
      </c>
      <c r="G7023">
        <v>78</v>
      </c>
      <c r="H7023" t="s">
        <v>8952</v>
      </c>
      <c r="I7023" s="130">
        <v>18</v>
      </c>
      <c r="J7023" t="s">
        <v>8647</v>
      </c>
      <c r="K7023" t="s">
        <v>95</v>
      </c>
      <c r="L7023" t="s">
        <v>123</v>
      </c>
      <c r="M7023" t="s">
        <v>103</v>
      </c>
      <c r="N7023" t="s">
        <v>98</v>
      </c>
      <c r="O7023" t="s">
        <v>1345</v>
      </c>
    </row>
    <row r="7024" spans="1:15" x14ac:dyDescent="0.3">
      <c r="A7024" s="130">
        <v>72749</v>
      </c>
      <c r="B7024" s="130">
        <v>60</v>
      </c>
      <c r="C7024" s="130" t="s">
        <v>8648</v>
      </c>
      <c r="D7024">
        <v>1153</v>
      </c>
      <c r="E7024" s="130">
        <v>12056613</v>
      </c>
      <c r="F7024" t="s">
        <v>87</v>
      </c>
      <c r="G7024">
        <v>77</v>
      </c>
      <c r="H7024" t="s">
        <v>8953</v>
      </c>
      <c r="I7024" s="130">
        <v>2</v>
      </c>
      <c r="J7024" t="s">
        <v>8648</v>
      </c>
      <c r="K7024" t="s">
        <v>95</v>
      </c>
      <c r="L7024" t="s">
        <v>256</v>
      </c>
      <c r="M7024" t="s">
        <v>97</v>
      </c>
      <c r="N7024" t="s">
        <v>118</v>
      </c>
      <c r="O7024" t="s">
        <v>116</v>
      </c>
    </row>
    <row r="7025" spans="1:15" x14ac:dyDescent="0.3">
      <c r="A7025" s="130">
        <v>72751</v>
      </c>
      <c r="B7025" s="130">
        <v>60</v>
      </c>
      <c r="C7025" s="130" t="s">
        <v>8649</v>
      </c>
      <c r="D7025">
        <v>1154</v>
      </c>
      <c r="E7025" s="130">
        <v>12056613</v>
      </c>
      <c r="F7025" t="s">
        <v>87</v>
      </c>
      <c r="G7025">
        <v>77</v>
      </c>
      <c r="H7025" t="s">
        <v>8951</v>
      </c>
      <c r="I7025" s="130">
        <v>2</v>
      </c>
      <c r="J7025" t="s">
        <v>8649</v>
      </c>
      <c r="K7025" t="s">
        <v>95</v>
      </c>
      <c r="L7025" t="s">
        <v>256</v>
      </c>
      <c r="M7025" t="s">
        <v>97</v>
      </c>
      <c r="N7025" t="s">
        <v>104</v>
      </c>
      <c r="O7025" t="s">
        <v>116</v>
      </c>
    </row>
    <row r="7026" spans="1:15" x14ac:dyDescent="0.3">
      <c r="A7026" s="130">
        <v>72753</v>
      </c>
      <c r="B7026" s="130">
        <v>18</v>
      </c>
      <c r="C7026" s="130" t="s">
        <v>8650</v>
      </c>
      <c r="D7026">
        <v>1155</v>
      </c>
      <c r="E7026" s="130">
        <v>12580932</v>
      </c>
      <c r="F7026" t="s">
        <v>87</v>
      </c>
      <c r="G7026">
        <v>78</v>
      </c>
      <c r="H7026" t="s">
        <v>8952</v>
      </c>
      <c r="I7026" s="131">
        <v>9</v>
      </c>
      <c r="J7026" t="s">
        <v>8650</v>
      </c>
      <c r="K7026" t="s">
        <v>108</v>
      </c>
      <c r="L7026" t="s">
        <v>134</v>
      </c>
      <c r="M7026" t="s">
        <v>112</v>
      </c>
      <c r="N7026" t="s">
        <v>98</v>
      </c>
      <c r="O7026" t="s">
        <v>1345</v>
      </c>
    </row>
    <row r="7027" spans="1:15" x14ac:dyDescent="0.3">
      <c r="A7027" s="130">
        <v>72755</v>
      </c>
      <c r="B7027" s="130">
        <v>18</v>
      </c>
      <c r="C7027" s="130" t="s">
        <v>8651</v>
      </c>
      <c r="D7027">
        <v>1156</v>
      </c>
      <c r="E7027" s="131">
        <v>10514417</v>
      </c>
      <c r="F7027" t="s">
        <v>87</v>
      </c>
      <c r="G7027">
        <v>78</v>
      </c>
      <c r="H7027" t="s">
        <v>8953</v>
      </c>
      <c r="I7027" s="131">
        <v>10</v>
      </c>
      <c r="J7027" t="s">
        <v>8651</v>
      </c>
      <c r="K7027" t="s">
        <v>108</v>
      </c>
      <c r="L7027" t="s">
        <v>127</v>
      </c>
      <c r="M7027" t="s">
        <v>112</v>
      </c>
      <c r="N7027" t="s">
        <v>98</v>
      </c>
      <c r="O7027" t="s">
        <v>116</v>
      </c>
    </row>
    <row r="7028" spans="1:15" x14ac:dyDescent="0.3">
      <c r="A7028" s="130">
        <v>72757</v>
      </c>
      <c r="B7028" s="130">
        <v>30</v>
      </c>
      <c r="C7028" s="130" t="s">
        <v>8652</v>
      </c>
      <c r="D7028">
        <v>1157</v>
      </c>
      <c r="E7028" s="130">
        <v>27426196</v>
      </c>
      <c r="F7028" t="s">
        <v>87</v>
      </c>
      <c r="G7028">
        <v>78</v>
      </c>
      <c r="H7028" t="s">
        <v>8951</v>
      </c>
      <c r="I7028" s="131">
        <v>9</v>
      </c>
      <c r="J7028" t="s">
        <v>8652</v>
      </c>
      <c r="K7028" t="s">
        <v>95</v>
      </c>
      <c r="L7028" t="s">
        <v>105</v>
      </c>
      <c r="M7028" t="s">
        <v>103</v>
      </c>
      <c r="N7028" t="s">
        <v>98</v>
      </c>
      <c r="O7028" t="s">
        <v>1345</v>
      </c>
    </row>
    <row r="7029" spans="1:15" x14ac:dyDescent="0.3">
      <c r="A7029" s="130">
        <v>72758</v>
      </c>
      <c r="B7029" s="130">
        <v>18</v>
      </c>
      <c r="C7029" s="130" t="s">
        <v>8653</v>
      </c>
      <c r="D7029">
        <v>1376</v>
      </c>
      <c r="E7029" s="130">
        <v>10965978</v>
      </c>
      <c r="F7029" t="s">
        <v>87</v>
      </c>
      <c r="G7029">
        <v>78</v>
      </c>
      <c r="H7029" t="s">
        <v>8952</v>
      </c>
      <c r="I7029" s="131">
        <v>9</v>
      </c>
      <c r="J7029" t="s">
        <v>8653</v>
      </c>
      <c r="K7029" t="s">
        <v>108</v>
      </c>
      <c r="L7029" t="s">
        <v>134</v>
      </c>
      <c r="M7029" t="s">
        <v>112</v>
      </c>
      <c r="N7029" t="s">
        <v>98</v>
      </c>
      <c r="O7029" t="s">
        <v>1345</v>
      </c>
    </row>
    <row r="7030" spans="1:15" x14ac:dyDescent="0.3">
      <c r="A7030" s="130">
        <v>72759</v>
      </c>
      <c r="B7030" s="130">
        <v>18</v>
      </c>
      <c r="C7030" s="130" t="s">
        <v>8654</v>
      </c>
      <c r="D7030">
        <v>1158</v>
      </c>
      <c r="E7030" s="130">
        <v>11472840</v>
      </c>
      <c r="F7030" t="s">
        <v>87</v>
      </c>
      <c r="G7030">
        <v>78</v>
      </c>
      <c r="H7030" t="s">
        <v>8953</v>
      </c>
      <c r="I7030" s="130">
        <v>26</v>
      </c>
      <c r="J7030" t="s">
        <v>8654</v>
      </c>
      <c r="K7030" t="s">
        <v>108</v>
      </c>
      <c r="L7030" t="s">
        <v>151</v>
      </c>
      <c r="M7030" t="s">
        <v>112</v>
      </c>
      <c r="N7030" t="s">
        <v>124</v>
      </c>
      <c r="O7030" t="s">
        <v>1345</v>
      </c>
    </row>
    <row r="7031" spans="1:15" x14ac:dyDescent="0.3">
      <c r="A7031" s="130">
        <v>72761</v>
      </c>
      <c r="B7031" s="130">
        <v>30</v>
      </c>
      <c r="C7031" s="130" t="s">
        <v>8655</v>
      </c>
      <c r="D7031">
        <v>1159</v>
      </c>
      <c r="E7031" s="130">
        <v>33000167</v>
      </c>
      <c r="F7031" t="s">
        <v>87</v>
      </c>
      <c r="G7031">
        <v>78</v>
      </c>
      <c r="H7031" t="s">
        <v>8951</v>
      </c>
      <c r="I7031" s="130">
        <v>24</v>
      </c>
      <c r="J7031" t="s">
        <v>8655</v>
      </c>
      <c r="K7031" t="s">
        <v>95</v>
      </c>
      <c r="L7031" t="s">
        <v>102</v>
      </c>
      <c r="M7031" t="s">
        <v>103</v>
      </c>
      <c r="N7031" t="s">
        <v>101</v>
      </c>
      <c r="O7031" t="s">
        <v>1345</v>
      </c>
    </row>
    <row r="7032" spans="1:15" x14ac:dyDescent="0.3">
      <c r="A7032" s="130">
        <v>72764</v>
      </c>
      <c r="B7032" s="130">
        <v>18</v>
      </c>
      <c r="C7032" s="130" t="s">
        <v>8656</v>
      </c>
      <c r="D7032">
        <v>1377</v>
      </c>
      <c r="E7032" s="130">
        <v>31179314</v>
      </c>
      <c r="F7032" t="s">
        <v>87</v>
      </c>
      <c r="G7032">
        <v>78</v>
      </c>
      <c r="H7032" t="s">
        <v>8952</v>
      </c>
      <c r="I7032" s="131">
        <v>18</v>
      </c>
      <c r="J7032" t="s">
        <v>8656</v>
      </c>
      <c r="K7032" t="s">
        <v>108</v>
      </c>
      <c r="L7032" t="s">
        <v>123</v>
      </c>
      <c r="M7032" t="s">
        <v>112</v>
      </c>
      <c r="N7032" t="s">
        <v>101</v>
      </c>
      <c r="O7032" t="s">
        <v>1345</v>
      </c>
    </row>
    <row r="7033" spans="1:15" x14ac:dyDescent="0.3">
      <c r="A7033" s="130">
        <v>72766</v>
      </c>
      <c r="B7033" s="130">
        <v>60</v>
      </c>
      <c r="C7033" s="130" t="s">
        <v>8657</v>
      </c>
      <c r="D7033">
        <v>1160</v>
      </c>
      <c r="E7033" s="130">
        <v>33592510</v>
      </c>
      <c r="F7033" t="s">
        <v>87</v>
      </c>
      <c r="G7033">
        <v>77</v>
      </c>
      <c r="H7033" t="s">
        <v>8953</v>
      </c>
      <c r="I7033" s="131">
        <v>2</v>
      </c>
      <c r="J7033" t="s">
        <v>8657</v>
      </c>
      <c r="K7033" t="s">
        <v>95</v>
      </c>
      <c r="L7033" t="s">
        <v>117</v>
      </c>
      <c r="M7033" t="s">
        <v>97</v>
      </c>
      <c r="N7033" t="s">
        <v>118</v>
      </c>
      <c r="O7033" t="s">
        <v>1345</v>
      </c>
    </row>
    <row r="7034" spans="1:15" x14ac:dyDescent="0.3">
      <c r="A7034" s="130">
        <v>72767</v>
      </c>
      <c r="B7034" s="130">
        <v>18</v>
      </c>
      <c r="C7034" s="130" t="s">
        <v>8658</v>
      </c>
      <c r="D7034">
        <v>1378</v>
      </c>
      <c r="E7034" s="131">
        <v>4727090</v>
      </c>
      <c r="F7034" t="s">
        <v>87</v>
      </c>
      <c r="G7034">
        <v>358</v>
      </c>
      <c r="H7034" t="s">
        <v>8951</v>
      </c>
      <c r="I7034" s="131">
        <v>2</v>
      </c>
      <c r="J7034" t="s">
        <v>8658</v>
      </c>
      <c r="K7034" t="s">
        <v>108</v>
      </c>
      <c r="L7034" t="s">
        <v>99</v>
      </c>
      <c r="M7034" t="s">
        <v>112</v>
      </c>
      <c r="N7034" t="s">
        <v>101</v>
      </c>
      <c r="O7034" t="s">
        <v>1345</v>
      </c>
    </row>
    <row r="7035" spans="1:15" x14ac:dyDescent="0.3">
      <c r="A7035" s="130">
        <v>72768</v>
      </c>
      <c r="B7035" s="130">
        <v>60</v>
      </c>
      <c r="C7035" s="130" t="s">
        <v>8659</v>
      </c>
      <c r="D7035">
        <v>1161</v>
      </c>
      <c r="E7035" s="130">
        <v>33592510</v>
      </c>
      <c r="F7035" t="s">
        <v>87</v>
      </c>
      <c r="G7035">
        <v>77</v>
      </c>
      <c r="H7035" t="s">
        <v>8952</v>
      </c>
      <c r="I7035" s="130">
        <v>2</v>
      </c>
      <c r="J7035" t="s">
        <v>8659</v>
      </c>
      <c r="K7035" t="s">
        <v>95</v>
      </c>
      <c r="L7035" t="s">
        <v>117</v>
      </c>
      <c r="M7035" t="s">
        <v>97</v>
      </c>
      <c r="N7035" t="s">
        <v>118</v>
      </c>
      <c r="O7035" t="s">
        <v>1345</v>
      </c>
    </row>
    <row r="7036" spans="1:15" x14ac:dyDescent="0.3">
      <c r="A7036" s="130">
        <v>72770</v>
      </c>
      <c r="B7036" s="130">
        <v>60</v>
      </c>
      <c r="C7036" s="130" t="s">
        <v>8660</v>
      </c>
      <c r="D7036">
        <v>1162</v>
      </c>
      <c r="E7036" s="130">
        <v>33592510</v>
      </c>
      <c r="F7036" t="s">
        <v>87</v>
      </c>
      <c r="G7036">
        <v>77</v>
      </c>
      <c r="H7036" t="s">
        <v>8953</v>
      </c>
      <c r="I7036" s="131">
        <v>2</v>
      </c>
      <c r="J7036" t="s">
        <v>8660</v>
      </c>
      <c r="K7036" t="s">
        <v>95</v>
      </c>
      <c r="L7036" t="s">
        <v>117</v>
      </c>
      <c r="M7036" t="s">
        <v>97</v>
      </c>
      <c r="N7036" t="s">
        <v>118</v>
      </c>
      <c r="O7036" t="s">
        <v>1345</v>
      </c>
    </row>
    <row r="7037" spans="1:15" x14ac:dyDescent="0.3">
      <c r="A7037" s="130">
        <v>72771</v>
      </c>
      <c r="B7037" s="130">
        <v>30</v>
      </c>
      <c r="C7037" s="130" t="s">
        <v>8661</v>
      </c>
      <c r="D7037">
        <v>1163</v>
      </c>
      <c r="E7037" s="130">
        <v>71218598</v>
      </c>
      <c r="F7037" t="s">
        <v>87</v>
      </c>
      <c r="G7037">
        <v>78</v>
      </c>
      <c r="H7037" t="s">
        <v>8951</v>
      </c>
      <c r="I7037" s="131">
        <v>10</v>
      </c>
      <c r="J7037" t="s">
        <v>8661</v>
      </c>
      <c r="K7037" t="s">
        <v>108</v>
      </c>
      <c r="L7037" t="s">
        <v>127</v>
      </c>
      <c r="M7037" t="s">
        <v>103</v>
      </c>
      <c r="N7037" t="s">
        <v>118</v>
      </c>
      <c r="O7037" t="s">
        <v>1345</v>
      </c>
    </row>
    <row r="7038" spans="1:15" x14ac:dyDescent="0.3">
      <c r="A7038" s="130">
        <v>72772</v>
      </c>
      <c r="B7038" s="130">
        <v>30</v>
      </c>
      <c r="C7038" s="130" t="s">
        <v>8662</v>
      </c>
      <c r="D7038">
        <v>1164</v>
      </c>
      <c r="E7038" s="130">
        <v>8343492</v>
      </c>
      <c r="F7038" t="s">
        <v>87</v>
      </c>
      <c r="G7038">
        <v>77</v>
      </c>
      <c r="H7038" t="s">
        <v>8952</v>
      </c>
      <c r="I7038" s="131">
        <v>2</v>
      </c>
      <c r="J7038" t="s">
        <v>8662</v>
      </c>
      <c r="K7038" t="s">
        <v>95</v>
      </c>
      <c r="L7038" t="s">
        <v>1255</v>
      </c>
      <c r="M7038" t="s">
        <v>103</v>
      </c>
      <c r="N7038" t="s">
        <v>98</v>
      </c>
      <c r="O7038" t="s">
        <v>1345</v>
      </c>
    </row>
    <row r="7039" spans="1:15" x14ac:dyDescent="0.3">
      <c r="A7039" s="130">
        <v>72774</v>
      </c>
      <c r="B7039" s="130">
        <v>30</v>
      </c>
      <c r="C7039" s="130" t="s">
        <v>8663</v>
      </c>
      <c r="D7039">
        <v>1165</v>
      </c>
      <c r="E7039" s="130">
        <v>33000167</v>
      </c>
      <c r="F7039" t="s">
        <v>87</v>
      </c>
      <c r="G7039">
        <v>78</v>
      </c>
      <c r="H7039" t="s">
        <v>8953</v>
      </c>
      <c r="I7039" s="131">
        <v>24</v>
      </c>
      <c r="J7039" t="s">
        <v>8663</v>
      </c>
      <c r="K7039" t="s">
        <v>95</v>
      </c>
      <c r="L7039" t="s">
        <v>102</v>
      </c>
      <c r="M7039" t="s">
        <v>103</v>
      </c>
      <c r="N7039" t="s">
        <v>101</v>
      </c>
      <c r="O7039" t="s">
        <v>1345</v>
      </c>
    </row>
    <row r="7040" spans="1:15" x14ac:dyDescent="0.3">
      <c r="A7040" s="130">
        <v>72777</v>
      </c>
      <c r="B7040" s="130">
        <v>18</v>
      </c>
      <c r="C7040" s="130" t="s">
        <v>8664</v>
      </c>
      <c r="D7040">
        <v>1166</v>
      </c>
      <c r="E7040" s="130">
        <v>10424514</v>
      </c>
      <c r="F7040" t="s">
        <v>87</v>
      </c>
      <c r="G7040">
        <v>78</v>
      </c>
      <c r="H7040" t="s">
        <v>8951</v>
      </c>
      <c r="I7040" s="131">
        <v>38</v>
      </c>
      <c r="J7040" t="s">
        <v>8664</v>
      </c>
      <c r="K7040" t="s">
        <v>108</v>
      </c>
      <c r="L7040" t="s">
        <v>126</v>
      </c>
      <c r="M7040" t="s">
        <v>112</v>
      </c>
      <c r="N7040" t="s">
        <v>98</v>
      </c>
      <c r="O7040" t="s">
        <v>1345</v>
      </c>
    </row>
    <row r="7041" spans="1:15" x14ac:dyDescent="0.3">
      <c r="A7041" s="130">
        <v>72778</v>
      </c>
      <c r="B7041" s="130">
        <v>18</v>
      </c>
      <c r="C7041" s="130" t="s">
        <v>8665</v>
      </c>
      <c r="D7041">
        <v>1379</v>
      </c>
      <c r="E7041" s="130">
        <v>9329077</v>
      </c>
      <c r="F7041" t="s">
        <v>87</v>
      </c>
      <c r="G7041">
        <v>358</v>
      </c>
      <c r="H7041" t="s">
        <v>8952</v>
      </c>
      <c r="I7041" s="130">
        <v>2</v>
      </c>
      <c r="J7041" t="s">
        <v>8665</v>
      </c>
      <c r="K7041" t="s">
        <v>95</v>
      </c>
      <c r="L7041" t="s">
        <v>111</v>
      </c>
      <c r="M7041" t="s">
        <v>112</v>
      </c>
      <c r="N7041" t="s">
        <v>98</v>
      </c>
      <c r="O7041" t="s">
        <v>1345</v>
      </c>
    </row>
    <row r="7042" spans="1:15" x14ac:dyDescent="0.3">
      <c r="A7042" s="130">
        <v>72781</v>
      </c>
      <c r="B7042" s="130">
        <v>60</v>
      </c>
      <c r="C7042" s="130" t="s">
        <v>8666</v>
      </c>
      <c r="D7042">
        <v>1167</v>
      </c>
      <c r="E7042" s="131">
        <v>3176142</v>
      </c>
      <c r="F7042" t="s">
        <v>87</v>
      </c>
      <c r="G7042">
        <v>78</v>
      </c>
      <c r="H7042" t="s">
        <v>8953</v>
      </c>
      <c r="I7042" s="130">
        <v>18</v>
      </c>
      <c r="J7042" t="s">
        <v>8666</v>
      </c>
      <c r="K7042" t="s">
        <v>108</v>
      </c>
      <c r="L7042" t="s">
        <v>123</v>
      </c>
      <c r="M7042" t="s">
        <v>97</v>
      </c>
      <c r="N7042" t="s">
        <v>98</v>
      </c>
      <c r="O7042" t="s">
        <v>116</v>
      </c>
    </row>
    <row r="7043" spans="1:15" x14ac:dyDescent="0.3">
      <c r="A7043" s="130">
        <v>72782</v>
      </c>
      <c r="B7043" s="130">
        <v>18</v>
      </c>
      <c r="C7043" s="130" t="s">
        <v>8667</v>
      </c>
      <c r="D7043">
        <v>1168</v>
      </c>
      <c r="E7043" s="130">
        <v>2265872</v>
      </c>
      <c r="F7043" t="s">
        <v>87</v>
      </c>
      <c r="G7043">
        <v>358</v>
      </c>
      <c r="H7043" t="s">
        <v>8951</v>
      </c>
      <c r="I7043" s="130">
        <v>2</v>
      </c>
      <c r="J7043" t="s">
        <v>8667</v>
      </c>
      <c r="K7043" t="s">
        <v>95</v>
      </c>
      <c r="L7043" t="s">
        <v>99</v>
      </c>
      <c r="M7043" t="s">
        <v>112</v>
      </c>
      <c r="N7043" t="s">
        <v>98</v>
      </c>
      <c r="O7043" t="s">
        <v>1345</v>
      </c>
    </row>
    <row r="7044" spans="1:15" x14ac:dyDescent="0.3">
      <c r="A7044" s="130">
        <v>72785</v>
      </c>
      <c r="B7044" s="130">
        <v>30</v>
      </c>
      <c r="C7044" s="130" t="s">
        <v>8668</v>
      </c>
      <c r="D7044">
        <v>1169</v>
      </c>
      <c r="E7044" s="131">
        <v>41857780</v>
      </c>
      <c r="F7044" t="s">
        <v>87</v>
      </c>
      <c r="G7044">
        <v>78</v>
      </c>
      <c r="H7044" t="s">
        <v>8952</v>
      </c>
      <c r="I7044" s="131">
        <v>10</v>
      </c>
      <c r="J7044" t="s">
        <v>8668</v>
      </c>
      <c r="K7044" t="s">
        <v>108</v>
      </c>
      <c r="L7044" t="s">
        <v>127</v>
      </c>
      <c r="M7044" t="s">
        <v>103</v>
      </c>
      <c r="N7044" t="s">
        <v>118</v>
      </c>
      <c r="O7044" t="s">
        <v>1345</v>
      </c>
    </row>
    <row r="7045" spans="1:15" x14ac:dyDescent="0.3">
      <c r="A7045" s="130">
        <v>72786</v>
      </c>
      <c r="B7045" s="130">
        <v>30</v>
      </c>
      <c r="C7045" s="130" t="s">
        <v>8669</v>
      </c>
      <c r="D7045">
        <v>1170</v>
      </c>
      <c r="E7045" s="130">
        <v>14002479</v>
      </c>
      <c r="F7045" t="s">
        <v>87</v>
      </c>
      <c r="G7045">
        <v>77</v>
      </c>
      <c r="H7045" t="s">
        <v>8953</v>
      </c>
      <c r="I7045" s="130">
        <v>26</v>
      </c>
      <c r="J7045" t="s">
        <v>8669</v>
      </c>
      <c r="K7045" t="s">
        <v>95</v>
      </c>
      <c r="L7045" t="s">
        <v>1255</v>
      </c>
      <c r="M7045" t="s">
        <v>103</v>
      </c>
      <c r="N7045" t="s">
        <v>98</v>
      </c>
      <c r="O7045" t="s">
        <v>1345</v>
      </c>
    </row>
    <row r="7046" spans="1:15" x14ac:dyDescent="0.3">
      <c r="A7046" s="130">
        <v>72788</v>
      </c>
      <c r="B7046" s="130">
        <v>35</v>
      </c>
      <c r="C7046" s="130" t="s">
        <v>8670</v>
      </c>
      <c r="D7046">
        <v>1380</v>
      </c>
      <c r="E7046" s="130">
        <v>3992929</v>
      </c>
      <c r="F7046" t="s">
        <v>87</v>
      </c>
      <c r="G7046">
        <v>78</v>
      </c>
      <c r="H7046" t="s">
        <v>8951</v>
      </c>
      <c r="I7046" s="130">
        <v>9</v>
      </c>
      <c r="J7046" t="s">
        <v>8670</v>
      </c>
      <c r="K7046" t="s">
        <v>95</v>
      </c>
      <c r="L7046" t="s">
        <v>134</v>
      </c>
      <c r="M7046" t="s">
        <v>161</v>
      </c>
      <c r="N7046" t="s">
        <v>98</v>
      </c>
      <c r="O7046" t="s">
        <v>1345</v>
      </c>
    </row>
    <row r="7047" spans="1:15" x14ac:dyDescent="0.3">
      <c r="A7047" s="130">
        <v>72789</v>
      </c>
      <c r="B7047" s="130">
        <v>18</v>
      </c>
      <c r="C7047" s="130" t="s">
        <v>8671</v>
      </c>
      <c r="D7047">
        <v>1171</v>
      </c>
      <c r="E7047" s="131">
        <v>29099910</v>
      </c>
      <c r="F7047" t="s">
        <v>87</v>
      </c>
      <c r="G7047">
        <v>78</v>
      </c>
      <c r="H7047" t="s">
        <v>8952</v>
      </c>
      <c r="I7047" s="130">
        <v>24</v>
      </c>
      <c r="J7047" t="s">
        <v>8671</v>
      </c>
      <c r="K7047" t="s">
        <v>108</v>
      </c>
      <c r="L7047" t="s">
        <v>138</v>
      </c>
      <c r="M7047" t="s">
        <v>112</v>
      </c>
      <c r="N7047" t="s">
        <v>101</v>
      </c>
      <c r="O7047" t="s">
        <v>1345</v>
      </c>
    </row>
    <row r="7048" spans="1:15" x14ac:dyDescent="0.3">
      <c r="A7048" s="130">
        <v>72790</v>
      </c>
      <c r="B7048" s="130">
        <v>18</v>
      </c>
      <c r="C7048" s="130" t="s">
        <v>8672</v>
      </c>
      <c r="D7048">
        <v>1172</v>
      </c>
      <c r="E7048" s="130">
        <v>34164173</v>
      </c>
      <c r="F7048" t="s">
        <v>87</v>
      </c>
      <c r="G7048">
        <v>358</v>
      </c>
      <c r="H7048" t="s">
        <v>8953</v>
      </c>
      <c r="I7048" s="130">
        <v>2</v>
      </c>
      <c r="J7048" t="s">
        <v>8672</v>
      </c>
      <c r="K7048" t="s">
        <v>95</v>
      </c>
      <c r="L7048" t="s">
        <v>109</v>
      </c>
      <c r="M7048" t="s">
        <v>112</v>
      </c>
      <c r="N7048" t="s">
        <v>98</v>
      </c>
      <c r="O7048" t="s">
        <v>1345</v>
      </c>
    </row>
    <row r="7049" spans="1:15" x14ac:dyDescent="0.3">
      <c r="A7049" s="130">
        <v>72791</v>
      </c>
      <c r="B7049" s="130">
        <v>18</v>
      </c>
      <c r="C7049" s="130" t="s">
        <v>8673</v>
      </c>
      <c r="D7049">
        <v>1173</v>
      </c>
      <c r="E7049" s="130">
        <v>37691687</v>
      </c>
      <c r="F7049" t="s">
        <v>87</v>
      </c>
      <c r="G7049">
        <v>78</v>
      </c>
      <c r="H7049" t="s">
        <v>8951</v>
      </c>
      <c r="I7049" s="130">
        <v>24</v>
      </c>
      <c r="J7049" t="s">
        <v>8673</v>
      </c>
      <c r="K7049" t="s">
        <v>95</v>
      </c>
      <c r="L7049" t="s">
        <v>138</v>
      </c>
      <c r="M7049" t="s">
        <v>112</v>
      </c>
      <c r="N7049" t="s">
        <v>110</v>
      </c>
      <c r="O7049" t="s">
        <v>116</v>
      </c>
    </row>
    <row r="7050" spans="1:15" x14ac:dyDescent="0.3">
      <c r="A7050" s="130">
        <v>72792</v>
      </c>
      <c r="B7050" s="130">
        <v>18</v>
      </c>
      <c r="C7050" s="130" t="s">
        <v>8674</v>
      </c>
      <c r="D7050">
        <v>1381</v>
      </c>
      <c r="E7050" s="130">
        <v>20102083</v>
      </c>
      <c r="F7050" t="s">
        <v>87</v>
      </c>
      <c r="G7050">
        <v>358</v>
      </c>
      <c r="H7050" t="s">
        <v>8952</v>
      </c>
      <c r="I7050" s="130">
        <v>2</v>
      </c>
      <c r="J7050" t="s">
        <v>8674</v>
      </c>
      <c r="K7050" t="s">
        <v>108</v>
      </c>
      <c r="L7050" t="s">
        <v>99</v>
      </c>
      <c r="M7050" t="s">
        <v>112</v>
      </c>
      <c r="N7050" t="s">
        <v>98</v>
      </c>
      <c r="O7050" t="s">
        <v>1345</v>
      </c>
    </row>
    <row r="7051" spans="1:15" x14ac:dyDescent="0.3">
      <c r="A7051" s="130">
        <v>72794</v>
      </c>
      <c r="B7051" s="130">
        <v>30</v>
      </c>
      <c r="C7051" s="130" t="s">
        <v>8675</v>
      </c>
      <c r="D7051">
        <v>1174</v>
      </c>
      <c r="E7051" s="130">
        <v>12056613</v>
      </c>
      <c r="F7051" t="s">
        <v>87</v>
      </c>
      <c r="G7051">
        <v>77</v>
      </c>
      <c r="H7051" t="s">
        <v>8953</v>
      </c>
      <c r="I7051" s="130">
        <v>2</v>
      </c>
      <c r="J7051" t="s">
        <v>8675</v>
      </c>
      <c r="K7051" t="s">
        <v>95</v>
      </c>
      <c r="L7051" t="s">
        <v>256</v>
      </c>
      <c r="M7051" t="s">
        <v>103</v>
      </c>
      <c r="N7051" t="s">
        <v>104</v>
      </c>
      <c r="O7051" t="s">
        <v>1345</v>
      </c>
    </row>
    <row r="7052" spans="1:15" x14ac:dyDescent="0.3">
      <c r="A7052" s="130">
        <v>72795</v>
      </c>
      <c r="B7052" s="130">
        <v>18</v>
      </c>
      <c r="C7052" s="130" t="s">
        <v>8676</v>
      </c>
      <c r="D7052">
        <v>1382</v>
      </c>
      <c r="E7052" s="130">
        <v>7960913</v>
      </c>
      <c r="F7052" t="s">
        <v>87</v>
      </c>
      <c r="G7052">
        <v>358</v>
      </c>
      <c r="H7052" t="s">
        <v>8951</v>
      </c>
      <c r="I7052" s="131">
        <v>10</v>
      </c>
      <c r="J7052" t="s">
        <v>8676</v>
      </c>
      <c r="K7052" t="s">
        <v>108</v>
      </c>
      <c r="L7052" t="s">
        <v>105</v>
      </c>
      <c r="M7052" t="s">
        <v>112</v>
      </c>
      <c r="N7052" t="s">
        <v>98</v>
      </c>
      <c r="O7052" t="s">
        <v>1345</v>
      </c>
    </row>
    <row r="7053" spans="1:15" x14ac:dyDescent="0.3">
      <c r="A7053" s="130">
        <v>72796</v>
      </c>
      <c r="B7053" s="130">
        <v>18</v>
      </c>
      <c r="C7053" s="130" t="s">
        <v>8677</v>
      </c>
      <c r="D7053">
        <v>1175</v>
      </c>
      <c r="E7053" s="130">
        <v>6047087</v>
      </c>
      <c r="F7053" t="s">
        <v>87</v>
      </c>
      <c r="G7053">
        <v>78</v>
      </c>
      <c r="H7053" t="s">
        <v>8952</v>
      </c>
      <c r="I7053" s="130">
        <v>19</v>
      </c>
      <c r="J7053" t="s">
        <v>8677</v>
      </c>
      <c r="K7053" t="s">
        <v>108</v>
      </c>
      <c r="L7053" t="s">
        <v>146</v>
      </c>
      <c r="M7053" t="s">
        <v>112</v>
      </c>
      <c r="N7053" t="s">
        <v>166</v>
      </c>
      <c r="O7053" t="s">
        <v>116</v>
      </c>
    </row>
    <row r="7054" spans="1:15" x14ac:dyDescent="0.3">
      <c r="A7054" s="130">
        <v>72799</v>
      </c>
      <c r="B7054" s="130">
        <v>18</v>
      </c>
      <c r="C7054" s="130" t="s">
        <v>8678</v>
      </c>
      <c r="D7054">
        <v>1176</v>
      </c>
      <c r="E7054" s="130">
        <v>12580932</v>
      </c>
      <c r="F7054" t="s">
        <v>87</v>
      </c>
      <c r="G7054">
        <v>78</v>
      </c>
      <c r="H7054" t="s">
        <v>8953</v>
      </c>
      <c r="I7054" s="130">
        <v>9</v>
      </c>
      <c r="J7054" t="s">
        <v>8678</v>
      </c>
      <c r="K7054" t="s">
        <v>108</v>
      </c>
      <c r="L7054" t="s">
        <v>134</v>
      </c>
      <c r="M7054" t="s">
        <v>112</v>
      </c>
      <c r="N7054" t="s">
        <v>98</v>
      </c>
      <c r="O7054" t="s">
        <v>1345</v>
      </c>
    </row>
    <row r="7055" spans="1:15" x14ac:dyDescent="0.3">
      <c r="A7055" s="130">
        <v>72800</v>
      </c>
      <c r="B7055" s="130">
        <v>18</v>
      </c>
      <c r="C7055" s="130" t="s">
        <v>8679</v>
      </c>
      <c r="D7055">
        <v>1177</v>
      </c>
      <c r="E7055" s="130">
        <v>5451496</v>
      </c>
      <c r="F7055" t="s">
        <v>87</v>
      </c>
      <c r="G7055">
        <v>78</v>
      </c>
      <c r="H7055" t="s">
        <v>8951</v>
      </c>
      <c r="I7055" s="130">
        <v>19</v>
      </c>
      <c r="J7055" t="s">
        <v>8679</v>
      </c>
      <c r="K7055" t="s">
        <v>95</v>
      </c>
      <c r="L7055" t="s">
        <v>146</v>
      </c>
      <c r="M7055" t="s">
        <v>112</v>
      </c>
      <c r="N7055" t="s">
        <v>101</v>
      </c>
      <c r="O7055" t="s">
        <v>1345</v>
      </c>
    </row>
    <row r="7056" spans="1:15" x14ac:dyDescent="0.3">
      <c r="A7056" s="130">
        <v>72801</v>
      </c>
      <c r="B7056" s="130">
        <v>18</v>
      </c>
      <c r="C7056" s="130" t="s">
        <v>8680</v>
      </c>
      <c r="D7056">
        <v>1178</v>
      </c>
      <c r="E7056" s="130">
        <v>26770408</v>
      </c>
      <c r="F7056" t="s">
        <v>87</v>
      </c>
      <c r="G7056">
        <v>78</v>
      </c>
      <c r="H7056" t="s">
        <v>8952</v>
      </c>
      <c r="I7056" s="130">
        <v>10</v>
      </c>
      <c r="J7056" t="s">
        <v>8680</v>
      </c>
      <c r="K7056" t="s">
        <v>108</v>
      </c>
      <c r="L7056" t="s">
        <v>127</v>
      </c>
      <c r="M7056" t="s">
        <v>112</v>
      </c>
      <c r="N7056" t="s">
        <v>98</v>
      </c>
      <c r="O7056" t="s">
        <v>1345</v>
      </c>
    </row>
    <row r="7057" spans="1:15" x14ac:dyDescent="0.3">
      <c r="A7057" s="130">
        <v>72803</v>
      </c>
      <c r="B7057" s="130">
        <v>18</v>
      </c>
      <c r="C7057" s="130" t="s">
        <v>8681</v>
      </c>
      <c r="D7057">
        <v>1179</v>
      </c>
      <c r="E7057" s="130">
        <v>71427389</v>
      </c>
      <c r="F7057" t="s">
        <v>87</v>
      </c>
      <c r="G7057">
        <v>358</v>
      </c>
      <c r="H7057" t="s">
        <v>8953</v>
      </c>
      <c r="I7057" s="130">
        <v>2</v>
      </c>
      <c r="J7057" t="s">
        <v>8681</v>
      </c>
      <c r="K7057" t="s">
        <v>108</v>
      </c>
      <c r="L7057" t="s">
        <v>111</v>
      </c>
      <c r="M7057" t="s">
        <v>112</v>
      </c>
      <c r="N7057" t="s">
        <v>150</v>
      </c>
      <c r="O7057" t="s">
        <v>1345</v>
      </c>
    </row>
    <row r="7058" spans="1:15" x14ac:dyDescent="0.3">
      <c r="A7058" s="130">
        <v>72806</v>
      </c>
      <c r="B7058" s="130">
        <v>28</v>
      </c>
      <c r="C7058" s="130" t="s">
        <v>8682</v>
      </c>
      <c r="D7058">
        <v>1180</v>
      </c>
      <c r="E7058" s="130">
        <v>34767630</v>
      </c>
      <c r="F7058" t="s">
        <v>87</v>
      </c>
      <c r="G7058">
        <v>78</v>
      </c>
      <c r="H7058" t="s">
        <v>8951</v>
      </c>
      <c r="I7058" s="130">
        <v>24</v>
      </c>
      <c r="J7058" t="s">
        <v>8682</v>
      </c>
      <c r="K7058" t="s">
        <v>95</v>
      </c>
      <c r="L7058" t="s">
        <v>138</v>
      </c>
      <c r="M7058" t="s">
        <v>130</v>
      </c>
      <c r="N7058" t="s">
        <v>98</v>
      </c>
      <c r="O7058" t="s">
        <v>1345</v>
      </c>
    </row>
    <row r="7059" spans="1:15" x14ac:dyDescent="0.3">
      <c r="A7059" s="130">
        <v>72807</v>
      </c>
      <c r="B7059" s="130">
        <v>18</v>
      </c>
      <c r="C7059" s="130" t="s">
        <v>8683</v>
      </c>
      <c r="D7059">
        <v>1181</v>
      </c>
      <c r="E7059" s="131">
        <v>45184488</v>
      </c>
      <c r="F7059" t="s">
        <v>87</v>
      </c>
      <c r="G7059">
        <v>358</v>
      </c>
      <c r="H7059" t="s">
        <v>8952</v>
      </c>
      <c r="I7059" s="131">
        <v>19</v>
      </c>
      <c r="J7059" t="s">
        <v>8683</v>
      </c>
      <c r="K7059" t="s">
        <v>108</v>
      </c>
      <c r="L7059" t="s">
        <v>105</v>
      </c>
      <c r="M7059" t="s">
        <v>112</v>
      </c>
      <c r="N7059" t="s">
        <v>98</v>
      </c>
      <c r="O7059" t="s">
        <v>1345</v>
      </c>
    </row>
    <row r="7060" spans="1:15" x14ac:dyDescent="0.3">
      <c r="A7060" s="130">
        <v>72808</v>
      </c>
      <c r="B7060" s="130">
        <v>21</v>
      </c>
      <c r="C7060" s="130" t="s">
        <v>8684</v>
      </c>
      <c r="D7060">
        <v>1383</v>
      </c>
      <c r="E7060" s="131">
        <v>17875154</v>
      </c>
      <c r="F7060" t="s">
        <v>87</v>
      </c>
      <c r="G7060">
        <v>358</v>
      </c>
      <c r="H7060" t="s">
        <v>8953</v>
      </c>
      <c r="I7060" s="131">
        <v>2</v>
      </c>
      <c r="J7060" t="s">
        <v>8684</v>
      </c>
      <c r="K7060" t="s">
        <v>108</v>
      </c>
      <c r="L7060" t="s">
        <v>111</v>
      </c>
      <c r="M7060" t="s">
        <v>137</v>
      </c>
      <c r="N7060" t="s">
        <v>121</v>
      </c>
      <c r="O7060" t="s">
        <v>1345</v>
      </c>
    </row>
    <row r="7061" spans="1:15" x14ac:dyDescent="0.3">
      <c r="A7061" s="130">
        <v>72809</v>
      </c>
      <c r="B7061" s="130">
        <v>18</v>
      </c>
      <c r="C7061" s="130" t="s">
        <v>8685</v>
      </c>
      <c r="D7061">
        <v>1384</v>
      </c>
      <c r="E7061" s="131">
        <v>23093564</v>
      </c>
      <c r="F7061" t="s">
        <v>87</v>
      </c>
      <c r="G7061">
        <v>78</v>
      </c>
      <c r="H7061" t="s">
        <v>8951</v>
      </c>
      <c r="I7061" s="130">
        <v>9</v>
      </c>
      <c r="J7061" t="s">
        <v>8685</v>
      </c>
      <c r="K7061" t="s">
        <v>108</v>
      </c>
      <c r="L7061" t="s">
        <v>181</v>
      </c>
      <c r="M7061" t="s">
        <v>112</v>
      </c>
      <c r="N7061" t="s">
        <v>98</v>
      </c>
      <c r="O7061" t="s">
        <v>1345</v>
      </c>
    </row>
    <row r="7062" spans="1:15" x14ac:dyDescent="0.3">
      <c r="A7062" s="130">
        <v>72812</v>
      </c>
      <c r="B7062" s="130">
        <v>18</v>
      </c>
      <c r="C7062" s="130" t="s">
        <v>8686</v>
      </c>
      <c r="D7062">
        <v>1182</v>
      </c>
      <c r="E7062" s="130">
        <v>5350401</v>
      </c>
      <c r="F7062" t="s">
        <v>87</v>
      </c>
      <c r="G7062">
        <v>78</v>
      </c>
      <c r="H7062" t="s">
        <v>8952</v>
      </c>
      <c r="I7062" s="130">
        <v>24</v>
      </c>
      <c r="J7062" t="s">
        <v>8686</v>
      </c>
      <c r="K7062" t="s">
        <v>108</v>
      </c>
      <c r="L7062" t="s">
        <v>1352</v>
      </c>
      <c r="M7062" t="s">
        <v>112</v>
      </c>
      <c r="N7062" t="s">
        <v>101</v>
      </c>
      <c r="O7062" t="s">
        <v>1345</v>
      </c>
    </row>
    <row r="7063" spans="1:15" x14ac:dyDescent="0.3">
      <c r="A7063" s="130">
        <v>72815</v>
      </c>
      <c r="B7063" s="130">
        <v>30</v>
      </c>
      <c r="C7063" s="130" t="s">
        <v>8687</v>
      </c>
      <c r="D7063">
        <v>1183</v>
      </c>
      <c r="E7063" s="130">
        <v>17164435</v>
      </c>
      <c r="F7063" t="s">
        <v>87</v>
      </c>
      <c r="G7063">
        <v>78</v>
      </c>
      <c r="H7063" t="s">
        <v>8953</v>
      </c>
      <c r="I7063" s="131">
        <v>2</v>
      </c>
      <c r="J7063" t="s">
        <v>8687</v>
      </c>
      <c r="K7063" t="s">
        <v>95</v>
      </c>
      <c r="L7063" t="s">
        <v>96</v>
      </c>
      <c r="M7063" t="s">
        <v>103</v>
      </c>
      <c r="N7063" t="s">
        <v>98</v>
      </c>
      <c r="O7063" t="s">
        <v>1345</v>
      </c>
    </row>
    <row r="7064" spans="1:15" x14ac:dyDescent="0.3">
      <c r="A7064" s="130">
        <v>72816</v>
      </c>
      <c r="B7064" s="130">
        <v>18</v>
      </c>
      <c r="C7064" s="130" t="s">
        <v>8688</v>
      </c>
      <c r="D7064">
        <v>1184</v>
      </c>
      <c r="E7064" s="130">
        <v>20096410000</v>
      </c>
      <c r="F7064" t="s">
        <v>87</v>
      </c>
      <c r="G7064">
        <v>78</v>
      </c>
      <c r="H7064" t="s">
        <v>8951</v>
      </c>
      <c r="I7064" s="131">
        <v>38</v>
      </c>
      <c r="J7064" t="s">
        <v>8688</v>
      </c>
      <c r="K7064" t="s">
        <v>108</v>
      </c>
      <c r="L7064" t="s">
        <v>126</v>
      </c>
      <c r="M7064" t="s">
        <v>112</v>
      </c>
      <c r="N7064" t="s">
        <v>110</v>
      </c>
      <c r="O7064" t="s">
        <v>1345</v>
      </c>
    </row>
    <row r="7065" spans="1:15" x14ac:dyDescent="0.3">
      <c r="A7065" s="130">
        <v>72817</v>
      </c>
      <c r="B7065" s="130">
        <v>18</v>
      </c>
      <c r="C7065" s="130" t="s">
        <v>8689</v>
      </c>
      <c r="D7065">
        <v>1185</v>
      </c>
      <c r="E7065" s="130">
        <v>37653885</v>
      </c>
      <c r="F7065" t="s">
        <v>87</v>
      </c>
      <c r="G7065">
        <v>78</v>
      </c>
      <c r="H7065" t="s">
        <v>8952</v>
      </c>
      <c r="I7065" s="131">
        <v>19</v>
      </c>
      <c r="J7065" t="s">
        <v>8689</v>
      </c>
      <c r="K7065" t="s">
        <v>108</v>
      </c>
      <c r="L7065" t="s">
        <v>146</v>
      </c>
      <c r="M7065" t="s">
        <v>112</v>
      </c>
      <c r="N7065" t="s">
        <v>122</v>
      </c>
      <c r="O7065" t="s">
        <v>116</v>
      </c>
    </row>
    <row r="7066" spans="1:15" x14ac:dyDescent="0.3">
      <c r="A7066" s="130">
        <v>72818</v>
      </c>
      <c r="B7066" s="130">
        <v>18</v>
      </c>
      <c r="C7066" s="130" t="s">
        <v>8690</v>
      </c>
      <c r="D7066">
        <v>1186</v>
      </c>
      <c r="E7066" s="131">
        <v>18374929</v>
      </c>
      <c r="F7066" t="s">
        <v>87</v>
      </c>
      <c r="G7066">
        <v>78</v>
      </c>
      <c r="H7066" t="s">
        <v>8953</v>
      </c>
      <c r="I7066" s="130">
        <v>10</v>
      </c>
      <c r="J7066" t="s">
        <v>8690</v>
      </c>
      <c r="K7066" t="s">
        <v>108</v>
      </c>
      <c r="L7066" t="s">
        <v>127</v>
      </c>
      <c r="M7066" t="s">
        <v>112</v>
      </c>
      <c r="N7066" t="s">
        <v>150</v>
      </c>
      <c r="O7066" t="s">
        <v>1345</v>
      </c>
    </row>
    <row r="7067" spans="1:15" x14ac:dyDescent="0.3">
      <c r="A7067" s="130">
        <v>72819</v>
      </c>
      <c r="B7067" s="130">
        <v>90</v>
      </c>
      <c r="C7067" s="130" t="s">
        <v>8691</v>
      </c>
      <c r="D7067">
        <v>1187</v>
      </c>
      <c r="E7067" s="130">
        <v>655209</v>
      </c>
      <c r="F7067" t="s">
        <v>87</v>
      </c>
      <c r="G7067">
        <v>78</v>
      </c>
      <c r="H7067" t="s">
        <v>8951</v>
      </c>
      <c r="I7067" s="130">
        <v>9</v>
      </c>
      <c r="J7067" t="s">
        <v>8691</v>
      </c>
      <c r="K7067" t="s">
        <v>95</v>
      </c>
      <c r="L7067" t="s">
        <v>181</v>
      </c>
      <c r="M7067" t="s">
        <v>170</v>
      </c>
      <c r="N7067" t="s">
        <v>114</v>
      </c>
      <c r="O7067" t="s">
        <v>116</v>
      </c>
    </row>
    <row r="7068" spans="1:15" x14ac:dyDescent="0.3">
      <c r="A7068" s="130">
        <v>72820</v>
      </c>
      <c r="B7068" s="130">
        <v>18</v>
      </c>
      <c r="C7068" s="130" t="s">
        <v>8692</v>
      </c>
      <c r="D7068">
        <v>1188</v>
      </c>
      <c r="E7068" s="130">
        <v>79825923</v>
      </c>
      <c r="F7068" t="s">
        <v>87</v>
      </c>
      <c r="G7068">
        <v>358</v>
      </c>
      <c r="H7068" t="s">
        <v>8952</v>
      </c>
      <c r="I7068" s="130">
        <v>9</v>
      </c>
      <c r="J7068" t="s">
        <v>8692</v>
      </c>
      <c r="K7068" t="s">
        <v>108</v>
      </c>
      <c r="L7068" t="s">
        <v>105</v>
      </c>
      <c r="M7068" t="s">
        <v>112</v>
      </c>
      <c r="N7068" t="s">
        <v>114</v>
      </c>
      <c r="O7068" t="s">
        <v>1345</v>
      </c>
    </row>
    <row r="7069" spans="1:15" x14ac:dyDescent="0.3">
      <c r="A7069" s="130">
        <v>72821</v>
      </c>
      <c r="B7069" s="130">
        <v>18</v>
      </c>
      <c r="C7069" s="130" t="s">
        <v>8693</v>
      </c>
      <c r="D7069">
        <v>1189</v>
      </c>
      <c r="E7069" s="131">
        <v>2265872</v>
      </c>
      <c r="F7069" t="s">
        <v>87</v>
      </c>
      <c r="G7069">
        <v>358</v>
      </c>
      <c r="H7069" t="s">
        <v>8953</v>
      </c>
      <c r="I7069" s="130">
        <v>2</v>
      </c>
      <c r="J7069" t="s">
        <v>8693</v>
      </c>
      <c r="K7069" t="s">
        <v>95</v>
      </c>
      <c r="L7069" t="s">
        <v>99</v>
      </c>
      <c r="M7069" t="s">
        <v>112</v>
      </c>
      <c r="N7069" t="s">
        <v>98</v>
      </c>
      <c r="O7069" t="s">
        <v>1345</v>
      </c>
    </row>
    <row r="7070" spans="1:15" x14ac:dyDescent="0.3">
      <c r="A7070" s="130">
        <v>72822</v>
      </c>
      <c r="B7070" s="130">
        <v>18</v>
      </c>
      <c r="C7070" s="130" t="s">
        <v>8694</v>
      </c>
      <c r="D7070">
        <v>1190</v>
      </c>
      <c r="E7070" s="131">
        <v>9536473</v>
      </c>
      <c r="F7070" t="s">
        <v>87</v>
      </c>
      <c r="G7070">
        <v>78</v>
      </c>
      <c r="H7070" t="s">
        <v>8951</v>
      </c>
      <c r="I7070" s="131">
        <v>26</v>
      </c>
      <c r="J7070" t="s">
        <v>8694</v>
      </c>
      <c r="K7070" t="s">
        <v>108</v>
      </c>
      <c r="L7070" t="s">
        <v>151</v>
      </c>
      <c r="M7070" t="s">
        <v>112</v>
      </c>
      <c r="N7070" t="s">
        <v>114</v>
      </c>
      <c r="O7070" t="s">
        <v>1345</v>
      </c>
    </row>
    <row r="7071" spans="1:15" x14ac:dyDescent="0.3">
      <c r="A7071" s="130">
        <v>72824</v>
      </c>
      <c r="B7071" s="130">
        <v>30</v>
      </c>
      <c r="C7071" s="130" t="s">
        <v>8695</v>
      </c>
      <c r="D7071">
        <v>1385</v>
      </c>
      <c r="E7071" s="131">
        <v>5416618</v>
      </c>
      <c r="F7071" t="s">
        <v>87</v>
      </c>
      <c r="G7071">
        <v>78</v>
      </c>
      <c r="H7071" t="s">
        <v>8952</v>
      </c>
      <c r="I7071" s="130">
        <v>19</v>
      </c>
      <c r="J7071" t="s">
        <v>8695</v>
      </c>
      <c r="K7071" t="s">
        <v>108</v>
      </c>
      <c r="L7071" t="s">
        <v>146</v>
      </c>
      <c r="M7071" t="s">
        <v>103</v>
      </c>
      <c r="N7071" t="s">
        <v>216</v>
      </c>
      <c r="O7071" t="s">
        <v>116</v>
      </c>
    </row>
    <row r="7072" spans="1:15" x14ac:dyDescent="0.3">
      <c r="A7072" s="130">
        <v>72825</v>
      </c>
      <c r="B7072" s="130">
        <v>60</v>
      </c>
      <c r="C7072" s="130" t="s">
        <v>8696</v>
      </c>
      <c r="D7072">
        <v>1386</v>
      </c>
      <c r="E7072" s="131">
        <v>33592510</v>
      </c>
      <c r="F7072" t="s">
        <v>87</v>
      </c>
      <c r="G7072">
        <v>77</v>
      </c>
      <c r="H7072" t="s">
        <v>8953</v>
      </c>
      <c r="I7072" s="131">
        <v>2</v>
      </c>
      <c r="J7072" t="s">
        <v>8696</v>
      </c>
      <c r="K7072" t="s">
        <v>95</v>
      </c>
      <c r="L7072" t="s">
        <v>117</v>
      </c>
      <c r="M7072" t="s">
        <v>97</v>
      </c>
      <c r="N7072" t="s">
        <v>118</v>
      </c>
      <c r="O7072" t="s">
        <v>1345</v>
      </c>
    </row>
    <row r="7073" spans="1:15" x14ac:dyDescent="0.3">
      <c r="A7073" s="130">
        <v>72826</v>
      </c>
      <c r="B7073" s="130">
        <v>60</v>
      </c>
      <c r="C7073" s="130" t="s">
        <v>8697</v>
      </c>
      <c r="D7073">
        <v>1191</v>
      </c>
      <c r="E7073" s="131">
        <v>33592510</v>
      </c>
      <c r="F7073" t="s">
        <v>87</v>
      </c>
      <c r="G7073">
        <v>77</v>
      </c>
      <c r="H7073" t="s">
        <v>8951</v>
      </c>
      <c r="I7073" s="131">
        <v>2</v>
      </c>
      <c r="J7073" t="s">
        <v>8697</v>
      </c>
      <c r="K7073" t="s">
        <v>95</v>
      </c>
      <c r="L7073" t="s">
        <v>117</v>
      </c>
      <c r="M7073" t="s">
        <v>97</v>
      </c>
      <c r="N7073" t="s">
        <v>118</v>
      </c>
      <c r="O7073" t="s">
        <v>1345</v>
      </c>
    </row>
    <row r="7074" spans="1:15" x14ac:dyDescent="0.3">
      <c r="A7074" s="130">
        <v>72827</v>
      </c>
      <c r="B7074" s="130">
        <v>60</v>
      </c>
      <c r="C7074" s="130" t="s">
        <v>8698</v>
      </c>
      <c r="D7074">
        <v>1387</v>
      </c>
      <c r="E7074" s="130">
        <v>33592510</v>
      </c>
      <c r="F7074" t="s">
        <v>87</v>
      </c>
      <c r="G7074">
        <v>77</v>
      </c>
      <c r="H7074" t="s">
        <v>8952</v>
      </c>
      <c r="I7074" s="131">
        <v>2</v>
      </c>
      <c r="J7074" t="s">
        <v>8698</v>
      </c>
      <c r="K7074" t="s">
        <v>95</v>
      </c>
      <c r="L7074" t="s">
        <v>117</v>
      </c>
      <c r="M7074" t="s">
        <v>97</v>
      </c>
      <c r="N7074" t="s">
        <v>118</v>
      </c>
      <c r="O7074" t="s">
        <v>1345</v>
      </c>
    </row>
    <row r="7075" spans="1:15" x14ac:dyDescent="0.3">
      <c r="A7075" s="130">
        <v>72828</v>
      </c>
      <c r="B7075" s="130">
        <v>18</v>
      </c>
      <c r="C7075" s="130" t="s">
        <v>8699</v>
      </c>
      <c r="D7075">
        <v>1192</v>
      </c>
      <c r="E7075" s="130">
        <v>23236821</v>
      </c>
      <c r="F7075" t="s">
        <v>87</v>
      </c>
      <c r="G7075">
        <v>358</v>
      </c>
      <c r="H7075" t="s">
        <v>8953</v>
      </c>
      <c r="I7075" s="130">
        <v>2</v>
      </c>
      <c r="J7075" t="s">
        <v>8699</v>
      </c>
      <c r="K7075" t="s">
        <v>108</v>
      </c>
      <c r="L7075" t="s">
        <v>140</v>
      </c>
      <c r="M7075" t="s">
        <v>112</v>
      </c>
      <c r="N7075" t="s">
        <v>98</v>
      </c>
      <c r="O7075" t="s">
        <v>1345</v>
      </c>
    </row>
    <row r="7076" spans="1:15" x14ac:dyDescent="0.3">
      <c r="A7076" s="130">
        <v>72829</v>
      </c>
      <c r="B7076" s="130">
        <v>18</v>
      </c>
      <c r="C7076" s="130" t="s">
        <v>8700</v>
      </c>
      <c r="D7076">
        <v>1193</v>
      </c>
      <c r="E7076" s="131">
        <v>41857780</v>
      </c>
      <c r="F7076" t="s">
        <v>87</v>
      </c>
      <c r="G7076">
        <v>358</v>
      </c>
      <c r="H7076" t="s">
        <v>8951</v>
      </c>
      <c r="I7076" s="131">
        <v>9</v>
      </c>
      <c r="J7076" t="s">
        <v>8700</v>
      </c>
      <c r="K7076" t="s">
        <v>95</v>
      </c>
      <c r="L7076" t="s">
        <v>105</v>
      </c>
      <c r="M7076" t="s">
        <v>112</v>
      </c>
      <c r="N7076" t="s">
        <v>114</v>
      </c>
      <c r="O7076" t="s">
        <v>116</v>
      </c>
    </row>
    <row r="7077" spans="1:15" x14ac:dyDescent="0.3">
      <c r="A7077" s="130">
        <v>72831</v>
      </c>
      <c r="B7077" s="130">
        <v>18</v>
      </c>
      <c r="C7077" s="130" t="s">
        <v>8701</v>
      </c>
      <c r="D7077">
        <v>1194</v>
      </c>
      <c r="E7077" s="130">
        <v>29060647</v>
      </c>
      <c r="F7077" t="s">
        <v>87</v>
      </c>
      <c r="G7077">
        <v>358</v>
      </c>
      <c r="H7077" t="s">
        <v>8952</v>
      </c>
      <c r="I7077" s="130">
        <v>10</v>
      </c>
      <c r="J7077" t="s">
        <v>8701</v>
      </c>
      <c r="K7077" t="s">
        <v>95</v>
      </c>
      <c r="L7077" t="s">
        <v>105</v>
      </c>
      <c r="M7077" t="s">
        <v>112</v>
      </c>
      <c r="N7077" t="s">
        <v>98</v>
      </c>
      <c r="O7077" t="s">
        <v>1345</v>
      </c>
    </row>
    <row r="7078" spans="1:15" x14ac:dyDescent="0.3">
      <c r="A7078" s="130">
        <v>72832</v>
      </c>
      <c r="B7078" s="130">
        <v>18</v>
      </c>
      <c r="C7078" s="130" t="s">
        <v>8702</v>
      </c>
      <c r="D7078">
        <v>1195</v>
      </c>
      <c r="E7078" s="130">
        <v>28122720</v>
      </c>
      <c r="F7078" t="s">
        <v>87</v>
      </c>
      <c r="G7078">
        <v>358</v>
      </c>
      <c r="H7078" t="s">
        <v>8953</v>
      </c>
      <c r="I7078" s="130">
        <v>2</v>
      </c>
      <c r="J7078" t="s">
        <v>8702</v>
      </c>
      <c r="K7078" t="s">
        <v>108</v>
      </c>
      <c r="L7078" t="s">
        <v>109</v>
      </c>
      <c r="M7078" t="s">
        <v>112</v>
      </c>
      <c r="N7078" t="s">
        <v>98</v>
      </c>
      <c r="O7078" t="s">
        <v>1345</v>
      </c>
    </row>
    <row r="7079" spans="1:15" x14ac:dyDescent="0.3">
      <c r="A7079" s="130">
        <v>72833</v>
      </c>
      <c r="B7079" s="130">
        <v>18</v>
      </c>
      <c r="C7079" s="130" t="s">
        <v>8703</v>
      </c>
      <c r="D7079">
        <v>1388</v>
      </c>
      <c r="E7079" s="130">
        <v>3649389</v>
      </c>
      <c r="F7079" t="s">
        <v>87</v>
      </c>
      <c r="G7079">
        <v>358</v>
      </c>
      <c r="H7079" t="s">
        <v>8951</v>
      </c>
      <c r="I7079" s="131">
        <v>2</v>
      </c>
      <c r="J7079" t="s">
        <v>8703</v>
      </c>
      <c r="K7079" t="s">
        <v>108</v>
      </c>
      <c r="L7079" t="s">
        <v>99</v>
      </c>
      <c r="M7079" t="s">
        <v>112</v>
      </c>
      <c r="N7079" t="s">
        <v>98</v>
      </c>
      <c r="O7079" t="s">
        <v>1345</v>
      </c>
    </row>
    <row r="7080" spans="1:15" x14ac:dyDescent="0.3">
      <c r="A7080" s="130">
        <v>72834</v>
      </c>
      <c r="B7080" s="130">
        <v>60</v>
      </c>
      <c r="C7080" s="130" t="s">
        <v>8704</v>
      </c>
      <c r="D7080">
        <v>1196</v>
      </c>
      <c r="E7080" s="130">
        <v>40809479</v>
      </c>
      <c r="F7080" t="s">
        <v>87</v>
      </c>
      <c r="G7080">
        <v>78</v>
      </c>
      <c r="H7080" t="s">
        <v>8952</v>
      </c>
      <c r="I7080" s="131">
        <v>9</v>
      </c>
      <c r="J7080" t="s">
        <v>8704</v>
      </c>
      <c r="K7080" t="s">
        <v>95</v>
      </c>
      <c r="L7080" t="s">
        <v>96</v>
      </c>
      <c r="M7080" t="s">
        <v>97</v>
      </c>
      <c r="N7080" t="s">
        <v>98</v>
      </c>
      <c r="O7080" t="s">
        <v>116</v>
      </c>
    </row>
    <row r="7081" spans="1:15" x14ac:dyDescent="0.3">
      <c r="A7081" s="130">
        <v>72835</v>
      </c>
      <c r="B7081" s="130">
        <v>30</v>
      </c>
      <c r="C7081" s="130" t="s">
        <v>8705</v>
      </c>
      <c r="D7081">
        <v>1197</v>
      </c>
      <c r="E7081" s="130">
        <v>26389015</v>
      </c>
      <c r="F7081" t="s">
        <v>87</v>
      </c>
      <c r="G7081">
        <v>358</v>
      </c>
      <c r="H7081" t="s">
        <v>8953</v>
      </c>
      <c r="I7081" s="131">
        <v>2</v>
      </c>
      <c r="J7081" t="s">
        <v>8705</v>
      </c>
      <c r="K7081" t="s">
        <v>108</v>
      </c>
      <c r="L7081" t="s">
        <v>105</v>
      </c>
      <c r="M7081" t="s">
        <v>103</v>
      </c>
      <c r="N7081" t="s">
        <v>98</v>
      </c>
      <c r="O7081" t="s">
        <v>1345</v>
      </c>
    </row>
    <row r="7082" spans="1:15" x14ac:dyDescent="0.3">
      <c r="A7082" s="130">
        <v>72837</v>
      </c>
      <c r="B7082" s="130">
        <v>30</v>
      </c>
      <c r="C7082" s="130" t="s">
        <v>8706</v>
      </c>
      <c r="D7082">
        <v>1198</v>
      </c>
      <c r="E7082" s="131">
        <v>9329077</v>
      </c>
      <c r="F7082" t="s">
        <v>87</v>
      </c>
      <c r="G7082">
        <v>358</v>
      </c>
      <c r="H7082" t="s">
        <v>8951</v>
      </c>
      <c r="I7082" s="131">
        <v>2</v>
      </c>
      <c r="J7082" t="s">
        <v>8706</v>
      </c>
      <c r="K7082" t="s">
        <v>95</v>
      </c>
      <c r="L7082" t="s">
        <v>109</v>
      </c>
      <c r="M7082" t="s">
        <v>103</v>
      </c>
      <c r="N7082" t="s">
        <v>98</v>
      </c>
      <c r="O7082" t="s">
        <v>1345</v>
      </c>
    </row>
    <row r="7083" spans="1:15" x14ac:dyDescent="0.3">
      <c r="A7083" s="130">
        <v>72838</v>
      </c>
      <c r="B7083" s="130">
        <v>30</v>
      </c>
      <c r="C7083" s="130" t="s">
        <v>8707</v>
      </c>
      <c r="D7083">
        <v>1199</v>
      </c>
      <c r="E7083" s="130">
        <v>35100945</v>
      </c>
      <c r="F7083" t="s">
        <v>87</v>
      </c>
      <c r="G7083">
        <v>78</v>
      </c>
      <c r="H7083" t="s">
        <v>8952</v>
      </c>
      <c r="I7083" s="130">
        <v>24</v>
      </c>
      <c r="J7083" t="s">
        <v>8707</v>
      </c>
      <c r="K7083" t="s">
        <v>95</v>
      </c>
      <c r="L7083" t="s">
        <v>138</v>
      </c>
      <c r="M7083" t="s">
        <v>103</v>
      </c>
      <c r="N7083" t="s">
        <v>98</v>
      </c>
      <c r="O7083" t="s">
        <v>1345</v>
      </c>
    </row>
    <row r="7084" spans="1:15" x14ac:dyDescent="0.3">
      <c r="A7084" s="130">
        <v>72839</v>
      </c>
      <c r="B7084" s="130">
        <v>18</v>
      </c>
      <c r="C7084" s="130" t="s">
        <v>8708</v>
      </c>
      <c r="D7084">
        <v>1389</v>
      </c>
      <c r="E7084" s="131">
        <v>71476527</v>
      </c>
      <c r="F7084" t="s">
        <v>87</v>
      </c>
      <c r="G7084">
        <v>358</v>
      </c>
      <c r="H7084" t="s">
        <v>8953</v>
      </c>
      <c r="I7084" s="130">
        <v>24</v>
      </c>
      <c r="J7084" t="s">
        <v>8708</v>
      </c>
      <c r="K7084" t="s">
        <v>95</v>
      </c>
      <c r="L7084" t="s">
        <v>1346</v>
      </c>
      <c r="M7084" t="s">
        <v>112</v>
      </c>
      <c r="N7084" t="s">
        <v>98</v>
      </c>
      <c r="O7084" t="s">
        <v>1345</v>
      </c>
    </row>
    <row r="7085" spans="1:15" x14ac:dyDescent="0.3">
      <c r="A7085" s="130">
        <v>72840</v>
      </c>
      <c r="B7085" s="130">
        <v>60</v>
      </c>
      <c r="C7085" s="130" t="s">
        <v>8709</v>
      </c>
      <c r="D7085">
        <v>1200</v>
      </c>
      <c r="E7085" s="130">
        <v>33592510</v>
      </c>
      <c r="F7085" t="s">
        <v>87</v>
      </c>
      <c r="G7085">
        <v>77</v>
      </c>
      <c r="H7085" t="s">
        <v>8951</v>
      </c>
      <c r="I7085" s="130">
        <v>2</v>
      </c>
      <c r="J7085" t="s">
        <v>8709</v>
      </c>
      <c r="K7085" t="s">
        <v>95</v>
      </c>
      <c r="L7085" t="s">
        <v>117</v>
      </c>
      <c r="M7085" t="s">
        <v>97</v>
      </c>
      <c r="N7085" t="s">
        <v>118</v>
      </c>
      <c r="O7085" t="s">
        <v>1345</v>
      </c>
    </row>
    <row r="7086" spans="1:15" x14ac:dyDescent="0.3">
      <c r="A7086" s="130">
        <v>72841</v>
      </c>
      <c r="B7086" s="130">
        <v>18</v>
      </c>
      <c r="C7086" s="130" t="s">
        <v>8710</v>
      </c>
      <c r="D7086">
        <v>1201</v>
      </c>
      <c r="E7086" s="130">
        <v>25806258</v>
      </c>
      <c r="F7086" t="s">
        <v>87</v>
      </c>
      <c r="G7086">
        <v>358</v>
      </c>
      <c r="H7086" t="s">
        <v>8952</v>
      </c>
      <c r="I7086" s="130">
        <v>2</v>
      </c>
      <c r="J7086" t="s">
        <v>8710</v>
      </c>
      <c r="K7086" t="s">
        <v>108</v>
      </c>
      <c r="L7086" t="s">
        <v>1245</v>
      </c>
      <c r="M7086" t="s">
        <v>112</v>
      </c>
      <c r="N7086" t="s">
        <v>98</v>
      </c>
      <c r="O7086" t="s">
        <v>1345</v>
      </c>
    </row>
    <row r="7087" spans="1:15" x14ac:dyDescent="0.3">
      <c r="A7087" s="130">
        <v>72844</v>
      </c>
      <c r="B7087" s="130">
        <v>18</v>
      </c>
      <c r="C7087" s="130" t="s">
        <v>8711</v>
      </c>
      <c r="D7087">
        <v>1202</v>
      </c>
      <c r="E7087" s="131">
        <v>31790710</v>
      </c>
      <c r="F7087" t="s">
        <v>87</v>
      </c>
      <c r="G7087">
        <v>358</v>
      </c>
      <c r="H7087" t="s">
        <v>8953</v>
      </c>
      <c r="I7087" s="130">
        <v>2</v>
      </c>
      <c r="J7087" t="s">
        <v>8711</v>
      </c>
      <c r="K7087" t="s">
        <v>108</v>
      </c>
      <c r="L7087" t="s">
        <v>1245</v>
      </c>
      <c r="M7087" t="s">
        <v>112</v>
      </c>
      <c r="N7087" t="s">
        <v>114</v>
      </c>
      <c r="O7087" t="s">
        <v>1345</v>
      </c>
    </row>
    <row r="7088" spans="1:15" x14ac:dyDescent="0.3">
      <c r="A7088" s="130">
        <v>72845</v>
      </c>
      <c r="B7088" s="130">
        <v>30</v>
      </c>
      <c r="C7088" s="130" t="s">
        <v>8712</v>
      </c>
      <c r="D7088">
        <v>1203</v>
      </c>
      <c r="E7088" s="130">
        <v>10314959</v>
      </c>
      <c r="F7088" t="s">
        <v>87</v>
      </c>
      <c r="G7088">
        <v>78</v>
      </c>
      <c r="H7088" t="s">
        <v>8951</v>
      </c>
      <c r="I7088" s="131">
        <v>2</v>
      </c>
      <c r="J7088" t="s">
        <v>8712</v>
      </c>
      <c r="K7088" t="s">
        <v>95</v>
      </c>
      <c r="L7088" t="s">
        <v>96</v>
      </c>
      <c r="M7088" t="s">
        <v>103</v>
      </c>
      <c r="N7088" t="s">
        <v>98</v>
      </c>
      <c r="O7088" t="s">
        <v>1345</v>
      </c>
    </row>
    <row r="7089" spans="1:15" x14ac:dyDescent="0.3">
      <c r="A7089" s="130">
        <v>72846</v>
      </c>
      <c r="B7089" s="130">
        <v>18</v>
      </c>
      <c r="C7089" s="130" t="s">
        <v>8713</v>
      </c>
      <c r="D7089">
        <v>1204</v>
      </c>
      <c r="E7089" s="130">
        <v>24486718</v>
      </c>
      <c r="F7089" t="s">
        <v>87</v>
      </c>
      <c r="G7089">
        <v>78</v>
      </c>
      <c r="H7089" t="s">
        <v>8952</v>
      </c>
      <c r="I7089" s="130">
        <v>24</v>
      </c>
      <c r="J7089" t="s">
        <v>8713</v>
      </c>
      <c r="K7089" t="s">
        <v>95</v>
      </c>
      <c r="L7089" t="s">
        <v>138</v>
      </c>
      <c r="M7089" t="s">
        <v>112</v>
      </c>
      <c r="N7089" t="s">
        <v>150</v>
      </c>
      <c r="O7089" t="s">
        <v>1345</v>
      </c>
    </row>
    <row r="7090" spans="1:15" x14ac:dyDescent="0.3">
      <c r="A7090" s="130">
        <v>72849</v>
      </c>
      <c r="B7090" s="130">
        <v>18</v>
      </c>
      <c r="C7090" s="130" t="s">
        <v>8714</v>
      </c>
      <c r="D7090">
        <v>1205</v>
      </c>
      <c r="E7090" s="131">
        <v>11472840</v>
      </c>
      <c r="F7090" t="s">
        <v>87</v>
      </c>
      <c r="G7090">
        <v>78</v>
      </c>
      <c r="H7090" t="s">
        <v>8953</v>
      </c>
      <c r="I7090" s="131">
        <v>26</v>
      </c>
      <c r="J7090" t="s">
        <v>8714</v>
      </c>
      <c r="K7090" t="s">
        <v>108</v>
      </c>
      <c r="L7090" t="s">
        <v>151</v>
      </c>
      <c r="M7090" t="s">
        <v>112</v>
      </c>
      <c r="N7090" t="s">
        <v>124</v>
      </c>
      <c r="O7090" t="s">
        <v>1345</v>
      </c>
    </row>
    <row r="7091" spans="1:15" x14ac:dyDescent="0.3">
      <c r="A7091" s="130">
        <v>72850</v>
      </c>
      <c r="B7091" s="130">
        <v>18</v>
      </c>
      <c r="C7091" s="130" t="s">
        <v>8715</v>
      </c>
      <c r="D7091">
        <v>1206</v>
      </c>
      <c r="E7091" s="130">
        <v>15063096</v>
      </c>
      <c r="F7091" t="s">
        <v>87</v>
      </c>
      <c r="G7091">
        <v>78</v>
      </c>
      <c r="H7091" t="s">
        <v>8951</v>
      </c>
      <c r="I7091" s="131">
        <v>18</v>
      </c>
      <c r="J7091" t="s">
        <v>8715</v>
      </c>
      <c r="K7091" t="s">
        <v>95</v>
      </c>
      <c r="L7091" t="s">
        <v>123</v>
      </c>
      <c r="M7091" t="s">
        <v>112</v>
      </c>
      <c r="N7091" t="s">
        <v>114</v>
      </c>
      <c r="O7091" t="s">
        <v>1345</v>
      </c>
    </row>
    <row r="7092" spans="1:15" x14ac:dyDescent="0.3">
      <c r="A7092" s="130">
        <v>72852</v>
      </c>
      <c r="B7092" s="130">
        <v>18</v>
      </c>
      <c r="C7092" s="130" t="s">
        <v>8716</v>
      </c>
      <c r="D7092">
        <v>1207</v>
      </c>
      <c r="E7092" s="130">
        <v>15392953</v>
      </c>
      <c r="F7092" t="s">
        <v>87</v>
      </c>
      <c r="G7092">
        <v>78</v>
      </c>
      <c r="H7092" t="s">
        <v>8952</v>
      </c>
      <c r="I7092" s="130">
        <v>24</v>
      </c>
      <c r="J7092" t="s">
        <v>8716</v>
      </c>
      <c r="K7092" t="s">
        <v>108</v>
      </c>
      <c r="L7092" t="s">
        <v>191</v>
      </c>
      <c r="M7092" t="s">
        <v>112</v>
      </c>
      <c r="N7092" t="s">
        <v>152</v>
      </c>
      <c r="O7092" t="s">
        <v>116</v>
      </c>
    </row>
    <row r="7093" spans="1:15" x14ac:dyDescent="0.3">
      <c r="A7093" s="130">
        <v>72853</v>
      </c>
      <c r="B7093" s="130">
        <v>18</v>
      </c>
      <c r="C7093" s="130" t="s">
        <v>8717</v>
      </c>
      <c r="D7093">
        <v>1390</v>
      </c>
      <c r="E7093" s="131">
        <v>989304</v>
      </c>
      <c r="F7093" t="s">
        <v>87</v>
      </c>
      <c r="G7093">
        <v>78</v>
      </c>
      <c r="H7093" t="s">
        <v>8953</v>
      </c>
      <c r="I7093" s="130">
        <v>10</v>
      </c>
      <c r="J7093" t="s">
        <v>8717</v>
      </c>
      <c r="K7093" t="s">
        <v>108</v>
      </c>
      <c r="L7093" t="s">
        <v>127</v>
      </c>
      <c r="M7093" t="s">
        <v>112</v>
      </c>
      <c r="N7093" t="s">
        <v>118</v>
      </c>
      <c r="O7093" t="s">
        <v>1345</v>
      </c>
    </row>
    <row r="7094" spans="1:15" x14ac:dyDescent="0.3">
      <c r="A7094" s="130">
        <v>72854</v>
      </c>
      <c r="B7094" s="130">
        <v>18</v>
      </c>
      <c r="C7094" s="130" t="s">
        <v>8718</v>
      </c>
      <c r="D7094">
        <v>1208</v>
      </c>
      <c r="E7094" s="130">
        <v>7197417</v>
      </c>
      <c r="F7094" t="s">
        <v>87</v>
      </c>
      <c r="G7094">
        <v>78</v>
      </c>
      <c r="H7094" t="s">
        <v>8951</v>
      </c>
      <c r="I7094" s="130">
        <v>26</v>
      </c>
      <c r="J7094" t="s">
        <v>8718</v>
      </c>
      <c r="K7094" t="s">
        <v>95</v>
      </c>
      <c r="L7094" t="s">
        <v>151</v>
      </c>
      <c r="M7094" t="s">
        <v>112</v>
      </c>
      <c r="N7094" t="s">
        <v>98</v>
      </c>
      <c r="O7094" t="s">
        <v>116</v>
      </c>
    </row>
    <row r="7095" spans="1:15" x14ac:dyDescent="0.3">
      <c r="A7095" s="130">
        <v>72857</v>
      </c>
      <c r="B7095" s="130">
        <v>30</v>
      </c>
      <c r="C7095" s="130" t="s">
        <v>8719</v>
      </c>
      <c r="D7095">
        <v>1209</v>
      </c>
      <c r="E7095" s="131">
        <v>23347255</v>
      </c>
      <c r="F7095" t="s">
        <v>87</v>
      </c>
      <c r="G7095">
        <v>358</v>
      </c>
      <c r="H7095" t="s">
        <v>8952</v>
      </c>
      <c r="I7095" s="131">
        <v>10</v>
      </c>
      <c r="J7095" t="s">
        <v>8719</v>
      </c>
      <c r="K7095" t="s">
        <v>108</v>
      </c>
      <c r="L7095" t="s">
        <v>105</v>
      </c>
      <c r="M7095" t="s">
        <v>103</v>
      </c>
      <c r="N7095" t="s">
        <v>98</v>
      </c>
      <c r="O7095" t="s">
        <v>1345</v>
      </c>
    </row>
    <row r="7096" spans="1:15" x14ac:dyDescent="0.3">
      <c r="A7096" s="130">
        <v>72860</v>
      </c>
      <c r="B7096" s="130">
        <v>30</v>
      </c>
      <c r="C7096" s="130" t="s">
        <v>8720</v>
      </c>
      <c r="D7096">
        <v>1210</v>
      </c>
      <c r="E7096" s="130">
        <v>8832667</v>
      </c>
      <c r="F7096" t="s">
        <v>87</v>
      </c>
      <c r="G7096">
        <v>358</v>
      </c>
      <c r="H7096" t="s">
        <v>8953</v>
      </c>
      <c r="I7096" s="131">
        <v>2</v>
      </c>
      <c r="J7096" t="s">
        <v>8720</v>
      </c>
      <c r="K7096" t="s">
        <v>108</v>
      </c>
      <c r="L7096" t="s">
        <v>109</v>
      </c>
      <c r="M7096" t="s">
        <v>103</v>
      </c>
      <c r="N7096" t="s">
        <v>118</v>
      </c>
      <c r="O7096" t="s">
        <v>1345</v>
      </c>
    </row>
    <row r="7097" spans="1:15" x14ac:dyDescent="0.3">
      <c r="A7097" s="130">
        <v>72865</v>
      </c>
      <c r="B7097" s="130">
        <v>30</v>
      </c>
      <c r="C7097" s="130" t="s">
        <v>8721</v>
      </c>
      <c r="D7097">
        <v>1211</v>
      </c>
      <c r="E7097" s="131">
        <v>8726496</v>
      </c>
      <c r="F7097" t="s">
        <v>87</v>
      </c>
      <c r="G7097">
        <v>78</v>
      </c>
      <c r="H7097" t="s">
        <v>8951</v>
      </c>
      <c r="I7097" s="131">
        <v>18</v>
      </c>
      <c r="J7097" t="s">
        <v>8721</v>
      </c>
      <c r="K7097" t="s">
        <v>108</v>
      </c>
      <c r="L7097" t="s">
        <v>123</v>
      </c>
      <c r="M7097" t="s">
        <v>103</v>
      </c>
      <c r="N7097" t="s">
        <v>98</v>
      </c>
      <c r="O7097" t="s">
        <v>1345</v>
      </c>
    </row>
    <row r="7098" spans="1:15" x14ac:dyDescent="0.3">
      <c r="A7098" s="130">
        <v>72866</v>
      </c>
      <c r="B7098" s="130">
        <v>18</v>
      </c>
      <c r="C7098" s="130" t="s">
        <v>8722</v>
      </c>
      <c r="D7098">
        <v>1212</v>
      </c>
      <c r="E7098" s="130">
        <v>7885049</v>
      </c>
      <c r="F7098" t="s">
        <v>87</v>
      </c>
      <c r="G7098">
        <v>78</v>
      </c>
      <c r="H7098" t="s">
        <v>8952</v>
      </c>
      <c r="I7098" s="131">
        <v>9</v>
      </c>
      <c r="J7098" t="s">
        <v>8722</v>
      </c>
      <c r="K7098" t="s">
        <v>108</v>
      </c>
      <c r="L7098" t="s">
        <v>134</v>
      </c>
      <c r="M7098" t="s">
        <v>112</v>
      </c>
      <c r="N7098" t="s">
        <v>114</v>
      </c>
      <c r="O7098" t="s">
        <v>1345</v>
      </c>
    </row>
    <row r="7099" spans="1:15" x14ac:dyDescent="0.3">
      <c r="A7099" s="130">
        <v>72868</v>
      </c>
      <c r="B7099" s="130">
        <v>30</v>
      </c>
      <c r="C7099" s="130" t="s">
        <v>8723</v>
      </c>
      <c r="D7099">
        <v>1213</v>
      </c>
      <c r="E7099" s="130">
        <v>33000167</v>
      </c>
      <c r="F7099" t="s">
        <v>87</v>
      </c>
      <c r="G7099">
        <v>78</v>
      </c>
      <c r="H7099" t="s">
        <v>8953</v>
      </c>
      <c r="I7099" s="130">
        <v>24</v>
      </c>
      <c r="J7099" t="s">
        <v>8723</v>
      </c>
      <c r="K7099" t="s">
        <v>95</v>
      </c>
      <c r="L7099" t="s">
        <v>102</v>
      </c>
      <c r="M7099" t="s">
        <v>103</v>
      </c>
      <c r="N7099" t="s">
        <v>101</v>
      </c>
      <c r="O7099" t="s">
        <v>1345</v>
      </c>
    </row>
    <row r="7100" spans="1:15" x14ac:dyDescent="0.3">
      <c r="A7100" s="130">
        <v>72869</v>
      </c>
      <c r="B7100" s="130">
        <v>30</v>
      </c>
      <c r="C7100" s="130" t="s">
        <v>8724</v>
      </c>
      <c r="D7100">
        <v>1214</v>
      </c>
      <c r="E7100" s="130">
        <v>6094474</v>
      </c>
      <c r="F7100" t="s">
        <v>87</v>
      </c>
      <c r="G7100">
        <v>358</v>
      </c>
      <c r="H7100" t="s">
        <v>8951</v>
      </c>
      <c r="I7100" s="130">
        <v>10</v>
      </c>
      <c r="J7100" t="s">
        <v>8724</v>
      </c>
      <c r="K7100" t="s">
        <v>95</v>
      </c>
      <c r="L7100" t="s">
        <v>105</v>
      </c>
      <c r="M7100" t="s">
        <v>103</v>
      </c>
      <c r="N7100" t="s">
        <v>101</v>
      </c>
      <c r="O7100" t="s">
        <v>116</v>
      </c>
    </row>
    <row r="7101" spans="1:15" x14ac:dyDescent="0.3">
      <c r="A7101" s="130">
        <v>72870</v>
      </c>
      <c r="B7101" s="130">
        <v>18</v>
      </c>
      <c r="C7101" s="130" t="s">
        <v>8725</v>
      </c>
      <c r="D7101">
        <v>1215</v>
      </c>
      <c r="E7101" s="130">
        <v>28426989</v>
      </c>
      <c r="F7101" t="s">
        <v>87</v>
      </c>
      <c r="G7101">
        <v>358</v>
      </c>
      <c r="H7101" t="s">
        <v>8952</v>
      </c>
      <c r="I7101" s="130">
        <v>2</v>
      </c>
      <c r="J7101" t="s">
        <v>8725</v>
      </c>
      <c r="K7101" t="s">
        <v>108</v>
      </c>
      <c r="L7101" t="s">
        <v>105</v>
      </c>
      <c r="M7101" t="s">
        <v>112</v>
      </c>
      <c r="N7101" t="s">
        <v>101</v>
      </c>
      <c r="O7101" t="s">
        <v>1345</v>
      </c>
    </row>
    <row r="7102" spans="1:15" x14ac:dyDescent="0.3">
      <c r="A7102" s="130">
        <v>72872</v>
      </c>
      <c r="B7102" s="130">
        <v>28</v>
      </c>
      <c r="C7102" s="130" t="s">
        <v>8726</v>
      </c>
      <c r="D7102">
        <v>1391</v>
      </c>
      <c r="E7102" s="131">
        <v>65176539</v>
      </c>
      <c r="F7102" t="s">
        <v>87</v>
      </c>
      <c r="G7102">
        <v>358</v>
      </c>
      <c r="H7102" t="s">
        <v>8953</v>
      </c>
      <c r="I7102" s="130">
        <v>2</v>
      </c>
      <c r="J7102" t="s">
        <v>8726</v>
      </c>
      <c r="K7102" t="s">
        <v>108</v>
      </c>
      <c r="L7102" t="s">
        <v>111</v>
      </c>
      <c r="M7102" t="s">
        <v>130</v>
      </c>
      <c r="N7102" t="s">
        <v>150</v>
      </c>
      <c r="O7102" t="s">
        <v>1345</v>
      </c>
    </row>
    <row r="7103" spans="1:15" x14ac:dyDescent="0.3">
      <c r="A7103" s="130">
        <v>72873</v>
      </c>
      <c r="B7103" s="130">
        <v>30</v>
      </c>
      <c r="C7103" s="130" t="s">
        <v>8727</v>
      </c>
      <c r="D7103">
        <v>1216</v>
      </c>
      <c r="E7103" s="130">
        <v>91894774</v>
      </c>
      <c r="F7103" t="s">
        <v>87</v>
      </c>
      <c r="G7103">
        <v>77</v>
      </c>
      <c r="H7103" t="s">
        <v>8951</v>
      </c>
      <c r="I7103" s="130">
        <v>2</v>
      </c>
      <c r="J7103" t="s">
        <v>8727</v>
      </c>
      <c r="K7103" t="s">
        <v>95</v>
      </c>
      <c r="L7103" t="s">
        <v>117</v>
      </c>
      <c r="M7103" t="s">
        <v>103</v>
      </c>
      <c r="N7103" t="s">
        <v>98</v>
      </c>
      <c r="O7103" t="s">
        <v>1345</v>
      </c>
    </row>
    <row r="7104" spans="1:15" x14ac:dyDescent="0.3">
      <c r="A7104" s="130">
        <v>72874</v>
      </c>
      <c r="B7104" s="130">
        <v>28</v>
      </c>
      <c r="C7104" s="130" t="s">
        <v>8728</v>
      </c>
      <c r="D7104">
        <v>1217</v>
      </c>
      <c r="E7104" s="130">
        <v>19942283</v>
      </c>
      <c r="F7104" t="s">
        <v>87</v>
      </c>
      <c r="G7104">
        <v>358</v>
      </c>
      <c r="H7104" t="s">
        <v>8952</v>
      </c>
      <c r="I7104" s="131">
        <v>2</v>
      </c>
      <c r="J7104" t="s">
        <v>8728</v>
      </c>
      <c r="K7104" t="s">
        <v>108</v>
      </c>
      <c r="L7104" t="s">
        <v>111</v>
      </c>
      <c r="M7104" t="s">
        <v>130</v>
      </c>
      <c r="N7104" t="s">
        <v>98</v>
      </c>
      <c r="O7104" t="s">
        <v>1345</v>
      </c>
    </row>
    <row r="7105" spans="1:15" x14ac:dyDescent="0.3">
      <c r="A7105" s="130">
        <v>72875</v>
      </c>
      <c r="B7105" s="130">
        <v>18</v>
      </c>
      <c r="C7105" s="130" t="s">
        <v>8729</v>
      </c>
      <c r="D7105">
        <v>1218</v>
      </c>
      <c r="E7105" s="130">
        <v>18429588</v>
      </c>
      <c r="F7105" t="s">
        <v>87</v>
      </c>
      <c r="G7105">
        <v>78</v>
      </c>
      <c r="H7105" t="s">
        <v>8953</v>
      </c>
      <c r="I7105" s="130">
        <v>10</v>
      </c>
      <c r="J7105" t="s">
        <v>8729</v>
      </c>
      <c r="K7105" t="s">
        <v>95</v>
      </c>
      <c r="L7105" t="s">
        <v>127</v>
      </c>
      <c r="M7105" t="s">
        <v>112</v>
      </c>
      <c r="N7105" t="s">
        <v>98</v>
      </c>
      <c r="O7105" t="s">
        <v>1345</v>
      </c>
    </row>
    <row r="7106" spans="1:15" x14ac:dyDescent="0.3">
      <c r="A7106" s="130">
        <v>72878</v>
      </c>
      <c r="B7106" s="130">
        <v>18</v>
      </c>
      <c r="C7106" s="130" t="s">
        <v>8730</v>
      </c>
      <c r="D7106">
        <v>1392</v>
      </c>
      <c r="E7106" s="130">
        <v>20490613</v>
      </c>
      <c r="F7106" t="s">
        <v>87</v>
      </c>
      <c r="G7106">
        <v>78</v>
      </c>
      <c r="H7106" t="s">
        <v>8951</v>
      </c>
      <c r="I7106" s="130">
        <v>18</v>
      </c>
      <c r="J7106" t="s">
        <v>8730</v>
      </c>
      <c r="K7106" t="s">
        <v>108</v>
      </c>
      <c r="L7106" t="s">
        <v>123</v>
      </c>
      <c r="M7106" t="s">
        <v>112</v>
      </c>
      <c r="N7106" t="s">
        <v>98</v>
      </c>
      <c r="O7106" t="s">
        <v>1345</v>
      </c>
    </row>
    <row r="7107" spans="1:15" x14ac:dyDescent="0.3">
      <c r="A7107" s="130">
        <v>72879</v>
      </c>
      <c r="B7107" s="130">
        <v>30</v>
      </c>
      <c r="C7107" s="130" t="s">
        <v>8731</v>
      </c>
      <c r="D7107">
        <v>1219</v>
      </c>
      <c r="E7107" s="130">
        <v>54183587</v>
      </c>
      <c r="F7107" t="s">
        <v>87</v>
      </c>
      <c r="G7107">
        <v>358</v>
      </c>
      <c r="H7107" t="s">
        <v>8952</v>
      </c>
      <c r="I7107" s="130">
        <v>43</v>
      </c>
      <c r="J7107" t="s">
        <v>8731</v>
      </c>
      <c r="K7107" t="s">
        <v>108</v>
      </c>
      <c r="L7107" t="s">
        <v>105</v>
      </c>
      <c r="M7107" t="s">
        <v>103</v>
      </c>
      <c r="N7107" t="s">
        <v>98</v>
      </c>
      <c r="O7107" t="s">
        <v>1345</v>
      </c>
    </row>
    <row r="7108" spans="1:15" x14ac:dyDescent="0.3">
      <c r="A7108" s="130">
        <v>72881</v>
      </c>
      <c r="B7108" s="130">
        <v>60</v>
      </c>
      <c r="C7108" s="130" t="s">
        <v>8732</v>
      </c>
      <c r="D7108">
        <v>1393</v>
      </c>
      <c r="E7108" s="130">
        <v>33592510</v>
      </c>
      <c r="F7108" t="s">
        <v>87</v>
      </c>
      <c r="G7108">
        <v>77</v>
      </c>
      <c r="H7108" t="s">
        <v>8953</v>
      </c>
      <c r="I7108" s="130">
        <v>10</v>
      </c>
      <c r="J7108" t="s">
        <v>8732</v>
      </c>
      <c r="K7108" t="s">
        <v>95</v>
      </c>
      <c r="L7108" t="s">
        <v>117</v>
      </c>
      <c r="M7108" t="s">
        <v>97</v>
      </c>
      <c r="N7108" t="s">
        <v>118</v>
      </c>
      <c r="O7108" t="s">
        <v>1345</v>
      </c>
    </row>
    <row r="7109" spans="1:15" x14ac:dyDescent="0.3">
      <c r="A7109" s="130">
        <v>72885</v>
      </c>
      <c r="B7109" s="130">
        <v>18</v>
      </c>
      <c r="C7109" s="130" t="s">
        <v>8733</v>
      </c>
      <c r="D7109">
        <v>1395</v>
      </c>
      <c r="E7109" s="130">
        <v>38392977</v>
      </c>
      <c r="F7109" t="s">
        <v>87</v>
      </c>
      <c r="G7109">
        <v>78</v>
      </c>
      <c r="H7109" t="s">
        <v>8951</v>
      </c>
      <c r="I7109" s="130">
        <v>38</v>
      </c>
      <c r="J7109" t="s">
        <v>8733</v>
      </c>
      <c r="K7109" t="s">
        <v>108</v>
      </c>
      <c r="L7109" t="s">
        <v>126</v>
      </c>
      <c r="M7109" t="s">
        <v>112</v>
      </c>
      <c r="N7109" t="s">
        <v>150</v>
      </c>
      <c r="O7109" t="s">
        <v>1345</v>
      </c>
    </row>
    <row r="7110" spans="1:15" x14ac:dyDescent="0.3">
      <c r="A7110" s="130">
        <v>72886</v>
      </c>
      <c r="B7110" s="130">
        <v>30</v>
      </c>
      <c r="C7110" s="130" t="s">
        <v>8734</v>
      </c>
      <c r="D7110">
        <v>1220</v>
      </c>
      <c r="E7110" s="130">
        <v>40217012</v>
      </c>
      <c r="F7110" t="s">
        <v>87</v>
      </c>
      <c r="G7110">
        <v>358</v>
      </c>
      <c r="H7110" t="s">
        <v>8952</v>
      </c>
      <c r="I7110" s="131">
        <v>2</v>
      </c>
      <c r="J7110" t="s">
        <v>8734</v>
      </c>
      <c r="K7110" t="s">
        <v>95</v>
      </c>
      <c r="L7110" t="s">
        <v>99</v>
      </c>
      <c r="M7110" t="s">
        <v>103</v>
      </c>
      <c r="N7110" t="s">
        <v>98</v>
      </c>
      <c r="O7110" t="s">
        <v>1345</v>
      </c>
    </row>
    <row r="7111" spans="1:15" x14ac:dyDescent="0.3">
      <c r="A7111" s="130">
        <v>72887</v>
      </c>
      <c r="B7111" s="130">
        <v>18</v>
      </c>
      <c r="C7111" s="130" t="s">
        <v>8735</v>
      </c>
      <c r="D7111">
        <v>1396</v>
      </c>
      <c r="E7111" s="130">
        <v>242184</v>
      </c>
      <c r="F7111" t="s">
        <v>87</v>
      </c>
      <c r="G7111">
        <v>78</v>
      </c>
      <c r="H7111" t="s">
        <v>8953</v>
      </c>
      <c r="I7111" s="131">
        <v>9</v>
      </c>
      <c r="J7111" t="s">
        <v>8735</v>
      </c>
      <c r="K7111" t="s">
        <v>108</v>
      </c>
      <c r="L7111" t="s">
        <v>134</v>
      </c>
      <c r="M7111" t="s">
        <v>112</v>
      </c>
      <c r="N7111" t="s">
        <v>118</v>
      </c>
      <c r="O7111" t="s">
        <v>1345</v>
      </c>
    </row>
    <row r="7112" spans="1:15" x14ac:dyDescent="0.3">
      <c r="A7112" s="130">
        <v>72889</v>
      </c>
      <c r="B7112" s="130">
        <v>18</v>
      </c>
      <c r="C7112" s="130" t="s">
        <v>8736</v>
      </c>
      <c r="D7112">
        <v>1221</v>
      </c>
      <c r="E7112" s="130">
        <v>13791376</v>
      </c>
      <c r="F7112" t="s">
        <v>87</v>
      </c>
      <c r="G7112">
        <v>78</v>
      </c>
      <c r="H7112" t="s">
        <v>8951</v>
      </c>
      <c r="I7112" s="130">
        <v>24</v>
      </c>
      <c r="J7112" t="s">
        <v>8736</v>
      </c>
      <c r="K7112" t="s">
        <v>108</v>
      </c>
      <c r="L7112" t="s">
        <v>1352</v>
      </c>
      <c r="M7112" t="s">
        <v>112</v>
      </c>
      <c r="N7112" t="s">
        <v>98</v>
      </c>
      <c r="O7112" t="s">
        <v>1345</v>
      </c>
    </row>
    <row r="7113" spans="1:15" x14ac:dyDescent="0.3">
      <c r="A7113" s="130">
        <v>72891</v>
      </c>
      <c r="B7113" s="130">
        <v>30</v>
      </c>
      <c r="C7113" s="130" t="s">
        <v>8737</v>
      </c>
      <c r="D7113">
        <v>1222</v>
      </c>
      <c r="E7113" s="130">
        <v>33000167</v>
      </c>
      <c r="F7113" t="s">
        <v>87</v>
      </c>
      <c r="G7113">
        <v>78</v>
      </c>
      <c r="H7113" t="s">
        <v>8952</v>
      </c>
      <c r="I7113" s="131">
        <v>24</v>
      </c>
      <c r="J7113" t="s">
        <v>8737</v>
      </c>
      <c r="K7113" t="s">
        <v>95</v>
      </c>
      <c r="L7113" t="s">
        <v>102</v>
      </c>
      <c r="M7113" t="s">
        <v>103</v>
      </c>
      <c r="N7113" t="s">
        <v>101</v>
      </c>
      <c r="O7113" t="s">
        <v>1345</v>
      </c>
    </row>
    <row r="7114" spans="1:15" x14ac:dyDescent="0.3">
      <c r="A7114" s="130">
        <v>72894</v>
      </c>
      <c r="B7114" s="130">
        <v>35</v>
      </c>
      <c r="C7114" s="130" t="s">
        <v>8738</v>
      </c>
      <c r="D7114">
        <v>1397</v>
      </c>
      <c r="E7114" s="130">
        <v>3992929</v>
      </c>
      <c r="F7114" t="s">
        <v>87</v>
      </c>
      <c r="G7114">
        <v>78</v>
      </c>
      <c r="H7114" t="s">
        <v>8953</v>
      </c>
      <c r="I7114" s="130">
        <v>9</v>
      </c>
      <c r="J7114" t="s">
        <v>8738</v>
      </c>
      <c r="K7114" t="s">
        <v>95</v>
      </c>
      <c r="L7114" t="s">
        <v>134</v>
      </c>
      <c r="M7114" t="s">
        <v>161</v>
      </c>
      <c r="N7114" t="s">
        <v>98</v>
      </c>
      <c r="O7114" t="s">
        <v>1345</v>
      </c>
    </row>
    <row r="7115" spans="1:15" x14ac:dyDescent="0.3">
      <c r="A7115" s="130">
        <v>72896</v>
      </c>
      <c r="B7115" s="130">
        <v>0</v>
      </c>
      <c r="C7115" s="130" t="s">
        <v>8739</v>
      </c>
      <c r="D7115">
        <v>1398</v>
      </c>
      <c r="E7115" s="130">
        <v>9550684</v>
      </c>
      <c r="F7115" t="s">
        <v>87</v>
      </c>
      <c r="G7115">
        <v>78</v>
      </c>
      <c r="H7115" t="s">
        <v>8951</v>
      </c>
      <c r="I7115" s="130">
        <v>9</v>
      </c>
      <c r="J7115" t="s">
        <v>8739</v>
      </c>
      <c r="K7115" t="s">
        <v>108</v>
      </c>
      <c r="L7115" t="s">
        <v>134</v>
      </c>
      <c r="M7115" t="s">
        <v>100</v>
      </c>
      <c r="N7115" t="s">
        <v>98</v>
      </c>
      <c r="O7115" t="s">
        <v>1345</v>
      </c>
    </row>
    <row r="7116" spans="1:15" x14ac:dyDescent="0.3">
      <c r="A7116" s="130">
        <v>72898</v>
      </c>
      <c r="B7116" s="130">
        <v>28</v>
      </c>
      <c r="C7116" s="130" t="s">
        <v>8740</v>
      </c>
      <c r="D7116">
        <v>1223</v>
      </c>
      <c r="E7116" s="131">
        <v>32772117</v>
      </c>
      <c r="F7116" t="s">
        <v>87</v>
      </c>
      <c r="G7116">
        <v>78</v>
      </c>
      <c r="H7116" t="s">
        <v>8952</v>
      </c>
      <c r="I7116" s="131">
        <v>24</v>
      </c>
      <c r="J7116" t="s">
        <v>8740</v>
      </c>
      <c r="K7116" t="s">
        <v>95</v>
      </c>
      <c r="L7116" t="s">
        <v>138</v>
      </c>
      <c r="M7116" t="s">
        <v>130</v>
      </c>
      <c r="N7116" t="s">
        <v>150</v>
      </c>
      <c r="O7116" t="s">
        <v>1345</v>
      </c>
    </row>
    <row r="7117" spans="1:15" x14ac:dyDescent="0.3">
      <c r="A7117" s="130">
        <v>72899</v>
      </c>
      <c r="B7117" s="130">
        <v>10</v>
      </c>
      <c r="C7117" s="130" t="s">
        <v>8741</v>
      </c>
      <c r="D7117">
        <v>1224</v>
      </c>
      <c r="E7117" s="130">
        <v>20346524</v>
      </c>
      <c r="F7117" t="s">
        <v>87</v>
      </c>
      <c r="G7117">
        <v>77</v>
      </c>
      <c r="H7117" t="s">
        <v>8953</v>
      </c>
      <c r="I7117" s="131">
        <v>2</v>
      </c>
      <c r="J7117" t="s">
        <v>8741</v>
      </c>
      <c r="K7117" t="s">
        <v>95</v>
      </c>
      <c r="L7117" t="s">
        <v>117</v>
      </c>
      <c r="M7117" t="s">
        <v>133</v>
      </c>
      <c r="N7117" t="s">
        <v>118</v>
      </c>
      <c r="O7117" t="s">
        <v>1345</v>
      </c>
    </row>
    <row r="7118" spans="1:15" x14ac:dyDescent="0.3">
      <c r="A7118" s="130">
        <v>72900</v>
      </c>
      <c r="B7118" s="130">
        <v>15</v>
      </c>
      <c r="C7118" s="130" t="s">
        <v>8742</v>
      </c>
      <c r="D7118">
        <v>1225</v>
      </c>
      <c r="E7118" s="130">
        <v>37227676</v>
      </c>
      <c r="F7118" t="s">
        <v>87</v>
      </c>
      <c r="G7118">
        <v>78</v>
      </c>
      <c r="H7118" t="s">
        <v>8951</v>
      </c>
      <c r="I7118" s="130">
        <v>24</v>
      </c>
      <c r="J7118" t="s">
        <v>8742</v>
      </c>
      <c r="K7118" t="s">
        <v>95</v>
      </c>
      <c r="L7118" t="s">
        <v>138</v>
      </c>
      <c r="M7118" t="s">
        <v>145</v>
      </c>
      <c r="N7118" t="s">
        <v>98</v>
      </c>
      <c r="O7118" t="s">
        <v>1345</v>
      </c>
    </row>
    <row r="7119" spans="1:15" x14ac:dyDescent="0.3">
      <c r="A7119" s="130">
        <v>72903</v>
      </c>
      <c r="B7119" s="130">
        <v>30</v>
      </c>
      <c r="C7119" s="130" t="s">
        <v>8743</v>
      </c>
      <c r="D7119">
        <v>1226</v>
      </c>
      <c r="E7119" s="130">
        <v>1313486</v>
      </c>
      <c r="F7119" t="s">
        <v>87</v>
      </c>
      <c r="G7119">
        <v>78</v>
      </c>
      <c r="H7119" t="s">
        <v>8952</v>
      </c>
      <c r="I7119" s="130">
        <v>10</v>
      </c>
      <c r="J7119" t="s">
        <v>8743</v>
      </c>
      <c r="K7119" t="s">
        <v>108</v>
      </c>
      <c r="L7119" t="s">
        <v>127</v>
      </c>
      <c r="M7119" t="s">
        <v>103</v>
      </c>
      <c r="N7119" t="s">
        <v>118</v>
      </c>
      <c r="O7119" t="s">
        <v>1345</v>
      </c>
    </row>
    <row r="7120" spans="1:15" x14ac:dyDescent="0.3">
      <c r="A7120" s="130">
        <v>72906</v>
      </c>
      <c r="B7120" s="130">
        <v>30</v>
      </c>
      <c r="C7120" s="130" t="s">
        <v>8744</v>
      </c>
      <c r="D7120">
        <v>1399</v>
      </c>
      <c r="E7120" s="130">
        <v>30747719</v>
      </c>
      <c r="F7120" t="s">
        <v>87</v>
      </c>
      <c r="G7120">
        <v>78</v>
      </c>
      <c r="H7120" t="s">
        <v>8953</v>
      </c>
      <c r="I7120" s="131">
        <v>24</v>
      </c>
      <c r="J7120" t="s">
        <v>8744</v>
      </c>
      <c r="K7120" t="s">
        <v>95</v>
      </c>
      <c r="L7120" t="s">
        <v>144</v>
      </c>
      <c r="M7120" t="s">
        <v>103</v>
      </c>
      <c r="N7120" t="s">
        <v>98</v>
      </c>
      <c r="O7120" t="s">
        <v>1345</v>
      </c>
    </row>
    <row r="7121" spans="1:15" x14ac:dyDescent="0.3">
      <c r="A7121" s="130">
        <v>72907</v>
      </c>
      <c r="B7121" s="130">
        <v>18</v>
      </c>
      <c r="C7121" s="130" t="s">
        <v>8745</v>
      </c>
      <c r="D7121">
        <v>1227</v>
      </c>
      <c r="E7121" s="130">
        <v>83646547</v>
      </c>
      <c r="F7121" t="s">
        <v>87</v>
      </c>
      <c r="G7121">
        <v>358</v>
      </c>
      <c r="H7121" t="s">
        <v>8951</v>
      </c>
      <c r="I7121" s="131">
        <v>10</v>
      </c>
      <c r="J7121" t="s">
        <v>8745</v>
      </c>
      <c r="K7121" t="s">
        <v>95</v>
      </c>
      <c r="L7121" t="s">
        <v>105</v>
      </c>
      <c r="M7121" t="s">
        <v>112</v>
      </c>
      <c r="N7121" t="s">
        <v>114</v>
      </c>
      <c r="O7121" t="s">
        <v>1345</v>
      </c>
    </row>
    <row r="7122" spans="1:15" x14ac:dyDescent="0.3">
      <c r="A7122" s="130">
        <v>72908</v>
      </c>
      <c r="B7122" s="130">
        <v>18</v>
      </c>
      <c r="C7122" s="130" t="s">
        <v>8746</v>
      </c>
      <c r="D7122">
        <v>1228</v>
      </c>
      <c r="E7122" s="130">
        <v>9571284</v>
      </c>
      <c r="F7122" t="s">
        <v>87</v>
      </c>
      <c r="G7122">
        <v>358</v>
      </c>
      <c r="H7122" t="s">
        <v>8952</v>
      </c>
      <c r="I7122" s="131">
        <v>9</v>
      </c>
      <c r="J7122" t="s">
        <v>8746</v>
      </c>
      <c r="K7122" t="s">
        <v>108</v>
      </c>
      <c r="L7122" t="s">
        <v>105</v>
      </c>
      <c r="M7122" t="s">
        <v>112</v>
      </c>
      <c r="N7122" t="s">
        <v>141</v>
      </c>
      <c r="O7122" t="s">
        <v>1345</v>
      </c>
    </row>
    <row r="7123" spans="1:15" x14ac:dyDescent="0.3">
      <c r="A7123" s="130">
        <v>72909</v>
      </c>
      <c r="B7123" s="130">
        <v>18</v>
      </c>
      <c r="C7123" s="130" t="s">
        <v>8747</v>
      </c>
      <c r="D7123">
        <v>1229</v>
      </c>
      <c r="E7123" s="131">
        <v>17159518</v>
      </c>
      <c r="F7123" t="s">
        <v>87</v>
      </c>
      <c r="G7123">
        <v>358</v>
      </c>
      <c r="H7123" t="s">
        <v>8953</v>
      </c>
      <c r="I7123" s="130">
        <v>2</v>
      </c>
      <c r="J7123" t="s">
        <v>8747</v>
      </c>
      <c r="K7123" t="s">
        <v>108</v>
      </c>
      <c r="L7123" t="s">
        <v>109</v>
      </c>
      <c r="M7123" t="s">
        <v>112</v>
      </c>
      <c r="N7123" t="s">
        <v>98</v>
      </c>
      <c r="O7123" t="s">
        <v>116</v>
      </c>
    </row>
    <row r="7124" spans="1:15" x14ac:dyDescent="0.3">
      <c r="A7124" s="130">
        <v>72910</v>
      </c>
      <c r="B7124" s="130">
        <v>18</v>
      </c>
      <c r="C7124" s="130" t="s">
        <v>8748</v>
      </c>
      <c r="D7124">
        <v>1400</v>
      </c>
      <c r="E7124" s="130">
        <v>17159518</v>
      </c>
      <c r="F7124" t="s">
        <v>87</v>
      </c>
      <c r="G7124">
        <v>358</v>
      </c>
      <c r="H7124" t="s">
        <v>8951</v>
      </c>
      <c r="I7124" s="131">
        <v>2</v>
      </c>
      <c r="J7124" t="s">
        <v>8748</v>
      </c>
      <c r="K7124" t="s">
        <v>108</v>
      </c>
      <c r="L7124" t="s">
        <v>109</v>
      </c>
      <c r="M7124" t="s">
        <v>112</v>
      </c>
      <c r="N7124" t="s">
        <v>114</v>
      </c>
      <c r="O7124" t="s">
        <v>1345</v>
      </c>
    </row>
    <row r="7125" spans="1:15" x14ac:dyDescent="0.3">
      <c r="A7125" s="130">
        <v>72911</v>
      </c>
      <c r="B7125" s="130">
        <v>30</v>
      </c>
      <c r="C7125" s="130" t="s">
        <v>8749</v>
      </c>
      <c r="D7125">
        <v>1230</v>
      </c>
      <c r="E7125" s="130">
        <v>33000167</v>
      </c>
      <c r="F7125" t="s">
        <v>87</v>
      </c>
      <c r="G7125">
        <v>78</v>
      </c>
      <c r="H7125" t="s">
        <v>8952</v>
      </c>
      <c r="I7125" s="130">
        <v>24</v>
      </c>
      <c r="J7125" t="s">
        <v>8749</v>
      </c>
      <c r="K7125" t="s">
        <v>95</v>
      </c>
      <c r="L7125" t="s">
        <v>102</v>
      </c>
      <c r="M7125" t="s">
        <v>103</v>
      </c>
      <c r="N7125" t="s">
        <v>101</v>
      </c>
      <c r="O7125" t="s">
        <v>1345</v>
      </c>
    </row>
    <row r="7126" spans="1:15" x14ac:dyDescent="0.3">
      <c r="A7126" s="130">
        <v>72914</v>
      </c>
      <c r="B7126" s="130">
        <v>18</v>
      </c>
      <c r="C7126" s="130" t="s">
        <v>8750</v>
      </c>
      <c r="D7126">
        <v>1231</v>
      </c>
      <c r="E7126" s="131">
        <v>13278976</v>
      </c>
      <c r="F7126" t="s">
        <v>87</v>
      </c>
      <c r="G7126">
        <v>358</v>
      </c>
      <c r="H7126" t="s">
        <v>8953</v>
      </c>
      <c r="I7126" s="131">
        <v>2</v>
      </c>
      <c r="J7126" t="s">
        <v>8750</v>
      </c>
      <c r="K7126" t="s">
        <v>108</v>
      </c>
      <c r="L7126" t="s">
        <v>111</v>
      </c>
      <c r="M7126" t="s">
        <v>112</v>
      </c>
      <c r="N7126" t="s">
        <v>98</v>
      </c>
      <c r="O7126" t="s">
        <v>116</v>
      </c>
    </row>
    <row r="7127" spans="1:15" x14ac:dyDescent="0.3">
      <c r="A7127" s="130">
        <v>72915</v>
      </c>
      <c r="B7127" s="130">
        <v>18</v>
      </c>
      <c r="C7127" s="130" t="s">
        <v>8751</v>
      </c>
      <c r="D7127">
        <v>1232</v>
      </c>
      <c r="E7127" s="130">
        <v>5843874</v>
      </c>
      <c r="F7127" t="s">
        <v>87</v>
      </c>
      <c r="G7127">
        <v>358</v>
      </c>
      <c r="H7127" t="s">
        <v>8951</v>
      </c>
      <c r="I7127" s="130">
        <v>2</v>
      </c>
      <c r="J7127" t="s">
        <v>8751</v>
      </c>
      <c r="K7127" t="s">
        <v>95</v>
      </c>
      <c r="L7127" t="s">
        <v>109</v>
      </c>
      <c r="M7127" t="s">
        <v>112</v>
      </c>
      <c r="N7127" t="s">
        <v>114</v>
      </c>
      <c r="O7127" t="s">
        <v>1345</v>
      </c>
    </row>
    <row r="7128" spans="1:15" x14ac:dyDescent="0.3">
      <c r="A7128" s="130">
        <v>72918</v>
      </c>
      <c r="B7128" s="130">
        <v>18</v>
      </c>
      <c r="C7128" s="130" t="s">
        <v>8752</v>
      </c>
      <c r="D7128">
        <v>1233</v>
      </c>
      <c r="E7128" s="130">
        <v>37505948</v>
      </c>
      <c r="F7128" t="s">
        <v>87</v>
      </c>
      <c r="G7128">
        <v>78</v>
      </c>
      <c r="H7128" t="s">
        <v>8952</v>
      </c>
      <c r="I7128" s="130">
        <v>38</v>
      </c>
      <c r="J7128" t="s">
        <v>8752</v>
      </c>
      <c r="K7128" t="s">
        <v>108</v>
      </c>
      <c r="L7128" t="s">
        <v>126</v>
      </c>
      <c r="M7128" t="s">
        <v>112</v>
      </c>
      <c r="N7128" t="s">
        <v>98</v>
      </c>
      <c r="O7128" t="s">
        <v>1345</v>
      </c>
    </row>
    <row r="7129" spans="1:15" x14ac:dyDescent="0.3">
      <c r="A7129" s="130">
        <v>72919</v>
      </c>
      <c r="B7129" s="130">
        <v>18</v>
      </c>
      <c r="C7129" s="130" t="s">
        <v>8753</v>
      </c>
      <c r="D7129">
        <v>1234</v>
      </c>
      <c r="E7129" s="130">
        <v>15482160</v>
      </c>
      <c r="F7129" t="s">
        <v>87</v>
      </c>
      <c r="G7129">
        <v>78</v>
      </c>
      <c r="H7129" t="s">
        <v>8953</v>
      </c>
      <c r="I7129" s="131">
        <v>24</v>
      </c>
      <c r="J7129" t="s">
        <v>8753</v>
      </c>
      <c r="K7129" t="s">
        <v>108</v>
      </c>
      <c r="L7129" t="s">
        <v>1352</v>
      </c>
      <c r="M7129" t="s">
        <v>112</v>
      </c>
      <c r="N7129" t="s">
        <v>98</v>
      </c>
      <c r="O7129" t="s">
        <v>1345</v>
      </c>
    </row>
    <row r="7130" spans="1:15" x14ac:dyDescent="0.3">
      <c r="A7130" s="130">
        <v>72921</v>
      </c>
      <c r="B7130" s="130">
        <v>18</v>
      </c>
      <c r="C7130" s="130" t="s">
        <v>8754</v>
      </c>
      <c r="D7130">
        <v>1235</v>
      </c>
      <c r="E7130" s="130">
        <v>14046062</v>
      </c>
      <c r="F7130" t="s">
        <v>87</v>
      </c>
      <c r="G7130">
        <v>9135</v>
      </c>
      <c r="H7130" t="s">
        <v>8951</v>
      </c>
      <c r="I7130" s="130">
        <v>38</v>
      </c>
      <c r="J7130" t="s">
        <v>8754</v>
      </c>
      <c r="K7130" t="s">
        <v>108</v>
      </c>
      <c r="L7130" t="s">
        <v>126</v>
      </c>
      <c r="M7130" t="s">
        <v>112</v>
      </c>
      <c r="N7130" t="s">
        <v>98</v>
      </c>
      <c r="O7130" t="s">
        <v>1345</v>
      </c>
    </row>
    <row r="7131" spans="1:15" x14ac:dyDescent="0.3">
      <c r="A7131" s="130">
        <v>72922</v>
      </c>
      <c r="B7131" s="130">
        <v>18</v>
      </c>
      <c r="C7131" s="130" t="s">
        <v>8755</v>
      </c>
      <c r="D7131">
        <v>1401</v>
      </c>
      <c r="E7131" s="130">
        <v>14448260</v>
      </c>
      <c r="F7131" t="s">
        <v>87</v>
      </c>
      <c r="G7131">
        <v>358</v>
      </c>
      <c r="H7131" t="s">
        <v>8952</v>
      </c>
      <c r="I7131" s="131">
        <v>43</v>
      </c>
      <c r="J7131" t="s">
        <v>8755</v>
      </c>
      <c r="K7131" t="s">
        <v>108</v>
      </c>
      <c r="L7131" t="s">
        <v>105</v>
      </c>
      <c r="M7131" t="s">
        <v>112</v>
      </c>
      <c r="N7131" t="s">
        <v>98</v>
      </c>
      <c r="O7131" t="s">
        <v>1345</v>
      </c>
    </row>
    <row r="7132" spans="1:15" x14ac:dyDescent="0.3">
      <c r="A7132" s="130">
        <v>72923</v>
      </c>
      <c r="B7132" s="130">
        <v>18</v>
      </c>
      <c r="C7132" s="130" t="s">
        <v>8756</v>
      </c>
      <c r="D7132">
        <v>1402</v>
      </c>
      <c r="E7132" s="131">
        <v>1294551</v>
      </c>
      <c r="F7132" t="s">
        <v>87</v>
      </c>
      <c r="G7132">
        <v>358</v>
      </c>
      <c r="H7132" t="s">
        <v>8953</v>
      </c>
      <c r="I7132" s="130">
        <v>10</v>
      </c>
      <c r="J7132" t="s">
        <v>8756</v>
      </c>
      <c r="K7132" t="s">
        <v>108</v>
      </c>
      <c r="L7132" t="s">
        <v>109</v>
      </c>
      <c r="M7132" t="s">
        <v>112</v>
      </c>
      <c r="N7132" t="s">
        <v>114</v>
      </c>
      <c r="O7132" t="s">
        <v>1345</v>
      </c>
    </row>
    <row r="7133" spans="1:15" x14ac:dyDescent="0.3">
      <c r="A7133" s="130">
        <v>72925</v>
      </c>
      <c r="B7133" s="130">
        <v>60</v>
      </c>
      <c r="C7133" s="130" t="s">
        <v>8757</v>
      </c>
      <c r="D7133">
        <v>1236</v>
      </c>
      <c r="E7133" s="130">
        <v>34209835</v>
      </c>
      <c r="F7133" t="s">
        <v>87</v>
      </c>
      <c r="G7133">
        <v>77</v>
      </c>
      <c r="H7133" t="s">
        <v>8951</v>
      </c>
      <c r="I7133" s="130">
        <v>41</v>
      </c>
      <c r="J7133" t="s">
        <v>8757</v>
      </c>
      <c r="K7133" t="s">
        <v>95</v>
      </c>
      <c r="L7133" t="s">
        <v>117</v>
      </c>
      <c r="M7133" t="s">
        <v>97</v>
      </c>
      <c r="N7133" t="s">
        <v>98</v>
      </c>
      <c r="O7133" t="s">
        <v>116</v>
      </c>
    </row>
    <row r="7134" spans="1:15" x14ac:dyDescent="0.3">
      <c r="A7134" s="130">
        <v>72926</v>
      </c>
      <c r="B7134" s="130">
        <v>18</v>
      </c>
      <c r="C7134" s="130" t="s">
        <v>8758</v>
      </c>
      <c r="D7134">
        <v>1237</v>
      </c>
      <c r="E7134" s="130">
        <v>7290082</v>
      </c>
      <c r="F7134" t="s">
        <v>87</v>
      </c>
      <c r="G7134">
        <v>78</v>
      </c>
      <c r="H7134" t="s">
        <v>8952</v>
      </c>
      <c r="I7134" s="131">
        <v>38</v>
      </c>
      <c r="J7134" t="s">
        <v>8758</v>
      </c>
      <c r="K7134" t="s">
        <v>108</v>
      </c>
      <c r="L7134" t="s">
        <v>126</v>
      </c>
      <c r="M7134" t="s">
        <v>112</v>
      </c>
      <c r="N7134" t="s">
        <v>124</v>
      </c>
      <c r="O7134" t="s">
        <v>1345</v>
      </c>
    </row>
    <row r="7135" spans="1:15" x14ac:dyDescent="0.3">
      <c r="A7135" s="130">
        <v>72928</v>
      </c>
      <c r="B7135" s="130">
        <v>18</v>
      </c>
      <c r="C7135" s="130" t="s">
        <v>8759</v>
      </c>
      <c r="D7135">
        <v>1238</v>
      </c>
      <c r="E7135" s="131">
        <v>40072582</v>
      </c>
      <c r="F7135" t="s">
        <v>87</v>
      </c>
      <c r="G7135">
        <v>78</v>
      </c>
      <c r="H7135" t="s">
        <v>8953</v>
      </c>
      <c r="I7135" s="131">
        <v>24</v>
      </c>
      <c r="J7135" t="s">
        <v>8759</v>
      </c>
      <c r="K7135" t="s">
        <v>95</v>
      </c>
      <c r="L7135" t="s">
        <v>138</v>
      </c>
      <c r="M7135" t="s">
        <v>112</v>
      </c>
      <c r="N7135" t="s">
        <v>150</v>
      </c>
      <c r="O7135" t="s">
        <v>1345</v>
      </c>
    </row>
    <row r="7136" spans="1:15" x14ac:dyDescent="0.3">
      <c r="A7136" s="130">
        <v>72929</v>
      </c>
      <c r="B7136" s="130">
        <v>18</v>
      </c>
      <c r="C7136" s="130" t="s">
        <v>8760</v>
      </c>
      <c r="D7136">
        <v>1239</v>
      </c>
      <c r="E7136" s="130">
        <v>3584565</v>
      </c>
      <c r="F7136" t="s">
        <v>87</v>
      </c>
      <c r="G7136">
        <v>358</v>
      </c>
      <c r="H7136" t="s">
        <v>8951</v>
      </c>
      <c r="I7136" s="130">
        <v>2</v>
      </c>
      <c r="J7136" t="s">
        <v>8760</v>
      </c>
      <c r="K7136" t="s">
        <v>108</v>
      </c>
      <c r="L7136" t="s">
        <v>111</v>
      </c>
      <c r="M7136" t="s">
        <v>112</v>
      </c>
      <c r="N7136" t="s">
        <v>98</v>
      </c>
      <c r="O7136" t="s">
        <v>1345</v>
      </c>
    </row>
    <row r="7137" spans="1:15" x14ac:dyDescent="0.3">
      <c r="A7137" s="130">
        <v>72930</v>
      </c>
      <c r="B7137" s="130">
        <v>60</v>
      </c>
      <c r="C7137" s="130" t="s">
        <v>8761</v>
      </c>
      <c r="D7137">
        <v>1240</v>
      </c>
      <c r="E7137" s="131">
        <v>14578002</v>
      </c>
      <c r="F7137" t="s">
        <v>87</v>
      </c>
      <c r="G7137">
        <v>78</v>
      </c>
      <c r="H7137" t="s">
        <v>8952</v>
      </c>
      <c r="I7137" s="130">
        <v>9</v>
      </c>
      <c r="J7137" t="s">
        <v>8761</v>
      </c>
      <c r="K7137" t="s">
        <v>95</v>
      </c>
      <c r="L7137" t="s">
        <v>134</v>
      </c>
      <c r="M7137" t="s">
        <v>97</v>
      </c>
      <c r="N7137" t="s">
        <v>124</v>
      </c>
      <c r="O7137" t="s">
        <v>1345</v>
      </c>
    </row>
    <row r="7138" spans="1:15" x14ac:dyDescent="0.3">
      <c r="A7138" s="130">
        <v>72931</v>
      </c>
      <c r="B7138" s="130">
        <v>60</v>
      </c>
      <c r="C7138" s="130" t="s">
        <v>8762</v>
      </c>
      <c r="D7138">
        <v>1241</v>
      </c>
      <c r="E7138" s="131">
        <v>14578002</v>
      </c>
      <c r="F7138" t="s">
        <v>87</v>
      </c>
      <c r="G7138">
        <v>78</v>
      </c>
      <c r="H7138" t="s">
        <v>8953</v>
      </c>
      <c r="I7138" s="130">
        <v>9</v>
      </c>
      <c r="J7138" t="s">
        <v>8762</v>
      </c>
      <c r="K7138" t="s">
        <v>95</v>
      </c>
      <c r="L7138" t="s">
        <v>134</v>
      </c>
      <c r="M7138" t="s">
        <v>97</v>
      </c>
      <c r="N7138" t="s">
        <v>124</v>
      </c>
      <c r="O7138" t="s">
        <v>1345</v>
      </c>
    </row>
    <row r="7139" spans="1:15" x14ac:dyDescent="0.3">
      <c r="A7139" s="130">
        <v>72936</v>
      </c>
      <c r="B7139" s="130">
        <v>30</v>
      </c>
      <c r="C7139" s="130" t="s">
        <v>8763</v>
      </c>
      <c r="D7139">
        <v>1242</v>
      </c>
      <c r="E7139" s="131">
        <v>6094474</v>
      </c>
      <c r="F7139" t="s">
        <v>87</v>
      </c>
      <c r="G7139">
        <v>358</v>
      </c>
      <c r="H7139" t="s">
        <v>8951</v>
      </c>
      <c r="I7139" s="130">
        <v>2</v>
      </c>
      <c r="J7139" t="s">
        <v>8763</v>
      </c>
      <c r="K7139" t="s">
        <v>95</v>
      </c>
      <c r="L7139" t="s">
        <v>111</v>
      </c>
      <c r="M7139" t="s">
        <v>103</v>
      </c>
      <c r="N7139" t="s">
        <v>101</v>
      </c>
      <c r="O7139" t="s">
        <v>116</v>
      </c>
    </row>
    <row r="7140" spans="1:15" x14ac:dyDescent="0.3">
      <c r="A7140" s="130">
        <v>72939</v>
      </c>
      <c r="B7140" s="130">
        <v>18</v>
      </c>
      <c r="C7140" s="130" t="s">
        <v>8764</v>
      </c>
      <c r="D7140">
        <v>1403</v>
      </c>
      <c r="E7140" s="131">
        <v>83646547</v>
      </c>
      <c r="F7140" t="s">
        <v>87</v>
      </c>
      <c r="G7140">
        <v>358</v>
      </c>
      <c r="H7140" t="s">
        <v>8952</v>
      </c>
      <c r="I7140" s="130">
        <v>10</v>
      </c>
      <c r="J7140" t="s">
        <v>8764</v>
      </c>
      <c r="K7140" t="s">
        <v>95</v>
      </c>
      <c r="L7140" t="s">
        <v>105</v>
      </c>
      <c r="M7140" t="s">
        <v>112</v>
      </c>
      <c r="N7140" t="s">
        <v>114</v>
      </c>
      <c r="O7140" t="s">
        <v>1345</v>
      </c>
    </row>
    <row r="7141" spans="1:15" x14ac:dyDescent="0.3">
      <c r="A7141" s="130">
        <v>72942</v>
      </c>
      <c r="B7141" s="130">
        <v>18</v>
      </c>
      <c r="C7141" s="130" t="s">
        <v>8765</v>
      </c>
      <c r="D7141">
        <v>1243</v>
      </c>
      <c r="E7141" s="130">
        <v>8575085</v>
      </c>
      <c r="F7141" t="s">
        <v>87</v>
      </c>
      <c r="G7141">
        <v>78</v>
      </c>
      <c r="H7141" t="s">
        <v>8953</v>
      </c>
      <c r="I7141" s="130">
        <v>26</v>
      </c>
      <c r="J7141" t="s">
        <v>8765</v>
      </c>
      <c r="K7141" t="s">
        <v>108</v>
      </c>
      <c r="L7141" t="s">
        <v>151</v>
      </c>
      <c r="M7141" t="s">
        <v>112</v>
      </c>
      <c r="N7141" t="s">
        <v>98</v>
      </c>
      <c r="O7141" t="s">
        <v>1345</v>
      </c>
    </row>
    <row r="7142" spans="1:15" x14ac:dyDescent="0.3">
      <c r="A7142" s="130">
        <v>72943</v>
      </c>
      <c r="B7142" s="130">
        <v>60</v>
      </c>
      <c r="C7142" s="130" t="s">
        <v>8766</v>
      </c>
      <c r="D7142">
        <v>1244</v>
      </c>
      <c r="E7142" s="130">
        <v>17500224</v>
      </c>
      <c r="F7142" t="s">
        <v>87</v>
      </c>
      <c r="G7142">
        <v>77</v>
      </c>
      <c r="H7142" t="s">
        <v>8951</v>
      </c>
      <c r="I7142" s="130">
        <v>2</v>
      </c>
      <c r="J7142" t="s">
        <v>8766</v>
      </c>
      <c r="K7142" t="s">
        <v>95</v>
      </c>
      <c r="L7142" t="s">
        <v>256</v>
      </c>
      <c r="M7142" t="s">
        <v>97</v>
      </c>
      <c r="N7142" t="s">
        <v>118</v>
      </c>
      <c r="O7142" t="s">
        <v>1345</v>
      </c>
    </row>
    <row r="7143" spans="1:15" x14ac:dyDescent="0.3">
      <c r="A7143" s="130">
        <v>72944</v>
      </c>
      <c r="B7143" s="130">
        <v>60</v>
      </c>
      <c r="C7143" s="130" t="s">
        <v>8767</v>
      </c>
      <c r="D7143">
        <v>1245</v>
      </c>
      <c r="E7143" s="130">
        <v>40217012</v>
      </c>
      <c r="F7143" t="s">
        <v>87</v>
      </c>
      <c r="G7143">
        <v>358</v>
      </c>
      <c r="H7143" t="s">
        <v>8952</v>
      </c>
      <c r="I7143" s="131">
        <v>18</v>
      </c>
      <c r="J7143" t="s">
        <v>8767</v>
      </c>
      <c r="K7143" t="s">
        <v>95</v>
      </c>
      <c r="L7143" t="s">
        <v>99</v>
      </c>
      <c r="M7143" t="s">
        <v>97</v>
      </c>
      <c r="N7143" t="s">
        <v>98</v>
      </c>
      <c r="O7143" t="s">
        <v>1345</v>
      </c>
    </row>
    <row r="7144" spans="1:15" x14ac:dyDescent="0.3">
      <c r="A7144" s="130">
        <v>72945</v>
      </c>
      <c r="B7144" s="130">
        <v>60</v>
      </c>
      <c r="C7144" s="130" t="s">
        <v>8768</v>
      </c>
      <c r="D7144">
        <v>1246</v>
      </c>
      <c r="E7144" s="131">
        <v>40217012</v>
      </c>
      <c r="F7144" t="s">
        <v>87</v>
      </c>
      <c r="G7144">
        <v>358</v>
      </c>
      <c r="H7144" t="s">
        <v>8953</v>
      </c>
      <c r="I7144" s="131">
        <v>2</v>
      </c>
      <c r="J7144" t="s">
        <v>8768</v>
      </c>
      <c r="K7144" t="s">
        <v>95</v>
      </c>
      <c r="L7144" t="s">
        <v>193</v>
      </c>
      <c r="M7144" t="s">
        <v>97</v>
      </c>
      <c r="N7144" t="s">
        <v>98</v>
      </c>
      <c r="O7144" t="s">
        <v>116</v>
      </c>
    </row>
    <row r="7145" spans="1:15" x14ac:dyDescent="0.3">
      <c r="A7145" s="130">
        <v>72947</v>
      </c>
      <c r="B7145" s="130">
        <v>30</v>
      </c>
      <c r="C7145" s="130" t="s">
        <v>8769</v>
      </c>
      <c r="D7145">
        <v>1247</v>
      </c>
      <c r="E7145" s="130">
        <v>33000167</v>
      </c>
      <c r="F7145" t="s">
        <v>87</v>
      </c>
      <c r="G7145">
        <v>78</v>
      </c>
      <c r="H7145" t="s">
        <v>8951</v>
      </c>
      <c r="I7145" s="130">
        <v>24</v>
      </c>
      <c r="J7145" t="s">
        <v>8769</v>
      </c>
      <c r="K7145" t="s">
        <v>95</v>
      </c>
      <c r="L7145" t="s">
        <v>102</v>
      </c>
      <c r="M7145" t="s">
        <v>103</v>
      </c>
      <c r="N7145" t="s">
        <v>101</v>
      </c>
      <c r="O7145" t="s">
        <v>1345</v>
      </c>
    </row>
    <row r="7146" spans="1:15" x14ac:dyDescent="0.3">
      <c r="A7146" s="130">
        <v>72948</v>
      </c>
      <c r="B7146" s="130">
        <v>18</v>
      </c>
      <c r="C7146" s="130" t="s">
        <v>8770</v>
      </c>
      <c r="D7146">
        <v>1248</v>
      </c>
      <c r="E7146" s="131">
        <v>12403924</v>
      </c>
      <c r="F7146" t="s">
        <v>87</v>
      </c>
      <c r="G7146">
        <v>358</v>
      </c>
      <c r="H7146" t="s">
        <v>8952</v>
      </c>
      <c r="I7146" s="130">
        <v>2</v>
      </c>
      <c r="J7146" t="s">
        <v>8770</v>
      </c>
      <c r="K7146" t="s">
        <v>108</v>
      </c>
      <c r="L7146" t="s">
        <v>109</v>
      </c>
      <c r="M7146" t="s">
        <v>112</v>
      </c>
      <c r="N7146" t="s">
        <v>98</v>
      </c>
      <c r="O7146" t="s">
        <v>1345</v>
      </c>
    </row>
    <row r="7147" spans="1:15" x14ac:dyDescent="0.3">
      <c r="A7147" s="130">
        <v>72950</v>
      </c>
      <c r="B7147" s="130">
        <v>28</v>
      </c>
      <c r="C7147" s="130" t="s">
        <v>8771</v>
      </c>
      <c r="D7147">
        <v>1249</v>
      </c>
      <c r="E7147" s="130">
        <v>11472840</v>
      </c>
      <c r="F7147" t="s">
        <v>87</v>
      </c>
      <c r="G7147">
        <v>358</v>
      </c>
      <c r="H7147" t="s">
        <v>8953</v>
      </c>
      <c r="I7147" s="131">
        <v>2</v>
      </c>
      <c r="J7147" t="s">
        <v>8771</v>
      </c>
      <c r="K7147" t="s">
        <v>108</v>
      </c>
      <c r="L7147" t="s">
        <v>140</v>
      </c>
      <c r="M7147" t="s">
        <v>130</v>
      </c>
      <c r="N7147" t="s">
        <v>124</v>
      </c>
      <c r="O7147" t="s">
        <v>1345</v>
      </c>
    </row>
    <row r="7148" spans="1:15" x14ac:dyDescent="0.3">
      <c r="A7148" s="130">
        <v>72952</v>
      </c>
      <c r="B7148" s="130">
        <v>18</v>
      </c>
      <c r="C7148" s="130" t="s">
        <v>8772</v>
      </c>
      <c r="D7148">
        <v>1405</v>
      </c>
      <c r="E7148" s="130">
        <v>73500500897</v>
      </c>
      <c r="F7148" t="s">
        <v>87</v>
      </c>
      <c r="G7148">
        <v>78</v>
      </c>
      <c r="H7148" t="s">
        <v>8951</v>
      </c>
      <c r="I7148" s="131">
        <v>24</v>
      </c>
      <c r="J7148" t="s">
        <v>8772</v>
      </c>
      <c r="K7148" t="s">
        <v>95</v>
      </c>
      <c r="L7148" t="s">
        <v>138</v>
      </c>
      <c r="M7148" t="s">
        <v>112</v>
      </c>
      <c r="N7148" t="s">
        <v>110</v>
      </c>
      <c r="O7148" t="s">
        <v>1345</v>
      </c>
    </row>
    <row r="7149" spans="1:15" x14ac:dyDescent="0.3">
      <c r="A7149" s="130">
        <v>72954</v>
      </c>
      <c r="B7149" s="130">
        <v>30</v>
      </c>
      <c r="C7149" s="130" t="s">
        <v>8773</v>
      </c>
      <c r="D7149">
        <v>1250</v>
      </c>
      <c r="E7149" s="131">
        <v>82502196</v>
      </c>
      <c r="F7149" t="s">
        <v>87</v>
      </c>
      <c r="G7149">
        <v>78</v>
      </c>
      <c r="H7149" t="s">
        <v>8952</v>
      </c>
      <c r="I7149" s="130">
        <v>10</v>
      </c>
      <c r="J7149" t="s">
        <v>8773</v>
      </c>
      <c r="K7149" t="s">
        <v>95</v>
      </c>
      <c r="L7149" t="s">
        <v>127</v>
      </c>
      <c r="M7149" t="s">
        <v>103</v>
      </c>
      <c r="N7149" t="s">
        <v>118</v>
      </c>
      <c r="O7149" t="s">
        <v>1345</v>
      </c>
    </row>
    <row r="7150" spans="1:15" x14ac:dyDescent="0.3">
      <c r="A7150" s="130">
        <v>72956</v>
      </c>
      <c r="B7150" s="130">
        <v>18</v>
      </c>
      <c r="C7150" s="130" t="s">
        <v>8774</v>
      </c>
      <c r="D7150">
        <v>1251</v>
      </c>
      <c r="E7150" s="130">
        <v>43211325</v>
      </c>
      <c r="F7150" t="s">
        <v>87</v>
      </c>
      <c r="G7150">
        <v>358</v>
      </c>
      <c r="H7150" t="s">
        <v>8953</v>
      </c>
      <c r="I7150" s="131">
        <v>2</v>
      </c>
      <c r="J7150" t="s">
        <v>8774</v>
      </c>
      <c r="K7150" t="s">
        <v>95</v>
      </c>
      <c r="L7150" t="s">
        <v>111</v>
      </c>
      <c r="M7150" t="s">
        <v>112</v>
      </c>
      <c r="N7150" t="s">
        <v>118</v>
      </c>
      <c r="O7150" t="s">
        <v>1345</v>
      </c>
    </row>
    <row r="7151" spans="1:15" x14ac:dyDescent="0.3">
      <c r="A7151" s="130">
        <v>72957</v>
      </c>
      <c r="B7151" s="130">
        <v>30</v>
      </c>
      <c r="C7151" s="130" t="s">
        <v>8775</v>
      </c>
      <c r="D7151">
        <v>1406</v>
      </c>
      <c r="E7151" s="130">
        <v>44983435</v>
      </c>
      <c r="F7151" t="s">
        <v>87</v>
      </c>
      <c r="G7151">
        <v>78</v>
      </c>
      <c r="H7151" t="s">
        <v>8951</v>
      </c>
      <c r="I7151" s="130">
        <v>9</v>
      </c>
      <c r="J7151" t="s">
        <v>8775</v>
      </c>
      <c r="K7151" t="s">
        <v>108</v>
      </c>
      <c r="L7151" t="s">
        <v>1298</v>
      </c>
      <c r="M7151" t="s">
        <v>103</v>
      </c>
      <c r="N7151" t="s">
        <v>114</v>
      </c>
      <c r="O7151" t="s">
        <v>1345</v>
      </c>
    </row>
    <row r="7152" spans="1:15" x14ac:dyDescent="0.3">
      <c r="A7152" s="130">
        <v>72958</v>
      </c>
      <c r="B7152" s="130">
        <v>30</v>
      </c>
      <c r="C7152" s="130" t="s">
        <v>8776</v>
      </c>
      <c r="D7152">
        <v>1407</v>
      </c>
      <c r="E7152" s="130">
        <v>8928273</v>
      </c>
      <c r="F7152" t="s">
        <v>87</v>
      </c>
      <c r="G7152">
        <v>358</v>
      </c>
      <c r="H7152" t="s">
        <v>8952</v>
      </c>
      <c r="I7152" s="131">
        <v>2</v>
      </c>
      <c r="J7152" t="s">
        <v>8776</v>
      </c>
      <c r="K7152" t="s">
        <v>95</v>
      </c>
      <c r="L7152" t="s">
        <v>140</v>
      </c>
      <c r="M7152" t="s">
        <v>103</v>
      </c>
      <c r="N7152" t="s">
        <v>124</v>
      </c>
      <c r="O7152" t="s">
        <v>1345</v>
      </c>
    </row>
    <row r="7153" spans="1:15" x14ac:dyDescent="0.3">
      <c r="A7153" s="130">
        <v>72959</v>
      </c>
      <c r="B7153" s="130">
        <v>30</v>
      </c>
      <c r="C7153" s="130" t="s">
        <v>8777</v>
      </c>
      <c r="D7153">
        <v>1252</v>
      </c>
      <c r="E7153" s="131">
        <v>36178464</v>
      </c>
      <c r="F7153" t="s">
        <v>87</v>
      </c>
      <c r="G7153">
        <v>78</v>
      </c>
      <c r="H7153" t="s">
        <v>8953</v>
      </c>
      <c r="I7153" s="131">
        <v>24</v>
      </c>
      <c r="J7153" t="s">
        <v>8777</v>
      </c>
      <c r="K7153" t="s">
        <v>95</v>
      </c>
      <c r="L7153" t="s">
        <v>138</v>
      </c>
      <c r="M7153" t="s">
        <v>103</v>
      </c>
      <c r="N7153" t="s">
        <v>98</v>
      </c>
      <c r="O7153" t="s">
        <v>1345</v>
      </c>
    </row>
    <row r="7154" spans="1:15" x14ac:dyDescent="0.3">
      <c r="A7154" s="130">
        <v>72961</v>
      </c>
      <c r="B7154" s="130">
        <v>18</v>
      </c>
      <c r="C7154" s="130" t="s">
        <v>8778</v>
      </c>
      <c r="D7154">
        <v>1253</v>
      </c>
      <c r="E7154" s="130">
        <v>31125206</v>
      </c>
      <c r="F7154" t="s">
        <v>87</v>
      </c>
      <c r="G7154">
        <v>78</v>
      </c>
      <c r="H7154" t="s">
        <v>8951</v>
      </c>
      <c r="I7154" s="130">
        <v>18</v>
      </c>
      <c r="J7154" t="s">
        <v>8778</v>
      </c>
      <c r="K7154" t="s">
        <v>108</v>
      </c>
      <c r="L7154" t="s">
        <v>123</v>
      </c>
      <c r="M7154" t="s">
        <v>112</v>
      </c>
      <c r="N7154" t="s">
        <v>101</v>
      </c>
      <c r="O7154" t="s">
        <v>1345</v>
      </c>
    </row>
    <row r="7155" spans="1:15" x14ac:dyDescent="0.3">
      <c r="A7155" s="130">
        <v>72962</v>
      </c>
      <c r="B7155" s="130">
        <v>28</v>
      </c>
      <c r="C7155" s="130" t="s">
        <v>8779</v>
      </c>
      <c r="D7155">
        <v>1254</v>
      </c>
      <c r="E7155" s="130">
        <v>96298013</v>
      </c>
      <c r="F7155" t="s">
        <v>87</v>
      </c>
      <c r="G7155">
        <v>78</v>
      </c>
      <c r="H7155" t="s">
        <v>8952</v>
      </c>
      <c r="I7155" s="130">
        <v>24</v>
      </c>
      <c r="J7155" t="s">
        <v>8779</v>
      </c>
      <c r="K7155" t="s">
        <v>95</v>
      </c>
      <c r="L7155" t="s">
        <v>138</v>
      </c>
      <c r="M7155" t="s">
        <v>130</v>
      </c>
      <c r="N7155" t="s">
        <v>98</v>
      </c>
      <c r="O7155" t="s">
        <v>1345</v>
      </c>
    </row>
    <row r="7156" spans="1:15" x14ac:dyDescent="0.3">
      <c r="A7156" s="130">
        <v>72963</v>
      </c>
      <c r="B7156" s="130">
        <v>18</v>
      </c>
      <c r="C7156" s="130" t="s">
        <v>8780</v>
      </c>
      <c r="D7156">
        <v>1408</v>
      </c>
      <c r="E7156" s="130">
        <v>19744298</v>
      </c>
      <c r="F7156" t="s">
        <v>87</v>
      </c>
      <c r="G7156">
        <v>358</v>
      </c>
      <c r="H7156" t="s">
        <v>8953</v>
      </c>
      <c r="I7156" s="131">
        <v>38</v>
      </c>
      <c r="J7156" t="s">
        <v>8780</v>
      </c>
      <c r="K7156" t="s">
        <v>108</v>
      </c>
      <c r="L7156" t="s">
        <v>105</v>
      </c>
      <c r="M7156" t="s">
        <v>112</v>
      </c>
      <c r="N7156" t="s">
        <v>104</v>
      </c>
      <c r="O7156" t="s">
        <v>1345</v>
      </c>
    </row>
    <row r="7157" spans="1:15" x14ac:dyDescent="0.3">
      <c r="A7157" s="130">
        <v>72964</v>
      </c>
      <c r="B7157" s="130">
        <v>30</v>
      </c>
      <c r="C7157" s="130" t="s">
        <v>8781</v>
      </c>
      <c r="D7157">
        <v>1255</v>
      </c>
      <c r="E7157" s="130">
        <v>33000167</v>
      </c>
      <c r="F7157" t="s">
        <v>87</v>
      </c>
      <c r="G7157">
        <v>78</v>
      </c>
      <c r="H7157" t="s">
        <v>8951</v>
      </c>
      <c r="I7157" s="130">
        <v>24</v>
      </c>
      <c r="J7157" t="s">
        <v>8781</v>
      </c>
      <c r="K7157" t="s">
        <v>95</v>
      </c>
      <c r="L7157" t="s">
        <v>102</v>
      </c>
      <c r="M7157" t="s">
        <v>103</v>
      </c>
      <c r="N7157" t="s">
        <v>101</v>
      </c>
      <c r="O7157" t="s">
        <v>1345</v>
      </c>
    </row>
    <row r="7158" spans="1:15" x14ac:dyDescent="0.3">
      <c r="A7158" s="130">
        <v>72965</v>
      </c>
      <c r="B7158" s="130">
        <v>18</v>
      </c>
      <c r="C7158" s="130" t="s">
        <v>8782</v>
      </c>
      <c r="D7158">
        <v>1256</v>
      </c>
      <c r="E7158" s="130">
        <v>25349440</v>
      </c>
      <c r="F7158" t="s">
        <v>87</v>
      </c>
      <c r="G7158">
        <v>358</v>
      </c>
      <c r="H7158" t="s">
        <v>8952</v>
      </c>
      <c r="I7158" s="130">
        <v>2</v>
      </c>
      <c r="J7158" t="s">
        <v>8782</v>
      </c>
      <c r="K7158" t="s">
        <v>108</v>
      </c>
      <c r="L7158" t="s">
        <v>109</v>
      </c>
      <c r="M7158" t="s">
        <v>112</v>
      </c>
      <c r="N7158" t="s">
        <v>98</v>
      </c>
      <c r="O7158" t="s">
        <v>1345</v>
      </c>
    </row>
    <row r="7159" spans="1:15" x14ac:dyDescent="0.3">
      <c r="A7159" s="130">
        <v>72966</v>
      </c>
      <c r="B7159" s="130">
        <v>18</v>
      </c>
      <c r="C7159" s="130" t="s">
        <v>8783</v>
      </c>
      <c r="D7159">
        <v>1257</v>
      </c>
      <c r="E7159" s="131">
        <v>38745428</v>
      </c>
      <c r="F7159" t="s">
        <v>87</v>
      </c>
      <c r="G7159">
        <v>358</v>
      </c>
      <c r="H7159" t="s">
        <v>8953</v>
      </c>
      <c r="I7159" s="130">
        <v>2</v>
      </c>
      <c r="J7159" t="s">
        <v>8783</v>
      </c>
      <c r="K7159" t="s">
        <v>108</v>
      </c>
      <c r="L7159" t="s">
        <v>1245</v>
      </c>
      <c r="M7159" t="s">
        <v>112</v>
      </c>
      <c r="N7159" t="s">
        <v>98</v>
      </c>
      <c r="O7159" t="s">
        <v>1345</v>
      </c>
    </row>
    <row r="7160" spans="1:15" x14ac:dyDescent="0.3">
      <c r="A7160" s="130">
        <v>72968</v>
      </c>
      <c r="B7160" s="130">
        <v>18</v>
      </c>
      <c r="C7160" s="130" t="s">
        <v>8784</v>
      </c>
      <c r="D7160">
        <v>1258</v>
      </c>
      <c r="E7160" s="130">
        <v>47383971</v>
      </c>
      <c r="F7160" t="s">
        <v>87</v>
      </c>
      <c r="G7160">
        <v>358</v>
      </c>
      <c r="H7160" t="s">
        <v>8951</v>
      </c>
      <c r="I7160" s="130">
        <v>18</v>
      </c>
      <c r="J7160" t="s">
        <v>8784</v>
      </c>
      <c r="K7160" t="s">
        <v>108</v>
      </c>
      <c r="L7160" t="s">
        <v>1245</v>
      </c>
      <c r="M7160" t="s">
        <v>112</v>
      </c>
      <c r="N7160" t="s">
        <v>98</v>
      </c>
      <c r="O7160" t="s">
        <v>1345</v>
      </c>
    </row>
    <row r="7161" spans="1:15" x14ac:dyDescent="0.3">
      <c r="A7161" s="130">
        <v>72970</v>
      </c>
      <c r="B7161" s="130">
        <v>18</v>
      </c>
      <c r="C7161" s="130" t="s">
        <v>8785</v>
      </c>
      <c r="D7161">
        <v>1409</v>
      </c>
      <c r="E7161" s="131">
        <v>5325014</v>
      </c>
      <c r="F7161" t="s">
        <v>87</v>
      </c>
      <c r="G7161">
        <v>78</v>
      </c>
      <c r="H7161" t="s">
        <v>8952</v>
      </c>
      <c r="I7161" s="131">
        <v>9</v>
      </c>
      <c r="J7161" t="s">
        <v>8785</v>
      </c>
      <c r="K7161" t="s">
        <v>95</v>
      </c>
      <c r="L7161" t="s">
        <v>134</v>
      </c>
      <c r="M7161" t="s">
        <v>112</v>
      </c>
      <c r="N7161" t="s">
        <v>98</v>
      </c>
      <c r="O7161" t="s">
        <v>1345</v>
      </c>
    </row>
    <row r="7162" spans="1:15" x14ac:dyDescent="0.3">
      <c r="A7162" s="130">
        <v>72973</v>
      </c>
      <c r="B7162" s="130">
        <v>60</v>
      </c>
      <c r="C7162" s="130" t="s">
        <v>8786</v>
      </c>
      <c r="D7162">
        <v>1259</v>
      </c>
      <c r="E7162" s="130">
        <v>33592510</v>
      </c>
      <c r="F7162" t="s">
        <v>87</v>
      </c>
      <c r="G7162">
        <v>77</v>
      </c>
      <c r="H7162" t="s">
        <v>8953</v>
      </c>
      <c r="I7162" s="130">
        <v>2</v>
      </c>
      <c r="J7162" t="s">
        <v>8786</v>
      </c>
      <c r="K7162" t="s">
        <v>95</v>
      </c>
      <c r="L7162" t="s">
        <v>1255</v>
      </c>
      <c r="M7162" t="s">
        <v>97</v>
      </c>
      <c r="N7162" t="s">
        <v>118</v>
      </c>
      <c r="O7162" t="s">
        <v>1345</v>
      </c>
    </row>
    <row r="7163" spans="1:15" x14ac:dyDescent="0.3">
      <c r="A7163" s="130">
        <v>72974</v>
      </c>
      <c r="B7163" s="130">
        <v>18</v>
      </c>
      <c r="C7163" s="130" t="s">
        <v>8787</v>
      </c>
      <c r="D7163">
        <v>1260</v>
      </c>
      <c r="E7163" s="130">
        <v>31790710</v>
      </c>
      <c r="F7163" t="s">
        <v>87</v>
      </c>
      <c r="G7163">
        <v>358</v>
      </c>
      <c r="H7163" t="s">
        <v>8951</v>
      </c>
      <c r="I7163" s="131">
        <v>2</v>
      </c>
      <c r="J7163" t="s">
        <v>8787</v>
      </c>
      <c r="K7163" t="s">
        <v>108</v>
      </c>
      <c r="L7163" t="s">
        <v>1245</v>
      </c>
      <c r="M7163" t="s">
        <v>112</v>
      </c>
      <c r="N7163" t="s">
        <v>114</v>
      </c>
      <c r="O7163" t="s">
        <v>1345</v>
      </c>
    </row>
    <row r="7164" spans="1:15" x14ac:dyDescent="0.3">
      <c r="A7164" s="130">
        <v>72978</v>
      </c>
      <c r="B7164" s="130">
        <v>0</v>
      </c>
      <c r="C7164" s="130" t="s">
        <v>8788</v>
      </c>
      <c r="D7164">
        <v>1410</v>
      </c>
      <c r="E7164" s="131">
        <v>38469602</v>
      </c>
      <c r="F7164" t="s">
        <v>87</v>
      </c>
      <c r="G7164">
        <v>78</v>
      </c>
      <c r="H7164" t="s">
        <v>8952</v>
      </c>
      <c r="I7164" s="131">
        <v>24</v>
      </c>
      <c r="J7164" t="s">
        <v>8788</v>
      </c>
      <c r="K7164" t="s">
        <v>108</v>
      </c>
      <c r="L7164" t="s">
        <v>1352</v>
      </c>
      <c r="M7164" t="s">
        <v>100</v>
      </c>
      <c r="N7164" t="s">
        <v>114</v>
      </c>
      <c r="O7164" t="s">
        <v>1345</v>
      </c>
    </row>
    <row r="7165" spans="1:15" x14ac:dyDescent="0.3">
      <c r="A7165" s="130">
        <v>72979</v>
      </c>
      <c r="B7165" s="130">
        <v>10</v>
      </c>
      <c r="C7165" s="130" t="s">
        <v>8789</v>
      </c>
      <c r="D7165">
        <v>1411</v>
      </c>
      <c r="E7165" s="130">
        <v>835301</v>
      </c>
      <c r="F7165" t="s">
        <v>87</v>
      </c>
      <c r="G7165">
        <v>78</v>
      </c>
      <c r="H7165" t="s">
        <v>8953</v>
      </c>
      <c r="I7165" s="131">
        <v>24</v>
      </c>
      <c r="J7165" t="s">
        <v>8789</v>
      </c>
      <c r="K7165" t="s">
        <v>95</v>
      </c>
      <c r="L7165" t="s">
        <v>138</v>
      </c>
      <c r="M7165" t="s">
        <v>133</v>
      </c>
      <c r="N7165" t="s">
        <v>98</v>
      </c>
      <c r="O7165" t="s">
        <v>1345</v>
      </c>
    </row>
    <row r="7166" spans="1:15" x14ac:dyDescent="0.3">
      <c r="A7166" s="130">
        <v>72981</v>
      </c>
      <c r="B7166" s="130">
        <v>18</v>
      </c>
      <c r="C7166" s="130" t="s">
        <v>8790</v>
      </c>
      <c r="D7166">
        <v>1261</v>
      </c>
      <c r="E7166" s="130">
        <v>9625762</v>
      </c>
      <c r="F7166" t="s">
        <v>87</v>
      </c>
      <c r="G7166">
        <v>358</v>
      </c>
      <c r="H7166" t="s">
        <v>8951</v>
      </c>
      <c r="I7166" s="131">
        <v>24</v>
      </c>
      <c r="J7166" t="s">
        <v>8790</v>
      </c>
      <c r="K7166" t="s">
        <v>95</v>
      </c>
      <c r="L7166" t="s">
        <v>105</v>
      </c>
      <c r="M7166" t="s">
        <v>112</v>
      </c>
      <c r="N7166" t="s">
        <v>150</v>
      </c>
      <c r="O7166" t="s">
        <v>1345</v>
      </c>
    </row>
    <row r="7167" spans="1:15" x14ac:dyDescent="0.3">
      <c r="A7167" s="130">
        <v>72982</v>
      </c>
      <c r="B7167" s="130">
        <v>18</v>
      </c>
      <c r="C7167" s="130" t="s">
        <v>8791</v>
      </c>
      <c r="D7167">
        <v>1262</v>
      </c>
      <c r="E7167" s="131">
        <v>20707884</v>
      </c>
      <c r="F7167" t="s">
        <v>87</v>
      </c>
      <c r="G7167">
        <v>358</v>
      </c>
      <c r="H7167" t="s">
        <v>8952</v>
      </c>
      <c r="I7167" s="130">
        <v>2</v>
      </c>
      <c r="J7167" t="s">
        <v>8791</v>
      </c>
      <c r="K7167" t="s">
        <v>95</v>
      </c>
      <c r="L7167" t="s">
        <v>109</v>
      </c>
      <c r="M7167" t="s">
        <v>112</v>
      </c>
      <c r="N7167" t="s">
        <v>124</v>
      </c>
      <c r="O7167" t="s">
        <v>1345</v>
      </c>
    </row>
    <row r="7168" spans="1:15" x14ac:dyDescent="0.3">
      <c r="A7168" s="130">
        <v>72983</v>
      </c>
      <c r="B7168" s="130">
        <v>18</v>
      </c>
      <c r="C7168" s="130" t="s">
        <v>8792</v>
      </c>
      <c r="D7168">
        <v>1263</v>
      </c>
      <c r="E7168" s="130">
        <v>17168907</v>
      </c>
      <c r="F7168" t="s">
        <v>87</v>
      </c>
      <c r="G7168">
        <v>358</v>
      </c>
      <c r="H7168" t="s">
        <v>8953</v>
      </c>
      <c r="I7168" s="130">
        <v>2</v>
      </c>
      <c r="J7168" t="s">
        <v>8792</v>
      </c>
      <c r="K7168" t="s">
        <v>108</v>
      </c>
      <c r="L7168" t="s">
        <v>1245</v>
      </c>
      <c r="M7168" t="s">
        <v>112</v>
      </c>
      <c r="N7168" t="s">
        <v>98</v>
      </c>
      <c r="O7168" t="s">
        <v>1345</v>
      </c>
    </row>
    <row r="7169" spans="1:15" x14ac:dyDescent="0.3">
      <c r="A7169" s="130">
        <v>72984</v>
      </c>
      <c r="B7169" s="130">
        <v>20</v>
      </c>
      <c r="C7169" s="130" t="s">
        <v>8793</v>
      </c>
      <c r="D7169">
        <v>1264</v>
      </c>
      <c r="E7169" s="130">
        <v>17162983</v>
      </c>
      <c r="F7169" t="s">
        <v>87</v>
      </c>
      <c r="G7169">
        <v>358</v>
      </c>
      <c r="H7169" t="s">
        <v>8951</v>
      </c>
      <c r="I7169" s="130">
        <v>2</v>
      </c>
      <c r="J7169" t="s">
        <v>8793</v>
      </c>
      <c r="K7169" t="s">
        <v>95</v>
      </c>
      <c r="L7169" t="s">
        <v>109</v>
      </c>
      <c r="M7169" t="s">
        <v>148</v>
      </c>
      <c r="N7169" t="s">
        <v>98</v>
      </c>
      <c r="O7169" t="s">
        <v>1345</v>
      </c>
    </row>
    <row r="7170" spans="1:15" x14ac:dyDescent="0.3">
      <c r="A7170" s="130">
        <v>72985</v>
      </c>
      <c r="B7170" s="130">
        <v>30</v>
      </c>
      <c r="C7170" s="130" t="s">
        <v>8794</v>
      </c>
      <c r="D7170">
        <v>1265</v>
      </c>
      <c r="E7170" s="131">
        <v>33000167</v>
      </c>
      <c r="F7170" t="s">
        <v>87</v>
      </c>
      <c r="G7170">
        <v>78</v>
      </c>
      <c r="H7170" t="s">
        <v>8952</v>
      </c>
      <c r="I7170" s="130">
        <v>24</v>
      </c>
      <c r="J7170" t="s">
        <v>8794</v>
      </c>
      <c r="K7170" t="s">
        <v>95</v>
      </c>
      <c r="L7170" t="s">
        <v>102</v>
      </c>
      <c r="M7170" t="s">
        <v>103</v>
      </c>
      <c r="N7170" t="s">
        <v>101</v>
      </c>
      <c r="O7170" t="s">
        <v>1345</v>
      </c>
    </row>
    <row r="7171" spans="1:15" x14ac:dyDescent="0.3">
      <c r="A7171" s="130">
        <v>72987</v>
      </c>
      <c r="B7171" s="130">
        <v>18</v>
      </c>
      <c r="C7171" s="130" t="s">
        <v>8795</v>
      </c>
      <c r="D7171">
        <v>1266</v>
      </c>
      <c r="E7171" s="130">
        <v>9229458</v>
      </c>
      <c r="F7171" t="s">
        <v>87</v>
      </c>
      <c r="G7171">
        <v>78</v>
      </c>
      <c r="H7171" t="s">
        <v>8953</v>
      </c>
      <c r="I7171" s="130">
        <v>38</v>
      </c>
      <c r="J7171" t="s">
        <v>8795</v>
      </c>
      <c r="K7171" t="s">
        <v>108</v>
      </c>
      <c r="L7171" t="s">
        <v>126</v>
      </c>
      <c r="M7171" t="s">
        <v>112</v>
      </c>
      <c r="N7171" t="s">
        <v>101</v>
      </c>
      <c r="O7171" t="s">
        <v>1345</v>
      </c>
    </row>
    <row r="7172" spans="1:15" x14ac:dyDescent="0.3">
      <c r="A7172" s="130">
        <v>72988</v>
      </c>
      <c r="B7172" s="130">
        <v>18</v>
      </c>
      <c r="C7172" s="130" t="s">
        <v>8796</v>
      </c>
      <c r="D7172">
        <v>1412</v>
      </c>
      <c r="E7172" s="130">
        <v>29421685</v>
      </c>
      <c r="F7172" t="s">
        <v>87</v>
      </c>
      <c r="G7172">
        <v>78</v>
      </c>
      <c r="H7172" t="s">
        <v>8951</v>
      </c>
      <c r="I7172" s="130">
        <v>24</v>
      </c>
      <c r="J7172" t="s">
        <v>8796</v>
      </c>
      <c r="K7172" t="s">
        <v>108</v>
      </c>
      <c r="L7172" t="s">
        <v>138</v>
      </c>
      <c r="M7172" t="s">
        <v>112</v>
      </c>
      <c r="N7172" t="s">
        <v>101</v>
      </c>
      <c r="O7172" t="s">
        <v>116</v>
      </c>
    </row>
    <row r="7173" spans="1:15" x14ac:dyDescent="0.3">
      <c r="A7173" s="130">
        <v>72989</v>
      </c>
      <c r="B7173" s="130">
        <v>30</v>
      </c>
      <c r="C7173" s="130" t="s">
        <v>8797</v>
      </c>
      <c r="D7173">
        <v>1267</v>
      </c>
      <c r="E7173" s="130">
        <v>13675295</v>
      </c>
      <c r="F7173" t="s">
        <v>87</v>
      </c>
      <c r="G7173">
        <v>77</v>
      </c>
      <c r="H7173" t="s">
        <v>8952</v>
      </c>
      <c r="I7173" s="131">
        <v>26</v>
      </c>
      <c r="J7173" t="s">
        <v>8797</v>
      </c>
      <c r="K7173" t="s">
        <v>95</v>
      </c>
      <c r="L7173" t="s">
        <v>1255</v>
      </c>
      <c r="M7173" t="s">
        <v>103</v>
      </c>
      <c r="N7173" t="s">
        <v>98</v>
      </c>
      <c r="O7173" t="s">
        <v>1345</v>
      </c>
    </row>
    <row r="7174" spans="1:15" x14ac:dyDescent="0.3">
      <c r="A7174" s="130">
        <v>72991</v>
      </c>
      <c r="B7174" s="130">
        <v>18</v>
      </c>
      <c r="C7174" s="130" t="s">
        <v>8798</v>
      </c>
      <c r="D7174">
        <v>1268</v>
      </c>
      <c r="E7174" s="130">
        <v>29291297</v>
      </c>
      <c r="F7174" t="s">
        <v>87</v>
      </c>
      <c r="G7174">
        <v>78</v>
      </c>
      <c r="H7174" t="s">
        <v>8953</v>
      </c>
      <c r="I7174" s="131">
        <v>10</v>
      </c>
      <c r="J7174" t="s">
        <v>8798</v>
      </c>
      <c r="K7174" t="s">
        <v>108</v>
      </c>
      <c r="L7174" t="s">
        <v>127</v>
      </c>
      <c r="M7174" t="s">
        <v>112</v>
      </c>
      <c r="N7174" t="s">
        <v>98</v>
      </c>
      <c r="O7174" t="s">
        <v>1345</v>
      </c>
    </row>
    <row r="7175" spans="1:15" x14ac:dyDescent="0.3">
      <c r="A7175" s="130">
        <v>72994</v>
      </c>
      <c r="B7175" s="130">
        <v>18</v>
      </c>
      <c r="C7175" s="130" t="s">
        <v>8799</v>
      </c>
      <c r="D7175">
        <v>1413</v>
      </c>
      <c r="E7175" s="131">
        <v>7899139</v>
      </c>
      <c r="F7175" t="s">
        <v>87</v>
      </c>
      <c r="G7175">
        <v>358</v>
      </c>
      <c r="H7175" t="s">
        <v>8951</v>
      </c>
      <c r="I7175" s="131">
        <v>2</v>
      </c>
      <c r="J7175" t="s">
        <v>8799</v>
      </c>
      <c r="K7175" t="s">
        <v>108</v>
      </c>
      <c r="L7175" t="s">
        <v>111</v>
      </c>
      <c r="M7175" t="s">
        <v>112</v>
      </c>
      <c r="N7175" t="s">
        <v>101</v>
      </c>
      <c r="O7175" t="s">
        <v>1345</v>
      </c>
    </row>
    <row r="7176" spans="1:15" x14ac:dyDescent="0.3">
      <c r="A7176" s="130">
        <v>72996</v>
      </c>
      <c r="B7176" s="130">
        <v>0</v>
      </c>
      <c r="C7176" s="130" t="s">
        <v>8800</v>
      </c>
      <c r="D7176">
        <v>1414</v>
      </c>
      <c r="E7176" s="131">
        <v>17086580</v>
      </c>
      <c r="F7176" t="s">
        <v>87</v>
      </c>
      <c r="G7176">
        <v>78</v>
      </c>
      <c r="H7176" t="s">
        <v>8952</v>
      </c>
      <c r="I7176" s="130">
        <v>9</v>
      </c>
      <c r="J7176" t="s">
        <v>8800</v>
      </c>
      <c r="K7176" t="s">
        <v>108</v>
      </c>
      <c r="L7176" t="s">
        <v>134</v>
      </c>
      <c r="M7176" t="s">
        <v>100</v>
      </c>
      <c r="N7176" t="s">
        <v>98</v>
      </c>
      <c r="O7176" t="s">
        <v>1345</v>
      </c>
    </row>
    <row r="7177" spans="1:15" x14ac:dyDescent="0.3">
      <c r="A7177" s="130">
        <v>72997</v>
      </c>
      <c r="B7177" s="130">
        <v>30</v>
      </c>
      <c r="C7177" s="130" t="s">
        <v>8801</v>
      </c>
      <c r="D7177">
        <v>1269</v>
      </c>
      <c r="E7177" s="131">
        <v>33000167</v>
      </c>
      <c r="F7177" t="s">
        <v>87</v>
      </c>
      <c r="G7177">
        <v>78</v>
      </c>
      <c r="H7177" t="s">
        <v>8953</v>
      </c>
      <c r="I7177" s="131">
        <v>24</v>
      </c>
      <c r="J7177" t="s">
        <v>8801</v>
      </c>
      <c r="K7177" t="s">
        <v>95</v>
      </c>
      <c r="L7177" t="s">
        <v>102</v>
      </c>
      <c r="M7177" t="s">
        <v>103</v>
      </c>
      <c r="N7177" t="s">
        <v>101</v>
      </c>
      <c r="O7177" t="s">
        <v>1345</v>
      </c>
    </row>
    <row r="7178" spans="1:15" x14ac:dyDescent="0.3">
      <c r="A7178" s="130">
        <v>72998</v>
      </c>
      <c r="B7178" s="130">
        <v>45</v>
      </c>
      <c r="C7178" s="130" t="s">
        <v>8802</v>
      </c>
      <c r="D7178">
        <v>1415</v>
      </c>
      <c r="E7178" s="130">
        <v>8343492</v>
      </c>
      <c r="F7178" t="s">
        <v>87</v>
      </c>
      <c r="G7178">
        <v>78</v>
      </c>
      <c r="H7178" t="s">
        <v>8951</v>
      </c>
      <c r="I7178" s="131">
        <v>19</v>
      </c>
      <c r="J7178" t="s">
        <v>8802</v>
      </c>
      <c r="K7178" t="s">
        <v>95</v>
      </c>
      <c r="L7178" t="s">
        <v>146</v>
      </c>
      <c r="M7178" t="s">
        <v>106</v>
      </c>
      <c r="N7178" t="s">
        <v>98</v>
      </c>
      <c r="O7178" t="s">
        <v>1345</v>
      </c>
    </row>
    <row r="7179" spans="1:15" x14ac:dyDescent="0.3">
      <c r="A7179" s="130">
        <v>72999</v>
      </c>
      <c r="B7179" s="130">
        <v>18</v>
      </c>
      <c r="C7179" s="130" t="s">
        <v>8803</v>
      </c>
      <c r="D7179">
        <v>1270</v>
      </c>
      <c r="E7179" s="130">
        <v>6194660</v>
      </c>
      <c r="F7179" t="s">
        <v>87</v>
      </c>
      <c r="G7179">
        <v>78</v>
      </c>
      <c r="H7179" t="s">
        <v>8952</v>
      </c>
      <c r="I7179" s="130">
        <v>9</v>
      </c>
      <c r="J7179" t="s">
        <v>8803</v>
      </c>
      <c r="K7179" t="s">
        <v>108</v>
      </c>
      <c r="L7179" t="s">
        <v>134</v>
      </c>
      <c r="M7179" t="s">
        <v>112</v>
      </c>
      <c r="N7179" t="s">
        <v>114</v>
      </c>
      <c r="O7179" t="s">
        <v>1345</v>
      </c>
    </row>
    <row r="7180" spans="1:15" x14ac:dyDescent="0.3">
      <c r="A7180" s="130">
        <v>73000</v>
      </c>
      <c r="B7180" s="130">
        <v>18</v>
      </c>
      <c r="C7180" s="130" t="s">
        <v>8804</v>
      </c>
      <c r="D7180">
        <v>1271</v>
      </c>
      <c r="E7180" s="130">
        <v>11381605</v>
      </c>
      <c r="F7180" t="s">
        <v>87</v>
      </c>
      <c r="G7180">
        <v>78</v>
      </c>
      <c r="H7180" t="s">
        <v>8953</v>
      </c>
      <c r="I7180" s="131">
        <v>9</v>
      </c>
      <c r="J7180" t="s">
        <v>8804</v>
      </c>
      <c r="K7180" t="s">
        <v>95</v>
      </c>
      <c r="L7180" t="s">
        <v>181</v>
      </c>
      <c r="M7180" t="s">
        <v>112</v>
      </c>
      <c r="N7180" t="s">
        <v>98</v>
      </c>
      <c r="O7180" t="s">
        <v>1345</v>
      </c>
    </row>
    <row r="7181" spans="1:15" x14ac:dyDescent="0.3">
      <c r="A7181" s="130">
        <v>73002</v>
      </c>
      <c r="B7181" s="130">
        <v>18</v>
      </c>
      <c r="C7181" s="130" t="s">
        <v>8805</v>
      </c>
      <c r="D7181">
        <v>1272</v>
      </c>
      <c r="E7181" s="131">
        <v>7634590</v>
      </c>
      <c r="F7181" t="s">
        <v>87</v>
      </c>
      <c r="G7181">
        <v>78</v>
      </c>
      <c r="H7181" t="s">
        <v>8951</v>
      </c>
      <c r="I7181" s="131">
        <v>10</v>
      </c>
      <c r="J7181" t="s">
        <v>8805</v>
      </c>
      <c r="K7181" t="s">
        <v>95</v>
      </c>
      <c r="L7181" t="s">
        <v>127</v>
      </c>
      <c r="M7181" t="s">
        <v>112</v>
      </c>
      <c r="N7181" t="s">
        <v>141</v>
      </c>
      <c r="O7181" t="s">
        <v>1345</v>
      </c>
    </row>
    <row r="7182" spans="1:15" x14ac:dyDescent="0.3">
      <c r="A7182" s="130">
        <v>73003</v>
      </c>
      <c r="B7182" s="130">
        <v>18</v>
      </c>
      <c r="C7182" s="130" t="s">
        <v>8806</v>
      </c>
      <c r="D7182">
        <v>1273</v>
      </c>
      <c r="E7182" s="130">
        <v>9813183</v>
      </c>
      <c r="F7182" t="s">
        <v>87</v>
      </c>
      <c r="G7182">
        <v>78</v>
      </c>
      <c r="H7182" t="s">
        <v>8952</v>
      </c>
      <c r="I7182" s="131">
        <v>10</v>
      </c>
      <c r="J7182" t="s">
        <v>8806</v>
      </c>
      <c r="K7182" t="s">
        <v>108</v>
      </c>
      <c r="L7182" t="s">
        <v>127</v>
      </c>
      <c r="M7182" t="s">
        <v>112</v>
      </c>
      <c r="N7182" t="s">
        <v>101</v>
      </c>
      <c r="O7182" t="s">
        <v>1345</v>
      </c>
    </row>
    <row r="7183" spans="1:15" x14ac:dyDescent="0.3">
      <c r="A7183" s="130">
        <v>73005</v>
      </c>
      <c r="B7183" s="130">
        <v>18</v>
      </c>
      <c r="C7183" s="130" t="s">
        <v>8807</v>
      </c>
      <c r="D7183">
        <v>1274</v>
      </c>
      <c r="E7183" s="130">
        <v>73738239</v>
      </c>
      <c r="F7183" t="s">
        <v>87</v>
      </c>
      <c r="G7183">
        <v>358</v>
      </c>
      <c r="H7183" t="s">
        <v>8953</v>
      </c>
      <c r="I7183" s="130">
        <v>2</v>
      </c>
      <c r="J7183" t="s">
        <v>8807</v>
      </c>
      <c r="K7183" t="s">
        <v>108</v>
      </c>
      <c r="L7183" t="s">
        <v>140</v>
      </c>
      <c r="M7183" t="s">
        <v>112</v>
      </c>
      <c r="N7183" t="s">
        <v>98</v>
      </c>
      <c r="O7183" t="s">
        <v>1345</v>
      </c>
    </row>
    <row r="7184" spans="1:15" x14ac:dyDescent="0.3">
      <c r="A7184" s="130">
        <v>73006</v>
      </c>
      <c r="B7184" s="130">
        <v>18</v>
      </c>
      <c r="C7184" s="130" t="s">
        <v>8808</v>
      </c>
      <c r="D7184">
        <v>1275</v>
      </c>
      <c r="E7184" s="130">
        <v>4017545</v>
      </c>
      <c r="F7184" t="s">
        <v>87</v>
      </c>
      <c r="G7184">
        <v>358</v>
      </c>
      <c r="H7184" t="s">
        <v>8951</v>
      </c>
      <c r="I7184" s="131">
        <v>19</v>
      </c>
      <c r="J7184" t="s">
        <v>8808</v>
      </c>
      <c r="K7184" t="s">
        <v>108</v>
      </c>
      <c r="L7184" t="s">
        <v>105</v>
      </c>
      <c r="M7184" t="s">
        <v>112</v>
      </c>
      <c r="N7184" t="s">
        <v>107</v>
      </c>
      <c r="O7184" t="s">
        <v>1345</v>
      </c>
    </row>
    <row r="7185" spans="1:15" x14ac:dyDescent="0.3">
      <c r="A7185" s="130">
        <v>73007</v>
      </c>
      <c r="B7185" s="130">
        <v>30</v>
      </c>
      <c r="C7185" s="130" t="s">
        <v>8809</v>
      </c>
      <c r="D7185">
        <v>1276</v>
      </c>
      <c r="E7185" s="130">
        <v>8343492</v>
      </c>
      <c r="F7185" t="s">
        <v>87</v>
      </c>
      <c r="G7185">
        <v>77</v>
      </c>
      <c r="H7185" t="s">
        <v>8952</v>
      </c>
      <c r="I7185" s="130">
        <v>18</v>
      </c>
      <c r="J7185" t="s">
        <v>8809</v>
      </c>
      <c r="K7185" t="s">
        <v>95</v>
      </c>
      <c r="L7185" t="s">
        <v>1255</v>
      </c>
      <c r="M7185" t="s">
        <v>103</v>
      </c>
      <c r="N7185" t="s">
        <v>98</v>
      </c>
      <c r="O7185" t="s">
        <v>1345</v>
      </c>
    </row>
    <row r="7186" spans="1:15" x14ac:dyDescent="0.3">
      <c r="A7186" s="130">
        <v>73008</v>
      </c>
      <c r="B7186" s="130">
        <v>18</v>
      </c>
      <c r="C7186" s="130" t="s">
        <v>8810</v>
      </c>
      <c r="D7186">
        <v>1277</v>
      </c>
      <c r="E7186" s="130">
        <v>67090084</v>
      </c>
      <c r="F7186" t="s">
        <v>87</v>
      </c>
      <c r="G7186">
        <v>358</v>
      </c>
      <c r="H7186" t="s">
        <v>8953</v>
      </c>
      <c r="I7186" s="130">
        <v>2</v>
      </c>
      <c r="J7186" t="s">
        <v>8810</v>
      </c>
      <c r="K7186" t="s">
        <v>108</v>
      </c>
      <c r="L7186" t="s">
        <v>111</v>
      </c>
      <c r="M7186" t="s">
        <v>112</v>
      </c>
      <c r="N7186" t="s">
        <v>98</v>
      </c>
      <c r="O7186" t="s">
        <v>1345</v>
      </c>
    </row>
    <row r="7187" spans="1:15" x14ac:dyDescent="0.3">
      <c r="A7187" s="130">
        <v>73009</v>
      </c>
      <c r="B7187" s="130">
        <v>0</v>
      </c>
      <c r="C7187" s="130" t="s">
        <v>8811</v>
      </c>
      <c r="D7187">
        <v>1416</v>
      </c>
      <c r="E7187" s="130">
        <v>27296757</v>
      </c>
      <c r="F7187" t="s">
        <v>87</v>
      </c>
      <c r="G7187">
        <v>78</v>
      </c>
      <c r="H7187" t="s">
        <v>8951</v>
      </c>
      <c r="I7187" s="130">
        <v>18</v>
      </c>
      <c r="J7187" t="s">
        <v>8811</v>
      </c>
      <c r="K7187" t="s">
        <v>108</v>
      </c>
      <c r="L7187" t="s">
        <v>123</v>
      </c>
      <c r="M7187" t="s">
        <v>100</v>
      </c>
      <c r="N7187" t="s">
        <v>101</v>
      </c>
      <c r="O7187" t="s">
        <v>1345</v>
      </c>
    </row>
    <row r="7188" spans="1:15" x14ac:dyDescent="0.3">
      <c r="A7188" s="130">
        <v>73010</v>
      </c>
      <c r="B7188" s="130">
        <v>18</v>
      </c>
      <c r="C7188" s="130" t="s">
        <v>8812</v>
      </c>
      <c r="D7188">
        <v>1278</v>
      </c>
      <c r="E7188" s="131">
        <v>6261152</v>
      </c>
      <c r="F7188" t="s">
        <v>87</v>
      </c>
      <c r="G7188">
        <v>78</v>
      </c>
      <c r="H7188" t="s">
        <v>8952</v>
      </c>
      <c r="I7188" s="130">
        <v>10</v>
      </c>
      <c r="J7188" t="s">
        <v>8812</v>
      </c>
      <c r="K7188" t="s">
        <v>108</v>
      </c>
      <c r="L7188" t="s">
        <v>127</v>
      </c>
      <c r="M7188" t="s">
        <v>112</v>
      </c>
      <c r="N7188" t="s">
        <v>98</v>
      </c>
      <c r="O7188" t="s">
        <v>1345</v>
      </c>
    </row>
    <row r="7189" spans="1:15" x14ac:dyDescent="0.3">
      <c r="A7189" s="130">
        <v>73011</v>
      </c>
      <c r="B7189" s="130">
        <v>18</v>
      </c>
      <c r="C7189" s="130" t="s">
        <v>8813</v>
      </c>
      <c r="D7189">
        <v>1279</v>
      </c>
      <c r="E7189" s="130">
        <v>40005416</v>
      </c>
      <c r="F7189" t="s">
        <v>87</v>
      </c>
      <c r="G7189">
        <v>78</v>
      </c>
      <c r="H7189" t="s">
        <v>8953</v>
      </c>
      <c r="I7189" s="131">
        <v>24</v>
      </c>
      <c r="J7189" t="s">
        <v>8813</v>
      </c>
      <c r="K7189" t="s">
        <v>108</v>
      </c>
      <c r="L7189" t="s">
        <v>191</v>
      </c>
      <c r="M7189" t="s">
        <v>112</v>
      </c>
      <c r="N7189" t="s">
        <v>98</v>
      </c>
      <c r="O7189" t="s">
        <v>1345</v>
      </c>
    </row>
    <row r="7190" spans="1:15" x14ac:dyDescent="0.3">
      <c r="A7190" s="130">
        <v>73012</v>
      </c>
      <c r="B7190" s="130">
        <v>0</v>
      </c>
      <c r="C7190" s="130" t="s">
        <v>8814</v>
      </c>
      <c r="D7190">
        <v>1417</v>
      </c>
      <c r="E7190" s="130">
        <v>7303492</v>
      </c>
      <c r="F7190" t="s">
        <v>87</v>
      </c>
      <c r="G7190">
        <v>78</v>
      </c>
      <c r="H7190" t="s">
        <v>8951</v>
      </c>
      <c r="I7190" s="131">
        <v>24</v>
      </c>
      <c r="J7190" t="s">
        <v>8814</v>
      </c>
      <c r="K7190" t="s">
        <v>108</v>
      </c>
      <c r="L7190" t="s">
        <v>102</v>
      </c>
      <c r="M7190" t="s">
        <v>100</v>
      </c>
      <c r="N7190" t="s">
        <v>107</v>
      </c>
      <c r="O7190" t="s">
        <v>1345</v>
      </c>
    </row>
    <row r="7191" spans="1:15" x14ac:dyDescent="0.3">
      <c r="A7191" s="130">
        <v>73014</v>
      </c>
      <c r="B7191" s="130">
        <v>18</v>
      </c>
      <c r="C7191" s="130" t="s">
        <v>8815</v>
      </c>
      <c r="D7191">
        <v>1280</v>
      </c>
      <c r="E7191" s="131">
        <v>7899139</v>
      </c>
      <c r="F7191" t="s">
        <v>87</v>
      </c>
      <c r="G7191">
        <v>358</v>
      </c>
      <c r="H7191" t="s">
        <v>8952</v>
      </c>
      <c r="I7191" s="130">
        <v>2</v>
      </c>
      <c r="J7191" t="s">
        <v>8815</v>
      </c>
      <c r="K7191" t="s">
        <v>108</v>
      </c>
      <c r="L7191" t="s">
        <v>109</v>
      </c>
      <c r="M7191" t="s">
        <v>112</v>
      </c>
      <c r="N7191" t="s">
        <v>98</v>
      </c>
      <c r="O7191" t="s">
        <v>1345</v>
      </c>
    </row>
    <row r="7192" spans="1:15" x14ac:dyDescent="0.3">
      <c r="A7192" s="130">
        <v>73017</v>
      </c>
      <c r="B7192" s="130">
        <v>18</v>
      </c>
      <c r="C7192" s="130" t="s">
        <v>8816</v>
      </c>
      <c r="D7192">
        <v>1281</v>
      </c>
      <c r="E7192" s="130">
        <v>9625762</v>
      </c>
      <c r="F7192" t="s">
        <v>87</v>
      </c>
      <c r="G7192">
        <v>78</v>
      </c>
      <c r="H7192" t="s">
        <v>8953</v>
      </c>
      <c r="I7192" s="131">
        <v>43</v>
      </c>
      <c r="J7192" t="s">
        <v>8816</v>
      </c>
      <c r="K7192" t="s">
        <v>95</v>
      </c>
      <c r="L7192" t="s">
        <v>146</v>
      </c>
      <c r="M7192" t="s">
        <v>112</v>
      </c>
      <c r="N7192" t="s">
        <v>150</v>
      </c>
      <c r="O7192" t="s">
        <v>1345</v>
      </c>
    </row>
    <row r="7193" spans="1:15" x14ac:dyDescent="0.3">
      <c r="A7193" s="130">
        <v>73019</v>
      </c>
      <c r="B7193" s="130">
        <v>0</v>
      </c>
      <c r="C7193" s="130" t="s">
        <v>8817</v>
      </c>
      <c r="D7193">
        <v>1418</v>
      </c>
      <c r="E7193" s="130">
        <v>2886413</v>
      </c>
      <c r="F7193" t="s">
        <v>87</v>
      </c>
      <c r="G7193">
        <v>358</v>
      </c>
      <c r="H7193" t="s">
        <v>8951</v>
      </c>
      <c r="I7193" s="130">
        <v>2</v>
      </c>
      <c r="J7193" t="s">
        <v>8817</v>
      </c>
      <c r="K7193" t="s">
        <v>108</v>
      </c>
      <c r="L7193" t="s">
        <v>111</v>
      </c>
      <c r="M7193" t="s">
        <v>100</v>
      </c>
      <c r="N7193" t="s">
        <v>114</v>
      </c>
      <c r="O7193" t="s">
        <v>1345</v>
      </c>
    </row>
    <row r="7194" spans="1:15" x14ac:dyDescent="0.3">
      <c r="A7194" s="130">
        <v>73020</v>
      </c>
      <c r="B7194" s="130">
        <v>30</v>
      </c>
      <c r="C7194" s="130" t="s">
        <v>8818</v>
      </c>
      <c r="D7194">
        <v>1282</v>
      </c>
      <c r="E7194" s="130">
        <v>23449511</v>
      </c>
      <c r="F7194" t="s">
        <v>87</v>
      </c>
      <c r="G7194">
        <v>78</v>
      </c>
      <c r="H7194" t="s">
        <v>8952</v>
      </c>
      <c r="I7194" s="130">
        <v>26</v>
      </c>
      <c r="J7194" t="s">
        <v>8818</v>
      </c>
      <c r="K7194" t="s">
        <v>95</v>
      </c>
      <c r="L7194" t="s">
        <v>151</v>
      </c>
      <c r="M7194" t="s">
        <v>103</v>
      </c>
      <c r="N7194" t="s">
        <v>124</v>
      </c>
      <c r="O7194" t="s">
        <v>116</v>
      </c>
    </row>
    <row r="7195" spans="1:15" x14ac:dyDescent="0.3">
      <c r="A7195" s="130">
        <v>73022</v>
      </c>
      <c r="B7195" s="130">
        <v>30</v>
      </c>
      <c r="C7195" s="130" t="s">
        <v>8819</v>
      </c>
      <c r="D7195">
        <v>1419</v>
      </c>
      <c r="E7195" s="130">
        <v>83646547</v>
      </c>
      <c r="F7195" t="s">
        <v>87</v>
      </c>
      <c r="G7195">
        <v>358</v>
      </c>
      <c r="H7195" t="s">
        <v>8953</v>
      </c>
      <c r="I7195" s="130">
        <v>10</v>
      </c>
      <c r="J7195" t="s">
        <v>8819</v>
      </c>
      <c r="K7195" t="s">
        <v>95</v>
      </c>
      <c r="L7195" t="s">
        <v>105</v>
      </c>
      <c r="M7195" t="s">
        <v>103</v>
      </c>
      <c r="N7195" t="s">
        <v>114</v>
      </c>
      <c r="O7195" t="s">
        <v>1345</v>
      </c>
    </row>
    <row r="7196" spans="1:15" x14ac:dyDescent="0.3">
      <c r="A7196" s="130">
        <v>73023</v>
      </c>
      <c r="B7196" s="130">
        <v>18</v>
      </c>
      <c r="C7196" s="130" t="s">
        <v>8820</v>
      </c>
      <c r="D7196">
        <v>1283</v>
      </c>
      <c r="E7196" s="130">
        <v>9625762</v>
      </c>
      <c r="F7196" t="s">
        <v>87</v>
      </c>
      <c r="G7196">
        <v>78</v>
      </c>
      <c r="H7196" t="s">
        <v>8951</v>
      </c>
      <c r="I7196" s="131">
        <v>43</v>
      </c>
      <c r="J7196" t="s">
        <v>8820</v>
      </c>
      <c r="K7196" t="s">
        <v>95</v>
      </c>
      <c r="L7196" t="s">
        <v>102</v>
      </c>
      <c r="M7196" t="s">
        <v>112</v>
      </c>
      <c r="N7196" t="s">
        <v>150</v>
      </c>
      <c r="O7196" t="s">
        <v>1345</v>
      </c>
    </row>
    <row r="7197" spans="1:15" x14ac:dyDescent="0.3">
      <c r="A7197" s="130">
        <v>73025</v>
      </c>
      <c r="B7197" s="130">
        <v>60</v>
      </c>
      <c r="C7197" s="130" t="s">
        <v>8821</v>
      </c>
      <c r="D7197">
        <v>1284</v>
      </c>
      <c r="E7197" s="130">
        <v>17170150</v>
      </c>
      <c r="F7197" t="s">
        <v>87</v>
      </c>
      <c r="G7197">
        <v>77</v>
      </c>
      <c r="H7197" t="s">
        <v>8952</v>
      </c>
      <c r="I7197" s="131">
        <v>2</v>
      </c>
      <c r="J7197" t="s">
        <v>8821</v>
      </c>
      <c r="K7197" t="s">
        <v>95</v>
      </c>
      <c r="L7197" t="s">
        <v>117</v>
      </c>
      <c r="M7197" t="s">
        <v>97</v>
      </c>
      <c r="N7197" t="s">
        <v>104</v>
      </c>
      <c r="O7197" t="s">
        <v>116</v>
      </c>
    </row>
    <row r="7198" spans="1:15" x14ac:dyDescent="0.3">
      <c r="A7198" s="130">
        <v>73027</v>
      </c>
      <c r="B7198" s="130">
        <v>60</v>
      </c>
      <c r="C7198" s="130" t="s">
        <v>8822</v>
      </c>
      <c r="D7198">
        <v>1421</v>
      </c>
      <c r="E7198" s="133">
        <v>33592510</v>
      </c>
      <c r="F7198" t="s">
        <v>87</v>
      </c>
      <c r="G7198">
        <v>77</v>
      </c>
      <c r="H7198" t="s">
        <v>8953</v>
      </c>
      <c r="I7198" s="130">
        <v>9</v>
      </c>
      <c r="J7198" t="s">
        <v>8822</v>
      </c>
      <c r="K7198" t="s">
        <v>95</v>
      </c>
      <c r="L7198" t="s">
        <v>117</v>
      </c>
      <c r="M7198" t="s">
        <v>97</v>
      </c>
      <c r="N7198" t="s">
        <v>118</v>
      </c>
      <c r="O7198" t="s">
        <v>1345</v>
      </c>
    </row>
    <row r="7199" spans="1:15" x14ac:dyDescent="0.3">
      <c r="A7199" s="130">
        <v>73029</v>
      </c>
      <c r="B7199" s="130" t="s">
        <v>255</v>
      </c>
      <c r="C7199" s="130" t="s">
        <v>8823</v>
      </c>
      <c r="D7199">
        <v>1422</v>
      </c>
      <c r="E7199" s="130">
        <v>7336695</v>
      </c>
      <c r="F7199" t="s">
        <v>87</v>
      </c>
      <c r="G7199">
        <v>358</v>
      </c>
      <c r="H7199" t="s">
        <v>8951</v>
      </c>
      <c r="I7199" s="130">
        <v>10</v>
      </c>
      <c r="J7199" t="s">
        <v>8823</v>
      </c>
      <c r="K7199" t="s">
        <v>95</v>
      </c>
      <c r="L7199" t="s">
        <v>193</v>
      </c>
      <c r="M7199" t="s">
        <v>255</v>
      </c>
      <c r="N7199" t="s">
        <v>141</v>
      </c>
      <c r="O7199" t="s">
        <v>116</v>
      </c>
    </row>
    <row r="7200" spans="1:15" x14ac:dyDescent="0.3">
      <c r="A7200" s="130">
        <v>73030</v>
      </c>
      <c r="B7200" s="130">
        <v>18</v>
      </c>
      <c r="C7200" s="130" t="s">
        <v>8824</v>
      </c>
      <c r="D7200">
        <v>1285</v>
      </c>
      <c r="E7200" s="131">
        <v>23846140</v>
      </c>
      <c r="F7200" t="s">
        <v>87</v>
      </c>
      <c r="G7200">
        <v>358</v>
      </c>
      <c r="H7200" t="s">
        <v>8952</v>
      </c>
      <c r="I7200" s="130">
        <v>2</v>
      </c>
      <c r="J7200" t="s">
        <v>8824</v>
      </c>
      <c r="K7200" t="s">
        <v>108</v>
      </c>
      <c r="L7200" t="s">
        <v>1245</v>
      </c>
      <c r="M7200" t="s">
        <v>112</v>
      </c>
      <c r="N7200" t="s">
        <v>124</v>
      </c>
      <c r="O7200" t="s">
        <v>1345</v>
      </c>
    </row>
    <row r="7201" spans="1:15" x14ac:dyDescent="0.3">
      <c r="A7201" s="130">
        <v>73031</v>
      </c>
      <c r="B7201" s="130">
        <v>10</v>
      </c>
      <c r="C7201" s="130" t="s">
        <v>8825</v>
      </c>
      <c r="D7201">
        <v>1286</v>
      </c>
      <c r="E7201" s="130">
        <v>29641653</v>
      </c>
      <c r="F7201" t="s">
        <v>87</v>
      </c>
      <c r="G7201">
        <v>358</v>
      </c>
      <c r="H7201" t="s">
        <v>8953</v>
      </c>
      <c r="I7201" s="131">
        <v>19</v>
      </c>
      <c r="J7201" t="s">
        <v>8825</v>
      </c>
      <c r="K7201" t="s">
        <v>108</v>
      </c>
      <c r="L7201" t="s">
        <v>105</v>
      </c>
      <c r="M7201" t="s">
        <v>133</v>
      </c>
      <c r="N7201" t="s">
        <v>98</v>
      </c>
      <c r="O7201" t="s">
        <v>116</v>
      </c>
    </row>
    <row r="7202" spans="1:15" x14ac:dyDescent="0.3">
      <c r="A7202" s="130">
        <v>73032</v>
      </c>
      <c r="B7202" s="130">
        <v>18</v>
      </c>
      <c r="C7202" s="130" t="s">
        <v>8826</v>
      </c>
      <c r="D7202">
        <v>1423</v>
      </c>
      <c r="E7202" s="130">
        <v>48228548</v>
      </c>
      <c r="F7202" t="s">
        <v>87</v>
      </c>
      <c r="G7202">
        <v>358</v>
      </c>
      <c r="H7202" t="s">
        <v>8951</v>
      </c>
      <c r="I7202" s="131">
        <v>2</v>
      </c>
      <c r="J7202" t="s">
        <v>8826</v>
      </c>
      <c r="K7202" t="s">
        <v>108</v>
      </c>
      <c r="L7202" t="s">
        <v>99</v>
      </c>
      <c r="M7202" t="s">
        <v>112</v>
      </c>
      <c r="N7202" t="s">
        <v>98</v>
      </c>
      <c r="O7202" t="s">
        <v>1345</v>
      </c>
    </row>
    <row r="7203" spans="1:15" x14ac:dyDescent="0.3">
      <c r="A7203" s="130">
        <v>73036</v>
      </c>
      <c r="B7203" s="130">
        <v>30</v>
      </c>
      <c r="C7203" s="130" t="s">
        <v>8827</v>
      </c>
      <c r="D7203">
        <v>1287</v>
      </c>
      <c r="E7203" s="131">
        <v>33000167</v>
      </c>
      <c r="F7203" t="s">
        <v>87</v>
      </c>
      <c r="G7203">
        <v>78</v>
      </c>
      <c r="H7203" t="s">
        <v>8952</v>
      </c>
      <c r="I7203" s="131">
        <v>24</v>
      </c>
      <c r="J7203" t="s">
        <v>8827</v>
      </c>
      <c r="K7203" t="s">
        <v>95</v>
      </c>
      <c r="L7203" t="s">
        <v>102</v>
      </c>
      <c r="M7203" t="s">
        <v>103</v>
      </c>
      <c r="N7203" t="s">
        <v>101</v>
      </c>
      <c r="O7203" t="s">
        <v>1345</v>
      </c>
    </row>
    <row r="7204" spans="1:15" x14ac:dyDescent="0.3">
      <c r="A7204" s="130">
        <v>73037</v>
      </c>
      <c r="B7204" s="130">
        <v>18</v>
      </c>
      <c r="C7204" s="130" t="s">
        <v>8828</v>
      </c>
      <c r="D7204">
        <v>1288</v>
      </c>
      <c r="E7204" s="131">
        <v>82992686</v>
      </c>
      <c r="F7204" t="s">
        <v>87</v>
      </c>
      <c r="G7204">
        <v>358</v>
      </c>
      <c r="H7204" t="s">
        <v>8953</v>
      </c>
      <c r="I7204" s="130">
        <v>2</v>
      </c>
      <c r="J7204" t="s">
        <v>8828</v>
      </c>
      <c r="K7204" t="s">
        <v>108</v>
      </c>
      <c r="L7204" t="s">
        <v>111</v>
      </c>
      <c r="M7204" t="s">
        <v>112</v>
      </c>
      <c r="N7204" t="s">
        <v>101</v>
      </c>
      <c r="O7204" t="s">
        <v>1345</v>
      </c>
    </row>
    <row r="7205" spans="1:15" x14ac:dyDescent="0.3">
      <c r="A7205" s="130">
        <v>73042</v>
      </c>
      <c r="B7205" s="130">
        <v>10</v>
      </c>
      <c r="C7205" s="130" t="s">
        <v>8829</v>
      </c>
      <c r="D7205">
        <v>1424</v>
      </c>
      <c r="E7205" s="130">
        <v>12632687</v>
      </c>
      <c r="F7205" t="s">
        <v>87</v>
      </c>
      <c r="G7205">
        <v>78</v>
      </c>
      <c r="H7205" t="s">
        <v>8951</v>
      </c>
      <c r="I7205" s="130">
        <v>24</v>
      </c>
      <c r="J7205" t="s">
        <v>8829</v>
      </c>
      <c r="K7205" t="s">
        <v>108</v>
      </c>
      <c r="L7205" t="s">
        <v>191</v>
      </c>
      <c r="M7205" t="s">
        <v>133</v>
      </c>
      <c r="N7205" t="s">
        <v>101</v>
      </c>
      <c r="O7205" t="s">
        <v>116</v>
      </c>
    </row>
    <row r="7206" spans="1:15" x14ac:dyDescent="0.3">
      <c r="A7206" s="130">
        <v>73044</v>
      </c>
      <c r="B7206" s="130">
        <v>30</v>
      </c>
      <c r="C7206" s="130" t="s">
        <v>8830</v>
      </c>
      <c r="D7206">
        <v>1289</v>
      </c>
      <c r="E7206" s="130">
        <v>10220039</v>
      </c>
      <c r="F7206" t="s">
        <v>87</v>
      </c>
      <c r="G7206">
        <v>78</v>
      </c>
      <c r="H7206" t="s">
        <v>8952</v>
      </c>
      <c r="I7206" s="130">
        <v>2</v>
      </c>
      <c r="J7206" t="s">
        <v>8830</v>
      </c>
      <c r="K7206" t="s">
        <v>95</v>
      </c>
      <c r="L7206" t="s">
        <v>96</v>
      </c>
      <c r="M7206" t="s">
        <v>103</v>
      </c>
      <c r="N7206" t="s">
        <v>98</v>
      </c>
      <c r="O7206" t="s">
        <v>1345</v>
      </c>
    </row>
    <row r="7207" spans="1:15" x14ac:dyDescent="0.3">
      <c r="A7207" s="130">
        <v>73045</v>
      </c>
      <c r="B7207" s="130">
        <v>18</v>
      </c>
      <c r="C7207" s="130" t="s">
        <v>8831</v>
      </c>
      <c r="D7207">
        <v>1290</v>
      </c>
      <c r="E7207" s="130">
        <v>3349915</v>
      </c>
      <c r="F7207" t="s">
        <v>87</v>
      </c>
      <c r="G7207">
        <v>358</v>
      </c>
      <c r="H7207" t="s">
        <v>8953</v>
      </c>
      <c r="I7207" s="130">
        <v>2</v>
      </c>
      <c r="J7207" t="s">
        <v>8831</v>
      </c>
      <c r="K7207" t="s">
        <v>108</v>
      </c>
      <c r="L7207" t="s">
        <v>111</v>
      </c>
      <c r="M7207" t="s">
        <v>112</v>
      </c>
      <c r="N7207" t="s">
        <v>122</v>
      </c>
      <c r="O7207" t="s">
        <v>116</v>
      </c>
    </row>
    <row r="7208" spans="1:15" x14ac:dyDescent="0.3">
      <c r="A7208" s="130">
        <v>73046</v>
      </c>
      <c r="B7208" s="130">
        <v>30</v>
      </c>
      <c r="C7208" s="130" t="s">
        <v>8832</v>
      </c>
      <c r="D7208">
        <v>1291</v>
      </c>
      <c r="E7208" s="131">
        <v>8928273</v>
      </c>
      <c r="F7208" t="s">
        <v>87</v>
      </c>
      <c r="G7208">
        <v>78</v>
      </c>
      <c r="H7208" t="s">
        <v>8951</v>
      </c>
      <c r="I7208" s="130">
        <v>18</v>
      </c>
      <c r="J7208" t="s">
        <v>8832</v>
      </c>
      <c r="K7208" t="s">
        <v>95</v>
      </c>
      <c r="L7208" t="s">
        <v>123</v>
      </c>
      <c r="M7208" t="s">
        <v>103</v>
      </c>
      <c r="N7208" t="s">
        <v>124</v>
      </c>
      <c r="O7208" t="s">
        <v>116</v>
      </c>
    </row>
    <row r="7209" spans="1:15" x14ac:dyDescent="0.3">
      <c r="A7209" s="130">
        <v>73047</v>
      </c>
      <c r="B7209" s="130">
        <v>0</v>
      </c>
      <c r="C7209" s="130" t="s">
        <v>8833</v>
      </c>
      <c r="D7209">
        <v>1425</v>
      </c>
      <c r="E7209" s="130">
        <v>1200073630</v>
      </c>
      <c r="F7209" t="s">
        <v>87</v>
      </c>
      <c r="G7209">
        <v>358</v>
      </c>
      <c r="H7209" t="s">
        <v>8952</v>
      </c>
      <c r="I7209" s="130">
        <v>2</v>
      </c>
      <c r="J7209" t="s">
        <v>8833</v>
      </c>
      <c r="K7209" t="s">
        <v>108</v>
      </c>
      <c r="L7209" t="s">
        <v>1245</v>
      </c>
      <c r="M7209" t="s">
        <v>100</v>
      </c>
      <c r="N7209" t="s">
        <v>110</v>
      </c>
      <c r="O7209" t="s">
        <v>1345</v>
      </c>
    </row>
    <row r="7210" spans="1:15" x14ac:dyDescent="0.3">
      <c r="A7210" s="130">
        <v>73048</v>
      </c>
      <c r="B7210" s="130">
        <v>18</v>
      </c>
      <c r="C7210" s="130" t="s">
        <v>8834</v>
      </c>
      <c r="D7210">
        <v>1292</v>
      </c>
      <c r="E7210" s="130">
        <v>23922485</v>
      </c>
      <c r="F7210" t="s">
        <v>87</v>
      </c>
      <c r="G7210">
        <v>358</v>
      </c>
      <c r="H7210" t="s">
        <v>8953</v>
      </c>
      <c r="I7210" s="131">
        <v>10</v>
      </c>
      <c r="J7210" t="s">
        <v>8834</v>
      </c>
      <c r="K7210" t="s">
        <v>108</v>
      </c>
      <c r="L7210" t="s">
        <v>105</v>
      </c>
      <c r="M7210" t="s">
        <v>112</v>
      </c>
      <c r="N7210" t="s">
        <v>118</v>
      </c>
      <c r="O7210" t="s">
        <v>116</v>
      </c>
    </row>
    <row r="7211" spans="1:15" x14ac:dyDescent="0.3">
      <c r="A7211" s="130">
        <v>73049</v>
      </c>
      <c r="B7211" s="130">
        <v>18</v>
      </c>
      <c r="C7211" s="130" t="s">
        <v>8835</v>
      </c>
      <c r="D7211">
        <v>1293</v>
      </c>
      <c r="E7211" s="130">
        <v>10514417</v>
      </c>
      <c r="F7211" t="s">
        <v>87</v>
      </c>
      <c r="G7211">
        <v>78</v>
      </c>
      <c r="H7211" t="s">
        <v>8951</v>
      </c>
      <c r="I7211" s="130">
        <v>10</v>
      </c>
      <c r="J7211" t="s">
        <v>8835</v>
      </c>
      <c r="K7211" t="s">
        <v>108</v>
      </c>
      <c r="L7211" t="s">
        <v>127</v>
      </c>
      <c r="M7211" t="s">
        <v>112</v>
      </c>
      <c r="N7211" t="s">
        <v>98</v>
      </c>
      <c r="O7211" t="s">
        <v>1345</v>
      </c>
    </row>
    <row r="7212" spans="1:15" x14ac:dyDescent="0.3">
      <c r="A7212" s="130">
        <v>73050</v>
      </c>
      <c r="B7212" s="130">
        <v>18</v>
      </c>
      <c r="C7212" s="130" t="s">
        <v>8836</v>
      </c>
      <c r="D7212">
        <v>1294</v>
      </c>
      <c r="E7212" s="131">
        <v>2617158</v>
      </c>
      <c r="F7212" t="s">
        <v>87</v>
      </c>
      <c r="G7212">
        <v>78</v>
      </c>
      <c r="H7212" t="s">
        <v>8952</v>
      </c>
      <c r="I7212" s="130">
        <v>10</v>
      </c>
      <c r="J7212" t="s">
        <v>8836</v>
      </c>
      <c r="K7212" t="s">
        <v>108</v>
      </c>
      <c r="L7212" t="s">
        <v>127</v>
      </c>
      <c r="M7212" t="s">
        <v>112</v>
      </c>
      <c r="N7212" t="s">
        <v>98</v>
      </c>
      <c r="O7212" t="s">
        <v>1345</v>
      </c>
    </row>
    <row r="7213" spans="1:15" x14ac:dyDescent="0.3">
      <c r="A7213" s="130">
        <v>73051</v>
      </c>
      <c r="B7213" s="130">
        <v>18</v>
      </c>
      <c r="C7213" s="130" t="s">
        <v>8837</v>
      </c>
      <c r="D7213">
        <v>1295</v>
      </c>
      <c r="E7213" s="130">
        <v>2617158</v>
      </c>
      <c r="F7213" t="s">
        <v>87</v>
      </c>
      <c r="G7213">
        <v>78</v>
      </c>
      <c r="H7213" t="s">
        <v>8953</v>
      </c>
      <c r="I7213" s="130">
        <v>10</v>
      </c>
      <c r="J7213" t="s">
        <v>8837</v>
      </c>
      <c r="K7213" t="s">
        <v>108</v>
      </c>
      <c r="L7213" t="s">
        <v>127</v>
      </c>
      <c r="M7213" t="s">
        <v>112</v>
      </c>
      <c r="N7213" t="s">
        <v>98</v>
      </c>
      <c r="O7213" t="s">
        <v>1345</v>
      </c>
    </row>
    <row r="7214" spans="1:15" x14ac:dyDescent="0.3">
      <c r="A7214" s="130">
        <v>73052</v>
      </c>
      <c r="B7214" s="130">
        <v>18</v>
      </c>
      <c r="C7214" s="130" t="s">
        <v>8838</v>
      </c>
      <c r="D7214">
        <v>1296</v>
      </c>
      <c r="E7214" s="130">
        <v>10774213</v>
      </c>
      <c r="F7214" t="s">
        <v>87</v>
      </c>
      <c r="G7214">
        <v>78</v>
      </c>
      <c r="H7214" t="s">
        <v>8951</v>
      </c>
      <c r="I7214" s="131">
        <v>10</v>
      </c>
      <c r="J7214" t="s">
        <v>8838</v>
      </c>
      <c r="K7214" t="s">
        <v>108</v>
      </c>
      <c r="L7214" t="s">
        <v>127</v>
      </c>
      <c r="M7214" t="s">
        <v>112</v>
      </c>
      <c r="N7214" t="s">
        <v>98</v>
      </c>
      <c r="O7214" t="s">
        <v>1345</v>
      </c>
    </row>
    <row r="7215" spans="1:15" x14ac:dyDescent="0.3">
      <c r="A7215" s="130">
        <v>73053</v>
      </c>
      <c r="B7215" s="130">
        <v>90</v>
      </c>
      <c r="C7215" s="130" t="s">
        <v>8839</v>
      </c>
      <c r="D7215">
        <v>1297</v>
      </c>
      <c r="E7215" s="131">
        <v>11178032</v>
      </c>
      <c r="F7215" t="s">
        <v>87</v>
      </c>
      <c r="G7215">
        <v>78</v>
      </c>
      <c r="H7215" t="s">
        <v>8952</v>
      </c>
      <c r="I7215" s="130">
        <v>2</v>
      </c>
      <c r="J7215" t="s">
        <v>8839</v>
      </c>
      <c r="K7215" t="s">
        <v>95</v>
      </c>
      <c r="L7215" t="s">
        <v>96</v>
      </c>
      <c r="M7215" t="s">
        <v>170</v>
      </c>
      <c r="N7215" t="s">
        <v>98</v>
      </c>
      <c r="O7215" t="s">
        <v>1345</v>
      </c>
    </row>
    <row r="7216" spans="1:15" x14ac:dyDescent="0.3">
      <c r="A7216" s="130">
        <v>73054</v>
      </c>
      <c r="B7216" s="130">
        <v>30</v>
      </c>
      <c r="C7216" s="130" t="s">
        <v>8840</v>
      </c>
      <c r="D7216">
        <v>1298</v>
      </c>
      <c r="E7216" s="130">
        <v>82502196</v>
      </c>
      <c r="F7216" t="s">
        <v>87</v>
      </c>
      <c r="G7216">
        <v>78</v>
      </c>
      <c r="H7216" t="s">
        <v>8953</v>
      </c>
      <c r="I7216" s="131">
        <v>10</v>
      </c>
      <c r="J7216" t="s">
        <v>8840</v>
      </c>
      <c r="K7216" t="s">
        <v>95</v>
      </c>
      <c r="L7216" t="s">
        <v>127</v>
      </c>
      <c r="M7216" t="s">
        <v>103</v>
      </c>
      <c r="N7216" t="s">
        <v>118</v>
      </c>
      <c r="O7216" t="s">
        <v>1345</v>
      </c>
    </row>
    <row r="7217" spans="1:15" x14ac:dyDescent="0.3">
      <c r="A7217" s="130">
        <v>73055</v>
      </c>
      <c r="B7217" s="130">
        <v>28</v>
      </c>
      <c r="C7217" s="130" t="s">
        <v>8841</v>
      </c>
      <c r="D7217">
        <v>1299</v>
      </c>
      <c r="E7217" s="130">
        <v>37073944</v>
      </c>
      <c r="F7217" t="s">
        <v>87</v>
      </c>
      <c r="G7217">
        <v>78</v>
      </c>
      <c r="H7217" t="s">
        <v>8951</v>
      </c>
      <c r="I7217" s="130">
        <v>24</v>
      </c>
      <c r="J7217" t="s">
        <v>8841</v>
      </c>
      <c r="K7217" t="s">
        <v>95</v>
      </c>
      <c r="L7217" t="s">
        <v>138</v>
      </c>
      <c r="M7217" t="s">
        <v>130</v>
      </c>
      <c r="N7217" t="s">
        <v>98</v>
      </c>
      <c r="O7217" t="s">
        <v>1345</v>
      </c>
    </row>
    <row r="7218" spans="1:15" x14ac:dyDescent="0.3">
      <c r="A7218" s="130">
        <v>73056</v>
      </c>
      <c r="B7218" s="130">
        <v>18</v>
      </c>
      <c r="C7218" s="130" t="s">
        <v>8842</v>
      </c>
      <c r="D7218">
        <v>1426</v>
      </c>
      <c r="E7218" s="131">
        <v>13278976</v>
      </c>
      <c r="F7218" t="s">
        <v>87</v>
      </c>
      <c r="G7218">
        <v>358</v>
      </c>
      <c r="H7218" t="s">
        <v>8952</v>
      </c>
      <c r="I7218" s="130">
        <v>2</v>
      </c>
      <c r="J7218" t="s">
        <v>8842</v>
      </c>
      <c r="K7218" t="s">
        <v>108</v>
      </c>
      <c r="L7218" t="s">
        <v>109</v>
      </c>
      <c r="M7218" t="s">
        <v>112</v>
      </c>
      <c r="N7218" t="s">
        <v>98</v>
      </c>
      <c r="O7218" t="s">
        <v>1345</v>
      </c>
    </row>
    <row r="7219" spans="1:15" x14ac:dyDescent="0.3">
      <c r="A7219" s="130">
        <v>73057</v>
      </c>
      <c r="B7219" s="130">
        <v>18</v>
      </c>
      <c r="C7219" s="130" t="s">
        <v>8843</v>
      </c>
      <c r="D7219">
        <v>1300</v>
      </c>
      <c r="E7219" s="130">
        <v>10785166</v>
      </c>
      <c r="F7219" t="s">
        <v>87</v>
      </c>
      <c r="G7219">
        <v>78</v>
      </c>
      <c r="H7219" t="s">
        <v>8953</v>
      </c>
      <c r="I7219" s="130">
        <v>18</v>
      </c>
      <c r="J7219" t="s">
        <v>8843</v>
      </c>
      <c r="K7219" t="s">
        <v>108</v>
      </c>
      <c r="L7219" t="s">
        <v>123</v>
      </c>
      <c r="M7219" t="s">
        <v>112</v>
      </c>
      <c r="N7219" t="s">
        <v>98</v>
      </c>
      <c r="O7219" t="s">
        <v>116</v>
      </c>
    </row>
    <row r="7220" spans="1:15" x14ac:dyDescent="0.3">
      <c r="A7220" s="130">
        <v>73060</v>
      </c>
      <c r="B7220" s="130">
        <v>30</v>
      </c>
      <c r="C7220" s="130" t="s">
        <v>8844</v>
      </c>
      <c r="D7220">
        <v>1301</v>
      </c>
      <c r="E7220" s="131">
        <v>46588950</v>
      </c>
      <c r="F7220" t="s">
        <v>87</v>
      </c>
      <c r="G7220">
        <v>78</v>
      </c>
      <c r="H7220" t="s">
        <v>8951</v>
      </c>
      <c r="I7220" s="131">
        <v>24</v>
      </c>
      <c r="J7220" t="s">
        <v>8844</v>
      </c>
      <c r="K7220" t="s">
        <v>95</v>
      </c>
      <c r="L7220" t="s">
        <v>138</v>
      </c>
      <c r="M7220" t="s">
        <v>103</v>
      </c>
      <c r="N7220" t="s">
        <v>131</v>
      </c>
      <c r="O7220" t="s">
        <v>1345</v>
      </c>
    </row>
    <row r="7221" spans="1:15" x14ac:dyDescent="0.3">
      <c r="A7221" s="130">
        <v>73061</v>
      </c>
      <c r="B7221" s="130">
        <v>45</v>
      </c>
      <c r="C7221" s="130" t="s">
        <v>8845</v>
      </c>
      <c r="D7221">
        <v>1428</v>
      </c>
      <c r="E7221" s="130">
        <v>36657236</v>
      </c>
      <c r="F7221" t="s">
        <v>87</v>
      </c>
      <c r="G7221">
        <v>358</v>
      </c>
      <c r="H7221" t="s">
        <v>8952</v>
      </c>
      <c r="I7221" s="131">
        <v>10</v>
      </c>
      <c r="J7221" t="s">
        <v>8845</v>
      </c>
      <c r="K7221" t="s">
        <v>95</v>
      </c>
      <c r="L7221" t="s">
        <v>105</v>
      </c>
      <c r="M7221" t="s">
        <v>106</v>
      </c>
      <c r="N7221" t="s">
        <v>118</v>
      </c>
      <c r="O7221" t="s">
        <v>116</v>
      </c>
    </row>
    <row r="7222" spans="1:15" x14ac:dyDescent="0.3">
      <c r="A7222" s="130">
        <v>73062</v>
      </c>
      <c r="B7222" s="130">
        <v>0</v>
      </c>
      <c r="C7222" s="130" t="s">
        <v>8846</v>
      </c>
      <c r="D7222">
        <v>1429</v>
      </c>
      <c r="E7222" s="130">
        <v>26645318</v>
      </c>
      <c r="F7222" t="s">
        <v>87</v>
      </c>
      <c r="G7222">
        <v>358</v>
      </c>
      <c r="H7222" t="s">
        <v>8953</v>
      </c>
      <c r="I7222" s="130">
        <v>2</v>
      </c>
      <c r="J7222" t="s">
        <v>8846</v>
      </c>
      <c r="K7222" t="s">
        <v>108</v>
      </c>
      <c r="L7222" t="s">
        <v>111</v>
      </c>
      <c r="M7222" t="s">
        <v>100</v>
      </c>
      <c r="N7222" t="s">
        <v>124</v>
      </c>
      <c r="O7222" t="s">
        <v>116</v>
      </c>
    </row>
    <row r="7223" spans="1:15" x14ac:dyDescent="0.3">
      <c r="A7223" s="130">
        <v>73063</v>
      </c>
      <c r="B7223" s="130">
        <v>-1</v>
      </c>
      <c r="C7223" s="130" t="s">
        <v>8847</v>
      </c>
      <c r="D7223">
        <v>1430</v>
      </c>
      <c r="E7223" s="130">
        <v>26645318</v>
      </c>
      <c r="F7223" t="s">
        <v>87</v>
      </c>
      <c r="G7223">
        <v>358</v>
      </c>
      <c r="H7223" t="s">
        <v>8951</v>
      </c>
      <c r="I7223" s="130">
        <v>2</v>
      </c>
      <c r="J7223" t="s">
        <v>8847</v>
      </c>
      <c r="K7223" t="s">
        <v>95</v>
      </c>
      <c r="L7223" t="s">
        <v>111</v>
      </c>
      <c r="M7223" t="s">
        <v>174</v>
      </c>
      <c r="N7223" t="s">
        <v>124</v>
      </c>
      <c r="O7223" t="s">
        <v>116</v>
      </c>
    </row>
    <row r="7224" spans="1:15" x14ac:dyDescent="0.3">
      <c r="A7224" s="130">
        <v>73064</v>
      </c>
      <c r="B7224" s="130">
        <v>30</v>
      </c>
      <c r="C7224" s="130" t="s">
        <v>8848</v>
      </c>
      <c r="D7224">
        <v>1302</v>
      </c>
      <c r="E7224" s="130">
        <v>33000167</v>
      </c>
      <c r="F7224" t="s">
        <v>87</v>
      </c>
      <c r="G7224">
        <v>78</v>
      </c>
      <c r="H7224" t="s">
        <v>8952</v>
      </c>
      <c r="I7224" s="131">
        <v>18</v>
      </c>
      <c r="J7224" t="s">
        <v>8848</v>
      </c>
      <c r="K7224" t="s">
        <v>95</v>
      </c>
      <c r="L7224" t="s">
        <v>102</v>
      </c>
      <c r="M7224" t="s">
        <v>103</v>
      </c>
      <c r="N7224" t="s">
        <v>101</v>
      </c>
      <c r="O7224" t="s">
        <v>1345</v>
      </c>
    </row>
    <row r="7225" spans="1:15" x14ac:dyDescent="0.3">
      <c r="A7225" s="130">
        <v>73065</v>
      </c>
      <c r="B7225" s="130">
        <v>30</v>
      </c>
      <c r="C7225" s="130" t="s">
        <v>8849</v>
      </c>
      <c r="D7225">
        <v>1303</v>
      </c>
      <c r="E7225" s="131">
        <v>33000167</v>
      </c>
      <c r="F7225" t="s">
        <v>87</v>
      </c>
      <c r="G7225">
        <v>78</v>
      </c>
      <c r="H7225" t="s">
        <v>8953</v>
      </c>
      <c r="I7225" s="131">
        <v>18</v>
      </c>
      <c r="J7225" t="s">
        <v>8849</v>
      </c>
      <c r="K7225" t="s">
        <v>95</v>
      </c>
      <c r="L7225" t="s">
        <v>102</v>
      </c>
      <c r="M7225" t="s">
        <v>103</v>
      </c>
      <c r="N7225" t="s">
        <v>101</v>
      </c>
      <c r="O7225" t="s">
        <v>116</v>
      </c>
    </row>
    <row r="7226" spans="1:15" x14ac:dyDescent="0.3">
      <c r="A7226" s="130">
        <v>73066</v>
      </c>
      <c r="B7226" s="130">
        <v>18</v>
      </c>
      <c r="C7226" s="130" t="s">
        <v>8850</v>
      </c>
      <c r="D7226">
        <v>1304</v>
      </c>
      <c r="E7226" s="130">
        <v>17185786</v>
      </c>
      <c r="F7226" t="s">
        <v>87</v>
      </c>
      <c r="G7226">
        <v>358</v>
      </c>
      <c r="H7226" t="s">
        <v>8951</v>
      </c>
      <c r="I7226" s="131">
        <v>2</v>
      </c>
      <c r="J7226" t="s">
        <v>8850</v>
      </c>
      <c r="K7226" t="s">
        <v>95</v>
      </c>
      <c r="L7226" t="s">
        <v>99</v>
      </c>
      <c r="M7226" t="s">
        <v>112</v>
      </c>
      <c r="N7226" t="s">
        <v>98</v>
      </c>
      <c r="O7226" t="s">
        <v>1345</v>
      </c>
    </row>
    <row r="7227" spans="1:15" x14ac:dyDescent="0.3">
      <c r="A7227" s="130">
        <v>73070</v>
      </c>
      <c r="B7227" s="130">
        <v>60</v>
      </c>
      <c r="C7227" s="130" t="s">
        <v>8851</v>
      </c>
      <c r="D7227">
        <v>1305</v>
      </c>
      <c r="E7227" s="130">
        <v>3176142</v>
      </c>
      <c r="F7227" t="s">
        <v>87</v>
      </c>
      <c r="G7227">
        <v>78</v>
      </c>
      <c r="H7227" t="s">
        <v>8952</v>
      </c>
      <c r="I7227" s="131">
        <v>18</v>
      </c>
      <c r="J7227" t="s">
        <v>8851</v>
      </c>
      <c r="K7227" t="s">
        <v>108</v>
      </c>
      <c r="L7227" t="s">
        <v>123</v>
      </c>
      <c r="M7227" t="s">
        <v>97</v>
      </c>
      <c r="N7227" t="s">
        <v>98</v>
      </c>
      <c r="O7227" t="s">
        <v>116</v>
      </c>
    </row>
    <row r="7228" spans="1:15" x14ac:dyDescent="0.3">
      <c r="A7228" s="130">
        <v>73073</v>
      </c>
      <c r="B7228" s="130">
        <v>18</v>
      </c>
      <c r="C7228" s="130" t="s">
        <v>8852</v>
      </c>
      <c r="D7228">
        <v>1431</v>
      </c>
      <c r="E7228" s="130">
        <v>4182711</v>
      </c>
      <c r="F7228" t="s">
        <v>87</v>
      </c>
      <c r="G7228">
        <v>78</v>
      </c>
      <c r="H7228" t="s">
        <v>8953</v>
      </c>
      <c r="I7228" s="130">
        <v>9</v>
      </c>
      <c r="J7228" t="s">
        <v>8852</v>
      </c>
      <c r="K7228" t="s">
        <v>108</v>
      </c>
      <c r="L7228" t="s">
        <v>134</v>
      </c>
      <c r="M7228" t="s">
        <v>112</v>
      </c>
      <c r="N7228" t="s">
        <v>122</v>
      </c>
      <c r="O7228" t="s">
        <v>116</v>
      </c>
    </row>
    <row r="7229" spans="1:15" x14ac:dyDescent="0.3">
      <c r="A7229" s="130">
        <v>73075</v>
      </c>
      <c r="B7229" s="130">
        <v>30</v>
      </c>
      <c r="C7229" s="130" t="s">
        <v>8853</v>
      </c>
      <c r="D7229">
        <v>1306</v>
      </c>
      <c r="E7229" s="131">
        <v>33000167</v>
      </c>
      <c r="F7229" t="s">
        <v>87</v>
      </c>
      <c r="G7229">
        <v>78</v>
      </c>
      <c r="H7229" t="s">
        <v>8951</v>
      </c>
      <c r="I7229" s="130">
        <v>24</v>
      </c>
      <c r="J7229" t="s">
        <v>8853</v>
      </c>
      <c r="K7229" t="s">
        <v>95</v>
      </c>
      <c r="L7229" t="s">
        <v>102</v>
      </c>
      <c r="M7229" t="s">
        <v>103</v>
      </c>
      <c r="N7229" t="s">
        <v>101</v>
      </c>
      <c r="O7229" t="s">
        <v>116</v>
      </c>
    </row>
    <row r="7230" spans="1:15" x14ac:dyDescent="0.3">
      <c r="A7230" s="130">
        <v>73079</v>
      </c>
      <c r="B7230" s="130">
        <v>0</v>
      </c>
      <c r="C7230" s="130" t="s">
        <v>8854</v>
      </c>
      <c r="D7230">
        <v>1432</v>
      </c>
      <c r="E7230" s="131">
        <v>18689125</v>
      </c>
      <c r="F7230" t="s">
        <v>87</v>
      </c>
      <c r="G7230">
        <v>358</v>
      </c>
      <c r="H7230" t="s">
        <v>8952</v>
      </c>
      <c r="I7230" s="130">
        <v>2</v>
      </c>
      <c r="J7230" t="s">
        <v>8854</v>
      </c>
      <c r="K7230" t="s">
        <v>108</v>
      </c>
      <c r="L7230" t="s">
        <v>140</v>
      </c>
      <c r="M7230" t="s">
        <v>100</v>
      </c>
      <c r="N7230" t="s">
        <v>114</v>
      </c>
      <c r="O7230" t="s">
        <v>1345</v>
      </c>
    </row>
    <row r="7231" spans="1:15" x14ac:dyDescent="0.3">
      <c r="A7231" s="130">
        <v>73081</v>
      </c>
      <c r="B7231" s="130">
        <v>18</v>
      </c>
      <c r="C7231" s="130" t="s">
        <v>8855</v>
      </c>
      <c r="D7231">
        <v>1307</v>
      </c>
      <c r="E7231" s="130">
        <v>27786322</v>
      </c>
      <c r="F7231" t="s">
        <v>87</v>
      </c>
      <c r="G7231">
        <v>358</v>
      </c>
      <c r="H7231" t="s">
        <v>8953</v>
      </c>
      <c r="I7231" s="130">
        <v>19</v>
      </c>
      <c r="J7231" t="s">
        <v>8855</v>
      </c>
      <c r="K7231" t="s">
        <v>108</v>
      </c>
      <c r="L7231" t="s">
        <v>105</v>
      </c>
      <c r="M7231" t="s">
        <v>112</v>
      </c>
      <c r="N7231" t="s">
        <v>124</v>
      </c>
      <c r="O7231" t="s">
        <v>1345</v>
      </c>
    </row>
    <row r="7232" spans="1:15" x14ac:dyDescent="0.3">
      <c r="A7232" s="130">
        <v>73082</v>
      </c>
      <c r="B7232" s="130">
        <v>30</v>
      </c>
      <c r="C7232" s="130" t="s">
        <v>8856</v>
      </c>
      <c r="D7232">
        <v>1308</v>
      </c>
      <c r="E7232" s="130">
        <v>33000167</v>
      </c>
      <c r="F7232" t="s">
        <v>87</v>
      </c>
      <c r="G7232">
        <v>78</v>
      </c>
      <c r="H7232" t="s">
        <v>8951</v>
      </c>
      <c r="I7232" s="130">
        <v>24</v>
      </c>
      <c r="J7232" t="s">
        <v>8856</v>
      </c>
      <c r="K7232" t="s">
        <v>95</v>
      </c>
      <c r="L7232" t="s">
        <v>102</v>
      </c>
      <c r="M7232" t="s">
        <v>103</v>
      </c>
      <c r="N7232" t="s">
        <v>101</v>
      </c>
      <c r="O7232" t="s">
        <v>1345</v>
      </c>
    </row>
    <row r="7233" spans="1:15" x14ac:dyDescent="0.3">
      <c r="A7233" s="130">
        <v>73084</v>
      </c>
      <c r="B7233" s="130">
        <v>-1</v>
      </c>
      <c r="C7233" s="130" t="s">
        <v>8857</v>
      </c>
      <c r="D7233">
        <v>1309</v>
      </c>
      <c r="E7233" s="131">
        <v>12945115</v>
      </c>
      <c r="F7233" t="s">
        <v>87</v>
      </c>
      <c r="G7233">
        <v>78</v>
      </c>
      <c r="H7233" t="s">
        <v>8952</v>
      </c>
      <c r="I7233" s="131">
        <v>18</v>
      </c>
      <c r="J7233" t="s">
        <v>8857</v>
      </c>
      <c r="K7233" t="s">
        <v>108</v>
      </c>
      <c r="L7233" t="s">
        <v>123</v>
      </c>
      <c r="M7233" t="s">
        <v>174</v>
      </c>
      <c r="N7233" t="s">
        <v>98</v>
      </c>
      <c r="O7233" t="s">
        <v>1345</v>
      </c>
    </row>
    <row r="7234" spans="1:15" x14ac:dyDescent="0.3">
      <c r="A7234" s="130">
        <v>73085</v>
      </c>
      <c r="B7234" s="130">
        <v>0</v>
      </c>
      <c r="C7234" s="130" t="s">
        <v>8858</v>
      </c>
      <c r="D7234">
        <v>1433</v>
      </c>
      <c r="E7234" s="130">
        <v>5068235</v>
      </c>
      <c r="F7234" t="s">
        <v>87</v>
      </c>
      <c r="G7234">
        <v>358</v>
      </c>
      <c r="H7234" t="s">
        <v>8953</v>
      </c>
      <c r="I7234" s="131">
        <v>19</v>
      </c>
      <c r="J7234" t="s">
        <v>8858</v>
      </c>
      <c r="K7234" t="s">
        <v>108</v>
      </c>
      <c r="L7234" t="s">
        <v>105</v>
      </c>
      <c r="M7234" t="s">
        <v>100</v>
      </c>
      <c r="N7234" t="s">
        <v>98</v>
      </c>
      <c r="O7234" t="s">
        <v>1345</v>
      </c>
    </row>
    <row r="7235" spans="1:15" x14ac:dyDescent="0.3">
      <c r="A7235" s="130">
        <v>73086</v>
      </c>
      <c r="B7235" s="130">
        <v>30</v>
      </c>
      <c r="C7235" s="130" t="s">
        <v>8859</v>
      </c>
      <c r="D7235">
        <v>1434</v>
      </c>
      <c r="E7235" s="130">
        <v>3130160</v>
      </c>
      <c r="F7235" t="s">
        <v>87</v>
      </c>
      <c r="G7235">
        <v>358</v>
      </c>
      <c r="H7235" t="s">
        <v>8951</v>
      </c>
      <c r="I7235" s="130">
        <v>24</v>
      </c>
      <c r="J7235" t="s">
        <v>8859</v>
      </c>
      <c r="K7235" t="s">
        <v>95</v>
      </c>
      <c r="L7235" t="s">
        <v>109</v>
      </c>
      <c r="M7235" t="s">
        <v>103</v>
      </c>
      <c r="N7235" t="s">
        <v>98</v>
      </c>
      <c r="O7235" t="s">
        <v>1345</v>
      </c>
    </row>
    <row r="7236" spans="1:15" x14ac:dyDescent="0.3">
      <c r="A7236" s="130">
        <v>73087</v>
      </c>
      <c r="B7236" s="130">
        <v>30</v>
      </c>
      <c r="C7236" s="130" t="s">
        <v>8860</v>
      </c>
      <c r="D7236">
        <v>1435</v>
      </c>
      <c r="E7236" s="130">
        <v>3130160</v>
      </c>
      <c r="F7236" t="s">
        <v>87</v>
      </c>
      <c r="G7236">
        <v>358</v>
      </c>
      <c r="H7236" t="s">
        <v>8952</v>
      </c>
      <c r="I7236" s="131">
        <v>24</v>
      </c>
      <c r="J7236" t="s">
        <v>8860</v>
      </c>
      <c r="K7236" t="s">
        <v>95</v>
      </c>
      <c r="L7236" t="s">
        <v>109</v>
      </c>
      <c r="M7236" t="s">
        <v>103</v>
      </c>
      <c r="N7236" t="s">
        <v>98</v>
      </c>
      <c r="O7236" t="s">
        <v>1345</v>
      </c>
    </row>
    <row r="7237" spans="1:15" x14ac:dyDescent="0.3">
      <c r="A7237" s="130">
        <v>73088</v>
      </c>
      <c r="B7237" s="130">
        <v>45</v>
      </c>
      <c r="C7237" s="130" t="s">
        <v>8861</v>
      </c>
      <c r="D7237">
        <v>1310</v>
      </c>
      <c r="E7237" s="130">
        <v>3130160</v>
      </c>
      <c r="F7237" t="s">
        <v>87</v>
      </c>
      <c r="G7237">
        <v>358</v>
      </c>
      <c r="H7237" t="s">
        <v>8953</v>
      </c>
      <c r="I7237" s="130">
        <v>10</v>
      </c>
      <c r="J7237" t="s">
        <v>8861</v>
      </c>
      <c r="K7237" t="s">
        <v>95</v>
      </c>
      <c r="L7237" t="s">
        <v>105</v>
      </c>
      <c r="M7237" t="s">
        <v>106</v>
      </c>
      <c r="N7237" t="s">
        <v>98</v>
      </c>
      <c r="O7237" t="s">
        <v>1345</v>
      </c>
    </row>
    <row r="7238" spans="1:15" x14ac:dyDescent="0.3">
      <c r="A7238" s="130">
        <v>73089</v>
      </c>
      <c r="B7238" s="130">
        <v>18</v>
      </c>
      <c r="C7238" s="130" t="s">
        <v>8862</v>
      </c>
      <c r="D7238">
        <v>1311</v>
      </c>
      <c r="E7238" s="131">
        <v>17548204</v>
      </c>
      <c r="F7238" t="s">
        <v>87</v>
      </c>
      <c r="G7238">
        <v>78</v>
      </c>
      <c r="H7238" t="s">
        <v>8951</v>
      </c>
      <c r="I7238" s="130">
        <v>10</v>
      </c>
      <c r="J7238" t="s">
        <v>8862</v>
      </c>
      <c r="K7238" t="s">
        <v>108</v>
      </c>
      <c r="L7238" t="s">
        <v>127</v>
      </c>
      <c r="M7238" t="s">
        <v>112</v>
      </c>
      <c r="N7238" t="s">
        <v>150</v>
      </c>
      <c r="O7238" t="s">
        <v>1345</v>
      </c>
    </row>
    <row r="7239" spans="1:15" x14ac:dyDescent="0.3">
      <c r="A7239" s="130">
        <v>73091</v>
      </c>
      <c r="B7239" s="130">
        <v>30</v>
      </c>
      <c r="C7239" s="130" t="s">
        <v>8863</v>
      </c>
      <c r="D7239">
        <v>1312</v>
      </c>
      <c r="E7239" s="130">
        <v>33000167</v>
      </c>
      <c r="F7239" t="s">
        <v>87</v>
      </c>
      <c r="G7239">
        <v>78</v>
      </c>
      <c r="H7239" t="s">
        <v>8952</v>
      </c>
      <c r="I7239" s="131">
        <v>24</v>
      </c>
      <c r="J7239" t="s">
        <v>8863</v>
      </c>
      <c r="K7239" t="s">
        <v>95</v>
      </c>
      <c r="L7239" t="s">
        <v>102</v>
      </c>
      <c r="M7239" t="s">
        <v>103</v>
      </c>
      <c r="N7239" t="s">
        <v>101</v>
      </c>
      <c r="O7239" t="s">
        <v>1345</v>
      </c>
    </row>
    <row r="7240" spans="1:15" x14ac:dyDescent="0.3">
      <c r="A7240" s="130">
        <v>73094</v>
      </c>
      <c r="B7240" s="130">
        <v>18</v>
      </c>
      <c r="C7240" s="130" t="s">
        <v>8864</v>
      </c>
      <c r="D7240">
        <v>1313</v>
      </c>
      <c r="E7240" s="130">
        <v>7563445</v>
      </c>
      <c r="F7240" t="s">
        <v>87</v>
      </c>
      <c r="G7240">
        <v>358</v>
      </c>
      <c r="H7240" t="s">
        <v>8953</v>
      </c>
      <c r="I7240" s="130">
        <v>2</v>
      </c>
      <c r="J7240" t="s">
        <v>8864</v>
      </c>
      <c r="K7240" t="s">
        <v>108</v>
      </c>
      <c r="L7240" t="s">
        <v>99</v>
      </c>
      <c r="M7240" t="s">
        <v>112</v>
      </c>
      <c r="N7240" t="s">
        <v>150</v>
      </c>
      <c r="O7240" t="s">
        <v>1345</v>
      </c>
    </row>
    <row r="7241" spans="1:15" x14ac:dyDescent="0.3">
      <c r="A7241" s="130">
        <v>73096</v>
      </c>
      <c r="B7241" s="130">
        <v>0</v>
      </c>
      <c r="C7241" s="130" t="s">
        <v>8865</v>
      </c>
      <c r="D7241">
        <v>1436</v>
      </c>
      <c r="E7241" s="131">
        <v>12186486601</v>
      </c>
      <c r="F7241" t="s">
        <v>87</v>
      </c>
      <c r="G7241">
        <v>358</v>
      </c>
      <c r="H7241" t="s">
        <v>8951</v>
      </c>
      <c r="I7241" s="131">
        <v>2</v>
      </c>
      <c r="J7241" t="s">
        <v>8865</v>
      </c>
      <c r="K7241" t="s">
        <v>108</v>
      </c>
      <c r="L7241" t="s">
        <v>99</v>
      </c>
      <c r="M7241" t="s">
        <v>100</v>
      </c>
      <c r="N7241" t="s">
        <v>110</v>
      </c>
      <c r="O7241" t="s">
        <v>1345</v>
      </c>
    </row>
    <row r="7242" spans="1:15" x14ac:dyDescent="0.3">
      <c r="A7242" s="130">
        <v>73097</v>
      </c>
      <c r="B7242" s="130">
        <v>18</v>
      </c>
      <c r="C7242" s="130" t="s">
        <v>8866</v>
      </c>
      <c r="D7242">
        <v>1314</v>
      </c>
      <c r="E7242" s="130">
        <v>27786322</v>
      </c>
      <c r="F7242" t="s">
        <v>87</v>
      </c>
      <c r="G7242">
        <v>358</v>
      </c>
      <c r="H7242" t="s">
        <v>8952</v>
      </c>
      <c r="I7242" s="130">
        <v>19</v>
      </c>
      <c r="J7242" t="s">
        <v>8866</v>
      </c>
      <c r="K7242" t="s">
        <v>108</v>
      </c>
      <c r="L7242" t="s">
        <v>105</v>
      </c>
      <c r="M7242" t="s">
        <v>112</v>
      </c>
      <c r="N7242" t="s">
        <v>124</v>
      </c>
      <c r="O7242" t="s">
        <v>1345</v>
      </c>
    </row>
    <row r="7243" spans="1:15" x14ac:dyDescent="0.3">
      <c r="A7243" s="130">
        <v>73100</v>
      </c>
      <c r="B7243" s="130">
        <v>18</v>
      </c>
      <c r="C7243" s="130" t="s">
        <v>8867</v>
      </c>
      <c r="D7243">
        <v>1315</v>
      </c>
      <c r="E7243" s="131">
        <v>29060647</v>
      </c>
      <c r="F7243" t="s">
        <v>87</v>
      </c>
      <c r="G7243">
        <v>358</v>
      </c>
      <c r="H7243" t="s">
        <v>8953</v>
      </c>
      <c r="I7243" s="130">
        <v>26</v>
      </c>
      <c r="J7243" t="s">
        <v>8867</v>
      </c>
      <c r="K7243" t="s">
        <v>108</v>
      </c>
      <c r="L7243" t="s">
        <v>99</v>
      </c>
      <c r="M7243" t="s">
        <v>112</v>
      </c>
      <c r="N7243" t="s">
        <v>98</v>
      </c>
      <c r="O7243" t="s">
        <v>1345</v>
      </c>
    </row>
    <row r="7244" spans="1:15" x14ac:dyDescent="0.3">
      <c r="A7244" s="130">
        <v>73101</v>
      </c>
      <c r="B7244" s="130">
        <v>30</v>
      </c>
      <c r="C7244" s="130" t="s">
        <v>8868</v>
      </c>
      <c r="D7244">
        <v>1316</v>
      </c>
      <c r="E7244" s="130">
        <v>37099357</v>
      </c>
      <c r="F7244" t="s">
        <v>87</v>
      </c>
      <c r="G7244">
        <v>78</v>
      </c>
      <c r="H7244" t="s">
        <v>8951</v>
      </c>
      <c r="I7244" s="130">
        <v>9</v>
      </c>
      <c r="J7244" t="s">
        <v>8868</v>
      </c>
      <c r="K7244" t="s">
        <v>95</v>
      </c>
      <c r="L7244" t="s">
        <v>134</v>
      </c>
      <c r="M7244" t="s">
        <v>103</v>
      </c>
      <c r="N7244" t="s">
        <v>101</v>
      </c>
      <c r="O7244" t="s">
        <v>1345</v>
      </c>
    </row>
    <row r="7245" spans="1:15" x14ac:dyDescent="0.3">
      <c r="A7245" s="130">
        <v>73102</v>
      </c>
      <c r="B7245" s="130">
        <v>18</v>
      </c>
      <c r="C7245" s="130" t="s">
        <v>8869</v>
      </c>
      <c r="D7245">
        <v>1317</v>
      </c>
      <c r="E7245" s="131">
        <v>28426989</v>
      </c>
      <c r="F7245" t="s">
        <v>87</v>
      </c>
      <c r="G7245">
        <v>358</v>
      </c>
      <c r="H7245" t="s">
        <v>8952</v>
      </c>
      <c r="I7245" s="130">
        <v>2</v>
      </c>
      <c r="J7245" t="s">
        <v>8869</v>
      </c>
      <c r="K7245" t="s">
        <v>108</v>
      </c>
      <c r="L7245" t="s">
        <v>105</v>
      </c>
      <c r="M7245" t="s">
        <v>112</v>
      </c>
      <c r="N7245" t="s">
        <v>101</v>
      </c>
      <c r="O7245" t="s">
        <v>1345</v>
      </c>
    </row>
    <row r="7246" spans="1:15" x14ac:dyDescent="0.3">
      <c r="A7246" s="130">
        <v>73103</v>
      </c>
      <c r="B7246" s="130">
        <v>18</v>
      </c>
      <c r="C7246" s="130" t="s">
        <v>8870</v>
      </c>
      <c r="D7246">
        <v>1318</v>
      </c>
      <c r="E7246" s="130">
        <v>33193996</v>
      </c>
      <c r="F7246" t="s">
        <v>87</v>
      </c>
      <c r="G7246">
        <v>358</v>
      </c>
      <c r="H7246" t="s">
        <v>8953</v>
      </c>
      <c r="I7246" s="131">
        <v>19</v>
      </c>
      <c r="J7246" t="s">
        <v>8870</v>
      </c>
      <c r="K7246" t="s">
        <v>95</v>
      </c>
      <c r="L7246" t="s">
        <v>105</v>
      </c>
      <c r="M7246" t="s">
        <v>112</v>
      </c>
      <c r="N7246" t="s">
        <v>98</v>
      </c>
      <c r="O7246" t="s">
        <v>1345</v>
      </c>
    </row>
    <row r="7247" spans="1:15" x14ac:dyDescent="0.3">
      <c r="A7247" s="130">
        <v>73104</v>
      </c>
      <c r="B7247" s="130">
        <v>30</v>
      </c>
      <c r="C7247" s="130" t="s">
        <v>8871</v>
      </c>
      <c r="D7247">
        <v>1319</v>
      </c>
      <c r="E7247" s="130">
        <v>14688220</v>
      </c>
      <c r="F7247" t="s">
        <v>87</v>
      </c>
      <c r="G7247">
        <v>358</v>
      </c>
      <c r="H7247" t="s">
        <v>8951</v>
      </c>
      <c r="I7247" s="131">
        <v>19</v>
      </c>
      <c r="J7247" t="s">
        <v>8871</v>
      </c>
      <c r="K7247" t="s">
        <v>95</v>
      </c>
      <c r="L7247" t="s">
        <v>146</v>
      </c>
      <c r="M7247" t="s">
        <v>103</v>
      </c>
      <c r="N7247" t="s">
        <v>101</v>
      </c>
      <c r="O7247" t="s">
        <v>1345</v>
      </c>
    </row>
    <row r="7248" spans="1:15" x14ac:dyDescent="0.3">
      <c r="A7248" s="130">
        <v>73105</v>
      </c>
      <c r="B7248" s="130">
        <v>30</v>
      </c>
      <c r="C7248" s="130" t="s">
        <v>8872</v>
      </c>
      <c r="D7248">
        <v>1320</v>
      </c>
      <c r="E7248" s="130">
        <v>31790710</v>
      </c>
      <c r="F7248" t="s">
        <v>87</v>
      </c>
      <c r="G7248">
        <v>78</v>
      </c>
      <c r="H7248" t="s">
        <v>8952</v>
      </c>
      <c r="I7248" s="130">
        <v>18</v>
      </c>
      <c r="J7248" t="s">
        <v>8872</v>
      </c>
      <c r="K7248" t="s">
        <v>108</v>
      </c>
      <c r="L7248" t="s">
        <v>123</v>
      </c>
      <c r="M7248" t="s">
        <v>103</v>
      </c>
      <c r="N7248" t="s">
        <v>114</v>
      </c>
      <c r="O7248" t="s">
        <v>1345</v>
      </c>
    </row>
    <row r="7249" spans="1:15" x14ac:dyDescent="0.3">
      <c r="A7249" s="130">
        <v>73107</v>
      </c>
      <c r="B7249" s="130">
        <v>18</v>
      </c>
      <c r="C7249" s="130" t="s">
        <v>8873</v>
      </c>
      <c r="D7249">
        <v>1321</v>
      </c>
      <c r="E7249" s="130">
        <v>24787241</v>
      </c>
      <c r="F7249" t="s">
        <v>87</v>
      </c>
      <c r="G7249">
        <v>358</v>
      </c>
      <c r="H7249" t="s">
        <v>8953</v>
      </c>
      <c r="I7249" s="131">
        <v>18</v>
      </c>
      <c r="J7249" t="s">
        <v>8873</v>
      </c>
      <c r="K7249" t="s">
        <v>108</v>
      </c>
      <c r="L7249" t="s">
        <v>1246</v>
      </c>
      <c r="M7249" t="s">
        <v>112</v>
      </c>
      <c r="N7249" t="s">
        <v>101</v>
      </c>
      <c r="O7249" t="s">
        <v>1345</v>
      </c>
    </row>
    <row r="7250" spans="1:15" x14ac:dyDescent="0.3">
      <c r="A7250" s="130">
        <v>73108</v>
      </c>
      <c r="B7250" s="130">
        <v>18</v>
      </c>
      <c r="C7250" s="130" t="s">
        <v>8874</v>
      </c>
      <c r="D7250">
        <v>1438</v>
      </c>
      <c r="E7250" s="130">
        <v>41699364</v>
      </c>
      <c r="F7250" t="s">
        <v>87</v>
      </c>
      <c r="G7250">
        <v>358</v>
      </c>
      <c r="H7250" t="s">
        <v>8951</v>
      </c>
      <c r="I7250" s="130">
        <v>2</v>
      </c>
      <c r="J7250" t="s">
        <v>8874</v>
      </c>
      <c r="K7250" t="s">
        <v>108</v>
      </c>
      <c r="L7250" t="s">
        <v>111</v>
      </c>
      <c r="M7250" t="s">
        <v>112</v>
      </c>
      <c r="N7250" t="s">
        <v>98</v>
      </c>
      <c r="O7250" t="s">
        <v>1345</v>
      </c>
    </row>
    <row r="7251" spans="1:15" x14ac:dyDescent="0.3">
      <c r="A7251" s="130">
        <v>73109</v>
      </c>
      <c r="B7251" s="130">
        <v>18</v>
      </c>
      <c r="C7251" s="130" t="s">
        <v>8875</v>
      </c>
      <c r="D7251">
        <v>1322</v>
      </c>
      <c r="E7251" s="130">
        <v>930087</v>
      </c>
      <c r="F7251" t="s">
        <v>87</v>
      </c>
      <c r="G7251">
        <v>78</v>
      </c>
      <c r="H7251" t="s">
        <v>8952</v>
      </c>
      <c r="I7251" s="130">
        <v>9</v>
      </c>
      <c r="J7251" t="s">
        <v>8875</v>
      </c>
      <c r="K7251" t="s">
        <v>95</v>
      </c>
      <c r="L7251" t="s">
        <v>134</v>
      </c>
      <c r="M7251" t="s">
        <v>112</v>
      </c>
      <c r="N7251" t="s">
        <v>98</v>
      </c>
      <c r="O7251" t="s">
        <v>1345</v>
      </c>
    </row>
    <row r="7252" spans="1:15" x14ac:dyDescent="0.3">
      <c r="A7252" s="130">
        <v>73110</v>
      </c>
      <c r="B7252" s="130">
        <v>18</v>
      </c>
      <c r="C7252" s="130" t="s">
        <v>8876</v>
      </c>
      <c r="D7252">
        <v>1439</v>
      </c>
      <c r="E7252" s="131">
        <v>1383443</v>
      </c>
      <c r="F7252" t="s">
        <v>87</v>
      </c>
      <c r="G7252">
        <v>358</v>
      </c>
      <c r="H7252" t="s">
        <v>8953</v>
      </c>
      <c r="I7252" s="131">
        <v>2</v>
      </c>
      <c r="J7252" t="s">
        <v>8876</v>
      </c>
      <c r="K7252" t="s">
        <v>108</v>
      </c>
      <c r="L7252" t="s">
        <v>111</v>
      </c>
      <c r="M7252" t="s">
        <v>112</v>
      </c>
      <c r="N7252" t="s">
        <v>114</v>
      </c>
      <c r="O7252" t="s">
        <v>1345</v>
      </c>
    </row>
    <row r="7253" spans="1:15" x14ac:dyDescent="0.3">
      <c r="A7253" s="130">
        <v>73113</v>
      </c>
      <c r="B7253" s="130">
        <v>30</v>
      </c>
      <c r="C7253" s="130" t="s">
        <v>8877</v>
      </c>
      <c r="D7253">
        <v>1441</v>
      </c>
      <c r="E7253" s="130">
        <v>46588950</v>
      </c>
      <c r="F7253" t="s">
        <v>87</v>
      </c>
      <c r="G7253">
        <v>78</v>
      </c>
      <c r="H7253" t="s">
        <v>8951</v>
      </c>
      <c r="I7253" s="131">
        <v>24</v>
      </c>
      <c r="J7253" t="s">
        <v>8877</v>
      </c>
      <c r="K7253" t="s">
        <v>95</v>
      </c>
      <c r="L7253" t="s">
        <v>138</v>
      </c>
      <c r="M7253" t="s">
        <v>103</v>
      </c>
      <c r="N7253" t="s">
        <v>131</v>
      </c>
      <c r="O7253" t="s">
        <v>1345</v>
      </c>
    </row>
    <row r="7254" spans="1:15" x14ac:dyDescent="0.3">
      <c r="A7254" s="130">
        <v>73114</v>
      </c>
      <c r="B7254" s="130">
        <v>30</v>
      </c>
      <c r="C7254" s="130" t="s">
        <v>8878</v>
      </c>
      <c r="D7254">
        <v>1323</v>
      </c>
      <c r="E7254" s="130">
        <v>1313486</v>
      </c>
      <c r="F7254" t="s">
        <v>87</v>
      </c>
      <c r="G7254">
        <v>78</v>
      </c>
      <c r="H7254" t="s">
        <v>8952</v>
      </c>
      <c r="I7254" s="130">
        <v>10</v>
      </c>
      <c r="J7254" t="s">
        <v>8878</v>
      </c>
      <c r="K7254" t="s">
        <v>108</v>
      </c>
      <c r="L7254" t="s">
        <v>127</v>
      </c>
      <c r="M7254" t="s">
        <v>103</v>
      </c>
      <c r="N7254" t="s">
        <v>118</v>
      </c>
      <c r="O7254" t="s">
        <v>116</v>
      </c>
    </row>
    <row r="7255" spans="1:15" x14ac:dyDescent="0.3">
      <c r="A7255" s="130">
        <v>73115</v>
      </c>
      <c r="B7255" s="130">
        <v>30</v>
      </c>
      <c r="C7255" s="130" t="s">
        <v>8879</v>
      </c>
      <c r="D7255">
        <v>1324</v>
      </c>
      <c r="E7255" s="130">
        <v>71218598</v>
      </c>
      <c r="F7255" t="s">
        <v>87</v>
      </c>
      <c r="G7255">
        <v>78</v>
      </c>
      <c r="H7255" t="s">
        <v>8953</v>
      </c>
      <c r="I7255" s="130">
        <v>10</v>
      </c>
      <c r="J7255" t="s">
        <v>8879</v>
      </c>
      <c r="K7255" t="s">
        <v>108</v>
      </c>
      <c r="L7255" t="s">
        <v>127</v>
      </c>
      <c r="M7255" t="s">
        <v>103</v>
      </c>
      <c r="N7255" t="s">
        <v>118</v>
      </c>
      <c r="O7255" t="s">
        <v>1345</v>
      </c>
    </row>
    <row r="7256" spans="1:15" x14ac:dyDescent="0.3">
      <c r="A7256" s="130">
        <v>73118</v>
      </c>
      <c r="B7256" s="130">
        <v>30</v>
      </c>
      <c r="C7256" s="130" t="s">
        <v>8880</v>
      </c>
      <c r="D7256">
        <v>1443</v>
      </c>
      <c r="E7256" s="130">
        <v>33931478</v>
      </c>
      <c r="F7256" t="s">
        <v>87</v>
      </c>
      <c r="G7256">
        <v>77</v>
      </c>
      <c r="H7256" t="s">
        <v>8951</v>
      </c>
      <c r="I7256" s="130">
        <v>10</v>
      </c>
      <c r="J7256" t="s">
        <v>8880</v>
      </c>
      <c r="K7256" t="s">
        <v>95</v>
      </c>
      <c r="L7256" t="s">
        <v>1255</v>
      </c>
      <c r="M7256" t="s">
        <v>103</v>
      </c>
      <c r="N7256" t="s">
        <v>118</v>
      </c>
      <c r="O7256" t="s">
        <v>1345</v>
      </c>
    </row>
    <row r="7257" spans="1:15" x14ac:dyDescent="0.3">
      <c r="A7257" s="130">
        <v>73123</v>
      </c>
      <c r="B7257" s="130">
        <v>18</v>
      </c>
      <c r="C7257" s="130" t="s">
        <v>8881</v>
      </c>
      <c r="D7257">
        <v>1445</v>
      </c>
      <c r="E7257" s="131">
        <v>72030927</v>
      </c>
      <c r="F7257" t="s">
        <v>87</v>
      </c>
      <c r="G7257">
        <v>78</v>
      </c>
      <c r="H7257" t="s">
        <v>8952</v>
      </c>
      <c r="I7257" s="130">
        <v>24</v>
      </c>
      <c r="J7257" t="s">
        <v>8881</v>
      </c>
      <c r="K7257" t="s">
        <v>95</v>
      </c>
      <c r="L7257" t="s">
        <v>144</v>
      </c>
      <c r="M7257" t="s">
        <v>112</v>
      </c>
      <c r="N7257" t="s">
        <v>98</v>
      </c>
      <c r="O7257" t="s">
        <v>1345</v>
      </c>
    </row>
    <row r="7258" spans="1:15" x14ac:dyDescent="0.3">
      <c r="A7258" s="130">
        <v>73124</v>
      </c>
      <c r="B7258" s="130">
        <v>60</v>
      </c>
      <c r="C7258" s="130" t="s">
        <v>8882</v>
      </c>
      <c r="D7258">
        <v>1325</v>
      </c>
      <c r="E7258" s="131">
        <v>61584223</v>
      </c>
      <c r="F7258" t="s">
        <v>87</v>
      </c>
      <c r="G7258">
        <v>78</v>
      </c>
      <c r="H7258" t="s">
        <v>8953</v>
      </c>
      <c r="I7258" s="131">
        <v>2</v>
      </c>
      <c r="J7258" t="s">
        <v>8882</v>
      </c>
      <c r="K7258" t="s">
        <v>95</v>
      </c>
      <c r="L7258" t="s">
        <v>105</v>
      </c>
      <c r="M7258" t="s">
        <v>97</v>
      </c>
      <c r="N7258" t="s">
        <v>98</v>
      </c>
      <c r="O7258" t="s">
        <v>1345</v>
      </c>
    </row>
    <row r="7259" spans="1:15" x14ac:dyDescent="0.3">
      <c r="A7259" s="130">
        <v>73125</v>
      </c>
      <c r="B7259" s="130">
        <v>0</v>
      </c>
      <c r="C7259" s="130" t="s">
        <v>8883</v>
      </c>
      <c r="D7259">
        <v>1446</v>
      </c>
      <c r="E7259" s="130">
        <v>29631575</v>
      </c>
      <c r="F7259" t="s">
        <v>87</v>
      </c>
      <c r="G7259">
        <v>358</v>
      </c>
      <c r="H7259" t="s">
        <v>8951</v>
      </c>
      <c r="I7259" s="131">
        <v>2</v>
      </c>
      <c r="J7259" t="s">
        <v>8883</v>
      </c>
      <c r="K7259" t="s">
        <v>108</v>
      </c>
      <c r="L7259" t="s">
        <v>111</v>
      </c>
      <c r="M7259" t="s">
        <v>100</v>
      </c>
      <c r="N7259" t="s">
        <v>114</v>
      </c>
      <c r="O7259" t="s">
        <v>1345</v>
      </c>
    </row>
    <row r="7260" spans="1:15" x14ac:dyDescent="0.3">
      <c r="A7260" s="130">
        <v>73126</v>
      </c>
      <c r="B7260" s="130">
        <v>18</v>
      </c>
      <c r="C7260" s="130" t="s">
        <v>8884</v>
      </c>
      <c r="D7260">
        <v>1326</v>
      </c>
      <c r="E7260" s="130">
        <v>1643229</v>
      </c>
      <c r="F7260" t="s">
        <v>87</v>
      </c>
      <c r="G7260">
        <v>78</v>
      </c>
      <c r="H7260" t="s">
        <v>8952</v>
      </c>
      <c r="I7260" s="130">
        <v>38</v>
      </c>
      <c r="J7260" t="s">
        <v>8884</v>
      </c>
      <c r="K7260" t="s">
        <v>108</v>
      </c>
      <c r="L7260" t="s">
        <v>126</v>
      </c>
      <c r="M7260" t="s">
        <v>112</v>
      </c>
      <c r="N7260" t="s">
        <v>114</v>
      </c>
      <c r="O7260" t="s">
        <v>1345</v>
      </c>
    </row>
    <row r="7261" spans="1:15" x14ac:dyDescent="0.3">
      <c r="A7261" s="130">
        <v>73128</v>
      </c>
      <c r="B7261" s="130">
        <v>18</v>
      </c>
      <c r="C7261" s="130" t="s">
        <v>8885</v>
      </c>
      <c r="D7261">
        <v>1327</v>
      </c>
      <c r="E7261" s="130">
        <v>14162225</v>
      </c>
      <c r="F7261" t="s">
        <v>87</v>
      </c>
      <c r="G7261">
        <v>78</v>
      </c>
      <c r="H7261" t="s">
        <v>8953</v>
      </c>
      <c r="I7261" s="130">
        <v>9</v>
      </c>
      <c r="J7261" t="s">
        <v>8885</v>
      </c>
      <c r="K7261" t="s">
        <v>108</v>
      </c>
      <c r="L7261" t="s">
        <v>134</v>
      </c>
      <c r="M7261" t="s">
        <v>112</v>
      </c>
      <c r="N7261" t="s">
        <v>114</v>
      </c>
      <c r="O7261" t="s">
        <v>1345</v>
      </c>
    </row>
    <row r="7262" spans="1:15" x14ac:dyDescent="0.3">
      <c r="A7262" s="130">
        <v>73129</v>
      </c>
      <c r="B7262" s="130">
        <v>30</v>
      </c>
      <c r="C7262" s="130" t="s">
        <v>8886</v>
      </c>
      <c r="D7262">
        <v>1328</v>
      </c>
      <c r="E7262" s="130">
        <v>7134777</v>
      </c>
      <c r="F7262" t="s">
        <v>87</v>
      </c>
      <c r="G7262">
        <v>78</v>
      </c>
      <c r="H7262" t="s">
        <v>8951</v>
      </c>
      <c r="I7262" s="130">
        <v>9</v>
      </c>
      <c r="J7262" t="s">
        <v>8886</v>
      </c>
      <c r="K7262" t="s">
        <v>95</v>
      </c>
      <c r="L7262" t="s">
        <v>134</v>
      </c>
      <c r="M7262" t="s">
        <v>103</v>
      </c>
      <c r="N7262" t="s">
        <v>98</v>
      </c>
      <c r="O7262" t="s">
        <v>1345</v>
      </c>
    </row>
    <row r="7263" spans="1:15" x14ac:dyDescent="0.3">
      <c r="A7263" s="130">
        <v>73130</v>
      </c>
      <c r="B7263" s="130">
        <v>10</v>
      </c>
      <c r="C7263" s="130" t="s">
        <v>8887</v>
      </c>
      <c r="D7263">
        <v>1329</v>
      </c>
      <c r="E7263" s="130">
        <v>17713930</v>
      </c>
      <c r="F7263" t="s">
        <v>87</v>
      </c>
      <c r="G7263">
        <v>358</v>
      </c>
      <c r="H7263" t="s">
        <v>8952</v>
      </c>
      <c r="I7263" s="130">
        <v>19</v>
      </c>
      <c r="J7263" t="s">
        <v>8887</v>
      </c>
      <c r="K7263" t="s">
        <v>108</v>
      </c>
      <c r="L7263" t="s">
        <v>105</v>
      </c>
      <c r="M7263" t="s">
        <v>133</v>
      </c>
      <c r="N7263" t="s">
        <v>101</v>
      </c>
      <c r="O7263" t="s">
        <v>1345</v>
      </c>
    </row>
    <row r="7264" spans="1:15" x14ac:dyDescent="0.3">
      <c r="A7264" s="130">
        <v>73132</v>
      </c>
      <c r="B7264" s="130">
        <v>18</v>
      </c>
      <c r="C7264" s="130" t="s">
        <v>8888</v>
      </c>
      <c r="D7264">
        <v>1447</v>
      </c>
      <c r="E7264" s="130">
        <v>42929315</v>
      </c>
      <c r="F7264" t="s">
        <v>87</v>
      </c>
      <c r="G7264">
        <v>358</v>
      </c>
      <c r="H7264" t="s">
        <v>8953</v>
      </c>
      <c r="I7264" s="130">
        <v>2</v>
      </c>
      <c r="J7264" t="s">
        <v>8888</v>
      </c>
      <c r="K7264" t="s">
        <v>108</v>
      </c>
      <c r="L7264" t="s">
        <v>109</v>
      </c>
      <c r="M7264" t="s">
        <v>112</v>
      </c>
      <c r="N7264" t="s">
        <v>98</v>
      </c>
      <c r="O7264" t="s">
        <v>1345</v>
      </c>
    </row>
    <row r="7265" spans="1:15" x14ac:dyDescent="0.3">
      <c r="A7265" s="130">
        <v>73135</v>
      </c>
      <c r="B7265" s="130">
        <v>30</v>
      </c>
      <c r="C7265" s="130" t="s">
        <v>8889</v>
      </c>
      <c r="D7265">
        <v>1448</v>
      </c>
      <c r="E7265" s="130">
        <v>8928273</v>
      </c>
      <c r="F7265" t="s">
        <v>87</v>
      </c>
      <c r="G7265">
        <v>358</v>
      </c>
      <c r="H7265" t="s">
        <v>8951</v>
      </c>
      <c r="I7265" s="130">
        <v>2</v>
      </c>
      <c r="J7265" t="s">
        <v>8889</v>
      </c>
      <c r="K7265" t="s">
        <v>95</v>
      </c>
      <c r="L7265" t="s">
        <v>105</v>
      </c>
      <c r="M7265" t="s">
        <v>103</v>
      </c>
      <c r="N7265" t="s">
        <v>124</v>
      </c>
      <c r="O7265" t="s">
        <v>1345</v>
      </c>
    </row>
    <row r="7266" spans="1:15" x14ac:dyDescent="0.3">
      <c r="A7266" s="130">
        <v>73136</v>
      </c>
      <c r="B7266" s="130">
        <v>30</v>
      </c>
      <c r="C7266" s="130" t="s">
        <v>8890</v>
      </c>
      <c r="D7266">
        <v>1449</v>
      </c>
      <c r="E7266" s="130">
        <v>8928273</v>
      </c>
      <c r="F7266" t="s">
        <v>87</v>
      </c>
      <c r="G7266">
        <v>358</v>
      </c>
      <c r="H7266" t="s">
        <v>8952</v>
      </c>
      <c r="I7266" s="130">
        <v>2</v>
      </c>
      <c r="J7266" t="s">
        <v>8890</v>
      </c>
      <c r="K7266" t="s">
        <v>95</v>
      </c>
      <c r="L7266" t="s">
        <v>105</v>
      </c>
      <c r="M7266" t="s">
        <v>103</v>
      </c>
      <c r="N7266" t="s">
        <v>124</v>
      </c>
      <c r="O7266" t="s">
        <v>1345</v>
      </c>
    </row>
    <row r="7267" spans="1:15" x14ac:dyDescent="0.3">
      <c r="A7267" s="130">
        <v>73137</v>
      </c>
      <c r="B7267" s="130">
        <v>18</v>
      </c>
      <c r="C7267" s="130" t="s">
        <v>8891</v>
      </c>
      <c r="D7267">
        <v>1450</v>
      </c>
      <c r="E7267" s="130">
        <v>17185786</v>
      </c>
      <c r="F7267" t="s">
        <v>87</v>
      </c>
      <c r="G7267">
        <v>358</v>
      </c>
      <c r="H7267" t="s">
        <v>8953</v>
      </c>
      <c r="I7267" s="131">
        <v>2</v>
      </c>
      <c r="J7267" t="s">
        <v>8891</v>
      </c>
      <c r="K7267" t="s">
        <v>95</v>
      </c>
      <c r="L7267" t="s">
        <v>99</v>
      </c>
      <c r="M7267" t="s">
        <v>112</v>
      </c>
      <c r="N7267" t="s">
        <v>98</v>
      </c>
      <c r="O7267" t="s">
        <v>1345</v>
      </c>
    </row>
    <row r="7268" spans="1:15" x14ac:dyDescent="0.3">
      <c r="A7268" s="130">
        <v>73138</v>
      </c>
      <c r="B7268" s="130">
        <v>90</v>
      </c>
      <c r="C7268" s="130" t="s">
        <v>8892</v>
      </c>
      <c r="D7268">
        <v>1451</v>
      </c>
      <c r="E7268" s="130">
        <v>655209</v>
      </c>
      <c r="F7268" t="s">
        <v>87</v>
      </c>
      <c r="G7268">
        <v>78</v>
      </c>
      <c r="H7268" t="s">
        <v>8951</v>
      </c>
      <c r="I7268" s="131">
        <v>9</v>
      </c>
      <c r="J7268" t="s">
        <v>8892</v>
      </c>
      <c r="K7268" t="s">
        <v>95</v>
      </c>
      <c r="L7268" t="s">
        <v>134</v>
      </c>
      <c r="M7268" t="s">
        <v>170</v>
      </c>
      <c r="N7268" t="s">
        <v>118</v>
      </c>
      <c r="O7268" t="s">
        <v>116</v>
      </c>
    </row>
    <row r="7269" spans="1:15" x14ac:dyDescent="0.3">
      <c r="A7269" s="130">
        <v>73140</v>
      </c>
      <c r="B7269" s="130">
        <v>30</v>
      </c>
      <c r="C7269" s="130" t="s">
        <v>8893</v>
      </c>
      <c r="D7269">
        <v>1330</v>
      </c>
      <c r="E7269" s="131">
        <v>33000167</v>
      </c>
      <c r="F7269" t="s">
        <v>87</v>
      </c>
      <c r="G7269">
        <v>78</v>
      </c>
      <c r="H7269" t="s">
        <v>8952</v>
      </c>
      <c r="I7269" s="131">
        <v>3</v>
      </c>
      <c r="J7269" t="s">
        <v>8893</v>
      </c>
      <c r="K7269" t="s">
        <v>95</v>
      </c>
      <c r="L7269" t="s">
        <v>102</v>
      </c>
      <c r="M7269" t="s">
        <v>103</v>
      </c>
      <c r="N7269" t="s">
        <v>101</v>
      </c>
      <c r="O7269" t="s">
        <v>116</v>
      </c>
    </row>
    <row r="7270" spans="1:15" x14ac:dyDescent="0.3">
      <c r="A7270" s="130">
        <v>73152</v>
      </c>
      <c r="B7270" s="130">
        <v>18</v>
      </c>
      <c r="C7270" s="130" t="s">
        <v>8894</v>
      </c>
      <c r="D7270">
        <v>1452</v>
      </c>
      <c r="E7270" s="130">
        <v>7134777</v>
      </c>
      <c r="F7270" t="s">
        <v>87</v>
      </c>
      <c r="G7270">
        <v>78</v>
      </c>
      <c r="H7270" t="s">
        <v>8953</v>
      </c>
      <c r="I7270" s="130">
        <v>10</v>
      </c>
      <c r="J7270" t="s">
        <v>8894</v>
      </c>
      <c r="K7270" t="s">
        <v>108</v>
      </c>
      <c r="L7270" t="s">
        <v>127</v>
      </c>
      <c r="M7270" t="s">
        <v>112</v>
      </c>
      <c r="N7270" t="s">
        <v>118</v>
      </c>
      <c r="O7270" t="s">
        <v>1345</v>
      </c>
    </row>
    <row r="7271" spans="1:15" x14ac:dyDescent="0.3">
      <c r="A7271" s="130">
        <v>73153</v>
      </c>
      <c r="B7271" s="130">
        <v>18</v>
      </c>
      <c r="C7271" s="130" t="s">
        <v>8895</v>
      </c>
      <c r="D7271">
        <v>1453</v>
      </c>
      <c r="E7271" s="131">
        <v>36561742</v>
      </c>
      <c r="F7271" t="s">
        <v>87</v>
      </c>
      <c r="G7271">
        <v>358</v>
      </c>
      <c r="H7271" t="s">
        <v>8951</v>
      </c>
      <c r="I7271" s="130">
        <v>2</v>
      </c>
      <c r="J7271" t="s">
        <v>8895</v>
      </c>
      <c r="K7271" t="s">
        <v>108</v>
      </c>
      <c r="L7271" t="s">
        <v>140</v>
      </c>
      <c r="M7271" t="s">
        <v>112</v>
      </c>
      <c r="N7271" t="s">
        <v>150</v>
      </c>
      <c r="O7271" t="s">
        <v>1345</v>
      </c>
    </row>
    <row r="7272" spans="1:15" x14ac:dyDescent="0.3">
      <c r="A7272" s="130">
        <v>73154</v>
      </c>
      <c r="B7272" s="130">
        <v>18</v>
      </c>
      <c r="C7272" s="130" t="s">
        <v>8896</v>
      </c>
      <c r="D7272">
        <v>1331</v>
      </c>
      <c r="E7272" s="131">
        <v>7134777</v>
      </c>
      <c r="F7272" t="s">
        <v>87</v>
      </c>
      <c r="G7272">
        <v>78</v>
      </c>
      <c r="H7272" t="s">
        <v>8952</v>
      </c>
      <c r="I7272" s="130">
        <v>10</v>
      </c>
      <c r="J7272" t="s">
        <v>8896</v>
      </c>
      <c r="K7272" t="s">
        <v>108</v>
      </c>
      <c r="L7272" t="s">
        <v>127</v>
      </c>
      <c r="M7272" t="s">
        <v>112</v>
      </c>
      <c r="N7272" t="s">
        <v>98</v>
      </c>
      <c r="O7272" t="s">
        <v>1345</v>
      </c>
    </row>
    <row r="7273" spans="1:15" x14ac:dyDescent="0.3">
      <c r="A7273" s="130">
        <v>73155</v>
      </c>
      <c r="B7273" s="130">
        <v>18</v>
      </c>
      <c r="C7273" s="130" t="s">
        <v>8897</v>
      </c>
      <c r="D7273">
        <v>1454</v>
      </c>
      <c r="E7273" s="130">
        <v>4323643</v>
      </c>
      <c r="F7273" t="s">
        <v>87</v>
      </c>
      <c r="G7273">
        <v>358</v>
      </c>
      <c r="H7273" t="s">
        <v>8953</v>
      </c>
      <c r="I7273" s="130">
        <v>2</v>
      </c>
      <c r="J7273" t="s">
        <v>8897</v>
      </c>
      <c r="K7273" t="s">
        <v>108</v>
      </c>
      <c r="L7273" t="s">
        <v>99</v>
      </c>
      <c r="M7273" t="s">
        <v>112</v>
      </c>
      <c r="N7273" t="s">
        <v>114</v>
      </c>
      <c r="O7273" t="s">
        <v>1345</v>
      </c>
    </row>
    <row r="7274" spans="1:15" x14ac:dyDescent="0.3">
      <c r="A7274" s="130">
        <v>73156</v>
      </c>
      <c r="B7274" s="130">
        <v>30</v>
      </c>
      <c r="C7274" s="130" t="s">
        <v>8898</v>
      </c>
      <c r="D7274">
        <v>1332</v>
      </c>
      <c r="E7274" s="130">
        <v>31790710</v>
      </c>
      <c r="F7274" t="s">
        <v>87</v>
      </c>
      <c r="G7274">
        <v>78</v>
      </c>
      <c r="H7274" t="s">
        <v>8951</v>
      </c>
      <c r="I7274" s="130">
        <v>18</v>
      </c>
      <c r="J7274" t="s">
        <v>8898</v>
      </c>
      <c r="K7274" t="s">
        <v>108</v>
      </c>
      <c r="L7274" t="s">
        <v>123</v>
      </c>
      <c r="M7274" t="s">
        <v>103</v>
      </c>
      <c r="N7274" t="s">
        <v>114</v>
      </c>
      <c r="O7274" t="s">
        <v>1345</v>
      </c>
    </row>
    <row r="7275" spans="1:15" x14ac:dyDescent="0.3">
      <c r="A7275" s="130">
        <v>73157</v>
      </c>
      <c r="B7275" s="130">
        <v>18</v>
      </c>
      <c r="C7275" s="130" t="s">
        <v>8899</v>
      </c>
      <c r="D7275">
        <v>1333</v>
      </c>
      <c r="E7275" s="130">
        <v>11860729</v>
      </c>
      <c r="F7275" t="s">
        <v>87</v>
      </c>
      <c r="G7275">
        <v>78</v>
      </c>
      <c r="H7275" t="s">
        <v>8952</v>
      </c>
      <c r="I7275" s="130">
        <v>10</v>
      </c>
      <c r="J7275" t="s">
        <v>8899</v>
      </c>
      <c r="K7275" t="s">
        <v>95</v>
      </c>
      <c r="L7275" t="s">
        <v>127</v>
      </c>
      <c r="M7275" t="s">
        <v>112</v>
      </c>
      <c r="N7275" t="s">
        <v>122</v>
      </c>
      <c r="O7275" t="s">
        <v>1345</v>
      </c>
    </row>
    <row r="7276" spans="1:15" x14ac:dyDescent="0.3">
      <c r="A7276" s="130">
        <v>73158</v>
      </c>
      <c r="B7276" s="130">
        <v>30</v>
      </c>
      <c r="C7276" s="130" t="s">
        <v>8900</v>
      </c>
      <c r="D7276">
        <v>1455</v>
      </c>
      <c r="E7276" s="130">
        <v>34151100</v>
      </c>
      <c r="F7276" t="s">
        <v>87</v>
      </c>
      <c r="G7276">
        <v>78</v>
      </c>
      <c r="H7276" t="s">
        <v>8953</v>
      </c>
      <c r="I7276" s="130">
        <v>10</v>
      </c>
      <c r="J7276" t="s">
        <v>8900</v>
      </c>
      <c r="K7276" t="s">
        <v>95</v>
      </c>
      <c r="L7276" t="s">
        <v>127</v>
      </c>
      <c r="M7276" t="s">
        <v>103</v>
      </c>
      <c r="N7276" t="s">
        <v>118</v>
      </c>
      <c r="O7276" t="s">
        <v>1345</v>
      </c>
    </row>
    <row r="7277" spans="1:15" x14ac:dyDescent="0.3">
      <c r="A7277" s="130">
        <v>73161</v>
      </c>
      <c r="B7277" s="130">
        <v>45</v>
      </c>
      <c r="C7277" s="130" t="s">
        <v>8901</v>
      </c>
      <c r="D7277">
        <v>1334</v>
      </c>
      <c r="E7277" s="130">
        <v>3130160</v>
      </c>
      <c r="F7277" t="s">
        <v>87</v>
      </c>
      <c r="G7277">
        <v>78</v>
      </c>
      <c r="H7277" t="s">
        <v>8951</v>
      </c>
      <c r="I7277" s="130">
        <v>10</v>
      </c>
      <c r="J7277" t="s">
        <v>8901</v>
      </c>
      <c r="K7277" t="s">
        <v>95</v>
      </c>
      <c r="L7277" t="s">
        <v>96</v>
      </c>
      <c r="M7277" t="s">
        <v>106</v>
      </c>
      <c r="N7277" t="s">
        <v>98</v>
      </c>
      <c r="O7277" t="s">
        <v>1345</v>
      </c>
    </row>
    <row r="7278" spans="1:15" x14ac:dyDescent="0.3">
      <c r="A7278" s="130">
        <v>73162</v>
      </c>
      <c r="B7278" s="130">
        <v>45</v>
      </c>
      <c r="C7278" s="130" t="s">
        <v>8902</v>
      </c>
      <c r="D7278">
        <v>1335</v>
      </c>
      <c r="E7278" s="130">
        <v>3130160</v>
      </c>
      <c r="F7278" t="s">
        <v>87</v>
      </c>
      <c r="G7278">
        <v>78</v>
      </c>
      <c r="H7278" t="s">
        <v>8952</v>
      </c>
      <c r="I7278" s="131">
        <v>10</v>
      </c>
      <c r="J7278" t="s">
        <v>8902</v>
      </c>
      <c r="K7278" t="s">
        <v>95</v>
      </c>
      <c r="L7278" t="s">
        <v>96</v>
      </c>
      <c r="M7278" t="s">
        <v>106</v>
      </c>
      <c r="N7278" t="s">
        <v>98</v>
      </c>
      <c r="O7278" t="s">
        <v>1345</v>
      </c>
    </row>
    <row r="7279" spans="1:15" x14ac:dyDescent="0.3">
      <c r="A7279" s="130">
        <v>73164</v>
      </c>
      <c r="B7279" s="130">
        <v>45</v>
      </c>
      <c r="C7279" s="130" t="s">
        <v>8903</v>
      </c>
      <c r="D7279">
        <v>1336</v>
      </c>
      <c r="E7279" s="130">
        <v>3130160</v>
      </c>
      <c r="F7279" t="s">
        <v>87</v>
      </c>
      <c r="G7279">
        <v>78</v>
      </c>
      <c r="H7279" t="s">
        <v>8953</v>
      </c>
      <c r="I7279" s="130">
        <v>10</v>
      </c>
      <c r="J7279" t="s">
        <v>8903</v>
      </c>
      <c r="K7279" t="s">
        <v>95</v>
      </c>
      <c r="L7279" t="s">
        <v>96</v>
      </c>
      <c r="M7279" t="s">
        <v>106</v>
      </c>
      <c r="N7279" t="s">
        <v>98</v>
      </c>
      <c r="O7279" t="s">
        <v>1345</v>
      </c>
    </row>
    <row r="7280" spans="1:15" x14ac:dyDescent="0.3">
      <c r="A7280" s="130">
        <v>73165</v>
      </c>
      <c r="B7280" s="130">
        <v>45</v>
      </c>
      <c r="C7280" s="130" t="s">
        <v>8904</v>
      </c>
      <c r="D7280">
        <v>1337</v>
      </c>
      <c r="E7280" s="130">
        <v>3130160</v>
      </c>
      <c r="F7280" t="s">
        <v>87</v>
      </c>
      <c r="G7280">
        <v>78</v>
      </c>
      <c r="H7280" t="s">
        <v>8951</v>
      </c>
      <c r="I7280" s="131">
        <v>10</v>
      </c>
      <c r="J7280" t="s">
        <v>8904</v>
      </c>
      <c r="K7280" t="s">
        <v>95</v>
      </c>
      <c r="L7280" t="s">
        <v>96</v>
      </c>
      <c r="M7280" t="s">
        <v>106</v>
      </c>
      <c r="N7280" t="s">
        <v>98</v>
      </c>
      <c r="O7280" t="s">
        <v>1345</v>
      </c>
    </row>
    <row r="7281" spans="1:15" x14ac:dyDescent="0.3">
      <c r="A7281" s="130">
        <v>73167</v>
      </c>
      <c r="B7281" s="130">
        <v>30</v>
      </c>
      <c r="C7281" s="130" t="s">
        <v>8905</v>
      </c>
      <c r="D7281">
        <v>1457</v>
      </c>
      <c r="E7281" s="130">
        <v>5451496</v>
      </c>
      <c r="F7281" t="s">
        <v>87</v>
      </c>
      <c r="G7281">
        <v>358</v>
      </c>
      <c r="H7281" t="s">
        <v>8952</v>
      </c>
      <c r="I7281" s="131">
        <v>2</v>
      </c>
      <c r="J7281" t="s">
        <v>8905</v>
      </c>
      <c r="K7281" t="s">
        <v>95</v>
      </c>
      <c r="L7281" t="s">
        <v>111</v>
      </c>
      <c r="M7281" t="s">
        <v>103</v>
      </c>
      <c r="N7281" t="s">
        <v>98</v>
      </c>
      <c r="O7281" t="s">
        <v>1345</v>
      </c>
    </row>
    <row r="7282" spans="1:15" x14ac:dyDescent="0.3">
      <c r="A7282" s="130">
        <v>73170</v>
      </c>
      <c r="B7282" s="130">
        <v>30</v>
      </c>
      <c r="C7282" s="130" t="s">
        <v>8906</v>
      </c>
      <c r="D7282">
        <v>1458</v>
      </c>
      <c r="E7282" s="131">
        <v>83646547</v>
      </c>
      <c r="F7282" t="s">
        <v>87</v>
      </c>
      <c r="G7282">
        <v>358</v>
      </c>
      <c r="H7282" t="s">
        <v>8953</v>
      </c>
      <c r="I7282" s="130">
        <v>10</v>
      </c>
      <c r="J7282" t="s">
        <v>8906</v>
      </c>
      <c r="K7282" t="s">
        <v>95</v>
      </c>
      <c r="L7282" t="s">
        <v>105</v>
      </c>
      <c r="M7282" t="s">
        <v>103</v>
      </c>
      <c r="N7282" t="s">
        <v>114</v>
      </c>
      <c r="O7282" t="s">
        <v>1345</v>
      </c>
    </row>
    <row r="7283" spans="1:15" x14ac:dyDescent="0.3">
      <c r="A7283" s="130">
        <v>73171</v>
      </c>
      <c r="B7283" s="130">
        <v>18</v>
      </c>
      <c r="C7283" s="130" t="s">
        <v>8907</v>
      </c>
      <c r="D7283">
        <v>1338</v>
      </c>
      <c r="E7283" s="131">
        <v>507949</v>
      </c>
      <c r="F7283" t="s">
        <v>87</v>
      </c>
      <c r="G7283">
        <v>78</v>
      </c>
      <c r="H7283" t="s">
        <v>8951</v>
      </c>
      <c r="I7283" s="131">
        <v>9</v>
      </c>
      <c r="J7283" t="s">
        <v>8907</v>
      </c>
      <c r="K7283" t="s">
        <v>95</v>
      </c>
      <c r="L7283" t="s">
        <v>134</v>
      </c>
      <c r="M7283" t="s">
        <v>112</v>
      </c>
      <c r="N7283" t="s">
        <v>98</v>
      </c>
      <c r="O7283" t="s">
        <v>1345</v>
      </c>
    </row>
    <row r="7284" spans="1:15" x14ac:dyDescent="0.3">
      <c r="A7284" s="130">
        <v>73173</v>
      </c>
      <c r="B7284" s="130">
        <v>18</v>
      </c>
      <c r="C7284" s="130" t="s">
        <v>8908</v>
      </c>
      <c r="D7284">
        <v>1339</v>
      </c>
      <c r="E7284" s="130">
        <v>59225698</v>
      </c>
      <c r="F7284" t="s">
        <v>87</v>
      </c>
      <c r="G7284">
        <v>78</v>
      </c>
      <c r="H7284" t="s">
        <v>8952</v>
      </c>
      <c r="I7284" s="130">
        <v>18</v>
      </c>
      <c r="J7284" t="s">
        <v>8908</v>
      </c>
      <c r="K7284" t="s">
        <v>108</v>
      </c>
      <c r="L7284" t="s">
        <v>123</v>
      </c>
      <c r="M7284" t="s">
        <v>112</v>
      </c>
      <c r="N7284" t="s">
        <v>98</v>
      </c>
      <c r="O7284" t="s">
        <v>1345</v>
      </c>
    </row>
    <row r="7285" spans="1:15" x14ac:dyDescent="0.3">
      <c r="A7285" s="130">
        <v>73174</v>
      </c>
      <c r="B7285" s="130">
        <v>30</v>
      </c>
      <c r="C7285" s="130" t="s">
        <v>8909</v>
      </c>
      <c r="D7285">
        <v>1459</v>
      </c>
      <c r="E7285" s="131">
        <v>41857780</v>
      </c>
      <c r="F7285" t="s">
        <v>87</v>
      </c>
      <c r="G7285">
        <v>78</v>
      </c>
      <c r="H7285" t="s">
        <v>8953</v>
      </c>
      <c r="I7285" s="131">
        <v>10</v>
      </c>
      <c r="J7285" t="s">
        <v>8909</v>
      </c>
      <c r="K7285" t="s">
        <v>95</v>
      </c>
      <c r="L7285" t="s">
        <v>127</v>
      </c>
      <c r="M7285" t="s">
        <v>103</v>
      </c>
      <c r="N7285" t="s">
        <v>118</v>
      </c>
      <c r="O7285" t="s">
        <v>1345</v>
      </c>
    </row>
    <row r="7286" spans="1:15" x14ac:dyDescent="0.3">
      <c r="A7286" s="130">
        <v>73175</v>
      </c>
      <c r="B7286" s="130">
        <v>30</v>
      </c>
      <c r="C7286" s="130" t="s">
        <v>8910</v>
      </c>
      <c r="D7286">
        <v>1340</v>
      </c>
      <c r="E7286" s="130">
        <v>82502196</v>
      </c>
      <c r="F7286" t="s">
        <v>87</v>
      </c>
      <c r="G7286">
        <v>78</v>
      </c>
      <c r="H7286" t="s">
        <v>8951</v>
      </c>
      <c r="I7286" s="131">
        <v>10</v>
      </c>
      <c r="J7286" t="s">
        <v>8910</v>
      </c>
      <c r="K7286" t="s">
        <v>95</v>
      </c>
      <c r="L7286" t="s">
        <v>127</v>
      </c>
      <c r="M7286" t="s">
        <v>103</v>
      </c>
      <c r="N7286" t="s">
        <v>118</v>
      </c>
      <c r="O7286" t="s">
        <v>1345</v>
      </c>
    </row>
    <row r="7287" spans="1:15" x14ac:dyDescent="0.3">
      <c r="A7287" s="130">
        <v>73177</v>
      </c>
      <c r="B7287" s="130">
        <v>18</v>
      </c>
      <c r="C7287" s="130" t="s">
        <v>8911</v>
      </c>
      <c r="D7287">
        <v>1341</v>
      </c>
      <c r="E7287" s="130">
        <v>17168907</v>
      </c>
      <c r="F7287" t="s">
        <v>87</v>
      </c>
      <c r="G7287">
        <v>358</v>
      </c>
      <c r="H7287" t="s">
        <v>8952</v>
      </c>
      <c r="I7287" s="131">
        <v>26</v>
      </c>
      <c r="J7287" t="s">
        <v>8911</v>
      </c>
      <c r="K7287" t="s">
        <v>108</v>
      </c>
      <c r="L7287" t="s">
        <v>109</v>
      </c>
      <c r="M7287" t="s">
        <v>112</v>
      </c>
      <c r="N7287" t="s">
        <v>98</v>
      </c>
      <c r="O7287" t="s">
        <v>1345</v>
      </c>
    </row>
    <row r="7288" spans="1:15" x14ac:dyDescent="0.3">
      <c r="A7288" s="130">
        <v>73178</v>
      </c>
      <c r="B7288" s="130">
        <v>18</v>
      </c>
      <c r="C7288" s="130" t="s">
        <v>8912</v>
      </c>
      <c r="D7288">
        <v>1342</v>
      </c>
      <c r="E7288" s="130">
        <v>17168907</v>
      </c>
      <c r="F7288" t="s">
        <v>87</v>
      </c>
      <c r="G7288">
        <v>358</v>
      </c>
      <c r="H7288" t="s">
        <v>8953</v>
      </c>
      <c r="I7288" s="131">
        <v>18</v>
      </c>
      <c r="J7288" t="s">
        <v>8912</v>
      </c>
      <c r="K7288" t="s">
        <v>108</v>
      </c>
      <c r="L7288" t="s">
        <v>109</v>
      </c>
      <c r="M7288" t="s">
        <v>112</v>
      </c>
      <c r="N7288" t="s">
        <v>98</v>
      </c>
      <c r="O7288" t="s">
        <v>1345</v>
      </c>
    </row>
    <row r="7289" spans="1:15" x14ac:dyDescent="0.3">
      <c r="A7289" s="130">
        <v>73180</v>
      </c>
      <c r="B7289" s="130">
        <v>-1</v>
      </c>
      <c r="C7289" s="130" t="s">
        <v>8913</v>
      </c>
      <c r="D7289">
        <v>1343</v>
      </c>
      <c r="E7289" s="131">
        <v>38187163</v>
      </c>
      <c r="F7289" t="s">
        <v>87</v>
      </c>
      <c r="G7289">
        <v>78</v>
      </c>
      <c r="H7289" t="s">
        <v>8951</v>
      </c>
      <c r="I7289" s="131">
        <v>10</v>
      </c>
      <c r="J7289" t="s">
        <v>8913</v>
      </c>
      <c r="K7289" t="s">
        <v>108</v>
      </c>
      <c r="L7289" t="s">
        <v>127</v>
      </c>
      <c r="M7289" t="s">
        <v>174</v>
      </c>
      <c r="N7289" t="s">
        <v>118</v>
      </c>
      <c r="O7289" t="s">
        <v>1345</v>
      </c>
    </row>
    <row r="7290" spans="1:15" x14ac:dyDescent="0.3">
      <c r="A7290" s="130">
        <v>73181</v>
      </c>
      <c r="B7290" s="130">
        <v>-1</v>
      </c>
      <c r="C7290" s="130" t="s">
        <v>8914</v>
      </c>
      <c r="D7290">
        <v>1460</v>
      </c>
      <c r="E7290" s="130">
        <v>89637490</v>
      </c>
      <c r="F7290" t="s">
        <v>87</v>
      </c>
      <c r="G7290">
        <v>337</v>
      </c>
      <c r="H7290" t="s">
        <v>8952</v>
      </c>
      <c r="I7290" s="130">
        <v>24</v>
      </c>
      <c r="J7290" t="s">
        <v>8914</v>
      </c>
      <c r="K7290" t="s">
        <v>95</v>
      </c>
      <c r="L7290" t="s">
        <v>144</v>
      </c>
      <c r="M7290" t="s">
        <v>174</v>
      </c>
      <c r="N7290" t="s">
        <v>114</v>
      </c>
      <c r="O7290" t="s">
        <v>1345</v>
      </c>
    </row>
    <row r="7291" spans="1:15" x14ac:dyDescent="0.3">
      <c r="A7291" s="130">
        <v>73183</v>
      </c>
      <c r="B7291" s="130">
        <v>30</v>
      </c>
      <c r="C7291" s="130" t="s">
        <v>8915</v>
      </c>
      <c r="D7291">
        <v>1344</v>
      </c>
      <c r="E7291" s="131">
        <v>17155391</v>
      </c>
      <c r="F7291" t="s">
        <v>87</v>
      </c>
      <c r="G7291">
        <v>78</v>
      </c>
      <c r="H7291" t="s">
        <v>8953</v>
      </c>
      <c r="I7291" s="130">
        <v>10</v>
      </c>
      <c r="J7291" t="s">
        <v>8915</v>
      </c>
      <c r="K7291" t="s">
        <v>95</v>
      </c>
      <c r="L7291" t="s">
        <v>127</v>
      </c>
      <c r="M7291" t="s">
        <v>103</v>
      </c>
      <c r="N7291" t="s">
        <v>98</v>
      </c>
      <c r="O7291" t="s">
        <v>1345</v>
      </c>
    </row>
    <row r="7292" spans="1:15" x14ac:dyDescent="0.3">
      <c r="A7292" s="130">
        <v>73188</v>
      </c>
      <c r="B7292" s="130">
        <v>30</v>
      </c>
      <c r="C7292" s="130" t="s">
        <v>8916</v>
      </c>
      <c r="D7292">
        <v>1461</v>
      </c>
      <c r="E7292" s="130">
        <v>4980542</v>
      </c>
      <c r="F7292" t="s">
        <v>87</v>
      </c>
      <c r="G7292">
        <v>358</v>
      </c>
      <c r="H7292" t="s">
        <v>8951</v>
      </c>
      <c r="I7292" s="131">
        <v>2</v>
      </c>
      <c r="J7292" t="s">
        <v>8916</v>
      </c>
      <c r="K7292" t="s">
        <v>108</v>
      </c>
      <c r="L7292" t="s">
        <v>109</v>
      </c>
      <c r="M7292" t="s">
        <v>103</v>
      </c>
      <c r="N7292" t="s">
        <v>98</v>
      </c>
      <c r="O7292" t="s">
        <v>1345</v>
      </c>
    </row>
    <row r="7293" spans="1:15" x14ac:dyDescent="0.3">
      <c r="A7293" s="130">
        <v>73189</v>
      </c>
      <c r="B7293" s="130">
        <v>60</v>
      </c>
      <c r="C7293" s="130" t="s">
        <v>8917</v>
      </c>
      <c r="D7293">
        <v>1462</v>
      </c>
      <c r="E7293" s="130">
        <v>60498706</v>
      </c>
      <c r="F7293" t="s">
        <v>87</v>
      </c>
      <c r="G7293">
        <v>78</v>
      </c>
      <c r="H7293" t="s">
        <v>8952</v>
      </c>
      <c r="I7293" s="131">
        <v>24</v>
      </c>
      <c r="J7293" t="s">
        <v>8917</v>
      </c>
      <c r="K7293" t="s">
        <v>95</v>
      </c>
      <c r="L7293" t="s">
        <v>144</v>
      </c>
      <c r="M7293" t="s">
        <v>97</v>
      </c>
      <c r="N7293" t="s">
        <v>114</v>
      </c>
      <c r="O7293" t="s">
        <v>1345</v>
      </c>
    </row>
    <row r="7294" spans="1:15" x14ac:dyDescent="0.3">
      <c r="A7294" s="130">
        <v>73190</v>
      </c>
      <c r="B7294" s="130">
        <v>60</v>
      </c>
      <c r="C7294" s="130" t="s">
        <v>8918</v>
      </c>
      <c r="D7294">
        <v>1463</v>
      </c>
      <c r="E7294" s="130">
        <v>33592510</v>
      </c>
      <c r="F7294" t="s">
        <v>87</v>
      </c>
      <c r="G7294">
        <v>77</v>
      </c>
      <c r="H7294" t="s">
        <v>8953</v>
      </c>
      <c r="I7294" s="131">
        <v>2</v>
      </c>
      <c r="J7294" t="s">
        <v>8918</v>
      </c>
      <c r="K7294" t="s">
        <v>95</v>
      </c>
      <c r="L7294" t="s">
        <v>117</v>
      </c>
      <c r="M7294" t="s">
        <v>97</v>
      </c>
      <c r="N7294" t="s">
        <v>118</v>
      </c>
      <c r="O7294" t="s">
        <v>1345</v>
      </c>
    </row>
    <row r="7295" spans="1:15" x14ac:dyDescent="0.3">
      <c r="A7295" s="130">
        <v>73191</v>
      </c>
      <c r="B7295" s="130">
        <v>18</v>
      </c>
      <c r="C7295" s="130" t="s">
        <v>8919</v>
      </c>
      <c r="D7295">
        <v>1345</v>
      </c>
      <c r="E7295" s="131">
        <v>16939417</v>
      </c>
      <c r="F7295" t="s">
        <v>87</v>
      </c>
      <c r="G7295">
        <v>78</v>
      </c>
      <c r="H7295" t="s">
        <v>8951</v>
      </c>
      <c r="I7295" s="130">
        <v>38</v>
      </c>
      <c r="J7295" t="s">
        <v>8919</v>
      </c>
      <c r="K7295" t="s">
        <v>108</v>
      </c>
      <c r="L7295" t="s">
        <v>126</v>
      </c>
      <c r="M7295" t="s">
        <v>112</v>
      </c>
      <c r="N7295" t="s">
        <v>101</v>
      </c>
      <c r="O7295" t="s">
        <v>1345</v>
      </c>
    </row>
    <row r="7296" spans="1:15" x14ac:dyDescent="0.3">
      <c r="A7296" s="130">
        <v>73192</v>
      </c>
      <c r="B7296" s="130">
        <v>30</v>
      </c>
      <c r="C7296" s="130" t="s">
        <v>8920</v>
      </c>
      <c r="D7296">
        <v>1464</v>
      </c>
      <c r="E7296" s="130">
        <v>1313486</v>
      </c>
      <c r="F7296" t="s">
        <v>87</v>
      </c>
      <c r="G7296">
        <v>78</v>
      </c>
      <c r="H7296" t="s">
        <v>8952</v>
      </c>
      <c r="I7296" s="130">
        <v>10</v>
      </c>
      <c r="J7296" t="s">
        <v>8920</v>
      </c>
      <c r="K7296" t="s">
        <v>108</v>
      </c>
      <c r="L7296" t="s">
        <v>127</v>
      </c>
      <c r="M7296" t="s">
        <v>103</v>
      </c>
      <c r="N7296" t="s">
        <v>118</v>
      </c>
      <c r="O7296" t="s">
        <v>116</v>
      </c>
    </row>
    <row r="7297" spans="1:15" x14ac:dyDescent="0.3">
      <c r="A7297" s="130">
        <v>73193</v>
      </c>
      <c r="B7297" s="130">
        <v>15</v>
      </c>
      <c r="C7297" s="130" t="s">
        <v>8921</v>
      </c>
      <c r="D7297">
        <v>1465</v>
      </c>
      <c r="E7297" s="130">
        <v>37227676</v>
      </c>
      <c r="F7297" t="s">
        <v>87</v>
      </c>
      <c r="G7297">
        <v>78</v>
      </c>
      <c r="H7297" t="s">
        <v>8953</v>
      </c>
      <c r="I7297" s="130">
        <v>24</v>
      </c>
      <c r="J7297" t="s">
        <v>8921</v>
      </c>
      <c r="K7297" t="s">
        <v>95</v>
      </c>
      <c r="L7297" t="s">
        <v>138</v>
      </c>
      <c r="M7297" t="s">
        <v>145</v>
      </c>
      <c r="N7297" t="s">
        <v>98</v>
      </c>
      <c r="O7297" t="s">
        <v>1345</v>
      </c>
    </row>
    <row r="7298" spans="1:15" x14ac:dyDescent="0.3">
      <c r="A7298" s="130">
        <v>73195</v>
      </c>
      <c r="B7298" s="130">
        <v>30</v>
      </c>
      <c r="C7298" s="130" t="s">
        <v>8922</v>
      </c>
      <c r="D7298">
        <v>1466</v>
      </c>
      <c r="E7298" s="130">
        <v>15063096</v>
      </c>
      <c r="F7298" t="s">
        <v>87</v>
      </c>
      <c r="G7298">
        <v>78</v>
      </c>
      <c r="H7298" t="s">
        <v>8951</v>
      </c>
      <c r="I7298" s="130">
        <v>10</v>
      </c>
      <c r="J7298" t="s">
        <v>8922</v>
      </c>
      <c r="K7298" t="s">
        <v>95</v>
      </c>
      <c r="L7298" t="s">
        <v>127</v>
      </c>
      <c r="M7298" t="s">
        <v>103</v>
      </c>
      <c r="N7298" t="s">
        <v>118</v>
      </c>
      <c r="O7298" t="s">
        <v>1345</v>
      </c>
    </row>
    <row r="7299" spans="1:15" x14ac:dyDescent="0.3">
      <c r="A7299" s="130">
        <v>73199</v>
      </c>
      <c r="B7299" s="130">
        <v>10</v>
      </c>
      <c r="C7299" s="130" t="s">
        <v>8923</v>
      </c>
      <c r="D7299">
        <v>1467</v>
      </c>
      <c r="E7299" s="130">
        <v>22314723</v>
      </c>
      <c r="F7299" t="s">
        <v>87</v>
      </c>
      <c r="G7299">
        <v>358</v>
      </c>
      <c r="H7299" t="s">
        <v>8952</v>
      </c>
      <c r="I7299" s="130">
        <v>19</v>
      </c>
      <c r="J7299" t="s">
        <v>8923</v>
      </c>
      <c r="K7299" t="s">
        <v>95</v>
      </c>
      <c r="L7299" t="s">
        <v>1249</v>
      </c>
      <c r="M7299" t="s">
        <v>133</v>
      </c>
      <c r="N7299" t="s">
        <v>98</v>
      </c>
      <c r="O7299" t="s">
        <v>1345</v>
      </c>
    </row>
    <row r="7300" spans="1:15" x14ac:dyDescent="0.3">
      <c r="A7300" s="130">
        <v>73200</v>
      </c>
      <c r="B7300" s="130">
        <v>18</v>
      </c>
      <c r="C7300" s="130" t="s">
        <v>8924</v>
      </c>
      <c r="D7300">
        <v>1468</v>
      </c>
      <c r="E7300" s="130">
        <v>13623957</v>
      </c>
      <c r="F7300" t="s">
        <v>87</v>
      </c>
      <c r="G7300">
        <v>358</v>
      </c>
      <c r="H7300" t="s">
        <v>8953</v>
      </c>
      <c r="I7300" s="130">
        <v>2</v>
      </c>
      <c r="J7300" t="s">
        <v>8924</v>
      </c>
      <c r="K7300" t="s">
        <v>95</v>
      </c>
      <c r="L7300" t="s">
        <v>111</v>
      </c>
      <c r="M7300" t="s">
        <v>112</v>
      </c>
      <c r="N7300" t="s">
        <v>98</v>
      </c>
      <c r="O7300" t="s">
        <v>1345</v>
      </c>
    </row>
    <row r="7301" spans="1:15" x14ac:dyDescent="0.3">
      <c r="A7301" s="130">
        <v>73202</v>
      </c>
      <c r="B7301" s="130">
        <v>30</v>
      </c>
      <c r="C7301" s="130" t="s">
        <v>8925</v>
      </c>
      <c r="D7301">
        <v>1470</v>
      </c>
      <c r="E7301" s="130">
        <v>19235340</v>
      </c>
      <c r="F7301" t="s">
        <v>87</v>
      </c>
      <c r="G7301">
        <v>78</v>
      </c>
      <c r="H7301" t="s">
        <v>8951</v>
      </c>
      <c r="I7301" s="130">
        <v>9</v>
      </c>
      <c r="J7301" t="s">
        <v>8925</v>
      </c>
      <c r="K7301" t="s">
        <v>95</v>
      </c>
      <c r="L7301" t="s">
        <v>96</v>
      </c>
      <c r="M7301" t="s">
        <v>103</v>
      </c>
      <c r="N7301" t="s">
        <v>98</v>
      </c>
      <c r="O7301" t="s">
        <v>1345</v>
      </c>
    </row>
    <row r="7302" spans="1:15" x14ac:dyDescent="0.3">
      <c r="A7302" s="130">
        <v>73203</v>
      </c>
      <c r="B7302" s="130">
        <v>30</v>
      </c>
      <c r="C7302" s="130" t="s">
        <v>8926</v>
      </c>
      <c r="D7302">
        <v>1471</v>
      </c>
      <c r="E7302" s="130">
        <v>19235340</v>
      </c>
      <c r="F7302" t="s">
        <v>87</v>
      </c>
      <c r="G7302">
        <v>78</v>
      </c>
      <c r="H7302" t="s">
        <v>8952</v>
      </c>
      <c r="I7302" s="130">
        <v>9</v>
      </c>
      <c r="J7302" t="s">
        <v>8926</v>
      </c>
      <c r="K7302" t="s">
        <v>95</v>
      </c>
      <c r="L7302" t="s">
        <v>105</v>
      </c>
      <c r="M7302" t="s">
        <v>103</v>
      </c>
      <c r="N7302" t="s">
        <v>98</v>
      </c>
      <c r="O7302" t="s">
        <v>116</v>
      </c>
    </row>
    <row r="7303" spans="1:15" x14ac:dyDescent="0.3">
      <c r="A7303" s="130">
        <v>73205</v>
      </c>
      <c r="B7303" s="130">
        <v>18</v>
      </c>
      <c r="C7303" s="130" t="s">
        <v>8927</v>
      </c>
      <c r="D7303">
        <v>1346</v>
      </c>
      <c r="E7303" s="130">
        <v>56679871</v>
      </c>
      <c r="F7303" t="s">
        <v>87</v>
      </c>
      <c r="G7303">
        <v>358</v>
      </c>
      <c r="H7303" t="s">
        <v>8953</v>
      </c>
      <c r="I7303" s="130">
        <v>43</v>
      </c>
      <c r="J7303" t="s">
        <v>8927</v>
      </c>
      <c r="K7303" t="s">
        <v>108</v>
      </c>
      <c r="L7303" t="s">
        <v>105</v>
      </c>
      <c r="M7303" t="s">
        <v>112</v>
      </c>
      <c r="N7303" t="s">
        <v>114</v>
      </c>
      <c r="O7303" t="s">
        <v>1345</v>
      </c>
    </row>
    <row r="7304" spans="1:15" x14ac:dyDescent="0.3">
      <c r="A7304" s="130">
        <v>73206</v>
      </c>
      <c r="B7304" s="130">
        <v>10</v>
      </c>
      <c r="C7304" s="130" t="s">
        <v>8928</v>
      </c>
      <c r="D7304">
        <v>1472</v>
      </c>
      <c r="E7304" s="130">
        <v>4931019</v>
      </c>
      <c r="F7304" t="s">
        <v>87</v>
      </c>
      <c r="G7304">
        <v>78</v>
      </c>
      <c r="H7304" t="s">
        <v>8951</v>
      </c>
      <c r="I7304" s="130">
        <v>10</v>
      </c>
      <c r="J7304" t="s">
        <v>8928</v>
      </c>
      <c r="K7304" t="s">
        <v>108</v>
      </c>
      <c r="L7304" t="s">
        <v>127</v>
      </c>
      <c r="M7304" t="s">
        <v>133</v>
      </c>
      <c r="N7304" t="s">
        <v>118</v>
      </c>
      <c r="O7304" t="s">
        <v>116</v>
      </c>
    </row>
    <row r="7305" spans="1:15" x14ac:dyDescent="0.3">
      <c r="A7305" s="130">
        <v>73207</v>
      </c>
      <c r="B7305" s="130">
        <v>18</v>
      </c>
      <c r="C7305" s="130" t="s">
        <v>8929</v>
      </c>
      <c r="D7305">
        <v>1473</v>
      </c>
      <c r="E7305" s="130">
        <v>7134777</v>
      </c>
      <c r="F7305" t="s">
        <v>87</v>
      </c>
      <c r="G7305">
        <v>78</v>
      </c>
      <c r="H7305" t="s">
        <v>8952</v>
      </c>
      <c r="I7305" s="130">
        <v>10</v>
      </c>
      <c r="J7305" t="s">
        <v>8929</v>
      </c>
      <c r="K7305" t="s">
        <v>108</v>
      </c>
      <c r="L7305" t="s">
        <v>127</v>
      </c>
      <c r="M7305" t="s">
        <v>112</v>
      </c>
      <c r="N7305" t="s">
        <v>118</v>
      </c>
      <c r="O7305" t="s">
        <v>1345</v>
      </c>
    </row>
    <row r="7306" spans="1:15" x14ac:dyDescent="0.3">
      <c r="A7306" s="130">
        <v>73208</v>
      </c>
      <c r="B7306" s="130">
        <v>18</v>
      </c>
      <c r="C7306" s="130" t="s">
        <v>8930</v>
      </c>
      <c r="D7306">
        <v>1474</v>
      </c>
      <c r="E7306" s="130">
        <v>37443913</v>
      </c>
      <c r="F7306" t="s">
        <v>87</v>
      </c>
      <c r="G7306">
        <v>358</v>
      </c>
      <c r="H7306" t="s">
        <v>8953</v>
      </c>
      <c r="I7306" s="130">
        <v>19</v>
      </c>
      <c r="J7306" t="s">
        <v>8930</v>
      </c>
      <c r="K7306" t="s">
        <v>108</v>
      </c>
      <c r="L7306" t="s">
        <v>105</v>
      </c>
      <c r="M7306" t="s">
        <v>112</v>
      </c>
      <c r="N7306" t="s">
        <v>124</v>
      </c>
      <c r="O7306" t="s">
        <v>1345</v>
      </c>
    </row>
    <row r="7307" spans="1:15" x14ac:dyDescent="0.3">
      <c r="A7307" s="130">
        <v>73213</v>
      </c>
      <c r="B7307" s="130">
        <v>18</v>
      </c>
      <c r="C7307" s="130" t="s">
        <v>8931</v>
      </c>
      <c r="D7307">
        <v>1347</v>
      </c>
      <c r="E7307" s="130">
        <v>22095148</v>
      </c>
      <c r="F7307" t="s">
        <v>87</v>
      </c>
      <c r="G7307">
        <v>78</v>
      </c>
      <c r="H7307" t="s">
        <v>8951</v>
      </c>
      <c r="I7307" s="130">
        <v>24</v>
      </c>
      <c r="J7307" t="s">
        <v>8931</v>
      </c>
      <c r="K7307" t="s">
        <v>95</v>
      </c>
      <c r="L7307" t="s">
        <v>138</v>
      </c>
      <c r="M7307" t="s">
        <v>112</v>
      </c>
      <c r="N7307" t="s">
        <v>98</v>
      </c>
      <c r="O7307" t="s">
        <v>1345</v>
      </c>
    </row>
    <row r="7308" spans="1:15" x14ac:dyDescent="0.3">
      <c r="A7308" s="130">
        <v>73214</v>
      </c>
      <c r="B7308" s="130">
        <v>18</v>
      </c>
      <c r="C7308" s="130" t="s">
        <v>8932</v>
      </c>
      <c r="D7308">
        <v>1475</v>
      </c>
      <c r="E7308" s="130">
        <v>5451102</v>
      </c>
      <c r="F7308" t="s">
        <v>87</v>
      </c>
      <c r="G7308">
        <v>358</v>
      </c>
      <c r="H7308" t="s">
        <v>8952</v>
      </c>
      <c r="I7308" s="130">
        <v>2</v>
      </c>
      <c r="J7308" t="s">
        <v>8932</v>
      </c>
      <c r="K7308" t="s">
        <v>108</v>
      </c>
      <c r="L7308" t="s">
        <v>111</v>
      </c>
      <c r="M7308" t="s">
        <v>112</v>
      </c>
      <c r="N7308" t="s">
        <v>98</v>
      </c>
      <c r="O7308" t="s">
        <v>1345</v>
      </c>
    </row>
    <row r="7309" spans="1:15" x14ac:dyDescent="0.3">
      <c r="A7309" s="130">
        <v>73215</v>
      </c>
      <c r="B7309" s="130">
        <v>30</v>
      </c>
      <c r="C7309" s="130" t="s">
        <v>8933</v>
      </c>
      <c r="D7309">
        <v>1476</v>
      </c>
      <c r="E7309" s="130">
        <v>10417140</v>
      </c>
      <c r="F7309" t="s">
        <v>87</v>
      </c>
      <c r="G7309">
        <v>78</v>
      </c>
      <c r="H7309" t="s">
        <v>8953</v>
      </c>
      <c r="I7309" s="130">
        <v>18</v>
      </c>
      <c r="J7309" t="s">
        <v>8933</v>
      </c>
      <c r="K7309" t="s">
        <v>95</v>
      </c>
      <c r="L7309" t="s">
        <v>123</v>
      </c>
      <c r="M7309" t="s">
        <v>103</v>
      </c>
      <c r="N7309" t="s">
        <v>150</v>
      </c>
      <c r="O7309" t="s">
        <v>1345</v>
      </c>
    </row>
    <row r="7310" spans="1:15" x14ac:dyDescent="0.3">
      <c r="A7310" s="130">
        <v>73216</v>
      </c>
      <c r="B7310" s="130">
        <v>18</v>
      </c>
      <c r="C7310" s="130" t="s">
        <v>8934</v>
      </c>
      <c r="D7310">
        <v>1348</v>
      </c>
      <c r="E7310" s="130">
        <v>3646245</v>
      </c>
      <c r="F7310" t="s">
        <v>87</v>
      </c>
      <c r="G7310">
        <v>358</v>
      </c>
      <c r="H7310" t="s">
        <v>8951</v>
      </c>
      <c r="I7310" s="130">
        <v>19</v>
      </c>
      <c r="J7310" t="s">
        <v>8934</v>
      </c>
      <c r="K7310" t="s">
        <v>108</v>
      </c>
      <c r="L7310" t="s">
        <v>146</v>
      </c>
      <c r="M7310" t="s">
        <v>112</v>
      </c>
      <c r="N7310" t="s">
        <v>98</v>
      </c>
      <c r="O7310" t="s">
        <v>1345</v>
      </c>
    </row>
    <row r="7311" spans="1:15" x14ac:dyDescent="0.3">
      <c r="A7311" s="130">
        <v>73219</v>
      </c>
      <c r="B7311" s="130">
        <v>60</v>
      </c>
      <c r="C7311" s="130" t="s">
        <v>8935</v>
      </c>
      <c r="D7311">
        <v>1477</v>
      </c>
      <c r="E7311" s="130">
        <v>12056613</v>
      </c>
      <c r="F7311" t="s">
        <v>87</v>
      </c>
      <c r="G7311">
        <v>77</v>
      </c>
      <c r="H7311" t="s">
        <v>8952</v>
      </c>
      <c r="I7311" s="130">
        <v>2</v>
      </c>
      <c r="J7311" t="s">
        <v>8935</v>
      </c>
      <c r="K7311" t="s">
        <v>95</v>
      </c>
      <c r="L7311" t="s">
        <v>256</v>
      </c>
      <c r="M7311" t="s">
        <v>97</v>
      </c>
      <c r="N7311" t="s">
        <v>118</v>
      </c>
      <c r="O7311" t="s">
        <v>1345</v>
      </c>
    </row>
    <row r="7312" spans="1:15" x14ac:dyDescent="0.3">
      <c r="A7312" s="130">
        <v>73220</v>
      </c>
      <c r="B7312" s="130">
        <v>60</v>
      </c>
      <c r="C7312" s="130" t="s">
        <v>8936</v>
      </c>
      <c r="D7312">
        <v>1478</v>
      </c>
      <c r="E7312" s="130">
        <v>12056613</v>
      </c>
      <c r="F7312" t="s">
        <v>87</v>
      </c>
      <c r="G7312">
        <v>77</v>
      </c>
      <c r="H7312" t="s">
        <v>8953</v>
      </c>
      <c r="I7312" s="130">
        <v>2</v>
      </c>
      <c r="J7312" t="s">
        <v>8936</v>
      </c>
      <c r="K7312" t="s">
        <v>95</v>
      </c>
      <c r="L7312" t="s">
        <v>256</v>
      </c>
      <c r="M7312" t="s">
        <v>97</v>
      </c>
      <c r="N7312" t="s">
        <v>118</v>
      </c>
      <c r="O7312" t="s">
        <v>116</v>
      </c>
    </row>
    <row r="7313" spans="1:15" x14ac:dyDescent="0.3">
      <c r="A7313" s="130">
        <v>73222</v>
      </c>
      <c r="B7313" s="130">
        <v>30</v>
      </c>
      <c r="C7313" s="130" t="s">
        <v>8937</v>
      </c>
      <c r="D7313">
        <v>1479</v>
      </c>
      <c r="E7313" s="130">
        <v>17185786</v>
      </c>
      <c r="F7313" t="s">
        <v>87</v>
      </c>
      <c r="G7313">
        <v>358</v>
      </c>
      <c r="H7313" t="s">
        <v>8951</v>
      </c>
      <c r="I7313" s="130">
        <v>2</v>
      </c>
      <c r="J7313" t="s">
        <v>8937</v>
      </c>
      <c r="K7313" t="s">
        <v>95</v>
      </c>
      <c r="L7313" t="s">
        <v>99</v>
      </c>
      <c r="M7313" t="s">
        <v>103</v>
      </c>
      <c r="N7313" t="s">
        <v>98</v>
      </c>
      <c r="O7313" t="s">
        <v>1345</v>
      </c>
    </row>
    <row r="7314" spans="1:15" x14ac:dyDescent="0.3">
      <c r="A7314" s="130">
        <v>73223</v>
      </c>
      <c r="B7314" s="130">
        <v>18</v>
      </c>
      <c r="C7314" s="130" t="s">
        <v>8938</v>
      </c>
      <c r="D7314">
        <v>1480</v>
      </c>
      <c r="E7314" s="130">
        <v>2004496</v>
      </c>
      <c r="F7314" t="s">
        <v>87</v>
      </c>
      <c r="G7314">
        <v>358</v>
      </c>
      <c r="H7314" t="s">
        <v>8952</v>
      </c>
      <c r="I7314" s="130">
        <v>2</v>
      </c>
      <c r="J7314" t="s">
        <v>8938</v>
      </c>
      <c r="K7314" t="s">
        <v>108</v>
      </c>
      <c r="L7314" t="s">
        <v>1293</v>
      </c>
      <c r="M7314" t="s">
        <v>112</v>
      </c>
      <c r="N7314" t="s">
        <v>101</v>
      </c>
      <c r="O7314" t="s">
        <v>1345</v>
      </c>
    </row>
    <row r="7315" spans="1:15" x14ac:dyDescent="0.3">
      <c r="A7315" s="130">
        <v>73227</v>
      </c>
      <c r="B7315" s="130">
        <v>10</v>
      </c>
      <c r="C7315" s="130" t="s">
        <v>8939</v>
      </c>
      <c r="D7315">
        <v>1481</v>
      </c>
      <c r="E7315" s="130">
        <v>34470067</v>
      </c>
      <c r="F7315" t="s">
        <v>87</v>
      </c>
      <c r="G7315">
        <v>78</v>
      </c>
      <c r="H7315" t="s">
        <v>8953</v>
      </c>
      <c r="I7315" s="130">
        <v>24</v>
      </c>
      <c r="J7315" t="s">
        <v>8939</v>
      </c>
      <c r="K7315" t="s">
        <v>95</v>
      </c>
      <c r="L7315" t="s">
        <v>138</v>
      </c>
      <c r="M7315" t="s">
        <v>133</v>
      </c>
      <c r="N7315" t="s">
        <v>98</v>
      </c>
      <c r="O7315" t="s">
        <v>1345</v>
      </c>
    </row>
    <row r="7316" spans="1:15" x14ac:dyDescent="0.3">
      <c r="A7316" s="130">
        <v>73231</v>
      </c>
      <c r="B7316" s="130">
        <v>45</v>
      </c>
      <c r="C7316" s="130" t="s">
        <v>8940</v>
      </c>
      <c r="D7316">
        <v>1482</v>
      </c>
      <c r="E7316" s="130">
        <v>3130160</v>
      </c>
      <c r="F7316" t="s">
        <v>87</v>
      </c>
      <c r="G7316">
        <v>358</v>
      </c>
      <c r="H7316" t="s">
        <v>8951</v>
      </c>
      <c r="I7316" s="130">
        <v>10</v>
      </c>
      <c r="J7316" t="s">
        <v>8940</v>
      </c>
      <c r="K7316" t="s">
        <v>95</v>
      </c>
      <c r="L7316" t="s">
        <v>105</v>
      </c>
      <c r="M7316" t="s">
        <v>106</v>
      </c>
      <c r="N7316" t="s">
        <v>98</v>
      </c>
      <c r="O7316" t="s">
        <v>1345</v>
      </c>
    </row>
    <row r="7317" spans="1:15" x14ac:dyDescent="0.3">
      <c r="A7317" s="130">
        <v>73234</v>
      </c>
      <c r="B7317" s="130">
        <v>18</v>
      </c>
      <c r="C7317" s="130" t="s">
        <v>8941</v>
      </c>
      <c r="D7317">
        <v>1484</v>
      </c>
      <c r="E7317" s="130">
        <v>4039255</v>
      </c>
      <c r="F7317" t="s">
        <v>87</v>
      </c>
      <c r="G7317">
        <v>358</v>
      </c>
      <c r="H7317" t="s">
        <v>8952</v>
      </c>
      <c r="I7317" s="130">
        <v>10</v>
      </c>
      <c r="J7317" t="s">
        <v>8941</v>
      </c>
      <c r="K7317" t="s">
        <v>95</v>
      </c>
      <c r="L7317" t="s">
        <v>105</v>
      </c>
      <c r="M7317" t="s">
        <v>112</v>
      </c>
      <c r="N7317" t="s">
        <v>98</v>
      </c>
      <c r="O7317" t="s">
        <v>1345</v>
      </c>
    </row>
    <row r="7318" spans="1:15" x14ac:dyDescent="0.3">
      <c r="A7318" s="130">
        <v>73237</v>
      </c>
      <c r="B7318" s="130">
        <v>18</v>
      </c>
      <c r="C7318" s="130" t="s">
        <v>8942</v>
      </c>
      <c r="D7318">
        <v>1485</v>
      </c>
      <c r="E7318" s="130">
        <v>13272645</v>
      </c>
      <c r="F7318" t="s">
        <v>87</v>
      </c>
      <c r="G7318">
        <v>358</v>
      </c>
      <c r="H7318" t="s">
        <v>8953</v>
      </c>
      <c r="I7318" s="130">
        <v>10</v>
      </c>
      <c r="J7318" t="s">
        <v>8942</v>
      </c>
      <c r="K7318" t="s">
        <v>95</v>
      </c>
      <c r="L7318" t="s">
        <v>105</v>
      </c>
      <c r="M7318" t="s">
        <v>112</v>
      </c>
      <c r="N7318" t="s">
        <v>98</v>
      </c>
      <c r="O7318" t="s">
        <v>1345</v>
      </c>
    </row>
    <row r="7319" spans="1:15" x14ac:dyDescent="0.3">
      <c r="A7319" s="130">
        <v>73239</v>
      </c>
      <c r="B7319" s="130">
        <v>5</v>
      </c>
      <c r="C7319" s="130" t="s">
        <v>8943</v>
      </c>
      <c r="D7319">
        <v>1486</v>
      </c>
      <c r="E7319" s="130">
        <v>30845475</v>
      </c>
      <c r="F7319" t="s">
        <v>87</v>
      </c>
      <c r="G7319">
        <v>358</v>
      </c>
      <c r="H7319" t="s">
        <v>8951</v>
      </c>
      <c r="I7319" s="130">
        <v>24</v>
      </c>
      <c r="J7319" t="s">
        <v>8943</v>
      </c>
      <c r="K7319" t="s">
        <v>108</v>
      </c>
      <c r="L7319" t="s">
        <v>109</v>
      </c>
      <c r="M7319" t="s">
        <v>129</v>
      </c>
      <c r="N7319" t="s">
        <v>150</v>
      </c>
      <c r="O7319" t="s">
        <v>1345</v>
      </c>
    </row>
    <row r="7320" spans="1:15" x14ac:dyDescent="0.3">
      <c r="A7320" s="130">
        <v>73241</v>
      </c>
      <c r="B7320" s="130">
        <v>15</v>
      </c>
      <c r="C7320" s="130" t="s">
        <v>8944</v>
      </c>
      <c r="D7320">
        <v>1349</v>
      </c>
      <c r="E7320" s="130">
        <v>91894774</v>
      </c>
      <c r="F7320" t="s">
        <v>87</v>
      </c>
      <c r="G7320">
        <v>78</v>
      </c>
      <c r="H7320" t="s">
        <v>8952</v>
      </c>
      <c r="I7320" s="130">
        <v>28</v>
      </c>
      <c r="J7320" t="s">
        <v>8944</v>
      </c>
      <c r="K7320" t="s">
        <v>95</v>
      </c>
      <c r="L7320" t="s">
        <v>102</v>
      </c>
      <c r="M7320" t="s">
        <v>145</v>
      </c>
      <c r="N7320" t="s">
        <v>98</v>
      </c>
      <c r="O7320" t="s">
        <v>1345</v>
      </c>
    </row>
    <row r="7321" spans="1:15" x14ac:dyDescent="0.3">
      <c r="A7321" s="130">
        <v>73243</v>
      </c>
      <c r="B7321" s="130">
        <v>18</v>
      </c>
      <c r="C7321" s="130" t="s">
        <v>8945</v>
      </c>
      <c r="D7321">
        <v>1487</v>
      </c>
      <c r="E7321" s="130">
        <v>11472840</v>
      </c>
      <c r="F7321" t="s">
        <v>87</v>
      </c>
      <c r="G7321">
        <v>78</v>
      </c>
      <c r="H7321" t="s">
        <v>8953</v>
      </c>
      <c r="I7321" s="130">
        <v>26</v>
      </c>
      <c r="J7321" t="s">
        <v>8945</v>
      </c>
      <c r="K7321" t="s">
        <v>108</v>
      </c>
      <c r="L7321" t="s">
        <v>151</v>
      </c>
      <c r="M7321" t="s">
        <v>112</v>
      </c>
      <c r="N7321" t="s">
        <v>124</v>
      </c>
      <c r="O7321" t="s">
        <v>1345</v>
      </c>
    </row>
    <row r="7322" spans="1:15" x14ac:dyDescent="0.3">
      <c r="A7322" s="130">
        <v>73244</v>
      </c>
      <c r="B7322" s="130">
        <v>18</v>
      </c>
      <c r="C7322" s="130" t="s">
        <v>8946</v>
      </c>
      <c r="D7322">
        <v>1488</v>
      </c>
      <c r="E7322" s="130">
        <v>11472840</v>
      </c>
      <c r="F7322" t="s">
        <v>87</v>
      </c>
      <c r="G7322">
        <v>78</v>
      </c>
      <c r="H7322" t="s">
        <v>8951</v>
      </c>
      <c r="I7322" s="130">
        <v>26</v>
      </c>
      <c r="J7322" t="s">
        <v>8946</v>
      </c>
      <c r="K7322" t="s">
        <v>108</v>
      </c>
      <c r="L7322" t="s">
        <v>151</v>
      </c>
      <c r="M7322" t="s">
        <v>112</v>
      </c>
      <c r="N7322" t="s">
        <v>124</v>
      </c>
      <c r="O7322" t="s">
        <v>1345</v>
      </c>
    </row>
    <row r="7323" spans="1:15" x14ac:dyDescent="0.3">
      <c r="A7323" s="130">
        <v>73247</v>
      </c>
      <c r="B7323" s="130">
        <v>5</v>
      </c>
      <c r="C7323" s="130" t="s">
        <v>8947</v>
      </c>
      <c r="D7323">
        <v>1489</v>
      </c>
      <c r="E7323" s="130">
        <v>15673284</v>
      </c>
      <c r="F7323" t="s">
        <v>87</v>
      </c>
      <c r="G7323">
        <v>358</v>
      </c>
      <c r="H7323" t="s">
        <v>8952</v>
      </c>
      <c r="I7323" s="130">
        <v>18</v>
      </c>
      <c r="J7323" t="s">
        <v>8947</v>
      </c>
      <c r="K7323" t="s">
        <v>108</v>
      </c>
      <c r="L7323" t="s">
        <v>1245</v>
      </c>
      <c r="M7323" t="s">
        <v>129</v>
      </c>
      <c r="N7323" t="s">
        <v>98</v>
      </c>
      <c r="O7323" t="s">
        <v>1345</v>
      </c>
    </row>
    <row r="7324" spans="1:15" x14ac:dyDescent="0.3">
      <c r="A7324" s="130">
        <v>73249</v>
      </c>
      <c r="B7324" s="130">
        <v>60</v>
      </c>
      <c r="C7324" s="130" t="s">
        <v>8948</v>
      </c>
      <c r="D7324">
        <v>1490</v>
      </c>
      <c r="E7324" s="130">
        <v>40809479</v>
      </c>
      <c r="F7324" t="s">
        <v>87</v>
      </c>
      <c r="G7324">
        <v>358</v>
      </c>
      <c r="H7324" t="s">
        <v>8953</v>
      </c>
      <c r="I7324" s="130">
        <v>43</v>
      </c>
      <c r="J7324" t="s">
        <v>8948</v>
      </c>
      <c r="K7324" t="s">
        <v>95</v>
      </c>
      <c r="L7324" t="s">
        <v>105</v>
      </c>
      <c r="M7324" t="s">
        <v>97</v>
      </c>
      <c r="N7324" t="s">
        <v>98</v>
      </c>
      <c r="O7324" t="s">
        <v>116</v>
      </c>
    </row>
    <row r="7325" spans="1:15" x14ac:dyDescent="0.3">
      <c r="A7325" s="130">
        <v>73250</v>
      </c>
      <c r="B7325" s="130">
        <v>45</v>
      </c>
      <c r="C7325" s="130" t="s">
        <v>8949</v>
      </c>
      <c r="D7325">
        <v>1491</v>
      </c>
      <c r="E7325" s="130">
        <v>17185786</v>
      </c>
      <c r="F7325" t="s">
        <v>87</v>
      </c>
      <c r="G7325">
        <v>78</v>
      </c>
      <c r="H7325" t="s">
        <v>8951</v>
      </c>
      <c r="I7325" s="130">
        <v>10</v>
      </c>
      <c r="J7325" t="s">
        <v>8949</v>
      </c>
      <c r="K7325" t="s">
        <v>95</v>
      </c>
      <c r="L7325" t="s">
        <v>96</v>
      </c>
      <c r="M7325" t="s">
        <v>106</v>
      </c>
      <c r="N7325" t="s">
        <v>98</v>
      </c>
      <c r="O7325" t="s">
        <v>1345</v>
      </c>
    </row>
    <row r="7326" spans="1:15" x14ac:dyDescent="0.3">
      <c r="A7326" s="130">
        <v>73262</v>
      </c>
      <c r="B7326" s="130">
        <v>18</v>
      </c>
      <c r="C7326" s="130" t="s">
        <v>8950</v>
      </c>
      <c r="D7326">
        <v>1492</v>
      </c>
      <c r="E7326" s="130">
        <v>21596467</v>
      </c>
      <c r="F7326" t="s">
        <v>87</v>
      </c>
      <c r="G7326">
        <v>358</v>
      </c>
      <c r="H7326" t="s">
        <v>8952</v>
      </c>
      <c r="I7326" s="130">
        <v>19</v>
      </c>
      <c r="J7326" t="s">
        <v>8950</v>
      </c>
      <c r="K7326" t="s">
        <v>108</v>
      </c>
      <c r="L7326" t="s">
        <v>105</v>
      </c>
      <c r="M7326" t="s">
        <v>112</v>
      </c>
      <c r="N7326" t="s">
        <v>122</v>
      </c>
      <c r="O7326" t="s">
        <v>116</v>
      </c>
    </row>
  </sheetData>
  <autoFilter ref="A1:O7326" xr:uid="{A7BC1D95-B21C-497B-9A4E-EE2AAD2FC023}"/>
  <sortState xmlns:xlrd2="http://schemas.microsoft.com/office/spreadsheetml/2017/richdata2" ref="A2:N7058">
    <sortCondition ref="I2:I7058"/>
  </sortState>
  <phoneticPr fontId="18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F65AF-35C8-40A1-9015-F70E62C2AE73}">
  <sheetPr codeName="Planilha8"/>
  <dimension ref="A1:B187"/>
  <sheetViews>
    <sheetView topLeftCell="A171" zoomScale="115" zoomScaleNormal="115" workbookViewId="0">
      <selection activeCell="A188" sqref="A188"/>
    </sheetView>
  </sheetViews>
  <sheetFormatPr defaultRowHeight="14.4" x14ac:dyDescent="0.3"/>
  <cols>
    <col min="1" max="1" width="19.6640625" style="116" bestFit="1" customWidth="1"/>
    <col min="2" max="2" width="9.109375" style="112"/>
  </cols>
  <sheetData>
    <row r="1" spans="1:2" x14ac:dyDescent="0.3">
      <c r="A1" s="116" t="s">
        <v>860</v>
      </c>
      <c r="B1" s="112">
        <v>2.5000000000000001E-2</v>
      </c>
    </row>
    <row r="2" spans="1:2" x14ac:dyDescent="0.3">
      <c r="A2" s="116" t="s">
        <v>53</v>
      </c>
      <c r="B2" s="112">
        <v>0.05</v>
      </c>
    </row>
    <row r="3" spans="1:2" x14ac:dyDescent="0.3">
      <c r="A3" s="116" t="s">
        <v>355</v>
      </c>
      <c r="B3" s="112">
        <v>0.05</v>
      </c>
    </row>
    <row r="4" spans="1:2" x14ac:dyDescent="0.3">
      <c r="A4" s="116" t="s">
        <v>957</v>
      </c>
      <c r="B4" s="112">
        <v>0.05</v>
      </c>
    </row>
    <row r="5" spans="1:2" x14ac:dyDescent="0.3">
      <c r="A5" s="116" t="s">
        <v>299</v>
      </c>
      <c r="B5" s="115">
        <v>0.05</v>
      </c>
    </row>
    <row r="6" spans="1:2" x14ac:dyDescent="0.3">
      <c r="A6" s="116" t="s">
        <v>958</v>
      </c>
      <c r="B6" s="115">
        <v>0.02</v>
      </c>
    </row>
    <row r="7" spans="1:2" x14ac:dyDescent="0.3">
      <c r="A7" s="116" t="s">
        <v>959</v>
      </c>
      <c r="B7" s="115">
        <v>0.05</v>
      </c>
    </row>
    <row r="8" spans="1:2" x14ac:dyDescent="0.3">
      <c r="A8" s="116" t="s">
        <v>960</v>
      </c>
      <c r="B8" s="115">
        <v>0.05</v>
      </c>
    </row>
    <row r="9" spans="1:2" x14ac:dyDescent="0.3">
      <c r="A9" s="116" t="s">
        <v>961</v>
      </c>
      <c r="B9" s="115">
        <v>0.05</v>
      </c>
    </row>
    <row r="10" spans="1:2" x14ac:dyDescent="0.3">
      <c r="A10" s="116" t="s">
        <v>319</v>
      </c>
      <c r="B10" s="115">
        <v>0.05</v>
      </c>
    </row>
    <row r="11" spans="1:2" x14ac:dyDescent="0.3">
      <c r="A11" s="116" t="s">
        <v>874</v>
      </c>
      <c r="B11" s="115">
        <v>0.05</v>
      </c>
    </row>
    <row r="12" spans="1:2" x14ac:dyDescent="0.3">
      <c r="A12" s="116" t="s">
        <v>192</v>
      </c>
      <c r="B12" s="115">
        <v>0.02</v>
      </c>
    </row>
    <row r="13" spans="1:2" x14ac:dyDescent="0.3">
      <c r="A13" s="116" t="s">
        <v>289</v>
      </c>
      <c r="B13" s="115">
        <v>0.03</v>
      </c>
    </row>
    <row r="14" spans="1:2" x14ac:dyDescent="0.3">
      <c r="A14" s="116" t="s">
        <v>186</v>
      </c>
      <c r="B14" s="115">
        <v>0.05</v>
      </c>
    </row>
    <row r="15" spans="1:2" x14ac:dyDescent="0.3">
      <c r="A15" s="116" t="s">
        <v>317</v>
      </c>
      <c r="B15" s="115">
        <v>0.05</v>
      </c>
    </row>
    <row r="16" spans="1:2" x14ac:dyDescent="0.3">
      <c r="A16" s="116" t="s">
        <v>962</v>
      </c>
      <c r="B16" s="115">
        <v>0.05</v>
      </c>
    </row>
    <row r="17" spans="1:2" x14ac:dyDescent="0.3">
      <c r="A17" s="116" t="s">
        <v>41</v>
      </c>
      <c r="B17" s="115">
        <v>0.05</v>
      </c>
    </row>
    <row r="18" spans="1:2" x14ac:dyDescent="0.3">
      <c r="A18" s="116" t="s">
        <v>851</v>
      </c>
      <c r="B18" s="115">
        <v>0.05</v>
      </c>
    </row>
    <row r="19" spans="1:2" x14ac:dyDescent="0.3">
      <c r="A19" s="116" t="s">
        <v>316</v>
      </c>
      <c r="B19" s="115">
        <v>0.05</v>
      </c>
    </row>
    <row r="20" spans="1:2" x14ac:dyDescent="0.3">
      <c r="A20" s="116" t="s">
        <v>849</v>
      </c>
      <c r="B20" s="115">
        <v>0.03</v>
      </c>
    </row>
    <row r="21" spans="1:2" x14ac:dyDescent="0.3">
      <c r="A21" s="116" t="s">
        <v>155</v>
      </c>
      <c r="B21" s="115">
        <v>0.02</v>
      </c>
    </row>
    <row r="22" spans="1:2" x14ac:dyDescent="0.3">
      <c r="A22" s="116" t="s">
        <v>167</v>
      </c>
      <c r="B22" s="115">
        <v>0.05</v>
      </c>
    </row>
    <row r="23" spans="1:2" x14ac:dyDescent="0.3">
      <c r="A23" s="116" t="s">
        <v>914</v>
      </c>
      <c r="B23" s="115">
        <v>0.03</v>
      </c>
    </row>
    <row r="24" spans="1:2" x14ac:dyDescent="0.3">
      <c r="A24" s="116" t="s">
        <v>349</v>
      </c>
      <c r="B24" s="115">
        <v>0.03</v>
      </c>
    </row>
    <row r="25" spans="1:2" x14ac:dyDescent="0.3">
      <c r="A25" s="116" t="s">
        <v>963</v>
      </c>
      <c r="B25" s="112">
        <v>0.05</v>
      </c>
    </row>
    <row r="26" spans="1:2" x14ac:dyDescent="0.3">
      <c r="A26" s="116" t="s">
        <v>964</v>
      </c>
      <c r="B26" s="112">
        <v>0.03</v>
      </c>
    </row>
    <row r="27" spans="1:2" x14ac:dyDescent="0.3">
      <c r="A27" s="116" t="s">
        <v>965</v>
      </c>
      <c r="B27" s="112">
        <v>0.05</v>
      </c>
    </row>
    <row r="28" spans="1:2" x14ac:dyDescent="0.3">
      <c r="A28" s="116" t="s">
        <v>177</v>
      </c>
      <c r="B28" s="112">
        <v>0.05</v>
      </c>
    </row>
    <row r="29" spans="1:2" x14ac:dyDescent="0.3">
      <c r="A29" s="116" t="s">
        <v>966</v>
      </c>
      <c r="B29" s="112">
        <v>0.03</v>
      </c>
    </row>
    <row r="30" spans="1:2" x14ac:dyDescent="0.3">
      <c r="A30" s="116" t="s">
        <v>42</v>
      </c>
      <c r="B30" s="112">
        <v>0.05</v>
      </c>
    </row>
    <row r="31" spans="1:2" x14ac:dyDescent="0.3">
      <c r="A31" s="116" t="s">
        <v>967</v>
      </c>
      <c r="B31" s="112">
        <v>0.03</v>
      </c>
    </row>
    <row r="32" spans="1:2" x14ac:dyDescent="0.3">
      <c r="A32" s="116" t="s">
        <v>242</v>
      </c>
      <c r="B32" s="112">
        <v>0.05</v>
      </c>
    </row>
    <row r="33" spans="1:2" x14ac:dyDescent="0.3">
      <c r="A33" s="116" t="s">
        <v>199</v>
      </c>
      <c r="B33" s="112">
        <v>0.05</v>
      </c>
    </row>
    <row r="34" spans="1:2" x14ac:dyDescent="0.3">
      <c r="A34" s="116" t="s">
        <v>968</v>
      </c>
      <c r="B34" s="112">
        <v>0.03</v>
      </c>
    </row>
    <row r="35" spans="1:2" x14ac:dyDescent="0.3">
      <c r="A35" s="116" t="s">
        <v>900</v>
      </c>
      <c r="B35" s="112">
        <v>0.02</v>
      </c>
    </row>
    <row r="36" spans="1:2" x14ac:dyDescent="0.3">
      <c r="A36" s="116" t="s">
        <v>969</v>
      </c>
      <c r="B36" s="112">
        <v>0.02</v>
      </c>
    </row>
    <row r="37" spans="1:2" x14ac:dyDescent="0.3">
      <c r="A37" s="116" t="s">
        <v>662</v>
      </c>
      <c r="B37" s="112">
        <v>0.04</v>
      </c>
    </row>
    <row r="38" spans="1:2" x14ac:dyDescent="0.3">
      <c r="A38" s="116" t="s">
        <v>970</v>
      </c>
      <c r="B38" s="112">
        <v>0.02</v>
      </c>
    </row>
    <row r="39" spans="1:2" x14ac:dyDescent="0.3">
      <c r="A39" s="116" t="s">
        <v>160</v>
      </c>
      <c r="B39" s="112">
        <v>0.03</v>
      </c>
    </row>
    <row r="40" spans="1:2" x14ac:dyDescent="0.3">
      <c r="A40" s="116" t="s">
        <v>142</v>
      </c>
      <c r="B40" s="112">
        <v>0.04</v>
      </c>
    </row>
    <row r="41" spans="1:2" x14ac:dyDescent="0.3">
      <c r="A41" s="116" t="s">
        <v>184</v>
      </c>
      <c r="B41" s="112">
        <v>0.05</v>
      </c>
    </row>
    <row r="42" spans="1:2" x14ac:dyDescent="0.3">
      <c r="A42" s="116" t="s">
        <v>971</v>
      </c>
      <c r="B42" s="112">
        <v>0.03</v>
      </c>
    </row>
    <row r="43" spans="1:2" x14ac:dyDescent="0.3">
      <c r="A43" s="116" t="s">
        <v>189</v>
      </c>
      <c r="B43" s="112">
        <v>0.05</v>
      </c>
    </row>
    <row r="44" spans="1:2" x14ac:dyDescent="0.3">
      <c r="A44" s="116" t="s">
        <v>972</v>
      </c>
      <c r="B44" s="112">
        <v>0.05</v>
      </c>
    </row>
    <row r="45" spans="1:2" x14ac:dyDescent="0.3">
      <c r="A45" s="116" t="s">
        <v>157</v>
      </c>
      <c r="B45" s="112">
        <v>0.05</v>
      </c>
    </row>
    <row r="46" spans="1:2" x14ac:dyDescent="0.3">
      <c r="A46" s="116" t="s">
        <v>212</v>
      </c>
      <c r="B46" s="112">
        <v>0.05</v>
      </c>
    </row>
    <row r="47" spans="1:2" x14ac:dyDescent="0.3">
      <c r="A47" s="116" t="s">
        <v>339</v>
      </c>
      <c r="B47" s="112">
        <v>0.05</v>
      </c>
    </row>
    <row r="48" spans="1:2" x14ac:dyDescent="0.3">
      <c r="A48" s="116" t="s">
        <v>973</v>
      </c>
      <c r="B48" s="112">
        <v>0.02</v>
      </c>
    </row>
    <row r="49" spans="1:2" x14ac:dyDescent="0.3">
      <c r="A49" s="116" t="s">
        <v>231</v>
      </c>
      <c r="B49" s="112">
        <v>0.05</v>
      </c>
    </row>
    <row r="50" spans="1:2" x14ac:dyDescent="0.3">
      <c r="A50" s="116" t="s">
        <v>158</v>
      </c>
      <c r="B50" s="112">
        <v>0.05</v>
      </c>
    </row>
    <row r="51" spans="1:2" x14ac:dyDescent="0.3">
      <c r="A51" s="116" t="s">
        <v>974</v>
      </c>
      <c r="B51" s="112">
        <v>0.03</v>
      </c>
    </row>
    <row r="52" spans="1:2" x14ac:dyDescent="0.3">
      <c r="A52" s="116" t="s">
        <v>143</v>
      </c>
      <c r="B52" s="112">
        <v>0.05</v>
      </c>
    </row>
    <row r="53" spans="1:2" x14ac:dyDescent="0.3">
      <c r="A53" s="116" t="s">
        <v>881</v>
      </c>
      <c r="B53" s="112">
        <v>0.05</v>
      </c>
    </row>
    <row r="54" spans="1:2" x14ac:dyDescent="0.3">
      <c r="A54" s="116" t="s">
        <v>168</v>
      </c>
      <c r="B54" s="112">
        <v>0.05</v>
      </c>
    </row>
    <row r="55" spans="1:2" x14ac:dyDescent="0.3">
      <c r="A55" s="116" t="s">
        <v>147</v>
      </c>
      <c r="B55" s="112">
        <v>0.05</v>
      </c>
    </row>
    <row r="56" spans="1:2" x14ac:dyDescent="0.3">
      <c r="A56" s="116" t="s">
        <v>214</v>
      </c>
      <c r="B56" s="112">
        <v>4.4999999999999998E-2</v>
      </c>
    </row>
    <row r="57" spans="1:2" x14ac:dyDescent="0.3">
      <c r="A57" s="116" t="s">
        <v>975</v>
      </c>
      <c r="B57" s="112">
        <v>0.02</v>
      </c>
    </row>
    <row r="58" spans="1:2" x14ac:dyDescent="0.3">
      <c r="A58" s="116" t="s">
        <v>976</v>
      </c>
      <c r="B58" s="112">
        <v>0.03</v>
      </c>
    </row>
    <row r="59" spans="1:2" x14ac:dyDescent="0.3">
      <c r="A59" s="116" t="s">
        <v>238</v>
      </c>
      <c r="B59" s="112">
        <v>0.04</v>
      </c>
    </row>
    <row r="60" spans="1:2" x14ac:dyDescent="0.3">
      <c r="A60" s="116" t="s">
        <v>977</v>
      </c>
      <c r="B60" s="112">
        <v>0.02</v>
      </c>
    </row>
    <row r="61" spans="1:2" x14ac:dyDescent="0.3">
      <c r="A61" s="116" t="s">
        <v>978</v>
      </c>
      <c r="B61" s="112">
        <v>0.05</v>
      </c>
    </row>
    <row r="62" spans="1:2" x14ac:dyDescent="0.3">
      <c r="A62" s="116" t="s">
        <v>979</v>
      </c>
      <c r="B62" s="112">
        <v>0.05</v>
      </c>
    </row>
    <row r="63" spans="1:2" x14ac:dyDescent="0.3">
      <c r="A63" s="116" t="s">
        <v>893</v>
      </c>
      <c r="B63" s="112">
        <v>0.05</v>
      </c>
    </row>
    <row r="64" spans="1:2" x14ac:dyDescent="0.3">
      <c r="A64" s="116" t="s">
        <v>280</v>
      </c>
      <c r="B64" s="112">
        <v>0.05</v>
      </c>
    </row>
    <row r="65" spans="1:2" x14ac:dyDescent="0.3">
      <c r="A65" s="116" t="s">
        <v>171</v>
      </c>
      <c r="B65" s="112">
        <v>0.02</v>
      </c>
    </row>
    <row r="66" spans="1:2" x14ac:dyDescent="0.3">
      <c r="A66" s="116" t="s">
        <v>328</v>
      </c>
      <c r="B66" s="112">
        <v>0.03</v>
      </c>
    </row>
    <row r="67" spans="1:2" x14ac:dyDescent="0.3">
      <c r="A67" s="116" t="s">
        <v>211</v>
      </c>
      <c r="B67" s="112">
        <v>0.05</v>
      </c>
    </row>
    <row r="68" spans="1:2" x14ac:dyDescent="0.3">
      <c r="A68" s="116" t="s">
        <v>873</v>
      </c>
      <c r="B68" s="112">
        <v>0.03</v>
      </c>
    </row>
    <row r="69" spans="1:2" x14ac:dyDescent="0.3">
      <c r="A69" s="116" t="s">
        <v>980</v>
      </c>
      <c r="B69" s="112">
        <v>0.05</v>
      </c>
    </row>
    <row r="70" spans="1:2" x14ac:dyDescent="0.3">
      <c r="A70" s="116" t="s">
        <v>981</v>
      </c>
      <c r="B70" s="112">
        <v>0.05</v>
      </c>
    </row>
    <row r="71" spans="1:2" x14ac:dyDescent="0.3">
      <c r="A71" s="116" t="s">
        <v>982</v>
      </c>
      <c r="B71" s="112">
        <v>0.03</v>
      </c>
    </row>
    <row r="72" spans="1:2" x14ac:dyDescent="0.3">
      <c r="A72" s="116" t="s">
        <v>905</v>
      </c>
      <c r="B72" s="112">
        <v>0.02</v>
      </c>
    </row>
    <row r="73" spans="1:2" x14ac:dyDescent="0.3">
      <c r="A73" s="116" t="s">
        <v>621</v>
      </c>
      <c r="B73" s="112">
        <v>0.03</v>
      </c>
    </row>
    <row r="74" spans="1:2" x14ac:dyDescent="0.3">
      <c r="A74" s="116" t="s">
        <v>983</v>
      </c>
      <c r="B74" s="112">
        <v>0.03</v>
      </c>
    </row>
    <row r="75" spans="1:2" x14ac:dyDescent="0.3">
      <c r="A75" s="116" t="s">
        <v>901</v>
      </c>
      <c r="B75" s="112">
        <v>0.05</v>
      </c>
    </row>
    <row r="76" spans="1:2" x14ac:dyDescent="0.3">
      <c r="A76" s="116" t="s">
        <v>202</v>
      </c>
      <c r="B76" s="112">
        <v>0.02</v>
      </c>
    </row>
    <row r="77" spans="1:2" x14ac:dyDescent="0.3">
      <c r="A77" s="116" t="s">
        <v>226</v>
      </c>
      <c r="B77" s="112">
        <v>0.03</v>
      </c>
    </row>
    <row r="78" spans="1:2" x14ac:dyDescent="0.3">
      <c r="A78" s="116" t="s">
        <v>984</v>
      </c>
      <c r="B78" s="112">
        <v>0.05</v>
      </c>
    </row>
    <row r="79" spans="1:2" x14ac:dyDescent="0.3">
      <c r="A79" s="116" t="s">
        <v>215</v>
      </c>
      <c r="B79" s="112">
        <v>0.05</v>
      </c>
    </row>
    <row r="80" spans="1:2" x14ac:dyDescent="0.3">
      <c r="A80" s="116" t="s">
        <v>188</v>
      </c>
      <c r="B80" s="112">
        <v>0.05</v>
      </c>
    </row>
    <row r="81" spans="1:2" x14ac:dyDescent="0.3">
      <c r="A81" s="116" t="s">
        <v>313</v>
      </c>
      <c r="B81" s="112">
        <v>0.05</v>
      </c>
    </row>
    <row r="82" spans="1:2" x14ac:dyDescent="0.3">
      <c r="A82" s="116" t="s">
        <v>295</v>
      </c>
      <c r="B82" s="112">
        <v>0.05</v>
      </c>
    </row>
    <row r="83" spans="1:2" x14ac:dyDescent="0.3">
      <c r="A83" s="116" t="s">
        <v>221</v>
      </c>
      <c r="B83" s="112">
        <v>0.05</v>
      </c>
    </row>
    <row r="84" spans="1:2" x14ac:dyDescent="0.3">
      <c r="A84" s="116" t="s">
        <v>342</v>
      </c>
      <c r="B84" s="112">
        <v>0.05</v>
      </c>
    </row>
    <row r="85" spans="1:2" x14ac:dyDescent="0.3">
      <c r="A85" s="116" t="s">
        <v>985</v>
      </c>
      <c r="B85" s="112">
        <v>0.02</v>
      </c>
    </row>
    <row r="86" spans="1:2" x14ac:dyDescent="0.3">
      <c r="A86" s="116" t="s">
        <v>986</v>
      </c>
      <c r="B86" s="112">
        <v>0.05</v>
      </c>
    </row>
    <row r="87" spans="1:2" x14ac:dyDescent="0.3">
      <c r="A87" s="116" t="s">
        <v>305</v>
      </c>
      <c r="B87" s="112">
        <v>0.05</v>
      </c>
    </row>
    <row r="88" spans="1:2" x14ac:dyDescent="0.3">
      <c r="A88" s="116" t="s">
        <v>352</v>
      </c>
      <c r="B88" s="112">
        <v>0.05</v>
      </c>
    </row>
    <row r="89" spans="1:2" x14ac:dyDescent="0.3">
      <c r="A89" s="116" t="s">
        <v>288</v>
      </c>
      <c r="B89" s="112">
        <v>0.03</v>
      </c>
    </row>
    <row r="90" spans="1:2" x14ac:dyDescent="0.3">
      <c r="A90" s="116" t="s">
        <v>198</v>
      </c>
      <c r="B90" s="112">
        <v>0.03</v>
      </c>
    </row>
    <row r="91" spans="1:2" x14ac:dyDescent="0.3">
      <c r="A91" s="116" t="s">
        <v>321</v>
      </c>
      <c r="B91" s="112">
        <v>0.05</v>
      </c>
    </row>
    <row r="92" spans="1:2" x14ac:dyDescent="0.3">
      <c r="A92" s="116" t="s">
        <v>236</v>
      </c>
      <c r="B92" s="112">
        <v>2.5000000000000001E-2</v>
      </c>
    </row>
    <row r="93" spans="1:2" x14ac:dyDescent="0.3">
      <c r="A93" s="116" t="s">
        <v>987</v>
      </c>
      <c r="B93" s="112">
        <v>0.05</v>
      </c>
    </row>
    <row r="94" spans="1:2" x14ac:dyDescent="0.3">
      <c r="A94" s="116" t="s">
        <v>417</v>
      </c>
      <c r="B94" s="112">
        <v>0.05</v>
      </c>
    </row>
    <row r="95" spans="1:2" x14ac:dyDescent="0.3">
      <c r="A95" s="116" t="s">
        <v>988</v>
      </c>
      <c r="B95" s="112">
        <v>0.05</v>
      </c>
    </row>
    <row r="96" spans="1:2" x14ac:dyDescent="0.3">
      <c r="A96" s="116" t="s">
        <v>217</v>
      </c>
      <c r="B96" s="112">
        <v>0.02</v>
      </c>
    </row>
    <row r="97" spans="1:2" x14ac:dyDescent="0.3">
      <c r="A97" s="116" t="s">
        <v>956</v>
      </c>
      <c r="B97" s="112">
        <v>0.02</v>
      </c>
    </row>
    <row r="98" spans="1:2" x14ac:dyDescent="0.3">
      <c r="A98" s="116" t="s">
        <v>368</v>
      </c>
      <c r="B98" s="112">
        <v>0.05</v>
      </c>
    </row>
    <row r="99" spans="1:2" x14ac:dyDescent="0.3">
      <c r="A99" s="116" t="s">
        <v>232</v>
      </c>
      <c r="B99" s="112">
        <v>0.05</v>
      </c>
    </row>
    <row r="100" spans="1:2" x14ac:dyDescent="0.3">
      <c r="A100" s="116" t="s">
        <v>348</v>
      </c>
      <c r="B100" s="112">
        <v>0.03</v>
      </c>
    </row>
    <row r="101" spans="1:2" x14ac:dyDescent="0.3">
      <c r="A101" s="116" t="s">
        <v>989</v>
      </c>
      <c r="B101" s="112">
        <v>0.05</v>
      </c>
    </row>
    <row r="102" spans="1:2" x14ac:dyDescent="0.3">
      <c r="A102" s="116" t="s">
        <v>358</v>
      </c>
      <c r="B102" s="112">
        <v>0.05</v>
      </c>
    </row>
    <row r="103" spans="1:2" x14ac:dyDescent="0.3">
      <c r="A103" s="116" t="s">
        <v>908</v>
      </c>
      <c r="B103" s="112">
        <v>0.05</v>
      </c>
    </row>
    <row r="104" spans="1:2" x14ac:dyDescent="0.3">
      <c r="A104" s="116" t="s">
        <v>886</v>
      </c>
      <c r="B104" s="112">
        <v>0.05</v>
      </c>
    </row>
    <row r="105" spans="1:2" x14ac:dyDescent="0.3">
      <c r="A105" s="116" t="s">
        <v>209</v>
      </c>
      <c r="B105" s="112">
        <v>0.05</v>
      </c>
    </row>
    <row r="106" spans="1:2" x14ac:dyDescent="0.3">
      <c r="A106" s="116" t="s">
        <v>952</v>
      </c>
      <c r="B106" s="112">
        <v>0.05</v>
      </c>
    </row>
    <row r="107" spans="1:2" x14ac:dyDescent="0.3">
      <c r="A107" s="116" t="s">
        <v>950</v>
      </c>
      <c r="B107" s="112">
        <v>0.05</v>
      </c>
    </row>
    <row r="108" spans="1:2" x14ac:dyDescent="0.3">
      <c r="A108" s="116" t="s">
        <v>187</v>
      </c>
      <c r="B108" s="112">
        <v>0.05</v>
      </c>
    </row>
    <row r="109" spans="1:2" x14ac:dyDescent="0.3">
      <c r="A109" s="116" t="s">
        <v>990</v>
      </c>
      <c r="B109" s="112">
        <v>0.02</v>
      </c>
    </row>
    <row r="110" spans="1:2" x14ac:dyDescent="0.3">
      <c r="A110" s="116" t="s">
        <v>891</v>
      </c>
      <c r="B110" s="112">
        <v>0.05</v>
      </c>
    </row>
    <row r="111" spans="1:2" x14ac:dyDescent="0.3">
      <c r="A111" s="116" t="s">
        <v>408</v>
      </c>
      <c r="B111" s="112">
        <v>0.04</v>
      </c>
    </row>
    <row r="112" spans="1:2" x14ac:dyDescent="0.3">
      <c r="A112" s="116" t="s">
        <v>890</v>
      </c>
      <c r="B112" s="112">
        <v>0.02</v>
      </c>
    </row>
    <row r="113" spans="1:2" x14ac:dyDescent="0.3">
      <c r="A113" s="116" t="s">
        <v>951</v>
      </c>
      <c r="B113" s="112">
        <v>0.02</v>
      </c>
    </row>
    <row r="114" spans="1:2" x14ac:dyDescent="0.3">
      <c r="A114" s="116" t="s">
        <v>178</v>
      </c>
      <c r="B114" s="112">
        <v>0.05</v>
      </c>
    </row>
    <row r="115" spans="1:2" x14ac:dyDescent="0.3">
      <c r="A115" s="116" t="s">
        <v>282</v>
      </c>
      <c r="B115" s="112">
        <v>0.05</v>
      </c>
    </row>
    <row r="116" spans="1:2" x14ac:dyDescent="0.3">
      <c r="A116" s="116" t="s">
        <v>237</v>
      </c>
      <c r="B116" s="112">
        <v>0.05</v>
      </c>
    </row>
    <row r="117" spans="1:2" x14ac:dyDescent="0.3">
      <c r="A117" s="116" t="s">
        <v>953</v>
      </c>
      <c r="B117" s="112">
        <v>0.02</v>
      </c>
    </row>
    <row r="118" spans="1:2" x14ac:dyDescent="0.3">
      <c r="A118" s="116" t="s">
        <v>954</v>
      </c>
      <c r="B118" s="112">
        <v>0.05</v>
      </c>
    </row>
    <row r="119" spans="1:2" x14ac:dyDescent="0.3">
      <c r="A119" s="116" t="s">
        <v>955</v>
      </c>
      <c r="B119" s="112">
        <v>0.05</v>
      </c>
    </row>
    <row r="120" spans="1:2" x14ac:dyDescent="0.3">
      <c r="A120" s="116" t="s">
        <v>943</v>
      </c>
      <c r="B120" s="112">
        <v>2.5000000000000001E-2</v>
      </c>
    </row>
    <row r="121" spans="1:2" x14ac:dyDescent="0.3">
      <c r="A121" s="116" t="s">
        <v>233</v>
      </c>
      <c r="B121" s="112">
        <v>0.04</v>
      </c>
    </row>
    <row r="122" spans="1:2" x14ac:dyDescent="0.3">
      <c r="A122" s="116" t="s">
        <v>190</v>
      </c>
      <c r="B122" s="112">
        <v>0.05</v>
      </c>
    </row>
    <row r="123" spans="1:2" x14ac:dyDescent="0.3">
      <c r="A123" s="116" t="s">
        <v>194</v>
      </c>
      <c r="B123" s="112">
        <v>0.05</v>
      </c>
    </row>
    <row r="124" spans="1:2" x14ac:dyDescent="0.3">
      <c r="A124" s="116" t="s">
        <v>1240</v>
      </c>
      <c r="B124" s="112">
        <v>0.05</v>
      </c>
    </row>
    <row r="125" spans="1:2" x14ac:dyDescent="0.3">
      <c r="A125" s="116" t="s">
        <v>1274</v>
      </c>
      <c r="B125" s="112">
        <v>0.05</v>
      </c>
    </row>
    <row r="126" spans="1:2" x14ac:dyDescent="0.3">
      <c r="A126" s="116" t="s">
        <v>947</v>
      </c>
      <c r="B126" s="112">
        <v>0.05</v>
      </c>
    </row>
    <row r="127" spans="1:2" x14ac:dyDescent="0.3">
      <c r="A127" s="116" t="s">
        <v>915</v>
      </c>
      <c r="B127" s="112">
        <v>0.05</v>
      </c>
    </row>
    <row r="128" spans="1:2" x14ac:dyDescent="0.3">
      <c r="A128" s="116" t="s">
        <v>333</v>
      </c>
      <c r="B128" s="112">
        <v>0.05</v>
      </c>
    </row>
    <row r="129" spans="1:2" x14ac:dyDescent="0.3">
      <c r="A129" s="116" t="s">
        <v>1242</v>
      </c>
      <c r="B129" s="112">
        <v>0.05</v>
      </c>
    </row>
    <row r="130" spans="1:2" x14ac:dyDescent="0.3">
      <c r="A130" s="116" t="s">
        <v>218</v>
      </c>
      <c r="B130" s="112">
        <v>0.02</v>
      </c>
    </row>
    <row r="131" spans="1:2" x14ac:dyDescent="0.3">
      <c r="A131" s="116" t="s">
        <v>866</v>
      </c>
      <c r="B131" s="112">
        <v>0.03</v>
      </c>
    </row>
    <row r="132" spans="1:2" x14ac:dyDescent="0.3">
      <c r="A132" s="116" t="s">
        <v>1244</v>
      </c>
      <c r="B132" s="112">
        <v>0.05</v>
      </c>
    </row>
    <row r="133" spans="1:2" x14ac:dyDescent="0.3">
      <c r="A133" s="116" t="s">
        <v>1254</v>
      </c>
      <c r="B133" s="112">
        <v>0.05</v>
      </c>
    </row>
    <row r="134" spans="1:2" x14ac:dyDescent="0.3">
      <c r="A134" s="116" t="s">
        <v>919</v>
      </c>
      <c r="B134" s="112">
        <v>0.04</v>
      </c>
    </row>
    <row r="135" spans="1:2" x14ac:dyDescent="0.3">
      <c r="A135" s="116" t="s">
        <v>1273</v>
      </c>
      <c r="B135" s="112">
        <v>0.02</v>
      </c>
    </row>
    <row r="136" spans="1:2" x14ac:dyDescent="0.3">
      <c r="A136" s="116" t="s">
        <v>306</v>
      </c>
      <c r="B136" s="112">
        <v>0.05</v>
      </c>
    </row>
    <row r="137" spans="1:2" x14ac:dyDescent="0.3">
      <c r="A137" s="116" t="s">
        <v>1275</v>
      </c>
      <c r="B137" s="112">
        <v>0.02</v>
      </c>
    </row>
    <row r="138" spans="1:2" x14ac:dyDescent="0.3">
      <c r="A138" s="116" t="s">
        <v>1276</v>
      </c>
      <c r="B138" s="112">
        <v>0.05</v>
      </c>
    </row>
    <row r="139" spans="1:2" x14ac:dyDescent="0.3">
      <c r="A139" s="116" t="s">
        <v>1285</v>
      </c>
      <c r="B139" s="112">
        <v>0.05</v>
      </c>
    </row>
    <row r="140" spans="1:2" x14ac:dyDescent="0.3">
      <c r="A140" s="116" t="s">
        <v>207</v>
      </c>
      <c r="B140" s="112">
        <v>0.05</v>
      </c>
    </row>
    <row r="141" spans="1:2" x14ac:dyDescent="0.3">
      <c r="A141" s="116" t="s">
        <v>206</v>
      </c>
      <c r="B141" s="112">
        <v>2.5000000000000001E-2</v>
      </c>
    </row>
    <row r="142" spans="1:2" x14ac:dyDescent="0.3">
      <c r="A142" s="116" t="s">
        <v>1268</v>
      </c>
      <c r="B142" s="112">
        <v>0.05</v>
      </c>
    </row>
    <row r="143" spans="1:2" x14ac:dyDescent="0.3">
      <c r="A143" s="116" t="s">
        <v>1288</v>
      </c>
      <c r="B143" s="112">
        <v>0.05</v>
      </c>
    </row>
    <row r="144" spans="1:2" x14ac:dyDescent="0.3">
      <c r="A144" s="116" t="s">
        <v>1287</v>
      </c>
      <c r="B144" s="112">
        <v>0.05</v>
      </c>
    </row>
    <row r="145" spans="1:2" x14ac:dyDescent="0.3">
      <c r="A145" s="116" t="s">
        <v>903</v>
      </c>
      <c r="B145" s="112">
        <v>0.02</v>
      </c>
    </row>
    <row r="146" spans="1:2" x14ac:dyDescent="0.3">
      <c r="A146" s="116" t="s">
        <v>370</v>
      </c>
      <c r="B146" s="112">
        <v>0.05</v>
      </c>
    </row>
    <row r="147" spans="1:2" x14ac:dyDescent="0.3">
      <c r="A147" s="116" t="s">
        <v>1292</v>
      </c>
      <c r="B147" s="112">
        <v>0.05</v>
      </c>
    </row>
    <row r="148" spans="1:2" x14ac:dyDescent="0.3">
      <c r="A148" s="116" t="s">
        <v>286</v>
      </c>
      <c r="B148" s="112">
        <v>0.05</v>
      </c>
    </row>
    <row r="149" spans="1:2" x14ac:dyDescent="0.3">
      <c r="A149" s="116" t="s">
        <v>1289</v>
      </c>
      <c r="B149" s="112">
        <v>0.05</v>
      </c>
    </row>
    <row r="150" spans="1:2" x14ac:dyDescent="0.3">
      <c r="A150" s="116" t="s">
        <v>1291</v>
      </c>
      <c r="B150" s="112">
        <v>0.05</v>
      </c>
    </row>
    <row r="151" spans="1:2" x14ac:dyDescent="0.3">
      <c r="A151" s="116" t="s">
        <v>1290</v>
      </c>
      <c r="B151" s="112">
        <v>0.05</v>
      </c>
    </row>
    <row r="152" spans="1:2" x14ac:dyDescent="0.3">
      <c r="A152" s="116" t="s">
        <v>1262</v>
      </c>
      <c r="B152" s="112">
        <v>0.05</v>
      </c>
    </row>
    <row r="153" spans="1:2" x14ac:dyDescent="0.3">
      <c r="A153" s="116" t="s">
        <v>1294</v>
      </c>
      <c r="B153" s="112">
        <v>0.05</v>
      </c>
    </row>
    <row r="154" spans="1:2" x14ac:dyDescent="0.3">
      <c r="A154" s="116" t="s">
        <v>1269</v>
      </c>
      <c r="B154" s="112">
        <v>0.05</v>
      </c>
    </row>
    <row r="155" spans="1:2" x14ac:dyDescent="0.3">
      <c r="A155" s="116" t="s">
        <v>948</v>
      </c>
      <c r="B155" s="112">
        <v>0.02</v>
      </c>
    </row>
    <row r="156" spans="1:2" x14ac:dyDescent="0.3">
      <c r="A156" s="116" t="s">
        <v>1297</v>
      </c>
      <c r="B156" s="112">
        <v>0.03</v>
      </c>
    </row>
    <row r="157" spans="1:2" x14ac:dyDescent="0.3">
      <c r="A157" s="116" t="s">
        <v>1267</v>
      </c>
      <c r="B157" s="112">
        <v>0.04</v>
      </c>
    </row>
    <row r="158" spans="1:2" x14ac:dyDescent="0.3">
      <c r="A158" s="116" t="s">
        <v>380</v>
      </c>
      <c r="B158" s="112">
        <v>0.05</v>
      </c>
    </row>
    <row r="159" spans="1:2" x14ac:dyDescent="0.3">
      <c r="A159" s="116" t="s">
        <v>1303</v>
      </c>
      <c r="B159" s="112">
        <v>0.05</v>
      </c>
    </row>
    <row r="160" spans="1:2" x14ac:dyDescent="0.3">
      <c r="A160" s="116" t="s">
        <v>307</v>
      </c>
      <c r="B160" s="112">
        <v>0.05</v>
      </c>
    </row>
    <row r="161" spans="1:2" x14ac:dyDescent="0.3">
      <c r="A161" s="116" t="s">
        <v>1305</v>
      </c>
      <c r="B161" s="112">
        <v>0.05</v>
      </c>
    </row>
    <row r="162" spans="1:2" x14ac:dyDescent="0.3">
      <c r="A162" s="116" t="s">
        <v>1264</v>
      </c>
      <c r="B162" s="112">
        <v>0.05</v>
      </c>
    </row>
    <row r="163" spans="1:2" x14ac:dyDescent="0.3">
      <c r="A163" s="116" t="s">
        <v>1306</v>
      </c>
      <c r="B163" s="112">
        <v>0.05</v>
      </c>
    </row>
    <row r="164" spans="1:2" x14ac:dyDescent="0.3">
      <c r="A164" s="116" t="s">
        <v>1272</v>
      </c>
      <c r="B164" s="112">
        <v>0.03</v>
      </c>
    </row>
    <row r="165" spans="1:2" x14ac:dyDescent="0.3">
      <c r="A165" s="116" t="s">
        <v>1307</v>
      </c>
      <c r="B165" s="112">
        <v>0.05</v>
      </c>
    </row>
    <row r="166" spans="1:2" x14ac:dyDescent="0.3">
      <c r="A166" s="116" t="s">
        <v>1308</v>
      </c>
      <c r="B166" s="112">
        <v>0.05</v>
      </c>
    </row>
    <row r="167" spans="1:2" x14ac:dyDescent="0.3">
      <c r="A167" s="116" t="s">
        <v>1309</v>
      </c>
      <c r="B167" s="112">
        <v>0.05</v>
      </c>
    </row>
    <row r="168" spans="1:2" x14ac:dyDescent="0.3">
      <c r="A168" s="116" t="s">
        <v>1310</v>
      </c>
      <c r="B168" s="112">
        <v>0.05</v>
      </c>
    </row>
    <row r="169" spans="1:2" x14ac:dyDescent="0.3">
      <c r="A169" s="116" t="s">
        <v>1311</v>
      </c>
      <c r="B169" s="112">
        <v>0.02</v>
      </c>
    </row>
    <row r="170" spans="1:2" x14ac:dyDescent="0.3">
      <c r="A170" s="116" t="s">
        <v>1301</v>
      </c>
      <c r="B170" s="112">
        <v>0.05</v>
      </c>
    </row>
    <row r="171" spans="1:2" x14ac:dyDescent="0.3">
      <c r="A171" s="116" t="s">
        <v>375</v>
      </c>
      <c r="B171" s="112">
        <v>0.05</v>
      </c>
    </row>
    <row r="172" spans="1:2" x14ac:dyDescent="0.3">
      <c r="A172" s="116" t="s">
        <v>1315</v>
      </c>
      <c r="B172" s="112">
        <v>0.05</v>
      </c>
    </row>
    <row r="173" spans="1:2" x14ac:dyDescent="0.3">
      <c r="A173" s="116" t="s">
        <v>1317</v>
      </c>
      <c r="B173" s="112">
        <v>0.05</v>
      </c>
    </row>
    <row r="174" spans="1:2" x14ac:dyDescent="0.3">
      <c r="A174" s="116" t="s">
        <v>1342</v>
      </c>
      <c r="B174" s="112">
        <v>0.02</v>
      </c>
    </row>
    <row r="175" spans="1:2" x14ac:dyDescent="0.3">
      <c r="A175" s="116" t="s">
        <v>1343</v>
      </c>
      <c r="B175" s="112">
        <v>0.05</v>
      </c>
    </row>
    <row r="176" spans="1:2" x14ac:dyDescent="0.3">
      <c r="A176" s="116" t="s">
        <v>1344</v>
      </c>
      <c r="B176" s="112">
        <v>0.03</v>
      </c>
    </row>
    <row r="177" spans="1:2" x14ac:dyDescent="0.3">
      <c r="A177" s="116" t="s">
        <v>1379</v>
      </c>
      <c r="B177" s="112">
        <v>0.05</v>
      </c>
    </row>
    <row r="178" spans="1:2" x14ac:dyDescent="0.3">
      <c r="A178" s="116" t="s">
        <v>1466</v>
      </c>
      <c r="B178" s="112">
        <v>0.03</v>
      </c>
    </row>
    <row r="179" spans="1:2" x14ac:dyDescent="0.3">
      <c r="A179" s="116" t="s">
        <v>1467</v>
      </c>
      <c r="B179" s="112">
        <v>0.03</v>
      </c>
    </row>
    <row r="180" spans="1:2" x14ac:dyDescent="0.3">
      <c r="A180" s="116" t="s">
        <v>1470</v>
      </c>
      <c r="B180" s="112">
        <v>0.03</v>
      </c>
    </row>
    <row r="181" spans="1:2" x14ac:dyDescent="0.3">
      <c r="A181" s="116" t="s">
        <v>1469</v>
      </c>
      <c r="B181" s="112">
        <v>0.05</v>
      </c>
    </row>
    <row r="182" spans="1:2" x14ac:dyDescent="0.3">
      <c r="A182" s="116" t="s">
        <v>1488</v>
      </c>
      <c r="B182" s="112">
        <v>0.03</v>
      </c>
    </row>
    <row r="183" spans="1:2" x14ac:dyDescent="0.3">
      <c r="A183" s="116" t="s">
        <v>1489</v>
      </c>
      <c r="B183" s="112">
        <v>0.03</v>
      </c>
    </row>
    <row r="184" spans="1:2" x14ac:dyDescent="0.3">
      <c r="A184" s="116" t="s">
        <v>1492</v>
      </c>
      <c r="B184" s="112">
        <v>0.05</v>
      </c>
    </row>
    <row r="185" spans="1:2" x14ac:dyDescent="0.3">
      <c r="A185" s="116" t="s">
        <v>1499</v>
      </c>
      <c r="B185" s="112">
        <v>0.03</v>
      </c>
    </row>
    <row r="186" spans="1:2" x14ac:dyDescent="0.3">
      <c r="A186" s="116" t="s">
        <v>1514</v>
      </c>
      <c r="B186" s="112">
        <v>0.05</v>
      </c>
    </row>
    <row r="187" spans="1:2" x14ac:dyDescent="0.3">
      <c r="A187" s="116" t="s">
        <v>1532</v>
      </c>
      <c r="B187" s="112">
        <v>0.02</v>
      </c>
    </row>
  </sheetData>
  <sortState xmlns:xlrd2="http://schemas.microsoft.com/office/spreadsheetml/2017/richdata2" ref="A1:B5">
    <sortCondition ref="A1:A5"/>
  </sortState>
  <conditionalFormatting sqref="A1:A1048576">
    <cfRule type="duplicateValues" dxfId="14" priority="1"/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D98C-58D9-44AA-9C6D-C99CB4488916}">
  <sheetPr codeName="Planilha9"/>
  <dimension ref="A1:M47"/>
  <sheetViews>
    <sheetView workbookViewId="0">
      <selection activeCell="B32" sqref="B32"/>
    </sheetView>
  </sheetViews>
  <sheetFormatPr defaultRowHeight="14.4" x14ac:dyDescent="0.3"/>
  <cols>
    <col min="1" max="1" width="5.6640625" customWidth="1"/>
    <col min="2" max="2" width="162" customWidth="1"/>
    <col min="3" max="3" width="4.5546875" customWidth="1"/>
    <col min="4" max="4" width="40.109375" style="43" bestFit="1" customWidth="1"/>
  </cols>
  <sheetData>
    <row r="1" spans="1:5" ht="15" thickBot="1" x14ac:dyDescent="0.35">
      <c r="A1">
        <v>1</v>
      </c>
      <c r="B1" s="37" t="s">
        <v>27</v>
      </c>
    </row>
    <row r="2" spans="1:5" ht="15" thickBot="1" x14ac:dyDescent="0.35">
      <c r="A2">
        <v>2</v>
      </c>
      <c r="B2" s="37" t="s">
        <v>26</v>
      </c>
      <c r="D2" s="43" t="s">
        <v>1314</v>
      </c>
      <c r="E2">
        <v>1</v>
      </c>
    </row>
    <row r="3" spans="1:5" ht="15" thickBot="1" x14ac:dyDescent="0.35">
      <c r="A3">
        <v>3</v>
      </c>
      <c r="B3" s="37" t="s">
        <v>28</v>
      </c>
      <c r="D3" s="43" t="s">
        <v>1318</v>
      </c>
      <c r="E3">
        <v>1</v>
      </c>
    </row>
    <row r="4" spans="1:5" ht="15" thickBot="1" x14ac:dyDescent="0.35">
      <c r="A4">
        <v>4</v>
      </c>
      <c r="B4" s="37" t="s">
        <v>29</v>
      </c>
      <c r="D4" s="43" t="s">
        <v>1313</v>
      </c>
      <c r="E4">
        <v>2</v>
      </c>
    </row>
    <row r="5" spans="1:5" ht="15" thickBot="1" x14ac:dyDescent="0.35">
      <c r="A5">
        <v>5</v>
      </c>
      <c r="B5" s="37" t="s">
        <v>63</v>
      </c>
      <c r="D5" s="43" t="s">
        <v>1334</v>
      </c>
      <c r="E5">
        <v>3</v>
      </c>
    </row>
    <row r="6" spans="1:5" ht="15" thickBot="1" x14ac:dyDescent="0.35">
      <c r="A6">
        <v>6</v>
      </c>
      <c r="B6" s="37" t="s">
        <v>64</v>
      </c>
      <c r="D6" s="43" t="s">
        <v>1474</v>
      </c>
      <c r="E6">
        <v>4</v>
      </c>
    </row>
    <row r="7" spans="1:5" ht="15" thickBot="1" x14ac:dyDescent="0.35">
      <c r="A7">
        <v>7</v>
      </c>
      <c r="B7" s="37" t="s">
        <v>38</v>
      </c>
      <c r="D7" s="43" t="s">
        <v>1320</v>
      </c>
      <c r="E7">
        <v>5</v>
      </c>
    </row>
    <row r="8" spans="1:5" ht="15" thickBot="1" x14ac:dyDescent="0.35">
      <c r="A8">
        <v>8</v>
      </c>
      <c r="B8" s="37" t="s">
        <v>39</v>
      </c>
      <c r="D8" s="43" t="s">
        <v>1475</v>
      </c>
      <c r="E8">
        <v>5</v>
      </c>
    </row>
    <row r="9" spans="1:5" ht="15" thickBot="1" x14ac:dyDescent="0.35">
      <c r="A9">
        <v>9</v>
      </c>
      <c r="B9" s="37" t="s">
        <v>35</v>
      </c>
      <c r="D9" s="43" t="s">
        <v>1476</v>
      </c>
      <c r="E9">
        <v>6</v>
      </c>
    </row>
    <row r="10" spans="1:5" ht="15" thickBot="1" x14ac:dyDescent="0.35">
      <c r="A10">
        <v>10</v>
      </c>
      <c r="B10" s="37" t="s">
        <v>68</v>
      </c>
      <c r="D10" s="43" t="s">
        <v>1480</v>
      </c>
      <c r="E10">
        <v>6</v>
      </c>
    </row>
    <row r="11" spans="1:5" ht="15" thickBot="1" x14ac:dyDescent="0.35">
      <c r="A11">
        <v>11</v>
      </c>
      <c r="B11" s="37" t="s">
        <v>69</v>
      </c>
      <c r="D11" s="43" t="s">
        <v>15</v>
      </c>
      <c r="E11">
        <v>7</v>
      </c>
    </row>
    <row r="12" spans="1:5" ht="15" thickBot="1" x14ac:dyDescent="0.35">
      <c r="A12">
        <v>12</v>
      </c>
      <c r="B12" s="37" t="s">
        <v>36</v>
      </c>
      <c r="D12" s="43" t="s">
        <v>1337</v>
      </c>
      <c r="E12">
        <v>8</v>
      </c>
    </row>
    <row r="13" spans="1:5" ht="15" thickBot="1" x14ac:dyDescent="0.35">
      <c r="A13">
        <v>13</v>
      </c>
      <c r="B13" s="37" t="s">
        <v>75</v>
      </c>
      <c r="D13" s="43" t="s">
        <v>1477</v>
      </c>
      <c r="E13">
        <v>9</v>
      </c>
    </row>
    <row r="14" spans="1:5" ht="15" thickBot="1" x14ac:dyDescent="0.35">
      <c r="A14">
        <v>14</v>
      </c>
      <c r="B14" s="37" t="s">
        <v>76</v>
      </c>
      <c r="D14" s="43" t="s">
        <v>1481</v>
      </c>
      <c r="E14">
        <v>9</v>
      </c>
    </row>
    <row r="15" spans="1:5" ht="15" thickBot="1" x14ac:dyDescent="0.35">
      <c r="A15">
        <v>15</v>
      </c>
      <c r="B15" s="37" t="s">
        <v>65</v>
      </c>
      <c r="D15" s="43" t="s">
        <v>1478</v>
      </c>
      <c r="E15">
        <v>10</v>
      </c>
    </row>
    <row r="16" spans="1:5" ht="15" thickBot="1" x14ac:dyDescent="0.35">
      <c r="A16">
        <v>16</v>
      </c>
      <c r="B16" s="37" t="s">
        <v>77</v>
      </c>
      <c r="D16" s="43" t="s">
        <v>1479</v>
      </c>
      <c r="E16">
        <v>11</v>
      </c>
    </row>
    <row r="17" spans="1:5" ht="15" thickBot="1" x14ac:dyDescent="0.35">
      <c r="A17">
        <v>17</v>
      </c>
      <c r="B17" s="37" t="s">
        <v>78</v>
      </c>
      <c r="D17" s="43" t="s">
        <v>1482</v>
      </c>
      <c r="E17">
        <v>12</v>
      </c>
    </row>
    <row r="18" spans="1:5" ht="15" thickBot="1" x14ac:dyDescent="0.35">
      <c r="A18">
        <v>18</v>
      </c>
      <c r="B18" s="37" t="s">
        <v>66</v>
      </c>
      <c r="D18" s="43" t="s">
        <v>1483</v>
      </c>
      <c r="E18">
        <v>12</v>
      </c>
    </row>
    <row r="19" spans="1:5" ht="15" thickBot="1" x14ac:dyDescent="0.35">
      <c r="A19">
        <v>19</v>
      </c>
      <c r="B19" s="37" t="s">
        <v>1295</v>
      </c>
      <c r="D19" s="43" t="s">
        <v>1321</v>
      </c>
      <c r="E19">
        <v>25</v>
      </c>
    </row>
    <row r="20" spans="1:5" ht="15" thickBot="1" x14ac:dyDescent="0.35">
      <c r="A20">
        <v>20</v>
      </c>
      <c r="B20" s="37" t="s">
        <v>1296</v>
      </c>
      <c r="D20" s="43" t="s">
        <v>1490</v>
      </c>
      <c r="E20">
        <v>9</v>
      </c>
    </row>
    <row r="21" spans="1:5" ht="15" thickBot="1" x14ac:dyDescent="0.35">
      <c r="A21">
        <v>21</v>
      </c>
      <c r="B21" s="37" t="s">
        <v>79</v>
      </c>
      <c r="D21" s="43" t="s">
        <v>1495</v>
      </c>
      <c r="E21">
        <v>28</v>
      </c>
    </row>
    <row r="22" spans="1:5" ht="15" thickBot="1" x14ac:dyDescent="0.35">
      <c r="A22">
        <v>22</v>
      </c>
      <c r="B22" s="37" t="s">
        <v>80</v>
      </c>
      <c r="D22" s="43" t="s">
        <v>1517</v>
      </c>
      <c r="E22">
        <v>14</v>
      </c>
    </row>
    <row r="23" spans="1:5" x14ac:dyDescent="0.3">
      <c r="A23">
        <v>23</v>
      </c>
      <c r="B23" s="37" t="s">
        <v>81</v>
      </c>
      <c r="D23" s="43" t="s">
        <v>1522</v>
      </c>
      <c r="E23">
        <v>29</v>
      </c>
    </row>
    <row r="24" spans="1:5" x14ac:dyDescent="0.3">
      <c r="A24">
        <v>24</v>
      </c>
      <c r="B24" s="110" t="s">
        <v>259</v>
      </c>
      <c r="D24" s="43" t="s">
        <v>1525</v>
      </c>
      <c r="E24">
        <v>30</v>
      </c>
    </row>
    <row r="25" spans="1:5" x14ac:dyDescent="0.3">
      <c r="A25">
        <v>25</v>
      </c>
      <c r="B25" s="110" t="s">
        <v>265</v>
      </c>
      <c r="D25" s="43" t="s">
        <v>1526</v>
      </c>
      <c r="E25">
        <v>30</v>
      </c>
    </row>
    <row r="26" spans="1:5" ht="15" thickBot="1" x14ac:dyDescent="0.35">
      <c r="A26">
        <v>26</v>
      </c>
      <c r="B26" s="183" t="s">
        <v>1304</v>
      </c>
      <c r="D26" s="43" t="s">
        <v>1530</v>
      </c>
      <c r="E26">
        <v>31</v>
      </c>
    </row>
    <row r="27" spans="1:5" ht="15" thickBot="1" x14ac:dyDescent="0.35">
      <c r="A27">
        <v>27</v>
      </c>
      <c r="B27" s="37" t="s">
        <v>1377</v>
      </c>
    </row>
    <row r="28" spans="1:5" ht="15" thickBot="1" x14ac:dyDescent="0.35">
      <c r="A28">
        <v>28</v>
      </c>
      <c r="B28" s="37" t="s">
        <v>1494</v>
      </c>
    </row>
    <row r="29" spans="1:5" ht="15" thickBot="1" x14ac:dyDescent="0.35">
      <c r="A29" s="113">
        <v>29</v>
      </c>
      <c r="B29" s="37" t="s">
        <v>1523</v>
      </c>
    </row>
    <row r="30" spans="1:5" ht="15" thickBot="1" x14ac:dyDescent="0.35">
      <c r="A30">
        <v>30</v>
      </c>
      <c r="B30" s="37" t="s">
        <v>1471</v>
      </c>
    </row>
    <row r="31" spans="1:5" ht="15" thickBot="1" x14ac:dyDescent="0.35">
      <c r="A31">
        <v>31</v>
      </c>
      <c r="B31" s="37" t="s">
        <v>1531</v>
      </c>
    </row>
    <row r="32" spans="1:5" x14ac:dyDescent="0.3">
      <c r="A32" t="s">
        <v>949</v>
      </c>
      <c r="B32" s="37" t="s">
        <v>1471</v>
      </c>
    </row>
    <row r="41" spans="10:13" x14ac:dyDescent="0.3">
      <c r="J41" t="s">
        <v>70</v>
      </c>
      <c r="K41" t="s">
        <v>71</v>
      </c>
      <c r="L41" t="s">
        <v>72</v>
      </c>
      <c r="M41" t="s">
        <v>73</v>
      </c>
    </row>
    <row r="42" spans="10:13" x14ac:dyDescent="0.3">
      <c r="J42" t="s">
        <v>74</v>
      </c>
      <c r="K42" t="s">
        <v>74</v>
      </c>
    </row>
    <row r="43" spans="10:13" x14ac:dyDescent="0.3">
      <c r="J43" t="s">
        <v>74</v>
      </c>
      <c r="L43" t="s">
        <v>74</v>
      </c>
    </row>
    <row r="44" spans="10:13" x14ac:dyDescent="0.3">
      <c r="J44" t="s">
        <v>74</v>
      </c>
      <c r="M44" t="s">
        <v>74</v>
      </c>
    </row>
    <row r="45" spans="10:13" x14ac:dyDescent="0.3">
      <c r="K45" t="s">
        <v>74</v>
      </c>
      <c r="L45" t="s">
        <v>74</v>
      </c>
    </row>
    <row r="46" spans="10:13" x14ac:dyDescent="0.3">
      <c r="K46" t="s">
        <v>74</v>
      </c>
      <c r="M46" t="s">
        <v>74</v>
      </c>
    </row>
    <row r="47" spans="10:13" x14ac:dyDescent="0.3">
      <c r="L47" t="s">
        <v>74</v>
      </c>
      <c r="M47" t="s">
        <v>74</v>
      </c>
    </row>
  </sheetData>
  <sortState xmlns:xlrd2="http://schemas.microsoft.com/office/spreadsheetml/2017/richdata2" ref="D2:E19">
    <sortCondition ref="E2:E19"/>
  </sortState>
  <conditionalFormatting sqref="D1:D1048576">
    <cfRule type="duplicateValues" dxfId="13" priority="1"/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3779-CA37-48BA-A44D-96F32B08D00B}">
  <sheetPr codeName="Planilha10"/>
  <dimension ref="A1:J1114"/>
  <sheetViews>
    <sheetView topLeftCell="C1" workbookViewId="0">
      <selection activeCell="D1105" sqref="D1104:D1105"/>
    </sheetView>
  </sheetViews>
  <sheetFormatPr defaultRowHeight="14.4" x14ac:dyDescent="0.3"/>
  <cols>
    <col min="2" max="2" width="30.6640625" bestFit="1" customWidth="1"/>
    <col min="3" max="3" width="49.44140625" bestFit="1" customWidth="1"/>
    <col min="4" max="4" width="90.109375" customWidth="1"/>
    <col min="5" max="5" width="21.109375" customWidth="1"/>
    <col min="6" max="6" width="18" customWidth="1"/>
  </cols>
  <sheetData>
    <row r="1" spans="1:10" x14ac:dyDescent="0.3">
      <c r="B1" s="43" t="s">
        <v>40</v>
      </c>
      <c r="C1" s="43" t="s">
        <v>61</v>
      </c>
      <c r="D1" s="43" t="s">
        <v>58</v>
      </c>
      <c r="E1" s="43" t="s">
        <v>62</v>
      </c>
      <c r="F1" s="43" t="s">
        <v>60</v>
      </c>
      <c r="G1" t="s">
        <v>40</v>
      </c>
    </row>
    <row r="2" spans="1:10" x14ac:dyDescent="0.3">
      <c r="A2" s="44">
        <v>2</v>
      </c>
      <c r="B2" s="43" t="s">
        <v>41</v>
      </c>
      <c r="C2" s="43" t="s">
        <v>8954</v>
      </c>
      <c r="D2" s="45" t="s">
        <v>8954</v>
      </c>
      <c r="E2" s="46" t="s">
        <v>8954</v>
      </c>
      <c r="F2" s="48" t="s">
        <v>8954</v>
      </c>
      <c r="G2" t="s">
        <v>41</v>
      </c>
    </row>
    <row r="3" spans="1:10" x14ac:dyDescent="0.3">
      <c r="A3" s="44">
        <v>3</v>
      </c>
      <c r="B3" s="43" t="s">
        <v>42</v>
      </c>
      <c r="C3" s="43" t="s">
        <v>8954</v>
      </c>
      <c r="D3" s="45" t="s">
        <v>8954</v>
      </c>
      <c r="E3" s="46" t="s">
        <v>8954</v>
      </c>
      <c r="F3" s="48" t="s">
        <v>8954</v>
      </c>
      <c r="G3" t="s">
        <v>42</v>
      </c>
    </row>
    <row r="4" spans="1:10" x14ac:dyDescent="0.3">
      <c r="A4" s="44">
        <v>6</v>
      </c>
      <c r="B4" s="43" t="s">
        <v>43</v>
      </c>
      <c r="C4" s="43" t="s">
        <v>8954</v>
      </c>
      <c r="D4" s="45" t="s">
        <v>8954</v>
      </c>
      <c r="E4" s="46" t="s">
        <v>8954</v>
      </c>
      <c r="F4" s="48" t="s">
        <v>8954</v>
      </c>
      <c r="G4" t="s">
        <v>944</v>
      </c>
    </row>
    <row r="5" spans="1:10" x14ac:dyDescent="0.3">
      <c r="A5" s="44">
        <v>7</v>
      </c>
      <c r="B5" s="43" t="s">
        <v>41</v>
      </c>
      <c r="C5" s="43" t="s">
        <v>8954</v>
      </c>
      <c r="D5" s="45" t="s">
        <v>8954</v>
      </c>
      <c r="E5" s="46" t="s">
        <v>8954</v>
      </c>
      <c r="F5" s="49" t="s">
        <v>8954</v>
      </c>
      <c r="G5" t="s">
        <v>41</v>
      </c>
    </row>
    <row r="6" spans="1:10" x14ac:dyDescent="0.3">
      <c r="A6" s="44">
        <v>9</v>
      </c>
      <c r="B6" s="43" t="s">
        <v>44</v>
      </c>
      <c r="C6" s="43" t="s">
        <v>8954</v>
      </c>
      <c r="D6" s="45" t="s">
        <v>8954</v>
      </c>
      <c r="E6" s="46" t="s">
        <v>8954</v>
      </c>
      <c r="F6" s="48" t="s">
        <v>8954</v>
      </c>
      <c r="G6" t="s">
        <v>333</v>
      </c>
    </row>
    <row r="7" spans="1:10" x14ac:dyDescent="0.3">
      <c r="A7" s="44">
        <v>10</v>
      </c>
      <c r="B7" s="43" t="s">
        <v>45</v>
      </c>
      <c r="C7" s="43" t="s">
        <v>8954</v>
      </c>
      <c r="D7" s="45" t="s">
        <v>8954</v>
      </c>
      <c r="E7" s="46" t="s">
        <v>8954</v>
      </c>
      <c r="F7" s="48" t="s">
        <v>8954</v>
      </c>
      <c r="G7" t="s">
        <v>945</v>
      </c>
    </row>
    <row r="8" spans="1:10" x14ac:dyDescent="0.3">
      <c r="A8" s="44">
        <v>15</v>
      </c>
      <c r="B8" s="43" t="s">
        <v>46</v>
      </c>
      <c r="C8" s="43" t="s">
        <v>8954</v>
      </c>
      <c r="D8" s="45" t="s">
        <v>8954</v>
      </c>
      <c r="E8" s="46" t="s">
        <v>8954</v>
      </c>
      <c r="F8" s="48" t="s">
        <v>8954</v>
      </c>
      <c r="G8" t="s">
        <v>908</v>
      </c>
    </row>
    <row r="9" spans="1:10" x14ac:dyDescent="0.3">
      <c r="A9" s="44">
        <v>18</v>
      </c>
      <c r="B9" s="43" t="s">
        <v>47</v>
      </c>
      <c r="C9" s="43" t="s">
        <v>8954</v>
      </c>
      <c r="D9" s="45" t="s">
        <v>8954</v>
      </c>
      <c r="E9" s="46" t="s">
        <v>8954</v>
      </c>
      <c r="F9" t="s">
        <v>8954</v>
      </c>
      <c r="G9" t="s">
        <v>306</v>
      </c>
    </row>
    <row r="10" spans="1:10" x14ac:dyDescent="0.3">
      <c r="A10" s="44">
        <v>19</v>
      </c>
      <c r="B10" s="43" t="s">
        <v>48</v>
      </c>
      <c r="C10" s="43" t="s">
        <v>8954</v>
      </c>
      <c r="D10" s="45" t="s">
        <v>8954</v>
      </c>
      <c r="E10" s="46" t="s">
        <v>8954</v>
      </c>
      <c r="F10" s="48" t="s">
        <v>8954</v>
      </c>
      <c r="G10" t="s">
        <v>947</v>
      </c>
    </row>
    <row r="11" spans="1:10" x14ac:dyDescent="0.3">
      <c r="A11" s="44">
        <v>20</v>
      </c>
      <c r="B11" s="43" t="s">
        <v>49</v>
      </c>
      <c r="C11" s="43" t="s">
        <v>8954</v>
      </c>
      <c r="D11" s="45" t="s">
        <v>8954</v>
      </c>
      <c r="E11" s="46" t="s">
        <v>8954</v>
      </c>
      <c r="F11" s="48" t="s">
        <v>8954</v>
      </c>
      <c r="G11" t="s">
        <v>946</v>
      </c>
    </row>
    <row r="12" spans="1:10" x14ac:dyDescent="0.3">
      <c r="A12" s="44">
        <v>24</v>
      </c>
      <c r="B12" s="43" t="s">
        <v>50</v>
      </c>
      <c r="C12" s="43" t="s">
        <v>8954</v>
      </c>
      <c r="D12" s="45" t="s">
        <v>8954</v>
      </c>
      <c r="E12" s="46" t="s">
        <v>8954</v>
      </c>
      <c r="F12" s="48" t="s">
        <v>8954</v>
      </c>
      <c r="G12" t="s">
        <v>368</v>
      </c>
    </row>
    <row r="13" spans="1:10" x14ac:dyDescent="0.3">
      <c r="A13" s="44">
        <v>26</v>
      </c>
      <c r="B13" s="43" t="s">
        <v>51</v>
      </c>
      <c r="C13" s="43" t="s">
        <v>8954</v>
      </c>
      <c r="D13" s="45" t="s">
        <v>8954</v>
      </c>
      <c r="E13" s="46" t="s">
        <v>8954</v>
      </c>
      <c r="F13" s="48" t="s">
        <v>8954</v>
      </c>
      <c r="G13" t="s">
        <v>943</v>
      </c>
    </row>
    <row r="14" spans="1:10" x14ac:dyDescent="0.3">
      <c r="A14" s="44">
        <v>28</v>
      </c>
      <c r="B14" s="43" t="s">
        <v>41</v>
      </c>
      <c r="C14" s="43" t="s">
        <v>8954</v>
      </c>
      <c r="D14" s="45" t="s">
        <v>8954</v>
      </c>
      <c r="E14" s="46" t="s">
        <v>8954</v>
      </c>
      <c r="F14" s="48" t="s">
        <v>8954</v>
      </c>
      <c r="G14" t="s">
        <v>41</v>
      </c>
    </row>
    <row r="15" spans="1:10" x14ac:dyDescent="0.3">
      <c r="A15" s="44">
        <v>37</v>
      </c>
      <c r="B15" s="43" t="s">
        <v>46</v>
      </c>
      <c r="C15" s="43" t="s">
        <v>8954</v>
      </c>
      <c r="D15" s="45" t="s">
        <v>8954</v>
      </c>
      <c r="E15" s="46" t="s">
        <v>8954</v>
      </c>
      <c r="F15" s="50" t="s">
        <v>8954</v>
      </c>
      <c r="G15" t="s">
        <v>908</v>
      </c>
      <c r="I15" t="e" cm="1">
        <f t="array" aca="1" ref="I15" ca="1">ConsultarCidadePorCEP(J15)</f>
        <v>#NAME?</v>
      </c>
      <c r="J15">
        <v>31990570</v>
      </c>
    </row>
    <row r="16" spans="1:10" x14ac:dyDescent="0.3">
      <c r="A16" s="44">
        <v>38</v>
      </c>
      <c r="B16" s="43" t="s">
        <v>52</v>
      </c>
      <c r="C16" s="43" t="s">
        <v>8954</v>
      </c>
      <c r="D16" s="45" t="s">
        <v>8954</v>
      </c>
      <c r="E16" s="46" t="s">
        <v>8954</v>
      </c>
      <c r="F16" s="47" t="s">
        <v>8954</v>
      </c>
      <c r="G16" t="s">
        <v>321</v>
      </c>
    </row>
    <row r="17" spans="1:7" x14ac:dyDescent="0.3">
      <c r="A17" s="44">
        <v>43</v>
      </c>
      <c r="B17" s="43" t="s">
        <v>53</v>
      </c>
      <c r="C17" s="43" t="s">
        <v>8954</v>
      </c>
      <c r="D17" s="45" t="s">
        <v>8954</v>
      </c>
      <c r="E17" s="46" t="s">
        <v>8954</v>
      </c>
      <c r="F17" s="50" t="s">
        <v>8954</v>
      </c>
      <c r="G17" t="s">
        <v>53</v>
      </c>
    </row>
    <row r="18" spans="1:7" x14ac:dyDescent="0.3">
      <c r="A18" s="44">
        <v>45</v>
      </c>
      <c r="B18" s="43" t="s">
        <v>54</v>
      </c>
      <c r="C18" s="43" t="s">
        <v>8954</v>
      </c>
      <c r="D18" s="45" t="s">
        <v>8954</v>
      </c>
      <c r="E18" s="46" t="s">
        <v>8954</v>
      </c>
      <c r="F18" s="50" t="s">
        <v>8954</v>
      </c>
      <c r="G18" t="s">
        <v>54</v>
      </c>
    </row>
    <row r="19" spans="1:7" x14ac:dyDescent="0.3">
      <c r="A19" s="44">
        <v>46</v>
      </c>
      <c r="B19" s="43" t="s">
        <v>45</v>
      </c>
      <c r="C19" s="43" t="s">
        <v>8954</v>
      </c>
      <c r="D19" s="45" t="s">
        <v>8954</v>
      </c>
      <c r="E19" s="46" t="s">
        <v>8954</v>
      </c>
      <c r="F19" s="48" t="s">
        <v>8954</v>
      </c>
      <c r="G19" t="s">
        <v>945</v>
      </c>
    </row>
    <row r="20" spans="1:7" x14ac:dyDescent="0.3">
      <c r="A20" s="44">
        <v>47</v>
      </c>
      <c r="B20" s="43" t="s">
        <v>55</v>
      </c>
      <c r="C20" s="43" t="s">
        <v>8954</v>
      </c>
      <c r="D20" s="45" t="s">
        <v>8954</v>
      </c>
      <c r="E20" s="46" t="s">
        <v>8954</v>
      </c>
      <c r="F20" s="50" t="s">
        <v>8954</v>
      </c>
      <c r="G20" t="s">
        <v>948</v>
      </c>
    </row>
    <row r="21" spans="1:7" x14ac:dyDescent="0.3">
      <c r="A21" s="123">
        <v>49</v>
      </c>
      <c r="B21" s="124" t="s">
        <v>1277</v>
      </c>
      <c r="C21" s="124" t="s">
        <v>8954</v>
      </c>
      <c r="D21" s="45" t="s">
        <v>8954</v>
      </c>
      <c r="E21" s="46" t="s">
        <v>8954</v>
      </c>
      <c r="F21" s="125" t="s">
        <v>8954</v>
      </c>
    </row>
    <row r="22" spans="1:7" x14ac:dyDescent="0.3">
      <c r="A22" s="123">
        <v>55</v>
      </c>
      <c r="B22" s="124" t="s">
        <v>177</v>
      </c>
      <c r="C22" s="124" t="s">
        <v>8954</v>
      </c>
      <c r="D22" s="45" t="s">
        <v>8954</v>
      </c>
      <c r="E22" s="46" t="s">
        <v>8954</v>
      </c>
      <c r="F22" s="125" t="s">
        <v>8954</v>
      </c>
      <c r="G22" t="s">
        <v>177</v>
      </c>
    </row>
    <row r="23" spans="1:7" x14ac:dyDescent="0.3">
      <c r="A23" s="123">
        <v>42</v>
      </c>
      <c r="B23" s="124" t="s">
        <v>1535</v>
      </c>
      <c r="C23" s="124" t="s">
        <v>8954</v>
      </c>
      <c r="D23" s="45" t="s">
        <v>8954</v>
      </c>
      <c r="E23" s="46" t="s">
        <v>8954</v>
      </c>
      <c r="F23" s="125" t="s">
        <v>8954</v>
      </c>
      <c r="G23" t="s">
        <v>990</v>
      </c>
    </row>
    <row r="24" spans="1:7" x14ac:dyDescent="0.3">
      <c r="D24" s="45" t="s">
        <v>8954</v>
      </c>
    </row>
    <row r="25" spans="1:7" x14ac:dyDescent="0.3">
      <c r="D25" s="45" t="s">
        <v>8954</v>
      </c>
    </row>
    <row r="26" spans="1:7" x14ac:dyDescent="0.3">
      <c r="D26" s="45" t="s">
        <v>8954</v>
      </c>
    </row>
    <row r="27" spans="1:7" x14ac:dyDescent="0.3">
      <c r="D27" s="45" t="s">
        <v>8954</v>
      </c>
    </row>
    <row r="28" spans="1:7" x14ac:dyDescent="0.3">
      <c r="D28" s="45" t="s">
        <v>8954</v>
      </c>
    </row>
    <row r="29" spans="1:7" x14ac:dyDescent="0.3">
      <c r="D29" s="45" t="s">
        <v>8954</v>
      </c>
    </row>
    <row r="30" spans="1:7" x14ac:dyDescent="0.3">
      <c r="D30" s="45" t="s">
        <v>8954</v>
      </c>
    </row>
    <row r="31" spans="1:7" x14ac:dyDescent="0.3">
      <c r="D31" s="45" t="s">
        <v>8954</v>
      </c>
    </row>
    <row r="32" spans="1:7" x14ac:dyDescent="0.3">
      <c r="D32" s="45" t="s">
        <v>8954</v>
      </c>
    </row>
    <row r="33" spans="4:4" x14ac:dyDescent="0.3">
      <c r="D33" s="45" t="s">
        <v>8954</v>
      </c>
    </row>
    <row r="34" spans="4:4" x14ac:dyDescent="0.3">
      <c r="D34" s="45" t="s">
        <v>8954</v>
      </c>
    </row>
    <row r="35" spans="4:4" x14ac:dyDescent="0.3">
      <c r="D35" s="45" t="s">
        <v>8954</v>
      </c>
    </row>
    <row r="36" spans="4:4" x14ac:dyDescent="0.3">
      <c r="D36" s="45" t="s">
        <v>8954</v>
      </c>
    </row>
    <row r="37" spans="4:4" x14ac:dyDescent="0.3">
      <c r="D37" s="45" t="s">
        <v>8954</v>
      </c>
    </row>
    <row r="38" spans="4:4" x14ac:dyDescent="0.3">
      <c r="D38" s="45" t="s">
        <v>8954</v>
      </c>
    </row>
    <row r="39" spans="4:4" x14ac:dyDescent="0.3">
      <c r="D39" s="45" t="s">
        <v>8954</v>
      </c>
    </row>
    <row r="40" spans="4:4" x14ac:dyDescent="0.3">
      <c r="D40" s="45" t="s">
        <v>8954</v>
      </c>
    </row>
    <row r="41" spans="4:4" x14ac:dyDescent="0.3">
      <c r="D41" s="45" t="s">
        <v>8954</v>
      </c>
    </row>
    <row r="42" spans="4:4" x14ac:dyDescent="0.3">
      <c r="D42" s="45" t="s">
        <v>8954</v>
      </c>
    </row>
    <row r="43" spans="4:4" x14ac:dyDescent="0.3">
      <c r="D43" s="45" t="s">
        <v>8954</v>
      </c>
    </row>
    <row r="44" spans="4:4" x14ac:dyDescent="0.3">
      <c r="D44" s="45" t="s">
        <v>8954</v>
      </c>
    </row>
    <row r="45" spans="4:4" x14ac:dyDescent="0.3">
      <c r="D45" s="45" t="s">
        <v>8954</v>
      </c>
    </row>
    <row r="46" spans="4:4" x14ac:dyDescent="0.3">
      <c r="D46" s="45" t="s">
        <v>8954</v>
      </c>
    </row>
    <row r="47" spans="4:4" x14ac:dyDescent="0.3">
      <c r="D47" s="45" t="s">
        <v>8954</v>
      </c>
    </row>
    <row r="48" spans="4:4" x14ac:dyDescent="0.3">
      <c r="D48" s="45" t="s">
        <v>8954</v>
      </c>
    </row>
    <row r="49" spans="4:4" x14ac:dyDescent="0.3">
      <c r="D49" s="45" t="s">
        <v>8954</v>
      </c>
    </row>
    <row r="50" spans="4:4" x14ac:dyDescent="0.3">
      <c r="D50" s="45" t="s">
        <v>8954</v>
      </c>
    </row>
    <row r="51" spans="4:4" x14ac:dyDescent="0.3">
      <c r="D51" s="45" t="s">
        <v>8954</v>
      </c>
    </row>
    <row r="52" spans="4:4" x14ac:dyDescent="0.3">
      <c r="D52" s="45" t="s">
        <v>8954</v>
      </c>
    </row>
    <row r="53" spans="4:4" x14ac:dyDescent="0.3">
      <c r="D53" s="45" t="s">
        <v>8954</v>
      </c>
    </row>
    <row r="54" spans="4:4" x14ac:dyDescent="0.3">
      <c r="D54" s="45" t="s">
        <v>8954</v>
      </c>
    </row>
    <row r="55" spans="4:4" x14ac:dyDescent="0.3">
      <c r="D55" s="45" t="s">
        <v>8954</v>
      </c>
    </row>
    <row r="56" spans="4:4" x14ac:dyDescent="0.3">
      <c r="D56" s="45" t="s">
        <v>8954</v>
      </c>
    </row>
    <row r="57" spans="4:4" x14ac:dyDescent="0.3">
      <c r="D57" s="45" t="s">
        <v>8954</v>
      </c>
    </row>
    <row r="58" spans="4:4" x14ac:dyDescent="0.3">
      <c r="D58" s="45" t="s">
        <v>8954</v>
      </c>
    </row>
    <row r="59" spans="4:4" x14ac:dyDescent="0.3">
      <c r="D59" s="45" t="s">
        <v>8954</v>
      </c>
    </row>
    <row r="60" spans="4:4" x14ac:dyDescent="0.3">
      <c r="D60" s="45" t="s">
        <v>8954</v>
      </c>
    </row>
    <row r="61" spans="4:4" x14ac:dyDescent="0.3">
      <c r="D61" s="45" t="s">
        <v>8954</v>
      </c>
    </row>
    <row r="62" spans="4:4" x14ac:dyDescent="0.3">
      <c r="D62" s="45" t="s">
        <v>8954</v>
      </c>
    </row>
    <row r="63" spans="4:4" x14ac:dyDescent="0.3">
      <c r="D63" s="45" t="s">
        <v>8954</v>
      </c>
    </row>
    <row r="64" spans="4:4" x14ac:dyDescent="0.3">
      <c r="D64" s="45" t="s">
        <v>8954</v>
      </c>
    </row>
    <row r="65" spans="4:4" x14ac:dyDescent="0.3">
      <c r="D65" s="45" t="s">
        <v>8954</v>
      </c>
    </row>
    <row r="66" spans="4:4" x14ac:dyDescent="0.3">
      <c r="D66" s="45" t="s">
        <v>8954</v>
      </c>
    </row>
    <row r="67" spans="4:4" x14ac:dyDescent="0.3">
      <c r="D67" s="45" t="s">
        <v>8954</v>
      </c>
    </row>
    <row r="68" spans="4:4" x14ac:dyDescent="0.3">
      <c r="D68" s="45" t="s">
        <v>8954</v>
      </c>
    </row>
    <row r="69" spans="4:4" x14ac:dyDescent="0.3">
      <c r="D69" s="45" t="s">
        <v>8954</v>
      </c>
    </row>
    <row r="70" spans="4:4" x14ac:dyDescent="0.3">
      <c r="D70" s="45" t="s">
        <v>8954</v>
      </c>
    </row>
    <row r="71" spans="4:4" x14ac:dyDescent="0.3">
      <c r="D71" s="45" t="s">
        <v>8954</v>
      </c>
    </row>
    <row r="72" spans="4:4" x14ac:dyDescent="0.3">
      <c r="D72" s="45" t="s">
        <v>8954</v>
      </c>
    </row>
    <row r="73" spans="4:4" x14ac:dyDescent="0.3">
      <c r="D73" s="45" t="s">
        <v>8954</v>
      </c>
    </row>
    <row r="74" spans="4:4" x14ac:dyDescent="0.3">
      <c r="D74" s="45" t="s">
        <v>8954</v>
      </c>
    </row>
    <row r="75" spans="4:4" x14ac:dyDescent="0.3">
      <c r="D75" s="45" t="s">
        <v>8954</v>
      </c>
    </row>
    <row r="76" spans="4:4" x14ac:dyDescent="0.3">
      <c r="D76" s="45" t="s">
        <v>8954</v>
      </c>
    </row>
    <row r="77" spans="4:4" x14ac:dyDescent="0.3">
      <c r="D77" s="45" t="s">
        <v>8954</v>
      </c>
    </row>
    <row r="78" spans="4:4" x14ac:dyDescent="0.3">
      <c r="D78" s="45" t="s">
        <v>8954</v>
      </c>
    </row>
    <row r="79" spans="4:4" x14ac:dyDescent="0.3">
      <c r="D79" s="45" t="s">
        <v>8954</v>
      </c>
    </row>
    <row r="80" spans="4:4" x14ac:dyDescent="0.3">
      <c r="D80" s="45" t="s">
        <v>8954</v>
      </c>
    </row>
    <row r="81" spans="4:4" x14ac:dyDescent="0.3">
      <c r="D81" s="45" t="s">
        <v>8954</v>
      </c>
    </row>
    <row r="82" spans="4:4" x14ac:dyDescent="0.3">
      <c r="D82" s="45" t="s">
        <v>8954</v>
      </c>
    </row>
    <row r="83" spans="4:4" x14ac:dyDescent="0.3">
      <c r="D83" s="45" t="s">
        <v>8954</v>
      </c>
    </row>
    <row r="84" spans="4:4" x14ac:dyDescent="0.3">
      <c r="D84" s="45" t="s">
        <v>8954</v>
      </c>
    </row>
    <row r="85" spans="4:4" x14ac:dyDescent="0.3">
      <c r="D85" s="45" t="s">
        <v>8954</v>
      </c>
    </row>
    <row r="86" spans="4:4" x14ac:dyDescent="0.3">
      <c r="D86" s="45" t="s">
        <v>8954</v>
      </c>
    </row>
    <row r="87" spans="4:4" x14ac:dyDescent="0.3">
      <c r="D87" s="45" t="s">
        <v>8954</v>
      </c>
    </row>
    <row r="88" spans="4:4" x14ac:dyDescent="0.3">
      <c r="D88" s="45" t="s">
        <v>8954</v>
      </c>
    </row>
    <row r="89" spans="4:4" x14ac:dyDescent="0.3">
      <c r="D89" s="45" t="s">
        <v>8954</v>
      </c>
    </row>
    <row r="90" spans="4:4" x14ac:dyDescent="0.3">
      <c r="D90" s="45" t="s">
        <v>8954</v>
      </c>
    </row>
    <row r="91" spans="4:4" x14ac:dyDescent="0.3">
      <c r="D91" s="45" t="s">
        <v>8954</v>
      </c>
    </row>
    <row r="92" spans="4:4" x14ac:dyDescent="0.3">
      <c r="D92" s="45" t="s">
        <v>8954</v>
      </c>
    </row>
    <row r="93" spans="4:4" x14ac:dyDescent="0.3">
      <c r="D93" s="45" t="s">
        <v>8954</v>
      </c>
    </row>
    <row r="94" spans="4:4" x14ac:dyDescent="0.3">
      <c r="D94" s="45" t="s">
        <v>8954</v>
      </c>
    </row>
    <row r="95" spans="4:4" x14ac:dyDescent="0.3">
      <c r="D95" s="45" t="s">
        <v>8954</v>
      </c>
    </row>
    <row r="96" spans="4:4" x14ac:dyDescent="0.3">
      <c r="D96" s="45" t="s">
        <v>8954</v>
      </c>
    </row>
    <row r="97" spans="4:4" x14ac:dyDescent="0.3">
      <c r="D97" s="45" t="s">
        <v>8954</v>
      </c>
    </row>
    <row r="98" spans="4:4" x14ac:dyDescent="0.3">
      <c r="D98" s="45" t="s">
        <v>8954</v>
      </c>
    </row>
    <row r="99" spans="4:4" x14ac:dyDescent="0.3">
      <c r="D99" s="45" t="s">
        <v>8954</v>
      </c>
    </row>
    <row r="100" spans="4:4" x14ac:dyDescent="0.3">
      <c r="D100" s="45" t="s">
        <v>8954</v>
      </c>
    </row>
    <row r="101" spans="4:4" x14ac:dyDescent="0.3">
      <c r="D101" s="45" t="s">
        <v>8954</v>
      </c>
    </row>
    <row r="102" spans="4:4" x14ac:dyDescent="0.3">
      <c r="D102" s="45" t="s">
        <v>8954</v>
      </c>
    </row>
    <row r="103" spans="4:4" x14ac:dyDescent="0.3">
      <c r="D103" s="45" t="s">
        <v>8954</v>
      </c>
    </row>
    <row r="104" spans="4:4" x14ac:dyDescent="0.3">
      <c r="D104" s="45" t="s">
        <v>8954</v>
      </c>
    </row>
    <row r="105" spans="4:4" x14ac:dyDescent="0.3">
      <c r="D105" s="45" t="s">
        <v>8954</v>
      </c>
    </row>
    <row r="106" spans="4:4" x14ac:dyDescent="0.3">
      <c r="D106" s="45" t="s">
        <v>8954</v>
      </c>
    </row>
    <row r="107" spans="4:4" x14ac:dyDescent="0.3">
      <c r="D107" s="45" t="s">
        <v>8954</v>
      </c>
    </row>
    <row r="108" spans="4:4" x14ac:dyDescent="0.3">
      <c r="D108" s="45" t="s">
        <v>8954</v>
      </c>
    </row>
    <row r="109" spans="4:4" x14ac:dyDescent="0.3">
      <c r="D109" s="45" t="s">
        <v>8954</v>
      </c>
    </row>
    <row r="110" spans="4:4" x14ac:dyDescent="0.3">
      <c r="D110" s="45" t="s">
        <v>8954</v>
      </c>
    </row>
    <row r="111" spans="4:4" x14ac:dyDescent="0.3">
      <c r="D111" s="45" t="s">
        <v>8954</v>
      </c>
    </row>
    <row r="112" spans="4:4" x14ac:dyDescent="0.3">
      <c r="D112" s="45" t="s">
        <v>8954</v>
      </c>
    </row>
    <row r="113" spans="4:4" x14ac:dyDescent="0.3">
      <c r="D113" s="45" t="s">
        <v>8954</v>
      </c>
    </row>
    <row r="114" spans="4:4" x14ac:dyDescent="0.3">
      <c r="D114" s="45" t="s">
        <v>8954</v>
      </c>
    </row>
    <row r="115" spans="4:4" x14ac:dyDescent="0.3">
      <c r="D115" s="45" t="s">
        <v>8954</v>
      </c>
    </row>
    <row r="116" spans="4:4" x14ac:dyDescent="0.3">
      <c r="D116" s="45" t="s">
        <v>8954</v>
      </c>
    </row>
    <row r="117" spans="4:4" x14ac:dyDescent="0.3">
      <c r="D117" s="45" t="s">
        <v>8954</v>
      </c>
    </row>
    <row r="118" spans="4:4" x14ac:dyDescent="0.3">
      <c r="D118" s="45" t="s">
        <v>8954</v>
      </c>
    </row>
    <row r="119" spans="4:4" x14ac:dyDescent="0.3">
      <c r="D119" s="45" t="s">
        <v>8954</v>
      </c>
    </row>
    <row r="120" spans="4:4" x14ac:dyDescent="0.3">
      <c r="D120" s="45" t="s">
        <v>8954</v>
      </c>
    </row>
    <row r="121" spans="4:4" x14ac:dyDescent="0.3">
      <c r="D121" s="45" t="s">
        <v>8954</v>
      </c>
    </row>
    <row r="122" spans="4:4" x14ac:dyDescent="0.3">
      <c r="D122" s="45" t="s">
        <v>8954</v>
      </c>
    </row>
    <row r="123" spans="4:4" x14ac:dyDescent="0.3">
      <c r="D123" s="45" t="s">
        <v>8954</v>
      </c>
    </row>
    <row r="124" spans="4:4" x14ac:dyDescent="0.3">
      <c r="D124" s="45" t="s">
        <v>8954</v>
      </c>
    </row>
    <row r="125" spans="4:4" x14ac:dyDescent="0.3">
      <c r="D125" s="45" t="s">
        <v>8954</v>
      </c>
    </row>
    <row r="126" spans="4:4" x14ac:dyDescent="0.3">
      <c r="D126" s="45" t="s">
        <v>8954</v>
      </c>
    </row>
    <row r="127" spans="4:4" x14ac:dyDescent="0.3">
      <c r="D127" s="45" t="s">
        <v>8954</v>
      </c>
    </row>
    <row r="128" spans="4:4" x14ac:dyDescent="0.3">
      <c r="D128" s="45" t="s">
        <v>8954</v>
      </c>
    </row>
    <row r="129" spans="4:4" x14ac:dyDescent="0.3">
      <c r="D129" s="45" t="s">
        <v>8954</v>
      </c>
    </row>
    <row r="130" spans="4:4" x14ac:dyDescent="0.3">
      <c r="D130" s="45" t="s">
        <v>8954</v>
      </c>
    </row>
    <row r="131" spans="4:4" x14ac:dyDescent="0.3">
      <c r="D131" s="45" t="s">
        <v>8954</v>
      </c>
    </row>
    <row r="132" spans="4:4" x14ac:dyDescent="0.3">
      <c r="D132" s="45" t="s">
        <v>8954</v>
      </c>
    </row>
    <row r="133" spans="4:4" x14ac:dyDescent="0.3">
      <c r="D133" s="45" t="s">
        <v>8954</v>
      </c>
    </row>
    <row r="134" spans="4:4" x14ac:dyDescent="0.3">
      <c r="D134" s="45" t="s">
        <v>8954</v>
      </c>
    </row>
    <row r="135" spans="4:4" x14ac:dyDescent="0.3">
      <c r="D135" s="45" t="s">
        <v>8954</v>
      </c>
    </row>
    <row r="136" spans="4:4" x14ac:dyDescent="0.3">
      <c r="D136" s="45" t="s">
        <v>8954</v>
      </c>
    </row>
    <row r="137" spans="4:4" x14ac:dyDescent="0.3">
      <c r="D137" s="45" t="s">
        <v>8954</v>
      </c>
    </row>
    <row r="138" spans="4:4" x14ac:dyDescent="0.3">
      <c r="D138" s="45" t="s">
        <v>8954</v>
      </c>
    </row>
    <row r="139" spans="4:4" x14ac:dyDescent="0.3">
      <c r="D139" s="45" t="s">
        <v>8954</v>
      </c>
    </row>
    <row r="140" spans="4:4" x14ac:dyDescent="0.3">
      <c r="D140" s="45" t="s">
        <v>8954</v>
      </c>
    </row>
    <row r="141" spans="4:4" x14ac:dyDescent="0.3">
      <c r="D141" s="45" t="s">
        <v>8954</v>
      </c>
    </row>
    <row r="142" spans="4:4" x14ac:dyDescent="0.3">
      <c r="D142" s="45" t="s">
        <v>8954</v>
      </c>
    </row>
    <row r="143" spans="4:4" x14ac:dyDescent="0.3">
      <c r="D143" s="45" t="s">
        <v>8954</v>
      </c>
    </row>
    <row r="144" spans="4:4" x14ac:dyDescent="0.3">
      <c r="D144" s="45" t="s">
        <v>8954</v>
      </c>
    </row>
    <row r="145" spans="4:4" x14ac:dyDescent="0.3">
      <c r="D145" s="45" t="s">
        <v>8954</v>
      </c>
    </row>
    <row r="146" spans="4:4" x14ac:dyDescent="0.3">
      <c r="D146" s="45" t="s">
        <v>8954</v>
      </c>
    </row>
    <row r="147" spans="4:4" x14ac:dyDescent="0.3">
      <c r="D147" s="45" t="s">
        <v>8954</v>
      </c>
    </row>
    <row r="148" spans="4:4" x14ac:dyDescent="0.3">
      <c r="D148" s="45" t="s">
        <v>8954</v>
      </c>
    </row>
    <row r="149" spans="4:4" x14ac:dyDescent="0.3">
      <c r="D149" s="45" t="s">
        <v>8954</v>
      </c>
    </row>
    <row r="150" spans="4:4" x14ac:dyDescent="0.3">
      <c r="D150" s="45" t="s">
        <v>8954</v>
      </c>
    </row>
    <row r="151" spans="4:4" x14ac:dyDescent="0.3">
      <c r="D151" s="45" t="s">
        <v>8954</v>
      </c>
    </row>
    <row r="152" spans="4:4" x14ac:dyDescent="0.3">
      <c r="D152" s="45" t="s">
        <v>8954</v>
      </c>
    </row>
    <row r="153" spans="4:4" x14ac:dyDescent="0.3">
      <c r="D153" s="45" t="s">
        <v>8954</v>
      </c>
    </row>
    <row r="154" spans="4:4" x14ac:dyDescent="0.3">
      <c r="D154" s="45" t="s">
        <v>8954</v>
      </c>
    </row>
    <row r="155" spans="4:4" x14ac:dyDescent="0.3">
      <c r="D155" s="45" t="s">
        <v>8954</v>
      </c>
    </row>
    <row r="156" spans="4:4" x14ac:dyDescent="0.3">
      <c r="D156" s="45" t="s">
        <v>8954</v>
      </c>
    </row>
    <row r="157" spans="4:4" x14ac:dyDescent="0.3">
      <c r="D157" s="45" t="s">
        <v>8954</v>
      </c>
    </row>
    <row r="158" spans="4:4" x14ac:dyDescent="0.3">
      <c r="D158" s="45" t="s">
        <v>8954</v>
      </c>
    </row>
    <row r="159" spans="4:4" x14ac:dyDescent="0.3">
      <c r="D159" s="45" t="s">
        <v>8954</v>
      </c>
    </row>
    <row r="160" spans="4:4" x14ac:dyDescent="0.3">
      <c r="D160" s="45" t="s">
        <v>8954</v>
      </c>
    </row>
    <row r="161" spans="4:4" x14ac:dyDescent="0.3">
      <c r="D161" s="45" t="s">
        <v>8954</v>
      </c>
    </row>
    <row r="162" spans="4:4" x14ac:dyDescent="0.3">
      <c r="D162" s="45" t="s">
        <v>8954</v>
      </c>
    </row>
    <row r="163" spans="4:4" x14ac:dyDescent="0.3">
      <c r="D163" s="45" t="s">
        <v>8954</v>
      </c>
    </row>
    <row r="164" spans="4:4" x14ac:dyDescent="0.3">
      <c r="D164" s="45" t="s">
        <v>8954</v>
      </c>
    </row>
    <row r="165" spans="4:4" x14ac:dyDescent="0.3">
      <c r="D165" s="45" t="s">
        <v>8954</v>
      </c>
    </row>
    <row r="166" spans="4:4" x14ac:dyDescent="0.3">
      <c r="D166" s="45" t="s">
        <v>8954</v>
      </c>
    </row>
    <row r="167" spans="4:4" x14ac:dyDescent="0.3">
      <c r="D167" s="45" t="s">
        <v>8954</v>
      </c>
    </row>
    <row r="168" spans="4:4" x14ac:dyDescent="0.3">
      <c r="D168" s="45" t="s">
        <v>8954</v>
      </c>
    </row>
    <row r="169" spans="4:4" x14ac:dyDescent="0.3">
      <c r="D169" s="45" t="s">
        <v>8954</v>
      </c>
    </row>
    <row r="170" spans="4:4" x14ac:dyDescent="0.3">
      <c r="D170" s="45" t="s">
        <v>8954</v>
      </c>
    </row>
    <row r="171" spans="4:4" x14ac:dyDescent="0.3">
      <c r="D171" s="45" t="s">
        <v>8954</v>
      </c>
    </row>
    <row r="172" spans="4:4" x14ac:dyDescent="0.3">
      <c r="D172" s="45" t="s">
        <v>8954</v>
      </c>
    </row>
    <row r="173" spans="4:4" x14ac:dyDescent="0.3">
      <c r="D173" s="45" t="s">
        <v>8954</v>
      </c>
    </row>
    <row r="174" spans="4:4" x14ac:dyDescent="0.3">
      <c r="D174" s="45" t="s">
        <v>8954</v>
      </c>
    </row>
    <row r="175" spans="4:4" x14ac:dyDescent="0.3">
      <c r="D175" s="45" t="s">
        <v>8954</v>
      </c>
    </row>
    <row r="176" spans="4:4" x14ac:dyDescent="0.3">
      <c r="D176" s="45" t="s">
        <v>8954</v>
      </c>
    </row>
    <row r="177" spans="4:4" x14ac:dyDescent="0.3">
      <c r="D177" s="45" t="s">
        <v>8954</v>
      </c>
    </row>
    <row r="178" spans="4:4" x14ac:dyDescent="0.3">
      <c r="D178" s="45" t="s">
        <v>8954</v>
      </c>
    </row>
    <row r="179" spans="4:4" x14ac:dyDescent="0.3">
      <c r="D179" s="45" t="s">
        <v>8954</v>
      </c>
    </row>
    <row r="180" spans="4:4" x14ac:dyDescent="0.3">
      <c r="D180" s="45" t="s">
        <v>8954</v>
      </c>
    </row>
    <row r="181" spans="4:4" x14ac:dyDescent="0.3">
      <c r="D181" s="45" t="s">
        <v>8954</v>
      </c>
    </row>
    <row r="182" spans="4:4" x14ac:dyDescent="0.3">
      <c r="D182" s="45" t="s">
        <v>8954</v>
      </c>
    </row>
    <row r="183" spans="4:4" x14ac:dyDescent="0.3">
      <c r="D183" s="45" t="s">
        <v>8954</v>
      </c>
    </row>
    <row r="184" spans="4:4" x14ac:dyDescent="0.3">
      <c r="D184" s="45" t="s">
        <v>8954</v>
      </c>
    </row>
    <row r="185" spans="4:4" x14ac:dyDescent="0.3">
      <c r="D185" s="45" t="s">
        <v>8954</v>
      </c>
    </row>
    <row r="186" spans="4:4" x14ac:dyDescent="0.3">
      <c r="D186" s="45" t="s">
        <v>8954</v>
      </c>
    </row>
    <row r="187" spans="4:4" x14ac:dyDescent="0.3">
      <c r="D187" s="45" t="s">
        <v>8954</v>
      </c>
    </row>
    <row r="188" spans="4:4" x14ac:dyDescent="0.3">
      <c r="D188" s="45" t="s">
        <v>8954</v>
      </c>
    </row>
    <row r="189" spans="4:4" x14ac:dyDescent="0.3">
      <c r="D189" s="45" t="s">
        <v>8954</v>
      </c>
    </row>
    <row r="190" spans="4:4" x14ac:dyDescent="0.3">
      <c r="D190" s="45" t="s">
        <v>8954</v>
      </c>
    </row>
    <row r="191" spans="4:4" x14ac:dyDescent="0.3">
      <c r="D191" s="45" t="s">
        <v>8954</v>
      </c>
    </row>
    <row r="192" spans="4:4" x14ac:dyDescent="0.3">
      <c r="D192" s="45" t="s">
        <v>8954</v>
      </c>
    </row>
    <row r="193" spans="4:4" x14ac:dyDescent="0.3">
      <c r="D193" s="45" t="s">
        <v>8954</v>
      </c>
    </row>
    <row r="194" spans="4:4" x14ac:dyDescent="0.3">
      <c r="D194" s="45" t="s">
        <v>8954</v>
      </c>
    </row>
    <row r="195" spans="4:4" x14ac:dyDescent="0.3">
      <c r="D195" s="45" t="s">
        <v>8954</v>
      </c>
    </row>
    <row r="196" spans="4:4" x14ac:dyDescent="0.3">
      <c r="D196" s="45" t="s">
        <v>8954</v>
      </c>
    </row>
    <row r="197" spans="4:4" x14ac:dyDescent="0.3">
      <c r="D197" s="45" t="s">
        <v>8954</v>
      </c>
    </row>
    <row r="198" spans="4:4" x14ac:dyDescent="0.3">
      <c r="D198" s="45" t="s">
        <v>8954</v>
      </c>
    </row>
    <row r="199" spans="4:4" x14ac:dyDescent="0.3">
      <c r="D199" s="45" t="s">
        <v>8954</v>
      </c>
    </row>
    <row r="200" spans="4:4" x14ac:dyDescent="0.3">
      <c r="D200" s="45" t="s">
        <v>8954</v>
      </c>
    </row>
    <row r="201" spans="4:4" x14ac:dyDescent="0.3">
      <c r="D201" s="45" t="s">
        <v>8954</v>
      </c>
    </row>
    <row r="202" spans="4:4" x14ac:dyDescent="0.3">
      <c r="D202" s="45" t="s">
        <v>8954</v>
      </c>
    </row>
    <row r="203" spans="4:4" x14ac:dyDescent="0.3">
      <c r="D203" s="45" t="s">
        <v>8954</v>
      </c>
    </row>
    <row r="204" spans="4:4" x14ac:dyDescent="0.3">
      <c r="D204" s="45" t="s">
        <v>8954</v>
      </c>
    </row>
    <row r="205" spans="4:4" x14ac:dyDescent="0.3">
      <c r="D205" s="45" t="s">
        <v>8954</v>
      </c>
    </row>
    <row r="206" spans="4:4" x14ac:dyDescent="0.3">
      <c r="D206" s="45" t="s">
        <v>8954</v>
      </c>
    </row>
    <row r="207" spans="4:4" x14ac:dyDescent="0.3">
      <c r="D207" s="45" t="s">
        <v>8954</v>
      </c>
    </row>
    <row r="208" spans="4:4" x14ac:dyDescent="0.3">
      <c r="D208" s="45" t="s">
        <v>8954</v>
      </c>
    </row>
    <row r="209" spans="4:4" x14ac:dyDescent="0.3">
      <c r="D209" s="45" t="s">
        <v>8954</v>
      </c>
    </row>
    <row r="210" spans="4:4" x14ac:dyDescent="0.3">
      <c r="D210" s="45" t="s">
        <v>8954</v>
      </c>
    </row>
    <row r="211" spans="4:4" x14ac:dyDescent="0.3">
      <c r="D211" s="45" t="s">
        <v>8954</v>
      </c>
    </row>
    <row r="212" spans="4:4" x14ac:dyDescent="0.3">
      <c r="D212" s="45" t="s">
        <v>8954</v>
      </c>
    </row>
    <row r="213" spans="4:4" x14ac:dyDescent="0.3">
      <c r="D213" s="45" t="s">
        <v>8954</v>
      </c>
    </row>
    <row r="214" spans="4:4" x14ac:dyDescent="0.3">
      <c r="D214" s="45" t="s">
        <v>8954</v>
      </c>
    </row>
    <row r="215" spans="4:4" x14ac:dyDescent="0.3">
      <c r="D215" s="45" t="s">
        <v>8954</v>
      </c>
    </row>
    <row r="216" spans="4:4" x14ac:dyDescent="0.3">
      <c r="D216" s="45" t="s">
        <v>8954</v>
      </c>
    </row>
    <row r="217" spans="4:4" x14ac:dyDescent="0.3">
      <c r="D217" s="45" t="s">
        <v>8954</v>
      </c>
    </row>
    <row r="218" spans="4:4" x14ac:dyDescent="0.3">
      <c r="D218" s="45" t="s">
        <v>8954</v>
      </c>
    </row>
    <row r="219" spans="4:4" x14ac:dyDescent="0.3">
      <c r="D219" s="45" t="s">
        <v>8954</v>
      </c>
    </row>
    <row r="220" spans="4:4" x14ac:dyDescent="0.3">
      <c r="D220" s="45" t="s">
        <v>8954</v>
      </c>
    </row>
    <row r="221" spans="4:4" x14ac:dyDescent="0.3">
      <c r="D221" s="45" t="s">
        <v>8954</v>
      </c>
    </row>
    <row r="222" spans="4:4" x14ac:dyDescent="0.3">
      <c r="D222" s="45" t="s">
        <v>8954</v>
      </c>
    </row>
    <row r="223" spans="4:4" x14ac:dyDescent="0.3">
      <c r="D223" s="45" t="s">
        <v>8954</v>
      </c>
    </row>
    <row r="224" spans="4:4" x14ac:dyDescent="0.3">
      <c r="D224" s="45" t="s">
        <v>8954</v>
      </c>
    </row>
    <row r="225" spans="4:4" x14ac:dyDescent="0.3">
      <c r="D225" s="45" t="s">
        <v>8954</v>
      </c>
    </row>
    <row r="226" spans="4:4" x14ac:dyDescent="0.3">
      <c r="D226" s="45" t="s">
        <v>8954</v>
      </c>
    </row>
    <row r="227" spans="4:4" x14ac:dyDescent="0.3">
      <c r="D227" s="45" t="s">
        <v>8954</v>
      </c>
    </row>
    <row r="228" spans="4:4" x14ac:dyDescent="0.3">
      <c r="D228" s="45" t="s">
        <v>8954</v>
      </c>
    </row>
    <row r="229" spans="4:4" x14ac:dyDescent="0.3">
      <c r="D229" s="45" t="s">
        <v>8954</v>
      </c>
    </row>
    <row r="230" spans="4:4" x14ac:dyDescent="0.3">
      <c r="D230" s="45" t="s">
        <v>8954</v>
      </c>
    </row>
    <row r="231" spans="4:4" x14ac:dyDescent="0.3">
      <c r="D231" s="45" t="s">
        <v>8954</v>
      </c>
    </row>
    <row r="232" spans="4:4" x14ac:dyDescent="0.3">
      <c r="D232" s="45" t="s">
        <v>8954</v>
      </c>
    </row>
    <row r="233" spans="4:4" x14ac:dyDescent="0.3">
      <c r="D233" s="45" t="s">
        <v>8954</v>
      </c>
    </row>
    <row r="234" spans="4:4" x14ac:dyDescent="0.3">
      <c r="D234" s="45" t="s">
        <v>8954</v>
      </c>
    </row>
    <row r="235" spans="4:4" x14ac:dyDescent="0.3">
      <c r="D235" s="45" t="s">
        <v>8954</v>
      </c>
    </row>
    <row r="236" spans="4:4" x14ac:dyDescent="0.3">
      <c r="D236" s="45" t="s">
        <v>8954</v>
      </c>
    </row>
    <row r="237" spans="4:4" x14ac:dyDescent="0.3">
      <c r="D237" s="45" t="s">
        <v>8954</v>
      </c>
    </row>
    <row r="238" spans="4:4" x14ac:dyDescent="0.3">
      <c r="D238" s="45" t="s">
        <v>8954</v>
      </c>
    </row>
    <row r="239" spans="4:4" x14ac:dyDescent="0.3">
      <c r="D239" s="45" t="s">
        <v>8954</v>
      </c>
    </row>
    <row r="240" spans="4:4" x14ac:dyDescent="0.3">
      <c r="D240" s="45" t="s">
        <v>8954</v>
      </c>
    </row>
    <row r="241" spans="4:4" x14ac:dyDescent="0.3">
      <c r="D241" s="45" t="s">
        <v>8954</v>
      </c>
    </row>
    <row r="242" spans="4:4" x14ac:dyDescent="0.3">
      <c r="D242" s="45" t="s">
        <v>8954</v>
      </c>
    </row>
    <row r="243" spans="4:4" x14ac:dyDescent="0.3">
      <c r="D243" s="45" t="s">
        <v>8954</v>
      </c>
    </row>
    <row r="244" spans="4:4" x14ac:dyDescent="0.3">
      <c r="D244" s="45" t="s">
        <v>8954</v>
      </c>
    </row>
    <row r="245" spans="4:4" x14ac:dyDescent="0.3">
      <c r="D245" s="45" t="s">
        <v>8954</v>
      </c>
    </row>
    <row r="246" spans="4:4" x14ac:dyDescent="0.3">
      <c r="D246" s="45" t="s">
        <v>8954</v>
      </c>
    </row>
    <row r="247" spans="4:4" x14ac:dyDescent="0.3">
      <c r="D247" s="45" t="s">
        <v>8954</v>
      </c>
    </row>
    <row r="248" spans="4:4" x14ac:dyDescent="0.3">
      <c r="D248" s="45" t="s">
        <v>8954</v>
      </c>
    </row>
    <row r="249" spans="4:4" x14ac:dyDescent="0.3">
      <c r="D249" s="45" t="s">
        <v>8954</v>
      </c>
    </row>
    <row r="250" spans="4:4" x14ac:dyDescent="0.3">
      <c r="D250" s="45" t="s">
        <v>8954</v>
      </c>
    </row>
    <row r="251" spans="4:4" x14ac:dyDescent="0.3">
      <c r="D251" s="45" t="s">
        <v>8954</v>
      </c>
    </row>
    <row r="252" spans="4:4" x14ac:dyDescent="0.3">
      <c r="D252" s="45" t="s">
        <v>8954</v>
      </c>
    </row>
    <row r="253" spans="4:4" x14ac:dyDescent="0.3">
      <c r="D253" s="45" t="s">
        <v>8954</v>
      </c>
    </row>
    <row r="254" spans="4:4" x14ac:dyDescent="0.3">
      <c r="D254" s="45" t="s">
        <v>8954</v>
      </c>
    </row>
    <row r="255" spans="4:4" x14ac:dyDescent="0.3">
      <c r="D255" s="45" t="s">
        <v>8954</v>
      </c>
    </row>
    <row r="256" spans="4:4" x14ac:dyDescent="0.3">
      <c r="D256" s="45" t="s">
        <v>8954</v>
      </c>
    </row>
    <row r="257" spans="4:4" x14ac:dyDescent="0.3">
      <c r="D257" s="45" t="s">
        <v>8954</v>
      </c>
    </row>
    <row r="258" spans="4:4" x14ac:dyDescent="0.3">
      <c r="D258" s="45" t="s">
        <v>8954</v>
      </c>
    </row>
    <row r="259" spans="4:4" x14ac:dyDescent="0.3">
      <c r="D259" s="45" t="s">
        <v>8954</v>
      </c>
    </row>
    <row r="260" spans="4:4" x14ac:dyDescent="0.3">
      <c r="D260" s="45" t="s">
        <v>8954</v>
      </c>
    </row>
    <row r="261" spans="4:4" x14ac:dyDescent="0.3">
      <c r="D261" s="45" t="s">
        <v>8954</v>
      </c>
    </row>
    <row r="262" spans="4:4" x14ac:dyDescent="0.3">
      <c r="D262" s="45" t="s">
        <v>8954</v>
      </c>
    </row>
    <row r="263" spans="4:4" x14ac:dyDescent="0.3">
      <c r="D263" s="45" t="s">
        <v>8954</v>
      </c>
    </row>
    <row r="264" spans="4:4" x14ac:dyDescent="0.3">
      <c r="D264" s="45" t="s">
        <v>8954</v>
      </c>
    </row>
    <row r="265" spans="4:4" x14ac:dyDescent="0.3">
      <c r="D265" s="45" t="s">
        <v>8954</v>
      </c>
    </row>
    <row r="266" spans="4:4" x14ac:dyDescent="0.3">
      <c r="D266" s="45" t="s">
        <v>8954</v>
      </c>
    </row>
    <row r="267" spans="4:4" x14ac:dyDescent="0.3">
      <c r="D267" s="45" t="s">
        <v>8954</v>
      </c>
    </row>
    <row r="268" spans="4:4" x14ac:dyDescent="0.3">
      <c r="D268" s="45" t="s">
        <v>8954</v>
      </c>
    </row>
    <row r="269" spans="4:4" x14ac:dyDescent="0.3">
      <c r="D269" s="45" t="s">
        <v>8954</v>
      </c>
    </row>
    <row r="270" spans="4:4" x14ac:dyDescent="0.3">
      <c r="D270" s="45" t="s">
        <v>8954</v>
      </c>
    </row>
    <row r="271" spans="4:4" x14ac:dyDescent="0.3">
      <c r="D271" s="45" t="s">
        <v>8954</v>
      </c>
    </row>
    <row r="272" spans="4:4" x14ac:dyDescent="0.3">
      <c r="D272" s="45" t="s">
        <v>8954</v>
      </c>
    </row>
    <row r="273" spans="4:4" x14ac:dyDescent="0.3">
      <c r="D273" s="45" t="s">
        <v>8954</v>
      </c>
    </row>
    <row r="274" spans="4:4" x14ac:dyDescent="0.3">
      <c r="D274" s="45" t="s">
        <v>8954</v>
      </c>
    </row>
    <row r="275" spans="4:4" x14ac:dyDescent="0.3">
      <c r="D275" s="45" t="s">
        <v>8954</v>
      </c>
    </row>
    <row r="276" spans="4:4" x14ac:dyDescent="0.3">
      <c r="D276" s="45" t="s">
        <v>8954</v>
      </c>
    </row>
    <row r="277" spans="4:4" x14ac:dyDescent="0.3">
      <c r="D277" s="45" t="s">
        <v>8954</v>
      </c>
    </row>
    <row r="278" spans="4:4" x14ac:dyDescent="0.3">
      <c r="D278" s="45" t="s">
        <v>8954</v>
      </c>
    </row>
    <row r="279" spans="4:4" x14ac:dyDescent="0.3">
      <c r="D279" s="45" t="s">
        <v>8954</v>
      </c>
    </row>
    <row r="280" spans="4:4" x14ac:dyDescent="0.3">
      <c r="D280" s="45" t="s">
        <v>8954</v>
      </c>
    </row>
    <row r="281" spans="4:4" x14ac:dyDescent="0.3">
      <c r="D281" s="45" t="s">
        <v>8954</v>
      </c>
    </row>
    <row r="282" spans="4:4" x14ac:dyDescent="0.3">
      <c r="D282" s="45" t="s">
        <v>8954</v>
      </c>
    </row>
    <row r="283" spans="4:4" x14ac:dyDescent="0.3">
      <c r="D283" s="45" t="s">
        <v>8954</v>
      </c>
    </row>
    <row r="284" spans="4:4" x14ac:dyDescent="0.3">
      <c r="D284" s="45" t="s">
        <v>8954</v>
      </c>
    </row>
    <row r="285" spans="4:4" x14ac:dyDescent="0.3">
      <c r="D285" s="45" t="s">
        <v>8954</v>
      </c>
    </row>
    <row r="286" spans="4:4" x14ac:dyDescent="0.3">
      <c r="D286" s="45" t="s">
        <v>8954</v>
      </c>
    </row>
    <row r="287" spans="4:4" x14ac:dyDescent="0.3">
      <c r="D287" s="45" t="s">
        <v>8954</v>
      </c>
    </row>
    <row r="288" spans="4:4" x14ac:dyDescent="0.3">
      <c r="D288" s="45" t="s">
        <v>8954</v>
      </c>
    </row>
    <row r="289" spans="4:4" x14ac:dyDescent="0.3">
      <c r="D289" s="45" t="s">
        <v>8954</v>
      </c>
    </row>
    <row r="290" spans="4:4" x14ac:dyDescent="0.3">
      <c r="D290" s="45" t="s">
        <v>8954</v>
      </c>
    </row>
    <row r="291" spans="4:4" x14ac:dyDescent="0.3">
      <c r="D291" s="45" t="s">
        <v>8954</v>
      </c>
    </row>
    <row r="292" spans="4:4" x14ac:dyDescent="0.3">
      <c r="D292" s="45" t="s">
        <v>8954</v>
      </c>
    </row>
    <row r="293" spans="4:4" x14ac:dyDescent="0.3">
      <c r="D293" s="45" t="s">
        <v>8954</v>
      </c>
    </row>
    <row r="294" spans="4:4" x14ac:dyDescent="0.3">
      <c r="D294" s="45" t="s">
        <v>8954</v>
      </c>
    </row>
    <row r="295" spans="4:4" x14ac:dyDescent="0.3">
      <c r="D295" s="45" t="s">
        <v>8954</v>
      </c>
    </row>
    <row r="296" spans="4:4" x14ac:dyDescent="0.3">
      <c r="D296" s="45" t="s">
        <v>8954</v>
      </c>
    </row>
    <row r="297" spans="4:4" x14ac:dyDescent="0.3">
      <c r="D297" s="45" t="s">
        <v>8954</v>
      </c>
    </row>
    <row r="298" spans="4:4" x14ac:dyDescent="0.3">
      <c r="D298" s="45" t="s">
        <v>8954</v>
      </c>
    </row>
    <row r="299" spans="4:4" x14ac:dyDescent="0.3">
      <c r="D299" s="45" t="s">
        <v>8954</v>
      </c>
    </row>
    <row r="300" spans="4:4" x14ac:dyDescent="0.3">
      <c r="D300" s="45" t="s">
        <v>8954</v>
      </c>
    </row>
    <row r="301" spans="4:4" x14ac:dyDescent="0.3">
      <c r="D301" s="45" t="s">
        <v>8954</v>
      </c>
    </row>
    <row r="302" spans="4:4" x14ac:dyDescent="0.3">
      <c r="D302" s="45" t="s">
        <v>8954</v>
      </c>
    </row>
    <row r="303" spans="4:4" x14ac:dyDescent="0.3">
      <c r="D303" s="45" t="s">
        <v>8954</v>
      </c>
    </row>
    <row r="304" spans="4:4" x14ac:dyDescent="0.3">
      <c r="D304" s="45" t="s">
        <v>8954</v>
      </c>
    </row>
    <row r="305" spans="4:4" x14ac:dyDescent="0.3">
      <c r="D305" s="45" t="s">
        <v>8954</v>
      </c>
    </row>
    <row r="306" spans="4:4" x14ac:dyDescent="0.3">
      <c r="D306" s="45" t="s">
        <v>8954</v>
      </c>
    </row>
    <row r="307" spans="4:4" x14ac:dyDescent="0.3">
      <c r="D307" s="45" t="s">
        <v>8954</v>
      </c>
    </row>
    <row r="308" spans="4:4" x14ac:dyDescent="0.3">
      <c r="D308" s="45" t="s">
        <v>8954</v>
      </c>
    </row>
    <row r="309" spans="4:4" x14ac:dyDescent="0.3">
      <c r="D309" s="45" t="s">
        <v>8954</v>
      </c>
    </row>
    <row r="310" spans="4:4" x14ac:dyDescent="0.3">
      <c r="D310" s="45" t="s">
        <v>8954</v>
      </c>
    </row>
    <row r="311" spans="4:4" x14ac:dyDescent="0.3">
      <c r="D311" s="45" t="s">
        <v>8954</v>
      </c>
    </row>
    <row r="312" spans="4:4" x14ac:dyDescent="0.3">
      <c r="D312" s="45" t="s">
        <v>8954</v>
      </c>
    </row>
    <row r="313" spans="4:4" x14ac:dyDescent="0.3">
      <c r="D313" s="45" t="s">
        <v>8954</v>
      </c>
    </row>
    <row r="314" spans="4:4" x14ac:dyDescent="0.3">
      <c r="D314" s="45" t="s">
        <v>8954</v>
      </c>
    </row>
    <row r="315" spans="4:4" x14ac:dyDescent="0.3">
      <c r="D315" s="45" t="s">
        <v>8954</v>
      </c>
    </row>
    <row r="316" spans="4:4" x14ac:dyDescent="0.3">
      <c r="D316" s="45" t="s">
        <v>8954</v>
      </c>
    </row>
    <row r="317" spans="4:4" x14ac:dyDescent="0.3">
      <c r="D317" s="45" t="s">
        <v>8954</v>
      </c>
    </row>
    <row r="318" spans="4:4" x14ac:dyDescent="0.3">
      <c r="D318" s="45" t="s">
        <v>8954</v>
      </c>
    </row>
    <row r="319" spans="4:4" x14ac:dyDescent="0.3">
      <c r="D319" s="45" t="s">
        <v>8954</v>
      </c>
    </row>
    <row r="320" spans="4:4" x14ac:dyDescent="0.3">
      <c r="D320" s="45" t="s">
        <v>8954</v>
      </c>
    </row>
    <row r="321" spans="4:4" x14ac:dyDescent="0.3">
      <c r="D321" s="45" t="s">
        <v>8954</v>
      </c>
    </row>
    <row r="322" spans="4:4" x14ac:dyDescent="0.3">
      <c r="D322" s="45" t="s">
        <v>8954</v>
      </c>
    </row>
    <row r="323" spans="4:4" x14ac:dyDescent="0.3">
      <c r="D323" s="45" t="s">
        <v>8954</v>
      </c>
    </row>
    <row r="324" spans="4:4" x14ac:dyDescent="0.3">
      <c r="D324" s="45" t="s">
        <v>8954</v>
      </c>
    </row>
    <row r="325" spans="4:4" x14ac:dyDescent="0.3">
      <c r="D325" s="45" t="s">
        <v>8954</v>
      </c>
    </row>
    <row r="326" spans="4:4" x14ac:dyDescent="0.3">
      <c r="D326" s="45" t="s">
        <v>8954</v>
      </c>
    </row>
    <row r="327" spans="4:4" x14ac:dyDescent="0.3">
      <c r="D327" s="45" t="s">
        <v>8954</v>
      </c>
    </row>
    <row r="328" spans="4:4" x14ac:dyDescent="0.3">
      <c r="D328" s="45" t="s">
        <v>8954</v>
      </c>
    </row>
    <row r="329" spans="4:4" x14ac:dyDescent="0.3">
      <c r="D329" s="45" t="s">
        <v>8954</v>
      </c>
    </row>
    <row r="330" spans="4:4" x14ac:dyDescent="0.3">
      <c r="D330" s="45" t="s">
        <v>8954</v>
      </c>
    </row>
    <row r="331" spans="4:4" x14ac:dyDescent="0.3">
      <c r="D331" s="45" t="s">
        <v>8954</v>
      </c>
    </row>
    <row r="332" spans="4:4" x14ac:dyDescent="0.3">
      <c r="D332" s="45" t="s">
        <v>8954</v>
      </c>
    </row>
    <row r="333" spans="4:4" x14ac:dyDescent="0.3">
      <c r="D333" s="45" t="s">
        <v>8954</v>
      </c>
    </row>
    <row r="334" spans="4:4" x14ac:dyDescent="0.3">
      <c r="D334" s="45" t="s">
        <v>8954</v>
      </c>
    </row>
    <row r="335" spans="4:4" x14ac:dyDescent="0.3">
      <c r="D335" s="45" t="s">
        <v>8954</v>
      </c>
    </row>
    <row r="336" spans="4:4" x14ac:dyDescent="0.3">
      <c r="D336" s="45" t="s">
        <v>8954</v>
      </c>
    </row>
    <row r="337" spans="4:4" x14ac:dyDescent="0.3">
      <c r="D337" s="45" t="s">
        <v>8954</v>
      </c>
    </row>
    <row r="338" spans="4:4" x14ac:dyDescent="0.3">
      <c r="D338" s="45" t="s">
        <v>8954</v>
      </c>
    </row>
    <row r="339" spans="4:4" x14ac:dyDescent="0.3">
      <c r="D339" s="45" t="s">
        <v>8954</v>
      </c>
    </row>
    <row r="340" spans="4:4" x14ac:dyDescent="0.3">
      <c r="D340" s="45" t="s">
        <v>8954</v>
      </c>
    </row>
    <row r="341" spans="4:4" x14ac:dyDescent="0.3">
      <c r="D341" s="45" t="s">
        <v>8954</v>
      </c>
    </row>
    <row r="342" spans="4:4" x14ac:dyDescent="0.3">
      <c r="D342" s="45" t="s">
        <v>8954</v>
      </c>
    </row>
    <row r="343" spans="4:4" x14ac:dyDescent="0.3">
      <c r="D343" s="45" t="s">
        <v>8954</v>
      </c>
    </row>
    <row r="344" spans="4:4" x14ac:dyDescent="0.3">
      <c r="D344" s="45" t="s">
        <v>8954</v>
      </c>
    </row>
    <row r="345" spans="4:4" x14ac:dyDescent="0.3">
      <c r="D345" s="45" t="s">
        <v>8954</v>
      </c>
    </row>
    <row r="346" spans="4:4" x14ac:dyDescent="0.3">
      <c r="D346" s="45" t="s">
        <v>8954</v>
      </c>
    </row>
    <row r="347" spans="4:4" x14ac:dyDescent="0.3">
      <c r="D347" s="45" t="s">
        <v>8954</v>
      </c>
    </row>
    <row r="348" spans="4:4" x14ac:dyDescent="0.3">
      <c r="D348" s="45" t="s">
        <v>8954</v>
      </c>
    </row>
    <row r="349" spans="4:4" x14ac:dyDescent="0.3">
      <c r="D349" s="45" t="s">
        <v>8954</v>
      </c>
    </row>
    <row r="350" spans="4:4" x14ac:dyDescent="0.3">
      <c r="D350" s="45" t="s">
        <v>8954</v>
      </c>
    </row>
    <row r="351" spans="4:4" x14ac:dyDescent="0.3">
      <c r="D351" s="45" t="s">
        <v>8954</v>
      </c>
    </row>
    <row r="352" spans="4:4" x14ac:dyDescent="0.3">
      <c r="D352" s="45" t="s">
        <v>8954</v>
      </c>
    </row>
    <row r="353" spans="4:4" x14ac:dyDescent="0.3">
      <c r="D353" s="45" t="s">
        <v>8954</v>
      </c>
    </row>
    <row r="354" spans="4:4" x14ac:dyDescent="0.3">
      <c r="D354" s="45" t="s">
        <v>8954</v>
      </c>
    </row>
    <row r="355" spans="4:4" x14ac:dyDescent="0.3">
      <c r="D355" s="45" t="s">
        <v>8954</v>
      </c>
    </row>
    <row r="356" spans="4:4" x14ac:dyDescent="0.3">
      <c r="D356" s="45" t="s">
        <v>8954</v>
      </c>
    </row>
    <row r="357" spans="4:4" x14ac:dyDescent="0.3">
      <c r="D357" s="45" t="s">
        <v>8954</v>
      </c>
    </row>
    <row r="358" spans="4:4" x14ac:dyDescent="0.3">
      <c r="D358" s="45" t="s">
        <v>8954</v>
      </c>
    </row>
    <row r="359" spans="4:4" x14ac:dyDescent="0.3">
      <c r="D359" s="45" t="s">
        <v>8954</v>
      </c>
    </row>
    <row r="360" spans="4:4" x14ac:dyDescent="0.3">
      <c r="D360" s="45" t="s">
        <v>8954</v>
      </c>
    </row>
    <row r="361" spans="4:4" x14ac:dyDescent="0.3">
      <c r="D361" s="45" t="s">
        <v>8954</v>
      </c>
    </row>
    <row r="362" spans="4:4" x14ac:dyDescent="0.3">
      <c r="D362" s="45" t="s">
        <v>8954</v>
      </c>
    </row>
    <row r="363" spans="4:4" x14ac:dyDescent="0.3">
      <c r="D363" s="45" t="s">
        <v>8954</v>
      </c>
    </row>
    <row r="364" spans="4:4" x14ac:dyDescent="0.3">
      <c r="D364" s="45" t="s">
        <v>8954</v>
      </c>
    </row>
    <row r="365" spans="4:4" x14ac:dyDescent="0.3">
      <c r="D365" s="45" t="s">
        <v>8954</v>
      </c>
    </row>
    <row r="366" spans="4:4" x14ac:dyDescent="0.3">
      <c r="D366" s="45" t="s">
        <v>8954</v>
      </c>
    </row>
    <row r="367" spans="4:4" x14ac:dyDescent="0.3">
      <c r="D367" s="45" t="s">
        <v>8954</v>
      </c>
    </row>
    <row r="368" spans="4:4" x14ac:dyDescent="0.3">
      <c r="D368" s="45" t="s">
        <v>8954</v>
      </c>
    </row>
    <row r="369" spans="4:4" x14ac:dyDescent="0.3">
      <c r="D369" s="45" t="s">
        <v>8954</v>
      </c>
    </row>
    <row r="370" spans="4:4" x14ac:dyDescent="0.3">
      <c r="D370" s="45" t="s">
        <v>8954</v>
      </c>
    </row>
    <row r="371" spans="4:4" x14ac:dyDescent="0.3">
      <c r="D371" s="45" t="s">
        <v>8954</v>
      </c>
    </row>
    <row r="372" spans="4:4" x14ac:dyDescent="0.3">
      <c r="D372" s="45" t="s">
        <v>8954</v>
      </c>
    </row>
    <row r="373" spans="4:4" x14ac:dyDescent="0.3">
      <c r="D373" s="45" t="s">
        <v>8954</v>
      </c>
    </row>
    <row r="374" spans="4:4" x14ac:dyDescent="0.3">
      <c r="D374" s="45" t="s">
        <v>8954</v>
      </c>
    </row>
    <row r="375" spans="4:4" x14ac:dyDescent="0.3">
      <c r="D375" s="45" t="s">
        <v>8954</v>
      </c>
    </row>
    <row r="376" spans="4:4" x14ac:dyDescent="0.3">
      <c r="D376" s="45" t="s">
        <v>8954</v>
      </c>
    </row>
    <row r="377" spans="4:4" x14ac:dyDescent="0.3">
      <c r="D377" s="45" t="s">
        <v>8954</v>
      </c>
    </row>
    <row r="378" spans="4:4" x14ac:dyDescent="0.3">
      <c r="D378" s="45" t="s">
        <v>8954</v>
      </c>
    </row>
    <row r="379" spans="4:4" x14ac:dyDescent="0.3">
      <c r="D379" s="45" t="s">
        <v>8954</v>
      </c>
    </row>
    <row r="380" spans="4:4" x14ac:dyDescent="0.3">
      <c r="D380" s="45" t="s">
        <v>8954</v>
      </c>
    </row>
    <row r="381" spans="4:4" x14ac:dyDescent="0.3">
      <c r="D381" s="45" t="s">
        <v>8954</v>
      </c>
    </row>
    <row r="382" spans="4:4" x14ac:dyDescent="0.3">
      <c r="D382" s="45" t="s">
        <v>8954</v>
      </c>
    </row>
    <row r="383" spans="4:4" x14ac:dyDescent="0.3">
      <c r="D383" s="45" t="s">
        <v>8954</v>
      </c>
    </row>
    <row r="384" spans="4:4" x14ac:dyDescent="0.3">
      <c r="D384" s="45" t="s">
        <v>8954</v>
      </c>
    </row>
    <row r="385" spans="4:4" x14ac:dyDescent="0.3">
      <c r="D385" s="45" t="s">
        <v>8954</v>
      </c>
    </row>
    <row r="386" spans="4:4" x14ac:dyDescent="0.3">
      <c r="D386" s="45" t="s">
        <v>8954</v>
      </c>
    </row>
    <row r="387" spans="4:4" x14ac:dyDescent="0.3">
      <c r="D387" s="45" t="s">
        <v>8954</v>
      </c>
    </row>
    <row r="388" spans="4:4" x14ac:dyDescent="0.3">
      <c r="D388" s="45" t="s">
        <v>8954</v>
      </c>
    </row>
    <row r="389" spans="4:4" x14ac:dyDescent="0.3">
      <c r="D389" s="45" t="s">
        <v>8954</v>
      </c>
    </row>
    <row r="390" spans="4:4" x14ac:dyDescent="0.3">
      <c r="D390" s="45" t="s">
        <v>8954</v>
      </c>
    </row>
    <row r="391" spans="4:4" x14ac:dyDescent="0.3">
      <c r="D391" s="45" t="s">
        <v>8954</v>
      </c>
    </row>
    <row r="392" spans="4:4" x14ac:dyDescent="0.3">
      <c r="D392" s="45" t="s">
        <v>8954</v>
      </c>
    </row>
    <row r="393" spans="4:4" x14ac:dyDescent="0.3">
      <c r="D393" s="45" t="s">
        <v>8954</v>
      </c>
    </row>
    <row r="394" spans="4:4" x14ac:dyDescent="0.3">
      <c r="D394" s="45" t="s">
        <v>8954</v>
      </c>
    </row>
    <row r="395" spans="4:4" x14ac:dyDescent="0.3">
      <c r="D395" s="45" t="s">
        <v>8954</v>
      </c>
    </row>
    <row r="396" spans="4:4" x14ac:dyDescent="0.3">
      <c r="D396" s="45" t="s">
        <v>8954</v>
      </c>
    </row>
    <row r="397" spans="4:4" x14ac:dyDescent="0.3">
      <c r="D397" s="45" t="s">
        <v>8954</v>
      </c>
    </row>
    <row r="398" spans="4:4" x14ac:dyDescent="0.3">
      <c r="D398" s="45" t="s">
        <v>8954</v>
      </c>
    </row>
    <row r="399" spans="4:4" x14ac:dyDescent="0.3">
      <c r="D399" s="45" t="s">
        <v>8954</v>
      </c>
    </row>
    <row r="400" spans="4:4" x14ac:dyDescent="0.3">
      <c r="D400" s="45" t="s">
        <v>8954</v>
      </c>
    </row>
    <row r="401" spans="4:4" x14ac:dyDescent="0.3">
      <c r="D401" s="45" t="s">
        <v>8954</v>
      </c>
    </row>
    <row r="402" spans="4:4" x14ac:dyDescent="0.3">
      <c r="D402" s="45" t="s">
        <v>8954</v>
      </c>
    </row>
    <row r="403" spans="4:4" x14ac:dyDescent="0.3">
      <c r="D403" s="45" t="s">
        <v>8954</v>
      </c>
    </row>
    <row r="404" spans="4:4" x14ac:dyDescent="0.3">
      <c r="D404" s="45" t="s">
        <v>8954</v>
      </c>
    </row>
    <row r="405" spans="4:4" x14ac:dyDescent="0.3">
      <c r="D405" s="45" t="s">
        <v>8954</v>
      </c>
    </row>
    <row r="406" spans="4:4" x14ac:dyDescent="0.3">
      <c r="D406" s="45" t="s">
        <v>8954</v>
      </c>
    </row>
    <row r="407" spans="4:4" x14ac:dyDescent="0.3">
      <c r="D407" s="45" t="s">
        <v>8954</v>
      </c>
    </row>
    <row r="408" spans="4:4" x14ac:dyDescent="0.3">
      <c r="D408" s="45" t="s">
        <v>8954</v>
      </c>
    </row>
    <row r="409" spans="4:4" x14ac:dyDescent="0.3">
      <c r="D409" s="45" t="s">
        <v>8954</v>
      </c>
    </row>
    <row r="410" spans="4:4" x14ac:dyDescent="0.3">
      <c r="D410" s="45" t="s">
        <v>8954</v>
      </c>
    </row>
    <row r="411" spans="4:4" x14ac:dyDescent="0.3">
      <c r="D411" s="45" t="s">
        <v>8954</v>
      </c>
    </row>
    <row r="412" spans="4:4" x14ac:dyDescent="0.3">
      <c r="D412" s="45" t="s">
        <v>8954</v>
      </c>
    </row>
    <row r="413" spans="4:4" x14ac:dyDescent="0.3">
      <c r="D413" s="45" t="s">
        <v>8954</v>
      </c>
    </row>
    <row r="414" spans="4:4" x14ac:dyDescent="0.3">
      <c r="D414" s="45" t="s">
        <v>8954</v>
      </c>
    </row>
    <row r="415" spans="4:4" x14ac:dyDescent="0.3">
      <c r="D415" s="45" t="s">
        <v>8954</v>
      </c>
    </row>
    <row r="416" spans="4:4" x14ac:dyDescent="0.3">
      <c r="D416" s="45" t="s">
        <v>8954</v>
      </c>
    </row>
    <row r="417" spans="4:4" x14ac:dyDescent="0.3">
      <c r="D417" s="45" t="s">
        <v>8954</v>
      </c>
    </row>
    <row r="418" spans="4:4" x14ac:dyDescent="0.3">
      <c r="D418" s="45" t="s">
        <v>8954</v>
      </c>
    </row>
    <row r="419" spans="4:4" x14ac:dyDescent="0.3">
      <c r="D419" s="45" t="s">
        <v>8954</v>
      </c>
    </row>
    <row r="420" spans="4:4" x14ac:dyDescent="0.3">
      <c r="D420" s="45" t="s">
        <v>8954</v>
      </c>
    </row>
    <row r="421" spans="4:4" x14ac:dyDescent="0.3">
      <c r="D421" s="45" t="s">
        <v>8954</v>
      </c>
    </row>
    <row r="422" spans="4:4" x14ac:dyDescent="0.3">
      <c r="D422" s="45" t="s">
        <v>8954</v>
      </c>
    </row>
    <row r="423" spans="4:4" x14ac:dyDescent="0.3">
      <c r="D423" s="45" t="s">
        <v>8954</v>
      </c>
    </row>
    <row r="424" spans="4:4" x14ac:dyDescent="0.3">
      <c r="D424" s="45" t="s">
        <v>8954</v>
      </c>
    </row>
    <row r="425" spans="4:4" x14ac:dyDescent="0.3">
      <c r="D425" s="45" t="s">
        <v>8954</v>
      </c>
    </row>
    <row r="426" spans="4:4" x14ac:dyDescent="0.3">
      <c r="D426" s="45" t="s">
        <v>8954</v>
      </c>
    </row>
    <row r="427" spans="4:4" x14ac:dyDescent="0.3">
      <c r="D427" s="45" t="s">
        <v>8954</v>
      </c>
    </row>
    <row r="428" spans="4:4" x14ac:dyDescent="0.3">
      <c r="D428" s="45" t="s">
        <v>8954</v>
      </c>
    </row>
    <row r="429" spans="4:4" x14ac:dyDescent="0.3">
      <c r="D429" s="45" t="s">
        <v>8954</v>
      </c>
    </row>
    <row r="430" spans="4:4" x14ac:dyDescent="0.3">
      <c r="D430" s="45" t="s">
        <v>8954</v>
      </c>
    </row>
    <row r="431" spans="4:4" x14ac:dyDescent="0.3">
      <c r="D431" s="45" t="s">
        <v>8954</v>
      </c>
    </row>
    <row r="432" spans="4:4" x14ac:dyDescent="0.3">
      <c r="D432" s="45" t="s">
        <v>8954</v>
      </c>
    </row>
    <row r="433" spans="4:4" x14ac:dyDescent="0.3">
      <c r="D433" s="45" t="s">
        <v>8954</v>
      </c>
    </row>
    <row r="434" spans="4:4" x14ac:dyDescent="0.3">
      <c r="D434" s="45" t="s">
        <v>8954</v>
      </c>
    </row>
    <row r="435" spans="4:4" x14ac:dyDescent="0.3">
      <c r="D435" s="45" t="s">
        <v>8954</v>
      </c>
    </row>
    <row r="436" spans="4:4" x14ac:dyDescent="0.3">
      <c r="D436" s="45" t="s">
        <v>8954</v>
      </c>
    </row>
    <row r="437" spans="4:4" x14ac:dyDescent="0.3">
      <c r="D437" s="45" t="s">
        <v>8954</v>
      </c>
    </row>
    <row r="438" spans="4:4" x14ac:dyDescent="0.3">
      <c r="D438" s="45" t="s">
        <v>8954</v>
      </c>
    </row>
    <row r="439" spans="4:4" x14ac:dyDescent="0.3">
      <c r="D439" s="45" t="s">
        <v>8954</v>
      </c>
    </row>
    <row r="440" spans="4:4" x14ac:dyDescent="0.3">
      <c r="D440" s="45" t="s">
        <v>8954</v>
      </c>
    </row>
    <row r="441" spans="4:4" x14ac:dyDescent="0.3">
      <c r="D441" s="45" t="s">
        <v>8954</v>
      </c>
    </row>
    <row r="442" spans="4:4" x14ac:dyDescent="0.3">
      <c r="D442" s="45" t="s">
        <v>8954</v>
      </c>
    </row>
    <row r="443" spans="4:4" x14ac:dyDescent="0.3">
      <c r="D443" s="45" t="s">
        <v>8954</v>
      </c>
    </row>
    <row r="444" spans="4:4" x14ac:dyDescent="0.3">
      <c r="D444" s="45" t="s">
        <v>8954</v>
      </c>
    </row>
    <row r="445" spans="4:4" x14ac:dyDescent="0.3">
      <c r="D445" s="45" t="s">
        <v>8954</v>
      </c>
    </row>
    <row r="446" spans="4:4" x14ac:dyDescent="0.3">
      <c r="D446" s="45" t="s">
        <v>8954</v>
      </c>
    </row>
    <row r="447" spans="4:4" x14ac:dyDescent="0.3">
      <c r="D447" s="45" t="s">
        <v>8954</v>
      </c>
    </row>
    <row r="448" spans="4:4" x14ac:dyDescent="0.3">
      <c r="D448" s="45" t="s">
        <v>8954</v>
      </c>
    </row>
    <row r="449" spans="4:4" x14ac:dyDescent="0.3">
      <c r="D449" s="45" t="s">
        <v>8954</v>
      </c>
    </row>
    <row r="450" spans="4:4" x14ac:dyDescent="0.3">
      <c r="D450" s="45" t="s">
        <v>8954</v>
      </c>
    </row>
    <row r="451" spans="4:4" x14ac:dyDescent="0.3">
      <c r="D451" s="45" t="s">
        <v>8954</v>
      </c>
    </row>
    <row r="452" spans="4:4" x14ac:dyDescent="0.3">
      <c r="D452" s="45" t="s">
        <v>8954</v>
      </c>
    </row>
    <row r="453" spans="4:4" x14ac:dyDescent="0.3">
      <c r="D453" s="45" t="s">
        <v>8954</v>
      </c>
    </row>
    <row r="454" spans="4:4" x14ac:dyDescent="0.3">
      <c r="D454" s="45" t="s">
        <v>8954</v>
      </c>
    </row>
    <row r="455" spans="4:4" x14ac:dyDescent="0.3">
      <c r="D455" s="45" t="s">
        <v>8954</v>
      </c>
    </row>
    <row r="456" spans="4:4" x14ac:dyDescent="0.3">
      <c r="D456" s="45" t="s">
        <v>8954</v>
      </c>
    </row>
    <row r="457" spans="4:4" x14ac:dyDescent="0.3">
      <c r="D457" s="45" t="s">
        <v>8954</v>
      </c>
    </row>
    <row r="458" spans="4:4" x14ac:dyDescent="0.3">
      <c r="D458" s="45" t="s">
        <v>8954</v>
      </c>
    </row>
    <row r="459" spans="4:4" x14ac:dyDescent="0.3">
      <c r="D459" s="45" t="s">
        <v>8954</v>
      </c>
    </row>
    <row r="460" spans="4:4" x14ac:dyDescent="0.3">
      <c r="D460" s="45" t="s">
        <v>8954</v>
      </c>
    </row>
    <row r="461" spans="4:4" x14ac:dyDescent="0.3">
      <c r="D461" s="45" t="s">
        <v>8954</v>
      </c>
    </row>
    <row r="462" spans="4:4" x14ac:dyDescent="0.3">
      <c r="D462" s="45" t="s">
        <v>8954</v>
      </c>
    </row>
    <row r="463" spans="4:4" x14ac:dyDescent="0.3">
      <c r="D463" s="45" t="s">
        <v>8954</v>
      </c>
    </row>
    <row r="464" spans="4:4" x14ac:dyDescent="0.3">
      <c r="D464" s="45" t="s">
        <v>8954</v>
      </c>
    </row>
    <row r="465" spans="4:4" x14ac:dyDescent="0.3">
      <c r="D465" s="45" t="s">
        <v>8954</v>
      </c>
    </row>
    <row r="466" spans="4:4" x14ac:dyDescent="0.3">
      <c r="D466" s="45" t="s">
        <v>8954</v>
      </c>
    </row>
    <row r="467" spans="4:4" x14ac:dyDescent="0.3">
      <c r="D467" s="45" t="s">
        <v>8954</v>
      </c>
    </row>
    <row r="468" spans="4:4" x14ac:dyDescent="0.3">
      <c r="D468" s="45" t="s">
        <v>8954</v>
      </c>
    </row>
    <row r="469" spans="4:4" x14ac:dyDescent="0.3">
      <c r="D469" s="45" t="s">
        <v>8954</v>
      </c>
    </row>
    <row r="470" spans="4:4" x14ac:dyDescent="0.3">
      <c r="D470" s="45" t="s">
        <v>8954</v>
      </c>
    </row>
    <row r="471" spans="4:4" x14ac:dyDescent="0.3">
      <c r="D471" s="45" t="s">
        <v>8954</v>
      </c>
    </row>
    <row r="472" spans="4:4" x14ac:dyDescent="0.3">
      <c r="D472" s="45" t="s">
        <v>8954</v>
      </c>
    </row>
    <row r="473" spans="4:4" x14ac:dyDescent="0.3">
      <c r="D473" s="45" t="s">
        <v>8954</v>
      </c>
    </row>
    <row r="474" spans="4:4" x14ac:dyDescent="0.3">
      <c r="D474" s="45" t="s">
        <v>8954</v>
      </c>
    </row>
    <row r="475" spans="4:4" x14ac:dyDescent="0.3">
      <c r="D475" s="45" t="s">
        <v>8954</v>
      </c>
    </row>
    <row r="476" spans="4:4" x14ac:dyDescent="0.3">
      <c r="D476" s="45" t="s">
        <v>8954</v>
      </c>
    </row>
    <row r="477" spans="4:4" x14ac:dyDescent="0.3">
      <c r="D477" s="45" t="s">
        <v>8954</v>
      </c>
    </row>
    <row r="478" spans="4:4" x14ac:dyDescent="0.3">
      <c r="D478" s="45" t="s">
        <v>8954</v>
      </c>
    </row>
    <row r="479" spans="4:4" x14ac:dyDescent="0.3">
      <c r="D479" s="45" t="s">
        <v>8954</v>
      </c>
    </row>
    <row r="480" spans="4:4" x14ac:dyDescent="0.3">
      <c r="D480" s="45" t="s">
        <v>8954</v>
      </c>
    </row>
    <row r="481" spans="4:4" x14ac:dyDescent="0.3">
      <c r="D481" s="45" t="s">
        <v>8954</v>
      </c>
    </row>
    <row r="482" spans="4:4" x14ac:dyDescent="0.3">
      <c r="D482" s="45" t="s">
        <v>8954</v>
      </c>
    </row>
    <row r="483" spans="4:4" x14ac:dyDescent="0.3">
      <c r="D483" s="45" t="s">
        <v>8954</v>
      </c>
    </row>
    <row r="484" spans="4:4" x14ac:dyDescent="0.3">
      <c r="D484" s="45" t="s">
        <v>8954</v>
      </c>
    </row>
    <row r="485" spans="4:4" x14ac:dyDescent="0.3">
      <c r="D485" s="45" t="s">
        <v>8954</v>
      </c>
    </row>
    <row r="486" spans="4:4" x14ac:dyDescent="0.3">
      <c r="D486" s="45" t="s">
        <v>8954</v>
      </c>
    </row>
    <row r="487" spans="4:4" x14ac:dyDescent="0.3">
      <c r="D487" s="45" t="s">
        <v>8954</v>
      </c>
    </row>
    <row r="488" spans="4:4" x14ac:dyDescent="0.3">
      <c r="D488" s="45" t="s">
        <v>8954</v>
      </c>
    </row>
    <row r="489" spans="4:4" x14ac:dyDescent="0.3">
      <c r="D489" s="45" t="s">
        <v>8954</v>
      </c>
    </row>
    <row r="490" spans="4:4" x14ac:dyDescent="0.3">
      <c r="D490" s="45" t="s">
        <v>8954</v>
      </c>
    </row>
    <row r="491" spans="4:4" x14ac:dyDescent="0.3">
      <c r="D491" s="45" t="s">
        <v>8954</v>
      </c>
    </row>
    <row r="492" spans="4:4" x14ac:dyDescent="0.3">
      <c r="D492" s="45" t="s">
        <v>8954</v>
      </c>
    </row>
    <row r="493" spans="4:4" x14ac:dyDescent="0.3">
      <c r="D493" s="45" t="s">
        <v>8954</v>
      </c>
    </row>
    <row r="494" spans="4:4" x14ac:dyDescent="0.3">
      <c r="D494" s="45" t="s">
        <v>8954</v>
      </c>
    </row>
    <row r="495" spans="4:4" x14ac:dyDescent="0.3">
      <c r="D495" s="45" t="s">
        <v>8954</v>
      </c>
    </row>
    <row r="496" spans="4:4" x14ac:dyDescent="0.3">
      <c r="D496" s="45" t="s">
        <v>8954</v>
      </c>
    </row>
    <row r="497" spans="4:4" x14ac:dyDescent="0.3">
      <c r="D497" s="45" t="s">
        <v>8954</v>
      </c>
    </row>
    <row r="498" spans="4:4" x14ac:dyDescent="0.3">
      <c r="D498" s="45" t="s">
        <v>8954</v>
      </c>
    </row>
    <row r="499" spans="4:4" x14ac:dyDescent="0.3">
      <c r="D499" s="45" t="s">
        <v>8954</v>
      </c>
    </row>
    <row r="500" spans="4:4" x14ac:dyDescent="0.3">
      <c r="D500" s="45" t="s">
        <v>8954</v>
      </c>
    </row>
    <row r="501" spans="4:4" x14ac:dyDescent="0.3">
      <c r="D501" s="45" t="s">
        <v>8954</v>
      </c>
    </row>
    <row r="502" spans="4:4" x14ac:dyDescent="0.3">
      <c r="D502" s="45" t="s">
        <v>8954</v>
      </c>
    </row>
    <row r="503" spans="4:4" x14ac:dyDescent="0.3">
      <c r="D503" s="45" t="s">
        <v>8954</v>
      </c>
    </row>
    <row r="504" spans="4:4" x14ac:dyDescent="0.3">
      <c r="D504" s="45" t="s">
        <v>8954</v>
      </c>
    </row>
    <row r="505" spans="4:4" x14ac:dyDescent="0.3">
      <c r="D505" s="45" t="s">
        <v>8954</v>
      </c>
    </row>
    <row r="506" spans="4:4" x14ac:dyDescent="0.3">
      <c r="D506" s="45" t="s">
        <v>8954</v>
      </c>
    </row>
    <row r="507" spans="4:4" x14ac:dyDescent="0.3">
      <c r="D507" s="45" t="s">
        <v>8954</v>
      </c>
    </row>
    <row r="508" spans="4:4" x14ac:dyDescent="0.3">
      <c r="D508" s="45" t="s">
        <v>8954</v>
      </c>
    </row>
    <row r="509" spans="4:4" x14ac:dyDescent="0.3">
      <c r="D509" s="45" t="s">
        <v>8954</v>
      </c>
    </row>
    <row r="510" spans="4:4" x14ac:dyDescent="0.3">
      <c r="D510" s="45" t="s">
        <v>8954</v>
      </c>
    </row>
    <row r="511" spans="4:4" x14ac:dyDescent="0.3">
      <c r="D511" s="45" t="s">
        <v>8954</v>
      </c>
    </row>
    <row r="512" spans="4:4" x14ac:dyDescent="0.3">
      <c r="D512" s="45" t="s">
        <v>8954</v>
      </c>
    </row>
    <row r="513" spans="4:4" x14ac:dyDescent="0.3">
      <c r="D513" s="45" t="s">
        <v>8954</v>
      </c>
    </row>
    <row r="514" spans="4:4" x14ac:dyDescent="0.3">
      <c r="D514" s="45" t="s">
        <v>8954</v>
      </c>
    </row>
    <row r="515" spans="4:4" x14ac:dyDescent="0.3">
      <c r="D515" s="45" t="s">
        <v>8954</v>
      </c>
    </row>
    <row r="516" spans="4:4" x14ac:dyDescent="0.3">
      <c r="D516" s="45" t="s">
        <v>8954</v>
      </c>
    </row>
    <row r="517" spans="4:4" x14ac:dyDescent="0.3">
      <c r="D517" s="45" t="s">
        <v>8954</v>
      </c>
    </row>
    <row r="518" spans="4:4" x14ac:dyDescent="0.3">
      <c r="D518" s="45" t="s">
        <v>8954</v>
      </c>
    </row>
    <row r="519" spans="4:4" x14ac:dyDescent="0.3">
      <c r="D519" s="45" t="s">
        <v>8954</v>
      </c>
    </row>
    <row r="520" spans="4:4" x14ac:dyDescent="0.3">
      <c r="D520" s="45" t="s">
        <v>8954</v>
      </c>
    </row>
    <row r="521" spans="4:4" x14ac:dyDescent="0.3">
      <c r="D521" s="45" t="s">
        <v>8954</v>
      </c>
    </row>
    <row r="522" spans="4:4" x14ac:dyDescent="0.3">
      <c r="D522" s="45" t="s">
        <v>8954</v>
      </c>
    </row>
    <row r="523" spans="4:4" x14ac:dyDescent="0.3">
      <c r="D523" s="45" t="s">
        <v>8954</v>
      </c>
    </row>
    <row r="524" spans="4:4" x14ac:dyDescent="0.3">
      <c r="D524" s="45" t="s">
        <v>8954</v>
      </c>
    </row>
    <row r="525" spans="4:4" x14ac:dyDescent="0.3">
      <c r="D525" s="45" t="s">
        <v>8954</v>
      </c>
    </row>
    <row r="526" spans="4:4" x14ac:dyDescent="0.3">
      <c r="D526" s="45" t="s">
        <v>8954</v>
      </c>
    </row>
    <row r="527" spans="4:4" x14ac:dyDescent="0.3">
      <c r="D527" s="45" t="s">
        <v>8954</v>
      </c>
    </row>
    <row r="528" spans="4:4" x14ac:dyDescent="0.3">
      <c r="D528" s="45" t="s">
        <v>8954</v>
      </c>
    </row>
    <row r="529" spans="4:4" x14ac:dyDescent="0.3">
      <c r="D529" s="45" t="s">
        <v>8954</v>
      </c>
    </row>
    <row r="530" spans="4:4" x14ac:dyDescent="0.3">
      <c r="D530" s="45" t="s">
        <v>8954</v>
      </c>
    </row>
    <row r="531" spans="4:4" x14ac:dyDescent="0.3">
      <c r="D531" s="45" t="s">
        <v>8954</v>
      </c>
    </row>
    <row r="532" spans="4:4" x14ac:dyDescent="0.3">
      <c r="D532" s="45" t="s">
        <v>8954</v>
      </c>
    </row>
    <row r="533" spans="4:4" x14ac:dyDescent="0.3">
      <c r="D533" s="45" t="s">
        <v>8954</v>
      </c>
    </row>
    <row r="534" spans="4:4" x14ac:dyDescent="0.3">
      <c r="D534" s="45" t="s">
        <v>8954</v>
      </c>
    </row>
    <row r="535" spans="4:4" x14ac:dyDescent="0.3">
      <c r="D535" s="45" t="s">
        <v>8954</v>
      </c>
    </row>
    <row r="536" spans="4:4" x14ac:dyDescent="0.3">
      <c r="D536" s="45" t="s">
        <v>8954</v>
      </c>
    </row>
    <row r="537" spans="4:4" x14ac:dyDescent="0.3">
      <c r="D537" s="45" t="s">
        <v>8954</v>
      </c>
    </row>
    <row r="538" spans="4:4" x14ac:dyDescent="0.3">
      <c r="D538" s="45" t="s">
        <v>8954</v>
      </c>
    </row>
    <row r="539" spans="4:4" x14ac:dyDescent="0.3">
      <c r="D539" s="45" t="s">
        <v>8954</v>
      </c>
    </row>
    <row r="540" spans="4:4" x14ac:dyDescent="0.3">
      <c r="D540" s="45" t="s">
        <v>8954</v>
      </c>
    </row>
    <row r="541" spans="4:4" x14ac:dyDescent="0.3">
      <c r="D541" s="45" t="s">
        <v>8954</v>
      </c>
    </row>
    <row r="542" spans="4:4" x14ac:dyDescent="0.3">
      <c r="D542" s="45" t="s">
        <v>8954</v>
      </c>
    </row>
    <row r="543" spans="4:4" x14ac:dyDescent="0.3">
      <c r="D543" s="45" t="s">
        <v>8954</v>
      </c>
    </row>
    <row r="544" spans="4:4" x14ac:dyDescent="0.3">
      <c r="D544" s="45" t="s">
        <v>8954</v>
      </c>
    </row>
    <row r="545" spans="4:4" x14ac:dyDescent="0.3">
      <c r="D545" s="45" t="s">
        <v>8954</v>
      </c>
    </row>
    <row r="546" spans="4:4" x14ac:dyDescent="0.3">
      <c r="D546" s="45" t="s">
        <v>8954</v>
      </c>
    </row>
    <row r="547" spans="4:4" x14ac:dyDescent="0.3">
      <c r="D547" s="45" t="s">
        <v>8954</v>
      </c>
    </row>
    <row r="548" spans="4:4" x14ac:dyDescent="0.3">
      <c r="D548" s="45" t="s">
        <v>8954</v>
      </c>
    </row>
    <row r="549" spans="4:4" x14ac:dyDescent="0.3">
      <c r="D549" s="45" t="s">
        <v>8954</v>
      </c>
    </row>
    <row r="550" spans="4:4" x14ac:dyDescent="0.3">
      <c r="D550" s="45" t="s">
        <v>8954</v>
      </c>
    </row>
    <row r="551" spans="4:4" x14ac:dyDescent="0.3">
      <c r="D551" s="45" t="s">
        <v>8954</v>
      </c>
    </row>
    <row r="552" spans="4:4" x14ac:dyDescent="0.3">
      <c r="D552" s="45" t="s">
        <v>8954</v>
      </c>
    </row>
    <row r="553" spans="4:4" x14ac:dyDescent="0.3">
      <c r="D553" s="45" t="s">
        <v>8954</v>
      </c>
    </row>
    <row r="554" spans="4:4" x14ac:dyDescent="0.3">
      <c r="D554" s="45" t="s">
        <v>8954</v>
      </c>
    </row>
    <row r="555" spans="4:4" x14ac:dyDescent="0.3">
      <c r="D555" s="45" t="s">
        <v>8954</v>
      </c>
    </row>
    <row r="556" spans="4:4" x14ac:dyDescent="0.3">
      <c r="D556" s="45" t="s">
        <v>8954</v>
      </c>
    </row>
    <row r="557" spans="4:4" x14ac:dyDescent="0.3">
      <c r="D557" s="45" t="s">
        <v>8954</v>
      </c>
    </row>
    <row r="558" spans="4:4" x14ac:dyDescent="0.3">
      <c r="D558" s="45" t="s">
        <v>8954</v>
      </c>
    </row>
    <row r="559" spans="4:4" x14ac:dyDescent="0.3">
      <c r="D559" s="45" t="s">
        <v>8954</v>
      </c>
    </row>
    <row r="560" spans="4:4" x14ac:dyDescent="0.3">
      <c r="D560" s="45" t="s">
        <v>8954</v>
      </c>
    </row>
    <row r="561" spans="4:4" x14ac:dyDescent="0.3">
      <c r="D561" s="45" t="s">
        <v>8954</v>
      </c>
    </row>
    <row r="562" spans="4:4" x14ac:dyDescent="0.3">
      <c r="D562" s="45" t="s">
        <v>8954</v>
      </c>
    </row>
    <row r="563" spans="4:4" x14ac:dyDescent="0.3">
      <c r="D563" s="45" t="s">
        <v>8954</v>
      </c>
    </row>
    <row r="564" spans="4:4" x14ac:dyDescent="0.3">
      <c r="D564" s="45" t="s">
        <v>8954</v>
      </c>
    </row>
    <row r="565" spans="4:4" x14ac:dyDescent="0.3">
      <c r="D565" s="45" t="s">
        <v>8954</v>
      </c>
    </row>
    <row r="566" spans="4:4" x14ac:dyDescent="0.3">
      <c r="D566" s="45" t="s">
        <v>8954</v>
      </c>
    </row>
    <row r="567" spans="4:4" x14ac:dyDescent="0.3">
      <c r="D567" s="45" t="s">
        <v>8954</v>
      </c>
    </row>
    <row r="568" spans="4:4" x14ac:dyDescent="0.3">
      <c r="D568" s="45" t="s">
        <v>8954</v>
      </c>
    </row>
    <row r="569" spans="4:4" x14ac:dyDescent="0.3">
      <c r="D569" s="45" t="s">
        <v>8954</v>
      </c>
    </row>
    <row r="570" spans="4:4" x14ac:dyDescent="0.3">
      <c r="D570" s="45" t="s">
        <v>8954</v>
      </c>
    </row>
    <row r="571" spans="4:4" x14ac:dyDescent="0.3">
      <c r="D571" s="45" t="s">
        <v>8954</v>
      </c>
    </row>
    <row r="572" spans="4:4" x14ac:dyDescent="0.3">
      <c r="D572" s="45" t="s">
        <v>8954</v>
      </c>
    </row>
    <row r="573" spans="4:4" x14ac:dyDescent="0.3">
      <c r="D573" s="45" t="s">
        <v>8954</v>
      </c>
    </row>
    <row r="574" spans="4:4" x14ac:dyDescent="0.3">
      <c r="D574" s="45" t="s">
        <v>8954</v>
      </c>
    </row>
    <row r="575" spans="4:4" x14ac:dyDescent="0.3">
      <c r="D575" s="45" t="s">
        <v>8954</v>
      </c>
    </row>
    <row r="576" spans="4:4" x14ac:dyDescent="0.3">
      <c r="D576" s="45" t="s">
        <v>8954</v>
      </c>
    </row>
    <row r="577" spans="4:4" x14ac:dyDescent="0.3">
      <c r="D577" s="45" t="s">
        <v>8954</v>
      </c>
    </row>
    <row r="578" spans="4:4" x14ac:dyDescent="0.3">
      <c r="D578" s="45" t="s">
        <v>8954</v>
      </c>
    </row>
    <row r="579" spans="4:4" x14ac:dyDescent="0.3">
      <c r="D579" s="45" t="s">
        <v>8954</v>
      </c>
    </row>
    <row r="580" spans="4:4" x14ac:dyDescent="0.3">
      <c r="D580" s="45" t="s">
        <v>8954</v>
      </c>
    </row>
    <row r="581" spans="4:4" x14ac:dyDescent="0.3">
      <c r="D581" s="45" t="s">
        <v>8954</v>
      </c>
    </row>
    <row r="582" spans="4:4" x14ac:dyDescent="0.3">
      <c r="D582" s="45" t="s">
        <v>8954</v>
      </c>
    </row>
    <row r="583" spans="4:4" x14ac:dyDescent="0.3">
      <c r="D583" s="45" t="s">
        <v>8954</v>
      </c>
    </row>
    <row r="584" spans="4:4" x14ac:dyDescent="0.3">
      <c r="D584" s="45" t="s">
        <v>8954</v>
      </c>
    </row>
    <row r="585" spans="4:4" x14ac:dyDescent="0.3">
      <c r="D585" s="45" t="s">
        <v>8954</v>
      </c>
    </row>
    <row r="586" spans="4:4" x14ac:dyDescent="0.3">
      <c r="D586" s="45" t="s">
        <v>8954</v>
      </c>
    </row>
    <row r="587" spans="4:4" x14ac:dyDescent="0.3">
      <c r="D587" s="45" t="s">
        <v>8954</v>
      </c>
    </row>
    <row r="588" spans="4:4" x14ac:dyDescent="0.3">
      <c r="D588" s="45" t="s">
        <v>8954</v>
      </c>
    </row>
    <row r="589" spans="4:4" x14ac:dyDescent="0.3">
      <c r="D589" s="45" t="s">
        <v>8954</v>
      </c>
    </row>
    <row r="590" spans="4:4" x14ac:dyDescent="0.3">
      <c r="D590" s="45" t="s">
        <v>8954</v>
      </c>
    </row>
    <row r="591" spans="4:4" x14ac:dyDescent="0.3">
      <c r="D591" s="45" t="s">
        <v>8954</v>
      </c>
    </row>
    <row r="592" spans="4:4" x14ac:dyDescent="0.3">
      <c r="D592" s="45" t="s">
        <v>8954</v>
      </c>
    </row>
    <row r="593" spans="4:4" x14ac:dyDescent="0.3">
      <c r="D593" s="45" t="s">
        <v>8954</v>
      </c>
    </row>
    <row r="594" spans="4:4" x14ac:dyDescent="0.3">
      <c r="D594" s="45" t="s">
        <v>8954</v>
      </c>
    </row>
    <row r="595" spans="4:4" x14ac:dyDescent="0.3">
      <c r="D595" s="45" t="s">
        <v>8954</v>
      </c>
    </row>
    <row r="596" spans="4:4" x14ac:dyDescent="0.3">
      <c r="D596" s="45" t="s">
        <v>8954</v>
      </c>
    </row>
    <row r="597" spans="4:4" x14ac:dyDescent="0.3">
      <c r="D597" s="45" t="s">
        <v>8954</v>
      </c>
    </row>
    <row r="598" spans="4:4" x14ac:dyDescent="0.3">
      <c r="D598" s="45" t="s">
        <v>8954</v>
      </c>
    </row>
    <row r="599" spans="4:4" x14ac:dyDescent="0.3">
      <c r="D599" s="45" t="s">
        <v>8954</v>
      </c>
    </row>
    <row r="600" spans="4:4" x14ac:dyDescent="0.3">
      <c r="D600" s="45" t="s">
        <v>8954</v>
      </c>
    </row>
    <row r="601" spans="4:4" x14ac:dyDescent="0.3">
      <c r="D601" s="45" t="s">
        <v>8954</v>
      </c>
    </row>
    <row r="602" spans="4:4" x14ac:dyDescent="0.3">
      <c r="D602" s="45" t="s">
        <v>8954</v>
      </c>
    </row>
    <row r="603" spans="4:4" x14ac:dyDescent="0.3">
      <c r="D603" s="45" t="s">
        <v>8954</v>
      </c>
    </row>
    <row r="604" spans="4:4" x14ac:dyDescent="0.3">
      <c r="D604" s="45" t="s">
        <v>8954</v>
      </c>
    </row>
    <row r="605" spans="4:4" x14ac:dyDescent="0.3">
      <c r="D605" s="45" t="s">
        <v>8954</v>
      </c>
    </row>
    <row r="606" spans="4:4" x14ac:dyDescent="0.3">
      <c r="D606" s="45" t="s">
        <v>8954</v>
      </c>
    </row>
    <row r="607" spans="4:4" x14ac:dyDescent="0.3">
      <c r="D607" s="45" t="s">
        <v>8954</v>
      </c>
    </row>
    <row r="608" spans="4:4" x14ac:dyDescent="0.3">
      <c r="D608" s="45" t="s">
        <v>8954</v>
      </c>
    </row>
    <row r="609" spans="4:4" x14ac:dyDescent="0.3">
      <c r="D609" s="45" t="s">
        <v>8954</v>
      </c>
    </row>
    <row r="610" spans="4:4" x14ac:dyDescent="0.3">
      <c r="D610" s="45" t="s">
        <v>8954</v>
      </c>
    </row>
    <row r="611" spans="4:4" x14ac:dyDescent="0.3">
      <c r="D611" s="45" t="s">
        <v>8954</v>
      </c>
    </row>
    <row r="612" spans="4:4" x14ac:dyDescent="0.3">
      <c r="D612" s="45" t="s">
        <v>8954</v>
      </c>
    </row>
    <row r="613" spans="4:4" x14ac:dyDescent="0.3">
      <c r="D613" s="45" t="s">
        <v>8954</v>
      </c>
    </row>
    <row r="614" spans="4:4" x14ac:dyDescent="0.3">
      <c r="D614" s="45" t="s">
        <v>8954</v>
      </c>
    </row>
    <row r="615" spans="4:4" x14ac:dyDescent="0.3">
      <c r="D615" s="45" t="s">
        <v>8954</v>
      </c>
    </row>
    <row r="616" spans="4:4" x14ac:dyDescent="0.3">
      <c r="D616" s="45" t="s">
        <v>8954</v>
      </c>
    </row>
    <row r="617" spans="4:4" x14ac:dyDescent="0.3">
      <c r="D617" s="45" t="s">
        <v>8954</v>
      </c>
    </row>
    <row r="618" spans="4:4" x14ac:dyDescent="0.3">
      <c r="D618" s="45" t="s">
        <v>8954</v>
      </c>
    </row>
    <row r="619" spans="4:4" x14ac:dyDescent="0.3">
      <c r="D619" s="45" t="s">
        <v>8954</v>
      </c>
    </row>
    <row r="620" spans="4:4" x14ac:dyDescent="0.3">
      <c r="D620" s="45" t="s">
        <v>8954</v>
      </c>
    </row>
    <row r="621" spans="4:4" x14ac:dyDescent="0.3">
      <c r="D621" s="45" t="s">
        <v>8954</v>
      </c>
    </row>
    <row r="622" spans="4:4" x14ac:dyDescent="0.3">
      <c r="D622" s="45" t="s">
        <v>8954</v>
      </c>
    </row>
    <row r="623" spans="4:4" x14ac:dyDescent="0.3">
      <c r="D623" s="45" t="s">
        <v>8954</v>
      </c>
    </row>
    <row r="624" spans="4:4" x14ac:dyDescent="0.3">
      <c r="D624" s="45" t="s">
        <v>8954</v>
      </c>
    </row>
    <row r="625" spans="4:4" x14ac:dyDescent="0.3">
      <c r="D625" s="45" t="s">
        <v>8954</v>
      </c>
    </row>
    <row r="626" spans="4:4" x14ac:dyDescent="0.3">
      <c r="D626" s="45" t="s">
        <v>8954</v>
      </c>
    </row>
    <row r="627" spans="4:4" x14ac:dyDescent="0.3">
      <c r="D627" s="45" t="s">
        <v>8954</v>
      </c>
    </row>
    <row r="628" spans="4:4" x14ac:dyDescent="0.3">
      <c r="D628" s="45" t="s">
        <v>8954</v>
      </c>
    </row>
    <row r="629" spans="4:4" x14ac:dyDescent="0.3">
      <c r="D629" s="45" t="s">
        <v>8954</v>
      </c>
    </row>
    <row r="630" spans="4:4" x14ac:dyDescent="0.3">
      <c r="D630" s="45" t="s">
        <v>8954</v>
      </c>
    </row>
    <row r="631" spans="4:4" x14ac:dyDescent="0.3">
      <c r="D631" s="45" t="s">
        <v>8954</v>
      </c>
    </row>
    <row r="632" spans="4:4" x14ac:dyDescent="0.3">
      <c r="D632" s="45" t="s">
        <v>8954</v>
      </c>
    </row>
    <row r="633" spans="4:4" x14ac:dyDescent="0.3">
      <c r="D633" s="45" t="s">
        <v>8954</v>
      </c>
    </row>
    <row r="634" spans="4:4" x14ac:dyDescent="0.3">
      <c r="D634" s="45" t="s">
        <v>8954</v>
      </c>
    </row>
    <row r="635" spans="4:4" x14ac:dyDescent="0.3">
      <c r="D635" s="45" t="s">
        <v>8954</v>
      </c>
    </row>
    <row r="636" spans="4:4" x14ac:dyDescent="0.3">
      <c r="D636" s="45" t="s">
        <v>8954</v>
      </c>
    </row>
    <row r="637" spans="4:4" x14ac:dyDescent="0.3">
      <c r="D637" s="45" t="s">
        <v>8954</v>
      </c>
    </row>
    <row r="638" spans="4:4" x14ac:dyDescent="0.3">
      <c r="D638" s="45" t="s">
        <v>8954</v>
      </c>
    </row>
    <row r="639" spans="4:4" x14ac:dyDescent="0.3">
      <c r="D639" s="45" t="s">
        <v>8954</v>
      </c>
    </row>
    <row r="640" spans="4:4" x14ac:dyDescent="0.3">
      <c r="D640" s="45" t="s">
        <v>8954</v>
      </c>
    </row>
    <row r="641" spans="4:4" x14ac:dyDescent="0.3">
      <c r="D641" s="45" t="s">
        <v>8954</v>
      </c>
    </row>
    <row r="642" spans="4:4" x14ac:dyDescent="0.3">
      <c r="D642" s="45" t="s">
        <v>8954</v>
      </c>
    </row>
    <row r="643" spans="4:4" x14ac:dyDescent="0.3">
      <c r="D643" s="45" t="s">
        <v>8954</v>
      </c>
    </row>
    <row r="644" spans="4:4" x14ac:dyDescent="0.3">
      <c r="D644" s="45" t="s">
        <v>8954</v>
      </c>
    </row>
    <row r="645" spans="4:4" x14ac:dyDescent="0.3">
      <c r="D645" s="45" t="s">
        <v>8954</v>
      </c>
    </row>
    <row r="646" spans="4:4" x14ac:dyDescent="0.3">
      <c r="D646" s="45" t="s">
        <v>8954</v>
      </c>
    </row>
    <row r="647" spans="4:4" x14ac:dyDescent="0.3">
      <c r="D647" s="45" t="s">
        <v>8954</v>
      </c>
    </row>
    <row r="648" spans="4:4" x14ac:dyDescent="0.3">
      <c r="D648" s="45" t="s">
        <v>8954</v>
      </c>
    </row>
    <row r="649" spans="4:4" x14ac:dyDescent="0.3">
      <c r="D649" s="45" t="s">
        <v>8954</v>
      </c>
    </row>
    <row r="650" spans="4:4" x14ac:dyDescent="0.3">
      <c r="D650" s="45" t="s">
        <v>8954</v>
      </c>
    </row>
    <row r="651" spans="4:4" x14ac:dyDescent="0.3">
      <c r="D651" s="45" t="s">
        <v>8954</v>
      </c>
    </row>
    <row r="652" spans="4:4" x14ac:dyDescent="0.3">
      <c r="D652" s="45" t="s">
        <v>8954</v>
      </c>
    </row>
    <row r="653" spans="4:4" x14ac:dyDescent="0.3">
      <c r="D653" s="45" t="s">
        <v>8954</v>
      </c>
    </row>
    <row r="654" spans="4:4" x14ac:dyDescent="0.3">
      <c r="D654" s="45" t="s">
        <v>8954</v>
      </c>
    </row>
    <row r="655" spans="4:4" x14ac:dyDescent="0.3">
      <c r="D655" s="45" t="s">
        <v>8954</v>
      </c>
    </row>
    <row r="656" spans="4:4" x14ac:dyDescent="0.3">
      <c r="D656" s="45" t="s">
        <v>8954</v>
      </c>
    </row>
    <row r="657" spans="4:4" x14ac:dyDescent="0.3">
      <c r="D657" s="45" t="s">
        <v>8954</v>
      </c>
    </row>
    <row r="658" spans="4:4" x14ac:dyDescent="0.3">
      <c r="D658" s="45" t="s">
        <v>8954</v>
      </c>
    </row>
    <row r="659" spans="4:4" x14ac:dyDescent="0.3">
      <c r="D659" s="45" t="s">
        <v>8954</v>
      </c>
    </row>
    <row r="660" spans="4:4" x14ac:dyDescent="0.3">
      <c r="D660" s="45" t="s">
        <v>8954</v>
      </c>
    </row>
    <row r="661" spans="4:4" x14ac:dyDescent="0.3">
      <c r="D661" s="45" t="s">
        <v>8954</v>
      </c>
    </row>
    <row r="662" spans="4:4" x14ac:dyDescent="0.3">
      <c r="D662" s="45" t="s">
        <v>8954</v>
      </c>
    </row>
    <row r="663" spans="4:4" x14ac:dyDescent="0.3">
      <c r="D663" s="45" t="s">
        <v>8954</v>
      </c>
    </row>
    <row r="664" spans="4:4" x14ac:dyDescent="0.3">
      <c r="D664" s="45" t="s">
        <v>8954</v>
      </c>
    </row>
    <row r="665" spans="4:4" x14ac:dyDescent="0.3">
      <c r="D665" s="45" t="s">
        <v>8954</v>
      </c>
    </row>
    <row r="666" spans="4:4" x14ac:dyDescent="0.3">
      <c r="D666" s="45" t="s">
        <v>8954</v>
      </c>
    </row>
    <row r="667" spans="4:4" x14ac:dyDescent="0.3">
      <c r="D667" s="45" t="s">
        <v>8954</v>
      </c>
    </row>
    <row r="668" spans="4:4" x14ac:dyDescent="0.3">
      <c r="D668" s="45" t="s">
        <v>8954</v>
      </c>
    </row>
    <row r="669" spans="4:4" x14ac:dyDescent="0.3">
      <c r="D669" s="45" t="s">
        <v>8954</v>
      </c>
    </row>
    <row r="670" spans="4:4" x14ac:dyDescent="0.3">
      <c r="D670" s="45" t="s">
        <v>8954</v>
      </c>
    </row>
    <row r="671" spans="4:4" x14ac:dyDescent="0.3">
      <c r="D671" s="45" t="s">
        <v>8954</v>
      </c>
    </row>
    <row r="672" spans="4:4" x14ac:dyDescent="0.3">
      <c r="D672" s="45" t="s">
        <v>8954</v>
      </c>
    </row>
    <row r="673" spans="4:4" x14ac:dyDescent="0.3">
      <c r="D673" s="45" t="s">
        <v>8954</v>
      </c>
    </row>
    <row r="674" spans="4:4" x14ac:dyDescent="0.3">
      <c r="D674" s="45" t="s">
        <v>8954</v>
      </c>
    </row>
    <row r="675" spans="4:4" x14ac:dyDescent="0.3">
      <c r="D675" s="45" t="s">
        <v>8954</v>
      </c>
    </row>
    <row r="676" spans="4:4" x14ac:dyDescent="0.3">
      <c r="D676" s="45" t="s">
        <v>8954</v>
      </c>
    </row>
    <row r="677" spans="4:4" x14ac:dyDescent="0.3">
      <c r="D677" s="45" t="s">
        <v>8954</v>
      </c>
    </row>
    <row r="678" spans="4:4" x14ac:dyDescent="0.3">
      <c r="D678" s="45" t="s">
        <v>8954</v>
      </c>
    </row>
    <row r="679" spans="4:4" x14ac:dyDescent="0.3">
      <c r="D679" s="45" t="s">
        <v>8954</v>
      </c>
    </row>
    <row r="680" spans="4:4" x14ac:dyDescent="0.3">
      <c r="D680" s="45" t="s">
        <v>8954</v>
      </c>
    </row>
    <row r="681" spans="4:4" x14ac:dyDescent="0.3">
      <c r="D681" s="45" t="s">
        <v>8954</v>
      </c>
    </row>
    <row r="682" spans="4:4" x14ac:dyDescent="0.3">
      <c r="D682" s="45" t="s">
        <v>8954</v>
      </c>
    </row>
    <row r="683" spans="4:4" x14ac:dyDescent="0.3">
      <c r="D683" s="45" t="s">
        <v>8954</v>
      </c>
    </row>
    <row r="684" spans="4:4" x14ac:dyDescent="0.3">
      <c r="D684" s="45" t="s">
        <v>8954</v>
      </c>
    </row>
    <row r="685" spans="4:4" x14ac:dyDescent="0.3">
      <c r="D685" s="45" t="s">
        <v>8954</v>
      </c>
    </row>
    <row r="686" spans="4:4" x14ac:dyDescent="0.3">
      <c r="D686" s="45" t="s">
        <v>8954</v>
      </c>
    </row>
    <row r="687" spans="4:4" x14ac:dyDescent="0.3">
      <c r="D687" s="45" t="s">
        <v>8954</v>
      </c>
    </row>
    <row r="688" spans="4:4" x14ac:dyDescent="0.3">
      <c r="D688" s="45" t="s">
        <v>8954</v>
      </c>
    </row>
    <row r="689" spans="4:4" x14ac:dyDescent="0.3">
      <c r="D689" s="45" t="s">
        <v>8954</v>
      </c>
    </row>
    <row r="690" spans="4:4" x14ac:dyDescent="0.3">
      <c r="D690" s="45" t="s">
        <v>8954</v>
      </c>
    </row>
    <row r="691" spans="4:4" x14ac:dyDescent="0.3">
      <c r="D691" s="45" t="s">
        <v>8954</v>
      </c>
    </row>
    <row r="692" spans="4:4" x14ac:dyDescent="0.3">
      <c r="D692" s="45" t="s">
        <v>8954</v>
      </c>
    </row>
    <row r="693" spans="4:4" x14ac:dyDescent="0.3">
      <c r="D693" s="45" t="s">
        <v>8954</v>
      </c>
    </row>
    <row r="694" spans="4:4" x14ac:dyDescent="0.3">
      <c r="D694" s="45" t="s">
        <v>8954</v>
      </c>
    </row>
    <row r="695" spans="4:4" x14ac:dyDescent="0.3">
      <c r="D695" s="45" t="s">
        <v>8954</v>
      </c>
    </row>
    <row r="696" spans="4:4" x14ac:dyDescent="0.3">
      <c r="D696" s="45" t="s">
        <v>8954</v>
      </c>
    </row>
    <row r="697" spans="4:4" x14ac:dyDescent="0.3">
      <c r="D697" s="45" t="s">
        <v>8954</v>
      </c>
    </row>
    <row r="698" spans="4:4" x14ac:dyDescent="0.3">
      <c r="D698" s="45" t="s">
        <v>8954</v>
      </c>
    </row>
    <row r="699" spans="4:4" x14ac:dyDescent="0.3">
      <c r="D699" s="45" t="s">
        <v>8954</v>
      </c>
    </row>
    <row r="700" spans="4:4" x14ac:dyDescent="0.3">
      <c r="D700" s="45" t="s">
        <v>8954</v>
      </c>
    </row>
    <row r="701" spans="4:4" x14ac:dyDescent="0.3">
      <c r="D701" s="45" t="s">
        <v>8954</v>
      </c>
    </row>
    <row r="702" spans="4:4" x14ac:dyDescent="0.3">
      <c r="D702" s="45" t="s">
        <v>8954</v>
      </c>
    </row>
    <row r="703" spans="4:4" x14ac:dyDescent="0.3">
      <c r="D703" s="45" t="s">
        <v>8954</v>
      </c>
    </row>
    <row r="704" spans="4:4" x14ac:dyDescent="0.3">
      <c r="D704" s="45" t="s">
        <v>8954</v>
      </c>
    </row>
    <row r="705" spans="4:4" x14ac:dyDescent="0.3">
      <c r="D705" s="45" t="s">
        <v>8954</v>
      </c>
    </row>
    <row r="706" spans="4:4" x14ac:dyDescent="0.3">
      <c r="D706" s="45" t="s">
        <v>8954</v>
      </c>
    </row>
    <row r="707" spans="4:4" x14ac:dyDescent="0.3">
      <c r="D707" s="45" t="s">
        <v>8954</v>
      </c>
    </row>
    <row r="708" spans="4:4" x14ac:dyDescent="0.3">
      <c r="D708" s="45" t="s">
        <v>8954</v>
      </c>
    </row>
    <row r="709" spans="4:4" x14ac:dyDescent="0.3">
      <c r="D709" s="45" t="s">
        <v>8954</v>
      </c>
    </row>
    <row r="710" spans="4:4" x14ac:dyDescent="0.3">
      <c r="D710" s="45" t="s">
        <v>8954</v>
      </c>
    </row>
    <row r="711" spans="4:4" x14ac:dyDescent="0.3">
      <c r="D711" s="45" t="s">
        <v>8954</v>
      </c>
    </row>
    <row r="712" spans="4:4" x14ac:dyDescent="0.3">
      <c r="D712" s="45" t="s">
        <v>8954</v>
      </c>
    </row>
    <row r="713" spans="4:4" x14ac:dyDescent="0.3">
      <c r="D713" s="45" t="s">
        <v>8954</v>
      </c>
    </row>
    <row r="714" spans="4:4" x14ac:dyDescent="0.3">
      <c r="D714" s="45" t="s">
        <v>8954</v>
      </c>
    </row>
    <row r="715" spans="4:4" x14ac:dyDescent="0.3">
      <c r="D715" s="45" t="s">
        <v>8954</v>
      </c>
    </row>
    <row r="716" spans="4:4" x14ac:dyDescent="0.3">
      <c r="D716" s="45" t="s">
        <v>8954</v>
      </c>
    </row>
    <row r="717" spans="4:4" x14ac:dyDescent="0.3">
      <c r="D717" s="45" t="s">
        <v>8954</v>
      </c>
    </row>
    <row r="718" spans="4:4" x14ac:dyDescent="0.3">
      <c r="D718" s="45" t="s">
        <v>8954</v>
      </c>
    </row>
    <row r="719" spans="4:4" x14ac:dyDescent="0.3">
      <c r="D719" s="45" t="s">
        <v>8954</v>
      </c>
    </row>
    <row r="720" spans="4:4" x14ac:dyDescent="0.3">
      <c r="D720" s="45" t="s">
        <v>8954</v>
      </c>
    </row>
    <row r="721" spans="4:4" x14ac:dyDescent="0.3">
      <c r="D721" s="45" t="s">
        <v>8954</v>
      </c>
    </row>
    <row r="722" spans="4:4" x14ac:dyDescent="0.3">
      <c r="D722" s="45" t="s">
        <v>8954</v>
      </c>
    </row>
    <row r="723" spans="4:4" x14ac:dyDescent="0.3">
      <c r="D723" s="45" t="s">
        <v>8954</v>
      </c>
    </row>
    <row r="724" spans="4:4" x14ac:dyDescent="0.3">
      <c r="D724" s="45" t="s">
        <v>8954</v>
      </c>
    </row>
    <row r="725" spans="4:4" x14ac:dyDescent="0.3">
      <c r="D725" s="45" t="s">
        <v>8954</v>
      </c>
    </row>
    <row r="726" spans="4:4" x14ac:dyDescent="0.3">
      <c r="D726" s="45" t="s">
        <v>8954</v>
      </c>
    </row>
    <row r="727" spans="4:4" x14ac:dyDescent="0.3">
      <c r="D727" s="45" t="s">
        <v>8954</v>
      </c>
    </row>
    <row r="728" spans="4:4" x14ac:dyDescent="0.3">
      <c r="D728" s="45" t="s">
        <v>8954</v>
      </c>
    </row>
    <row r="729" spans="4:4" x14ac:dyDescent="0.3">
      <c r="D729" s="45" t="s">
        <v>8954</v>
      </c>
    </row>
    <row r="730" spans="4:4" x14ac:dyDescent="0.3">
      <c r="D730" s="45" t="s">
        <v>8954</v>
      </c>
    </row>
    <row r="731" spans="4:4" x14ac:dyDescent="0.3">
      <c r="D731" s="45" t="s">
        <v>8954</v>
      </c>
    </row>
    <row r="732" spans="4:4" x14ac:dyDescent="0.3">
      <c r="D732" s="45" t="s">
        <v>8954</v>
      </c>
    </row>
    <row r="733" spans="4:4" x14ac:dyDescent="0.3">
      <c r="D733" s="45" t="s">
        <v>8954</v>
      </c>
    </row>
    <row r="734" spans="4:4" x14ac:dyDescent="0.3">
      <c r="D734" s="45" t="s">
        <v>8954</v>
      </c>
    </row>
    <row r="735" spans="4:4" x14ac:dyDescent="0.3">
      <c r="D735" s="45" t="s">
        <v>8954</v>
      </c>
    </row>
    <row r="736" spans="4:4" x14ac:dyDescent="0.3">
      <c r="D736" s="45" t="s">
        <v>8954</v>
      </c>
    </row>
    <row r="737" spans="4:4" x14ac:dyDescent="0.3">
      <c r="D737" s="45" t="s">
        <v>8954</v>
      </c>
    </row>
    <row r="738" spans="4:4" x14ac:dyDescent="0.3">
      <c r="D738" s="45" t="s">
        <v>8954</v>
      </c>
    </row>
    <row r="739" spans="4:4" x14ac:dyDescent="0.3">
      <c r="D739" s="45" t="s">
        <v>8954</v>
      </c>
    </row>
    <row r="740" spans="4:4" x14ac:dyDescent="0.3">
      <c r="D740" s="45" t="s">
        <v>8954</v>
      </c>
    </row>
    <row r="741" spans="4:4" x14ac:dyDescent="0.3">
      <c r="D741" s="45" t="s">
        <v>8954</v>
      </c>
    </row>
    <row r="742" spans="4:4" x14ac:dyDescent="0.3">
      <c r="D742" s="45" t="s">
        <v>8954</v>
      </c>
    </row>
    <row r="743" spans="4:4" x14ac:dyDescent="0.3">
      <c r="D743" s="45" t="s">
        <v>8954</v>
      </c>
    </row>
    <row r="744" spans="4:4" x14ac:dyDescent="0.3">
      <c r="D744" s="45" t="s">
        <v>8954</v>
      </c>
    </row>
    <row r="745" spans="4:4" x14ac:dyDescent="0.3">
      <c r="D745" s="45" t="s">
        <v>8954</v>
      </c>
    </row>
    <row r="746" spans="4:4" x14ac:dyDescent="0.3">
      <c r="D746" s="45" t="s">
        <v>8954</v>
      </c>
    </row>
    <row r="747" spans="4:4" x14ac:dyDescent="0.3">
      <c r="D747" s="45" t="s">
        <v>8954</v>
      </c>
    </row>
    <row r="748" spans="4:4" x14ac:dyDescent="0.3">
      <c r="D748" s="45" t="s">
        <v>8954</v>
      </c>
    </row>
    <row r="749" spans="4:4" x14ac:dyDescent="0.3">
      <c r="D749" s="45" t="s">
        <v>8954</v>
      </c>
    </row>
    <row r="750" spans="4:4" x14ac:dyDescent="0.3">
      <c r="D750" s="45" t="s">
        <v>8954</v>
      </c>
    </row>
    <row r="751" spans="4:4" x14ac:dyDescent="0.3">
      <c r="D751" s="45" t="s">
        <v>8954</v>
      </c>
    </row>
    <row r="752" spans="4:4" x14ac:dyDescent="0.3">
      <c r="D752" s="45" t="s">
        <v>8954</v>
      </c>
    </row>
    <row r="753" spans="4:4" x14ac:dyDescent="0.3">
      <c r="D753" s="45" t="s">
        <v>8954</v>
      </c>
    </row>
    <row r="754" spans="4:4" x14ac:dyDescent="0.3">
      <c r="D754" s="45" t="s">
        <v>8954</v>
      </c>
    </row>
    <row r="755" spans="4:4" x14ac:dyDescent="0.3">
      <c r="D755" s="45" t="s">
        <v>8954</v>
      </c>
    </row>
    <row r="756" spans="4:4" x14ac:dyDescent="0.3">
      <c r="D756" s="45" t="s">
        <v>8954</v>
      </c>
    </row>
    <row r="757" spans="4:4" x14ac:dyDescent="0.3">
      <c r="D757" s="45" t="s">
        <v>8954</v>
      </c>
    </row>
    <row r="758" spans="4:4" x14ac:dyDescent="0.3">
      <c r="D758" s="45" t="s">
        <v>8954</v>
      </c>
    </row>
    <row r="759" spans="4:4" x14ac:dyDescent="0.3">
      <c r="D759" s="45" t="s">
        <v>8954</v>
      </c>
    </row>
    <row r="760" spans="4:4" x14ac:dyDescent="0.3">
      <c r="D760" s="45" t="s">
        <v>8954</v>
      </c>
    </row>
    <row r="761" spans="4:4" x14ac:dyDescent="0.3">
      <c r="D761" s="45" t="s">
        <v>8954</v>
      </c>
    </row>
    <row r="762" spans="4:4" x14ac:dyDescent="0.3">
      <c r="D762" s="45" t="s">
        <v>8954</v>
      </c>
    </row>
    <row r="763" spans="4:4" x14ac:dyDescent="0.3">
      <c r="D763" s="45" t="s">
        <v>8954</v>
      </c>
    </row>
    <row r="764" spans="4:4" x14ac:dyDescent="0.3">
      <c r="D764" s="45" t="s">
        <v>8954</v>
      </c>
    </row>
    <row r="765" spans="4:4" x14ac:dyDescent="0.3">
      <c r="D765" s="45" t="s">
        <v>8954</v>
      </c>
    </row>
    <row r="766" spans="4:4" x14ac:dyDescent="0.3">
      <c r="D766" s="45" t="s">
        <v>8954</v>
      </c>
    </row>
    <row r="767" spans="4:4" x14ac:dyDescent="0.3">
      <c r="D767" s="45" t="s">
        <v>8954</v>
      </c>
    </row>
    <row r="768" spans="4:4" x14ac:dyDescent="0.3">
      <c r="D768" s="45" t="s">
        <v>8954</v>
      </c>
    </row>
    <row r="769" spans="4:4" x14ac:dyDescent="0.3">
      <c r="D769" s="45" t="s">
        <v>8954</v>
      </c>
    </row>
    <row r="770" spans="4:4" x14ac:dyDescent="0.3">
      <c r="D770" s="45" t="s">
        <v>8954</v>
      </c>
    </row>
    <row r="771" spans="4:4" x14ac:dyDescent="0.3">
      <c r="D771" s="45" t="s">
        <v>8954</v>
      </c>
    </row>
    <row r="772" spans="4:4" x14ac:dyDescent="0.3">
      <c r="D772" s="45" t="s">
        <v>8954</v>
      </c>
    </row>
    <row r="773" spans="4:4" x14ac:dyDescent="0.3">
      <c r="D773" s="45" t="s">
        <v>8954</v>
      </c>
    </row>
    <row r="774" spans="4:4" x14ac:dyDescent="0.3">
      <c r="D774" s="45" t="s">
        <v>8954</v>
      </c>
    </row>
    <row r="775" spans="4:4" x14ac:dyDescent="0.3">
      <c r="D775" s="45" t="s">
        <v>8954</v>
      </c>
    </row>
    <row r="776" spans="4:4" x14ac:dyDescent="0.3">
      <c r="D776" s="45" t="s">
        <v>8954</v>
      </c>
    </row>
    <row r="777" spans="4:4" x14ac:dyDescent="0.3">
      <c r="D777" s="45" t="s">
        <v>8954</v>
      </c>
    </row>
    <row r="778" spans="4:4" x14ac:dyDescent="0.3">
      <c r="D778" s="45" t="s">
        <v>8954</v>
      </c>
    </row>
    <row r="779" spans="4:4" x14ac:dyDescent="0.3">
      <c r="D779" s="45" t="s">
        <v>8954</v>
      </c>
    </row>
    <row r="780" spans="4:4" x14ac:dyDescent="0.3">
      <c r="D780" s="45" t="s">
        <v>8954</v>
      </c>
    </row>
    <row r="781" spans="4:4" x14ac:dyDescent="0.3">
      <c r="D781" s="45" t="s">
        <v>8954</v>
      </c>
    </row>
    <row r="782" spans="4:4" x14ac:dyDescent="0.3">
      <c r="D782" s="45" t="s">
        <v>8954</v>
      </c>
    </row>
    <row r="783" spans="4:4" x14ac:dyDescent="0.3">
      <c r="D783" s="45" t="s">
        <v>8954</v>
      </c>
    </row>
    <row r="784" spans="4:4" x14ac:dyDescent="0.3">
      <c r="D784" s="45" t="s">
        <v>8954</v>
      </c>
    </row>
    <row r="785" spans="4:4" x14ac:dyDescent="0.3">
      <c r="D785" s="45" t="s">
        <v>8954</v>
      </c>
    </row>
    <row r="786" spans="4:4" x14ac:dyDescent="0.3">
      <c r="D786" s="45" t="s">
        <v>8954</v>
      </c>
    </row>
    <row r="787" spans="4:4" x14ac:dyDescent="0.3">
      <c r="D787" s="45" t="s">
        <v>8954</v>
      </c>
    </row>
    <row r="788" spans="4:4" x14ac:dyDescent="0.3">
      <c r="D788" s="45" t="s">
        <v>8954</v>
      </c>
    </row>
    <row r="789" spans="4:4" x14ac:dyDescent="0.3">
      <c r="D789" s="45" t="s">
        <v>8954</v>
      </c>
    </row>
    <row r="790" spans="4:4" x14ac:dyDescent="0.3">
      <c r="D790" s="45" t="s">
        <v>8954</v>
      </c>
    </row>
    <row r="791" spans="4:4" x14ac:dyDescent="0.3">
      <c r="D791" s="45" t="s">
        <v>8954</v>
      </c>
    </row>
    <row r="792" spans="4:4" x14ac:dyDescent="0.3">
      <c r="D792" s="45" t="s">
        <v>8954</v>
      </c>
    </row>
    <row r="793" spans="4:4" x14ac:dyDescent="0.3">
      <c r="D793" s="45" t="s">
        <v>8954</v>
      </c>
    </row>
    <row r="794" spans="4:4" x14ac:dyDescent="0.3">
      <c r="D794" s="45" t="s">
        <v>8954</v>
      </c>
    </row>
    <row r="795" spans="4:4" x14ac:dyDescent="0.3">
      <c r="D795" s="45" t="s">
        <v>8954</v>
      </c>
    </row>
    <row r="796" spans="4:4" x14ac:dyDescent="0.3">
      <c r="D796" s="45" t="s">
        <v>8954</v>
      </c>
    </row>
    <row r="797" spans="4:4" x14ac:dyDescent="0.3">
      <c r="D797" s="45" t="s">
        <v>8954</v>
      </c>
    </row>
    <row r="798" spans="4:4" x14ac:dyDescent="0.3">
      <c r="D798" s="45" t="s">
        <v>8954</v>
      </c>
    </row>
    <row r="799" spans="4:4" x14ac:dyDescent="0.3">
      <c r="D799" s="45" t="s">
        <v>8954</v>
      </c>
    </row>
    <row r="800" spans="4:4" x14ac:dyDescent="0.3">
      <c r="D800" s="45" t="s">
        <v>8954</v>
      </c>
    </row>
    <row r="801" spans="4:4" x14ac:dyDescent="0.3">
      <c r="D801" s="45" t="s">
        <v>8954</v>
      </c>
    </row>
    <row r="802" spans="4:4" x14ac:dyDescent="0.3">
      <c r="D802" s="45" t="s">
        <v>8954</v>
      </c>
    </row>
    <row r="803" spans="4:4" x14ac:dyDescent="0.3">
      <c r="D803" s="45" t="s">
        <v>8954</v>
      </c>
    </row>
    <row r="804" spans="4:4" x14ac:dyDescent="0.3">
      <c r="D804" s="45" t="s">
        <v>8954</v>
      </c>
    </row>
    <row r="805" spans="4:4" x14ac:dyDescent="0.3">
      <c r="D805" s="45" t="s">
        <v>8954</v>
      </c>
    </row>
    <row r="806" spans="4:4" x14ac:dyDescent="0.3">
      <c r="D806" s="45" t="s">
        <v>8954</v>
      </c>
    </row>
    <row r="807" spans="4:4" x14ac:dyDescent="0.3">
      <c r="D807" s="45" t="s">
        <v>8954</v>
      </c>
    </row>
    <row r="808" spans="4:4" x14ac:dyDescent="0.3">
      <c r="D808" s="45" t="s">
        <v>8954</v>
      </c>
    </row>
    <row r="809" spans="4:4" x14ac:dyDescent="0.3">
      <c r="D809" s="45" t="s">
        <v>8954</v>
      </c>
    </row>
    <row r="810" spans="4:4" x14ac:dyDescent="0.3">
      <c r="D810" s="45" t="s">
        <v>8954</v>
      </c>
    </row>
    <row r="811" spans="4:4" x14ac:dyDescent="0.3">
      <c r="D811" s="45" t="s">
        <v>8954</v>
      </c>
    </row>
    <row r="812" spans="4:4" x14ac:dyDescent="0.3">
      <c r="D812" s="45" t="s">
        <v>8954</v>
      </c>
    </row>
    <row r="813" spans="4:4" x14ac:dyDescent="0.3">
      <c r="D813" s="45" t="s">
        <v>8954</v>
      </c>
    </row>
    <row r="814" spans="4:4" x14ac:dyDescent="0.3">
      <c r="D814" s="45" t="s">
        <v>8954</v>
      </c>
    </row>
    <row r="815" spans="4:4" x14ac:dyDescent="0.3">
      <c r="D815" s="45" t="s">
        <v>8954</v>
      </c>
    </row>
    <row r="816" spans="4:4" x14ac:dyDescent="0.3">
      <c r="D816" s="45" t="s">
        <v>8954</v>
      </c>
    </row>
    <row r="817" spans="4:4" x14ac:dyDescent="0.3">
      <c r="D817" s="45" t="s">
        <v>8954</v>
      </c>
    </row>
    <row r="818" spans="4:4" x14ac:dyDescent="0.3">
      <c r="D818" s="45" t="s">
        <v>8954</v>
      </c>
    </row>
    <row r="819" spans="4:4" x14ac:dyDescent="0.3">
      <c r="D819" s="45" t="s">
        <v>8954</v>
      </c>
    </row>
    <row r="820" spans="4:4" x14ac:dyDescent="0.3">
      <c r="D820" s="45" t="s">
        <v>8954</v>
      </c>
    </row>
    <row r="821" spans="4:4" x14ac:dyDescent="0.3">
      <c r="D821" s="45" t="s">
        <v>8954</v>
      </c>
    </row>
    <row r="822" spans="4:4" x14ac:dyDescent="0.3">
      <c r="D822" s="45" t="s">
        <v>8954</v>
      </c>
    </row>
    <row r="823" spans="4:4" x14ac:dyDescent="0.3">
      <c r="D823" s="45" t="s">
        <v>8954</v>
      </c>
    </row>
    <row r="824" spans="4:4" x14ac:dyDescent="0.3">
      <c r="D824" s="45" t="s">
        <v>8954</v>
      </c>
    </row>
    <row r="825" spans="4:4" x14ac:dyDescent="0.3">
      <c r="D825" s="45" t="s">
        <v>8954</v>
      </c>
    </row>
    <row r="826" spans="4:4" x14ac:dyDescent="0.3">
      <c r="D826" s="45" t="s">
        <v>8954</v>
      </c>
    </row>
    <row r="827" spans="4:4" x14ac:dyDescent="0.3">
      <c r="D827" s="45" t="s">
        <v>8954</v>
      </c>
    </row>
    <row r="828" spans="4:4" x14ac:dyDescent="0.3">
      <c r="D828" s="45" t="s">
        <v>8954</v>
      </c>
    </row>
    <row r="829" spans="4:4" x14ac:dyDescent="0.3">
      <c r="D829" s="45" t="s">
        <v>8954</v>
      </c>
    </row>
    <row r="830" spans="4:4" x14ac:dyDescent="0.3">
      <c r="D830" s="45" t="s">
        <v>8954</v>
      </c>
    </row>
    <row r="831" spans="4:4" x14ac:dyDescent="0.3">
      <c r="D831" s="45" t="s">
        <v>8954</v>
      </c>
    </row>
    <row r="832" spans="4:4" x14ac:dyDescent="0.3">
      <c r="D832" s="45" t="s">
        <v>8954</v>
      </c>
    </row>
    <row r="833" spans="4:4" x14ac:dyDescent="0.3">
      <c r="D833" s="45" t="s">
        <v>8954</v>
      </c>
    </row>
    <row r="834" spans="4:4" x14ac:dyDescent="0.3">
      <c r="D834" s="45" t="s">
        <v>8954</v>
      </c>
    </row>
    <row r="835" spans="4:4" x14ac:dyDescent="0.3">
      <c r="D835" s="45" t="s">
        <v>8954</v>
      </c>
    </row>
    <row r="836" spans="4:4" x14ac:dyDescent="0.3">
      <c r="D836" s="45" t="s">
        <v>8954</v>
      </c>
    </row>
    <row r="837" spans="4:4" x14ac:dyDescent="0.3">
      <c r="D837" s="45" t="s">
        <v>8954</v>
      </c>
    </row>
    <row r="838" spans="4:4" x14ac:dyDescent="0.3">
      <c r="D838" s="45" t="s">
        <v>8954</v>
      </c>
    </row>
    <row r="839" spans="4:4" x14ac:dyDescent="0.3">
      <c r="D839" s="45" t="s">
        <v>8954</v>
      </c>
    </row>
    <row r="840" spans="4:4" x14ac:dyDescent="0.3">
      <c r="D840" s="45" t="s">
        <v>8954</v>
      </c>
    </row>
    <row r="841" spans="4:4" x14ac:dyDescent="0.3">
      <c r="D841" s="45" t="s">
        <v>8954</v>
      </c>
    </row>
    <row r="842" spans="4:4" x14ac:dyDescent="0.3">
      <c r="D842" s="45" t="s">
        <v>8954</v>
      </c>
    </row>
    <row r="843" spans="4:4" x14ac:dyDescent="0.3">
      <c r="D843" s="45" t="s">
        <v>8954</v>
      </c>
    </row>
    <row r="844" spans="4:4" x14ac:dyDescent="0.3">
      <c r="D844" s="45" t="s">
        <v>8954</v>
      </c>
    </row>
    <row r="845" spans="4:4" x14ac:dyDescent="0.3">
      <c r="D845" s="45" t="s">
        <v>8954</v>
      </c>
    </row>
    <row r="846" spans="4:4" x14ac:dyDescent="0.3">
      <c r="D846" s="45" t="s">
        <v>8954</v>
      </c>
    </row>
    <row r="847" spans="4:4" x14ac:dyDescent="0.3">
      <c r="D847" s="45" t="s">
        <v>8954</v>
      </c>
    </row>
    <row r="848" spans="4:4" x14ac:dyDescent="0.3">
      <c r="D848" s="45" t="s">
        <v>8954</v>
      </c>
    </row>
    <row r="849" spans="4:4" x14ac:dyDescent="0.3">
      <c r="D849" s="45" t="s">
        <v>8954</v>
      </c>
    </row>
    <row r="850" spans="4:4" x14ac:dyDescent="0.3">
      <c r="D850" s="45" t="s">
        <v>8954</v>
      </c>
    </row>
    <row r="851" spans="4:4" x14ac:dyDescent="0.3">
      <c r="D851" s="45" t="s">
        <v>8954</v>
      </c>
    </row>
    <row r="852" spans="4:4" x14ac:dyDescent="0.3">
      <c r="D852" s="45" t="s">
        <v>8954</v>
      </c>
    </row>
    <row r="853" spans="4:4" x14ac:dyDescent="0.3">
      <c r="D853" s="45" t="s">
        <v>8954</v>
      </c>
    </row>
    <row r="854" spans="4:4" x14ac:dyDescent="0.3">
      <c r="D854" s="45" t="s">
        <v>8954</v>
      </c>
    </row>
    <row r="855" spans="4:4" x14ac:dyDescent="0.3">
      <c r="D855" s="45" t="s">
        <v>8954</v>
      </c>
    </row>
    <row r="856" spans="4:4" x14ac:dyDescent="0.3">
      <c r="D856" s="45" t="s">
        <v>8954</v>
      </c>
    </row>
    <row r="857" spans="4:4" x14ac:dyDescent="0.3">
      <c r="D857" s="45" t="s">
        <v>8954</v>
      </c>
    </row>
    <row r="858" spans="4:4" x14ac:dyDescent="0.3">
      <c r="D858" s="45" t="s">
        <v>8954</v>
      </c>
    </row>
    <row r="859" spans="4:4" x14ac:dyDescent="0.3">
      <c r="D859" s="45" t="s">
        <v>8954</v>
      </c>
    </row>
    <row r="860" spans="4:4" x14ac:dyDescent="0.3">
      <c r="D860" s="45" t="s">
        <v>8954</v>
      </c>
    </row>
    <row r="861" spans="4:4" x14ac:dyDescent="0.3">
      <c r="D861" s="45" t="s">
        <v>8954</v>
      </c>
    </row>
    <row r="862" spans="4:4" x14ac:dyDescent="0.3">
      <c r="D862" s="45" t="s">
        <v>8954</v>
      </c>
    </row>
    <row r="863" spans="4:4" x14ac:dyDescent="0.3">
      <c r="D863" s="45" t="s">
        <v>8954</v>
      </c>
    </row>
    <row r="864" spans="4:4" x14ac:dyDescent="0.3">
      <c r="D864" s="45" t="s">
        <v>8954</v>
      </c>
    </row>
    <row r="865" spans="4:4" x14ac:dyDescent="0.3">
      <c r="D865" s="45" t="s">
        <v>8954</v>
      </c>
    </row>
    <row r="866" spans="4:4" x14ac:dyDescent="0.3">
      <c r="D866" s="45" t="s">
        <v>8954</v>
      </c>
    </row>
    <row r="867" spans="4:4" x14ac:dyDescent="0.3">
      <c r="D867" s="45" t="s">
        <v>8954</v>
      </c>
    </row>
    <row r="868" spans="4:4" x14ac:dyDescent="0.3">
      <c r="D868" s="45" t="s">
        <v>8954</v>
      </c>
    </row>
    <row r="869" spans="4:4" x14ac:dyDescent="0.3">
      <c r="D869" s="45" t="s">
        <v>8954</v>
      </c>
    </row>
    <row r="870" spans="4:4" x14ac:dyDescent="0.3">
      <c r="D870" s="45" t="s">
        <v>8954</v>
      </c>
    </row>
    <row r="871" spans="4:4" x14ac:dyDescent="0.3">
      <c r="D871" s="45" t="s">
        <v>8954</v>
      </c>
    </row>
    <row r="872" spans="4:4" x14ac:dyDescent="0.3">
      <c r="D872" s="45" t="s">
        <v>8954</v>
      </c>
    </row>
    <row r="873" spans="4:4" x14ac:dyDescent="0.3">
      <c r="D873" s="45" t="s">
        <v>8954</v>
      </c>
    </row>
    <row r="874" spans="4:4" x14ac:dyDescent="0.3">
      <c r="D874" s="45" t="s">
        <v>8954</v>
      </c>
    </row>
    <row r="875" spans="4:4" x14ac:dyDescent="0.3">
      <c r="D875" s="45" t="s">
        <v>8954</v>
      </c>
    </row>
    <row r="876" spans="4:4" x14ac:dyDescent="0.3">
      <c r="D876" s="45" t="s">
        <v>8954</v>
      </c>
    </row>
    <row r="877" spans="4:4" x14ac:dyDescent="0.3">
      <c r="D877" s="45" t="s">
        <v>8954</v>
      </c>
    </row>
    <row r="878" spans="4:4" x14ac:dyDescent="0.3">
      <c r="D878" s="45" t="s">
        <v>8954</v>
      </c>
    </row>
    <row r="879" spans="4:4" x14ac:dyDescent="0.3">
      <c r="D879" s="45" t="s">
        <v>8954</v>
      </c>
    </row>
    <row r="880" spans="4:4" x14ac:dyDescent="0.3">
      <c r="D880" s="45" t="s">
        <v>8954</v>
      </c>
    </row>
    <row r="881" spans="4:4" x14ac:dyDescent="0.3">
      <c r="D881" s="45" t="s">
        <v>8954</v>
      </c>
    </row>
    <row r="882" spans="4:4" x14ac:dyDescent="0.3">
      <c r="D882" s="45" t="s">
        <v>8954</v>
      </c>
    </row>
    <row r="883" spans="4:4" x14ac:dyDescent="0.3">
      <c r="D883" s="45" t="s">
        <v>8954</v>
      </c>
    </row>
    <row r="884" spans="4:4" x14ac:dyDescent="0.3">
      <c r="D884" s="45" t="s">
        <v>8954</v>
      </c>
    </row>
    <row r="885" spans="4:4" x14ac:dyDescent="0.3">
      <c r="D885" s="45" t="s">
        <v>8954</v>
      </c>
    </row>
    <row r="886" spans="4:4" x14ac:dyDescent="0.3">
      <c r="D886" s="45" t="s">
        <v>8954</v>
      </c>
    </row>
    <row r="887" spans="4:4" x14ac:dyDescent="0.3">
      <c r="D887" s="45" t="s">
        <v>8954</v>
      </c>
    </row>
    <row r="888" spans="4:4" x14ac:dyDescent="0.3">
      <c r="D888" s="45" t="s">
        <v>8954</v>
      </c>
    </row>
    <row r="889" spans="4:4" x14ac:dyDescent="0.3">
      <c r="D889" s="45" t="s">
        <v>8954</v>
      </c>
    </row>
    <row r="890" spans="4:4" x14ac:dyDescent="0.3">
      <c r="D890" s="45" t="s">
        <v>8954</v>
      </c>
    </row>
    <row r="891" spans="4:4" x14ac:dyDescent="0.3">
      <c r="D891" s="45" t="s">
        <v>8954</v>
      </c>
    </row>
    <row r="892" spans="4:4" x14ac:dyDescent="0.3">
      <c r="D892" s="45" t="s">
        <v>8954</v>
      </c>
    </row>
    <row r="893" spans="4:4" x14ac:dyDescent="0.3">
      <c r="D893" s="45" t="s">
        <v>8954</v>
      </c>
    </row>
    <row r="894" spans="4:4" x14ac:dyDescent="0.3">
      <c r="D894" s="45" t="s">
        <v>8954</v>
      </c>
    </row>
    <row r="895" spans="4:4" x14ac:dyDescent="0.3">
      <c r="D895" s="45" t="s">
        <v>8954</v>
      </c>
    </row>
    <row r="896" spans="4:4" x14ac:dyDescent="0.3">
      <c r="D896" s="45" t="s">
        <v>8954</v>
      </c>
    </row>
    <row r="897" spans="4:4" x14ac:dyDescent="0.3">
      <c r="D897" s="45" t="s">
        <v>8954</v>
      </c>
    </row>
    <row r="898" spans="4:4" x14ac:dyDescent="0.3">
      <c r="D898" s="45" t="s">
        <v>8954</v>
      </c>
    </row>
    <row r="899" spans="4:4" x14ac:dyDescent="0.3">
      <c r="D899" s="45" t="s">
        <v>8954</v>
      </c>
    </row>
    <row r="900" spans="4:4" x14ac:dyDescent="0.3">
      <c r="D900" s="45" t="s">
        <v>8954</v>
      </c>
    </row>
    <row r="901" spans="4:4" x14ac:dyDescent="0.3">
      <c r="D901" s="45" t="s">
        <v>8954</v>
      </c>
    </row>
    <row r="902" spans="4:4" x14ac:dyDescent="0.3">
      <c r="D902" s="45" t="s">
        <v>8954</v>
      </c>
    </row>
    <row r="903" spans="4:4" x14ac:dyDescent="0.3">
      <c r="D903" s="45" t="s">
        <v>8954</v>
      </c>
    </row>
    <row r="904" spans="4:4" x14ac:dyDescent="0.3">
      <c r="D904" s="45" t="s">
        <v>8954</v>
      </c>
    </row>
    <row r="905" spans="4:4" x14ac:dyDescent="0.3">
      <c r="D905" s="45" t="s">
        <v>8954</v>
      </c>
    </row>
    <row r="906" spans="4:4" x14ac:dyDescent="0.3">
      <c r="D906" s="45" t="s">
        <v>8954</v>
      </c>
    </row>
    <row r="907" spans="4:4" x14ac:dyDescent="0.3">
      <c r="D907" s="45" t="s">
        <v>8954</v>
      </c>
    </row>
    <row r="908" spans="4:4" x14ac:dyDescent="0.3">
      <c r="D908" s="45" t="s">
        <v>8954</v>
      </c>
    </row>
    <row r="909" spans="4:4" x14ac:dyDescent="0.3">
      <c r="D909" s="45" t="s">
        <v>8954</v>
      </c>
    </row>
    <row r="910" spans="4:4" x14ac:dyDescent="0.3">
      <c r="D910" s="45" t="s">
        <v>8954</v>
      </c>
    </row>
    <row r="911" spans="4:4" x14ac:dyDescent="0.3">
      <c r="D911" s="45" t="s">
        <v>8954</v>
      </c>
    </row>
    <row r="912" spans="4:4" x14ac:dyDescent="0.3">
      <c r="D912" s="45" t="s">
        <v>8954</v>
      </c>
    </row>
    <row r="913" spans="4:4" x14ac:dyDescent="0.3">
      <c r="D913" s="45" t="s">
        <v>8954</v>
      </c>
    </row>
    <row r="914" spans="4:4" x14ac:dyDescent="0.3">
      <c r="D914" s="45" t="s">
        <v>8954</v>
      </c>
    </row>
    <row r="915" spans="4:4" x14ac:dyDescent="0.3">
      <c r="D915" s="45" t="s">
        <v>8954</v>
      </c>
    </row>
    <row r="916" spans="4:4" x14ac:dyDescent="0.3">
      <c r="D916" s="45" t="s">
        <v>8954</v>
      </c>
    </row>
    <row r="917" spans="4:4" x14ac:dyDescent="0.3">
      <c r="D917" s="45" t="s">
        <v>8954</v>
      </c>
    </row>
    <row r="918" spans="4:4" x14ac:dyDescent="0.3">
      <c r="D918" s="45" t="s">
        <v>8954</v>
      </c>
    </row>
    <row r="919" spans="4:4" x14ac:dyDescent="0.3">
      <c r="D919" s="45" t="s">
        <v>8954</v>
      </c>
    </row>
    <row r="920" spans="4:4" x14ac:dyDescent="0.3">
      <c r="D920" s="45" t="s">
        <v>8954</v>
      </c>
    </row>
    <row r="921" spans="4:4" x14ac:dyDescent="0.3">
      <c r="D921" s="45" t="s">
        <v>8954</v>
      </c>
    </row>
    <row r="922" spans="4:4" x14ac:dyDescent="0.3">
      <c r="D922" s="45" t="s">
        <v>8954</v>
      </c>
    </row>
    <row r="923" spans="4:4" x14ac:dyDescent="0.3">
      <c r="D923" s="45" t="s">
        <v>8954</v>
      </c>
    </row>
    <row r="924" spans="4:4" x14ac:dyDescent="0.3">
      <c r="D924" s="45" t="s">
        <v>8954</v>
      </c>
    </row>
    <row r="925" spans="4:4" x14ac:dyDescent="0.3">
      <c r="D925" s="45" t="s">
        <v>8954</v>
      </c>
    </row>
    <row r="926" spans="4:4" x14ac:dyDescent="0.3">
      <c r="D926" s="45" t="s">
        <v>8954</v>
      </c>
    </row>
    <row r="927" spans="4:4" x14ac:dyDescent="0.3">
      <c r="D927" s="45" t="s">
        <v>8954</v>
      </c>
    </row>
    <row r="928" spans="4:4" x14ac:dyDescent="0.3">
      <c r="D928" s="45" t="s">
        <v>8954</v>
      </c>
    </row>
    <row r="929" spans="4:4" x14ac:dyDescent="0.3">
      <c r="D929" s="45" t="s">
        <v>8954</v>
      </c>
    </row>
    <row r="930" spans="4:4" x14ac:dyDescent="0.3">
      <c r="D930" s="45" t="s">
        <v>8954</v>
      </c>
    </row>
    <row r="931" spans="4:4" x14ac:dyDescent="0.3">
      <c r="D931" s="45" t="s">
        <v>8954</v>
      </c>
    </row>
    <row r="932" spans="4:4" x14ac:dyDescent="0.3">
      <c r="D932" s="45" t="s">
        <v>8954</v>
      </c>
    </row>
    <row r="933" spans="4:4" x14ac:dyDescent="0.3">
      <c r="D933" s="45" t="s">
        <v>8954</v>
      </c>
    </row>
    <row r="934" spans="4:4" x14ac:dyDescent="0.3">
      <c r="D934" s="45" t="s">
        <v>8954</v>
      </c>
    </row>
    <row r="935" spans="4:4" x14ac:dyDescent="0.3">
      <c r="D935" s="45" t="s">
        <v>8954</v>
      </c>
    </row>
    <row r="936" spans="4:4" x14ac:dyDescent="0.3">
      <c r="D936" s="45" t="s">
        <v>8954</v>
      </c>
    </row>
    <row r="937" spans="4:4" x14ac:dyDescent="0.3">
      <c r="D937" s="45" t="s">
        <v>8954</v>
      </c>
    </row>
    <row r="938" spans="4:4" x14ac:dyDescent="0.3">
      <c r="D938" s="45" t="s">
        <v>8954</v>
      </c>
    </row>
    <row r="939" spans="4:4" x14ac:dyDescent="0.3">
      <c r="D939" s="45" t="s">
        <v>8954</v>
      </c>
    </row>
    <row r="940" spans="4:4" x14ac:dyDescent="0.3">
      <c r="D940" s="45" t="s">
        <v>8954</v>
      </c>
    </row>
    <row r="941" spans="4:4" x14ac:dyDescent="0.3">
      <c r="D941" s="45" t="s">
        <v>8954</v>
      </c>
    </row>
    <row r="942" spans="4:4" x14ac:dyDescent="0.3">
      <c r="D942" s="45" t="s">
        <v>8954</v>
      </c>
    </row>
    <row r="943" spans="4:4" x14ac:dyDescent="0.3">
      <c r="D943" s="45" t="s">
        <v>8954</v>
      </c>
    </row>
    <row r="944" spans="4:4" x14ac:dyDescent="0.3">
      <c r="D944" s="45" t="s">
        <v>8954</v>
      </c>
    </row>
    <row r="945" spans="4:4" x14ac:dyDescent="0.3">
      <c r="D945" s="45" t="s">
        <v>8954</v>
      </c>
    </row>
    <row r="946" spans="4:4" x14ac:dyDescent="0.3">
      <c r="D946" s="45" t="s">
        <v>8954</v>
      </c>
    </row>
    <row r="947" spans="4:4" x14ac:dyDescent="0.3">
      <c r="D947" s="45" t="s">
        <v>8954</v>
      </c>
    </row>
    <row r="948" spans="4:4" x14ac:dyDescent="0.3">
      <c r="D948" s="45" t="s">
        <v>8954</v>
      </c>
    </row>
    <row r="949" spans="4:4" x14ac:dyDescent="0.3">
      <c r="D949" s="45" t="s">
        <v>8954</v>
      </c>
    </row>
    <row r="950" spans="4:4" x14ac:dyDescent="0.3">
      <c r="D950" s="45" t="s">
        <v>8954</v>
      </c>
    </row>
    <row r="951" spans="4:4" x14ac:dyDescent="0.3">
      <c r="D951" s="45" t="s">
        <v>8954</v>
      </c>
    </row>
    <row r="952" spans="4:4" x14ac:dyDescent="0.3">
      <c r="D952" s="45" t="s">
        <v>8954</v>
      </c>
    </row>
    <row r="953" spans="4:4" x14ac:dyDescent="0.3">
      <c r="D953" s="45" t="s">
        <v>8954</v>
      </c>
    </row>
    <row r="954" spans="4:4" x14ac:dyDescent="0.3">
      <c r="D954" s="45" t="s">
        <v>8954</v>
      </c>
    </row>
    <row r="955" spans="4:4" x14ac:dyDescent="0.3">
      <c r="D955" s="45" t="s">
        <v>8954</v>
      </c>
    </row>
    <row r="956" spans="4:4" x14ac:dyDescent="0.3">
      <c r="D956" s="45" t="s">
        <v>8954</v>
      </c>
    </row>
    <row r="957" spans="4:4" x14ac:dyDescent="0.3">
      <c r="D957" s="45" t="s">
        <v>8954</v>
      </c>
    </row>
    <row r="958" spans="4:4" x14ac:dyDescent="0.3">
      <c r="D958" s="45" t="s">
        <v>8954</v>
      </c>
    </row>
    <row r="959" spans="4:4" x14ac:dyDescent="0.3">
      <c r="D959" s="45" t="s">
        <v>8954</v>
      </c>
    </row>
    <row r="960" spans="4:4" x14ac:dyDescent="0.3">
      <c r="D960" s="45" t="s">
        <v>8954</v>
      </c>
    </row>
    <row r="961" spans="4:4" x14ac:dyDescent="0.3">
      <c r="D961" s="45" t="s">
        <v>8954</v>
      </c>
    </row>
    <row r="962" spans="4:4" x14ac:dyDescent="0.3">
      <c r="D962" s="45" t="s">
        <v>8954</v>
      </c>
    </row>
    <row r="963" spans="4:4" x14ac:dyDescent="0.3">
      <c r="D963" s="45" t="s">
        <v>8954</v>
      </c>
    </row>
    <row r="964" spans="4:4" x14ac:dyDescent="0.3">
      <c r="D964" s="45" t="s">
        <v>8954</v>
      </c>
    </row>
    <row r="965" spans="4:4" x14ac:dyDescent="0.3">
      <c r="D965" s="45" t="s">
        <v>8954</v>
      </c>
    </row>
    <row r="966" spans="4:4" x14ac:dyDescent="0.3">
      <c r="D966" s="45" t="s">
        <v>8954</v>
      </c>
    </row>
    <row r="967" spans="4:4" x14ac:dyDescent="0.3">
      <c r="D967" s="45" t="s">
        <v>8954</v>
      </c>
    </row>
    <row r="968" spans="4:4" x14ac:dyDescent="0.3">
      <c r="D968" s="45" t="s">
        <v>8954</v>
      </c>
    </row>
    <row r="969" spans="4:4" x14ac:dyDescent="0.3">
      <c r="D969" s="45" t="s">
        <v>8954</v>
      </c>
    </row>
    <row r="970" spans="4:4" x14ac:dyDescent="0.3">
      <c r="D970" s="45" t="s">
        <v>8954</v>
      </c>
    </row>
    <row r="971" spans="4:4" x14ac:dyDescent="0.3">
      <c r="D971" s="45" t="s">
        <v>8954</v>
      </c>
    </row>
    <row r="972" spans="4:4" x14ac:dyDescent="0.3">
      <c r="D972" s="45" t="s">
        <v>8954</v>
      </c>
    </row>
    <row r="973" spans="4:4" x14ac:dyDescent="0.3">
      <c r="D973" s="45" t="s">
        <v>8954</v>
      </c>
    </row>
    <row r="974" spans="4:4" x14ac:dyDescent="0.3">
      <c r="D974" s="45" t="s">
        <v>8954</v>
      </c>
    </row>
    <row r="975" spans="4:4" x14ac:dyDescent="0.3">
      <c r="D975" s="45" t="s">
        <v>8954</v>
      </c>
    </row>
    <row r="976" spans="4:4" x14ac:dyDescent="0.3">
      <c r="D976" s="45" t="s">
        <v>8954</v>
      </c>
    </row>
    <row r="977" spans="4:4" x14ac:dyDescent="0.3">
      <c r="D977" s="45" t="s">
        <v>8954</v>
      </c>
    </row>
    <row r="978" spans="4:4" x14ac:dyDescent="0.3">
      <c r="D978" s="45" t="s">
        <v>8954</v>
      </c>
    </row>
    <row r="979" spans="4:4" x14ac:dyDescent="0.3">
      <c r="D979" s="45" t="s">
        <v>8954</v>
      </c>
    </row>
    <row r="980" spans="4:4" x14ac:dyDescent="0.3">
      <c r="D980" s="45" t="s">
        <v>8954</v>
      </c>
    </row>
    <row r="981" spans="4:4" x14ac:dyDescent="0.3">
      <c r="D981" s="45" t="s">
        <v>8954</v>
      </c>
    </row>
    <row r="982" spans="4:4" x14ac:dyDescent="0.3">
      <c r="D982" s="45" t="s">
        <v>8954</v>
      </c>
    </row>
    <row r="983" spans="4:4" x14ac:dyDescent="0.3">
      <c r="D983" s="45" t="s">
        <v>8954</v>
      </c>
    </row>
    <row r="984" spans="4:4" x14ac:dyDescent="0.3">
      <c r="D984" s="45" t="s">
        <v>8954</v>
      </c>
    </row>
    <row r="985" spans="4:4" x14ac:dyDescent="0.3">
      <c r="D985" s="45" t="s">
        <v>8954</v>
      </c>
    </row>
    <row r="986" spans="4:4" x14ac:dyDescent="0.3">
      <c r="D986" s="45" t="s">
        <v>8954</v>
      </c>
    </row>
    <row r="987" spans="4:4" x14ac:dyDescent="0.3">
      <c r="D987" s="45" t="s">
        <v>8954</v>
      </c>
    </row>
    <row r="988" spans="4:4" x14ac:dyDescent="0.3">
      <c r="D988" s="45" t="s">
        <v>8954</v>
      </c>
    </row>
    <row r="989" spans="4:4" x14ac:dyDescent="0.3">
      <c r="D989" s="45" t="s">
        <v>8954</v>
      </c>
    </row>
    <row r="990" spans="4:4" x14ac:dyDescent="0.3">
      <c r="D990" s="45" t="s">
        <v>8954</v>
      </c>
    </row>
    <row r="991" spans="4:4" x14ac:dyDescent="0.3">
      <c r="D991" s="45" t="s">
        <v>8954</v>
      </c>
    </row>
    <row r="992" spans="4:4" x14ac:dyDescent="0.3">
      <c r="D992" s="45" t="s">
        <v>8954</v>
      </c>
    </row>
    <row r="993" spans="4:4" x14ac:dyDescent="0.3">
      <c r="D993" s="45" t="s">
        <v>8954</v>
      </c>
    </row>
    <row r="994" spans="4:4" x14ac:dyDescent="0.3">
      <c r="D994" s="45" t="s">
        <v>8954</v>
      </c>
    </row>
    <row r="995" spans="4:4" x14ac:dyDescent="0.3">
      <c r="D995" s="45" t="s">
        <v>8954</v>
      </c>
    </row>
    <row r="996" spans="4:4" x14ac:dyDescent="0.3">
      <c r="D996" s="45" t="s">
        <v>8954</v>
      </c>
    </row>
    <row r="997" spans="4:4" x14ac:dyDescent="0.3">
      <c r="D997" s="45" t="s">
        <v>8954</v>
      </c>
    </row>
    <row r="998" spans="4:4" x14ac:dyDescent="0.3">
      <c r="D998" s="45" t="s">
        <v>8954</v>
      </c>
    </row>
    <row r="999" spans="4:4" x14ac:dyDescent="0.3">
      <c r="D999" s="45" t="s">
        <v>8954</v>
      </c>
    </row>
    <row r="1000" spans="4:4" x14ac:dyDescent="0.3">
      <c r="D1000" s="45" t="s">
        <v>8954</v>
      </c>
    </row>
    <row r="1001" spans="4:4" x14ac:dyDescent="0.3">
      <c r="D1001" s="45" t="s">
        <v>8954</v>
      </c>
    </row>
    <row r="1002" spans="4:4" x14ac:dyDescent="0.3">
      <c r="D1002" s="45" t="s">
        <v>8954</v>
      </c>
    </row>
    <row r="1003" spans="4:4" x14ac:dyDescent="0.3">
      <c r="D1003" s="45" t="s">
        <v>8954</v>
      </c>
    </row>
    <row r="1004" spans="4:4" x14ac:dyDescent="0.3">
      <c r="D1004" s="45" t="s">
        <v>8954</v>
      </c>
    </row>
    <row r="1005" spans="4:4" x14ac:dyDescent="0.3">
      <c r="D1005" s="45" t="s">
        <v>8954</v>
      </c>
    </row>
    <row r="1006" spans="4:4" x14ac:dyDescent="0.3">
      <c r="D1006" s="45" t="s">
        <v>8954</v>
      </c>
    </row>
    <row r="1007" spans="4:4" x14ac:dyDescent="0.3">
      <c r="D1007" s="45" t="s">
        <v>8954</v>
      </c>
    </row>
    <row r="1008" spans="4:4" x14ac:dyDescent="0.3">
      <c r="D1008" s="45" t="s">
        <v>8954</v>
      </c>
    </row>
    <row r="1009" spans="4:4" x14ac:dyDescent="0.3">
      <c r="D1009" s="45" t="s">
        <v>8954</v>
      </c>
    </row>
    <row r="1010" spans="4:4" x14ac:dyDescent="0.3">
      <c r="D1010" s="45" t="s">
        <v>8954</v>
      </c>
    </row>
    <row r="1011" spans="4:4" x14ac:dyDescent="0.3">
      <c r="D1011" s="45" t="s">
        <v>8954</v>
      </c>
    </row>
    <row r="1012" spans="4:4" x14ac:dyDescent="0.3">
      <c r="D1012" s="45" t="s">
        <v>8954</v>
      </c>
    </row>
    <row r="1013" spans="4:4" x14ac:dyDescent="0.3">
      <c r="D1013" s="45" t="s">
        <v>8954</v>
      </c>
    </row>
    <row r="1014" spans="4:4" x14ac:dyDescent="0.3">
      <c r="D1014" s="45" t="s">
        <v>8954</v>
      </c>
    </row>
    <row r="1015" spans="4:4" x14ac:dyDescent="0.3">
      <c r="D1015" s="45" t="s">
        <v>8954</v>
      </c>
    </row>
    <row r="1016" spans="4:4" x14ac:dyDescent="0.3">
      <c r="D1016" s="45" t="s">
        <v>8954</v>
      </c>
    </row>
    <row r="1017" spans="4:4" x14ac:dyDescent="0.3">
      <c r="D1017" s="45" t="s">
        <v>8954</v>
      </c>
    </row>
    <row r="1018" spans="4:4" x14ac:dyDescent="0.3">
      <c r="D1018" s="45" t="s">
        <v>8954</v>
      </c>
    </row>
    <row r="1019" spans="4:4" x14ac:dyDescent="0.3">
      <c r="D1019" s="45" t="s">
        <v>8954</v>
      </c>
    </row>
    <row r="1020" spans="4:4" x14ac:dyDescent="0.3">
      <c r="D1020" s="45" t="s">
        <v>8954</v>
      </c>
    </row>
    <row r="1021" spans="4:4" x14ac:dyDescent="0.3">
      <c r="D1021" s="45" t="s">
        <v>8954</v>
      </c>
    </row>
    <row r="1022" spans="4:4" x14ac:dyDescent="0.3">
      <c r="D1022" s="45" t="s">
        <v>8954</v>
      </c>
    </row>
    <row r="1023" spans="4:4" x14ac:dyDescent="0.3">
      <c r="D1023" s="45" t="s">
        <v>8954</v>
      </c>
    </row>
    <row r="1024" spans="4:4" x14ac:dyDescent="0.3">
      <c r="D1024" s="45" t="s">
        <v>8954</v>
      </c>
    </row>
    <row r="1025" spans="4:4" x14ac:dyDescent="0.3">
      <c r="D1025" s="45" t="s">
        <v>8954</v>
      </c>
    </row>
    <row r="1026" spans="4:4" x14ac:dyDescent="0.3">
      <c r="D1026" s="45" t="s">
        <v>8954</v>
      </c>
    </row>
    <row r="1027" spans="4:4" x14ac:dyDescent="0.3">
      <c r="D1027" s="45" t="s">
        <v>8954</v>
      </c>
    </row>
    <row r="1028" spans="4:4" x14ac:dyDescent="0.3">
      <c r="D1028" s="45" t="s">
        <v>8954</v>
      </c>
    </row>
    <row r="1029" spans="4:4" x14ac:dyDescent="0.3">
      <c r="D1029" s="45" t="s">
        <v>8954</v>
      </c>
    </row>
    <row r="1030" spans="4:4" x14ac:dyDescent="0.3">
      <c r="D1030" s="45" t="s">
        <v>8954</v>
      </c>
    </row>
    <row r="1031" spans="4:4" x14ac:dyDescent="0.3">
      <c r="D1031" s="45" t="s">
        <v>8954</v>
      </c>
    </row>
    <row r="1032" spans="4:4" x14ac:dyDescent="0.3">
      <c r="D1032" s="45" t="s">
        <v>8954</v>
      </c>
    </row>
    <row r="1033" spans="4:4" x14ac:dyDescent="0.3">
      <c r="D1033" s="45" t="s">
        <v>8954</v>
      </c>
    </row>
    <row r="1034" spans="4:4" x14ac:dyDescent="0.3">
      <c r="D1034" s="45" t="s">
        <v>8954</v>
      </c>
    </row>
    <row r="1035" spans="4:4" x14ac:dyDescent="0.3">
      <c r="D1035" s="45" t="s">
        <v>8954</v>
      </c>
    </row>
    <row r="1036" spans="4:4" x14ac:dyDescent="0.3">
      <c r="D1036" s="45" t="s">
        <v>8954</v>
      </c>
    </row>
    <row r="1037" spans="4:4" x14ac:dyDescent="0.3">
      <c r="D1037" s="45" t="s">
        <v>8954</v>
      </c>
    </row>
    <row r="1038" spans="4:4" x14ac:dyDescent="0.3">
      <c r="D1038" s="45" t="s">
        <v>8954</v>
      </c>
    </row>
    <row r="1039" spans="4:4" x14ac:dyDescent="0.3">
      <c r="D1039" s="45" t="s">
        <v>8954</v>
      </c>
    </row>
    <row r="1040" spans="4:4" x14ac:dyDescent="0.3">
      <c r="D1040" s="45" t="s">
        <v>8954</v>
      </c>
    </row>
    <row r="1041" spans="4:4" x14ac:dyDescent="0.3">
      <c r="D1041" s="45" t="s">
        <v>8954</v>
      </c>
    </row>
    <row r="1042" spans="4:4" x14ac:dyDescent="0.3">
      <c r="D1042" s="45" t="s">
        <v>8954</v>
      </c>
    </row>
    <row r="1043" spans="4:4" x14ac:dyDescent="0.3">
      <c r="D1043" s="45" t="s">
        <v>8954</v>
      </c>
    </row>
    <row r="1044" spans="4:4" x14ac:dyDescent="0.3">
      <c r="D1044" s="45" t="s">
        <v>8954</v>
      </c>
    </row>
    <row r="1045" spans="4:4" x14ac:dyDescent="0.3">
      <c r="D1045" s="45" t="s">
        <v>8954</v>
      </c>
    </row>
    <row r="1046" spans="4:4" x14ac:dyDescent="0.3">
      <c r="D1046" s="45" t="s">
        <v>8954</v>
      </c>
    </row>
    <row r="1047" spans="4:4" x14ac:dyDescent="0.3">
      <c r="D1047" s="45" t="s">
        <v>8954</v>
      </c>
    </row>
    <row r="1048" spans="4:4" x14ac:dyDescent="0.3">
      <c r="D1048" s="45" t="s">
        <v>8954</v>
      </c>
    </row>
    <row r="1049" spans="4:4" x14ac:dyDescent="0.3">
      <c r="D1049" s="45" t="s">
        <v>8954</v>
      </c>
    </row>
    <row r="1050" spans="4:4" x14ac:dyDescent="0.3">
      <c r="D1050" s="45" t="s">
        <v>8954</v>
      </c>
    </row>
    <row r="1051" spans="4:4" x14ac:dyDescent="0.3">
      <c r="D1051" s="45" t="s">
        <v>8954</v>
      </c>
    </row>
    <row r="1052" spans="4:4" x14ac:dyDescent="0.3">
      <c r="D1052" s="45" t="s">
        <v>8954</v>
      </c>
    </row>
    <row r="1053" spans="4:4" x14ac:dyDescent="0.3">
      <c r="D1053" s="45" t="s">
        <v>8954</v>
      </c>
    </row>
    <row r="1054" spans="4:4" x14ac:dyDescent="0.3">
      <c r="D1054" s="45" t="s">
        <v>8954</v>
      </c>
    </row>
    <row r="1055" spans="4:4" x14ac:dyDescent="0.3">
      <c r="D1055" s="45" t="s">
        <v>8954</v>
      </c>
    </row>
    <row r="1056" spans="4:4" x14ac:dyDescent="0.3">
      <c r="D1056" s="45" t="s">
        <v>8954</v>
      </c>
    </row>
    <row r="1057" spans="4:4" x14ac:dyDescent="0.3">
      <c r="D1057" s="45" t="s">
        <v>8954</v>
      </c>
    </row>
    <row r="1058" spans="4:4" x14ac:dyDescent="0.3">
      <c r="D1058" s="45" t="s">
        <v>8954</v>
      </c>
    </row>
    <row r="1059" spans="4:4" x14ac:dyDescent="0.3">
      <c r="D1059" s="45" t="s">
        <v>8954</v>
      </c>
    </row>
    <row r="1060" spans="4:4" x14ac:dyDescent="0.3">
      <c r="D1060" s="45" t="s">
        <v>8954</v>
      </c>
    </row>
    <row r="1061" spans="4:4" x14ac:dyDescent="0.3">
      <c r="D1061" s="45" t="s">
        <v>8954</v>
      </c>
    </row>
    <row r="1062" spans="4:4" x14ac:dyDescent="0.3">
      <c r="D1062" s="45" t="s">
        <v>8954</v>
      </c>
    </row>
    <row r="1063" spans="4:4" x14ac:dyDescent="0.3">
      <c r="D1063" s="45" t="s">
        <v>8954</v>
      </c>
    </row>
    <row r="1064" spans="4:4" x14ac:dyDescent="0.3">
      <c r="D1064" s="45" t="s">
        <v>8954</v>
      </c>
    </row>
    <row r="1065" spans="4:4" x14ac:dyDescent="0.3">
      <c r="D1065" s="45" t="s">
        <v>8954</v>
      </c>
    </row>
    <row r="1066" spans="4:4" x14ac:dyDescent="0.3">
      <c r="D1066" s="45" t="s">
        <v>8954</v>
      </c>
    </row>
    <row r="1067" spans="4:4" x14ac:dyDescent="0.3">
      <c r="D1067" s="45" t="s">
        <v>8954</v>
      </c>
    </row>
    <row r="1068" spans="4:4" x14ac:dyDescent="0.3">
      <c r="D1068" s="45" t="s">
        <v>8954</v>
      </c>
    </row>
    <row r="1069" spans="4:4" x14ac:dyDescent="0.3">
      <c r="D1069" s="45" t="s">
        <v>8954</v>
      </c>
    </row>
    <row r="1070" spans="4:4" x14ac:dyDescent="0.3">
      <c r="D1070" s="45" t="s">
        <v>8954</v>
      </c>
    </row>
    <row r="1071" spans="4:4" x14ac:dyDescent="0.3">
      <c r="D1071" s="45" t="s">
        <v>8954</v>
      </c>
    </row>
    <row r="1072" spans="4:4" x14ac:dyDescent="0.3">
      <c r="D1072" s="45" t="s">
        <v>8954</v>
      </c>
    </row>
    <row r="1073" spans="4:4" x14ac:dyDescent="0.3">
      <c r="D1073" s="45" t="s">
        <v>8954</v>
      </c>
    </row>
    <row r="1074" spans="4:4" x14ac:dyDescent="0.3">
      <c r="D1074" s="45" t="s">
        <v>8954</v>
      </c>
    </row>
    <row r="1075" spans="4:4" x14ac:dyDescent="0.3">
      <c r="D1075" s="45" t="s">
        <v>8954</v>
      </c>
    </row>
    <row r="1076" spans="4:4" x14ac:dyDescent="0.3">
      <c r="D1076" s="45" t="s">
        <v>8954</v>
      </c>
    </row>
    <row r="1077" spans="4:4" x14ac:dyDescent="0.3">
      <c r="D1077" s="45" t="s">
        <v>8954</v>
      </c>
    </row>
    <row r="1078" spans="4:4" x14ac:dyDescent="0.3">
      <c r="D1078" s="45" t="s">
        <v>8954</v>
      </c>
    </row>
    <row r="1079" spans="4:4" x14ac:dyDescent="0.3">
      <c r="D1079" s="45" t="s">
        <v>8954</v>
      </c>
    </row>
    <row r="1080" spans="4:4" x14ac:dyDescent="0.3">
      <c r="D1080" s="45" t="s">
        <v>8954</v>
      </c>
    </row>
    <row r="1081" spans="4:4" x14ac:dyDescent="0.3">
      <c r="D1081" s="45" t="s">
        <v>8954</v>
      </c>
    </row>
    <row r="1082" spans="4:4" x14ac:dyDescent="0.3">
      <c r="D1082" s="45" t="s">
        <v>8954</v>
      </c>
    </row>
    <row r="1083" spans="4:4" x14ac:dyDescent="0.3">
      <c r="D1083" s="45" t="s">
        <v>8954</v>
      </c>
    </row>
    <row r="1084" spans="4:4" x14ac:dyDescent="0.3">
      <c r="D1084" s="45" t="s">
        <v>8954</v>
      </c>
    </row>
    <row r="1085" spans="4:4" x14ac:dyDescent="0.3">
      <c r="D1085" s="45" t="s">
        <v>8954</v>
      </c>
    </row>
    <row r="1086" spans="4:4" x14ac:dyDescent="0.3">
      <c r="D1086" s="45" t="s">
        <v>8954</v>
      </c>
    </row>
    <row r="1087" spans="4:4" x14ac:dyDescent="0.3">
      <c r="D1087" s="45" t="s">
        <v>8954</v>
      </c>
    </row>
    <row r="1088" spans="4:4" x14ac:dyDescent="0.3">
      <c r="D1088" s="45" t="s">
        <v>8954</v>
      </c>
    </row>
    <row r="1089" spans="4:4" x14ac:dyDescent="0.3">
      <c r="D1089" s="45" t="s">
        <v>8954</v>
      </c>
    </row>
    <row r="1090" spans="4:4" x14ac:dyDescent="0.3">
      <c r="D1090" s="45" t="s">
        <v>8954</v>
      </c>
    </row>
    <row r="1091" spans="4:4" x14ac:dyDescent="0.3">
      <c r="D1091" s="45" t="s">
        <v>8954</v>
      </c>
    </row>
    <row r="1092" spans="4:4" x14ac:dyDescent="0.3">
      <c r="D1092" s="45" t="s">
        <v>8954</v>
      </c>
    </row>
    <row r="1093" spans="4:4" x14ac:dyDescent="0.3">
      <c r="D1093" s="45" t="s">
        <v>8954</v>
      </c>
    </row>
    <row r="1094" spans="4:4" x14ac:dyDescent="0.3">
      <c r="D1094" s="45" t="s">
        <v>8954</v>
      </c>
    </row>
    <row r="1095" spans="4:4" x14ac:dyDescent="0.3">
      <c r="D1095" s="45" t="s">
        <v>8954</v>
      </c>
    </row>
    <row r="1096" spans="4:4" x14ac:dyDescent="0.3">
      <c r="D1096" s="45" t="s">
        <v>8954</v>
      </c>
    </row>
    <row r="1097" spans="4:4" x14ac:dyDescent="0.3">
      <c r="D1097" s="45" t="s">
        <v>8954</v>
      </c>
    </row>
    <row r="1098" spans="4:4" x14ac:dyDescent="0.3">
      <c r="D1098" s="45" t="s">
        <v>8954</v>
      </c>
    </row>
    <row r="1099" spans="4:4" x14ac:dyDescent="0.3">
      <c r="D1099" s="45" t="s">
        <v>8954</v>
      </c>
    </row>
    <row r="1100" spans="4:4" x14ac:dyDescent="0.3">
      <c r="D1100" s="45" t="s">
        <v>8954</v>
      </c>
    </row>
    <row r="1101" spans="4:4" x14ac:dyDescent="0.3">
      <c r="D1101" s="45" t="s">
        <v>8954</v>
      </c>
    </row>
    <row r="1102" spans="4:4" x14ac:dyDescent="0.3">
      <c r="D1102" s="45" t="s">
        <v>8954</v>
      </c>
    </row>
    <row r="1103" spans="4:4" x14ac:dyDescent="0.3">
      <c r="D1103" s="45" t="s">
        <v>8954</v>
      </c>
    </row>
    <row r="1104" spans="4:4" x14ac:dyDescent="0.3">
      <c r="D1104" t="s">
        <v>8954</v>
      </c>
    </row>
    <row r="1105" spans="4:4" x14ac:dyDescent="0.3">
      <c r="D1105" t="s">
        <v>8954</v>
      </c>
    </row>
    <row r="1106" spans="4:4" x14ac:dyDescent="0.3">
      <c r="D1106" t="s">
        <v>8954</v>
      </c>
    </row>
    <row r="1107" spans="4:4" x14ac:dyDescent="0.3">
      <c r="D1107" t="s">
        <v>8954</v>
      </c>
    </row>
    <row r="1108" spans="4:4" x14ac:dyDescent="0.3">
      <c r="D1108" t="s">
        <v>8954</v>
      </c>
    </row>
    <row r="1109" spans="4:4" x14ac:dyDescent="0.3">
      <c r="D1109" t="s">
        <v>8954</v>
      </c>
    </row>
    <row r="1110" spans="4:4" x14ac:dyDescent="0.3">
      <c r="D1110" t="s">
        <v>8954</v>
      </c>
    </row>
    <row r="1111" spans="4:4" x14ac:dyDescent="0.3">
      <c r="D1111" t="s">
        <v>8954</v>
      </c>
    </row>
    <row r="1112" spans="4:4" x14ac:dyDescent="0.3">
      <c r="D1112" t="s">
        <v>8954</v>
      </c>
    </row>
    <row r="1113" spans="4:4" x14ac:dyDescent="0.3">
      <c r="D1113" t="s">
        <v>8954</v>
      </c>
    </row>
    <row r="1114" spans="4:4" x14ac:dyDescent="0.3">
      <c r="D1114" t="s">
        <v>8954</v>
      </c>
    </row>
  </sheetData>
  <hyperlinks>
    <hyperlink ref="D2" r:id="rId1" display="https://bhissdigital.pbh.gov.br/nfse/index.jsp" xr:uid="{00000000-0004-0000-0000-000000000000}"/>
    <hyperlink ref="D3:D1103" r:id="rId2" display="https://bhissdigital.pbh.gov.br/nfse/index.jsp" xr:uid="{796EDCAD-061D-433A-BDA5-392B91195ED6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406F5-705B-4515-9A92-07DC9E9FF92E}">
  <sheetPr codeName="Planilha21"/>
  <dimension ref="A1:D1114"/>
  <sheetViews>
    <sheetView topLeftCell="A1089" zoomScale="130" zoomScaleNormal="130" workbookViewId="0">
      <selection activeCell="D1105" sqref="D1104:D1105"/>
    </sheetView>
  </sheetViews>
  <sheetFormatPr defaultRowHeight="14.4" x14ac:dyDescent="0.3"/>
  <cols>
    <col min="1" max="1" width="13.44140625" bestFit="1" customWidth="1"/>
    <col min="4" max="4" width="37.109375" customWidth="1"/>
  </cols>
  <sheetData>
    <row r="1" spans="1:4" x14ac:dyDescent="0.3">
      <c r="A1" t="s">
        <v>991</v>
      </c>
      <c r="B1" t="s">
        <v>992</v>
      </c>
      <c r="C1" t="s">
        <v>90</v>
      </c>
      <c r="D1" t="s">
        <v>993</v>
      </c>
    </row>
    <row r="2" spans="1:4" x14ac:dyDescent="0.3">
      <c r="A2">
        <v>2617158</v>
      </c>
      <c r="B2">
        <v>0</v>
      </c>
      <c r="C2" t="s">
        <v>1230</v>
      </c>
      <c r="D2" s="188" t="s">
        <v>8955</v>
      </c>
    </row>
    <row r="3" spans="1:4" x14ac:dyDescent="0.3">
      <c r="A3">
        <v>12002472</v>
      </c>
      <c r="B3">
        <v>8724290670</v>
      </c>
      <c r="C3" t="s">
        <v>1175</v>
      </c>
      <c r="D3" s="188" t="s">
        <v>8955</v>
      </c>
    </row>
    <row r="4" spans="1:4" x14ac:dyDescent="0.3">
      <c r="A4">
        <v>4779058</v>
      </c>
      <c r="B4">
        <v>10000</v>
      </c>
      <c r="C4" t="s">
        <v>1024</v>
      </c>
      <c r="D4" s="188" t="s">
        <v>8955</v>
      </c>
    </row>
    <row r="5" spans="1:4" x14ac:dyDescent="0.3">
      <c r="A5">
        <v>28763819</v>
      </c>
      <c r="B5">
        <v>10001</v>
      </c>
      <c r="C5" t="s">
        <v>274</v>
      </c>
      <c r="D5" s="188" t="s">
        <v>8955</v>
      </c>
    </row>
    <row r="6" spans="1:4" x14ac:dyDescent="0.3">
      <c r="A6">
        <v>28763819</v>
      </c>
      <c r="B6">
        <v>10002</v>
      </c>
      <c r="C6" t="s">
        <v>274</v>
      </c>
      <c r="D6" s="188" t="s">
        <v>8955</v>
      </c>
    </row>
    <row r="7" spans="1:4" x14ac:dyDescent="0.3">
      <c r="A7">
        <v>532740</v>
      </c>
      <c r="B7">
        <v>10003</v>
      </c>
      <c r="C7" t="s">
        <v>895</v>
      </c>
      <c r="D7" s="188" t="s">
        <v>8955</v>
      </c>
    </row>
    <row r="8" spans="1:4" x14ac:dyDescent="0.3">
      <c r="A8">
        <v>3147393</v>
      </c>
      <c r="B8">
        <v>10004</v>
      </c>
      <c r="C8" t="s">
        <v>1197</v>
      </c>
      <c r="D8" s="188" t="s">
        <v>8955</v>
      </c>
    </row>
    <row r="9" spans="1:4" x14ac:dyDescent="0.3">
      <c r="A9">
        <v>19811507</v>
      </c>
      <c r="B9">
        <v>10005</v>
      </c>
      <c r="C9" t="s">
        <v>270</v>
      </c>
      <c r="D9" s="188" t="s">
        <v>8955</v>
      </c>
    </row>
    <row r="10" spans="1:4" x14ac:dyDescent="0.3">
      <c r="A10">
        <v>16622284</v>
      </c>
      <c r="B10">
        <v>10006</v>
      </c>
      <c r="C10" t="s">
        <v>372</v>
      </c>
      <c r="D10" s="188" t="s">
        <v>8955</v>
      </c>
    </row>
    <row r="11" spans="1:4" x14ac:dyDescent="0.3">
      <c r="A11">
        <v>33000167</v>
      </c>
      <c r="B11">
        <v>10007</v>
      </c>
      <c r="C11" t="s">
        <v>508</v>
      </c>
      <c r="D11" s="188" t="s">
        <v>8955</v>
      </c>
    </row>
    <row r="12" spans="1:4" x14ac:dyDescent="0.3">
      <c r="A12">
        <v>33194200</v>
      </c>
      <c r="B12">
        <v>10008</v>
      </c>
      <c r="C12" t="s">
        <v>387</v>
      </c>
      <c r="D12" s="188" t="s">
        <v>8955</v>
      </c>
    </row>
    <row r="13" spans="1:4" x14ac:dyDescent="0.3">
      <c r="A13">
        <v>449291</v>
      </c>
      <c r="B13">
        <v>10009</v>
      </c>
      <c r="C13" t="s">
        <v>374</v>
      </c>
      <c r="D13" s="188" t="s">
        <v>8955</v>
      </c>
    </row>
    <row r="14" spans="1:4" x14ac:dyDescent="0.3">
      <c r="A14">
        <v>20926595</v>
      </c>
      <c r="B14">
        <v>10010</v>
      </c>
      <c r="C14" t="s">
        <v>388</v>
      </c>
      <c r="D14" s="188" t="s">
        <v>8955</v>
      </c>
    </row>
    <row r="15" spans="1:4" x14ac:dyDescent="0.3">
      <c r="A15">
        <v>55401293</v>
      </c>
      <c r="B15">
        <v>10011</v>
      </c>
      <c r="C15" t="s">
        <v>312</v>
      </c>
      <c r="D15" s="188" t="s">
        <v>8955</v>
      </c>
    </row>
    <row r="16" spans="1:4" x14ac:dyDescent="0.3">
      <c r="A16">
        <v>10736565</v>
      </c>
      <c r="B16">
        <v>10012</v>
      </c>
      <c r="C16" t="s">
        <v>869</v>
      </c>
      <c r="D16" s="188" t="s">
        <v>8955</v>
      </c>
    </row>
    <row r="17" spans="1:4" x14ac:dyDescent="0.3">
      <c r="A17">
        <v>394544</v>
      </c>
      <c r="B17">
        <v>10013</v>
      </c>
      <c r="C17" t="s">
        <v>390</v>
      </c>
      <c r="D17" s="188" t="s">
        <v>8955</v>
      </c>
    </row>
    <row r="18" spans="1:4" x14ac:dyDescent="0.3">
      <c r="A18">
        <v>132114</v>
      </c>
      <c r="B18">
        <v>10014</v>
      </c>
      <c r="C18" t="s">
        <v>274</v>
      </c>
      <c r="D18" s="188" t="s">
        <v>8955</v>
      </c>
    </row>
    <row r="19" spans="1:4" x14ac:dyDescent="0.3">
      <c r="A19">
        <v>132114</v>
      </c>
      <c r="B19">
        <v>10015</v>
      </c>
      <c r="C19" t="s">
        <v>274</v>
      </c>
      <c r="D19" s="188" t="s">
        <v>8955</v>
      </c>
    </row>
    <row r="20" spans="1:4" x14ac:dyDescent="0.3">
      <c r="A20">
        <v>19744530</v>
      </c>
      <c r="B20">
        <v>10016</v>
      </c>
      <c r="C20" t="s">
        <v>389</v>
      </c>
      <c r="D20" s="188" t="s">
        <v>8955</v>
      </c>
    </row>
    <row r="21" spans="1:4" x14ac:dyDescent="0.3">
      <c r="A21">
        <v>21256870</v>
      </c>
      <c r="B21">
        <v>10017</v>
      </c>
      <c r="C21" t="s">
        <v>933</v>
      </c>
      <c r="D21" s="188" t="s">
        <v>8955</v>
      </c>
    </row>
    <row r="22" spans="1:4" x14ac:dyDescent="0.3">
      <c r="A22">
        <v>43312312</v>
      </c>
      <c r="B22">
        <v>10018</v>
      </c>
      <c r="C22" t="s">
        <v>385</v>
      </c>
      <c r="D22" s="188" t="s">
        <v>8955</v>
      </c>
    </row>
    <row r="23" spans="1:4" x14ac:dyDescent="0.3">
      <c r="A23">
        <v>41504048</v>
      </c>
      <c r="B23">
        <v>10019</v>
      </c>
      <c r="C23" t="s">
        <v>391</v>
      </c>
      <c r="D23" s="188" t="s">
        <v>8955</v>
      </c>
    </row>
    <row r="24" spans="1:4" x14ac:dyDescent="0.3">
      <c r="A24">
        <v>8343492</v>
      </c>
      <c r="B24">
        <v>10021</v>
      </c>
      <c r="C24" t="s">
        <v>868</v>
      </c>
      <c r="D24" s="188" t="s">
        <v>8955</v>
      </c>
    </row>
    <row r="25" spans="1:4" x14ac:dyDescent="0.3">
      <c r="A25">
        <v>5416618</v>
      </c>
      <c r="B25">
        <v>10022</v>
      </c>
      <c r="C25" t="s">
        <v>858</v>
      </c>
      <c r="D25" s="188" t="s">
        <v>8955</v>
      </c>
    </row>
    <row r="26" spans="1:4" x14ac:dyDescent="0.3">
      <c r="A26">
        <v>7522191</v>
      </c>
      <c r="B26">
        <v>10023</v>
      </c>
      <c r="C26" t="s">
        <v>392</v>
      </c>
      <c r="D26" s="188" t="s">
        <v>8955</v>
      </c>
    </row>
    <row r="27" spans="1:4" x14ac:dyDescent="0.3">
      <c r="A27">
        <v>5614993</v>
      </c>
      <c r="B27">
        <v>10024</v>
      </c>
      <c r="C27" t="s">
        <v>1093</v>
      </c>
      <c r="D27" s="188" t="s">
        <v>8955</v>
      </c>
    </row>
    <row r="28" spans="1:4" x14ac:dyDescent="0.3">
      <c r="A28">
        <v>19843929</v>
      </c>
      <c r="B28">
        <v>10025</v>
      </c>
      <c r="C28" t="s">
        <v>1069</v>
      </c>
      <c r="D28" s="188" t="s">
        <v>8955</v>
      </c>
    </row>
    <row r="29" spans="1:4" x14ac:dyDescent="0.3">
      <c r="A29">
        <v>19843929</v>
      </c>
      <c r="B29">
        <v>10026</v>
      </c>
      <c r="C29" t="s">
        <v>1069</v>
      </c>
      <c r="D29" s="188" t="s">
        <v>8955</v>
      </c>
    </row>
    <row r="30" spans="1:4" x14ac:dyDescent="0.3">
      <c r="A30">
        <v>25290339</v>
      </c>
      <c r="B30">
        <v>10027</v>
      </c>
      <c r="C30" t="s">
        <v>923</v>
      </c>
      <c r="D30" s="188" t="s">
        <v>8955</v>
      </c>
    </row>
    <row r="31" spans="1:4" x14ac:dyDescent="0.3">
      <c r="A31">
        <v>25290339</v>
      </c>
      <c r="B31">
        <v>10028</v>
      </c>
      <c r="C31" t="s">
        <v>1189</v>
      </c>
      <c r="D31" s="188" t="s">
        <v>8955</v>
      </c>
    </row>
    <row r="32" spans="1:4" x14ac:dyDescent="0.3">
      <c r="A32">
        <v>91894774</v>
      </c>
      <c r="B32">
        <v>10029</v>
      </c>
      <c r="C32" t="s">
        <v>393</v>
      </c>
      <c r="D32" s="188" t="s">
        <v>8955</v>
      </c>
    </row>
    <row r="33" spans="1:4" x14ac:dyDescent="0.3">
      <c r="A33">
        <v>39685821</v>
      </c>
      <c r="B33">
        <v>10030</v>
      </c>
      <c r="C33" t="s">
        <v>274</v>
      </c>
      <c r="D33" s="188" t="s">
        <v>8955</v>
      </c>
    </row>
    <row r="34" spans="1:4" x14ac:dyDescent="0.3">
      <c r="A34">
        <v>39685821</v>
      </c>
      <c r="B34">
        <v>10031</v>
      </c>
      <c r="C34" t="s">
        <v>274</v>
      </c>
      <c r="D34" s="188" t="s">
        <v>8955</v>
      </c>
    </row>
    <row r="35" spans="1:4" x14ac:dyDescent="0.3">
      <c r="A35">
        <v>58218890491</v>
      </c>
      <c r="B35">
        <v>10032</v>
      </c>
      <c r="C35" t="s">
        <v>831</v>
      </c>
      <c r="D35" s="188" t="s">
        <v>8955</v>
      </c>
    </row>
    <row r="36" spans="1:4" x14ac:dyDescent="0.3">
      <c r="A36">
        <v>17168907</v>
      </c>
      <c r="B36">
        <v>10035</v>
      </c>
      <c r="C36" t="s">
        <v>1070</v>
      </c>
      <c r="D36" s="188" t="s">
        <v>8955</v>
      </c>
    </row>
    <row r="37" spans="1:4" x14ac:dyDescent="0.3">
      <c r="A37">
        <v>17168907</v>
      </c>
      <c r="B37">
        <v>10036</v>
      </c>
      <c r="C37" t="s">
        <v>1070</v>
      </c>
      <c r="D37" s="188" t="s">
        <v>8955</v>
      </c>
    </row>
    <row r="38" spans="1:4" x14ac:dyDescent="0.3">
      <c r="A38">
        <v>17168907</v>
      </c>
      <c r="B38">
        <v>10037</v>
      </c>
      <c r="C38" t="s">
        <v>1070</v>
      </c>
      <c r="D38" s="188" t="s">
        <v>8955</v>
      </c>
    </row>
    <row r="39" spans="1:4" x14ac:dyDescent="0.3">
      <c r="A39">
        <v>1157555</v>
      </c>
      <c r="B39">
        <v>10038</v>
      </c>
      <c r="C39" t="s">
        <v>395</v>
      </c>
      <c r="D39" s="188" t="s">
        <v>8955</v>
      </c>
    </row>
    <row r="40" spans="1:4" x14ac:dyDescent="0.3">
      <c r="A40">
        <v>10550896</v>
      </c>
      <c r="B40">
        <v>10039</v>
      </c>
      <c r="C40" t="s">
        <v>394</v>
      </c>
      <c r="D40" s="188" t="s">
        <v>8955</v>
      </c>
    </row>
    <row r="41" spans="1:4" x14ac:dyDescent="0.3">
      <c r="A41">
        <v>44319817</v>
      </c>
      <c r="B41">
        <v>10040</v>
      </c>
      <c r="C41" t="s">
        <v>396</v>
      </c>
      <c r="D41" s="188" t="s">
        <v>8955</v>
      </c>
    </row>
    <row r="42" spans="1:4" x14ac:dyDescent="0.3">
      <c r="A42">
        <v>14630809</v>
      </c>
      <c r="B42">
        <v>10041</v>
      </c>
      <c r="C42" t="s">
        <v>277</v>
      </c>
      <c r="D42" s="188" t="s">
        <v>8955</v>
      </c>
    </row>
    <row r="43" spans="1:4" x14ac:dyDescent="0.3">
      <c r="A43">
        <v>13452117</v>
      </c>
      <c r="B43">
        <v>10042</v>
      </c>
      <c r="C43" t="s">
        <v>397</v>
      </c>
      <c r="D43" s="188" t="s">
        <v>8955</v>
      </c>
    </row>
    <row r="44" spans="1:4" x14ac:dyDescent="0.3">
      <c r="A44">
        <v>25349440</v>
      </c>
      <c r="B44">
        <v>10043</v>
      </c>
      <c r="C44" t="s">
        <v>277</v>
      </c>
      <c r="D44" s="188" t="s">
        <v>8955</v>
      </c>
    </row>
    <row r="45" spans="1:4" x14ac:dyDescent="0.3">
      <c r="A45">
        <v>96298013</v>
      </c>
      <c r="B45">
        <v>10044</v>
      </c>
      <c r="C45" t="s">
        <v>1050</v>
      </c>
      <c r="D45" s="188" t="s">
        <v>8955</v>
      </c>
    </row>
    <row r="46" spans="1:4" x14ac:dyDescent="0.3">
      <c r="A46">
        <v>7134777</v>
      </c>
      <c r="B46">
        <v>10045</v>
      </c>
      <c r="C46" t="s">
        <v>277</v>
      </c>
      <c r="D46" s="188" t="s">
        <v>8955</v>
      </c>
    </row>
    <row r="47" spans="1:4" x14ac:dyDescent="0.3">
      <c r="A47">
        <v>7134777</v>
      </c>
      <c r="B47">
        <v>10046</v>
      </c>
      <c r="C47" t="s">
        <v>277</v>
      </c>
      <c r="D47" s="188" t="s">
        <v>8955</v>
      </c>
    </row>
    <row r="48" spans="1:4" x14ac:dyDescent="0.3">
      <c r="A48">
        <v>7134777</v>
      </c>
      <c r="B48">
        <v>10047</v>
      </c>
      <c r="C48" t="s">
        <v>277</v>
      </c>
      <c r="D48" s="188" t="s">
        <v>8955</v>
      </c>
    </row>
    <row r="49" spans="1:4" x14ac:dyDescent="0.3">
      <c r="A49">
        <v>7134777</v>
      </c>
      <c r="B49">
        <v>10048</v>
      </c>
      <c r="C49" t="s">
        <v>327</v>
      </c>
      <c r="D49" s="188" t="s">
        <v>8955</v>
      </c>
    </row>
    <row r="50" spans="1:4" x14ac:dyDescent="0.3">
      <c r="A50">
        <v>7134777</v>
      </c>
      <c r="B50">
        <v>10049</v>
      </c>
      <c r="C50" t="s">
        <v>277</v>
      </c>
      <c r="D50" s="188" t="s">
        <v>8955</v>
      </c>
    </row>
    <row r="51" spans="1:4" x14ac:dyDescent="0.3">
      <c r="A51">
        <v>7134777</v>
      </c>
      <c r="B51">
        <v>10050</v>
      </c>
      <c r="C51" t="s">
        <v>327</v>
      </c>
      <c r="D51" s="188" t="s">
        <v>8955</v>
      </c>
    </row>
    <row r="52" spans="1:4" x14ac:dyDescent="0.3">
      <c r="A52">
        <v>13338669</v>
      </c>
      <c r="B52">
        <v>10052</v>
      </c>
      <c r="C52" t="s">
        <v>1051</v>
      </c>
      <c r="D52" s="188" t="s">
        <v>8955</v>
      </c>
    </row>
    <row r="53" spans="1:4" x14ac:dyDescent="0.3">
      <c r="A53">
        <v>12411822</v>
      </c>
      <c r="B53">
        <v>10053</v>
      </c>
      <c r="C53" t="s">
        <v>1112</v>
      </c>
      <c r="D53" s="188" t="s">
        <v>8955</v>
      </c>
    </row>
    <row r="54" spans="1:4" x14ac:dyDescent="0.3">
      <c r="A54">
        <v>15187050656</v>
      </c>
      <c r="B54">
        <v>10054</v>
      </c>
      <c r="C54" t="s">
        <v>398</v>
      </c>
      <c r="D54" s="188" t="s">
        <v>8955</v>
      </c>
    </row>
    <row r="55" spans="1:4" x14ac:dyDescent="0.3">
      <c r="A55">
        <v>8343492</v>
      </c>
      <c r="B55">
        <v>10055</v>
      </c>
      <c r="C55" t="s">
        <v>1081</v>
      </c>
      <c r="D55" s="188" t="s">
        <v>8955</v>
      </c>
    </row>
    <row r="56" spans="1:4" x14ac:dyDescent="0.3">
      <c r="A56">
        <v>36178464</v>
      </c>
      <c r="B56">
        <v>10056</v>
      </c>
      <c r="C56" t="s">
        <v>1081</v>
      </c>
      <c r="D56" s="188" t="s">
        <v>8955</v>
      </c>
    </row>
    <row r="57" spans="1:4" x14ac:dyDescent="0.3">
      <c r="A57">
        <v>3901750</v>
      </c>
      <c r="B57">
        <v>10057</v>
      </c>
      <c r="C57" t="s">
        <v>364</v>
      </c>
      <c r="D57" s="188" t="s">
        <v>8955</v>
      </c>
    </row>
    <row r="58" spans="1:4" x14ac:dyDescent="0.3">
      <c r="A58">
        <v>41109336</v>
      </c>
      <c r="B58">
        <v>10058</v>
      </c>
      <c r="C58" t="s">
        <v>399</v>
      </c>
      <c r="D58" s="188" t="s">
        <v>8955</v>
      </c>
    </row>
    <row r="59" spans="1:4" x14ac:dyDescent="0.3">
      <c r="A59">
        <v>4618010</v>
      </c>
      <c r="B59">
        <v>10059</v>
      </c>
      <c r="C59" t="s">
        <v>277</v>
      </c>
      <c r="D59" s="188" t="s">
        <v>8955</v>
      </c>
    </row>
    <row r="60" spans="1:4" x14ac:dyDescent="0.3">
      <c r="A60">
        <v>4618010</v>
      </c>
      <c r="B60">
        <v>10060</v>
      </c>
      <c r="C60" t="s">
        <v>928</v>
      </c>
      <c r="D60" s="188" t="s">
        <v>8955</v>
      </c>
    </row>
    <row r="61" spans="1:4" x14ac:dyDescent="0.3">
      <c r="A61">
        <v>18185542</v>
      </c>
      <c r="B61">
        <v>10061</v>
      </c>
      <c r="C61" t="s">
        <v>400</v>
      </c>
      <c r="D61" s="188" t="s">
        <v>8955</v>
      </c>
    </row>
    <row r="62" spans="1:4" x14ac:dyDescent="0.3">
      <c r="A62">
        <v>4606738</v>
      </c>
      <c r="B62">
        <v>10062</v>
      </c>
      <c r="C62" t="s">
        <v>401</v>
      </c>
      <c r="D62" s="188" t="s">
        <v>8955</v>
      </c>
    </row>
    <row r="63" spans="1:4" x14ac:dyDescent="0.3">
      <c r="A63">
        <v>19979490</v>
      </c>
      <c r="B63">
        <v>10063</v>
      </c>
      <c r="C63" t="s">
        <v>848</v>
      </c>
      <c r="D63" s="188" t="s">
        <v>8955</v>
      </c>
    </row>
    <row r="64" spans="1:4" x14ac:dyDescent="0.3">
      <c r="A64">
        <v>89637490</v>
      </c>
      <c r="B64">
        <v>10064</v>
      </c>
      <c r="C64" t="s">
        <v>274</v>
      </c>
      <c r="D64" s="188" t="s">
        <v>8955</v>
      </c>
    </row>
    <row r="65" spans="1:4" x14ac:dyDescent="0.3">
      <c r="A65">
        <v>89637490</v>
      </c>
      <c r="B65">
        <v>10065</v>
      </c>
      <c r="C65" t="s">
        <v>274</v>
      </c>
      <c r="D65" s="188" t="s">
        <v>8955</v>
      </c>
    </row>
    <row r="66" spans="1:4" x14ac:dyDescent="0.3">
      <c r="A66">
        <v>89637490</v>
      </c>
      <c r="B66">
        <v>10066</v>
      </c>
      <c r="C66" t="s">
        <v>274</v>
      </c>
      <c r="D66" s="188" t="s">
        <v>8955</v>
      </c>
    </row>
    <row r="67" spans="1:4" x14ac:dyDescent="0.3">
      <c r="A67">
        <v>89637490</v>
      </c>
      <c r="B67">
        <v>10067</v>
      </c>
      <c r="C67" t="s">
        <v>274</v>
      </c>
      <c r="D67" s="188" t="s">
        <v>8955</v>
      </c>
    </row>
    <row r="68" spans="1:4" x14ac:dyDescent="0.3">
      <c r="A68">
        <v>34844289</v>
      </c>
      <c r="B68">
        <v>10068</v>
      </c>
      <c r="C68" t="s">
        <v>898</v>
      </c>
      <c r="D68" s="188" t="s">
        <v>8955</v>
      </c>
    </row>
    <row r="69" spans="1:4" x14ac:dyDescent="0.3">
      <c r="A69">
        <v>34844289</v>
      </c>
      <c r="B69">
        <v>10069</v>
      </c>
      <c r="C69" t="s">
        <v>1140</v>
      </c>
      <c r="D69" s="188" t="s">
        <v>8955</v>
      </c>
    </row>
    <row r="70" spans="1:4" x14ac:dyDescent="0.3">
      <c r="A70">
        <v>5422000</v>
      </c>
      <c r="B70">
        <v>10070</v>
      </c>
      <c r="C70" t="s">
        <v>1158</v>
      </c>
      <c r="D70" s="188" t="s">
        <v>8955</v>
      </c>
    </row>
    <row r="71" spans="1:4" x14ac:dyDescent="0.3">
      <c r="A71">
        <v>23893079</v>
      </c>
      <c r="B71">
        <v>10071</v>
      </c>
      <c r="C71" t="s">
        <v>274</v>
      </c>
      <c r="D71" s="188" t="s">
        <v>8955</v>
      </c>
    </row>
    <row r="72" spans="1:4" x14ac:dyDescent="0.3">
      <c r="A72">
        <v>34844289</v>
      </c>
      <c r="B72">
        <v>10072</v>
      </c>
      <c r="C72" t="s">
        <v>293</v>
      </c>
      <c r="D72" s="188" t="s">
        <v>8955</v>
      </c>
    </row>
    <row r="73" spans="1:4" x14ac:dyDescent="0.3">
      <c r="A73">
        <v>33079284</v>
      </c>
      <c r="B73">
        <v>10073</v>
      </c>
      <c r="C73" t="s">
        <v>402</v>
      </c>
      <c r="D73" s="188" t="s">
        <v>8955</v>
      </c>
    </row>
    <row r="74" spans="1:4" x14ac:dyDescent="0.3">
      <c r="A74">
        <v>34457269</v>
      </c>
      <c r="B74">
        <v>10074</v>
      </c>
      <c r="C74" t="s">
        <v>403</v>
      </c>
      <c r="D74" s="188" t="s">
        <v>8955</v>
      </c>
    </row>
    <row r="75" spans="1:4" x14ac:dyDescent="0.3">
      <c r="A75">
        <v>34844289</v>
      </c>
      <c r="B75">
        <v>10075</v>
      </c>
      <c r="C75" t="s">
        <v>318</v>
      </c>
      <c r="D75" s="188" t="s">
        <v>8955</v>
      </c>
    </row>
    <row r="76" spans="1:4" x14ac:dyDescent="0.3">
      <c r="A76">
        <v>35793134</v>
      </c>
      <c r="B76">
        <v>10076</v>
      </c>
      <c r="C76" t="s">
        <v>1179</v>
      </c>
      <c r="D76" s="188" t="s">
        <v>8955</v>
      </c>
    </row>
    <row r="77" spans="1:4" x14ac:dyDescent="0.3">
      <c r="A77">
        <v>13085979</v>
      </c>
      <c r="B77">
        <v>10077</v>
      </c>
      <c r="C77" t="s">
        <v>1190</v>
      </c>
      <c r="D77" s="188" t="s">
        <v>8955</v>
      </c>
    </row>
    <row r="78" spans="1:4" x14ac:dyDescent="0.3">
      <c r="A78">
        <v>13085979</v>
      </c>
      <c r="B78">
        <v>10078</v>
      </c>
      <c r="C78" t="s">
        <v>1191</v>
      </c>
      <c r="D78" s="188" t="s">
        <v>8955</v>
      </c>
    </row>
    <row r="79" spans="1:4" x14ac:dyDescent="0.3">
      <c r="A79">
        <v>43227480</v>
      </c>
      <c r="B79">
        <v>10079</v>
      </c>
      <c r="C79" t="s">
        <v>404</v>
      </c>
      <c r="D79" s="188" t="s">
        <v>8955</v>
      </c>
    </row>
    <row r="80" spans="1:4" x14ac:dyDescent="0.3">
      <c r="A80">
        <v>27540562</v>
      </c>
      <c r="B80">
        <v>10080</v>
      </c>
      <c r="C80" t="s">
        <v>863</v>
      </c>
      <c r="D80" s="188" t="s">
        <v>8955</v>
      </c>
    </row>
    <row r="81" spans="1:4" x14ac:dyDescent="0.3">
      <c r="A81">
        <v>64978646</v>
      </c>
      <c r="B81">
        <v>10081</v>
      </c>
      <c r="C81" t="s">
        <v>414</v>
      </c>
      <c r="D81" s="188" t="s">
        <v>8955</v>
      </c>
    </row>
    <row r="82" spans="1:4" x14ac:dyDescent="0.3">
      <c r="A82">
        <v>31605716</v>
      </c>
      <c r="B82">
        <v>10082</v>
      </c>
      <c r="C82" t="s">
        <v>1086</v>
      </c>
      <c r="D82" s="188" t="s">
        <v>8955</v>
      </c>
    </row>
    <row r="83" spans="1:4" x14ac:dyDescent="0.3">
      <c r="A83">
        <v>83646547</v>
      </c>
      <c r="B83">
        <v>10083</v>
      </c>
      <c r="C83" t="s">
        <v>852</v>
      </c>
      <c r="D83" s="188" t="s">
        <v>8955</v>
      </c>
    </row>
    <row r="84" spans="1:4" x14ac:dyDescent="0.3">
      <c r="A84">
        <v>20266147844</v>
      </c>
      <c r="B84">
        <v>10084</v>
      </c>
      <c r="C84" t="s">
        <v>1082</v>
      </c>
      <c r="D84" s="188" t="s">
        <v>8955</v>
      </c>
    </row>
    <row r="85" spans="1:4" x14ac:dyDescent="0.3">
      <c r="A85">
        <v>1637895</v>
      </c>
      <c r="B85">
        <v>10085</v>
      </c>
      <c r="C85" t="s">
        <v>1105</v>
      </c>
      <c r="D85" s="188" t="s">
        <v>8955</v>
      </c>
    </row>
    <row r="86" spans="1:4" x14ac:dyDescent="0.3">
      <c r="A86">
        <v>1637895</v>
      </c>
      <c r="B86">
        <v>10086</v>
      </c>
      <c r="C86" t="s">
        <v>1106</v>
      </c>
      <c r="D86" s="188" t="s">
        <v>8955</v>
      </c>
    </row>
    <row r="87" spans="1:4" x14ac:dyDescent="0.3">
      <c r="A87">
        <v>10956612</v>
      </c>
      <c r="B87">
        <v>10087</v>
      </c>
      <c r="C87" t="s">
        <v>929</v>
      </c>
      <c r="D87" s="188" t="s">
        <v>8955</v>
      </c>
    </row>
    <row r="88" spans="1:4" x14ac:dyDescent="0.3">
      <c r="A88">
        <v>26727204</v>
      </c>
      <c r="B88">
        <v>10088</v>
      </c>
      <c r="C88" t="s">
        <v>274</v>
      </c>
      <c r="D88" s="188" t="s">
        <v>8955</v>
      </c>
    </row>
    <row r="89" spans="1:4" x14ac:dyDescent="0.3">
      <c r="A89">
        <v>32639234</v>
      </c>
      <c r="B89">
        <v>10089</v>
      </c>
      <c r="C89" t="s">
        <v>1107</v>
      </c>
      <c r="D89" s="188" t="s">
        <v>8955</v>
      </c>
    </row>
    <row r="90" spans="1:4" x14ac:dyDescent="0.3">
      <c r="A90">
        <v>4039255</v>
      </c>
      <c r="B90">
        <v>10090</v>
      </c>
      <c r="C90" t="s">
        <v>405</v>
      </c>
      <c r="D90" s="188" t="s">
        <v>8955</v>
      </c>
    </row>
    <row r="91" spans="1:4" x14ac:dyDescent="0.3">
      <c r="A91">
        <v>44319314</v>
      </c>
      <c r="B91">
        <v>10091</v>
      </c>
      <c r="C91" t="s">
        <v>276</v>
      </c>
      <c r="D91" s="188" t="s">
        <v>8955</v>
      </c>
    </row>
    <row r="92" spans="1:4" x14ac:dyDescent="0.3">
      <c r="A92">
        <v>3701784</v>
      </c>
      <c r="B92">
        <v>10092</v>
      </c>
      <c r="C92" t="s">
        <v>1109</v>
      </c>
      <c r="D92" s="188" t="s">
        <v>8955</v>
      </c>
    </row>
    <row r="93" spans="1:4" x14ac:dyDescent="0.3">
      <c r="A93">
        <v>13279768</v>
      </c>
      <c r="B93">
        <v>10093</v>
      </c>
      <c r="C93" t="s">
        <v>407</v>
      </c>
      <c r="D93" s="188" t="s">
        <v>8955</v>
      </c>
    </row>
    <row r="94" spans="1:4" x14ac:dyDescent="0.3">
      <c r="A94">
        <v>29944644</v>
      </c>
      <c r="B94">
        <v>10094</v>
      </c>
      <c r="C94" t="s">
        <v>1079</v>
      </c>
      <c r="D94" s="188" t="s">
        <v>8955</v>
      </c>
    </row>
    <row r="95" spans="1:4" x14ac:dyDescent="0.3">
      <c r="A95">
        <v>53503652</v>
      </c>
      <c r="B95">
        <v>10095</v>
      </c>
      <c r="C95" t="s">
        <v>409</v>
      </c>
      <c r="D95" s="188" t="s">
        <v>8955</v>
      </c>
    </row>
    <row r="96" spans="1:4" x14ac:dyDescent="0.3">
      <c r="A96">
        <v>629724</v>
      </c>
      <c r="B96">
        <v>10096</v>
      </c>
      <c r="C96" t="s">
        <v>351</v>
      </c>
      <c r="D96" s="188" t="s">
        <v>8955</v>
      </c>
    </row>
    <row r="97" spans="1:4" x14ac:dyDescent="0.3">
      <c r="A97">
        <v>32454894</v>
      </c>
      <c r="B97">
        <v>10097</v>
      </c>
      <c r="C97" t="s">
        <v>1184</v>
      </c>
      <c r="D97" s="188" t="s">
        <v>8955</v>
      </c>
    </row>
    <row r="98" spans="1:4" x14ac:dyDescent="0.3">
      <c r="A98">
        <v>32454894</v>
      </c>
      <c r="B98">
        <v>10098</v>
      </c>
      <c r="C98" t="s">
        <v>336</v>
      </c>
      <c r="D98" s="188" t="s">
        <v>8955</v>
      </c>
    </row>
    <row r="99" spans="1:4" x14ac:dyDescent="0.3">
      <c r="A99">
        <v>10630328</v>
      </c>
      <c r="B99">
        <v>10099</v>
      </c>
      <c r="C99" t="s">
        <v>410</v>
      </c>
      <c r="D99" s="188" t="s">
        <v>8955</v>
      </c>
    </row>
    <row r="100" spans="1:4" x14ac:dyDescent="0.3">
      <c r="A100">
        <v>17193590</v>
      </c>
      <c r="B100">
        <v>10100</v>
      </c>
      <c r="C100" t="s">
        <v>411</v>
      </c>
      <c r="D100" s="188" t="s">
        <v>8955</v>
      </c>
    </row>
    <row r="101" spans="1:4" x14ac:dyDescent="0.3">
      <c r="A101">
        <v>19208239</v>
      </c>
      <c r="B101">
        <v>10101</v>
      </c>
      <c r="C101" t="s">
        <v>294</v>
      </c>
      <c r="D101" s="188" t="s">
        <v>8955</v>
      </c>
    </row>
    <row r="102" spans="1:4" x14ac:dyDescent="0.3">
      <c r="A102">
        <v>17589270</v>
      </c>
      <c r="B102">
        <v>10102</v>
      </c>
      <c r="C102" t="s">
        <v>412</v>
      </c>
      <c r="D102" s="188" t="s">
        <v>8955</v>
      </c>
    </row>
    <row r="103" spans="1:4" x14ac:dyDescent="0.3">
      <c r="A103">
        <v>17403551</v>
      </c>
      <c r="B103">
        <v>10103</v>
      </c>
      <c r="C103" t="s">
        <v>924</v>
      </c>
      <c r="D103" s="188" t="s">
        <v>8955</v>
      </c>
    </row>
    <row r="104" spans="1:4" x14ac:dyDescent="0.3">
      <c r="A104">
        <v>15500591</v>
      </c>
      <c r="B104">
        <v>10104</v>
      </c>
      <c r="C104" t="s">
        <v>340</v>
      </c>
      <c r="D104" s="188" t="s">
        <v>8955</v>
      </c>
    </row>
    <row r="105" spans="1:4" x14ac:dyDescent="0.3">
      <c r="A105">
        <v>761987746</v>
      </c>
      <c r="B105">
        <v>10105</v>
      </c>
      <c r="C105" t="s">
        <v>139</v>
      </c>
      <c r="D105" s="188" t="s">
        <v>8955</v>
      </c>
    </row>
    <row r="106" spans="1:4" x14ac:dyDescent="0.3">
      <c r="A106">
        <v>36358498</v>
      </c>
      <c r="B106">
        <v>10106</v>
      </c>
      <c r="C106" t="s">
        <v>1134</v>
      </c>
      <c r="D106" s="188" t="s">
        <v>8955</v>
      </c>
    </row>
    <row r="107" spans="1:4" x14ac:dyDescent="0.3">
      <c r="A107">
        <v>26884884</v>
      </c>
      <c r="B107">
        <v>10107</v>
      </c>
      <c r="C107" t="s">
        <v>274</v>
      </c>
      <c r="D107" s="188" t="s">
        <v>8955</v>
      </c>
    </row>
    <row r="108" spans="1:4" x14ac:dyDescent="0.3">
      <c r="A108">
        <v>46393484</v>
      </c>
      <c r="B108">
        <v>10108</v>
      </c>
      <c r="C108" t="s">
        <v>885</v>
      </c>
      <c r="D108" s="188" t="s">
        <v>8955</v>
      </c>
    </row>
    <row r="109" spans="1:4" x14ac:dyDescent="0.3">
      <c r="A109">
        <v>394460</v>
      </c>
      <c r="B109">
        <v>10109</v>
      </c>
      <c r="C109" t="s">
        <v>533</v>
      </c>
      <c r="D109" s="188" t="s">
        <v>8955</v>
      </c>
    </row>
    <row r="110" spans="1:4" x14ac:dyDescent="0.3">
      <c r="A110">
        <v>11468344</v>
      </c>
      <c r="B110">
        <v>10110</v>
      </c>
      <c r="C110" t="s">
        <v>431</v>
      </c>
      <c r="D110" s="188" t="s">
        <v>8955</v>
      </c>
    </row>
    <row r="111" spans="1:4" x14ac:dyDescent="0.3">
      <c r="A111">
        <v>11468344</v>
      </c>
      <c r="B111">
        <v>10111</v>
      </c>
      <c r="C111" t="s">
        <v>431</v>
      </c>
      <c r="D111" s="188" t="s">
        <v>8955</v>
      </c>
    </row>
    <row r="112" spans="1:4" x14ac:dyDescent="0.3">
      <c r="A112">
        <v>15063096</v>
      </c>
      <c r="B112">
        <v>10112</v>
      </c>
      <c r="C112" t="s">
        <v>413</v>
      </c>
      <c r="D112" s="188" t="s">
        <v>8955</v>
      </c>
    </row>
    <row r="113" spans="1:4" x14ac:dyDescent="0.3">
      <c r="A113">
        <v>7792949</v>
      </c>
      <c r="B113">
        <v>10113</v>
      </c>
      <c r="C113" t="s">
        <v>1192</v>
      </c>
      <c r="D113" s="188" t="s">
        <v>8955</v>
      </c>
    </row>
    <row r="114" spans="1:4" x14ac:dyDescent="0.3">
      <c r="A114">
        <v>7792949</v>
      </c>
      <c r="B114">
        <v>10114</v>
      </c>
      <c r="C114" t="s">
        <v>383</v>
      </c>
      <c r="D114" s="188" t="s">
        <v>8955</v>
      </c>
    </row>
    <row r="115" spans="1:4" x14ac:dyDescent="0.3">
      <c r="A115">
        <v>21043980</v>
      </c>
      <c r="B115">
        <v>10115</v>
      </c>
      <c r="C115" t="s">
        <v>1083</v>
      </c>
      <c r="D115" s="188" t="s">
        <v>8955</v>
      </c>
    </row>
    <row r="116" spans="1:4" x14ac:dyDescent="0.3">
      <c r="A116">
        <v>5501201</v>
      </c>
      <c r="B116">
        <v>10117</v>
      </c>
      <c r="C116" t="s">
        <v>1125</v>
      </c>
      <c r="D116" s="188" t="s">
        <v>8955</v>
      </c>
    </row>
    <row r="117" spans="1:4" x14ac:dyDescent="0.3">
      <c r="A117">
        <v>39969812</v>
      </c>
      <c r="B117">
        <v>10121</v>
      </c>
      <c r="C117" t="s">
        <v>318</v>
      </c>
      <c r="D117" s="188" t="s">
        <v>8955</v>
      </c>
    </row>
    <row r="118" spans="1:4" x14ac:dyDescent="0.3">
      <c r="A118">
        <v>19330112</v>
      </c>
      <c r="B118">
        <v>10122</v>
      </c>
      <c r="C118" t="s">
        <v>1031</v>
      </c>
      <c r="D118" s="188" t="s">
        <v>8955</v>
      </c>
    </row>
    <row r="119" spans="1:4" x14ac:dyDescent="0.3">
      <c r="A119">
        <v>17193590</v>
      </c>
      <c r="B119">
        <v>10123</v>
      </c>
      <c r="C119" t="s">
        <v>415</v>
      </c>
      <c r="D119" s="188" t="s">
        <v>8955</v>
      </c>
    </row>
    <row r="120" spans="1:4" x14ac:dyDescent="0.3">
      <c r="A120">
        <v>17164435</v>
      </c>
      <c r="B120">
        <v>10124</v>
      </c>
      <c r="C120" t="s">
        <v>416</v>
      </c>
      <c r="D120" s="188" t="s">
        <v>8955</v>
      </c>
    </row>
    <row r="121" spans="1:4" x14ac:dyDescent="0.3">
      <c r="A121">
        <v>29131075</v>
      </c>
      <c r="B121">
        <v>10126</v>
      </c>
      <c r="C121" t="s">
        <v>438</v>
      </c>
      <c r="D121" s="188" t="s">
        <v>8955</v>
      </c>
    </row>
    <row r="122" spans="1:4" x14ac:dyDescent="0.3">
      <c r="A122">
        <v>7915727</v>
      </c>
      <c r="B122">
        <v>10127</v>
      </c>
      <c r="C122" t="s">
        <v>418</v>
      </c>
      <c r="D122" s="188" t="s">
        <v>8955</v>
      </c>
    </row>
    <row r="123" spans="1:4" x14ac:dyDescent="0.3">
      <c r="A123">
        <v>67189571</v>
      </c>
      <c r="B123">
        <v>10128</v>
      </c>
      <c r="C123" t="s">
        <v>419</v>
      </c>
      <c r="D123" s="188" t="s">
        <v>8955</v>
      </c>
    </row>
    <row r="124" spans="1:4" x14ac:dyDescent="0.3">
      <c r="A124">
        <v>16437942</v>
      </c>
      <c r="B124">
        <v>10129</v>
      </c>
      <c r="C124" t="s">
        <v>1113</v>
      </c>
      <c r="D124" s="188" t="s">
        <v>8955</v>
      </c>
    </row>
    <row r="125" spans="1:4" x14ac:dyDescent="0.3">
      <c r="A125">
        <v>37749117</v>
      </c>
      <c r="B125">
        <v>10130</v>
      </c>
      <c r="C125" t="s">
        <v>420</v>
      </c>
      <c r="D125" s="188" t="s">
        <v>8955</v>
      </c>
    </row>
    <row r="126" spans="1:4" x14ac:dyDescent="0.3">
      <c r="A126">
        <v>34252774</v>
      </c>
      <c r="B126">
        <v>10131</v>
      </c>
      <c r="C126" t="s">
        <v>1071</v>
      </c>
      <c r="D126" s="188" t="s">
        <v>8955</v>
      </c>
    </row>
    <row r="127" spans="1:4" x14ac:dyDescent="0.3">
      <c r="A127">
        <v>39537518</v>
      </c>
      <c r="B127">
        <v>10132</v>
      </c>
      <c r="C127" t="s">
        <v>1185</v>
      </c>
      <c r="D127" s="188" t="s">
        <v>8955</v>
      </c>
    </row>
    <row r="128" spans="1:4" x14ac:dyDescent="0.3">
      <c r="A128">
        <v>38090597</v>
      </c>
      <c r="B128">
        <v>10133</v>
      </c>
      <c r="C128" t="s">
        <v>877</v>
      </c>
      <c r="D128" s="188" t="s">
        <v>8955</v>
      </c>
    </row>
    <row r="129" spans="1:4" x14ac:dyDescent="0.3">
      <c r="A129">
        <v>65120057</v>
      </c>
      <c r="B129">
        <v>10135</v>
      </c>
      <c r="C129" t="s">
        <v>421</v>
      </c>
      <c r="D129" s="188" t="s">
        <v>8955</v>
      </c>
    </row>
    <row r="130" spans="1:4" x14ac:dyDescent="0.3">
      <c r="A130">
        <v>4054398</v>
      </c>
      <c r="B130">
        <v>10136</v>
      </c>
      <c r="C130" t="s">
        <v>422</v>
      </c>
      <c r="D130" s="188" t="s">
        <v>8955</v>
      </c>
    </row>
    <row r="131" spans="1:4" x14ac:dyDescent="0.3">
      <c r="A131">
        <v>2501470</v>
      </c>
      <c r="B131">
        <v>10137</v>
      </c>
      <c r="C131" t="s">
        <v>423</v>
      </c>
      <c r="D131" s="188" t="s">
        <v>8955</v>
      </c>
    </row>
    <row r="132" spans="1:4" x14ac:dyDescent="0.3">
      <c r="A132">
        <v>40817926</v>
      </c>
      <c r="B132">
        <v>10141</v>
      </c>
      <c r="C132" t="s">
        <v>277</v>
      </c>
      <c r="D132" s="188" t="s">
        <v>8955</v>
      </c>
    </row>
    <row r="133" spans="1:4" x14ac:dyDescent="0.3">
      <c r="A133">
        <v>27215237</v>
      </c>
      <c r="B133">
        <v>10151</v>
      </c>
      <c r="C133" t="s">
        <v>424</v>
      </c>
      <c r="D133" s="188" t="s">
        <v>8955</v>
      </c>
    </row>
    <row r="134" spans="1:4" x14ac:dyDescent="0.3">
      <c r="A134">
        <v>18519781</v>
      </c>
      <c r="B134">
        <v>10152</v>
      </c>
      <c r="C134" t="s">
        <v>1136</v>
      </c>
      <c r="D134" s="188" t="s">
        <v>8955</v>
      </c>
    </row>
    <row r="135" spans="1:4" x14ac:dyDescent="0.3">
      <c r="A135">
        <v>7522191</v>
      </c>
      <c r="B135">
        <v>10153</v>
      </c>
      <c r="C135" t="s">
        <v>359</v>
      </c>
      <c r="D135" s="188" t="s">
        <v>8955</v>
      </c>
    </row>
    <row r="136" spans="1:4" x14ac:dyDescent="0.3">
      <c r="A136">
        <v>10343241</v>
      </c>
      <c r="B136">
        <v>10154</v>
      </c>
      <c r="C136" t="s">
        <v>619</v>
      </c>
      <c r="D136" s="188" t="s">
        <v>8955</v>
      </c>
    </row>
    <row r="137" spans="1:4" x14ac:dyDescent="0.3">
      <c r="A137">
        <v>41857780</v>
      </c>
      <c r="B137">
        <v>10155</v>
      </c>
      <c r="C137" t="s">
        <v>284</v>
      </c>
      <c r="D137" s="188" t="s">
        <v>8955</v>
      </c>
    </row>
    <row r="138" spans="1:4" x14ac:dyDescent="0.3">
      <c r="A138">
        <v>55624498</v>
      </c>
      <c r="B138">
        <v>10156</v>
      </c>
      <c r="C138" t="s">
        <v>430</v>
      </c>
      <c r="D138" s="188" t="s">
        <v>8955</v>
      </c>
    </row>
    <row r="139" spans="1:4" x14ac:dyDescent="0.3">
      <c r="A139">
        <v>33636393</v>
      </c>
      <c r="B139">
        <v>10157</v>
      </c>
      <c r="C139" t="s">
        <v>425</v>
      </c>
      <c r="D139" s="188" t="s">
        <v>8955</v>
      </c>
    </row>
    <row r="140" spans="1:4" x14ac:dyDescent="0.3">
      <c r="A140">
        <v>9542728</v>
      </c>
      <c r="B140">
        <v>10158</v>
      </c>
      <c r="C140" t="s">
        <v>426</v>
      </c>
      <c r="D140" s="188" t="s">
        <v>8955</v>
      </c>
    </row>
    <row r="141" spans="1:4" x14ac:dyDescent="0.3">
      <c r="A141">
        <v>2709449</v>
      </c>
      <c r="B141">
        <v>10160</v>
      </c>
      <c r="C141" t="s">
        <v>1075</v>
      </c>
      <c r="D141" s="188" t="s">
        <v>8955</v>
      </c>
    </row>
    <row r="142" spans="1:4" x14ac:dyDescent="0.3">
      <c r="A142">
        <v>10914634</v>
      </c>
      <c r="B142">
        <v>10161</v>
      </c>
      <c r="C142" t="s">
        <v>1025</v>
      </c>
      <c r="D142" s="188" t="s">
        <v>8955</v>
      </c>
    </row>
    <row r="143" spans="1:4" x14ac:dyDescent="0.3">
      <c r="A143">
        <v>10914634</v>
      </c>
      <c r="B143">
        <v>10162</v>
      </c>
      <c r="C143" t="s">
        <v>1026</v>
      </c>
      <c r="D143" s="188" t="s">
        <v>8955</v>
      </c>
    </row>
    <row r="144" spans="1:4" x14ac:dyDescent="0.3">
      <c r="A144">
        <v>346953</v>
      </c>
      <c r="B144">
        <v>10163</v>
      </c>
      <c r="C144" t="s">
        <v>427</v>
      </c>
      <c r="D144" s="188" t="s">
        <v>8955</v>
      </c>
    </row>
    <row r="145" spans="1:4" x14ac:dyDescent="0.3">
      <c r="A145">
        <v>17227422</v>
      </c>
      <c r="B145">
        <v>10164</v>
      </c>
      <c r="C145" t="s">
        <v>1130</v>
      </c>
      <c r="D145" s="188" t="s">
        <v>8955</v>
      </c>
    </row>
    <row r="146" spans="1:4" x14ac:dyDescent="0.3">
      <c r="A146">
        <v>17227422</v>
      </c>
      <c r="B146">
        <v>10165</v>
      </c>
      <c r="C146" t="s">
        <v>433</v>
      </c>
      <c r="D146" s="188" t="s">
        <v>8955</v>
      </c>
    </row>
    <row r="147" spans="1:4" x14ac:dyDescent="0.3">
      <c r="A147">
        <v>3862440</v>
      </c>
      <c r="B147">
        <v>10166</v>
      </c>
      <c r="C147" t="s">
        <v>1216</v>
      </c>
      <c r="D147" s="188" t="s">
        <v>8955</v>
      </c>
    </row>
    <row r="148" spans="1:4" x14ac:dyDescent="0.3">
      <c r="A148">
        <v>30487800</v>
      </c>
      <c r="B148">
        <v>10167</v>
      </c>
      <c r="C148" t="s">
        <v>1217</v>
      </c>
      <c r="D148" s="188" t="s">
        <v>8955</v>
      </c>
    </row>
    <row r="149" spans="1:4" x14ac:dyDescent="0.3">
      <c r="A149">
        <v>7134777</v>
      </c>
      <c r="B149">
        <v>10168</v>
      </c>
      <c r="C149" t="s">
        <v>428</v>
      </c>
      <c r="D149" s="188" t="s">
        <v>8955</v>
      </c>
    </row>
    <row r="150" spans="1:4" x14ac:dyDescent="0.3">
      <c r="A150">
        <v>17159856</v>
      </c>
      <c r="B150">
        <v>10169</v>
      </c>
      <c r="C150" t="s">
        <v>429</v>
      </c>
      <c r="D150" s="188" t="s">
        <v>8955</v>
      </c>
    </row>
    <row r="151" spans="1:4" x14ac:dyDescent="0.3">
      <c r="A151">
        <v>18776916</v>
      </c>
      <c r="B151">
        <v>10170</v>
      </c>
      <c r="C151" t="s">
        <v>454</v>
      </c>
      <c r="D151" s="188" t="s">
        <v>8955</v>
      </c>
    </row>
    <row r="152" spans="1:4" x14ac:dyDescent="0.3">
      <c r="A152">
        <v>18776916</v>
      </c>
      <c r="B152">
        <v>10171</v>
      </c>
      <c r="C152" t="s">
        <v>454</v>
      </c>
      <c r="D152" s="188" t="s">
        <v>8955</v>
      </c>
    </row>
    <row r="153" spans="1:4" x14ac:dyDescent="0.3">
      <c r="A153">
        <v>20675025</v>
      </c>
      <c r="B153">
        <v>10172</v>
      </c>
      <c r="C153" t="s">
        <v>277</v>
      </c>
      <c r="D153" s="188" t="s">
        <v>8955</v>
      </c>
    </row>
    <row r="154" spans="1:4" x14ac:dyDescent="0.3">
      <c r="A154">
        <v>20675025</v>
      </c>
      <c r="B154">
        <v>10173</v>
      </c>
      <c r="C154" t="s">
        <v>327</v>
      </c>
      <c r="D154" s="188" t="s">
        <v>8955</v>
      </c>
    </row>
    <row r="155" spans="1:4" x14ac:dyDescent="0.3">
      <c r="A155">
        <v>17147808</v>
      </c>
      <c r="B155">
        <v>10174</v>
      </c>
      <c r="C155" t="s">
        <v>436</v>
      </c>
      <c r="D155" s="188" t="s">
        <v>8955</v>
      </c>
    </row>
    <row r="156" spans="1:4" x14ac:dyDescent="0.3">
      <c r="A156">
        <v>91894774</v>
      </c>
      <c r="B156">
        <v>10175</v>
      </c>
      <c r="C156" t="s">
        <v>432</v>
      </c>
      <c r="D156" s="188" t="s">
        <v>8955</v>
      </c>
    </row>
    <row r="157" spans="1:4" x14ac:dyDescent="0.3">
      <c r="A157">
        <v>1743355</v>
      </c>
      <c r="B157">
        <v>10176</v>
      </c>
      <c r="C157" t="s">
        <v>535</v>
      </c>
      <c r="D157" s="188" t="s">
        <v>8955</v>
      </c>
    </row>
    <row r="158" spans="1:4" x14ac:dyDescent="0.3">
      <c r="A158">
        <v>40812533</v>
      </c>
      <c r="B158">
        <v>10177</v>
      </c>
      <c r="C158" t="s">
        <v>1137</v>
      </c>
      <c r="D158" s="188" t="s">
        <v>8955</v>
      </c>
    </row>
    <row r="159" spans="1:4" x14ac:dyDescent="0.3">
      <c r="A159">
        <v>23013443</v>
      </c>
      <c r="B159">
        <v>10178</v>
      </c>
      <c r="C159" t="s">
        <v>1115</v>
      </c>
      <c r="D159" s="188" t="s">
        <v>8955</v>
      </c>
    </row>
    <row r="160" spans="1:4" x14ac:dyDescent="0.3">
      <c r="A160">
        <v>3573571</v>
      </c>
      <c r="B160">
        <v>10179</v>
      </c>
      <c r="C160" t="s">
        <v>434</v>
      </c>
      <c r="D160" s="188" t="s">
        <v>8955</v>
      </c>
    </row>
    <row r="161" spans="1:4" x14ac:dyDescent="0.3">
      <c r="A161">
        <v>2973240</v>
      </c>
      <c r="B161">
        <v>10180</v>
      </c>
      <c r="C161" t="s">
        <v>1218</v>
      </c>
      <c r="D161" s="188" t="s">
        <v>8955</v>
      </c>
    </row>
    <row r="162" spans="1:4" x14ac:dyDescent="0.3">
      <c r="A162">
        <v>12162177</v>
      </c>
      <c r="B162">
        <v>10181</v>
      </c>
      <c r="C162" t="s">
        <v>1180</v>
      </c>
      <c r="D162" s="188" t="s">
        <v>8955</v>
      </c>
    </row>
    <row r="163" spans="1:4" x14ac:dyDescent="0.3">
      <c r="A163">
        <v>12162177</v>
      </c>
      <c r="B163">
        <v>10182</v>
      </c>
      <c r="C163" t="s">
        <v>1181</v>
      </c>
      <c r="D163" s="188" t="s">
        <v>8955</v>
      </c>
    </row>
    <row r="164" spans="1:4" x14ac:dyDescent="0.3">
      <c r="A164">
        <v>2966986</v>
      </c>
      <c r="B164">
        <v>10183</v>
      </c>
      <c r="C164" t="s">
        <v>1160</v>
      </c>
      <c r="D164" s="188" t="s">
        <v>8955</v>
      </c>
    </row>
    <row r="165" spans="1:4" x14ac:dyDescent="0.3">
      <c r="A165">
        <v>2966986</v>
      </c>
      <c r="B165">
        <v>10184</v>
      </c>
      <c r="C165" t="s">
        <v>1160</v>
      </c>
      <c r="D165" s="188" t="s">
        <v>8955</v>
      </c>
    </row>
    <row r="166" spans="1:4" x14ac:dyDescent="0.3">
      <c r="A166">
        <v>24057623</v>
      </c>
      <c r="B166">
        <v>10185</v>
      </c>
      <c r="C166" t="s">
        <v>292</v>
      </c>
      <c r="D166" s="188" t="s">
        <v>8955</v>
      </c>
    </row>
    <row r="167" spans="1:4" x14ac:dyDescent="0.3">
      <c r="A167">
        <v>29841654</v>
      </c>
      <c r="B167">
        <v>10186</v>
      </c>
      <c r="C167" t="s">
        <v>435</v>
      </c>
      <c r="D167" s="188" t="s">
        <v>8955</v>
      </c>
    </row>
    <row r="168" spans="1:4" x14ac:dyDescent="0.3">
      <c r="A168">
        <v>20104607</v>
      </c>
      <c r="B168">
        <v>10187</v>
      </c>
      <c r="C168" t="s">
        <v>303</v>
      </c>
      <c r="D168" s="188" t="s">
        <v>8955</v>
      </c>
    </row>
    <row r="169" spans="1:4" x14ac:dyDescent="0.3">
      <c r="A169">
        <v>29261229</v>
      </c>
      <c r="B169">
        <v>10188</v>
      </c>
      <c r="C169" t="s">
        <v>1084</v>
      </c>
      <c r="D169" s="188" t="s">
        <v>8955</v>
      </c>
    </row>
    <row r="170" spans="1:4" x14ac:dyDescent="0.3">
      <c r="A170">
        <v>61228940</v>
      </c>
      <c r="B170">
        <v>10189</v>
      </c>
      <c r="C170" t="s">
        <v>1142</v>
      </c>
      <c r="D170" s="188" t="s">
        <v>8955</v>
      </c>
    </row>
    <row r="171" spans="1:4" x14ac:dyDescent="0.3">
      <c r="A171">
        <v>20895965</v>
      </c>
      <c r="B171">
        <v>10190</v>
      </c>
      <c r="C171" t="s">
        <v>437</v>
      </c>
      <c r="D171" s="188" t="s">
        <v>8955</v>
      </c>
    </row>
    <row r="172" spans="1:4" x14ac:dyDescent="0.3">
      <c r="A172">
        <v>4025435640</v>
      </c>
      <c r="B172">
        <v>10191</v>
      </c>
      <c r="C172" t="s">
        <v>308</v>
      </c>
      <c r="D172" s="188" t="s">
        <v>8955</v>
      </c>
    </row>
    <row r="173" spans="1:4" x14ac:dyDescent="0.3">
      <c r="A173">
        <v>21261501</v>
      </c>
      <c r="B173">
        <v>10192</v>
      </c>
      <c r="C173" t="s">
        <v>439</v>
      </c>
      <c r="D173" s="188" t="s">
        <v>8955</v>
      </c>
    </row>
    <row r="174" spans="1:4" x14ac:dyDescent="0.3">
      <c r="A174">
        <v>55153704</v>
      </c>
      <c r="B174">
        <v>10193</v>
      </c>
      <c r="C174" t="s">
        <v>487</v>
      </c>
      <c r="D174" s="188" t="s">
        <v>8955</v>
      </c>
    </row>
    <row r="175" spans="1:4" x14ac:dyDescent="0.3">
      <c r="A175">
        <v>55153704</v>
      </c>
      <c r="B175">
        <v>10194</v>
      </c>
      <c r="C175" t="s">
        <v>1162</v>
      </c>
      <c r="D175" s="188" t="s">
        <v>8955</v>
      </c>
    </row>
    <row r="176" spans="1:4" x14ac:dyDescent="0.3">
      <c r="A176">
        <v>16587834</v>
      </c>
      <c r="B176">
        <v>10195</v>
      </c>
      <c r="C176" t="s">
        <v>440</v>
      </c>
      <c r="D176" s="188" t="s">
        <v>8955</v>
      </c>
    </row>
    <row r="177" spans="1:4" x14ac:dyDescent="0.3">
      <c r="A177">
        <v>21912402</v>
      </c>
      <c r="B177">
        <v>10196</v>
      </c>
      <c r="C177" t="s">
        <v>441</v>
      </c>
      <c r="D177" s="188" t="s">
        <v>8955</v>
      </c>
    </row>
    <row r="178" spans="1:4" x14ac:dyDescent="0.3">
      <c r="A178">
        <v>19368927</v>
      </c>
      <c r="B178">
        <v>10197</v>
      </c>
      <c r="C178" t="s">
        <v>442</v>
      </c>
      <c r="D178" s="188" t="s">
        <v>8955</v>
      </c>
    </row>
    <row r="179" spans="1:4" x14ac:dyDescent="0.3">
      <c r="A179">
        <v>63242473</v>
      </c>
      <c r="B179">
        <v>10198</v>
      </c>
      <c r="C179" t="s">
        <v>861</v>
      </c>
      <c r="D179" s="188" t="s">
        <v>8955</v>
      </c>
    </row>
    <row r="180" spans="1:4" x14ac:dyDescent="0.3">
      <c r="A180">
        <v>25046362</v>
      </c>
      <c r="B180">
        <v>10199</v>
      </c>
      <c r="C180" t="s">
        <v>468</v>
      </c>
      <c r="D180" s="188" t="s">
        <v>8955</v>
      </c>
    </row>
    <row r="181" spans="1:4" x14ac:dyDescent="0.3">
      <c r="A181">
        <v>18565382</v>
      </c>
      <c r="B181">
        <v>10200</v>
      </c>
      <c r="C181" t="s">
        <v>450</v>
      </c>
      <c r="D181" s="188" t="s">
        <v>8955</v>
      </c>
    </row>
    <row r="182" spans="1:4" x14ac:dyDescent="0.3">
      <c r="A182">
        <v>36065748</v>
      </c>
      <c r="B182">
        <v>10201</v>
      </c>
      <c r="C182" t="s">
        <v>443</v>
      </c>
      <c r="D182" s="188" t="s">
        <v>8955</v>
      </c>
    </row>
    <row r="183" spans="1:4" x14ac:dyDescent="0.3">
      <c r="A183">
        <v>29953833</v>
      </c>
      <c r="B183">
        <v>10202</v>
      </c>
      <c r="C183" t="s">
        <v>444</v>
      </c>
      <c r="D183" s="188" t="s">
        <v>8955</v>
      </c>
    </row>
    <row r="184" spans="1:4" x14ac:dyDescent="0.3">
      <c r="A184">
        <v>37514042</v>
      </c>
      <c r="B184">
        <v>10203</v>
      </c>
      <c r="C184" t="s">
        <v>1224</v>
      </c>
      <c r="D184" s="188" t="s">
        <v>8955</v>
      </c>
    </row>
    <row r="185" spans="1:4" x14ac:dyDescent="0.3">
      <c r="A185">
        <v>11155874</v>
      </c>
      <c r="B185">
        <v>10204</v>
      </c>
      <c r="C185" t="s">
        <v>274</v>
      </c>
      <c r="D185" s="188" t="s">
        <v>8955</v>
      </c>
    </row>
    <row r="186" spans="1:4" x14ac:dyDescent="0.3">
      <c r="A186">
        <v>29953833</v>
      </c>
      <c r="B186">
        <v>10205</v>
      </c>
      <c r="C186" t="s">
        <v>1200</v>
      </c>
      <c r="D186" s="188" t="s">
        <v>8955</v>
      </c>
    </row>
    <row r="187" spans="1:4" x14ac:dyDescent="0.3">
      <c r="A187">
        <v>22104045</v>
      </c>
      <c r="B187">
        <v>10206</v>
      </c>
      <c r="C187" t="s">
        <v>445</v>
      </c>
      <c r="D187" s="188" t="s">
        <v>8955</v>
      </c>
    </row>
    <row r="188" spans="1:4" x14ac:dyDescent="0.3">
      <c r="A188">
        <v>183256</v>
      </c>
      <c r="B188">
        <v>10210</v>
      </c>
      <c r="C188" t="s">
        <v>800</v>
      </c>
      <c r="D188" s="188" t="s">
        <v>8955</v>
      </c>
    </row>
    <row r="189" spans="1:4" x14ac:dyDescent="0.3">
      <c r="A189">
        <v>70930473604</v>
      </c>
      <c r="B189">
        <v>10211</v>
      </c>
      <c r="C189" t="s">
        <v>219</v>
      </c>
      <c r="D189" s="188" t="s">
        <v>8955</v>
      </c>
    </row>
    <row r="190" spans="1:4" x14ac:dyDescent="0.3">
      <c r="A190">
        <v>8104523</v>
      </c>
      <c r="B190">
        <v>10212</v>
      </c>
      <c r="C190" t="s">
        <v>446</v>
      </c>
      <c r="D190" s="188" t="s">
        <v>8955</v>
      </c>
    </row>
    <row r="191" spans="1:4" x14ac:dyDescent="0.3">
      <c r="A191">
        <v>31259563</v>
      </c>
      <c r="B191">
        <v>10213</v>
      </c>
      <c r="C191" t="s">
        <v>1031</v>
      </c>
      <c r="D191" s="188" t="s">
        <v>8955</v>
      </c>
    </row>
    <row r="192" spans="1:4" x14ac:dyDescent="0.3">
      <c r="A192">
        <v>27331222</v>
      </c>
      <c r="B192">
        <v>10214</v>
      </c>
      <c r="C192" t="s">
        <v>447</v>
      </c>
      <c r="D192" s="188" t="s">
        <v>8955</v>
      </c>
    </row>
    <row r="193" spans="1:4" x14ac:dyDescent="0.3">
      <c r="A193">
        <v>12402255</v>
      </c>
      <c r="B193">
        <v>10215</v>
      </c>
      <c r="C193" t="s">
        <v>1116</v>
      </c>
      <c r="D193" s="188" t="s">
        <v>8955</v>
      </c>
    </row>
    <row r="194" spans="1:4" x14ac:dyDescent="0.3">
      <c r="A194">
        <v>32516008</v>
      </c>
      <c r="B194">
        <v>10216</v>
      </c>
      <c r="C194" t="s">
        <v>1052</v>
      </c>
      <c r="D194" s="188" t="s">
        <v>8955</v>
      </c>
    </row>
    <row r="195" spans="1:4" x14ac:dyDescent="0.3">
      <c r="A195">
        <v>17069832</v>
      </c>
      <c r="B195">
        <v>10217</v>
      </c>
      <c r="C195" t="s">
        <v>904</v>
      </c>
      <c r="D195" s="188" t="s">
        <v>8955</v>
      </c>
    </row>
    <row r="196" spans="1:4" x14ac:dyDescent="0.3">
      <c r="A196">
        <v>43368422</v>
      </c>
      <c r="B196">
        <v>10218</v>
      </c>
      <c r="C196" t="s">
        <v>449</v>
      </c>
      <c r="D196" s="188" t="s">
        <v>8955</v>
      </c>
    </row>
    <row r="197" spans="1:4" x14ac:dyDescent="0.3">
      <c r="A197">
        <v>20959916</v>
      </c>
      <c r="B197">
        <v>10219</v>
      </c>
      <c r="C197" t="s">
        <v>448</v>
      </c>
      <c r="D197" s="188" t="s">
        <v>8955</v>
      </c>
    </row>
    <row r="198" spans="1:4" x14ac:dyDescent="0.3">
      <c r="A198">
        <v>35093275</v>
      </c>
      <c r="B198">
        <v>10220</v>
      </c>
      <c r="C198" t="s">
        <v>882</v>
      </c>
      <c r="D198" s="188" t="s">
        <v>8955</v>
      </c>
    </row>
    <row r="199" spans="1:4" x14ac:dyDescent="0.3">
      <c r="A199">
        <v>91894774</v>
      </c>
      <c r="B199">
        <v>10221</v>
      </c>
      <c r="C199" t="s">
        <v>452</v>
      </c>
      <c r="D199" s="188" t="s">
        <v>8955</v>
      </c>
    </row>
    <row r="200" spans="1:4" x14ac:dyDescent="0.3">
      <c r="A200">
        <v>28079936</v>
      </c>
      <c r="B200">
        <v>10222</v>
      </c>
      <c r="C200" t="s">
        <v>337</v>
      </c>
      <c r="D200" s="188" t="s">
        <v>8955</v>
      </c>
    </row>
    <row r="201" spans="1:4" x14ac:dyDescent="0.3">
      <c r="A201">
        <v>39236583</v>
      </c>
      <c r="B201">
        <v>10223</v>
      </c>
      <c r="C201" t="s">
        <v>451</v>
      </c>
      <c r="D201" s="188" t="s">
        <v>8955</v>
      </c>
    </row>
    <row r="202" spans="1:4" x14ac:dyDescent="0.3">
      <c r="A202">
        <v>41735412</v>
      </c>
      <c r="B202">
        <v>10224</v>
      </c>
      <c r="C202" t="s">
        <v>1055</v>
      </c>
      <c r="D202" s="188" t="s">
        <v>8955</v>
      </c>
    </row>
    <row r="203" spans="1:4" x14ac:dyDescent="0.3">
      <c r="A203">
        <v>41735412</v>
      </c>
      <c r="B203">
        <v>10225</v>
      </c>
      <c r="C203" t="s">
        <v>1055</v>
      </c>
      <c r="D203" s="188" t="s">
        <v>8955</v>
      </c>
    </row>
    <row r="204" spans="1:4" x14ac:dyDescent="0.3">
      <c r="A204">
        <v>2120261</v>
      </c>
      <c r="B204">
        <v>10226</v>
      </c>
      <c r="C204" t="s">
        <v>845</v>
      </c>
      <c r="D204" s="188" t="s">
        <v>8955</v>
      </c>
    </row>
    <row r="205" spans="1:4" x14ac:dyDescent="0.3">
      <c r="A205">
        <v>17317365</v>
      </c>
      <c r="B205">
        <v>10227</v>
      </c>
      <c r="C205" t="s">
        <v>1119</v>
      </c>
      <c r="D205" s="188" t="s">
        <v>8955</v>
      </c>
    </row>
    <row r="206" spans="1:4" x14ac:dyDescent="0.3">
      <c r="A206">
        <v>50400407</v>
      </c>
      <c r="B206">
        <v>10228</v>
      </c>
      <c r="C206" t="s">
        <v>456</v>
      </c>
      <c r="D206" s="188" t="s">
        <v>8955</v>
      </c>
    </row>
    <row r="207" spans="1:4" x14ac:dyDescent="0.3">
      <c r="A207">
        <v>30975347</v>
      </c>
      <c r="B207">
        <v>10229</v>
      </c>
      <c r="C207" t="s">
        <v>453</v>
      </c>
      <c r="D207" s="188" t="s">
        <v>8955</v>
      </c>
    </row>
    <row r="208" spans="1:4" x14ac:dyDescent="0.3">
      <c r="A208">
        <v>17193590</v>
      </c>
      <c r="B208">
        <v>10230</v>
      </c>
      <c r="C208" t="s">
        <v>345</v>
      </c>
      <c r="D208" s="188" t="s">
        <v>8955</v>
      </c>
    </row>
    <row r="209" spans="1:4" x14ac:dyDescent="0.3">
      <c r="A209">
        <v>3567288</v>
      </c>
      <c r="B209">
        <v>10231</v>
      </c>
      <c r="C209" t="s">
        <v>312</v>
      </c>
      <c r="D209" s="188" t="s">
        <v>8955</v>
      </c>
    </row>
    <row r="210" spans="1:4" x14ac:dyDescent="0.3">
      <c r="A210">
        <v>19979490</v>
      </c>
      <c r="B210">
        <v>10232</v>
      </c>
      <c r="C210" t="s">
        <v>310</v>
      </c>
      <c r="D210" s="188" t="s">
        <v>8955</v>
      </c>
    </row>
    <row r="211" spans="1:4" x14ac:dyDescent="0.3">
      <c r="A211">
        <v>37514042</v>
      </c>
      <c r="B211">
        <v>10233</v>
      </c>
      <c r="C211" t="s">
        <v>455</v>
      </c>
      <c r="D211" s="188" t="s">
        <v>8955</v>
      </c>
    </row>
    <row r="212" spans="1:4" x14ac:dyDescent="0.3">
      <c r="A212">
        <v>86808243</v>
      </c>
      <c r="B212">
        <v>10234</v>
      </c>
      <c r="C212" t="s">
        <v>318</v>
      </c>
      <c r="D212" s="188" t="s">
        <v>8955</v>
      </c>
    </row>
    <row r="213" spans="1:4" x14ac:dyDescent="0.3">
      <c r="A213">
        <v>86808243</v>
      </c>
      <c r="B213">
        <v>10235</v>
      </c>
      <c r="C213" t="s">
        <v>318</v>
      </c>
      <c r="D213" s="188" t="s">
        <v>8955</v>
      </c>
    </row>
    <row r="214" spans="1:4" x14ac:dyDescent="0.3">
      <c r="A214">
        <v>23834403</v>
      </c>
      <c r="B214">
        <v>10236</v>
      </c>
      <c r="C214" t="s">
        <v>318</v>
      </c>
      <c r="D214" s="188" t="s">
        <v>8955</v>
      </c>
    </row>
    <row r="215" spans="1:4" x14ac:dyDescent="0.3">
      <c r="A215">
        <v>17133361</v>
      </c>
      <c r="B215">
        <v>10238</v>
      </c>
      <c r="C215" t="s">
        <v>277</v>
      </c>
      <c r="D215" s="188" t="s">
        <v>8955</v>
      </c>
    </row>
    <row r="216" spans="1:4" x14ac:dyDescent="0.3">
      <c r="A216">
        <v>76518836</v>
      </c>
      <c r="B216">
        <v>10239</v>
      </c>
      <c r="C216" t="s">
        <v>1143</v>
      </c>
      <c r="D216" s="188" t="s">
        <v>8955</v>
      </c>
    </row>
    <row r="217" spans="1:4" x14ac:dyDescent="0.3">
      <c r="A217">
        <v>606549</v>
      </c>
      <c r="B217">
        <v>10239</v>
      </c>
      <c r="C217" t="s">
        <v>1143</v>
      </c>
      <c r="D217" s="188" t="s">
        <v>8955</v>
      </c>
    </row>
    <row r="218" spans="1:4" x14ac:dyDescent="0.3">
      <c r="A218">
        <v>2888032</v>
      </c>
      <c r="B218">
        <v>10240</v>
      </c>
      <c r="C218" t="s">
        <v>459</v>
      </c>
      <c r="D218" s="188" t="s">
        <v>8955</v>
      </c>
    </row>
    <row r="219" spans="1:4" x14ac:dyDescent="0.3">
      <c r="A219">
        <v>2888032</v>
      </c>
      <c r="B219">
        <v>10241</v>
      </c>
      <c r="C219" t="s">
        <v>459</v>
      </c>
      <c r="D219" s="188" t="s">
        <v>8955</v>
      </c>
    </row>
    <row r="220" spans="1:4" x14ac:dyDescent="0.3">
      <c r="A220">
        <v>2671904</v>
      </c>
      <c r="B220">
        <v>10242</v>
      </c>
      <c r="C220" t="s">
        <v>457</v>
      </c>
      <c r="D220" s="188" t="s">
        <v>8955</v>
      </c>
    </row>
    <row r="221" spans="1:4" x14ac:dyDescent="0.3">
      <c r="A221">
        <v>19235340</v>
      </c>
      <c r="B221">
        <v>10243</v>
      </c>
      <c r="C221" t="s">
        <v>458</v>
      </c>
      <c r="D221" s="188" t="s">
        <v>8955</v>
      </c>
    </row>
    <row r="222" spans="1:4" x14ac:dyDescent="0.3">
      <c r="A222">
        <v>83693366</v>
      </c>
      <c r="B222">
        <v>10244</v>
      </c>
      <c r="C222" t="s">
        <v>1201</v>
      </c>
      <c r="D222" s="188" t="s">
        <v>8955</v>
      </c>
    </row>
    <row r="223" spans="1:4" x14ac:dyDescent="0.3">
      <c r="A223">
        <v>1911689</v>
      </c>
      <c r="B223">
        <v>10245</v>
      </c>
      <c r="C223" t="s">
        <v>301</v>
      </c>
      <c r="D223" s="188" t="s">
        <v>8955</v>
      </c>
    </row>
    <row r="224" spans="1:4" x14ac:dyDescent="0.3">
      <c r="A224">
        <v>43862793</v>
      </c>
      <c r="B224">
        <v>10246</v>
      </c>
      <c r="C224" t="s">
        <v>536</v>
      </c>
      <c r="D224" s="188" t="s">
        <v>8955</v>
      </c>
    </row>
    <row r="225" spans="1:4" x14ac:dyDescent="0.3">
      <c r="A225">
        <v>78638061</v>
      </c>
      <c r="B225">
        <v>10247</v>
      </c>
      <c r="C225" t="s">
        <v>537</v>
      </c>
      <c r="D225" s="188" t="s">
        <v>8955</v>
      </c>
    </row>
    <row r="226" spans="1:4" x14ac:dyDescent="0.3">
      <c r="A226">
        <v>22104045</v>
      </c>
      <c r="B226">
        <v>10248</v>
      </c>
      <c r="C226" t="s">
        <v>460</v>
      </c>
      <c r="D226" s="188" t="s">
        <v>8955</v>
      </c>
    </row>
    <row r="227" spans="1:4" x14ac:dyDescent="0.3">
      <c r="A227">
        <v>86808243</v>
      </c>
      <c r="B227">
        <v>10249</v>
      </c>
      <c r="C227" t="s">
        <v>1138</v>
      </c>
      <c r="D227" s="188" t="s">
        <v>8955</v>
      </c>
    </row>
    <row r="228" spans="1:4" x14ac:dyDescent="0.3">
      <c r="A228">
        <v>41163645</v>
      </c>
      <c r="B228">
        <v>10250</v>
      </c>
      <c r="C228" t="s">
        <v>461</v>
      </c>
      <c r="D228" s="188" t="s">
        <v>8955</v>
      </c>
    </row>
    <row r="229" spans="1:4" x14ac:dyDescent="0.3">
      <c r="A229">
        <v>250131</v>
      </c>
      <c r="B229">
        <v>10251</v>
      </c>
      <c r="C229" t="s">
        <v>1098</v>
      </c>
      <c r="D229" s="188" t="s">
        <v>8955</v>
      </c>
    </row>
    <row r="230" spans="1:4" x14ac:dyDescent="0.3">
      <c r="A230">
        <v>4517241</v>
      </c>
      <c r="B230">
        <v>10252</v>
      </c>
      <c r="C230" t="s">
        <v>1144</v>
      </c>
      <c r="D230" s="188" t="s">
        <v>8955</v>
      </c>
    </row>
    <row r="231" spans="1:4" x14ac:dyDescent="0.3">
      <c r="A231">
        <v>4517241</v>
      </c>
      <c r="B231">
        <v>10253</v>
      </c>
      <c r="C231" t="s">
        <v>1145</v>
      </c>
      <c r="D231" s="188" t="s">
        <v>8955</v>
      </c>
    </row>
    <row r="232" spans="1:4" x14ac:dyDescent="0.3">
      <c r="A232">
        <v>4517241</v>
      </c>
      <c r="B232">
        <v>10254</v>
      </c>
      <c r="C232" t="s">
        <v>1146</v>
      </c>
      <c r="D232" s="188" t="s">
        <v>8955</v>
      </c>
    </row>
    <row r="233" spans="1:4" x14ac:dyDescent="0.3">
      <c r="A233">
        <v>76487222</v>
      </c>
      <c r="B233">
        <v>10255</v>
      </c>
      <c r="C233" t="s">
        <v>463</v>
      </c>
      <c r="D233" s="188" t="s">
        <v>8955</v>
      </c>
    </row>
    <row r="234" spans="1:4" x14ac:dyDescent="0.3">
      <c r="A234">
        <v>64945298</v>
      </c>
      <c r="B234">
        <v>10256</v>
      </c>
      <c r="C234" t="s">
        <v>462</v>
      </c>
      <c r="D234" s="188" t="s">
        <v>8955</v>
      </c>
    </row>
    <row r="235" spans="1:4" x14ac:dyDescent="0.3">
      <c r="A235">
        <v>4892580</v>
      </c>
      <c r="B235">
        <v>10257</v>
      </c>
      <c r="C235" t="s">
        <v>274</v>
      </c>
      <c r="D235" s="188" t="s">
        <v>8955</v>
      </c>
    </row>
    <row r="236" spans="1:4" x14ac:dyDescent="0.3">
      <c r="A236">
        <v>4892580</v>
      </c>
      <c r="B236">
        <v>10258</v>
      </c>
      <c r="C236" t="s">
        <v>274</v>
      </c>
      <c r="D236" s="188" t="s">
        <v>8955</v>
      </c>
    </row>
    <row r="237" spans="1:4" x14ac:dyDescent="0.3">
      <c r="A237">
        <v>4892580</v>
      </c>
      <c r="B237">
        <v>10259</v>
      </c>
      <c r="C237" t="s">
        <v>274</v>
      </c>
      <c r="D237" s="188" t="s">
        <v>8955</v>
      </c>
    </row>
    <row r="238" spans="1:4" x14ac:dyDescent="0.3">
      <c r="A238">
        <v>4892580</v>
      </c>
      <c r="B238">
        <v>10260</v>
      </c>
      <c r="C238" t="s">
        <v>274</v>
      </c>
      <c r="D238" s="188" t="s">
        <v>8955</v>
      </c>
    </row>
    <row r="239" spans="1:4" x14ac:dyDescent="0.3">
      <c r="A239">
        <v>4892580</v>
      </c>
      <c r="B239">
        <v>10261</v>
      </c>
      <c r="C239" t="s">
        <v>274</v>
      </c>
      <c r="D239" s="188" t="s">
        <v>8955</v>
      </c>
    </row>
    <row r="240" spans="1:4" x14ac:dyDescent="0.3">
      <c r="A240">
        <v>4892580</v>
      </c>
      <c r="B240">
        <v>10262</v>
      </c>
      <c r="C240" t="s">
        <v>274</v>
      </c>
      <c r="D240" s="188" t="s">
        <v>8955</v>
      </c>
    </row>
    <row r="241" spans="1:4" x14ac:dyDescent="0.3">
      <c r="A241">
        <v>46085486</v>
      </c>
      <c r="B241">
        <v>10263</v>
      </c>
      <c r="C241" t="s">
        <v>464</v>
      </c>
      <c r="D241" s="188" t="s">
        <v>8955</v>
      </c>
    </row>
    <row r="242" spans="1:4" x14ac:dyDescent="0.3">
      <c r="A242">
        <v>20651311</v>
      </c>
      <c r="B242">
        <v>10264</v>
      </c>
      <c r="C242" t="s">
        <v>465</v>
      </c>
      <c r="D242" s="188" t="s">
        <v>8955</v>
      </c>
    </row>
    <row r="243" spans="1:4" x14ac:dyDescent="0.3">
      <c r="A243">
        <v>64132277</v>
      </c>
      <c r="B243">
        <v>10265</v>
      </c>
      <c r="C243" t="s">
        <v>481</v>
      </c>
      <c r="D243" s="188" t="s">
        <v>8955</v>
      </c>
    </row>
    <row r="244" spans="1:4" x14ac:dyDescent="0.3">
      <c r="A244">
        <v>64132277</v>
      </c>
      <c r="B244">
        <v>10266</v>
      </c>
      <c r="C244" t="s">
        <v>481</v>
      </c>
      <c r="D244" s="188" t="s">
        <v>8955</v>
      </c>
    </row>
    <row r="245" spans="1:4" x14ac:dyDescent="0.3">
      <c r="A245">
        <v>11460271</v>
      </c>
      <c r="B245">
        <v>10267</v>
      </c>
      <c r="C245" t="s">
        <v>844</v>
      </c>
      <c r="D245" s="188" t="s">
        <v>8955</v>
      </c>
    </row>
    <row r="246" spans="1:4" x14ac:dyDescent="0.3">
      <c r="A246">
        <v>32909546</v>
      </c>
      <c r="B246">
        <v>10268</v>
      </c>
      <c r="C246" t="s">
        <v>466</v>
      </c>
      <c r="D246" s="188" t="s">
        <v>8955</v>
      </c>
    </row>
    <row r="247" spans="1:4" x14ac:dyDescent="0.3">
      <c r="A247">
        <v>5121685</v>
      </c>
      <c r="B247">
        <v>10269</v>
      </c>
      <c r="C247" t="s">
        <v>290</v>
      </c>
      <c r="D247" s="188" t="s">
        <v>8955</v>
      </c>
    </row>
    <row r="248" spans="1:4" x14ac:dyDescent="0.3">
      <c r="A248">
        <v>10759717</v>
      </c>
      <c r="B248">
        <v>10270</v>
      </c>
      <c r="C248" t="s">
        <v>318</v>
      </c>
      <c r="D248" s="188" t="s">
        <v>8955</v>
      </c>
    </row>
    <row r="249" spans="1:4" x14ac:dyDescent="0.3">
      <c r="A249">
        <v>5416618</v>
      </c>
      <c r="B249">
        <v>10271</v>
      </c>
      <c r="C249" t="s">
        <v>278</v>
      </c>
      <c r="D249" s="188" t="s">
        <v>8955</v>
      </c>
    </row>
    <row r="250" spans="1:4" x14ac:dyDescent="0.3">
      <c r="A250">
        <v>61142766</v>
      </c>
      <c r="B250">
        <v>10272</v>
      </c>
      <c r="C250" t="s">
        <v>467</v>
      </c>
      <c r="D250" s="188" t="s">
        <v>8955</v>
      </c>
    </row>
    <row r="251" spans="1:4" x14ac:dyDescent="0.3">
      <c r="A251">
        <v>5501201</v>
      </c>
      <c r="B251">
        <v>10273</v>
      </c>
      <c r="C251" t="s">
        <v>1108</v>
      </c>
      <c r="D251" s="188" t="s">
        <v>8955</v>
      </c>
    </row>
    <row r="252" spans="1:4" x14ac:dyDescent="0.3">
      <c r="A252">
        <v>29338892859</v>
      </c>
      <c r="B252">
        <v>10274</v>
      </c>
      <c r="C252" t="s">
        <v>1094</v>
      </c>
      <c r="D252" s="188" t="s">
        <v>8955</v>
      </c>
    </row>
    <row r="253" spans="1:4" x14ac:dyDescent="0.3">
      <c r="A253">
        <v>17185786</v>
      </c>
      <c r="B253">
        <v>10275</v>
      </c>
      <c r="C253" t="s">
        <v>1117</v>
      </c>
      <c r="D253" s="188" t="s">
        <v>8955</v>
      </c>
    </row>
    <row r="254" spans="1:4" x14ac:dyDescent="0.3">
      <c r="A254">
        <v>44753605</v>
      </c>
      <c r="B254">
        <v>10276</v>
      </c>
      <c r="C254" t="s">
        <v>281</v>
      </c>
      <c r="D254" s="188" t="s">
        <v>8955</v>
      </c>
    </row>
    <row r="255" spans="1:4" x14ac:dyDescent="0.3">
      <c r="A255">
        <v>25290339</v>
      </c>
      <c r="B255">
        <v>10277</v>
      </c>
      <c r="C255" t="s">
        <v>488</v>
      </c>
      <c r="D255" s="188" t="s">
        <v>8955</v>
      </c>
    </row>
    <row r="256" spans="1:4" x14ac:dyDescent="0.3">
      <c r="A256">
        <v>5642273</v>
      </c>
      <c r="B256">
        <v>10278</v>
      </c>
      <c r="C256" t="s">
        <v>1147</v>
      </c>
      <c r="D256" s="188" t="s">
        <v>8955</v>
      </c>
    </row>
    <row r="257" spans="1:4" x14ac:dyDescent="0.3">
      <c r="A257">
        <v>28481219</v>
      </c>
      <c r="B257">
        <v>10279</v>
      </c>
      <c r="C257" t="s">
        <v>1099</v>
      </c>
      <c r="D257" s="188" t="s">
        <v>8955</v>
      </c>
    </row>
    <row r="258" spans="1:4" x14ac:dyDescent="0.3">
      <c r="A258">
        <v>7939296</v>
      </c>
      <c r="B258">
        <v>10280</v>
      </c>
      <c r="C258" t="s">
        <v>1100</v>
      </c>
      <c r="D258" s="188" t="s">
        <v>8955</v>
      </c>
    </row>
    <row r="259" spans="1:4" x14ac:dyDescent="0.3">
      <c r="A259">
        <v>84138629220</v>
      </c>
      <c r="B259">
        <v>10281</v>
      </c>
      <c r="C259" t="s">
        <v>1085</v>
      </c>
      <c r="D259" s="188" t="s">
        <v>8955</v>
      </c>
    </row>
    <row r="260" spans="1:4" x14ac:dyDescent="0.3">
      <c r="A260">
        <v>34994783</v>
      </c>
      <c r="B260">
        <v>10282</v>
      </c>
      <c r="C260" t="s">
        <v>469</v>
      </c>
      <c r="D260" s="188" t="s">
        <v>8955</v>
      </c>
    </row>
    <row r="261" spans="1:4" x14ac:dyDescent="0.3">
      <c r="A261">
        <v>33633561</v>
      </c>
      <c r="B261">
        <v>10283</v>
      </c>
      <c r="C261" t="s">
        <v>1141</v>
      </c>
      <c r="D261" s="188" t="s">
        <v>8955</v>
      </c>
    </row>
    <row r="262" spans="1:4" x14ac:dyDescent="0.3">
      <c r="A262">
        <v>29111215</v>
      </c>
      <c r="B262">
        <v>10284</v>
      </c>
      <c r="C262" t="s">
        <v>271</v>
      </c>
      <c r="D262" s="188" t="s">
        <v>8955</v>
      </c>
    </row>
    <row r="263" spans="1:4" x14ac:dyDescent="0.3">
      <c r="A263">
        <v>31790710</v>
      </c>
      <c r="B263">
        <v>10285</v>
      </c>
      <c r="C263" t="s">
        <v>477</v>
      </c>
      <c r="D263" s="188" t="s">
        <v>8955</v>
      </c>
    </row>
    <row r="264" spans="1:4" x14ac:dyDescent="0.3">
      <c r="A264">
        <v>75904383</v>
      </c>
      <c r="B264">
        <v>10286</v>
      </c>
      <c r="C264" t="s">
        <v>470</v>
      </c>
      <c r="D264" s="188" t="s">
        <v>8955</v>
      </c>
    </row>
    <row r="265" spans="1:4" x14ac:dyDescent="0.3">
      <c r="A265">
        <v>41598268</v>
      </c>
      <c r="B265">
        <v>10287</v>
      </c>
      <c r="C265" t="s">
        <v>471</v>
      </c>
      <c r="D265" s="188" t="s">
        <v>8955</v>
      </c>
    </row>
    <row r="266" spans="1:4" x14ac:dyDescent="0.3">
      <c r="A266">
        <v>3254082</v>
      </c>
      <c r="B266">
        <v>10288</v>
      </c>
      <c r="C266" t="s">
        <v>274</v>
      </c>
      <c r="D266" s="188" t="s">
        <v>8955</v>
      </c>
    </row>
    <row r="267" spans="1:4" x14ac:dyDescent="0.3">
      <c r="A267">
        <v>3254082</v>
      </c>
      <c r="B267">
        <v>10289</v>
      </c>
      <c r="C267" t="s">
        <v>274</v>
      </c>
      <c r="D267" s="188" t="s">
        <v>8955</v>
      </c>
    </row>
    <row r="268" spans="1:4" x14ac:dyDescent="0.3">
      <c r="A268">
        <v>3254082</v>
      </c>
      <c r="B268">
        <v>10290</v>
      </c>
      <c r="C268" t="s">
        <v>274</v>
      </c>
      <c r="D268" s="188" t="s">
        <v>8955</v>
      </c>
    </row>
    <row r="269" spans="1:4" x14ac:dyDescent="0.3">
      <c r="A269">
        <v>10515785</v>
      </c>
      <c r="B269">
        <v>10291</v>
      </c>
      <c r="C269" t="s">
        <v>318</v>
      </c>
      <c r="D269" s="188" t="s">
        <v>8955</v>
      </c>
    </row>
    <row r="270" spans="1:4" x14ac:dyDescent="0.3">
      <c r="A270">
        <v>973749</v>
      </c>
      <c r="B270">
        <v>10292</v>
      </c>
      <c r="C270" t="s">
        <v>274</v>
      </c>
      <c r="D270" s="188" t="s">
        <v>8955</v>
      </c>
    </row>
    <row r="271" spans="1:4" x14ac:dyDescent="0.3">
      <c r="A271">
        <v>973749</v>
      </c>
      <c r="B271">
        <v>10293</v>
      </c>
      <c r="C271" t="s">
        <v>318</v>
      </c>
      <c r="D271" s="188" t="s">
        <v>8955</v>
      </c>
    </row>
    <row r="272" spans="1:4" x14ac:dyDescent="0.3">
      <c r="A272">
        <v>204874</v>
      </c>
      <c r="B272">
        <v>10294</v>
      </c>
      <c r="C272" t="s">
        <v>318</v>
      </c>
      <c r="D272" s="188" t="s">
        <v>8955</v>
      </c>
    </row>
    <row r="273" spans="1:4" x14ac:dyDescent="0.3">
      <c r="A273">
        <v>12453743</v>
      </c>
      <c r="B273">
        <v>10295</v>
      </c>
      <c r="C273" t="s">
        <v>318</v>
      </c>
      <c r="D273" s="188" t="s">
        <v>8955</v>
      </c>
    </row>
    <row r="274" spans="1:4" x14ac:dyDescent="0.3">
      <c r="A274">
        <v>12453743</v>
      </c>
      <c r="B274">
        <v>10296</v>
      </c>
      <c r="C274" t="s">
        <v>318</v>
      </c>
      <c r="D274" s="188" t="s">
        <v>8955</v>
      </c>
    </row>
    <row r="275" spans="1:4" x14ac:dyDescent="0.3">
      <c r="A275">
        <v>8892245</v>
      </c>
      <c r="B275">
        <v>10297</v>
      </c>
      <c r="C275" t="s">
        <v>318</v>
      </c>
      <c r="D275" s="188" t="s">
        <v>8955</v>
      </c>
    </row>
    <row r="276" spans="1:4" x14ac:dyDescent="0.3">
      <c r="A276">
        <v>26764536</v>
      </c>
      <c r="B276">
        <v>10298</v>
      </c>
      <c r="C276" t="s">
        <v>318</v>
      </c>
      <c r="D276" s="188" t="s">
        <v>8955</v>
      </c>
    </row>
    <row r="277" spans="1:4" x14ac:dyDescent="0.3">
      <c r="A277">
        <v>7792949</v>
      </c>
      <c r="B277">
        <v>10299</v>
      </c>
      <c r="C277" t="s">
        <v>274</v>
      </c>
      <c r="D277" s="188" t="s">
        <v>8955</v>
      </c>
    </row>
    <row r="278" spans="1:4" x14ac:dyDescent="0.3">
      <c r="A278">
        <v>7792949</v>
      </c>
      <c r="B278">
        <v>10300</v>
      </c>
      <c r="C278" t="s">
        <v>274</v>
      </c>
      <c r="D278" s="188" t="s">
        <v>8955</v>
      </c>
    </row>
    <row r="279" spans="1:4" x14ac:dyDescent="0.3">
      <c r="A279">
        <v>1084855</v>
      </c>
      <c r="B279">
        <v>10301</v>
      </c>
      <c r="C279" t="s">
        <v>274</v>
      </c>
      <c r="D279" s="188" t="s">
        <v>8955</v>
      </c>
    </row>
    <row r="280" spans="1:4" x14ac:dyDescent="0.3">
      <c r="A280">
        <v>1084855</v>
      </c>
      <c r="B280">
        <v>10302</v>
      </c>
      <c r="C280" t="s">
        <v>274</v>
      </c>
      <c r="D280" s="188" t="s">
        <v>8955</v>
      </c>
    </row>
    <row r="281" spans="1:4" x14ac:dyDescent="0.3">
      <c r="A281">
        <v>21109697</v>
      </c>
      <c r="B281">
        <v>10303</v>
      </c>
      <c r="C281" t="s">
        <v>472</v>
      </c>
      <c r="D281" s="188" t="s">
        <v>8955</v>
      </c>
    </row>
    <row r="282" spans="1:4" x14ac:dyDescent="0.3">
      <c r="A282">
        <v>38090597</v>
      </c>
      <c r="B282">
        <v>10304</v>
      </c>
      <c r="C282" t="s">
        <v>274</v>
      </c>
      <c r="D282" s="188" t="s">
        <v>8955</v>
      </c>
    </row>
    <row r="283" spans="1:4" x14ac:dyDescent="0.3">
      <c r="A283">
        <v>38090597</v>
      </c>
      <c r="B283">
        <v>10305</v>
      </c>
      <c r="C283" t="s">
        <v>274</v>
      </c>
      <c r="D283" s="188" t="s">
        <v>8955</v>
      </c>
    </row>
    <row r="284" spans="1:4" x14ac:dyDescent="0.3">
      <c r="A284">
        <v>3862440</v>
      </c>
      <c r="B284">
        <v>10306</v>
      </c>
      <c r="C284" t="s">
        <v>274</v>
      </c>
      <c r="D284" s="188" t="s">
        <v>8955</v>
      </c>
    </row>
    <row r="285" spans="1:4" x14ac:dyDescent="0.3">
      <c r="A285">
        <v>30487800</v>
      </c>
      <c r="B285">
        <v>10307</v>
      </c>
      <c r="C285" t="s">
        <v>274</v>
      </c>
      <c r="D285" s="188" t="s">
        <v>8955</v>
      </c>
    </row>
    <row r="286" spans="1:4" x14ac:dyDescent="0.3">
      <c r="A286">
        <v>4169215</v>
      </c>
      <c r="B286">
        <v>10308</v>
      </c>
      <c r="C286" t="s">
        <v>274</v>
      </c>
      <c r="D286" s="188" t="s">
        <v>8955</v>
      </c>
    </row>
    <row r="287" spans="1:4" x14ac:dyDescent="0.3">
      <c r="A287">
        <v>989304</v>
      </c>
      <c r="B287">
        <v>10309</v>
      </c>
      <c r="C287" t="s">
        <v>1302</v>
      </c>
      <c r="D287" s="188" t="s">
        <v>8955</v>
      </c>
    </row>
    <row r="288" spans="1:4" x14ac:dyDescent="0.3">
      <c r="A288">
        <v>989304</v>
      </c>
      <c r="B288">
        <v>10310</v>
      </c>
      <c r="C288" t="s">
        <v>318</v>
      </c>
      <c r="D288" s="188" t="s">
        <v>8955</v>
      </c>
    </row>
    <row r="289" spans="1:4" x14ac:dyDescent="0.3">
      <c r="A289">
        <v>2580316</v>
      </c>
      <c r="B289">
        <v>10311</v>
      </c>
      <c r="C289" t="s">
        <v>274</v>
      </c>
      <c r="D289" s="188" t="s">
        <v>8955</v>
      </c>
    </row>
    <row r="290" spans="1:4" x14ac:dyDescent="0.3">
      <c r="A290">
        <v>7134777</v>
      </c>
      <c r="B290">
        <v>10312</v>
      </c>
      <c r="C290" t="s">
        <v>297</v>
      </c>
      <c r="D290" s="188" t="s">
        <v>8955</v>
      </c>
    </row>
    <row r="291" spans="1:4" x14ac:dyDescent="0.3">
      <c r="A291">
        <v>31733363</v>
      </c>
      <c r="B291">
        <v>10313</v>
      </c>
      <c r="C291" t="s">
        <v>473</v>
      </c>
      <c r="D291" s="188" t="s">
        <v>8955</v>
      </c>
    </row>
    <row r="292" spans="1:4" x14ac:dyDescent="0.3">
      <c r="A292">
        <v>36902048</v>
      </c>
      <c r="B292">
        <v>10314</v>
      </c>
      <c r="C292" t="s">
        <v>268</v>
      </c>
      <c r="D292" s="188" t="s">
        <v>8955</v>
      </c>
    </row>
    <row r="293" spans="1:4" x14ac:dyDescent="0.3">
      <c r="A293">
        <v>11844099</v>
      </c>
      <c r="B293">
        <v>10315</v>
      </c>
      <c r="C293" t="s">
        <v>474</v>
      </c>
      <c r="D293" s="188" t="s">
        <v>8955</v>
      </c>
    </row>
    <row r="294" spans="1:4" x14ac:dyDescent="0.3">
      <c r="A294">
        <v>17855027</v>
      </c>
      <c r="B294">
        <v>10316</v>
      </c>
      <c r="C294" t="s">
        <v>274</v>
      </c>
      <c r="D294" s="188" t="s">
        <v>8955</v>
      </c>
    </row>
    <row r="295" spans="1:4" x14ac:dyDescent="0.3">
      <c r="A295">
        <v>33931478</v>
      </c>
      <c r="B295">
        <v>10317</v>
      </c>
      <c r="C295" t="s">
        <v>699</v>
      </c>
      <c r="D295" s="188" t="s">
        <v>8955</v>
      </c>
    </row>
    <row r="296" spans="1:4" x14ac:dyDescent="0.3">
      <c r="A296">
        <v>18565382</v>
      </c>
      <c r="B296">
        <v>10318</v>
      </c>
      <c r="C296" t="s">
        <v>847</v>
      </c>
      <c r="D296" s="188" t="s">
        <v>8955</v>
      </c>
    </row>
    <row r="297" spans="1:4" x14ac:dyDescent="0.3">
      <c r="A297">
        <v>46588950</v>
      </c>
      <c r="B297">
        <v>10319</v>
      </c>
      <c r="C297" t="s">
        <v>475</v>
      </c>
      <c r="D297" s="188" t="s">
        <v>8955</v>
      </c>
    </row>
    <row r="298" spans="1:4" x14ac:dyDescent="0.3">
      <c r="A298">
        <v>38612738</v>
      </c>
      <c r="B298">
        <v>10320</v>
      </c>
      <c r="C298" t="s">
        <v>476</v>
      </c>
      <c r="D298" s="188" t="s">
        <v>8955</v>
      </c>
    </row>
    <row r="299" spans="1:4" x14ac:dyDescent="0.3">
      <c r="A299">
        <v>64424401</v>
      </c>
      <c r="B299">
        <v>10321</v>
      </c>
      <c r="C299" t="s">
        <v>478</v>
      </c>
      <c r="D299" s="188" t="s">
        <v>8955</v>
      </c>
    </row>
    <row r="300" spans="1:4" x14ac:dyDescent="0.3">
      <c r="A300">
        <v>8764612</v>
      </c>
      <c r="B300">
        <v>10322</v>
      </c>
      <c r="C300" t="s">
        <v>480</v>
      </c>
      <c r="D300" s="188" t="s">
        <v>8955</v>
      </c>
    </row>
    <row r="301" spans="1:4" x14ac:dyDescent="0.3">
      <c r="A301">
        <v>14688220</v>
      </c>
      <c r="B301">
        <v>10323</v>
      </c>
      <c r="C301" t="s">
        <v>479</v>
      </c>
      <c r="D301" s="188" t="s">
        <v>8955</v>
      </c>
    </row>
    <row r="302" spans="1:4" x14ac:dyDescent="0.3">
      <c r="A302">
        <v>16594889</v>
      </c>
      <c r="B302">
        <v>10324</v>
      </c>
      <c r="C302" t="s">
        <v>887</v>
      </c>
      <c r="D302" s="188" t="s">
        <v>8955</v>
      </c>
    </row>
    <row r="303" spans="1:4" x14ac:dyDescent="0.3">
      <c r="A303">
        <v>29692829</v>
      </c>
      <c r="B303">
        <v>10325</v>
      </c>
      <c r="C303" t="s">
        <v>842</v>
      </c>
      <c r="D303" s="188" t="s">
        <v>8955</v>
      </c>
    </row>
    <row r="304" spans="1:4" x14ac:dyDescent="0.3">
      <c r="A304">
        <v>51930986653</v>
      </c>
      <c r="B304">
        <v>10326</v>
      </c>
      <c r="C304" t="s">
        <v>318</v>
      </c>
      <c r="D304" s="188" t="s">
        <v>8955</v>
      </c>
    </row>
    <row r="305" spans="1:4" x14ac:dyDescent="0.3">
      <c r="A305">
        <v>51930986653</v>
      </c>
      <c r="B305">
        <v>10327</v>
      </c>
      <c r="C305" t="s">
        <v>1072</v>
      </c>
      <c r="D305" s="188" t="s">
        <v>8955</v>
      </c>
    </row>
    <row r="306" spans="1:4" x14ac:dyDescent="0.3">
      <c r="A306">
        <v>28917748</v>
      </c>
      <c r="B306">
        <v>10328</v>
      </c>
      <c r="C306" t="s">
        <v>1101</v>
      </c>
      <c r="D306" s="188" t="s">
        <v>8955</v>
      </c>
    </row>
    <row r="307" spans="1:4" x14ac:dyDescent="0.3">
      <c r="A307">
        <v>37608361</v>
      </c>
      <c r="B307">
        <v>10329</v>
      </c>
      <c r="C307" t="s">
        <v>482</v>
      </c>
      <c r="D307" s="188" t="s">
        <v>8955</v>
      </c>
    </row>
    <row r="308" spans="1:4" x14ac:dyDescent="0.3">
      <c r="A308">
        <v>10956612</v>
      </c>
      <c r="B308">
        <v>10330</v>
      </c>
      <c r="C308" t="s">
        <v>335</v>
      </c>
      <c r="D308" s="188" t="s">
        <v>8955</v>
      </c>
    </row>
    <row r="309" spans="1:4" x14ac:dyDescent="0.3">
      <c r="A309">
        <v>10956612</v>
      </c>
      <c r="B309">
        <v>10331</v>
      </c>
      <c r="C309" t="s">
        <v>318</v>
      </c>
      <c r="D309" s="188" t="s">
        <v>8955</v>
      </c>
    </row>
    <row r="310" spans="1:4" x14ac:dyDescent="0.3">
      <c r="A310">
        <v>7461113</v>
      </c>
      <c r="B310">
        <v>10332</v>
      </c>
      <c r="C310" t="s">
        <v>1219</v>
      </c>
      <c r="D310" s="188" t="s">
        <v>8955</v>
      </c>
    </row>
    <row r="311" spans="1:4" x14ac:dyDescent="0.3">
      <c r="A311">
        <v>57559387</v>
      </c>
      <c r="B311">
        <v>10333</v>
      </c>
      <c r="C311" t="s">
        <v>1053</v>
      </c>
      <c r="D311" s="188" t="s">
        <v>8955</v>
      </c>
    </row>
    <row r="312" spans="1:4" x14ac:dyDescent="0.3">
      <c r="A312">
        <v>17255696</v>
      </c>
      <c r="B312">
        <v>10334</v>
      </c>
      <c r="C312" t="s">
        <v>483</v>
      </c>
      <c r="D312" s="188" t="s">
        <v>8955</v>
      </c>
    </row>
    <row r="313" spans="1:4" x14ac:dyDescent="0.3">
      <c r="A313">
        <v>67945071</v>
      </c>
      <c r="B313">
        <v>10335</v>
      </c>
      <c r="C313" t="s">
        <v>540</v>
      </c>
      <c r="D313" s="188" t="s">
        <v>8955</v>
      </c>
    </row>
    <row r="314" spans="1:4" x14ac:dyDescent="0.3">
      <c r="A314">
        <v>11144668</v>
      </c>
      <c r="B314">
        <v>10336</v>
      </c>
      <c r="C314" t="s">
        <v>1149</v>
      </c>
      <c r="D314" s="188" t="s">
        <v>8955</v>
      </c>
    </row>
    <row r="315" spans="1:4" x14ac:dyDescent="0.3">
      <c r="A315">
        <v>20098146</v>
      </c>
      <c r="B315">
        <v>10337</v>
      </c>
      <c r="C315" t="s">
        <v>274</v>
      </c>
      <c r="D315" s="188" t="s">
        <v>8955</v>
      </c>
    </row>
    <row r="316" spans="1:4" x14ac:dyDescent="0.3">
      <c r="A316">
        <v>20098146</v>
      </c>
      <c r="B316">
        <v>10338</v>
      </c>
      <c r="C316" t="s">
        <v>274</v>
      </c>
      <c r="D316" s="188" t="s">
        <v>8955</v>
      </c>
    </row>
    <row r="317" spans="1:4" x14ac:dyDescent="0.3">
      <c r="A317">
        <v>80450261204</v>
      </c>
      <c r="B317">
        <v>10339</v>
      </c>
      <c r="C317" t="s">
        <v>1220</v>
      </c>
      <c r="D317" s="188" t="s">
        <v>8955</v>
      </c>
    </row>
    <row r="318" spans="1:4" x14ac:dyDescent="0.3">
      <c r="A318">
        <v>9508234</v>
      </c>
      <c r="B318">
        <v>10340</v>
      </c>
      <c r="C318" t="s">
        <v>484</v>
      </c>
      <c r="D318" s="188" t="s">
        <v>8955</v>
      </c>
    </row>
    <row r="319" spans="1:4" x14ac:dyDescent="0.3">
      <c r="A319">
        <v>5620585</v>
      </c>
      <c r="B319">
        <v>10341</v>
      </c>
      <c r="C319" t="s">
        <v>298</v>
      </c>
      <c r="D319" s="188" t="s">
        <v>8955</v>
      </c>
    </row>
    <row r="320" spans="1:4" x14ac:dyDescent="0.3">
      <c r="A320">
        <v>61327904</v>
      </c>
      <c r="B320">
        <v>10342</v>
      </c>
      <c r="C320" t="s">
        <v>485</v>
      </c>
      <c r="D320" s="188" t="s">
        <v>8955</v>
      </c>
    </row>
    <row r="321" spans="1:4" x14ac:dyDescent="0.3">
      <c r="A321">
        <v>42664883</v>
      </c>
      <c r="B321">
        <v>10343</v>
      </c>
      <c r="C321" t="s">
        <v>353</v>
      </c>
      <c r="D321" s="188" t="s">
        <v>8955</v>
      </c>
    </row>
    <row r="322" spans="1:4" x14ac:dyDescent="0.3">
      <c r="A322">
        <v>37051270125</v>
      </c>
      <c r="B322">
        <v>10344</v>
      </c>
      <c r="C322" t="s">
        <v>486</v>
      </c>
      <c r="D322" s="188" t="s">
        <v>8955</v>
      </c>
    </row>
    <row r="323" spans="1:4" x14ac:dyDescent="0.3">
      <c r="A323">
        <v>393826</v>
      </c>
      <c r="B323">
        <v>10345</v>
      </c>
      <c r="C323" t="s">
        <v>489</v>
      </c>
      <c r="D323" s="188" t="s">
        <v>8955</v>
      </c>
    </row>
    <row r="324" spans="1:4" x14ac:dyDescent="0.3">
      <c r="A324">
        <v>31282126</v>
      </c>
      <c r="B324">
        <v>10346</v>
      </c>
      <c r="C324" t="s">
        <v>490</v>
      </c>
      <c r="D324" s="188" t="s">
        <v>8955</v>
      </c>
    </row>
    <row r="325" spans="1:4" x14ac:dyDescent="0.3">
      <c r="A325">
        <v>9236617</v>
      </c>
      <c r="B325">
        <v>10347</v>
      </c>
      <c r="C325" t="s">
        <v>930</v>
      </c>
      <c r="D325" s="188" t="s">
        <v>8955</v>
      </c>
    </row>
    <row r="326" spans="1:4" x14ac:dyDescent="0.3">
      <c r="A326">
        <v>18631739</v>
      </c>
      <c r="B326">
        <v>10348</v>
      </c>
      <c r="C326" t="s">
        <v>1148</v>
      </c>
      <c r="D326" s="188" t="s">
        <v>8955</v>
      </c>
    </row>
    <row r="327" spans="1:4" x14ac:dyDescent="0.3">
      <c r="A327">
        <v>37361707</v>
      </c>
      <c r="B327">
        <v>10349</v>
      </c>
      <c r="C327" t="s">
        <v>139</v>
      </c>
      <c r="D327" s="188" t="s">
        <v>8955</v>
      </c>
    </row>
    <row r="328" spans="1:4" x14ac:dyDescent="0.3">
      <c r="A328">
        <v>19389711</v>
      </c>
      <c r="B328">
        <v>10359</v>
      </c>
      <c r="C328" t="s">
        <v>1038</v>
      </c>
      <c r="D328" s="188" t="s">
        <v>8955</v>
      </c>
    </row>
    <row r="329" spans="1:4" x14ac:dyDescent="0.3">
      <c r="A329">
        <v>44441821</v>
      </c>
      <c r="B329">
        <v>10360</v>
      </c>
      <c r="C329" t="s">
        <v>491</v>
      </c>
      <c r="D329" s="188" t="s">
        <v>8955</v>
      </c>
    </row>
    <row r="330" spans="1:4" x14ac:dyDescent="0.3">
      <c r="A330">
        <v>44764288</v>
      </c>
      <c r="B330">
        <v>10361</v>
      </c>
      <c r="C330" t="s">
        <v>309</v>
      </c>
      <c r="D330" s="188" t="s">
        <v>8955</v>
      </c>
    </row>
    <row r="331" spans="1:4" x14ac:dyDescent="0.3">
      <c r="A331">
        <v>8769549</v>
      </c>
      <c r="B331">
        <v>10362</v>
      </c>
      <c r="C331" t="s">
        <v>329</v>
      </c>
      <c r="D331" s="188" t="s">
        <v>8955</v>
      </c>
    </row>
    <row r="332" spans="1:4" x14ac:dyDescent="0.3">
      <c r="A332">
        <v>47419874</v>
      </c>
      <c r="B332">
        <v>10366</v>
      </c>
      <c r="C332" t="s">
        <v>1091</v>
      </c>
      <c r="D332" s="188" t="s">
        <v>8955</v>
      </c>
    </row>
    <row r="333" spans="1:4" x14ac:dyDescent="0.3">
      <c r="A333">
        <v>31783830</v>
      </c>
      <c r="B333">
        <v>10367</v>
      </c>
      <c r="C333" t="s">
        <v>597</v>
      </c>
      <c r="D333" s="188" t="s">
        <v>8955</v>
      </c>
    </row>
    <row r="334" spans="1:4" x14ac:dyDescent="0.3">
      <c r="A334">
        <v>4039255</v>
      </c>
      <c r="B334">
        <v>10368</v>
      </c>
      <c r="C334" t="s">
        <v>492</v>
      </c>
      <c r="D334" s="188" t="s">
        <v>8955</v>
      </c>
    </row>
    <row r="335" spans="1:4" x14ac:dyDescent="0.3">
      <c r="A335">
        <v>19504306</v>
      </c>
      <c r="B335">
        <v>10369</v>
      </c>
      <c r="C335" t="s">
        <v>493</v>
      </c>
      <c r="D335" s="188" t="s">
        <v>8955</v>
      </c>
    </row>
    <row r="336" spans="1:4" x14ac:dyDescent="0.3">
      <c r="A336">
        <v>5456420</v>
      </c>
      <c r="B336">
        <v>10370</v>
      </c>
      <c r="C336" t="s">
        <v>496</v>
      </c>
      <c r="D336" s="188" t="s">
        <v>8955</v>
      </c>
    </row>
    <row r="337" spans="1:4" x14ac:dyDescent="0.3">
      <c r="A337">
        <v>43035146</v>
      </c>
      <c r="B337">
        <v>10371</v>
      </c>
      <c r="C337" t="s">
        <v>494</v>
      </c>
      <c r="D337" s="188" t="s">
        <v>8955</v>
      </c>
    </row>
    <row r="338" spans="1:4" x14ac:dyDescent="0.3">
      <c r="A338">
        <v>19674909</v>
      </c>
      <c r="B338">
        <v>10372</v>
      </c>
      <c r="C338" t="s">
        <v>894</v>
      </c>
      <c r="D338" s="188" t="s">
        <v>8955</v>
      </c>
    </row>
    <row r="339" spans="1:4" x14ac:dyDescent="0.3">
      <c r="A339">
        <v>23395557</v>
      </c>
      <c r="B339">
        <v>10373</v>
      </c>
      <c r="C339" t="s">
        <v>495</v>
      </c>
      <c r="D339" s="188" t="s">
        <v>8955</v>
      </c>
    </row>
    <row r="340" spans="1:4" x14ac:dyDescent="0.3">
      <c r="A340">
        <v>17185786</v>
      </c>
      <c r="B340">
        <v>10374</v>
      </c>
      <c r="C340" t="s">
        <v>274</v>
      </c>
      <c r="D340" s="188" t="s">
        <v>8955</v>
      </c>
    </row>
    <row r="341" spans="1:4" x14ac:dyDescent="0.3">
      <c r="A341">
        <v>17185786</v>
      </c>
      <c r="B341">
        <v>10375</v>
      </c>
      <c r="C341" t="s">
        <v>274</v>
      </c>
      <c r="D341" s="188" t="s">
        <v>8955</v>
      </c>
    </row>
    <row r="342" spans="1:4" x14ac:dyDescent="0.3">
      <c r="A342">
        <v>17185786</v>
      </c>
      <c r="B342">
        <v>10376</v>
      </c>
      <c r="C342" t="s">
        <v>274</v>
      </c>
      <c r="D342" s="188" t="s">
        <v>8955</v>
      </c>
    </row>
    <row r="343" spans="1:4" x14ac:dyDescent="0.3">
      <c r="A343">
        <v>17185786</v>
      </c>
      <c r="B343">
        <v>10377</v>
      </c>
      <c r="C343" t="s">
        <v>274</v>
      </c>
      <c r="D343" s="188" t="s">
        <v>8955</v>
      </c>
    </row>
    <row r="344" spans="1:4" x14ac:dyDescent="0.3">
      <c r="A344">
        <v>17185786</v>
      </c>
      <c r="B344">
        <v>10378</v>
      </c>
      <c r="C344" t="s">
        <v>274</v>
      </c>
      <c r="D344" s="188" t="s">
        <v>8955</v>
      </c>
    </row>
    <row r="345" spans="1:4" x14ac:dyDescent="0.3">
      <c r="A345">
        <v>17185786</v>
      </c>
      <c r="B345">
        <v>10379</v>
      </c>
      <c r="C345" t="s">
        <v>274</v>
      </c>
      <c r="D345" s="188" t="s">
        <v>8955</v>
      </c>
    </row>
    <row r="346" spans="1:4" x14ac:dyDescent="0.3">
      <c r="A346">
        <v>17185786</v>
      </c>
      <c r="B346">
        <v>10380</v>
      </c>
      <c r="C346" t="s">
        <v>274</v>
      </c>
      <c r="D346" s="188" t="s">
        <v>8955</v>
      </c>
    </row>
    <row r="347" spans="1:4" x14ac:dyDescent="0.3">
      <c r="A347">
        <v>17185786</v>
      </c>
      <c r="B347">
        <v>10381</v>
      </c>
      <c r="C347" t="s">
        <v>274</v>
      </c>
      <c r="D347" s="188" t="s">
        <v>8955</v>
      </c>
    </row>
    <row r="348" spans="1:4" x14ac:dyDescent="0.3">
      <c r="A348">
        <v>29255877</v>
      </c>
      <c r="B348">
        <v>10382</v>
      </c>
      <c r="C348" t="s">
        <v>376</v>
      </c>
      <c r="D348" s="188" t="s">
        <v>8955</v>
      </c>
    </row>
    <row r="349" spans="1:4" x14ac:dyDescent="0.3">
      <c r="A349">
        <v>10792928</v>
      </c>
      <c r="B349">
        <v>10383</v>
      </c>
      <c r="C349" t="s">
        <v>1118</v>
      </c>
      <c r="D349" s="188" t="s">
        <v>8955</v>
      </c>
    </row>
    <row r="350" spans="1:4" x14ac:dyDescent="0.3">
      <c r="A350">
        <v>14448260</v>
      </c>
      <c r="B350">
        <v>10384</v>
      </c>
      <c r="C350" t="s">
        <v>497</v>
      </c>
      <c r="D350" s="188" t="s">
        <v>8955</v>
      </c>
    </row>
    <row r="351" spans="1:4" x14ac:dyDescent="0.3">
      <c r="A351">
        <v>3057776</v>
      </c>
      <c r="B351">
        <v>10385</v>
      </c>
      <c r="C351" t="s">
        <v>1150</v>
      </c>
      <c r="D351" s="188" t="s">
        <v>8955</v>
      </c>
    </row>
    <row r="352" spans="1:4" x14ac:dyDescent="0.3">
      <c r="A352">
        <v>24447770</v>
      </c>
      <c r="B352">
        <v>10386</v>
      </c>
      <c r="C352" t="s">
        <v>369</v>
      </c>
      <c r="D352" s="188" t="s">
        <v>8955</v>
      </c>
    </row>
    <row r="353" spans="1:4" x14ac:dyDescent="0.3">
      <c r="A353">
        <v>42428440</v>
      </c>
      <c r="B353">
        <v>10387</v>
      </c>
      <c r="C353" t="s">
        <v>1151</v>
      </c>
      <c r="D353" s="188" t="s">
        <v>8955</v>
      </c>
    </row>
    <row r="354" spans="1:4" x14ac:dyDescent="0.3">
      <c r="A354">
        <v>4017545</v>
      </c>
      <c r="B354">
        <v>10388</v>
      </c>
      <c r="C354" t="s">
        <v>498</v>
      </c>
      <c r="D354" s="188" t="s">
        <v>8955</v>
      </c>
    </row>
    <row r="355" spans="1:4" x14ac:dyDescent="0.3">
      <c r="A355">
        <v>47888128</v>
      </c>
      <c r="B355">
        <v>10389</v>
      </c>
      <c r="C355" t="s">
        <v>382</v>
      </c>
      <c r="D355" s="188" t="s">
        <v>8955</v>
      </c>
    </row>
    <row r="356" spans="1:4" x14ac:dyDescent="0.3">
      <c r="A356">
        <v>42150391</v>
      </c>
      <c r="B356">
        <v>10390</v>
      </c>
      <c r="C356" t="s">
        <v>818</v>
      </c>
      <c r="D356" s="188" t="s">
        <v>8955</v>
      </c>
    </row>
    <row r="357" spans="1:4" x14ac:dyDescent="0.3">
      <c r="A357">
        <v>23086464</v>
      </c>
      <c r="B357">
        <v>10391</v>
      </c>
      <c r="C357" t="s">
        <v>499</v>
      </c>
      <c r="D357" s="188" t="s">
        <v>8955</v>
      </c>
    </row>
    <row r="358" spans="1:4" x14ac:dyDescent="0.3">
      <c r="A358">
        <v>26767404</v>
      </c>
      <c r="B358">
        <v>10392</v>
      </c>
      <c r="C358" t="s">
        <v>500</v>
      </c>
      <c r="D358" s="188" t="s">
        <v>8955</v>
      </c>
    </row>
    <row r="359" spans="1:4" x14ac:dyDescent="0.3">
      <c r="A359">
        <v>10343241</v>
      </c>
      <c r="B359">
        <v>10393</v>
      </c>
      <c r="C359" t="s">
        <v>502</v>
      </c>
      <c r="D359" s="188" t="s">
        <v>8955</v>
      </c>
    </row>
    <row r="360" spans="1:4" x14ac:dyDescent="0.3">
      <c r="A360">
        <v>34092129</v>
      </c>
      <c r="B360">
        <v>10394</v>
      </c>
      <c r="C360" t="s">
        <v>501</v>
      </c>
      <c r="D360" s="188" t="s">
        <v>8955</v>
      </c>
    </row>
    <row r="361" spans="1:4" x14ac:dyDescent="0.3">
      <c r="A361">
        <v>37608361</v>
      </c>
      <c r="B361">
        <v>10395</v>
      </c>
      <c r="C361" t="s">
        <v>503</v>
      </c>
      <c r="D361" s="188" t="s">
        <v>8955</v>
      </c>
    </row>
    <row r="362" spans="1:4" x14ac:dyDescent="0.3">
      <c r="A362">
        <v>37646389</v>
      </c>
      <c r="B362">
        <v>10396</v>
      </c>
      <c r="C362" t="s">
        <v>504</v>
      </c>
      <c r="D362" s="188" t="s">
        <v>8955</v>
      </c>
    </row>
    <row r="363" spans="1:4" x14ac:dyDescent="0.3">
      <c r="A363">
        <v>14464810</v>
      </c>
      <c r="B363">
        <v>10397</v>
      </c>
      <c r="C363" t="s">
        <v>505</v>
      </c>
      <c r="D363" s="188" t="s">
        <v>8955</v>
      </c>
    </row>
    <row r="364" spans="1:4" x14ac:dyDescent="0.3">
      <c r="A364">
        <v>5198962</v>
      </c>
      <c r="B364">
        <v>10398</v>
      </c>
      <c r="C364" t="s">
        <v>1068</v>
      </c>
      <c r="D364" s="188" t="s">
        <v>8955</v>
      </c>
    </row>
    <row r="365" spans="1:4" x14ac:dyDescent="0.3">
      <c r="A365">
        <v>5198962</v>
      </c>
      <c r="B365">
        <v>10399</v>
      </c>
      <c r="C365" t="s">
        <v>128</v>
      </c>
      <c r="D365" s="188" t="s">
        <v>8955</v>
      </c>
    </row>
    <row r="366" spans="1:4" x14ac:dyDescent="0.3">
      <c r="A366">
        <v>13212200</v>
      </c>
      <c r="B366">
        <v>10400</v>
      </c>
      <c r="C366" t="s">
        <v>1102</v>
      </c>
      <c r="D366" s="188" t="s">
        <v>8955</v>
      </c>
    </row>
    <row r="367" spans="1:4" x14ac:dyDescent="0.3">
      <c r="A367">
        <v>34757836</v>
      </c>
      <c r="B367">
        <v>10401</v>
      </c>
      <c r="C367" t="s">
        <v>1205</v>
      </c>
      <c r="D367" s="188" t="s">
        <v>8955</v>
      </c>
    </row>
    <row r="368" spans="1:4" x14ac:dyDescent="0.3">
      <c r="A368">
        <v>28585239</v>
      </c>
      <c r="B368">
        <v>10402</v>
      </c>
      <c r="C368" t="s">
        <v>356</v>
      </c>
      <c r="D368" s="188" t="s">
        <v>8955</v>
      </c>
    </row>
    <row r="369" spans="1:4" x14ac:dyDescent="0.3">
      <c r="A369">
        <v>3584565</v>
      </c>
      <c r="B369">
        <v>10403</v>
      </c>
      <c r="C369" t="s">
        <v>274</v>
      </c>
      <c r="D369" s="188" t="s">
        <v>8955</v>
      </c>
    </row>
    <row r="370" spans="1:4" x14ac:dyDescent="0.3">
      <c r="A370">
        <v>3584565</v>
      </c>
      <c r="B370">
        <v>10404</v>
      </c>
      <c r="C370" t="s">
        <v>274</v>
      </c>
      <c r="D370" s="188" t="s">
        <v>8955</v>
      </c>
    </row>
    <row r="371" spans="1:4" x14ac:dyDescent="0.3">
      <c r="A371">
        <v>4017545</v>
      </c>
      <c r="B371">
        <v>10405</v>
      </c>
      <c r="C371" t="s">
        <v>274</v>
      </c>
      <c r="D371" s="188" t="s">
        <v>8955</v>
      </c>
    </row>
    <row r="372" spans="1:4" x14ac:dyDescent="0.3">
      <c r="A372">
        <v>4017545</v>
      </c>
      <c r="B372">
        <v>10406</v>
      </c>
      <c r="C372" t="s">
        <v>274</v>
      </c>
      <c r="D372" s="188" t="s">
        <v>8955</v>
      </c>
    </row>
    <row r="373" spans="1:4" x14ac:dyDescent="0.3">
      <c r="A373">
        <v>9152907</v>
      </c>
      <c r="B373">
        <v>10407</v>
      </c>
      <c r="C373" t="s">
        <v>277</v>
      </c>
      <c r="D373" s="188" t="s">
        <v>8955</v>
      </c>
    </row>
    <row r="374" spans="1:4" x14ac:dyDescent="0.3">
      <c r="A374">
        <v>43312312</v>
      </c>
      <c r="B374">
        <v>10408</v>
      </c>
      <c r="C374" t="s">
        <v>506</v>
      </c>
      <c r="D374" s="188" t="s">
        <v>8955</v>
      </c>
    </row>
    <row r="375" spans="1:4" x14ac:dyDescent="0.3">
      <c r="A375">
        <v>42642451</v>
      </c>
      <c r="B375">
        <v>10409</v>
      </c>
      <c r="C375" t="s">
        <v>1087</v>
      </c>
      <c r="D375" s="188" t="s">
        <v>8955</v>
      </c>
    </row>
    <row r="376" spans="1:4" x14ac:dyDescent="0.3">
      <c r="A376">
        <v>33592510</v>
      </c>
      <c r="B376">
        <v>10410</v>
      </c>
      <c r="C376" t="s">
        <v>1155</v>
      </c>
      <c r="D376" s="188" t="s">
        <v>8955</v>
      </c>
    </row>
    <row r="377" spans="1:4" x14ac:dyDescent="0.3">
      <c r="A377">
        <v>2693750</v>
      </c>
      <c r="B377">
        <v>10411</v>
      </c>
      <c r="C377" t="s">
        <v>274</v>
      </c>
      <c r="D377" s="188" t="s">
        <v>8955</v>
      </c>
    </row>
    <row r="378" spans="1:4" x14ac:dyDescent="0.3">
      <c r="A378">
        <v>16513178</v>
      </c>
      <c r="B378">
        <v>10412</v>
      </c>
      <c r="C378" t="s">
        <v>507</v>
      </c>
      <c r="D378" s="188" t="s">
        <v>8955</v>
      </c>
    </row>
    <row r="379" spans="1:4" x14ac:dyDescent="0.3">
      <c r="A379">
        <v>17469701</v>
      </c>
      <c r="B379">
        <v>10413</v>
      </c>
      <c r="C379" t="s">
        <v>1156</v>
      </c>
      <c r="D379" s="188" t="s">
        <v>8955</v>
      </c>
    </row>
    <row r="380" spans="1:4" x14ac:dyDescent="0.3">
      <c r="A380">
        <v>39514269</v>
      </c>
      <c r="B380">
        <v>10414</v>
      </c>
      <c r="C380" t="s">
        <v>1182</v>
      </c>
      <c r="D380" s="188" t="s">
        <v>8955</v>
      </c>
    </row>
    <row r="381" spans="1:4" x14ac:dyDescent="0.3">
      <c r="A381">
        <v>42642451</v>
      </c>
      <c r="B381">
        <v>10415</v>
      </c>
      <c r="C381" t="s">
        <v>277</v>
      </c>
      <c r="D381" s="188" t="s">
        <v>8955</v>
      </c>
    </row>
    <row r="382" spans="1:4" x14ac:dyDescent="0.3">
      <c r="A382">
        <v>3130160</v>
      </c>
      <c r="B382">
        <v>10416</v>
      </c>
      <c r="C382" t="s">
        <v>279</v>
      </c>
      <c r="D382" s="188" t="s">
        <v>8955</v>
      </c>
    </row>
    <row r="383" spans="1:4" x14ac:dyDescent="0.3">
      <c r="A383">
        <v>3130160</v>
      </c>
      <c r="B383">
        <v>10417</v>
      </c>
      <c r="C383" t="s">
        <v>279</v>
      </c>
      <c r="D383" s="188" t="s">
        <v>8955</v>
      </c>
    </row>
    <row r="384" spans="1:4" x14ac:dyDescent="0.3">
      <c r="A384">
        <v>3130160</v>
      </c>
      <c r="B384">
        <v>10418</v>
      </c>
      <c r="C384" t="s">
        <v>1114</v>
      </c>
      <c r="D384" s="188" t="s">
        <v>8955</v>
      </c>
    </row>
    <row r="385" spans="1:4" x14ac:dyDescent="0.3">
      <c r="A385">
        <v>3130160</v>
      </c>
      <c r="B385">
        <v>10419</v>
      </c>
      <c r="C385" t="s">
        <v>279</v>
      </c>
      <c r="D385" s="188" t="s">
        <v>8955</v>
      </c>
    </row>
    <row r="386" spans="1:4" x14ac:dyDescent="0.3">
      <c r="A386">
        <v>3130160</v>
      </c>
      <c r="B386">
        <v>10420</v>
      </c>
      <c r="C386" t="s">
        <v>279</v>
      </c>
      <c r="D386" s="188" t="s">
        <v>8955</v>
      </c>
    </row>
    <row r="387" spans="1:4" x14ac:dyDescent="0.3">
      <c r="A387">
        <v>3130160</v>
      </c>
      <c r="B387">
        <v>10421</v>
      </c>
      <c r="C387" t="s">
        <v>279</v>
      </c>
      <c r="D387" s="188" t="s">
        <v>8955</v>
      </c>
    </row>
    <row r="388" spans="1:4" x14ac:dyDescent="0.3">
      <c r="A388">
        <v>3130160</v>
      </c>
      <c r="B388">
        <v>10422</v>
      </c>
      <c r="C388" t="s">
        <v>279</v>
      </c>
      <c r="D388" s="188" t="s">
        <v>8955</v>
      </c>
    </row>
    <row r="389" spans="1:4" x14ac:dyDescent="0.3">
      <c r="A389">
        <v>19758779</v>
      </c>
      <c r="B389">
        <v>10424</v>
      </c>
      <c r="C389" t="s">
        <v>509</v>
      </c>
      <c r="D389" s="188" t="s">
        <v>8955</v>
      </c>
    </row>
    <row r="390" spans="1:4" x14ac:dyDescent="0.3">
      <c r="A390">
        <v>75534974</v>
      </c>
      <c r="B390">
        <v>10425</v>
      </c>
      <c r="C390" t="s">
        <v>277</v>
      </c>
      <c r="D390" s="188" t="s">
        <v>8955</v>
      </c>
    </row>
    <row r="391" spans="1:4" x14ac:dyDescent="0.3">
      <c r="A391">
        <v>26285616</v>
      </c>
      <c r="B391">
        <v>10426</v>
      </c>
      <c r="C391" t="s">
        <v>671</v>
      </c>
      <c r="D391" s="188" t="s">
        <v>8955</v>
      </c>
    </row>
    <row r="392" spans="1:4" x14ac:dyDescent="0.3">
      <c r="A392">
        <v>76958966</v>
      </c>
      <c r="B392">
        <v>10427</v>
      </c>
      <c r="C392" t="s">
        <v>326</v>
      </c>
      <c r="D392" s="188" t="s">
        <v>8955</v>
      </c>
    </row>
    <row r="393" spans="1:4" x14ac:dyDescent="0.3">
      <c r="A393">
        <v>39153039</v>
      </c>
      <c r="B393">
        <v>10428</v>
      </c>
      <c r="C393" t="s">
        <v>511</v>
      </c>
      <c r="D393" s="188" t="s">
        <v>8955</v>
      </c>
    </row>
    <row r="394" spans="1:4" x14ac:dyDescent="0.3">
      <c r="A394">
        <v>16490504</v>
      </c>
      <c r="B394">
        <v>10429</v>
      </c>
      <c r="C394" t="s">
        <v>510</v>
      </c>
      <c r="D394" s="188" t="s">
        <v>8955</v>
      </c>
    </row>
    <row r="395" spans="1:4" x14ac:dyDescent="0.3">
      <c r="A395">
        <v>3644204</v>
      </c>
      <c r="B395">
        <v>10430</v>
      </c>
      <c r="C395" t="s">
        <v>524</v>
      </c>
      <c r="D395" s="188" t="s">
        <v>8955</v>
      </c>
    </row>
    <row r="396" spans="1:4" x14ac:dyDescent="0.3">
      <c r="A396">
        <v>3644204</v>
      </c>
      <c r="B396">
        <v>10431</v>
      </c>
      <c r="C396" t="s">
        <v>524</v>
      </c>
      <c r="D396" s="188" t="s">
        <v>8955</v>
      </c>
    </row>
    <row r="397" spans="1:4" x14ac:dyDescent="0.3">
      <c r="A397">
        <v>29411968</v>
      </c>
      <c r="B397">
        <v>10432</v>
      </c>
      <c r="C397" t="s">
        <v>1088</v>
      </c>
      <c r="D397" s="188" t="s">
        <v>8955</v>
      </c>
    </row>
    <row r="398" spans="1:4" x14ac:dyDescent="0.3">
      <c r="A398">
        <v>43711951</v>
      </c>
      <c r="B398">
        <v>10433</v>
      </c>
      <c r="C398" t="s">
        <v>1056</v>
      </c>
      <c r="D398" s="188" t="s">
        <v>8955</v>
      </c>
    </row>
    <row r="399" spans="1:4" x14ac:dyDescent="0.3">
      <c r="A399">
        <v>21001450</v>
      </c>
      <c r="B399">
        <v>10434</v>
      </c>
      <c r="C399" t="s">
        <v>1169</v>
      </c>
      <c r="D399" s="188" t="s">
        <v>8955</v>
      </c>
    </row>
    <row r="400" spans="1:4" x14ac:dyDescent="0.3">
      <c r="A400">
        <v>8726496</v>
      </c>
      <c r="B400">
        <v>10435</v>
      </c>
      <c r="C400" t="s">
        <v>274</v>
      </c>
      <c r="D400" s="188" t="s">
        <v>8955</v>
      </c>
    </row>
    <row r="401" spans="1:4" x14ac:dyDescent="0.3">
      <c r="A401">
        <v>8726496</v>
      </c>
      <c r="B401">
        <v>10436</v>
      </c>
      <c r="C401" t="s">
        <v>1209</v>
      </c>
      <c r="D401" s="188" t="s">
        <v>8955</v>
      </c>
    </row>
    <row r="402" spans="1:4" x14ac:dyDescent="0.3">
      <c r="A402">
        <v>19440192</v>
      </c>
      <c r="B402">
        <v>10437</v>
      </c>
      <c r="C402" t="s">
        <v>1104</v>
      </c>
      <c r="D402" s="188" t="s">
        <v>8955</v>
      </c>
    </row>
    <row r="403" spans="1:4" x14ac:dyDescent="0.3">
      <c r="A403">
        <v>92943398</v>
      </c>
      <c r="B403">
        <v>10438</v>
      </c>
      <c r="C403" t="s">
        <v>512</v>
      </c>
      <c r="D403" s="188" t="s">
        <v>8955</v>
      </c>
    </row>
    <row r="404" spans="1:4" x14ac:dyDescent="0.3">
      <c r="A404">
        <v>40292288</v>
      </c>
      <c r="B404">
        <v>10439</v>
      </c>
      <c r="C404" t="s">
        <v>513</v>
      </c>
      <c r="D404" s="188" t="s">
        <v>8955</v>
      </c>
    </row>
    <row r="405" spans="1:4" x14ac:dyDescent="0.3">
      <c r="A405">
        <v>31625963</v>
      </c>
      <c r="B405">
        <v>10440</v>
      </c>
      <c r="C405" t="s">
        <v>274</v>
      </c>
      <c r="D405" s="188" t="s">
        <v>8955</v>
      </c>
    </row>
    <row r="406" spans="1:4" x14ac:dyDescent="0.3">
      <c r="A406">
        <v>10759717</v>
      </c>
      <c r="B406">
        <v>10441</v>
      </c>
      <c r="C406" t="s">
        <v>843</v>
      </c>
      <c r="D406" s="188" t="s">
        <v>8955</v>
      </c>
    </row>
    <row r="407" spans="1:4" x14ac:dyDescent="0.3">
      <c r="A407">
        <v>36417250</v>
      </c>
      <c r="B407">
        <v>10442</v>
      </c>
      <c r="C407" t="s">
        <v>513</v>
      </c>
      <c r="D407" s="188" t="s">
        <v>8955</v>
      </c>
    </row>
    <row r="408" spans="1:4" x14ac:dyDescent="0.3">
      <c r="A408">
        <v>34213025</v>
      </c>
      <c r="B408">
        <v>10443</v>
      </c>
      <c r="C408" t="s">
        <v>514</v>
      </c>
      <c r="D408" s="188" t="s">
        <v>8955</v>
      </c>
    </row>
    <row r="409" spans="1:4" x14ac:dyDescent="0.3">
      <c r="A409">
        <v>16622284</v>
      </c>
      <c r="B409">
        <v>10444</v>
      </c>
      <c r="C409" t="s">
        <v>406</v>
      </c>
      <c r="D409" s="188" t="s">
        <v>8955</v>
      </c>
    </row>
    <row r="410" spans="1:4" x14ac:dyDescent="0.3">
      <c r="A410">
        <v>83693366</v>
      </c>
      <c r="B410">
        <v>10445</v>
      </c>
      <c r="C410" t="s">
        <v>515</v>
      </c>
      <c r="D410" s="188" t="s">
        <v>8955</v>
      </c>
    </row>
    <row r="411" spans="1:4" x14ac:dyDescent="0.3">
      <c r="A411">
        <v>34151100</v>
      </c>
      <c r="B411">
        <v>10446</v>
      </c>
      <c r="C411" t="s">
        <v>516</v>
      </c>
      <c r="D411" s="188" t="s">
        <v>8955</v>
      </c>
    </row>
    <row r="412" spans="1:4" x14ac:dyDescent="0.3">
      <c r="A412">
        <v>41543949</v>
      </c>
      <c r="B412">
        <v>10447</v>
      </c>
      <c r="C412" t="s">
        <v>517</v>
      </c>
      <c r="D412" s="188" t="s">
        <v>8955</v>
      </c>
    </row>
    <row r="413" spans="1:4" x14ac:dyDescent="0.3">
      <c r="A413">
        <v>27776903</v>
      </c>
      <c r="B413">
        <v>10448</v>
      </c>
      <c r="C413" t="s">
        <v>327</v>
      </c>
      <c r="D413" s="188" t="s">
        <v>8955</v>
      </c>
    </row>
    <row r="414" spans="1:4" x14ac:dyDescent="0.3">
      <c r="A414">
        <v>43862793</v>
      </c>
      <c r="B414">
        <v>10449</v>
      </c>
      <c r="C414" t="s">
        <v>1110</v>
      </c>
      <c r="D414" s="188" t="s">
        <v>8955</v>
      </c>
    </row>
    <row r="415" spans="1:4" x14ac:dyDescent="0.3">
      <c r="A415">
        <v>8310839</v>
      </c>
      <c r="B415">
        <v>10450</v>
      </c>
      <c r="C415" t="s">
        <v>902</v>
      </c>
      <c r="D415" s="188" t="s">
        <v>8955</v>
      </c>
    </row>
    <row r="416" spans="1:4" x14ac:dyDescent="0.3">
      <c r="A416">
        <v>76520758</v>
      </c>
      <c r="B416">
        <v>10451</v>
      </c>
      <c r="C416" t="s">
        <v>1092</v>
      </c>
      <c r="D416" s="188" t="s">
        <v>8955</v>
      </c>
    </row>
    <row r="417" spans="1:4" x14ac:dyDescent="0.3">
      <c r="A417">
        <v>76520758</v>
      </c>
      <c r="B417">
        <v>10452</v>
      </c>
      <c r="C417" t="s">
        <v>318</v>
      </c>
      <c r="D417" s="188" t="s">
        <v>8955</v>
      </c>
    </row>
    <row r="418" spans="1:4" x14ac:dyDescent="0.3">
      <c r="A418">
        <v>20707884</v>
      </c>
      <c r="B418">
        <v>10453</v>
      </c>
      <c r="C418" t="s">
        <v>1194</v>
      </c>
      <c r="D418" s="188" t="s">
        <v>8955</v>
      </c>
    </row>
    <row r="419" spans="1:4" x14ac:dyDescent="0.3">
      <c r="A419">
        <v>76520758</v>
      </c>
      <c r="B419">
        <v>10454</v>
      </c>
      <c r="C419" t="s">
        <v>384</v>
      </c>
      <c r="D419" s="188" t="s">
        <v>8955</v>
      </c>
    </row>
    <row r="420" spans="1:4" x14ac:dyDescent="0.3">
      <c r="A420">
        <v>76520758</v>
      </c>
      <c r="B420">
        <v>10455</v>
      </c>
      <c r="C420" t="s">
        <v>1159</v>
      </c>
      <c r="D420" s="188" t="s">
        <v>8955</v>
      </c>
    </row>
    <row r="421" spans="1:4" x14ac:dyDescent="0.3">
      <c r="A421">
        <v>76520758</v>
      </c>
      <c r="B421">
        <v>10456</v>
      </c>
      <c r="C421" t="s">
        <v>1163</v>
      </c>
      <c r="D421" s="188" t="s">
        <v>8955</v>
      </c>
    </row>
    <row r="422" spans="1:4" x14ac:dyDescent="0.3">
      <c r="A422">
        <v>30852191</v>
      </c>
      <c r="B422">
        <v>10458</v>
      </c>
      <c r="C422" t="s">
        <v>529</v>
      </c>
      <c r="D422" s="188" t="s">
        <v>8955</v>
      </c>
    </row>
    <row r="423" spans="1:4" x14ac:dyDescent="0.3">
      <c r="A423">
        <v>84683374</v>
      </c>
      <c r="B423">
        <v>10459</v>
      </c>
      <c r="C423" t="s">
        <v>701</v>
      </c>
      <c r="D423" s="188" t="s">
        <v>8955</v>
      </c>
    </row>
    <row r="424" spans="1:4" x14ac:dyDescent="0.3">
      <c r="A424">
        <v>655209</v>
      </c>
      <c r="B424">
        <v>10460</v>
      </c>
      <c r="C424" t="s">
        <v>518</v>
      </c>
      <c r="D424" s="188" t="s">
        <v>8955</v>
      </c>
    </row>
    <row r="425" spans="1:4" x14ac:dyDescent="0.3">
      <c r="A425">
        <v>89723977</v>
      </c>
      <c r="B425">
        <v>10462</v>
      </c>
      <c r="C425" t="s">
        <v>274</v>
      </c>
      <c r="D425" s="188" t="s">
        <v>8955</v>
      </c>
    </row>
    <row r="426" spans="1:4" x14ac:dyDescent="0.3">
      <c r="A426">
        <v>89723977</v>
      </c>
      <c r="B426">
        <v>10463</v>
      </c>
      <c r="C426" t="s">
        <v>274</v>
      </c>
      <c r="D426" s="188" t="s">
        <v>8955</v>
      </c>
    </row>
    <row r="427" spans="1:4" x14ac:dyDescent="0.3">
      <c r="A427">
        <v>89723977</v>
      </c>
      <c r="B427">
        <v>10464</v>
      </c>
      <c r="C427" t="s">
        <v>274</v>
      </c>
      <c r="D427" s="188" t="s">
        <v>8955</v>
      </c>
    </row>
    <row r="428" spans="1:4" x14ac:dyDescent="0.3">
      <c r="A428">
        <v>16694812</v>
      </c>
      <c r="B428">
        <v>10465</v>
      </c>
      <c r="C428" t="s">
        <v>701</v>
      </c>
      <c r="D428" s="188" t="s">
        <v>8955</v>
      </c>
    </row>
    <row r="429" spans="1:4" x14ac:dyDescent="0.3">
      <c r="A429">
        <v>36448137</v>
      </c>
      <c r="B429">
        <v>10466</v>
      </c>
      <c r="C429" t="s">
        <v>701</v>
      </c>
      <c r="D429" s="188" t="s">
        <v>8955</v>
      </c>
    </row>
    <row r="430" spans="1:4" x14ac:dyDescent="0.3">
      <c r="A430">
        <v>66275306</v>
      </c>
      <c r="B430">
        <v>10467</v>
      </c>
      <c r="C430" t="s">
        <v>735</v>
      </c>
      <c r="D430" s="188" t="s">
        <v>8955</v>
      </c>
    </row>
    <row r="431" spans="1:4" x14ac:dyDescent="0.3">
      <c r="A431">
        <v>21062047</v>
      </c>
      <c r="B431">
        <v>10468</v>
      </c>
      <c r="C431" t="s">
        <v>519</v>
      </c>
      <c r="D431" s="188" t="s">
        <v>8955</v>
      </c>
    </row>
    <row r="432" spans="1:4" x14ac:dyDescent="0.3">
      <c r="A432">
        <v>2565617</v>
      </c>
      <c r="B432">
        <v>10469</v>
      </c>
      <c r="C432" t="s">
        <v>520</v>
      </c>
      <c r="D432" s="188" t="s">
        <v>8955</v>
      </c>
    </row>
    <row r="433" spans="1:4" x14ac:dyDescent="0.3">
      <c r="A433">
        <v>13560217</v>
      </c>
      <c r="B433">
        <v>10470</v>
      </c>
      <c r="C433" t="s">
        <v>931</v>
      </c>
      <c r="D433" s="188" t="s">
        <v>8955</v>
      </c>
    </row>
    <row r="434" spans="1:4" x14ac:dyDescent="0.3">
      <c r="A434">
        <v>2536066</v>
      </c>
      <c r="B434">
        <v>10471</v>
      </c>
      <c r="C434" t="s">
        <v>521</v>
      </c>
      <c r="D434" s="188" t="s">
        <v>8955</v>
      </c>
    </row>
    <row r="435" spans="1:4" x14ac:dyDescent="0.3">
      <c r="A435">
        <v>12929735</v>
      </c>
      <c r="B435">
        <v>10473</v>
      </c>
      <c r="C435" t="s">
        <v>281</v>
      </c>
      <c r="D435" s="188" t="s">
        <v>8955</v>
      </c>
    </row>
    <row r="436" spans="1:4" x14ac:dyDescent="0.3">
      <c r="A436">
        <v>5675750</v>
      </c>
      <c r="B436">
        <v>10475</v>
      </c>
      <c r="C436" t="s">
        <v>1039</v>
      </c>
      <c r="D436" s="188" t="s">
        <v>8955</v>
      </c>
    </row>
    <row r="437" spans="1:4" x14ac:dyDescent="0.3">
      <c r="A437">
        <v>18720938</v>
      </c>
      <c r="B437">
        <v>10476</v>
      </c>
      <c r="C437" t="s">
        <v>277</v>
      </c>
      <c r="D437" s="188" t="s">
        <v>8955</v>
      </c>
    </row>
    <row r="438" spans="1:4" x14ac:dyDescent="0.3">
      <c r="A438">
        <v>36178464</v>
      </c>
      <c r="B438">
        <v>10477</v>
      </c>
      <c r="C438" t="s">
        <v>522</v>
      </c>
      <c r="D438" s="188" t="s">
        <v>8955</v>
      </c>
    </row>
    <row r="439" spans="1:4" x14ac:dyDescent="0.3">
      <c r="A439">
        <v>3137731</v>
      </c>
      <c r="B439">
        <v>10478</v>
      </c>
      <c r="C439" t="s">
        <v>1226</v>
      </c>
      <c r="D439" s="188" t="s">
        <v>8955</v>
      </c>
    </row>
    <row r="440" spans="1:4" x14ac:dyDescent="0.3">
      <c r="A440">
        <v>60018275672</v>
      </c>
      <c r="B440">
        <v>10479</v>
      </c>
      <c r="C440" t="s">
        <v>1210</v>
      </c>
      <c r="D440" s="188" t="s">
        <v>8955</v>
      </c>
    </row>
    <row r="441" spans="1:4" x14ac:dyDescent="0.3">
      <c r="A441">
        <v>7779781</v>
      </c>
      <c r="B441">
        <v>10480</v>
      </c>
      <c r="C441" t="s">
        <v>917</v>
      </c>
      <c r="D441" s="188" t="s">
        <v>8955</v>
      </c>
    </row>
    <row r="442" spans="1:4" x14ac:dyDescent="0.3">
      <c r="A442">
        <v>7779781</v>
      </c>
      <c r="B442">
        <v>10481</v>
      </c>
      <c r="C442" t="s">
        <v>917</v>
      </c>
      <c r="D442" s="188" t="s">
        <v>8955</v>
      </c>
    </row>
    <row r="443" spans="1:4" x14ac:dyDescent="0.3">
      <c r="A443">
        <v>2692797</v>
      </c>
      <c r="B443">
        <v>10482</v>
      </c>
      <c r="C443" t="s">
        <v>523</v>
      </c>
      <c r="D443" s="188" t="s">
        <v>8955</v>
      </c>
    </row>
    <row r="444" spans="1:4" x14ac:dyDescent="0.3">
      <c r="A444">
        <v>19235340</v>
      </c>
      <c r="B444">
        <v>10483</v>
      </c>
      <c r="C444" t="s">
        <v>525</v>
      </c>
      <c r="D444" s="188" t="s">
        <v>8955</v>
      </c>
    </row>
    <row r="445" spans="1:4" x14ac:dyDescent="0.3">
      <c r="A445">
        <v>61327904</v>
      </c>
      <c r="B445">
        <v>10484</v>
      </c>
      <c r="C445" t="s">
        <v>272</v>
      </c>
      <c r="D445" s="188" t="s">
        <v>8955</v>
      </c>
    </row>
    <row r="446" spans="1:4" x14ac:dyDescent="0.3">
      <c r="A446">
        <v>61327904</v>
      </c>
      <c r="B446">
        <v>10485</v>
      </c>
      <c r="C446" t="s">
        <v>128</v>
      </c>
      <c r="D446" s="188" t="s">
        <v>8955</v>
      </c>
    </row>
    <row r="447" spans="1:4" x14ac:dyDescent="0.3">
      <c r="A447">
        <v>61327904</v>
      </c>
      <c r="B447">
        <v>10486</v>
      </c>
      <c r="C447" t="s">
        <v>999</v>
      </c>
      <c r="D447" s="188" t="s">
        <v>8955</v>
      </c>
    </row>
    <row r="448" spans="1:4" x14ac:dyDescent="0.3">
      <c r="A448">
        <v>23093056</v>
      </c>
      <c r="B448">
        <v>10487</v>
      </c>
      <c r="C448" t="s">
        <v>526</v>
      </c>
      <c r="D448" s="188" t="s">
        <v>8955</v>
      </c>
    </row>
    <row r="449" spans="1:4" x14ac:dyDescent="0.3">
      <c r="A449">
        <v>32968013</v>
      </c>
      <c r="B449">
        <v>10488</v>
      </c>
      <c r="C449" t="s">
        <v>274</v>
      </c>
      <c r="D449" s="188" t="s">
        <v>8955</v>
      </c>
    </row>
    <row r="450" spans="1:4" x14ac:dyDescent="0.3">
      <c r="A450">
        <v>2102318</v>
      </c>
      <c r="B450">
        <v>10489</v>
      </c>
      <c r="C450" t="s">
        <v>879</v>
      </c>
      <c r="D450" s="188" t="s">
        <v>8955</v>
      </c>
    </row>
    <row r="451" spans="1:4" x14ac:dyDescent="0.3">
      <c r="A451">
        <v>2102318</v>
      </c>
      <c r="B451">
        <v>10490</v>
      </c>
      <c r="C451" t="s">
        <v>182</v>
      </c>
      <c r="D451" s="188" t="s">
        <v>8955</v>
      </c>
    </row>
    <row r="452" spans="1:4" x14ac:dyDescent="0.3">
      <c r="A452">
        <v>2102318</v>
      </c>
      <c r="B452">
        <v>10491</v>
      </c>
      <c r="C452" t="s">
        <v>1152</v>
      </c>
      <c r="D452" s="188" t="s">
        <v>8955</v>
      </c>
    </row>
    <row r="453" spans="1:4" x14ac:dyDescent="0.3">
      <c r="A453">
        <v>17159856</v>
      </c>
      <c r="B453">
        <v>10493</v>
      </c>
      <c r="C453" t="s">
        <v>336</v>
      </c>
      <c r="D453" s="188" t="s">
        <v>8955</v>
      </c>
    </row>
    <row r="454" spans="1:4" x14ac:dyDescent="0.3">
      <c r="A454">
        <v>33592510</v>
      </c>
      <c r="B454">
        <v>10494</v>
      </c>
      <c r="C454" t="s">
        <v>934</v>
      </c>
      <c r="D454" s="188" t="s">
        <v>8955</v>
      </c>
    </row>
    <row r="455" spans="1:4" x14ac:dyDescent="0.3">
      <c r="A455">
        <v>524232636</v>
      </c>
      <c r="B455">
        <v>10495</v>
      </c>
      <c r="C455" t="s">
        <v>1153</v>
      </c>
      <c r="D455" s="188" t="s">
        <v>8955</v>
      </c>
    </row>
    <row r="456" spans="1:4" x14ac:dyDescent="0.3">
      <c r="A456">
        <v>22351410</v>
      </c>
      <c r="B456">
        <v>10496</v>
      </c>
      <c r="C456" t="s">
        <v>527</v>
      </c>
      <c r="D456" s="188" t="s">
        <v>8955</v>
      </c>
    </row>
    <row r="457" spans="1:4" x14ac:dyDescent="0.3">
      <c r="A457">
        <v>524232636</v>
      </c>
      <c r="B457">
        <v>10497</v>
      </c>
      <c r="C457" t="s">
        <v>870</v>
      </c>
      <c r="D457" s="188" t="s">
        <v>8955</v>
      </c>
    </row>
    <row r="458" spans="1:4" x14ac:dyDescent="0.3">
      <c r="A458">
        <v>2609916</v>
      </c>
      <c r="B458">
        <v>10498</v>
      </c>
      <c r="C458" t="s">
        <v>528</v>
      </c>
      <c r="D458" s="188" t="s">
        <v>8955</v>
      </c>
    </row>
    <row r="459" spans="1:4" x14ac:dyDescent="0.3">
      <c r="A459">
        <v>31783830</v>
      </c>
      <c r="B459">
        <v>10499</v>
      </c>
      <c r="C459" t="s">
        <v>325</v>
      </c>
      <c r="D459" s="188" t="s">
        <v>8955</v>
      </c>
    </row>
    <row r="460" spans="1:4" x14ac:dyDescent="0.3">
      <c r="A460">
        <v>28585239</v>
      </c>
      <c r="B460">
        <v>10500</v>
      </c>
      <c r="C460" t="s">
        <v>274</v>
      </c>
      <c r="D460" s="188" t="s">
        <v>8955</v>
      </c>
    </row>
    <row r="461" spans="1:4" x14ac:dyDescent="0.3">
      <c r="A461">
        <v>28585239</v>
      </c>
      <c r="B461">
        <v>10501</v>
      </c>
      <c r="C461" t="s">
        <v>274</v>
      </c>
      <c r="D461" s="188" t="s">
        <v>8955</v>
      </c>
    </row>
    <row r="462" spans="1:4" x14ac:dyDescent="0.3">
      <c r="A462">
        <v>28585239</v>
      </c>
      <c r="B462">
        <v>10502</v>
      </c>
      <c r="C462" t="s">
        <v>274</v>
      </c>
      <c r="D462" s="188" t="s">
        <v>8955</v>
      </c>
    </row>
    <row r="463" spans="1:4" x14ac:dyDescent="0.3">
      <c r="A463">
        <v>28585239</v>
      </c>
      <c r="B463">
        <v>10503</v>
      </c>
      <c r="C463" t="s">
        <v>274</v>
      </c>
      <c r="D463" s="188" t="s">
        <v>8955</v>
      </c>
    </row>
    <row r="464" spans="1:4" x14ac:dyDescent="0.3">
      <c r="A464">
        <v>18607981</v>
      </c>
      <c r="B464">
        <v>10504</v>
      </c>
      <c r="C464" t="s">
        <v>277</v>
      </c>
      <c r="D464" s="188" t="s">
        <v>8955</v>
      </c>
    </row>
    <row r="465" spans="1:4" x14ac:dyDescent="0.3">
      <c r="A465">
        <v>18607981</v>
      </c>
      <c r="B465">
        <v>10505</v>
      </c>
      <c r="C465" t="s">
        <v>327</v>
      </c>
      <c r="D465" s="188" t="s">
        <v>8955</v>
      </c>
    </row>
    <row r="466" spans="1:4" x14ac:dyDescent="0.3">
      <c r="A466">
        <v>19339804</v>
      </c>
      <c r="B466">
        <v>10506</v>
      </c>
      <c r="C466" t="s">
        <v>277</v>
      </c>
      <c r="D466" s="188" t="s">
        <v>8955</v>
      </c>
    </row>
    <row r="467" spans="1:4" x14ac:dyDescent="0.3">
      <c r="A467">
        <v>7083656</v>
      </c>
      <c r="B467">
        <v>10507</v>
      </c>
      <c r="C467" t="s">
        <v>274</v>
      </c>
      <c r="D467" s="188" t="s">
        <v>8955</v>
      </c>
    </row>
    <row r="468" spans="1:4" x14ac:dyDescent="0.3">
      <c r="A468">
        <v>7083656</v>
      </c>
      <c r="B468">
        <v>10508</v>
      </c>
      <c r="C468" t="s">
        <v>341</v>
      </c>
      <c r="D468" s="188" t="s">
        <v>8955</v>
      </c>
    </row>
    <row r="469" spans="1:4" x14ac:dyDescent="0.3">
      <c r="A469">
        <v>7083656</v>
      </c>
      <c r="B469">
        <v>10509</v>
      </c>
      <c r="C469" t="s">
        <v>341</v>
      </c>
      <c r="D469" s="188" t="s">
        <v>8955</v>
      </c>
    </row>
    <row r="470" spans="1:4" x14ac:dyDescent="0.3">
      <c r="A470">
        <v>7083656</v>
      </c>
      <c r="B470">
        <v>10510</v>
      </c>
      <c r="C470" t="s">
        <v>274</v>
      </c>
      <c r="D470" s="188" t="s">
        <v>8955</v>
      </c>
    </row>
    <row r="471" spans="1:4" x14ac:dyDescent="0.3">
      <c r="A471">
        <v>7083656</v>
      </c>
      <c r="B471">
        <v>10511</v>
      </c>
      <c r="C471" t="s">
        <v>341</v>
      </c>
      <c r="D471" s="188" t="s">
        <v>8955</v>
      </c>
    </row>
    <row r="472" spans="1:4" x14ac:dyDescent="0.3">
      <c r="A472">
        <v>17327326</v>
      </c>
      <c r="B472">
        <v>10512</v>
      </c>
      <c r="C472" t="s">
        <v>347</v>
      </c>
      <c r="D472" s="188" t="s">
        <v>8955</v>
      </c>
    </row>
    <row r="473" spans="1:4" x14ac:dyDescent="0.3">
      <c r="A473">
        <v>35820448</v>
      </c>
      <c r="B473">
        <v>10513</v>
      </c>
      <c r="C473" t="s">
        <v>624</v>
      </c>
      <c r="D473" s="188" t="s">
        <v>8955</v>
      </c>
    </row>
    <row r="474" spans="1:4" x14ac:dyDescent="0.3">
      <c r="A474">
        <v>2283886</v>
      </c>
      <c r="B474">
        <v>10514</v>
      </c>
      <c r="C474" t="s">
        <v>530</v>
      </c>
      <c r="D474" s="188" t="s">
        <v>8955</v>
      </c>
    </row>
    <row r="475" spans="1:4" x14ac:dyDescent="0.3">
      <c r="A475">
        <v>5515245</v>
      </c>
      <c r="B475">
        <v>10515</v>
      </c>
      <c r="C475" t="s">
        <v>531</v>
      </c>
      <c r="D475" s="188" t="s">
        <v>8955</v>
      </c>
    </row>
    <row r="476" spans="1:4" x14ac:dyDescent="0.3">
      <c r="A476">
        <v>44269807</v>
      </c>
      <c r="B476">
        <v>10516</v>
      </c>
      <c r="C476" t="s">
        <v>1013</v>
      </c>
      <c r="D476" s="188" t="s">
        <v>8955</v>
      </c>
    </row>
    <row r="477" spans="1:4" x14ac:dyDescent="0.3">
      <c r="A477">
        <v>9383469</v>
      </c>
      <c r="B477">
        <v>10517</v>
      </c>
      <c r="C477" t="s">
        <v>277</v>
      </c>
      <c r="D477" s="188" t="s">
        <v>8955</v>
      </c>
    </row>
    <row r="478" spans="1:4" x14ac:dyDescent="0.3">
      <c r="A478">
        <v>8021949</v>
      </c>
      <c r="B478">
        <v>10518</v>
      </c>
      <c r="C478" t="s">
        <v>850</v>
      </c>
      <c r="D478" s="188" t="s">
        <v>8955</v>
      </c>
    </row>
    <row r="479" spans="1:4" x14ac:dyDescent="0.3">
      <c r="A479">
        <v>29778942</v>
      </c>
      <c r="B479">
        <v>10519</v>
      </c>
      <c r="C479" t="s">
        <v>1005</v>
      </c>
      <c r="D479" s="188" t="s">
        <v>8955</v>
      </c>
    </row>
    <row r="480" spans="1:4" x14ac:dyDescent="0.3">
      <c r="A480">
        <v>36204525</v>
      </c>
      <c r="B480">
        <v>10520</v>
      </c>
      <c r="C480" t="s">
        <v>1135</v>
      </c>
      <c r="D480" s="188" t="s">
        <v>8955</v>
      </c>
    </row>
    <row r="481" spans="1:4" x14ac:dyDescent="0.3">
      <c r="A481">
        <v>4931019</v>
      </c>
      <c r="B481">
        <v>10521</v>
      </c>
      <c r="C481" t="s">
        <v>270</v>
      </c>
      <c r="D481" s="188" t="s">
        <v>8955</v>
      </c>
    </row>
    <row r="482" spans="1:4" x14ac:dyDescent="0.3">
      <c r="A482">
        <v>21457802</v>
      </c>
      <c r="B482">
        <v>10522</v>
      </c>
      <c r="C482" t="s">
        <v>1006</v>
      </c>
      <c r="D482" s="188" t="s">
        <v>8955</v>
      </c>
    </row>
    <row r="483" spans="1:4" x14ac:dyDescent="0.3">
      <c r="A483">
        <v>31732344</v>
      </c>
      <c r="B483">
        <v>10523</v>
      </c>
      <c r="C483" t="s">
        <v>274</v>
      </c>
      <c r="D483" s="188" t="s">
        <v>8955</v>
      </c>
    </row>
    <row r="484" spans="1:4" x14ac:dyDescent="0.3">
      <c r="A484">
        <v>15563826</v>
      </c>
      <c r="B484">
        <v>10524</v>
      </c>
      <c r="C484" t="s">
        <v>617</v>
      </c>
      <c r="D484" s="188" t="s">
        <v>8955</v>
      </c>
    </row>
    <row r="485" spans="1:4" x14ac:dyDescent="0.3">
      <c r="A485">
        <v>15563826</v>
      </c>
      <c r="B485">
        <v>10525</v>
      </c>
      <c r="C485" t="s">
        <v>617</v>
      </c>
      <c r="D485" s="188" t="s">
        <v>8955</v>
      </c>
    </row>
    <row r="486" spans="1:4" x14ac:dyDescent="0.3">
      <c r="A486">
        <v>15563826</v>
      </c>
      <c r="B486">
        <v>10526</v>
      </c>
      <c r="C486" t="s">
        <v>617</v>
      </c>
      <c r="D486" s="188" t="s">
        <v>8955</v>
      </c>
    </row>
    <row r="487" spans="1:4" x14ac:dyDescent="0.3">
      <c r="A487">
        <v>15563826</v>
      </c>
      <c r="B487">
        <v>10527</v>
      </c>
      <c r="C487" t="s">
        <v>617</v>
      </c>
      <c r="D487" s="188" t="s">
        <v>8955</v>
      </c>
    </row>
    <row r="488" spans="1:4" x14ac:dyDescent="0.3">
      <c r="A488">
        <v>25566035</v>
      </c>
      <c r="B488">
        <v>10528</v>
      </c>
      <c r="C488" t="s">
        <v>274</v>
      </c>
      <c r="D488" s="188" t="s">
        <v>8955</v>
      </c>
    </row>
    <row r="489" spans="1:4" x14ac:dyDescent="0.3">
      <c r="A489">
        <v>25566035</v>
      </c>
      <c r="B489">
        <v>10529</v>
      </c>
      <c r="C489" t="s">
        <v>274</v>
      </c>
      <c r="D489" s="188" t="s">
        <v>8955</v>
      </c>
    </row>
    <row r="490" spans="1:4" x14ac:dyDescent="0.3">
      <c r="A490">
        <v>25566035</v>
      </c>
      <c r="B490">
        <v>10530</v>
      </c>
      <c r="C490" t="s">
        <v>274</v>
      </c>
      <c r="D490" s="188" t="s">
        <v>8955</v>
      </c>
    </row>
    <row r="491" spans="1:4" x14ac:dyDescent="0.3">
      <c r="A491">
        <v>25566035</v>
      </c>
      <c r="B491">
        <v>10531</v>
      </c>
      <c r="C491" t="s">
        <v>386</v>
      </c>
      <c r="D491" s="188" t="s">
        <v>8955</v>
      </c>
    </row>
    <row r="492" spans="1:4" x14ac:dyDescent="0.3">
      <c r="A492">
        <v>25566035</v>
      </c>
      <c r="B492">
        <v>10532</v>
      </c>
      <c r="C492" t="s">
        <v>856</v>
      </c>
      <c r="D492" s="188" t="s">
        <v>8955</v>
      </c>
    </row>
    <row r="493" spans="1:4" x14ac:dyDescent="0.3">
      <c r="A493">
        <v>25566035</v>
      </c>
      <c r="B493">
        <v>10533</v>
      </c>
      <c r="C493" t="s">
        <v>1103</v>
      </c>
      <c r="D493" s="188" t="s">
        <v>8955</v>
      </c>
    </row>
    <row r="494" spans="1:4" x14ac:dyDescent="0.3">
      <c r="A494">
        <v>4060779</v>
      </c>
      <c r="B494">
        <v>10534</v>
      </c>
      <c r="C494" t="s">
        <v>550</v>
      </c>
      <c r="D494" s="188" t="s">
        <v>8955</v>
      </c>
    </row>
    <row r="495" spans="1:4" x14ac:dyDescent="0.3">
      <c r="A495">
        <v>38090360</v>
      </c>
      <c r="B495">
        <v>10535</v>
      </c>
      <c r="C495" t="s">
        <v>326</v>
      </c>
      <c r="D495" s="188" t="s">
        <v>8955</v>
      </c>
    </row>
    <row r="496" spans="1:4" x14ac:dyDescent="0.3">
      <c r="A496">
        <v>39906392</v>
      </c>
      <c r="B496">
        <v>10536</v>
      </c>
      <c r="C496" t="s">
        <v>534</v>
      </c>
      <c r="D496" s="188" t="s">
        <v>8955</v>
      </c>
    </row>
    <row r="497" spans="1:4" x14ac:dyDescent="0.3">
      <c r="A497">
        <v>39906392</v>
      </c>
      <c r="B497">
        <v>10537</v>
      </c>
      <c r="C497" t="s">
        <v>997</v>
      </c>
      <c r="D497" s="188" t="s">
        <v>8955</v>
      </c>
    </row>
    <row r="498" spans="1:4" x14ac:dyDescent="0.3">
      <c r="A498">
        <v>60908639</v>
      </c>
      <c r="B498">
        <v>10538</v>
      </c>
      <c r="C498" t="s">
        <v>1126</v>
      </c>
      <c r="D498" s="188" t="s">
        <v>8955</v>
      </c>
    </row>
    <row r="499" spans="1:4" x14ac:dyDescent="0.3">
      <c r="A499">
        <v>24447985</v>
      </c>
      <c r="B499">
        <v>10539</v>
      </c>
      <c r="C499" t="s">
        <v>311</v>
      </c>
      <c r="D499" s="188" t="s">
        <v>8955</v>
      </c>
    </row>
    <row r="500" spans="1:4" x14ac:dyDescent="0.3">
      <c r="A500">
        <v>20075250</v>
      </c>
      <c r="B500">
        <v>10540</v>
      </c>
      <c r="C500" t="s">
        <v>1001</v>
      </c>
      <c r="D500" s="188" t="s">
        <v>8955</v>
      </c>
    </row>
    <row r="501" spans="1:4" x14ac:dyDescent="0.3">
      <c r="A501">
        <v>34151100</v>
      </c>
      <c r="B501">
        <v>10541</v>
      </c>
      <c r="C501" t="s">
        <v>539</v>
      </c>
      <c r="D501" s="188" t="s">
        <v>8955</v>
      </c>
    </row>
    <row r="502" spans="1:4" x14ac:dyDescent="0.3">
      <c r="A502">
        <v>32681371</v>
      </c>
      <c r="B502">
        <v>10542</v>
      </c>
      <c r="C502" t="s">
        <v>538</v>
      </c>
      <c r="D502" s="188" t="s">
        <v>8955</v>
      </c>
    </row>
    <row r="503" spans="1:4" x14ac:dyDescent="0.3">
      <c r="A503">
        <v>42518222</v>
      </c>
      <c r="B503">
        <v>10543</v>
      </c>
      <c r="C503" t="s">
        <v>1014</v>
      </c>
      <c r="D503" s="188" t="s">
        <v>8955</v>
      </c>
    </row>
    <row r="504" spans="1:4" x14ac:dyDescent="0.3">
      <c r="A504">
        <v>5675750</v>
      </c>
      <c r="B504">
        <v>10544</v>
      </c>
      <c r="C504" t="s">
        <v>543</v>
      </c>
      <c r="D504" s="188" t="s">
        <v>8955</v>
      </c>
    </row>
    <row r="505" spans="1:4" x14ac:dyDescent="0.3">
      <c r="A505">
        <v>42644220</v>
      </c>
      <c r="B505">
        <v>10545</v>
      </c>
      <c r="C505" t="s">
        <v>541</v>
      </c>
      <c r="D505" s="188" t="s">
        <v>8955</v>
      </c>
    </row>
    <row r="506" spans="1:4" x14ac:dyDescent="0.3">
      <c r="A506">
        <v>839554</v>
      </c>
      <c r="B506">
        <v>10546</v>
      </c>
      <c r="C506" t="s">
        <v>1211</v>
      </c>
      <c r="D506" s="188" t="s">
        <v>8955</v>
      </c>
    </row>
    <row r="507" spans="1:4" x14ac:dyDescent="0.3">
      <c r="A507">
        <v>22320881</v>
      </c>
      <c r="B507">
        <v>10547</v>
      </c>
      <c r="C507" t="s">
        <v>542</v>
      </c>
      <c r="D507" s="188" t="s">
        <v>8955</v>
      </c>
    </row>
    <row r="508" spans="1:4" x14ac:dyDescent="0.3">
      <c r="A508">
        <v>3672857</v>
      </c>
      <c r="B508">
        <v>10548</v>
      </c>
      <c r="C508" t="s">
        <v>879</v>
      </c>
      <c r="D508" s="188" t="s">
        <v>8955</v>
      </c>
    </row>
    <row r="509" spans="1:4" x14ac:dyDescent="0.3">
      <c r="A509">
        <v>38075244</v>
      </c>
      <c r="B509">
        <v>10549</v>
      </c>
      <c r="C509" t="s">
        <v>544</v>
      </c>
      <c r="D509" s="188" t="s">
        <v>8955</v>
      </c>
    </row>
    <row r="510" spans="1:4" x14ac:dyDescent="0.3">
      <c r="A510">
        <v>9080623</v>
      </c>
      <c r="B510">
        <v>10550</v>
      </c>
      <c r="C510" t="s">
        <v>545</v>
      </c>
      <c r="D510" s="188" t="s">
        <v>8955</v>
      </c>
    </row>
    <row r="511" spans="1:4" x14ac:dyDescent="0.3">
      <c r="A511">
        <v>6987533</v>
      </c>
      <c r="B511">
        <v>10551</v>
      </c>
      <c r="C511" t="s">
        <v>547</v>
      </c>
      <c r="D511" s="188" t="s">
        <v>8955</v>
      </c>
    </row>
    <row r="512" spans="1:4" x14ac:dyDescent="0.3">
      <c r="A512">
        <v>8217851</v>
      </c>
      <c r="B512">
        <v>10552</v>
      </c>
      <c r="C512" t="s">
        <v>552</v>
      </c>
      <c r="D512" s="188" t="s">
        <v>8955</v>
      </c>
    </row>
    <row r="513" spans="1:4" x14ac:dyDescent="0.3">
      <c r="A513">
        <v>2120261</v>
      </c>
      <c r="B513">
        <v>10553</v>
      </c>
      <c r="C513" t="s">
        <v>274</v>
      </c>
      <c r="D513" s="188" t="s">
        <v>8955</v>
      </c>
    </row>
    <row r="514" spans="1:4" x14ac:dyDescent="0.3">
      <c r="A514">
        <v>14986991</v>
      </c>
      <c r="B514">
        <v>10555</v>
      </c>
      <c r="C514" t="s">
        <v>1040</v>
      </c>
      <c r="D514" s="188" t="s">
        <v>8955</v>
      </c>
    </row>
    <row r="515" spans="1:4" x14ac:dyDescent="0.3">
      <c r="A515">
        <v>10964887</v>
      </c>
      <c r="B515">
        <v>10556</v>
      </c>
      <c r="C515" t="s">
        <v>546</v>
      </c>
      <c r="D515" s="188" t="s">
        <v>8955</v>
      </c>
    </row>
    <row r="516" spans="1:4" x14ac:dyDescent="0.3">
      <c r="A516">
        <v>17367338</v>
      </c>
      <c r="B516">
        <v>10556</v>
      </c>
      <c r="C516" t="s">
        <v>546</v>
      </c>
      <c r="D516" s="188" t="s">
        <v>8955</v>
      </c>
    </row>
    <row r="517" spans="1:4" x14ac:dyDescent="0.3">
      <c r="A517">
        <v>59225698</v>
      </c>
      <c r="B517">
        <v>10557</v>
      </c>
      <c r="C517" t="s">
        <v>554</v>
      </c>
      <c r="D517" s="188" t="s">
        <v>8955</v>
      </c>
    </row>
    <row r="518" spans="1:4" x14ac:dyDescent="0.3">
      <c r="A518">
        <v>27379803</v>
      </c>
      <c r="B518">
        <v>10558</v>
      </c>
      <c r="C518" t="s">
        <v>496</v>
      </c>
      <c r="D518" s="188" t="s">
        <v>8955</v>
      </c>
    </row>
    <row r="519" spans="1:4" x14ac:dyDescent="0.3">
      <c r="A519">
        <v>3115350</v>
      </c>
      <c r="B519">
        <v>10559</v>
      </c>
      <c r="C519" t="s">
        <v>548</v>
      </c>
      <c r="D519" s="188" t="s">
        <v>8955</v>
      </c>
    </row>
    <row r="520" spans="1:4" x14ac:dyDescent="0.3">
      <c r="A520">
        <v>10521728</v>
      </c>
      <c r="B520">
        <v>10560</v>
      </c>
      <c r="C520" t="s">
        <v>1183</v>
      </c>
      <c r="D520" s="188" t="s">
        <v>8955</v>
      </c>
    </row>
    <row r="521" spans="1:4" x14ac:dyDescent="0.3">
      <c r="A521">
        <v>42977769</v>
      </c>
      <c r="B521">
        <v>10561</v>
      </c>
      <c r="C521" t="s">
        <v>549</v>
      </c>
      <c r="D521" s="188" t="s">
        <v>8955</v>
      </c>
    </row>
    <row r="522" spans="1:4" x14ac:dyDescent="0.3">
      <c r="A522">
        <v>17713930</v>
      </c>
      <c r="B522">
        <v>10562</v>
      </c>
      <c r="C522" t="s">
        <v>1007</v>
      </c>
      <c r="D522" s="188" t="s">
        <v>8955</v>
      </c>
    </row>
    <row r="523" spans="1:4" x14ac:dyDescent="0.3">
      <c r="A523">
        <v>32319189</v>
      </c>
      <c r="B523">
        <v>10563</v>
      </c>
      <c r="C523" t="s">
        <v>1054</v>
      </c>
      <c r="D523" s="188" t="s">
        <v>8955</v>
      </c>
    </row>
    <row r="524" spans="1:4" x14ac:dyDescent="0.3">
      <c r="A524">
        <v>54183587</v>
      </c>
      <c r="B524">
        <v>10564</v>
      </c>
      <c r="C524" t="s">
        <v>1008</v>
      </c>
      <c r="D524" s="188" t="s">
        <v>8955</v>
      </c>
    </row>
    <row r="525" spans="1:4" x14ac:dyDescent="0.3">
      <c r="A525">
        <v>17262213</v>
      </c>
      <c r="B525">
        <v>10565</v>
      </c>
      <c r="C525" t="s">
        <v>892</v>
      </c>
      <c r="D525" s="188" t="s">
        <v>8955</v>
      </c>
    </row>
    <row r="526" spans="1:4" x14ac:dyDescent="0.3">
      <c r="A526">
        <v>33189131</v>
      </c>
      <c r="B526">
        <v>10566</v>
      </c>
      <c r="C526" t="s">
        <v>550</v>
      </c>
      <c r="D526" s="188" t="s">
        <v>8955</v>
      </c>
    </row>
    <row r="527" spans="1:4" x14ac:dyDescent="0.3">
      <c r="A527">
        <v>17469701</v>
      </c>
      <c r="B527">
        <v>10567</v>
      </c>
      <c r="C527" t="s">
        <v>551</v>
      </c>
      <c r="D527" s="188" t="s">
        <v>8955</v>
      </c>
    </row>
    <row r="528" spans="1:4" x14ac:dyDescent="0.3">
      <c r="A528">
        <v>26092631</v>
      </c>
      <c r="B528">
        <v>10568</v>
      </c>
      <c r="C528" t="s">
        <v>1009</v>
      </c>
      <c r="D528" s="188" t="s">
        <v>8955</v>
      </c>
    </row>
    <row r="529" spans="1:4" x14ac:dyDescent="0.3">
      <c r="A529">
        <v>8319968</v>
      </c>
      <c r="B529">
        <v>10569</v>
      </c>
      <c r="C529" t="s">
        <v>274</v>
      </c>
      <c r="D529" s="188" t="s">
        <v>8955</v>
      </c>
    </row>
    <row r="530" spans="1:4" x14ac:dyDescent="0.3">
      <c r="A530">
        <v>65315418</v>
      </c>
      <c r="B530">
        <v>10570</v>
      </c>
      <c r="C530" t="s">
        <v>1227</v>
      </c>
      <c r="D530" s="188" t="s">
        <v>8955</v>
      </c>
    </row>
    <row r="531" spans="1:4" x14ac:dyDescent="0.3">
      <c r="A531">
        <v>29060647</v>
      </c>
      <c r="B531">
        <v>10571</v>
      </c>
      <c r="C531" t="s">
        <v>274</v>
      </c>
      <c r="D531" s="188" t="s">
        <v>8955</v>
      </c>
    </row>
    <row r="532" spans="1:4" x14ac:dyDescent="0.3">
      <c r="A532">
        <v>29060647</v>
      </c>
      <c r="B532">
        <v>10572</v>
      </c>
      <c r="C532" t="s">
        <v>274</v>
      </c>
      <c r="D532" s="188" t="s">
        <v>8955</v>
      </c>
    </row>
    <row r="533" spans="1:4" x14ac:dyDescent="0.3">
      <c r="A533">
        <v>29060647</v>
      </c>
      <c r="B533">
        <v>10573</v>
      </c>
      <c r="C533" t="s">
        <v>274</v>
      </c>
      <c r="D533" s="188" t="s">
        <v>8955</v>
      </c>
    </row>
    <row r="534" spans="1:4" x14ac:dyDescent="0.3">
      <c r="A534">
        <v>17162983</v>
      </c>
      <c r="B534">
        <v>10574</v>
      </c>
      <c r="C534" t="s">
        <v>361</v>
      </c>
      <c r="D534" s="188" t="s">
        <v>8955</v>
      </c>
    </row>
    <row r="535" spans="1:4" x14ac:dyDescent="0.3">
      <c r="A535">
        <v>18671271</v>
      </c>
      <c r="B535">
        <v>10575</v>
      </c>
      <c r="C535" t="s">
        <v>1157</v>
      </c>
      <c r="D535" s="188" t="s">
        <v>8955</v>
      </c>
    </row>
    <row r="536" spans="1:4" x14ac:dyDescent="0.3">
      <c r="A536">
        <v>12360493</v>
      </c>
      <c r="B536">
        <v>10576</v>
      </c>
      <c r="C536" t="s">
        <v>1202</v>
      </c>
      <c r="D536" s="188" t="s">
        <v>8955</v>
      </c>
    </row>
    <row r="537" spans="1:4" x14ac:dyDescent="0.3">
      <c r="A537">
        <v>33182809</v>
      </c>
      <c r="B537">
        <v>10577</v>
      </c>
      <c r="C537" t="s">
        <v>553</v>
      </c>
      <c r="D537" s="188" t="s">
        <v>8955</v>
      </c>
    </row>
    <row r="538" spans="1:4" x14ac:dyDescent="0.3">
      <c r="A538">
        <v>31619743</v>
      </c>
      <c r="B538">
        <v>10578</v>
      </c>
      <c r="C538" t="s">
        <v>1212</v>
      </c>
      <c r="D538" s="188" t="s">
        <v>8955</v>
      </c>
    </row>
    <row r="539" spans="1:4" x14ac:dyDescent="0.3">
      <c r="A539">
        <v>20468310</v>
      </c>
      <c r="B539">
        <v>10579</v>
      </c>
      <c r="C539" t="s">
        <v>274</v>
      </c>
      <c r="D539" s="188" t="s">
        <v>8955</v>
      </c>
    </row>
    <row r="540" spans="1:4" x14ac:dyDescent="0.3">
      <c r="A540">
        <v>5848387</v>
      </c>
      <c r="B540">
        <v>10580</v>
      </c>
      <c r="C540" t="s">
        <v>555</v>
      </c>
      <c r="D540" s="188" t="s">
        <v>8955</v>
      </c>
    </row>
    <row r="541" spans="1:4" x14ac:dyDescent="0.3">
      <c r="A541">
        <v>43211325</v>
      </c>
      <c r="B541">
        <v>10581</v>
      </c>
      <c r="C541" t="s">
        <v>556</v>
      </c>
      <c r="D541" s="188" t="s">
        <v>8955</v>
      </c>
    </row>
    <row r="542" spans="1:4" x14ac:dyDescent="0.3">
      <c r="A542">
        <v>32233558</v>
      </c>
      <c r="B542">
        <v>10582</v>
      </c>
      <c r="C542" t="s">
        <v>557</v>
      </c>
      <c r="D542" s="188" t="s">
        <v>8955</v>
      </c>
    </row>
    <row r="543" spans="1:4" x14ac:dyDescent="0.3">
      <c r="A543">
        <v>73186900</v>
      </c>
      <c r="B543">
        <v>10583</v>
      </c>
      <c r="C543" t="s">
        <v>559</v>
      </c>
      <c r="D543" s="188" t="s">
        <v>8955</v>
      </c>
    </row>
    <row r="544" spans="1:4" x14ac:dyDescent="0.3">
      <c r="A544">
        <v>27740311</v>
      </c>
      <c r="B544">
        <v>10584</v>
      </c>
      <c r="C544" t="s">
        <v>308</v>
      </c>
      <c r="D544" s="188" t="s">
        <v>8955</v>
      </c>
    </row>
    <row r="545" spans="1:4" x14ac:dyDescent="0.3">
      <c r="A545">
        <v>27740311</v>
      </c>
      <c r="B545">
        <v>10585</v>
      </c>
      <c r="C545" t="s">
        <v>308</v>
      </c>
      <c r="D545" s="188" t="s">
        <v>8955</v>
      </c>
    </row>
    <row r="546" spans="1:4" x14ac:dyDescent="0.3">
      <c r="A546">
        <v>27143007</v>
      </c>
      <c r="B546">
        <v>10586</v>
      </c>
      <c r="C546" t="s">
        <v>558</v>
      </c>
      <c r="D546" s="188" t="s">
        <v>8955</v>
      </c>
    </row>
    <row r="547" spans="1:4" x14ac:dyDescent="0.3">
      <c r="A547">
        <v>3584565</v>
      </c>
      <c r="B547">
        <v>10587</v>
      </c>
      <c r="C547" t="s">
        <v>560</v>
      </c>
      <c r="D547" s="188" t="s">
        <v>8955</v>
      </c>
    </row>
    <row r="548" spans="1:4" x14ac:dyDescent="0.3">
      <c r="A548">
        <v>21070854</v>
      </c>
      <c r="B548">
        <v>10588</v>
      </c>
      <c r="C548" t="s">
        <v>1078</v>
      </c>
      <c r="D548" s="188" t="s">
        <v>8955</v>
      </c>
    </row>
    <row r="549" spans="1:4" x14ac:dyDescent="0.3">
      <c r="A549">
        <v>7522191</v>
      </c>
      <c r="B549">
        <v>10589</v>
      </c>
      <c r="C549" t="s">
        <v>859</v>
      </c>
      <c r="D549" s="188" t="s">
        <v>8955</v>
      </c>
    </row>
    <row r="550" spans="1:4" x14ac:dyDescent="0.3">
      <c r="A550">
        <v>28501422</v>
      </c>
      <c r="B550">
        <v>10590</v>
      </c>
      <c r="C550" t="s">
        <v>1015</v>
      </c>
      <c r="D550" s="188" t="s">
        <v>8955</v>
      </c>
    </row>
    <row r="551" spans="1:4" x14ac:dyDescent="0.3">
      <c r="A551">
        <v>23385669</v>
      </c>
      <c r="B551">
        <v>10591</v>
      </c>
      <c r="C551" t="s">
        <v>1089</v>
      </c>
      <c r="D551" s="188" t="s">
        <v>8955</v>
      </c>
    </row>
    <row r="552" spans="1:4" x14ac:dyDescent="0.3">
      <c r="A552">
        <v>10871453</v>
      </c>
      <c r="B552">
        <v>10592</v>
      </c>
      <c r="C552" t="s">
        <v>561</v>
      </c>
      <c r="D552" s="188" t="s">
        <v>8955</v>
      </c>
    </row>
    <row r="553" spans="1:4" x14ac:dyDescent="0.3">
      <c r="A553">
        <v>20651311</v>
      </c>
      <c r="B553">
        <v>10593</v>
      </c>
      <c r="C553" t="s">
        <v>562</v>
      </c>
      <c r="D553" s="188" t="s">
        <v>8955</v>
      </c>
    </row>
    <row r="554" spans="1:4" x14ac:dyDescent="0.3">
      <c r="A554">
        <v>42981554</v>
      </c>
      <c r="B554">
        <v>10594</v>
      </c>
      <c r="C554" t="s">
        <v>1195</v>
      </c>
      <c r="D554" s="188" t="s">
        <v>8955</v>
      </c>
    </row>
    <row r="555" spans="1:4" x14ac:dyDescent="0.3">
      <c r="A555">
        <v>20502525</v>
      </c>
      <c r="B555">
        <v>10595</v>
      </c>
      <c r="C555" t="s">
        <v>1074</v>
      </c>
      <c r="D555" s="188" t="s">
        <v>8955</v>
      </c>
    </row>
    <row r="556" spans="1:4" x14ac:dyDescent="0.3">
      <c r="A556">
        <v>4583502</v>
      </c>
      <c r="B556">
        <v>10596</v>
      </c>
      <c r="C556" t="s">
        <v>563</v>
      </c>
      <c r="D556" s="188" t="s">
        <v>8955</v>
      </c>
    </row>
    <row r="557" spans="1:4" x14ac:dyDescent="0.3">
      <c r="A557">
        <v>8684547</v>
      </c>
      <c r="B557">
        <v>10597</v>
      </c>
      <c r="C557" t="s">
        <v>296</v>
      </c>
      <c r="D557" s="188" t="s">
        <v>8955</v>
      </c>
    </row>
    <row r="558" spans="1:4" x14ac:dyDescent="0.3">
      <c r="A558">
        <v>25090380</v>
      </c>
      <c r="B558">
        <v>10598</v>
      </c>
      <c r="C558" t="s">
        <v>564</v>
      </c>
      <c r="D558" s="188" t="s">
        <v>8955</v>
      </c>
    </row>
    <row r="559" spans="1:4" x14ac:dyDescent="0.3">
      <c r="A559">
        <v>28762079</v>
      </c>
      <c r="B559">
        <v>10599</v>
      </c>
      <c r="C559" t="s">
        <v>565</v>
      </c>
      <c r="D559" s="188" t="s">
        <v>8955</v>
      </c>
    </row>
    <row r="560" spans="1:4" x14ac:dyDescent="0.3">
      <c r="A560">
        <v>11468344</v>
      </c>
      <c r="B560">
        <v>10600</v>
      </c>
      <c r="C560" t="s">
        <v>1154</v>
      </c>
      <c r="D560" s="188" t="s">
        <v>8955</v>
      </c>
    </row>
    <row r="561" spans="1:4" x14ac:dyDescent="0.3">
      <c r="A561">
        <v>1456618148</v>
      </c>
      <c r="B561">
        <v>10601</v>
      </c>
      <c r="C561" t="s">
        <v>272</v>
      </c>
      <c r="D561" s="188" t="s">
        <v>8955</v>
      </c>
    </row>
    <row r="562" spans="1:4" x14ac:dyDescent="0.3">
      <c r="A562">
        <v>43401419</v>
      </c>
      <c r="B562">
        <v>10602</v>
      </c>
      <c r="C562" t="s">
        <v>1090</v>
      </c>
      <c r="D562" s="188" t="s">
        <v>8955</v>
      </c>
    </row>
    <row r="563" spans="1:4" x14ac:dyDescent="0.3">
      <c r="A563">
        <v>17349893</v>
      </c>
      <c r="B563">
        <v>10603</v>
      </c>
      <c r="C563" t="s">
        <v>567</v>
      </c>
      <c r="D563" s="188" t="s">
        <v>8955</v>
      </c>
    </row>
    <row r="564" spans="1:4" x14ac:dyDescent="0.3">
      <c r="A564">
        <v>21569005</v>
      </c>
      <c r="B564">
        <v>10604</v>
      </c>
      <c r="C564" t="s">
        <v>314</v>
      </c>
      <c r="D564" s="188" t="s">
        <v>8955</v>
      </c>
    </row>
    <row r="565" spans="1:4" x14ac:dyDescent="0.3">
      <c r="A565">
        <v>10279488</v>
      </c>
      <c r="B565">
        <v>10605</v>
      </c>
      <c r="C565" t="s">
        <v>568</v>
      </c>
      <c r="D565" s="188" t="s">
        <v>8955</v>
      </c>
    </row>
    <row r="566" spans="1:4" x14ac:dyDescent="0.3">
      <c r="A566">
        <v>3667884</v>
      </c>
      <c r="B566">
        <v>10606</v>
      </c>
      <c r="C566" t="s">
        <v>589</v>
      </c>
      <c r="D566" s="188" t="s">
        <v>8955</v>
      </c>
    </row>
    <row r="567" spans="1:4" x14ac:dyDescent="0.3">
      <c r="A567">
        <v>3046726</v>
      </c>
      <c r="B567">
        <v>10607</v>
      </c>
      <c r="C567" t="s">
        <v>569</v>
      </c>
      <c r="D567" s="188" t="s">
        <v>8955</v>
      </c>
    </row>
    <row r="568" spans="1:4" x14ac:dyDescent="0.3">
      <c r="A568">
        <v>37364162</v>
      </c>
      <c r="B568">
        <v>10608</v>
      </c>
      <c r="C568" t="s">
        <v>598</v>
      </c>
      <c r="D568" s="188" t="s">
        <v>8955</v>
      </c>
    </row>
    <row r="569" spans="1:4" x14ac:dyDescent="0.3">
      <c r="A569">
        <v>37364162</v>
      </c>
      <c r="B569">
        <v>10609</v>
      </c>
      <c r="C569" t="s">
        <v>883</v>
      </c>
      <c r="D569" s="188" t="s">
        <v>8955</v>
      </c>
    </row>
    <row r="570" spans="1:4" x14ac:dyDescent="0.3">
      <c r="A570">
        <v>17863931</v>
      </c>
      <c r="B570">
        <v>10610</v>
      </c>
      <c r="C570" t="s">
        <v>590</v>
      </c>
      <c r="D570" s="188" t="s">
        <v>8955</v>
      </c>
    </row>
    <row r="571" spans="1:4" x14ac:dyDescent="0.3">
      <c r="A571">
        <v>17863931</v>
      </c>
      <c r="B571">
        <v>10611</v>
      </c>
      <c r="C571" t="s">
        <v>590</v>
      </c>
      <c r="D571" s="188" t="s">
        <v>8955</v>
      </c>
    </row>
    <row r="572" spans="1:4" x14ac:dyDescent="0.3">
      <c r="A572">
        <v>24304943</v>
      </c>
      <c r="B572">
        <v>10612</v>
      </c>
      <c r="C572" t="s">
        <v>570</v>
      </c>
      <c r="D572" s="188" t="s">
        <v>8955</v>
      </c>
    </row>
    <row r="573" spans="1:4" x14ac:dyDescent="0.3">
      <c r="A573">
        <v>21062047</v>
      </c>
      <c r="B573">
        <v>10613</v>
      </c>
      <c r="C573" t="s">
        <v>571</v>
      </c>
      <c r="D573" s="188" t="s">
        <v>8955</v>
      </c>
    </row>
    <row r="574" spans="1:4" x14ac:dyDescent="0.3">
      <c r="A574">
        <v>437218</v>
      </c>
      <c r="B574">
        <v>10617</v>
      </c>
      <c r="C574" t="s">
        <v>1164</v>
      </c>
      <c r="D574" s="188" t="s">
        <v>8955</v>
      </c>
    </row>
    <row r="575" spans="1:4" x14ac:dyDescent="0.3">
      <c r="A575">
        <v>17154899</v>
      </c>
      <c r="B575">
        <v>10618</v>
      </c>
      <c r="C575" t="s">
        <v>347</v>
      </c>
      <c r="D575" s="188" t="s">
        <v>8955</v>
      </c>
    </row>
    <row r="576" spans="1:4" x14ac:dyDescent="0.3">
      <c r="A576">
        <v>3096738</v>
      </c>
      <c r="B576">
        <v>10619</v>
      </c>
      <c r="C576" t="s">
        <v>907</v>
      </c>
      <c r="D576" s="188" t="s">
        <v>8955</v>
      </c>
    </row>
    <row r="577" spans="1:4" x14ac:dyDescent="0.3">
      <c r="A577">
        <v>29252862</v>
      </c>
      <c r="B577">
        <v>10620</v>
      </c>
      <c r="C577" t="s">
        <v>575</v>
      </c>
      <c r="D577" s="188" t="s">
        <v>8955</v>
      </c>
    </row>
    <row r="578" spans="1:4" x14ac:dyDescent="0.3">
      <c r="A578">
        <v>26525729</v>
      </c>
      <c r="B578">
        <v>10621</v>
      </c>
      <c r="C578" t="s">
        <v>572</v>
      </c>
      <c r="D578" s="188" t="s">
        <v>8955</v>
      </c>
    </row>
    <row r="579" spans="1:4" x14ac:dyDescent="0.3">
      <c r="A579">
        <v>5275</v>
      </c>
      <c r="B579">
        <v>10622</v>
      </c>
      <c r="C579" t="s">
        <v>906</v>
      </c>
      <c r="D579" s="188" t="s">
        <v>8955</v>
      </c>
    </row>
    <row r="580" spans="1:4" x14ac:dyDescent="0.3">
      <c r="A580">
        <v>23742410</v>
      </c>
      <c r="B580">
        <v>10623</v>
      </c>
      <c r="C580" t="s">
        <v>574</v>
      </c>
      <c r="D580" s="188" t="s">
        <v>8955</v>
      </c>
    </row>
    <row r="581" spans="1:4" x14ac:dyDescent="0.3">
      <c r="A581">
        <v>5200001</v>
      </c>
      <c r="B581">
        <v>10624</v>
      </c>
      <c r="C581" t="s">
        <v>285</v>
      </c>
      <c r="D581" s="188" t="s">
        <v>8955</v>
      </c>
    </row>
    <row r="582" spans="1:4" x14ac:dyDescent="0.3">
      <c r="A582">
        <v>655209</v>
      </c>
      <c r="B582">
        <v>10625</v>
      </c>
      <c r="C582" t="s">
        <v>573</v>
      </c>
      <c r="D582" s="188" t="s">
        <v>8955</v>
      </c>
    </row>
    <row r="583" spans="1:4" x14ac:dyDescent="0.3">
      <c r="A583">
        <v>17162983</v>
      </c>
      <c r="B583">
        <v>10658</v>
      </c>
      <c r="C583" t="s">
        <v>576</v>
      </c>
      <c r="D583" s="188" t="s">
        <v>8955</v>
      </c>
    </row>
    <row r="584" spans="1:4" x14ac:dyDescent="0.3">
      <c r="A584">
        <v>1600200</v>
      </c>
      <c r="B584">
        <v>10727</v>
      </c>
      <c r="C584" t="s">
        <v>578</v>
      </c>
      <c r="D584" s="188" t="s">
        <v>8955</v>
      </c>
    </row>
    <row r="585" spans="1:4" x14ac:dyDescent="0.3">
      <c r="A585">
        <v>34098737</v>
      </c>
      <c r="B585">
        <v>10735</v>
      </c>
      <c r="C585" t="s">
        <v>577</v>
      </c>
      <c r="D585" s="188" t="s">
        <v>8955</v>
      </c>
    </row>
    <row r="586" spans="1:4" x14ac:dyDescent="0.3">
      <c r="A586">
        <v>42128230</v>
      </c>
      <c r="B586">
        <v>10736</v>
      </c>
      <c r="C586" t="s">
        <v>1057</v>
      </c>
      <c r="D586" s="188" t="s">
        <v>8955</v>
      </c>
    </row>
    <row r="587" spans="1:4" x14ac:dyDescent="0.3">
      <c r="A587">
        <v>4060779</v>
      </c>
      <c r="B587">
        <v>10799</v>
      </c>
      <c r="C587" t="s">
        <v>636</v>
      </c>
      <c r="D587" s="188" t="s">
        <v>8955</v>
      </c>
    </row>
    <row r="588" spans="1:4" x14ac:dyDescent="0.3">
      <c r="A588">
        <v>17162983</v>
      </c>
      <c r="B588">
        <v>10828</v>
      </c>
      <c r="C588" t="s">
        <v>381</v>
      </c>
      <c r="D588" s="188" t="s">
        <v>8955</v>
      </c>
    </row>
    <row r="589" spans="1:4" x14ac:dyDescent="0.3">
      <c r="A589">
        <v>42644220</v>
      </c>
      <c r="B589">
        <v>10862</v>
      </c>
      <c r="C589" t="s">
        <v>587</v>
      </c>
      <c r="D589" s="188" t="s">
        <v>8955</v>
      </c>
    </row>
    <row r="590" spans="1:4" x14ac:dyDescent="0.3">
      <c r="A590">
        <v>74667437</v>
      </c>
      <c r="B590">
        <v>10864</v>
      </c>
      <c r="C590" t="s">
        <v>1010</v>
      </c>
      <c r="D590" s="188" t="s">
        <v>8955</v>
      </c>
    </row>
    <row r="591" spans="1:4" x14ac:dyDescent="0.3">
      <c r="A591">
        <v>1456618148</v>
      </c>
      <c r="B591">
        <v>10889</v>
      </c>
      <c r="C591" t="s">
        <v>566</v>
      </c>
      <c r="D591" s="188" t="s">
        <v>8955</v>
      </c>
    </row>
    <row r="592" spans="1:4" x14ac:dyDescent="0.3">
      <c r="A592">
        <v>43643085</v>
      </c>
      <c r="B592">
        <v>10890</v>
      </c>
      <c r="C592" t="s">
        <v>557</v>
      </c>
      <c r="D592" s="188" t="s">
        <v>8955</v>
      </c>
    </row>
    <row r="593" spans="1:4" x14ac:dyDescent="0.3">
      <c r="A593">
        <v>45207131</v>
      </c>
      <c r="B593">
        <v>10891</v>
      </c>
      <c r="C593" t="s">
        <v>609</v>
      </c>
      <c r="D593" s="188" t="s">
        <v>8955</v>
      </c>
    </row>
    <row r="594" spans="1:4" x14ac:dyDescent="0.3">
      <c r="A594">
        <v>23472828</v>
      </c>
      <c r="B594">
        <v>10892</v>
      </c>
      <c r="C594" t="s">
        <v>579</v>
      </c>
      <c r="D594" s="188" t="s">
        <v>8955</v>
      </c>
    </row>
    <row r="595" spans="1:4" x14ac:dyDescent="0.3">
      <c r="A595">
        <v>18119741</v>
      </c>
      <c r="B595">
        <v>10894</v>
      </c>
      <c r="C595" t="s">
        <v>586</v>
      </c>
      <c r="D595" s="188" t="s">
        <v>8955</v>
      </c>
    </row>
    <row r="596" spans="1:4" x14ac:dyDescent="0.3">
      <c r="A596">
        <v>9665179</v>
      </c>
      <c r="B596">
        <v>10895</v>
      </c>
      <c r="C596" t="s">
        <v>580</v>
      </c>
      <c r="D596" s="188" t="s">
        <v>8955</v>
      </c>
    </row>
    <row r="597" spans="1:4" x14ac:dyDescent="0.3">
      <c r="A597">
        <v>23086464</v>
      </c>
      <c r="B597">
        <v>10896</v>
      </c>
      <c r="C597" t="s">
        <v>274</v>
      </c>
      <c r="D597" s="188" t="s">
        <v>8955</v>
      </c>
    </row>
    <row r="598" spans="1:4" x14ac:dyDescent="0.3">
      <c r="A598">
        <v>23086464</v>
      </c>
      <c r="B598">
        <v>10897</v>
      </c>
      <c r="C598" t="s">
        <v>274</v>
      </c>
      <c r="D598" s="188" t="s">
        <v>8955</v>
      </c>
    </row>
    <row r="599" spans="1:4" x14ac:dyDescent="0.3">
      <c r="A599">
        <v>23086464</v>
      </c>
      <c r="B599">
        <v>10898</v>
      </c>
      <c r="C599" t="s">
        <v>274</v>
      </c>
      <c r="D599" s="188" t="s">
        <v>8955</v>
      </c>
    </row>
    <row r="600" spans="1:4" x14ac:dyDescent="0.3">
      <c r="A600">
        <v>18119741</v>
      </c>
      <c r="B600">
        <v>10899</v>
      </c>
      <c r="C600" t="s">
        <v>1011</v>
      </c>
      <c r="D600" s="188" t="s">
        <v>8955</v>
      </c>
    </row>
    <row r="601" spans="1:4" x14ac:dyDescent="0.3">
      <c r="A601">
        <v>2491585</v>
      </c>
      <c r="B601">
        <v>10901</v>
      </c>
      <c r="C601" t="s">
        <v>1203</v>
      </c>
      <c r="D601" s="188" t="s">
        <v>8955</v>
      </c>
    </row>
    <row r="602" spans="1:4" x14ac:dyDescent="0.3">
      <c r="A602">
        <v>30418521</v>
      </c>
      <c r="B602">
        <v>10902</v>
      </c>
      <c r="C602" t="s">
        <v>581</v>
      </c>
      <c r="D602" s="188" t="s">
        <v>8955</v>
      </c>
    </row>
    <row r="603" spans="1:4" x14ac:dyDescent="0.3">
      <c r="A603">
        <v>12411822</v>
      </c>
      <c r="B603">
        <v>10903</v>
      </c>
      <c r="C603" t="s">
        <v>1173</v>
      </c>
      <c r="D603" s="188" t="s">
        <v>8955</v>
      </c>
    </row>
    <row r="604" spans="1:4" x14ac:dyDescent="0.3">
      <c r="A604">
        <v>13118774</v>
      </c>
      <c r="B604">
        <v>10904</v>
      </c>
      <c r="C604" t="s">
        <v>582</v>
      </c>
      <c r="D604" s="188" t="s">
        <v>8955</v>
      </c>
    </row>
    <row r="605" spans="1:4" x14ac:dyDescent="0.3">
      <c r="A605">
        <v>4905424</v>
      </c>
      <c r="B605">
        <v>10905</v>
      </c>
      <c r="C605" t="s">
        <v>344</v>
      </c>
      <c r="D605" s="188" t="s">
        <v>8955</v>
      </c>
    </row>
    <row r="606" spans="1:4" x14ac:dyDescent="0.3">
      <c r="A606">
        <v>4905424</v>
      </c>
      <c r="B606">
        <v>10906</v>
      </c>
      <c r="C606" t="s">
        <v>1206</v>
      </c>
      <c r="D606" s="188" t="s">
        <v>8955</v>
      </c>
    </row>
    <row r="607" spans="1:4" x14ac:dyDescent="0.3">
      <c r="A607">
        <v>4905424</v>
      </c>
      <c r="B607">
        <v>10907</v>
      </c>
      <c r="C607" t="s">
        <v>300</v>
      </c>
      <c r="D607" s="188" t="s">
        <v>8955</v>
      </c>
    </row>
    <row r="608" spans="1:4" x14ac:dyDescent="0.3">
      <c r="A608">
        <v>12056613</v>
      </c>
      <c r="B608">
        <v>10908</v>
      </c>
      <c r="C608" t="s">
        <v>1095</v>
      </c>
      <c r="D608" s="188" t="s">
        <v>8955</v>
      </c>
    </row>
    <row r="609" spans="1:4" x14ac:dyDescent="0.3">
      <c r="A609">
        <v>40359381</v>
      </c>
      <c r="B609">
        <v>10909</v>
      </c>
      <c r="C609" t="s">
        <v>583</v>
      </c>
      <c r="D609" s="188" t="s">
        <v>8955</v>
      </c>
    </row>
    <row r="610" spans="1:4" x14ac:dyDescent="0.3">
      <c r="A610">
        <v>18783709</v>
      </c>
      <c r="B610">
        <v>1091</v>
      </c>
      <c r="C610" t="s">
        <v>996</v>
      </c>
      <c r="D610" s="188" t="s">
        <v>8955</v>
      </c>
    </row>
    <row r="611" spans="1:4" x14ac:dyDescent="0.3">
      <c r="A611">
        <v>10211408646</v>
      </c>
      <c r="B611">
        <v>10910</v>
      </c>
      <c r="C611" t="s">
        <v>1002</v>
      </c>
      <c r="D611" s="188" t="s">
        <v>8955</v>
      </c>
    </row>
    <row r="612" spans="1:4" x14ac:dyDescent="0.3">
      <c r="A612">
        <v>68703701</v>
      </c>
      <c r="B612">
        <v>10911</v>
      </c>
      <c r="C612" t="s">
        <v>584</v>
      </c>
      <c r="D612" s="188" t="s">
        <v>8955</v>
      </c>
    </row>
    <row r="613" spans="1:4" x14ac:dyDescent="0.3">
      <c r="A613">
        <v>93586303</v>
      </c>
      <c r="B613">
        <v>10912</v>
      </c>
      <c r="C613" t="s">
        <v>585</v>
      </c>
      <c r="D613" s="188" t="s">
        <v>8955</v>
      </c>
    </row>
    <row r="614" spans="1:4" x14ac:dyDescent="0.3">
      <c r="A614">
        <v>19905116</v>
      </c>
      <c r="B614">
        <v>10913</v>
      </c>
      <c r="C614" t="s">
        <v>1076</v>
      </c>
      <c r="D614" s="188" t="s">
        <v>8955</v>
      </c>
    </row>
    <row r="615" spans="1:4" x14ac:dyDescent="0.3">
      <c r="A615">
        <v>4057495</v>
      </c>
      <c r="B615">
        <v>10914</v>
      </c>
      <c r="C615" t="s">
        <v>1165</v>
      </c>
      <c r="D615" s="188" t="s">
        <v>8955</v>
      </c>
    </row>
    <row r="616" spans="1:4" x14ac:dyDescent="0.3">
      <c r="A616">
        <v>35820448</v>
      </c>
      <c r="B616">
        <v>10915</v>
      </c>
      <c r="C616" t="s">
        <v>1012</v>
      </c>
      <c r="D616" s="188" t="s">
        <v>8955</v>
      </c>
    </row>
    <row r="617" spans="1:4" x14ac:dyDescent="0.3">
      <c r="A617">
        <v>17327150</v>
      </c>
      <c r="B617">
        <v>10916</v>
      </c>
      <c r="C617" t="s">
        <v>588</v>
      </c>
      <c r="D617" s="188" t="s">
        <v>8955</v>
      </c>
    </row>
    <row r="618" spans="1:4" x14ac:dyDescent="0.3">
      <c r="A618">
        <v>11207083</v>
      </c>
      <c r="B618">
        <v>10917</v>
      </c>
      <c r="C618" t="s">
        <v>1198</v>
      </c>
      <c r="D618" s="188" t="s">
        <v>8955</v>
      </c>
    </row>
    <row r="619" spans="1:4" x14ac:dyDescent="0.3">
      <c r="A619">
        <v>37073944</v>
      </c>
      <c r="B619">
        <v>10918</v>
      </c>
      <c r="C619" t="s">
        <v>591</v>
      </c>
      <c r="D619" s="188" t="s">
        <v>8955</v>
      </c>
    </row>
    <row r="620" spans="1:4" x14ac:dyDescent="0.3">
      <c r="A620">
        <v>8359698</v>
      </c>
      <c r="B620">
        <v>10919</v>
      </c>
      <c r="C620" t="s">
        <v>592</v>
      </c>
      <c r="D620" s="188" t="s">
        <v>8955</v>
      </c>
    </row>
    <row r="621" spans="1:4" x14ac:dyDescent="0.3">
      <c r="A621">
        <v>20601557</v>
      </c>
      <c r="B621">
        <v>10920</v>
      </c>
      <c r="C621" t="s">
        <v>593</v>
      </c>
      <c r="D621" s="188" t="s">
        <v>8955</v>
      </c>
    </row>
    <row r="622" spans="1:4" x14ac:dyDescent="0.3">
      <c r="A622">
        <v>7210221</v>
      </c>
      <c r="B622">
        <v>10921</v>
      </c>
      <c r="C622" t="s">
        <v>594</v>
      </c>
      <c r="D622" s="188" t="s">
        <v>8955</v>
      </c>
    </row>
    <row r="623" spans="1:4" x14ac:dyDescent="0.3">
      <c r="A623">
        <v>61584223</v>
      </c>
      <c r="B623">
        <v>10922</v>
      </c>
      <c r="C623" t="s">
        <v>595</v>
      </c>
      <c r="D623" s="188" t="s">
        <v>8955</v>
      </c>
    </row>
    <row r="624" spans="1:4" x14ac:dyDescent="0.3">
      <c r="A624">
        <v>29641653</v>
      </c>
      <c r="B624">
        <v>10923</v>
      </c>
      <c r="C624" t="s">
        <v>596</v>
      </c>
      <c r="D624" s="188" t="s">
        <v>8955</v>
      </c>
    </row>
    <row r="625" spans="1:4" x14ac:dyDescent="0.3">
      <c r="A625">
        <v>2502844</v>
      </c>
      <c r="B625">
        <v>10924</v>
      </c>
      <c r="C625" t="s">
        <v>889</v>
      </c>
      <c r="D625" s="188" t="s">
        <v>8955</v>
      </c>
    </row>
    <row r="626" spans="1:4" x14ac:dyDescent="0.3">
      <c r="A626">
        <v>3887324</v>
      </c>
      <c r="B626">
        <v>10925</v>
      </c>
      <c r="C626" t="s">
        <v>1193</v>
      </c>
      <c r="D626" s="188" t="s">
        <v>8955</v>
      </c>
    </row>
    <row r="627" spans="1:4" x14ac:dyDescent="0.3">
      <c r="A627">
        <v>156880</v>
      </c>
      <c r="B627">
        <v>10927</v>
      </c>
      <c r="C627" t="s">
        <v>318</v>
      </c>
      <c r="D627" s="188" t="s">
        <v>8955</v>
      </c>
    </row>
    <row r="628" spans="1:4" x14ac:dyDescent="0.3">
      <c r="A628">
        <v>33592510</v>
      </c>
      <c r="B628">
        <v>10928</v>
      </c>
      <c r="C628" t="s">
        <v>1120</v>
      </c>
      <c r="D628" s="188" t="s">
        <v>8955</v>
      </c>
    </row>
    <row r="629" spans="1:4" x14ac:dyDescent="0.3">
      <c r="A629">
        <v>3568496</v>
      </c>
      <c r="B629">
        <v>10929</v>
      </c>
      <c r="C629" t="s">
        <v>641</v>
      </c>
      <c r="D629" s="188" t="s">
        <v>8955</v>
      </c>
    </row>
    <row r="630" spans="1:4" x14ac:dyDescent="0.3">
      <c r="A630">
        <v>9646672</v>
      </c>
      <c r="B630">
        <v>10930</v>
      </c>
      <c r="C630" t="s">
        <v>274</v>
      </c>
      <c r="D630" s="188" t="s">
        <v>8955</v>
      </c>
    </row>
    <row r="631" spans="1:4" x14ac:dyDescent="0.3">
      <c r="A631">
        <v>9646672</v>
      </c>
      <c r="B631">
        <v>10931</v>
      </c>
      <c r="C631" t="s">
        <v>274</v>
      </c>
      <c r="D631" s="188" t="s">
        <v>8955</v>
      </c>
    </row>
    <row r="632" spans="1:4" x14ac:dyDescent="0.3">
      <c r="A632">
        <v>9646672</v>
      </c>
      <c r="B632">
        <v>10932</v>
      </c>
      <c r="C632" t="s">
        <v>274</v>
      </c>
      <c r="D632" s="188" t="s">
        <v>8955</v>
      </c>
    </row>
    <row r="633" spans="1:4" x14ac:dyDescent="0.3">
      <c r="A633">
        <v>7358761</v>
      </c>
      <c r="B633">
        <v>10933</v>
      </c>
      <c r="C633" t="s">
        <v>1003</v>
      </c>
      <c r="D633" s="188" t="s">
        <v>8955</v>
      </c>
    </row>
    <row r="634" spans="1:4" x14ac:dyDescent="0.3">
      <c r="A634">
        <v>29067113</v>
      </c>
      <c r="B634">
        <v>10934</v>
      </c>
      <c r="C634" t="s">
        <v>1161</v>
      </c>
      <c r="D634" s="188" t="s">
        <v>8955</v>
      </c>
    </row>
    <row r="635" spans="1:4" x14ac:dyDescent="0.3">
      <c r="A635">
        <v>29067113</v>
      </c>
      <c r="B635">
        <v>10935</v>
      </c>
      <c r="C635" t="s">
        <v>1161</v>
      </c>
      <c r="D635" s="188" t="s">
        <v>8955</v>
      </c>
    </row>
    <row r="636" spans="1:4" x14ac:dyDescent="0.3">
      <c r="A636">
        <v>45135530</v>
      </c>
      <c r="B636">
        <v>10936</v>
      </c>
      <c r="C636" t="s">
        <v>599</v>
      </c>
      <c r="D636" s="188" t="s">
        <v>8955</v>
      </c>
    </row>
    <row r="637" spans="1:4" x14ac:dyDescent="0.3">
      <c r="A637">
        <v>9137954</v>
      </c>
      <c r="B637">
        <v>10937</v>
      </c>
      <c r="C637" t="s">
        <v>600</v>
      </c>
      <c r="D637" s="188" t="s">
        <v>8955</v>
      </c>
    </row>
    <row r="638" spans="1:4" x14ac:dyDescent="0.3">
      <c r="A638">
        <v>41857780</v>
      </c>
      <c r="B638">
        <v>10938</v>
      </c>
      <c r="C638" t="s">
        <v>277</v>
      </c>
      <c r="D638" s="188" t="s">
        <v>8955</v>
      </c>
    </row>
    <row r="639" spans="1:4" x14ac:dyDescent="0.3">
      <c r="A639">
        <v>34610740</v>
      </c>
      <c r="B639">
        <v>10939</v>
      </c>
      <c r="C639" t="s">
        <v>487</v>
      </c>
      <c r="D639" s="188" t="s">
        <v>8955</v>
      </c>
    </row>
    <row r="640" spans="1:4" x14ac:dyDescent="0.3">
      <c r="A640">
        <v>97454110</v>
      </c>
      <c r="B640">
        <v>10940</v>
      </c>
      <c r="C640" t="s">
        <v>274</v>
      </c>
      <c r="D640" s="188" t="s">
        <v>8955</v>
      </c>
    </row>
    <row r="641" spans="1:4" x14ac:dyDescent="0.3">
      <c r="A641">
        <v>17227422</v>
      </c>
      <c r="B641">
        <v>10941</v>
      </c>
      <c r="C641" t="s">
        <v>1111</v>
      </c>
      <c r="D641" s="188" t="s">
        <v>8955</v>
      </c>
    </row>
    <row r="642" spans="1:4" x14ac:dyDescent="0.3">
      <c r="A642">
        <v>40769920</v>
      </c>
      <c r="B642">
        <v>10942</v>
      </c>
      <c r="C642" t="s">
        <v>378</v>
      </c>
      <c r="D642" s="188" t="s">
        <v>8955</v>
      </c>
    </row>
    <row r="643" spans="1:4" x14ac:dyDescent="0.3">
      <c r="A643">
        <v>50086453</v>
      </c>
      <c r="B643">
        <v>10951</v>
      </c>
      <c r="C643" t="s">
        <v>602</v>
      </c>
      <c r="D643" s="188" t="s">
        <v>8955</v>
      </c>
    </row>
    <row r="644" spans="1:4" x14ac:dyDescent="0.3">
      <c r="A644">
        <v>24787241</v>
      </c>
      <c r="B644">
        <v>10952</v>
      </c>
      <c r="C644" t="s">
        <v>274</v>
      </c>
      <c r="D644" s="188" t="s">
        <v>8955</v>
      </c>
    </row>
    <row r="645" spans="1:4" x14ac:dyDescent="0.3">
      <c r="A645">
        <v>18576800</v>
      </c>
      <c r="B645">
        <v>10953</v>
      </c>
      <c r="C645" t="s">
        <v>603</v>
      </c>
      <c r="D645" s="188" t="s">
        <v>8955</v>
      </c>
    </row>
    <row r="646" spans="1:4" x14ac:dyDescent="0.3">
      <c r="A646">
        <v>34042820</v>
      </c>
      <c r="B646">
        <v>10954</v>
      </c>
      <c r="C646" t="s">
        <v>363</v>
      </c>
      <c r="D646" s="188" t="s">
        <v>8955</v>
      </c>
    </row>
    <row r="647" spans="1:4" x14ac:dyDescent="0.3">
      <c r="A647">
        <v>10245577</v>
      </c>
      <c r="B647">
        <v>10955</v>
      </c>
      <c r="C647" t="s">
        <v>1207</v>
      </c>
      <c r="D647" s="188" t="s">
        <v>8955</v>
      </c>
    </row>
    <row r="648" spans="1:4" x14ac:dyDescent="0.3">
      <c r="A648">
        <v>5874447</v>
      </c>
      <c r="B648">
        <v>10956</v>
      </c>
      <c r="C648" t="s">
        <v>604</v>
      </c>
      <c r="D648" s="188" t="s">
        <v>8955</v>
      </c>
    </row>
    <row r="649" spans="1:4" x14ac:dyDescent="0.3">
      <c r="A649">
        <v>15563826</v>
      </c>
      <c r="B649">
        <v>10957</v>
      </c>
      <c r="C649" t="s">
        <v>601</v>
      </c>
      <c r="D649" s="188" t="s">
        <v>8955</v>
      </c>
    </row>
    <row r="650" spans="1:4" x14ac:dyDescent="0.3">
      <c r="A650">
        <v>23051096</v>
      </c>
      <c r="B650">
        <v>10958</v>
      </c>
      <c r="C650" t="s">
        <v>605</v>
      </c>
      <c r="D650" s="188" t="s">
        <v>8955</v>
      </c>
    </row>
    <row r="651" spans="1:4" x14ac:dyDescent="0.3">
      <c r="A651">
        <v>5470929</v>
      </c>
      <c r="B651">
        <v>10959</v>
      </c>
      <c r="C651" t="s">
        <v>1213</v>
      </c>
      <c r="D651" s="188" t="s">
        <v>8955</v>
      </c>
    </row>
    <row r="652" spans="1:4" x14ac:dyDescent="0.3">
      <c r="A652">
        <v>47333539</v>
      </c>
      <c r="B652">
        <v>10960</v>
      </c>
      <c r="C652" t="s">
        <v>1170</v>
      </c>
      <c r="D652" s="188" t="s">
        <v>8955</v>
      </c>
    </row>
    <row r="653" spans="1:4" x14ac:dyDescent="0.3">
      <c r="A653">
        <v>33469164</v>
      </c>
      <c r="B653">
        <v>10961</v>
      </c>
      <c r="C653" t="s">
        <v>798</v>
      </c>
      <c r="D653" s="188" t="s">
        <v>8955</v>
      </c>
    </row>
    <row r="654" spans="1:4" x14ac:dyDescent="0.3">
      <c r="A654">
        <v>17162983</v>
      </c>
      <c r="B654">
        <v>10962</v>
      </c>
      <c r="C654" t="s">
        <v>334</v>
      </c>
      <c r="D654" s="188" t="s">
        <v>8955</v>
      </c>
    </row>
    <row r="655" spans="1:4" x14ac:dyDescent="0.3">
      <c r="A655">
        <v>41113829</v>
      </c>
      <c r="B655">
        <v>10963</v>
      </c>
      <c r="C655" t="s">
        <v>606</v>
      </c>
      <c r="D655" s="188" t="s">
        <v>8955</v>
      </c>
    </row>
    <row r="656" spans="1:4" x14ac:dyDescent="0.3">
      <c r="A656">
        <v>3893350</v>
      </c>
      <c r="B656">
        <v>10964</v>
      </c>
      <c r="C656" t="s">
        <v>607</v>
      </c>
      <c r="D656" s="188" t="s">
        <v>8955</v>
      </c>
    </row>
    <row r="657" spans="1:4" x14ac:dyDescent="0.3">
      <c r="A657">
        <v>13356524</v>
      </c>
      <c r="B657">
        <v>10965</v>
      </c>
      <c r="C657" t="s">
        <v>274</v>
      </c>
      <c r="D657" s="188" t="s">
        <v>8955</v>
      </c>
    </row>
    <row r="658" spans="1:4" x14ac:dyDescent="0.3">
      <c r="A658">
        <v>33789404</v>
      </c>
      <c r="B658">
        <v>10966</v>
      </c>
      <c r="C658" t="s">
        <v>837</v>
      </c>
      <c r="D658" s="188" t="s">
        <v>8955</v>
      </c>
    </row>
    <row r="659" spans="1:4" x14ac:dyDescent="0.3">
      <c r="A659">
        <v>4584119</v>
      </c>
      <c r="B659">
        <v>10967</v>
      </c>
      <c r="C659" t="s">
        <v>274</v>
      </c>
      <c r="D659" s="188" t="s">
        <v>8955</v>
      </c>
    </row>
    <row r="660" spans="1:4" x14ac:dyDescent="0.3">
      <c r="A660">
        <v>39649699</v>
      </c>
      <c r="B660">
        <v>10968</v>
      </c>
      <c r="C660" t="s">
        <v>608</v>
      </c>
      <c r="D660" s="188" t="s">
        <v>8955</v>
      </c>
    </row>
    <row r="661" spans="1:4" x14ac:dyDescent="0.3">
      <c r="A661">
        <v>3193191</v>
      </c>
      <c r="B661">
        <v>10969</v>
      </c>
      <c r="C661" t="s">
        <v>610</v>
      </c>
      <c r="D661" s="188" t="s">
        <v>8955</v>
      </c>
    </row>
    <row r="662" spans="1:4" x14ac:dyDescent="0.3">
      <c r="A662">
        <v>71427389</v>
      </c>
      <c r="B662">
        <v>10970</v>
      </c>
      <c r="C662" t="s">
        <v>611</v>
      </c>
      <c r="D662" s="188" t="s">
        <v>8955</v>
      </c>
    </row>
    <row r="663" spans="1:4" x14ac:dyDescent="0.3">
      <c r="A663">
        <v>11205119</v>
      </c>
      <c r="B663">
        <v>10971</v>
      </c>
      <c r="C663" t="s">
        <v>612</v>
      </c>
      <c r="D663" s="188" t="s">
        <v>8955</v>
      </c>
    </row>
    <row r="664" spans="1:4" x14ac:dyDescent="0.3">
      <c r="A664">
        <v>3284231</v>
      </c>
      <c r="B664">
        <v>10972</v>
      </c>
      <c r="C664" t="s">
        <v>274</v>
      </c>
      <c r="D664" s="188" t="s">
        <v>8955</v>
      </c>
    </row>
    <row r="665" spans="1:4" x14ac:dyDescent="0.3">
      <c r="A665">
        <v>24013278</v>
      </c>
      <c r="B665">
        <v>10973</v>
      </c>
      <c r="C665" t="s">
        <v>613</v>
      </c>
      <c r="D665" s="188" t="s">
        <v>8955</v>
      </c>
    </row>
    <row r="666" spans="1:4" x14ac:dyDescent="0.3">
      <c r="A666">
        <v>7740099</v>
      </c>
      <c r="B666">
        <v>10974</v>
      </c>
      <c r="C666" t="s">
        <v>1096</v>
      </c>
      <c r="D666" s="188" t="s">
        <v>8955</v>
      </c>
    </row>
    <row r="667" spans="1:4" x14ac:dyDescent="0.3">
      <c r="A667">
        <v>853157</v>
      </c>
      <c r="B667">
        <v>10976</v>
      </c>
      <c r="C667" t="s">
        <v>615</v>
      </c>
      <c r="D667" s="188" t="s">
        <v>8955</v>
      </c>
    </row>
    <row r="668" spans="1:4" x14ac:dyDescent="0.3">
      <c r="A668">
        <v>17185786</v>
      </c>
      <c r="B668">
        <v>10977</v>
      </c>
      <c r="C668" t="s">
        <v>614</v>
      </c>
      <c r="D668" s="188" t="s">
        <v>8955</v>
      </c>
    </row>
    <row r="669" spans="1:4" x14ac:dyDescent="0.3">
      <c r="A669">
        <v>96556642</v>
      </c>
      <c r="B669">
        <v>10978</v>
      </c>
      <c r="C669" t="s">
        <v>688</v>
      </c>
      <c r="D669" s="188" t="s">
        <v>8955</v>
      </c>
    </row>
    <row r="670" spans="1:4" x14ac:dyDescent="0.3">
      <c r="A670">
        <v>13356524</v>
      </c>
      <c r="B670">
        <v>10979</v>
      </c>
      <c r="C670" t="s">
        <v>274</v>
      </c>
      <c r="D670" s="188" t="s">
        <v>8955</v>
      </c>
    </row>
    <row r="671" spans="1:4" x14ac:dyDescent="0.3">
      <c r="A671">
        <v>15252598</v>
      </c>
      <c r="B671">
        <v>10980</v>
      </c>
      <c r="C671" t="s">
        <v>139</v>
      </c>
      <c r="D671" s="188" t="s">
        <v>8955</v>
      </c>
    </row>
    <row r="672" spans="1:4" x14ac:dyDescent="0.3">
      <c r="A672">
        <v>2617158</v>
      </c>
      <c r="B672">
        <v>10981</v>
      </c>
      <c r="C672" t="s">
        <v>274</v>
      </c>
      <c r="D672" s="188" t="s">
        <v>8955</v>
      </c>
    </row>
    <row r="673" spans="1:4" x14ac:dyDescent="0.3">
      <c r="A673">
        <v>2617158</v>
      </c>
      <c r="B673">
        <v>10982</v>
      </c>
      <c r="C673" t="s">
        <v>274</v>
      </c>
      <c r="D673" s="188" t="s">
        <v>8955</v>
      </c>
    </row>
    <row r="674" spans="1:4" x14ac:dyDescent="0.3">
      <c r="A674">
        <v>2617158</v>
      </c>
      <c r="B674">
        <v>10983</v>
      </c>
      <c r="C674" t="s">
        <v>274</v>
      </c>
      <c r="D674" s="188" t="s">
        <v>8955</v>
      </c>
    </row>
    <row r="675" spans="1:4" x14ac:dyDescent="0.3">
      <c r="A675">
        <v>25618133</v>
      </c>
      <c r="B675">
        <v>10984</v>
      </c>
      <c r="C675" t="s">
        <v>616</v>
      </c>
      <c r="D675" s="188" t="s">
        <v>8955</v>
      </c>
    </row>
    <row r="676" spans="1:4" x14ac:dyDescent="0.3">
      <c r="A676">
        <v>13675295</v>
      </c>
      <c r="B676">
        <v>10985</v>
      </c>
      <c r="C676" t="s">
        <v>1016</v>
      </c>
      <c r="D676" s="188" t="s">
        <v>8955</v>
      </c>
    </row>
    <row r="677" spans="1:4" x14ac:dyDescent="0.3">
      <c r="A677">
        <v>3584565</v>
      </c>
      <c r="B677">
        <v>10986</v>
      </c>
      <c r="C677" t="s">
        <v>274</v>
      </c>
      <c r="D677" s="188" t="s">
        <v>8955</v>
      </c>
    </row>
    <row r="678" spans="1:4" x14ac:dyDescent="0.3">
      <c r="A678">
        <v>28414991</v>
      </c>
      <c r="B678">
        <v>10987</v>
      </c>
      <c r="C678" t="s">
        <v>618</v>
      </c>
      <c r="D678" s="188" t="s">
        <v>8955</v>
      </c>
    </row>
    <row r="679" spans="1:4" x14ac:dyDescent="0.3">
      <c r="A679">
        <v>44691117</v>
      </c>
      <c r="B679">
        <v>10988</v>
      </c>
      <c r="C679" t="s">
        <v>323</v>
      </c>
      <c r="D679" s="188" t="s">
        <v>8955</v>
      </c>
    </row>
    <row r="680" spans="1:4" x14ac:dyDescent="0.3">
      <c r="A680">
        <v>8217851</v>
      </c>
      <c r="B680">
        <v>10989</v>
      </c>
      <c r="C680" t="s">
        <v>684</v>
      </c>
      <c r="D680" s="188" t="s">
        <v>8955</v>
      </c>
    </row>
    <row r="681" spans="1:4" x14ac:dyDescent="0.3">
      <c r="A681">
        <v>30119127</v>
      </c>
      <c r="B681">
        <v>10991</v>
      </c>
      <c r="C681" t="s">
        <v>672</v>
      </c>
      <c r="D681" s="188" t="s">
        <v>8955</v>
      </c>
    </row>
    <row r="682" spans="1:4" x14ac:dyDescent="0.3">
      <c r="A682">
        <v>30721307</v>
      </c>
      <c r="B682">
        <v>10991</v>
      </c>
      <c r="C682" t="s">
        <v>672</v>
      </c>
      <c r="D682" s="188" t="s">
        <v>8955</v>
      </c>
    </row>
    <row r="683" spans="1:4" x14ac:dyDescent="0.3">
      <c r="A683">
        <v>45184488</v>
      </c>
      <c r="B683">
        <v>10992</v>
      </c>
      <c r="C683" t="s">
        <v>341</v>
      </c>
      <c r="D683" s="188" t="s">
        <v>8955</v>
      </c>
    </row>
    <row r="684" spans="1:4" x14ac:dyDescent="0.3">
      <c r="A684">
        <v>14252521</v>
      </c>
      <c r="B684">
        <v>10993</v>
      </c>
      <c r="C684" t="s">
        <v>290</v>
      </c>
      <c r="D684" s="188" t="s">
        <v>8955</v>
      </c>
    </row>
    <row r="685" spans="1:4" x14ac:dyDescent="0.3">
      <c r="A685">
        <v>4017545</v>
      </c>
      <c r="B685">
        <v>10994</v>
      </c>
      <c r="C685" t="s">
        <v>620</v>
      </c>
      <c r="D685" s="188" t="s">
        <v>8955</v>
      </c>
    </row>
    <row r="686" spans="1:4" x14ac:dyDescent="0.3">
      <c r="A686">
        <v>29072642</v>
      </c>
      <c r="B686">
        <v>10995</v>
      </c>
      <c r="C686" t="s">
        <v>864</v>
      </c>
      <c r="D686" s="188" t="s">
        <v>8955</v>
      </c>
    </row>
    <row r="687" spans="1:4" x14ac:dyDescent="0.3">
      <c r="A687">
        <v>11606543</v>
      </c>
      <c r="B687">
        <v>10996</v>
      </c>
      <c r="C687" t="s">
        <v>1032</v>
      </c>
      <c r="D687" s="188" t="s">
        <v>8955</v>
      </c>
    </row>
    <row r="688" spans="1:4" x14ac:dyDescent="0.3">
      <c r="A688">
        <v>32011713</v>
      </c>
      <c r="B688">
        <v>10997</v>
      </c>
      <c r="C688" t="s">
        <v>338</v>
      </c>
      <c r="D688" s="188" t="s">
        <v>8955</v>
      </c>
    </row>
    <row r="689" spans="1:4" x14ac:dyDescent="0.3">
      <c r="A689">
        <v>23172824</v>
      </c>
      <c r="B689">
        <v>10998</v>
      </c>
      <c r="C689" t="s">
        <v>1214</v>
      </c>
      <c r="D689" s="188" t="s">
        <v>8955</v>
      </c>
    </row>
    <row r="690" spans="1:4" x14ac:dyDescent="0.3">
      <c r="A690">
        <v>35687149</v>
      </c>
      <c r="B690">
        <v>10999</v>
      </c>
      <c r="C690" t="s">
        <v>1028</v>
      </c>
      <c r="D690" s="188" t="s">
        <v>8955</v>
      </c>
    </row>
    <row r="691" spans="1:4" x14ac:dyDescent="0.3">
      <c r="A691">
        <v>21624671</v>
      </c>
      <c r="B691">
        <v>11001</v>
      </c>
      <c r="C691" t="s">
        <v>622</v>
      </c>
      <c r="D691" s="188" t="s">
        <v>8955</v>
      </c>
    </row>
    <row r="692" spans="1:4" x14ac:dyDescent="0.3">
      <c r="A692">
        <v>14779980</v>
      </c>
      <c r="B692">
        <v>11002</v>
      </c>
      <c r="C692" t="s">
        <v>1097</v>
      </c>
      <c r="D692" s="188" t="s">
        <v>8955</v>
      </c>
    </row>
    <row r="693" spans="1:4" x14ac:dyDescent="0.3">
      <c r="A693">
        <v>17159856</v>
      </c>
      <c r="B693">
        <v>11003</v>
      </c>
      <c r="C693" t="s">
        <v>623</v>
      </c>
      <c r="D693" s="188" t="s">
        <v>8955</v>
      </c>
    </row>
    <row r="694" spans="1:4" x14ac:dyDescent="0.3">
      <c r="A694">
        <v>10736565</v>
      </c>
      <c r="B694">
        <v>11004</v>
      </c>
      <c r="C694" t="s">
        <v>1208</v>
      </c>
      <c r="D694" s="188" t="s">
        <v>8955</v>
      </c>
    </row>
    <row r="695" spans="1:4" x14ac:dyDescent="0.3">
      <c r="A695">
        <v>41305284</v>
      </c>
      <c r="B695">
        <v>11005</v>
      </c>
      <c r="C695" t="s">
        <v>1131</v>
      </c>
      <c r="D695" s="188" t="s">
        <v>8955</v>
      </c>
    </row>
    <row r="696" spans="1:4" x14ac:dyDescent="0.3">
      <c r="A696">
        <v>11232520</v>
      </c>
      <c r="B696">
        <v>11006</v>
      </c>
      <c r="C696" t="s">
        <v>625</v>
      </c>
      <c r="D696" s="188" t="s">
        <v>8955</v>
      </c>
    </row>
    <row r="697" spans="1:4" x14ac:dyDescent="0.3">
      <c r="A697">
        <v>73738239</v>
      </c>
      <c r="B697">
        <v>11007</v>
      </c>
      <c r="C697" t="s">
        <v>277</v>
      </c>
      <c r="D697" s="188" t="s">
        <v>8955</v>
      </c>
    </row>
    <row r="698" spans="1:4" x14ac:dyDescent="0.3">
      <c r="A698">
        <v>73738239</v>
      </c>
      <c r="B698">
        <v>11008</v>
      </c>
      <c r="C698" t="s">
        <v>327</v>
      </c>
      <c r="D698" s="188" t="s">
        <v>8955</v>
      </c>
    </row>
    <row r="699" spans="1:4" x14ac:dyDescent="0.3">
      <c r="A699">
        <v>73738239</v>
      </c>
      <c r="B699">
        <v>11009</v>
      </c>
      <c r="C699" t="s">
        <v>899</v>
      </c>
      <c r="D699" s="188" t="s">
        <v>8955</v>
      </c>
    </row>
    <row r="700" spans="1:4" x14ac:dyDescent="0.3">
      <c r="A700">
        <v>23347255</v>
      </c>
      <c r="B700">
        <v>11010</v>
      </c>
      <c r="C700" t="s">
        <v>626</v>
      </c>
      <c r="D700" s="188" t="s">
        <v>8955</v>
      </c>
    </row>
    <row r="701" spans="1:4" x14ac:dyDescent="0.3">
      <c r="A701">
        <v>38923967</v>
      </c>
      <c r="B701">
        <v>11011</v>
      </c>
      <c r="C701" t="s">
        <v>1058</v>
      </c>
      <c r="D701" s="188" t="s">
        <v>8955</v>
      </c>
    </row>
    <row r="702" spans="1:4" x14ac:dyDescent="0.3">
      <c r="A702">
        <v>35820448</v>
      </c>
      <c r="B702">
        <v>11012</v>
      </c>
      <c r="C702" t="s">
        <v>633</v>
      </c>
      <c r="D702" s="188" t="s">
        <v>8955</v>
      </c>
    </row>
    <row r="703" spans="1:4" x14ac:dyDescent="0.3">
      <c r="A703">
        <v>25349440</v>
      </c>
      <c r="B703">
        <v>11013</v>
      </c>
      <c r="C703" t="s">
        <v>839</v>
      </c>
      <c r="D703" s="188" t="s">
        <v>8955</v>
      </c>
    </row>
    <row r="704" spans="1:4" x14ac:dyDescent="0.3">
      <c r="A704">
        <v>7358761</v>
      </c>
      <c r="B704">
        <v>11014</v>
      </c>
      <c r="C704" t="s">
        <v>627</v>
      </c>
      <c r="D704" s="188" t="s">
        <v>8955</v>
      </c>
    </row>
    <row r="705" spans="1:4" x14ac:dyDescent="0.3">
      <c r="A705">
        <v>20275418</v>
      </c>
      <c r="B705">
        <v>11015</v>
      </c>
      <c r="C705" t="s">
        <v>634</v>
      </c>
      <c r="D705" s="188" t="s">
        <v>8955</v>
      </c>
    </row>
    <row r="706" spans="1:4" x14ac:dyDescent="0.3">
      <c r="A706">
        <v>8343492</v>
      </c>
      <c r="B706">
        <v>11016</v>
      </c>
      <c r="C706" t="s">
        <v>1166</v>
      </c>
      <c r="D706" s="188" t="s">
        <v>8955</v>
      </c>
    </row>
    <row r="707" spans="1:4" x14ac:dyDescent="0.3">
      <c r="A707">
        <v>3773700</v>
      </c>
      <c r="B707">
        <v>11017</v>
      </c>
      <c r="C707" t="s">
        <v>1029</v>
      </c>
      <c r="D707" s="188" t="s">
        <v>8955</v>
      </c>
    </row>
    <row r="708" spans="1:4" x14ac:dyDescent="0.3">
      <c r="A708">
        <v>61584223</v>
      </c>
      <c r="B708">
        <v>11018</v>
      </c>
      <c r="C708" t="s">
        <v>628</v>
      </c>
      <c r="D708" s="188" t="s">
        <v>8955</v>
      </c>
    </row>
    <row r="709" spans="1:4" x14ac:dyDescent="0.3">
      <c r="A709">
        <v>20825645</v>
      </c>
      <c r="B709">
        <v>11019</v>
      </c>
      <c r="C709" t="s">
        <v>629</v>
      </c>
      <c r="D709" s="188" t="s">
        <v>8955</v>
      </c>
    </row>
    <row r="710" spans="1:4" x14ac:dyDescent="0.3">
      <c r="A710">
        <v>12514972</v>
      </c>
      <c r="B710">
        <v>11020</v>
      </c>
      <c r="C710" t="s">
        <v>1176</v>
      </c>
      <c r="D710" s="188" t="s">
        <v>8955</v>
      </c>
    </row>
    <row r="711" spans="1:4" x14ac:dyDescent="0.3">
      <c r="A711">
        <v>71087340</v>
      </c>
      <c r="B711">
        <v>11021</v>
      </c>
      <c r="C711" t="s">
        <v>630</v>
      </c>
      <c r="D711" s="188" t="s">
        <v>8955</v>
      </c>
    </row>
    <row r="712" spans="1:4" x14ac:dyDescent="0.3">
      <c r="A712">
        <v>3773700</v>
      </c>
      <c r="B712">
        <v>11022</v>
      </c>
      <c r="C712" t="s">
        <v>631</v>
      </c>
      <c r="D712" s="188" t="s">
        <v>8955</v>
      </c>
    </row>
    <row r="713" spans="1:4" x14ac:dyDescent="0.3">
      <c r="A713">
        <v>17327127</v>
      </c>
      <c r="B713">
        <v>11023</v>
      </c>
      <c r="C713" t="s">
        <v>632</v>
      </c>
      <c r="D713" s="188" t="s">
        <v>8955</v>
      </c>
    </row>
    <row r="714" spans="1:4" x14ac:dyDescent="0.3">
      <c r="A714">
        <v>42150391</v>
      </c>
      <c r="B714">
        <v>11024</v>
      </c>
      <c r="C714" t="s">
        <v>1167</v>
      </c>
      <c r="D714" s="188" t="s">
        <v>8955</v>
      </c>
    </row>
    <row r="715" spans="1:4" x14ac:dyDescent="0.3">
      <c r="A715">
        <v>18145864896</v>
      </c>
      <c r="B715">
        <v>11025</v>
      </c>
      <c r="C715" t="s">
        <v>225</v>
      </c>
      <c r="D715" s="188" t="s">
        <v>8955</v>
      </c>
    </row>
    <row r="716" spans="1:4" x14ac:dyDescent="0.3">
      <c r="A716">
        <v>15120108</v>
      </c>
      <c r="B716">
        <v>11026</v>
      </c>
      <c r="C716" t="s">
        <v>642</v>
      </c>
      <c r="D716" s="188" t="s">
        <v>8955</v>
      </c>
    </row>
    <row r="717" spans="1:4" x14ac:dyDescent="0.3">
      <c r="A717">
        <v>18745864896</v>
      </c>
      <c r="B717">
        <v>11027</v>
      </c>
      <c r="C717" t="s">
        <v>225</v>
      </c>
      <c r="D717" s="188" t="s">
        <v>8955</v>
      </c>
    </row>
    <row r="718" spans="1:4" x14ac:dyDescent="0.3">
      <c r="A718">
        <v>5451102</v>
      </c>
      <c r="B718">
        <v>11028</v>
      </c>
      <c r="C718" t="s">
        <v>635</v>
      </c>
      <c r="D718" s="188" t="s">
        <v>8955</v>
      </c>
    </row>
    <row r="719" spans="1:4" x14ac:dyDescent="0.3">
      <c r="A719">
        <v>21146497</v>
      </c>
      <c r="B719">
        <v>11029</v>
      </c>
      <c r="C719" t="s">
        <v>274</v>
      </c>
      <c r="D719" s="188" t="s">
        <v>8955</v>
      </c>
    </row>
    <row r="720" spans="1:4" x14ac:dyDescent="0.3">
      <c r="A720">
        <v>23781092</v>
      </c>
      <c r="B720">
        <v>11030</v>
      </c>
      <c r="C720" t="s">
        <v>1073</v>
      </c>
      <c r="D720" s="188" t="s">
        <v>8955</v>
      </c>
    </row>
    <row r="721" spans="1:4" x14ac:dyDescent="0.3">
      <c r="A721">
        <v>28643946</v>
      </c>
      <c r="B721">
        <v>11031</v>
      </c>
      <c r="C721" t="s">
        <v>913</v>
      </c>
      <c r="D721" s="188" t="s">
        <v>8955</v>
      </c>
    </row>
    <row r="722" spans="1:4" x14ac:dyDescent="0.3">
      <c r="A722">
        <v>51604874</v>
      </c>
      <c r="B722">
        <v>11032</v>
      </c>
      <c r="C722" t="s">
        <v>510</v>
      </c>
      <c r="D722" s="188" t="s">
        <v>8955</v>
      </c>
    </row>
    <row r="723" spans="1:4" x14ac:dyDescent="0.3">
      <c r="A723">
        <v>3958504</v>
      </c>
      <c r="B723">
        <v>11033</v>
      </c>
      <c r="C723" t="s">
        <v>1168</v>
      </c>
      <c r="D723" s="188" t="s">
        <v>8955</v>
      </c>
    </row>
    <row r="724" spans="1:4" x14ac:dyDescent="0.3">
      <c r="A724">
        <v>7360115</v>
      </c>
      <c r="B724">
        <v>11034</v>
      </c>
      <c r="C724" t="s">
        <v>1171</v>
      </c>
      <c r="D724" s="188" t="s">
        <v>8955</v>
      </c>
    </row>
    <row r="725" spans="1:4" x14ac:dyDescent="0.3">
      <c r="A725">
        <v>19941341</v>
      </c>
      <c r="B725">
        <v>11035</v>
      </c>
      <c r="C725" t="s">
        <v>637</v>
      </c>
      <c r="D725" s="188" t="s">
        <v>8955</v>
      </c>
    </row>
    <row r="726" spans="1:4" x14ac:dyDescent="0.3">
      <c r="A726">
        <v>29254042</v>
      </c>
      <c r="B726">
        <v>11036</v>
      </c>
      <c r="C726" t="s">
        <v>1127</v>
      </c>
      <c r="D726" s="188" t="s">
        <v>8955</v>
      </c>
    </row>
    <row r="727" spans="1:4" x14ac:dyDescent="0.3">
      <c r="A727">
        <v>8343492</v>
      </c>
      <c r="B727">
        <v>11037</v>
      </c>
      <c r="C727" t="s">
        <v>1215</v>
      </c>
      <c r="D727" s="188" t="s">
        <v>8955</v>
      </c>
    </row>
    <row r="728" spans="1:4" x14ac:dyDescent="0.3">
      <c r="A728">
        <v>5777852</v>
      </c>
      <c r="B728">
        <v>11038</v>
      </c>
      <c r="C728" t="s">
        <v>638</v>
      </c>
      <c r="D728" s="188" t="s">
        <v>8955</v>
      </c>
    </row>
    <row r="729" spans="1:4" x14ac:dyDescent="0.3">
      <c r="A729">
        <v>11796408</v>
      </c>
      <c r="B729">
        <v>11039</v>
      </c>
      <c r="C729" t="s">
        <v>643</v>
      </c>
      <c r="D729" s="188" t="s">
        <v>8955</v>
      </c>
    </row>
    <row r="730" spans="1:4" x14ac:dyDescent="0.3">
      <c r="A730">
        <v>13395766861</v>
      </c>
      <c r="B730">
        <v>11040</v>
      </c>
      <c r="C730" t="s">
        <v>1196</v>
      </c>
      <c r="D730" s="188" t="s">
        <v>8955</v>
      </c>
    </row>
    <row r="731" spans="1:4" x14ac:dyDescent="0.3">
      <c r="A731">
        <v>16437942</v>
      </c>
      <c r="B731">
        <v>11041</v>
      </c>
      <c r="C731" t="s">
        <v>318</v>
      </c>
      <c r="D731" s="188" t="s">
        <v>8955</v>
      </c>
    </row>
    <row r="732" spans="1:4" x14ac:dyDescent="0.3">
      <c r="A732">
        <v>16437942</v>
      </c>
      <c r="B732">
        <v>11042</v>
      </c>
      <c r="C732" t="s">
        <v>274</v>
      </c>
      <c r="D732" s="188" t="s">
        <v>8955</v>
      </c>
    </row>
    <row r="733" spans="1:4" x14ac:dyDescent="0.3">
      <c r="A733">
        <v>8343492</v>
      </c>
      <c r="B733">
        <v>11043</v>
      </c>
      <c r="C733" t="s">
        <v>1059</v>
      </c>
      <c r="D733" s="188" t="s">
        <v>8955</v>
      </c>
    </row>
    <row r="734" spans="1:4" x14ac:dyDescent="0.3">
      <c r="A734">
        <v>9592071</v>
      </c>
      <c r="B734">
        <v>11044</v>
      </c>
      <c r="C734" t="s">
        <v>639</v>
      </c>
      <c r="D734" s="188" t="s">
        <v>8955</v>
      </c>
    </row>
    <row r="735" spans="1:4" x14ac:dyDescent="0.3">
      <c r="A735">
        <v>53794541</v>
      </c>
      <c r="B735">
        <v>11045</v>
      </c>
      <c r="C735" t="s">
        <v>640</v>
      </c>
      <c r="D735" s="188" t="s">
        <v>8955</v>
      </c>
    </row>
    <row r="736" spans="1:4" x14ac:dyDescent="0.3">
      <c r="A736">
        <v>2565617</v>
      </c>
      <c r="B736">
        <v>11046</v>
      </c>
      <c r="C736" t="s">
        <v>736</v>
      </c>
      <c r="D736" s="188" t="s">
        <v>8955</v>
      </c>
    </row>
    <row r="737" spans="1:4" x14ac:dyDescent="0.3">
      <c r="A737">
        <v>24070142</v>
      </c>
      <c r="B737">
        <v>11047</v>
      </c>
      <c r="C737" t="s">
        <v>897</v>
      </c>
      <c r="D737" s="188" t="s">
        <v>8955</v>
      </c>
    </row>
    <row r="738" spans="1:4" x14ac:dyDescent="0.3">
      <c r="A738">
        <v>26201317</v>
      </c>
      <c r="B738">
        <v>11048</v>
      </c>
      <c r="C738" t="s">
        <v>1172</v>
      </c>
      <c r="D738" s="188" t="s">
        <v>8955</v>
      </c>
    </row>
    <row r="739" spans="1:4" x14ac:dyDescent="0.3">
      <c r="A739">
        <v>19758842</v>
      </c>
      <c r="B739">
        <v>11049</v>
      </c>
      <c r="C739" t="s">
        <v>645</v>
      </c>
      <c r="D739" s="188" t="s">
        <v>8955</v>
      </c>
    </row>
    <row r="740" spans="1:4" x14ac:dyDescent="0.3">
      <c r="A740">
        <v>17214743</v>
      </c>
      <c r="B740">
        <v>11050</v>
      </c>
      <c r="C740" t="s">
        <v>646</v>
      </c>
      <c r="D740" s="188" t="s">
        <v>8955</v>
      </c>
    </row>
    <row r="741" spans="1:4" x14ac:dyDescent="0.3">
      <c r="A741">
        <v>31289134</v>
      </c>
      <c r="B741">
        <v>11051</v>
      </c>
      <c r="C741" t="s">
        <v>647</v>
      </c>
      <c r="D741" s="188" t="s">
        <v>8955</v>
      </c>
    </row>
    <row r="742" spans="1:4" x14ac:dyDescent="0.3">
      <c r="A742">
        <v>22357900</v>
      </c>
      <c r="B742">
        <v>11052</v>
      </c>
      <c r="C742" t="s">
        <v>648</v>
      </c>
      <c r="D742" s="188" t="s">
        <v>8955</v>
      </c>
    </row>
    <row r="743" spans="1:4" x14ac:dyDescent="0.3">
      <c r="A743">
        <v>3992929</v>
      </c>
      <c r="B743">
        <v>11053</v>
      </c>
      <c r="C743" t="s">
        <v>649</v>
      </c>
      <c r="D743" s="188" t="s">
        <v>8955</v>
      </c>
    </row>
    <row r="744" spans="1:4" x14ac:dyDescent="0.3">
      <c r="A744">
        <v>3519018683</v>
      </c>
      <c r="B744">
        <v>11054</v>
      </c>
      <c r="C744" t="s">
        <v>483</v>
      </c>
      <c r="D744" s="188" t="s">
        <v>8955</v>
      </c>
    </row>
    <row r="745" spans="1:4" x14ac:dyDescent="0.3">
      <c r="A745">
        <v>92943398</v>
      </c>
      <c r="B745">
        <v>11055</v>
      </c>
      <c r="C745" t="s">
        <v>290</v>
      </c>
      <c r="D745" s="188" t="s">
        <v>8955</v>
      </c>
    </row>
    <row r="746" spans="1:4" x14ac:dyDescent="0.3">
      <c r="A746">
        <v>13118774</v>
      </c>
      <c r="B746">
        <v>11056</v>
      </c>
      <c r="C746" t="s">
        <v>650</v>
      </c>
      <c r="D746" s="188" t="s">
        <v>8955</v>
      </c>
    </row>
    <row r="747" spans="1:4" x14ac:dyDescent="0.3">
      <c r="A747">
        <v>37597005</v>
      </c>
      <c r="B747">
        <v>11057</v>
      </c>
      <c r="C747" t="s">
        <v>651</v>
      </c>
      <c r="D747" s="188" t="s">
        <v>8955</v>
      </c>
    </row>
    <row r="748" spans="1:4" x14ac:dyDescent="0.3">
      <c r="A748">
        <v>33000167</v>
      </c>
      <c r="B748">
        <v>11058</v>
      </c>
      <c r="C748" t="s">
        <v>652</v>
      </c>
      <c r="D748" s="188" t="s">
        <v>8955</v>
      </c>
    </row>
    <row r="749" spans="1:4" x14ac:dyDescent="0.3">
      <c r="A749">
        <v>91894774</v>
      </c>
      <c r="B749">
        <v>11059</v>
      </c>
      <c r="C749" t="s">
        <v>373</v>
      </c>
      <c r="D749" s="188" t="s">
        <v>8955</v>
      </c>
    </row>
    <row r="750" spans="1:4" x14ac:dyDescent="0.3">
      <c r="A750">
        <v>42150391</v>
      </c>
      <c r="B750">
        <v>11060</v>
      </c>
      <c r="C750" t="s">
        <v>661</v>
      </c>
      <c r="D750" s="188" t="s">
        <v>8955</v>
      </c>
    </row>
    <row r="751" spans="1:4" x14ac:dyDescent="0.3">
      <c r="A751">
        <v>3584565</v>
      </c>
      <c r="B751">
        <v>11061</v>
      </c>
      <c r="C751" t="s">
        <v>876</v>
      </c>
      <c r="D751" s="188" t="s">
        <v>8955</v>
      </c>
    </row>
    <row r="752" spans="1:4" x14ac:dyDescent="0.3">
      <c r="A752">
        <v>3892047</v>
      </c>
      <c r="B752">
        <v>11062</v>
      </c>
      <c r="C752" t="s">
        <v>653</v>
      </c>
      <c r="D752" s="188" t="s">
        <v>8955</v>
      </c>
    </row>
    <row r="753" spans="1:4" x14ac:dyDescent="0.3">
      <c r="A753">
        <v>25316751</v>
      </c>
      <c r="B753">
        <v>11063</v>
      </c>
      <c r="C753" t="s">
        <v>663</v>
      </c>
      <c r="D753" s="188" t="s">
        <v>8955</v>
      </c>
    </row>
    <row r="754" spans="1:4" x14ac:dyDescent="0.3">
      <c r="A754">
        <v>3290647</v>
      </c>
      <c r="B754">
        <v>11065</v>
      </c>
      <c r="C754" t="s">
        <v>654</v>
      </c>
      <c r="D754" s="188" t="s">
        <v>8955</v>
      </c>
    </row>
    <row r="755" spans="1:4" x14ac:dyDescent="0.3">
      <c r="A755">
        <v>26542467</v>
      </c>
      <c r="B755">
        <v>11066</v>
      </c>
      <c r="C755" t="s">
        <v>655</v>
      </c>
      <c r="D755" s="188" t="s">
        <v>8955</v>
      </c>
    </row>
    <row r="756" spans="1:4" x14ac:dyDescent="0.3">
      <c r="A756">
        <v>5427215</v>
      </c>
      <c r="B756">
        <v>11067</v>
      </c>
      <c r="C756" t="s">
        <v>291</v>
      </c>
      <c r="D756" s="188" t="s">
        <v>8955</v>
      </c>
    </row>
    <row r="757" spans="1:4" x14ac:dyDescent="0.3">
      <c r="A757">
        <v>13265404</v>
      </c>
      <c r="B757">
        <v>11068</v>
      </c>
      <c r="C757" t="s">
        <v>656</v>
      </c>
      <c r="D757" s="188" t="s">
        <v>8955</v>
      </c>
    </row>
    <row r="758" spans="1:4" x14ac:dyDescent="0.3">
      <c r="A758">
        <v>34393222</v>
      </c>
      <c r="B758">
        <v>11069</v>
      </c>
      <c r="C758" t="s">
        <v>331</v>
      </c>
      <c r="D758" s="188" t="s">
        <v>8955</v>
      </c>
    </row>
    <row r="759" spans="1:4" x14ac:dyDescent="0.3">
      <c r="A759">
        <v>22406941</v>
      </c>
      <c r="B759">
        <v>11070</v>
      </c>
      <c r="C759" t="s">
        <v>657</v>
      </c>
      <c r="D759" s="188" t="s">
        <v>8955</v>
      </c>
    </row>
    <row r="760" spans="1:4" x14ac:dyDescent="0.3">
      <c r="A760">
        <v>17217001</v>
      </c>
      <c r="B760">
        <v>11071</v>
      </c>
      <c r="C760" t="s">
        <v>658</v>
      </c>
      <c r="D760" s="188" t="s">
        <v>8955</v>
      </c>
    </row>
    <row r="761" spans="1:4" x14ac:dyDescent="0.3">
      <c r="A761">
        <v>10965982</v>
      </c>
      <c r="B761">
        <v>11072</v>
      </c>
      <c r="C761" t="s">
        <v>779</v>
      </c>
      <c r="D761" s="188" t="s">
        <v>8955</v>
      </c>
    </row>
    <row r="762" spans="1:4" x14ac:dyDescent="0.3">
      <c r="A762">
        <v>10965982</v>
      </c>
      <c r="B762">
        <v>11073</v>
      </c>
      <c r="C762" t="s">
        <v>779</v>
      </c>
      <c r="D762" s="188" t="s">
        <v>8955</v>
      </c>
    </row>
    <row r="763" spans="1:4" x14ac:dyDescent="0.3">
      <c r="A763">
        <v>36178464</v>
      </c>
      <c r="B763">
        <v>11074</v>
      </c>
      <c r="C763" t="s">
        <v>1004</v>
      </c>
      <c r="D763" s="188" t="s">
        <v>8955</v>
      </c>
    </row>
    <row r="764" spans="1:4" x14ac:dyDescent="0.3">
      <c r="A764">
        <v>7203876</v>
      </c>
      <c r="B764">
        <v>11075</v>
      </c>
      <c r="C764" t="s">
        <v>659</v>
      </c>
      <c r="D764" s="188" t="s">
        <v>8955</v>
      </c>
    </row>
    <row r="765" spans="1:4" x14ac:dyDescent="0.3">
      <c r="A765">
        <v>19878404</v>
      </c>
      <c r="B765">
        <v>11076</v>
      </c>
      <c r="C765" t="s">
        <v>660</v>
      </c>
      <c r="D765" s="188" t="s">
        <v>8955</v>
      </c>
    </row>
    <row r="766" spans="1:4" x14ac:dyDescent="0.3">
      <c r="A766">
        <v>3503152</v>
      </c>
      <c r="B766">
        <v>11077</v>
      </c>
      <c r="C766" t="s">
        <v>668</v>
      </c>
      <c r="D766" s="188" t="s">
        <v>8955</v>
      </c>
    </row>
    <row r="767" spans="1:4" x14ac:dyDescent="0.3">
      <c r="A767">
        <v>41641398</v>
      </c>
      <c r="B767">
        <v>11078</v>
      </c>
      <c r="C767" t="s">
        <v>665</v>
      </c>
      <c r="D767" s="188" t="s">
        <v>8955</v>
      </c>
    </row>
    <row r="768" spans="1:4" x14ac:dyDescent="0.3">
      <c r="A768">
        <v>30082835</v>
      </c>
      <c r="B768">
        <v>11079</v>
      </c>
      <c r="C768" t="s">
        <v>666</v>
      </c>
      <c r="D768" s="188" t="s">
        <v>8955</v>
      </c>
    </row>
    <row r="769" spans="1:4" x14ac:dyDescent="0.3">
      <c r="A769">
        <v>3417241227</v>
      </c>
      <c r="B769">
        <v>11080</v>
      </c>
      <c r="C769" t="s">
        <v>1139</v>
      </c>
      <c r="D769" s="188" t="s">
        <v>8955</v>
      </c>
    </row>
    <row r="770" spans="1:4" x14ac:dyDescent="0.3">
      <c r="A770">
        <v>41699364</v>
      </c>
      <c r="B770">
        <v>11081</v>
      </c>
      <c r="C770" t="s">
        <v>667</v>
      </c>
      <c r="D770" s="188" t="s">
        <v>8955</v>
      </c>
    </row>
    <row r="771" spans="1:4" x14ac:dyDescent="0.3">
      <c r="A771">
        <v>13376093</v>
      </c>
      <c r="B771">
        <v>11082</v>
      </c>
      <c r="C771" t="s">
        <v>1199</v>
      </c>
      <c r="D771" s="188" t="s">
        <v>8955</v>
      </c>
    </row>
    <row r="772" spans="1:4" x14ac:dyDescent="0.3">
      <c r="A772">
        <v>29513405</v>
      </c>
      <c r="B772">
        <v>11083</v>
      </c>
      <c r="C772" t="s">
        <v>846</v>
      </c>
      <c r="D772" s="188" t="s">
        <v>8955</v>
      </c>
    </row>
    <row r="773" spans="1:4" x14ac:dyDescent="0.3">
      <c r="A773">
        <v>22021069</v>
      </c>
      <c r="B773">
        <v>11084</v>
      </c>
      <c r="C773" t="s">
        <v>669</v>
      </c>
      <c r="D773" s="188" t="s">
        <v>8955</v>
      </c>
    </row>
    <row r="774" spans="1:4" x14ac:dyDescent="0.3">
      <c r="A774">
        <v>18291351</v>
      </c>
      <c r="B774">
        <v>11085</v>
      </c>
      <c r="C774" t="s">
        <v>896</v>
      </c>
      <c r="D774" s="188" t="s">
        <v>8955</v>
      </c>
    </row>
    <row r="775" spans="1:4" x14ac:dyDescent="0.3">
      <c r="A775">
        <v>29490371</v>
      </c>
      <c r="B775">
        <v>11087</v>
      </c>
      <c r="C775" t="s">
        <v>670</v>
      </c>
      <c r="D775" s="188" t="s">
        <v>8955</v>
      </c>
    </row>
    <row r="776" spans="1:4" x14ac:dyDescent="0.3">
      <c r="A776">
        <v>34850666</v>
      </c>
      <c r="B776">
        <v>11088</v>
      </c>
      <c r="C776" t="s">
        <v>673</v>
      </c>
      <c r="D776" s="188" t="s">
        <v>8955</v>
      </c>
    </row>
    <row r="777" spans="1:4" x14ac:dyDescent="0.3">
      <c r="A777">
        <v>37306608</v>
      </c>
      <c r="B777">
        <v>11089</v>
      </c>
      <c r="C777" t="s">
        <v>674</v>
      </c>
      <c r="D777" s="188" t="s">
        <v>8955</v>
      </c>
    </row>
    <row r="778" spans="1:4" x14ac:dyDescent="0.3">
      <c r="A778">
        <v>7805447</v>
      </c>
      <c r="B778">
        <v>11090</v>
      </c>
      <c r="C778" t="s">
        <v>677</v>
      </c>
      <c r="D778" s="188" t="s">
        <v>8955</v>
      </c>
    </row>
    <row r="779" spans="1:4" x14ac:dyDescent="0.3">
      <c r="A779">
        <v>23341686</v>
      </c>
      <c r="B779">
        <v>11091</v>
      </c>
      <c r="C779" t="s">
        <v>277</v>
      </c>
      <c r="D779" s="188" t="s">
        <v>8955</v>
      </c>
    </row>
    <row r="780" spans="1:4" x14ac:dyDescent="0.3">
      <c r="A780">
        <v>83932418</v>
      </c>
      <c r="B780">
        <v>11092</v>
      </c>
      <c r="C780" t="s">
        <v>365</v>
      </c>
      <c r="D780" s="188" t="s">
        <v>8955</v>
      </c>
    </row>
    <row r="781" spans="1:4" x14ac:dyDescent="0.3">
      <c r="A781">
        <v>68149228</v>
      </c>
      <c r="B781">
        <v>11093</v>
      </c>
      <c r="C781" t="s">
        <v>1018</v>
      </c>
      <c r="D781" s="188" t="s">
        <v>8955</v>
      </c>
    </row>
    <row r="782" spans="1:4" x14ac:dyDescent="0.3">
      <c r="A782">
        <v>18823515</v>
      </c>
      <c r="B782">
        <v>11094</v>
      </c>
      <c r="C782" t="s">
        <v>675</v>
      </c>
      <c r="D782" s="188" t="s">
        <v>8955</v>
      </c>
    </row>
    <row r="783" spans="1:4" x14ac:dyDescent="0.3">
      <c r="A783">
        <v>89723977</v>
      </c>
      <c r="B783">
        <v>11095</v>
      </c>
      <c r="C783" t="s">
        <v>274</v>
      </c>
      <c r="D783" s="188" t="s">
        <v>8955</v>
      </c>
    </row>
    <row r="784" spans="1:4" x14ac:dyDescent="0.3">
      <c r="A784">
        <v>4136716</v>
      </c>
      <c r="B784">
        <v>11096</v>
      </c>
      <c r="C784" t="s">
        <v>283</v>
      </c>
      <c r="D784" s="188" t="s">
        <v>8955</v>
      </c>
    </row>
    <row r="785" spans="1:4" x14ac:dyDescent="0.3">
      <c r="A785">
        <v>27467498</v>
      </c>
      <c r="B785">
        <v>11097</v>
      </c>
      <c r="C785" t="s">
        <v>357</v>
      </c>
      <c r="D785" s="188" t="s">
        <v>8955</v>
      </c>
    </row>
    <row r="786" spans="1:4" x14ac:dyDescent="0.3">
      <c r="A786">
        <v>20651311</v>
      </c>
      <c r="B786">
        <v>11098</v>
      </c>
      <c r="C786" t="s">
        <v>676</v>
      </c>
      <c r="D786" s="188" t="s">
        <v>8955</v>
      </c>
    </row>
    <row r="787" spans="1:4" x14ac:dyDescent="0.3">
      <c r="A787">
        <v>89723977</v>
      </c>
      <c r="B787">
        <v>11099</v>
      </c>
      <c r="C787" t="s">
        <v>277</v>
      </c>
      <c r="D787" s="188" t="s">
        <v>8955</v>
      </c>
    </row>
    <row r="788" spans="1:4" x14ac:dyDescent="0.3">
      <c r="A788">
        <v>89723977</v>
      </c>
      <c r="B788">
        <v>11100</v>
      </c>
      <c r="C788" t="s">
        <v>327</v>
      </c>
      <c r="D788" s="188" t="s">
        <v>8955</v>
      </c>
    </row>
    <row r="789" spans="1:4" x14ac:dyDescent="0.3">
      <c r="A789">
        <v>1744153</v>
      </c>
      <c r="B789">
        <v>11101</v>
      </c>
      <c r="C789" t="s">
        <v>678</v>
      </c>
      <c r="D789" s="188" t="s">
        <v>8955</v>
      </c>
    </row>
    <row r="790" spans="1:4" x14ac:dyDescent="0.3">
      <c r="A790">
        <v>78457454</v>
      </c>
      <c r="B790">
        <v>11102</v>
      </c>
      <c r="C790" t="s">
        <v>371</v>
      </c>
      <c r="D790" s="188" t="s">
        <v>8955</v>
      </c>
    </row>
    <row r="791" spans="1:4" x14ac:dyDescent="0.3">
      <c r="A791">
        <v>4787989</v>
      </c>
      <c r="B791">
        <v>11103</v>
      </c>
      <c r="C791" t="s">
        <v>679</v>
      </c>
      <c r="D791" s="188" t="s">
        <v>8955</v>
      </c>
    </row>
    <row r="792" spans="1:4" x14ac:dyDescent="0.3">
      <c r="A792">
        <v>31248296</v>
      </c>
      <c r="B792">
        <v>11104</v>
      </c>
      <c r="C792" t="s">
        <v>680</v>
      </c>
      <c r="D792" s="188" t="s">
        <v>8955</v>
      </c>
    </row>
    <row r="793" spans="1:4" x14ac:dyDescent="0.3">
      <c r="A793">
        <v>8723106</v>
      </c>
      <c r="B793">
        <v>11105</v>
      </c>
      <c r="C793" t="s">
        <v>274</v>
      </c>
      <c r="D793" s="188" t="s">
        <v>8955</v>
      </c>
    </row>
    <row r="794" spans="1:4" x14ac:dyDescent="0.3">
      <c r="A794">
        <v>34355513</v>
      </c>
      <c r="B794">
        <v>11106</v>
      </c>
      <c r="C794" t="s">
        <v>679</v>
      </c>
      <c r="D794" s="188" t="s">
        <v>8955</v>
      </c>
    </row>
    <row r="795" spans="1:4" x14ac:dyDescent="0.3">
      <c r="A795">
        <v>8723106</v>
      </c>
      <c r="B795">
        <v>11107</v>
      </c>
      <c r="C795" t="s">
        <v>274</v>
      </c>
      <c r="D795" s="188" t="s">
        <v>8955</v>
      </c>
    </row>
    <row r="796" spans="1:4" x14ac:dyDescent="0.3">
      <c r="A796">
        <v>4970016</v>
      </c>
      <c r="B796">
        <v>11108</v>
      </c>
      <c r="C796" t="s">
        <v>681</v>
      </c>
      <c r="D796" s="188" t="s">
        <v>8955</v>
      </c>
    </row>
    <row r="797" spans="1:4" x14ac:dyDescent="0.3">
      <c r="A797">
        <v>13601813</v>
      </c>
      <c r="B797">
        <v>11109</v>
      </c>
      <c r="C797" t="s">
        <v>1020</v>
      </c>
      <c r="D797" s="188" t="s">
        <v>8955</v>
      </c>
    </row>
    <row r="798" spans="1:4" x14ac:dyDescent="0.3">
      <c r="A798">
        <v>655209</v>
      </c>
      <c r="B798">
        <v>11110</v>
      </c>
      <c r="C798" t="s">
        <v>664</v>
      </c>
      <c r="D798" s="188" t="s">
        <v>8955</v>
      </c>
    </row>
    <row r="799" spans="1:4" x14ac:dyDescent="0.3">
      <c r="A799">
        <v>15219292</v>
      </c>
      <c r="B799">
        <v>11111</v>
      </c>
      <c r="C799" t="s">
        <v>1030</v>
      </c>
      <c r="D799" s="188" t="s">
        <v>8955</v>
      </c>
    </row>
    <row r="800" spans="1:4" x14ac:dyDescent="0.3">
      <c r="A800">
        <v>5515245</v>
      </c>
      <c r="B800">
        <v>11112</v>
      </c>
      <c r="C800" t="s">
        <v>1017</v>
      </c>
      <c r="D800" s="188" t="s">
        <v>8955</v>
      </c>
    </row>
    <row r="801" spans="1:4" x14ac:dyDescent="0.3">
      <c r="A801">
        <v>33931486</v>
      </c>
      <c r="B801">
        <v>11113</v>
      </c>
      <c r="C801" t="s">
        <v>1021</v>
      </c>
      <c r="D801" s="188" t="s">
        <v>8955</v>
      </c>
    </row>
    <row r="802" spans="1:4" x14ac:dyDescent="0.3">
      <c r="A802">
        <v>33592510</v>
      </c>
      <c r="B802">
        <v>11114</v>
      </c>
      <c r="C802" t="s">
        <v>1033</v>
      </c>
      <c r="D802" s="188" t="s">
        <v>8955</v>
      </c>
    </row>
    <row r="803" spans="1:4" x14ac:dyDescent="0.3">
      <c r="A803">
        <v>3417241227</v>
      </c>
      <c r="B803">
        <v>11115</v>
      </c>
      <c r="C803" t="s">
        <v>1027</v>
      </c>
      <c r="D803" s="188" t="s">
        <v>8955</v>
      </c>
    </row>
    <row r="804" spans="1:4" x14ac:dyDescent="0.3">
      <c r="A804">
        <v>11452177</v>
      </c>
      <c r="B804">
        <v>11116</v>
      </c>
      <c r="C804" t="s">
        <v>682</v>
      </c>
      <c r="D804" s="188" t="s">
        <v>8955</v>
      </c>
    </row>
    <row r="805" spans="1:4" x14ac:dyDescent="0.3">
      <c r="A805">
        <v>14310577</v>
      </c>
      <c r="B805">
        <v>11117</v>
      </c>
      <c r="C805" t="s">
        <v>713</v>
      </c>
      <c r="D805" s="188" t="s">
        <v>8955</v>
      </c>
    </row>
    <row r="806" spans="1:4" x14ac:dyDescent="0.3">
      <c r="A806">
        <v>15655289</v>
      </c>
      <c r="B806">
        <v>11118</v>
      </c>
      <c r="C806" t="s">
        <v>763</v>
      </c>
      <c r="D806" s="188" t="s">
        <v>8955</v>
      </c>
    </row>
    <row r="807" spans="1:4" x14ac:dyDescent="0.3">
      <c r="A807">
        <v>34727092</v>
      </c>
      <c r="B807">
        <v>11119</v>
      </c>
      <c r="C807" t="s">
        <v>683</v>
      </c>
      <c r="D807" s="188" t="s">
        <v>8955</v>
      </c>
    </row>
    <row r="808" spans="1:4" x14ac:dyDescent="0.3">
      <c r="A808">
        <v>89723977</v>
      </c>
      <c r="B808">
        <v>11120</v>
      </c>
      <c r="C808" t="s">
        <v>274</v>
      </c>
      <c r="D808" s="188" t="s">
        <v>8955</v>
      </c>
    </row>
    <row r="809" spans="1:4" x14ac:dyDescent="0.3">
      <c r="A809">
        <v>15863304</v>
      </c>
      <c r="B809">
        <v>11121</v>
      </c>
      <c r="C809" t="s">
        <v>1019</v>
      </c>
      <c r="D809" s="188" t="s">
        <v>8955</v>
      </c>
    </row>
    <row r="810" spans="1:4" x14ac:dyDescent="0.3">
      <c r="A810">
        <v>35225388</v>
      </c>
      <c r="B810">
        <v>11122</v>
      </c>
      <c r="C810" t="s">
        <v>998</v>
      </c>
      <c r="D810" s="188" t="s">
        <v>8955</v>
      </c>
    </row>
    <row r="811" spans="1:4" x14ac:dyDescent="0.3">
      <c r="A811">
        <v>33592510</v>
      </c>
      <c r="B811">
        <v>11123</v>
      </c>
      <c r="C811" t="s">
        <v>1060</v>
      </c>
      <c r="D811" s="188" t="s">
        <v>8955</v>
      </c>
    </row>
    <row r="812" spans="1:4" x14ac:dyDescent="0.3">
      <c r="A812">
        <v>37113180</v>
      </c>
      <c r="B812">
        <v>11125</v>
      </c>
      <c r="C812" t="s">
        <v>685</v>
      </c>
      <c r="D812" s="188" t="s">
        <v>8955</v>
      </c>
    </row>
    <row r="813" spans="1:4" x14ac:dyDescent="0.3">
      <c r="A813">
        <v>39826225</v>
      </c>
      <c r="B813">
        <v>11126</v>
      </c>
      <c r="C813" t="s">
        <v>686</v>
      </c>
      <c r="D813" s="188" t="s">
        <v>8955</v>
      </c>
    </row>
    <row r="814" spans="1:4" x14ac:dyDescent="0.3">
      <c r="A814">
        <v>59104901</v>
      </c>
      <c r="B814">
        <v>11128</v>
      </c>
      <c r="C814" t="s">
        <v>1221</v>
      </c>
      <c r="D814" s="188" t="s">
        <v>8955</v>
      </c>
    </row>
    <row r="815" spans="1:4" x14ac:dyDescent="0.3">
      <c r="A815">
        <v>92779503</v>
      </c>
      <c r="B815">
        <v>11129</v>
      </c>
      <c r="C815" t="s">
        <v>687</v>
      </c>
      <c r="D815" s="188" t="s">
        <v>8955</v>
      </c>
    </row>
    <row r="816" spans="1:4" x14ac:dyDescent="0.3">
      <c r="A816">
        <v>64945298</v>
      </c>
      <c r="B816">
        <v>11130</v>
      </c>
      <c r="C816" t="s">
        <v>327</v>
      </c>
      <c r="D816" s="188" t="s">
        <v>8955</v>
      </c>
    </row>
    <row r="817" spans="1:4" x14ac:dyDescent="0.3">
      <c r="A817">
        <v>82502196</v>
      </c>
      <c r="B817">
        <v>11131</v>
      </c>
      <c r="C817" t="s">
        <v>689</v>
      </c>
      <c r="D817" s="188" t="s">
        <v>8955</v>
      </c>
    </row>
    <row r="818" spans="1:4" x14ac:dyDescent="0.3">
      <c r="A818">
        <v>40817926</v>
      </c>
      <c r="B818">
        <v>11132</v>
      </c>
      <c r="C818" t="s">
        <v>327</v>
      </c>
      <c r="D818" s="188" t="s">
        <v>8955</v>
      </c>
    </row>
    <row r="819" spans="1:4" x14ac:dyDescent="0.3">
      <c r="A819">
        <v>19276532</v>
      </c>
      <c r="B819">
        <v>11133</v>
      </c>
      <c r="C819" t="s">
        <v>690</v>
      </c>
      <c r="D819" s="188" t="s">
        <v>8955</v>
      </c>
    </row>
    <row r="820" spans="1:4" x14ac:dyDescent="0.3">
      <c r="A820">
        <v>68067446</v>
      </c>
      <c r="B820">
        <v>11134</v>
      </c>
      <c r="C820" t="s">
        <v>1041</v>
      </c>
      <c r="D820" s="188" t="s">
        <v>8955</v>
      </c>
    </row>
    <row r="821" spans="1:4" x14ac:dyDescent="0.3">
      <c r="A821">
        <v>68067446</v>
      </c>
      <c r="B821">
        <v>11135</v>
      </c>
      <c r="C821" t="s">
        <v>1041</v>
      </c>
      <c r="D821" s="188" t="s">
        <v>8955</v>
      </c>
    </row>
    <row r="822" spans="1:4" x14ac:dyDescent="0.3">
      <c r="A822">
        <v>33169340</v>
      </c>
      <c r="B822">
        <v>11136</v>
      </c>
      <c r="C822" t="s">
        <v>347</v>
      </c>
      <c r="D822" s="188" t="s">
        <v>8955</v>
      </c>
    </row>
    <row r="823" spans="1:4" x14ac:dyDescent="0.3">
      <c r="A823">
        <v>17162983</v>
      </c>
      <c r="B823">
        <v>11137</v>
      </c>
      <c r="C823" t="s">
        <v>691</v>
      </c>
      <c r="D823" s="188" t="s">
        <v>8955</v>
      </c>
    </row>
    <row r="824" spans="1:4" x14ac:dyDescent="0.3">
      <c r="A824">
        <v>183256</v>
      </c>
      <c r="B824">
        <v>11138</v>
      </c>
      <c r="C824" t="s">
        <v>692</v>
      </c>
      <c r="D824" s="188" t="s">
        <v>8955</v>
      </c>
    </row>
    <row r="825" spans="1:4" x14ac:dyDescent="0.3">
      <c r="A825">
        <v>8928273</v>
      </c>
      <c r="B825">
        <v>11139</v>
      </c>
      <c r="C825" t="s">
        <v>139</v>
      </c>
      <c r="D825" s="188" t="s">
        <v>8955</v>
      </c>
    </row>
    <row r="826" spans="1:4" x14ac:dyDescent="0.3">
      <c r="A826">
        <v>76359785</v>
      </c>
      <c r="B826">
        <v>11140</v>
      </c>
      <c r="C826" t="s">
        <v>693</v>
      </c>
      <c r="D826" s="188" t="s">
        <v>8955</v>
      </c>
    </row>
    <row r="827" spans="1:4" x14ac:dyDescent="0.3">
      <c r="A827">
        <v>40769920</v>
      </c>
      <c r="B827">
        <v>11141</v>
      </c>
      <c r="C827" t="s">
        <v>274</v>
      </c>
      <c r="D827" s="188" t="s">
        <v>8955</v>
      </c>
    </row>
    <row r="828" spans="1:4" x14ac:dyDescent="0.3">
      <c r="A828">
        <v>2577145</v>
      </c>
      <c r="B828">
        <v>11142</v>
      </c>
      <c r="C828" t="s">
        <v>694</v>
      </c>
      <c r="D828" s="188" t="s">
        <v>8955</v>
      </c>
    </row>
    <row r="829" spans="1:4" x14ac:dyDescent="0.3">
      <c r="A829">
        <v>7939296</v>
      </c>
      <c r="B829">
        <v>11143</v>
      </c>
      <c r="C829" t="s">
        <v>274</v>
      </c>
      <c r="D829" s="188" t="s">
        <v>8955</v>
      </c>
    </row>
    <row r="830" spans="1:4" x14ac:dyDescent="0.3">
      <c r="A830">
        <v>7939296</v>
      </c>
      <c r="B830">
        <v>11144</v>
      </c>
      <c r="C830" t="s">
        <v>274</v>
      </c>
      <c r="D830" s="188" t="s">
        <v>8955</v>
      </c>
    </row>
    <row r="831" spans="1:4" x14ac:dyDescent="0.3">
      <c r="A831">
        <v>7939296</v>
      </c>
      <c r="B831">
        <v>11145</v>
      </c>
      <c r="C831" t="s">
        <v>274</v>
      </c>
      <c r="D831" s="188" t="s">
        <v>8955</v>
      </c>
    </row>
    <row r="832" spans="1:4" x14ac:dyDescent="0.3">
      <c r="A832">
        <v>7939296</v>
      </c>
      <c r="B832">
        <v>11146</v>
      </c>
      <c r="C832" t="s">
        <v>274</v>
      </c>
      <c r="D832" s="188" t="s">
        <v>8955</v>
      </c>
    </row>
    <row r="833" spans="1:4" x14ac:dyDescent="0.3">
      <c r="A833">
        <v>17469701</v>
      </c>
      <c r="B833">
        <v>11147</v>
      </c>
      <c r="C833" t="s">
        <v>1174</v>
      </c>
      <c r="D833" s="188" t="s">
        <v>8955</v>
      </c>
    </row>
    <row r="834" spans="1:4" x14ac:dyDescent="0.3">
      <c r="A834">
        <v>19398874</v>
      </c>
      <c r="B834">
        <v>11148</v>
      </c>
      <c r="C834" t="s">
        <v>695</v>
      </c>
      <c r="D834" s="188" t="s">
        <v>8955</v>
      </c>
    </row>
    <row r="835" spans="1:4" x14ac:dyDescent="0.3">
      <c r="A835">
        <v>45171394253</v>
      </c>
      <c r="B835">
        <v>11149</v>
      </c>
      <c r="C835" t="s">
        <v>1122</v>
      </c>
      <c r="D835" s="188" t="s">
        <v>8955</v>
      </c>
    </row>
    <row r="836" spans="1:4" x14ac:dyDescent="0.3">
      <c r="A836">
        <v>9550684</v>
      </c>
      <c r="B836">
        <v>11150</v>
      </c>
      <c r="C836" t="s">
        <v>274</v>
      </c>
      <c r="D836" s="188" t="s">
        <v>8955</v>
      </c>
    </row>
    <row r="837" spans="1:4" x14ac:dyDescent="0.3">
      <c r="A837">
        <v>9550684</v>
      </c>
      <c r="B837">
        <v>11151</v>
      </c>
      <c r="C837" t="s">
        <v>274</v>
      </c>
      <c r="D837" s="188" t="s">
        <v>8955</v>
      </c>
    </row>
    <row r="838" spans="1:4" x14ac:dyDescent="0.3">
      <c r="A838">
        <v>12440000</v>
      </c>
      <c r="B838">
        <v>11152</v>
      </c>
      <c r="C838" t="s">
        <v>696</v>
      </c>
      <c r="D838" s="188" t="s">
        <v>8955</v>
      </c>
    </row>
    <row r="839" spans="1:4" x14ac:dyDescent="0.3">
      <c r="A839">
        <v>22104045</v>
      </c>
      <c r="B839">
        <v>11153</v>
      </c>
      <c r="C839" t="s">
        <v>697</v>
      </c>
      <c r="D839" s="188" t="s">
        <v>8955</v>
      </c>
    </row>
    <row r="840" spans="1:4" x14ac:dyDescent="0.3">
      <c r="A840">
        <v>25022017</v>
      </c>
      <c r="B840">
        <v>11154</v>
      </c>
      <c r="C840" t="s">
        <v>921</v>
      </c>
      <c r="D840" s="188" t="s">
        <v>8955</v>
      </c>
    </row>
    <row r="841" spans="1:4" x14ac:dyDescent="0.3">
      <c r="A841">
        <v>8260663</v>
      </c>
      <c r="B841">
        <v>11155</v>
      </c>
      <c r="C841" t="s">
        <v>1077</v>
      </c>
      <c r="D841" s="188" t="s">
        <v>8955</v>
      </c>
    </row>
    <row r="842" spans="1:4" x14ac:dyDescent="0.3">
      <c r="A842">
        <v>58062365</v>
      </c>
      <c r="B842">
        <v>11156</v>
      </c>
      <c r="C842" t="s">
        <v>698</v>
      </c>
      <c r="D842" s="188" t="s">
        <v>8955</v>
      </c>
    </row>
    <row r="843" spans="1:4" x14ac:dyDescent="0.3">
      <c r="A843">
        <v>76487222</v>
      </c>
      <c r="B843">
        <v>11157</v>
      </c>
      <c r="C843" t="s">
        <v>270</v>
      </c>
      <c r="D843" s="188" t="s">
        <v>8955</v>
      </c>
    </row>
    <row r="844" spans="1:4" x14ac:dyDescent="0.3">
      <c r="A844">
        <v>23563231</v>
      </c>
      <c r="B844">
        <v>11158</v>
      </c>
      <c r="C844" t="s">
        <v>918</v>
      </c>
      <c r="D844" s="188" t="s">
        <v>8955</v>
      </c>
    </row>
    <row r="845" spans="1:4" x14ac:dyDescent="0.3">
      <c r="A845">
        <v>44520687</v>
      </c>
      <c r="B845">
        <v>11159</v>
      </c>
      <c r="C845" t="s">
        <v>700</v>
      </c>
      <c r="D845" s="188" t="s">
        <v>8955</v>
      </c>
    </row>
    <row r="846" spans="1:4" x14ac:dyDescent="0.3">
      <c r="A846">
        <v>22168551</v>
      </c>
      <c r="B846">
        <v>11160</v>
      </c>
      <c r="C846" t="s">
        <v>366</v>
      </c>
      <c r="D846" s="188" t="s">
        <v>8955</v>
      </c>
    </row>
    <row r="847" spans="1:4" x14ac:dyDescent="0.3">
      <c r="A847">
        <v>853157</v>
      </c>
      <c r="B847">
        <v>11161</v>
      </c>
      <c r="C847" t="s">
        <v>1177</v>
      </c>
      <c r="D847" s="188" t="s">
        <v>8955</v>
      </c>
    </row>
    <row r="848" spans="1:4" x14ac:dyDescent="0.3">
      <c r="A848">
        <v>4406730</v>
      </c>
      <c r="B848">
        <v>11162</v>
      </c>
      <c r="C848" t="s">
        <v>888</v>
      </c>
      <c r="D848" s="188" t="s">
        <v>8955</v>
      </c>
    </row>
    <row r="849" spans="1:4" x14ac:dyDescent="0.3">
      <c r="A849">
        <v>2580316</v>
      </c>
      <c r="B849">
        <v>11163</v>
      </c>
      <c r="C849" t="s">
        <v>324</v>
      </c>
      <c r="D849" s="188" t="s">
        <v>8955</v>
      </c>
    </row>
    <row r="850" spans="1:4" x14ac:dyDescent="0.3">
      <c r="A850">
        <v>2580316</v>
      </c>
      <c r="B850">
        <v>11164</v>
      </c>
      <c r="C850" t="s">
        <v>1178</v>
      </c>
      <c r="D850" s="188" t="s">
        <v>8955</v>
      </c>
    </row>
    <row r="851" spans="1:4" x14ac:dyDescent="0.3">
      <c r="A851">
        <v>2284345</v>
      </c>
      <c r="B851">
        <v>11165</v>
      </c>
      <c r="C851" t="s">
        <v>702</v>
      </c>
      <c r="D851" s="188" t="s">
        <v>8955</v>
      </c>
    </row>
    <row r="852" spans="1:4" x14ac:dyDescent="0.3">
      <c r="A852">
        <v>12662764</v>
      </c>
      <c r="B852">
        <v>11166</v>
      </c>
      <c r="C852" t="s">
        <v>703</v>
      </c>
      <c r="D852" s="188" t="s">
        <v>8955</v>
      </c>
    </row>
    <row r="853" spans="1:4" x14ac:dyDescent="0.3">
      <c r="A853">
        <v>25313882</v>
      </c>
      <c r="B853">
        <v>11167</v>
      </c>
      <c r="C853" t="s">
        <v>377</v>
      </c>
      <c r="D853" s="188" t="s">
        <v>8955</v>
      </c>
    </row>
    <row r="854" spans="1:4" x14ac:dyDescent="0.3">
      <c r="A854">
        <v>24897640</v>
      </c>
      <c r="B854">
        <v>11168</v>
      </c>
      <c r="C854" t="s">
        <v>825</v>
      </c>
      <c r="D854" s="188" t="s">
        <v>8955</v>
      </c>
    </row>
    <row r="855" spans="1:4" x14ac:dyDescent="0.3">
      <c r="A855">
        <v>10925920</v>
      </c>
      <c r="B855">
        <v>11169</v>
      </c>
      <c r="C855" t="s">
        <v>311</v>
      </c>
      <c r="D855" s="188" t="s">
        <v>8955</v>
      </c>
    </row>
    <row r="856" spans="1:4" x14ac:dyDescent="0.3">
      <c r="A856">
        <v>39754008</v>
      </c>
      <c r="B856">
        <v>11170</v>
      </c>
      <c r="C856" t="s">
        <v>1225</v>
      </c>
      <c r="D856" s="188" t="s">
        <v>8955</v>
      </c>
    </row>
    <row r="857" spans="1:4" x14ac:dyDescent="0.3">
      <c r="A857">
        <v>60863404</v>
      </c>
      <c r="B857">
        <v>11171</v>
      </c>
      <c r="C857" t="s">
        <v>274</v>
      </c>
      <c r="D857" s="188" t="s">
        <v>8955</v>
      </c>
    </row>
    <row r="858" spans="1:4" x14ac:dyDescent="0.3">
      <c r="A858">
        <v>60863404</v>
      </c>
      <c r="B858">
        <v>11172</v>
      </c>
      <c r="C858" t="s">
        <v>274</v>
      </c>
      <c r="D858" s="188" t="s">
        <v>8955</v>
      </c>
    </row>
    <row r="859" spans="1:4" x14ac:dyDescent="0.3">
      <c r="A859">
        <v>26304350</v>
      </c>
      <c r="B859">
        <v>11173</v>
      </c>
      <c r="C859" t="s">
        <v>1022</v>
      </c>
      <c r="D859" s="188" t="s">
        <v>8955</v>
      </c>
    </row>
    <row r="860" spans="1:4" x14ac:dyDescent="0.3">
      <c r="A860">
        <v>39511162</v>
      </c>
      <c r="B860">
        <v>11174</v>
      </c>
      <c r="C860" t="s">
        <v>322</v>
      </c>
      <c r="D860" s="188" t="s">
        <v>8955</v>
      </c>
    </row>
    <row r="861" spans="1:4" x14ac:dyDescent="0.3">
      <c r="A861">
        <v>14826202</v>
      </c>
      <c r="B861">
        <v>11175</v>
      </c>
      <c r="C861" t="s">
        <v>1042</v>
      </c>
      <c r="D861" s="188" t="s">
        <v>8955</v>
      </c>
    </row>
    <row r="862" spans="1:4" x14ac:dyDescent="0.3">
      <c r="A862">
        <v>15108349</v>
      </c>
      <c r="B862">
        <v>11176</v>
      </c>
      <c r="C862" t="s">
        <v>884</v>
      </c>
      <c r="D862" s="188" t="s">
        <v>8955</v>
      </c>
    </row>
    <row r="863" spans="1:4" x14ac:dyDescent="0.3">
      <c r="A863">
        <v>16827643</v>
      </c>
      <c r="B863">
        <v>11177</v>
      </c>
      <c r="C863" t="s">
        <v>704</v>
      </c>
      <c r="D863" s="188" t="s">
        <v>8955</v>
      </c>
    </row>
    <row r="864" spans="1:4" x14ac:dyDescent="0.3">
      <c r="A864">
        <v>45862982604</v>
      </c>
      <c r="B864">
        <v>11178</v>
      </c>
      <c r="C864" t="s">
        <v>1222</v>
      </c>
      <c r="D864" s="188" t="s">
        <v>8955</v>
      </c>
    </row>
    <row r="865" spans="1:4" x14ac:dyDescent="0.3">
      <c r="A865">
        <v>242184</v>
      </c>
      <c r="B865">
        <v>11180</v>
      </c>
      <c r="C865" t="s">
        <v>759</v>
      </c>
      <c r="D865" s="188" t="s">
        <v>8955</v>
      </c>
    </row>
    <row r="866" spans="1:4" x14ac:dyDescent="0.3">
      <c r="A866">
        <v>43314875</v>
      </c>
      <c r="B866">
        <v>11181</v>
      </c>
      <c r="C866" t="s">
        <v>715</v>
      </c>
      <c r="D866" s="188" t="s">
        <v>8955</v>
      </c>
    </row>
    <row r="867" spans="1:4" x14ac:dyDescent="0.3">
      <c r="A867">
        <v>37514042</v>
      </c>
      <c r="B867">
        <v>11182</v>
      </c>
      <c r="C867" t="s">
        <v>705</v>
      </c>
      <c r="D867" s="188" t="s">
        <v>8955</v>
      </c>
    </row>
    <row r="868" spans="1:4" x14ac:dyDescent="0.3">
      <c r="A868">
        <v>2577145</v>
      </c>
      <c r="B868">
        <v>11183</v>
      </c>
      <c r="C868" t="s">
        <v>274</v>
      </c>
      <c r="D868" s="188" t="s">
        <v>8955</v>
      </c>
    </row>
    <row r="869" spans="1:4" x14ac:dyDescent="0.3">
      <c r="A869">
        <v>2577145</v>
      </c>
      <c r="B869">
        <v>11184</v>
      </c>
      <c r="C869" t="s">
        <v>274</v>
      </c>
      <c r="D869" s="188" t="s">
        <v>8955</v>
      </c>
    </row>
    <row r="870" spans="1:4" x14ac:dyDescent="0.3">
      <c r="A870">
        <v>35423729</v>
      </c>
      <c r="B870">
        <v>11185</v>
      </c>
      <c r="C870" t="s">
        <v>709</v>
      </c>
      <c r="D870" s="188" t="s">
        <v>8955</v>
      </c>
    </row>
    <row r="871" spans="1:4" x14ac:dyDescent="0.3">
      <c r="A871">
        <v>8928273</v>
      </c>
      <c r="B871">
        <v>11186</v>
      </c>
      <c r="C871" t="s">
        <v>273</v>
      </c>
      <c r="D871" s="188" t="s">
        <v>8955</v>
      </c>
    </row>
    <row r="872" spans="1:4" x14ac:dyDescent="0.3">
      <c r="A872">
        <v>37514042</v>
      </c>
      <c r="B872">
        <v>11187</v>
      </c>
      <c r="C872" t="s">
        <v>706</v>
      </c>
      <c r="D872" s="188" t="s">
        <v>8955</v>
      </c>
    </row>
    <row r="873" spans="1:4" x14ac:dyDescent="0.3">
      <c r="A873">
        <v>15453428</v>
      </c>
      <c r="B873">
        <v>11188</v>
      </c>
      <c r="C873" t="s">
        <v>707</v>
      </c>
      <c r="D873" s="188" t="s">
        <v>8955</v>
      </c>
    </row>
    <row r="874" spans="1:4" x14ac:dyDescent="0.3">
      <c r="A874">
        <v>38613446</v>
      </c>
      <c r="B874">
        <v>11189</v>
      </c>
      <c r="C874" t="s">
        <v>708</v>
      </c>
      <c r="D874" s="188" t="s">
        <v>8955</v>
      </c>
    </row>
    <row r="875" spans="1:4" x14ac:dyDescent="0.3">
      <c r="A875">
        <v>5912929</v>
      </c>
      <c r="B875">
        <v>11190</v>
      </c>
      <c r="C875" t="s">
        <v>710</v>
      </c>
      <c r="D875" s="188" t="s">
        <v>8955</v>
      </c>
    </row>
    <row r="876" spans="1:4" x14ac:dyDescent="0.3">
      <c r="A876">
        <v>39583954</v>
      </c>
      <c r="B876">
        <v>11191</v>
      </c>
      <c r="C876" t="s">
        <v>711</v>
      </c>
      <c r="D876" s="188" t="s">
        <v>8955</v>
      </c>
    </row>
    <row r="877" spans="1:4" x14ac:dyDescent="0.3">
      <c r="A877">
        <v>9625762</v>
      </c>
      <c r="B877">
        <v>11192</v>
      </c>
      <c r="C877" t="s">
        <v>712</v>
      </c>
      <c r="D877" s="188" t="s">
        <v>8955</v>
      </c>
    </row>
    <row r="878" spans="1:4" x14ac:dyDescent="0.3">
      <c r="A878">
        <v>14567063</v>
      </c>
      <c r="B878">
        <v>11193</v>
      </c>
      <c r="C878" t="s">
        <v>714</v>
      </c>
      <c r="D878" s="188" t="s">
        <v>8955</v>
      </c>
    </row>
    <row r="879" spans="1:4" x14ac:dyDescent="0.3">
      <c r="A879">
        <v>2618143</v>
      </c>
      <c r="B879">
        <v>11194</v>
      </c>
      <c r="C879" t="s">
        <v>916</v>
      </c>
      <c r="D879" s="188" t="s">
        <v>8955</v>
      </c>
    </row>
    <row r="880" spans="1:4" x14ac:dyDescent="0.3">
      <c r="A880">
        <v>16628281</v>
      </c>
      <c r="B880">
        <v>11195</v>
      </c>
      <c r="C880" t="s">
        <v>717</v>
      </c>
      <c r="D880" s="188" t="s">
        <v>8955</v>
      </c>
    </row>
    <row r="881" spans="1:4" x14ac:dyDescent="0.3">
      <c r="A881">
        <v>2577145</v>
      </c>
      <c r="B881">
        <v>11196</v>
      </c>
      <c r="C881" t="s">
        <v>277</v>
      </c>
      <c r="D881" s="188" t="s">
        <v>8955</v>
      </c>
    </row>
    <row r="882" spans="1:4" x14ac:dyDescent="0.3">
      <c r="A882">
        <v>8765447</v>
      </c>
      <c r="B882">
        <v>11197</v>
      </c>
      <c r="C882" t="s">
        <v>716</v>
      </c>
      <c r="D882" s="188" t="s">
        <v>8955</v>
      </c>
    </row>
    <row r="883" spans="1:4" x14ac:dyDescent="0.3">
      <c r="A883">
        <v>6043790</v>
      </c>
      <c r="B883">
        <v>11198</v>
      </c>
      <c r="C883" t="s">
        <v>718</v>
      </c>
      <c r="D883" s="188" t="s">
        <v>8955</v>
      </c>
    </row>
    <row r="884" spans="1:4" x14ac:dyDescent="0.3">
      <c r="A884">
        <v>65171944</v>
      </c>
      <c r="B884">
        <v>11199</v>
      </c>
      <c r="C884" t="s">
        <v>719</v>
      </c>
      <c r="D884" s="188" t="s">
        <v>8955</v>
      </c>
    </row>
    <row r="885" spans="1:4" x14ac:dyDescent="0.3">
      <c r="A885">
        <v>23213226</v>
      </c>
      <c r="B885">
        <v>11200</v>
      </c>
      <c r="C885" t="s">
        <v>302</v>
      </c>
      <c r="D885" s="188" t="s">
        <v>8955</v>
      </c>
    </row>
    <row r="886" spans="1:4" x14ac:dyDescent="0.3">
      <c r="A886">
        <v>16612894</v>
      </c>
      <c r="B886">
        <v>11201</v>
      </c>
      <c r="C886" t="s">
        <v>872</v>
      </c>
      <c r="D886" s="188" t="s">
        <v>8955</v>
      </c>
    </row>
    <row r="887" spans="1:4" x14ac:dyDescent="0.3">
      <c r="A887">
        <v>31878776649</v>
      </c>
      <c r="B887">
        <v>11202</v>
      </c>
      <c r="C887" t="s">
        <v>1043</v>
      </c>
      <c r="D887" s="188" t="s">
        <v>8955</v>
      </c>
    </row>
    <row r="888" spans="1:4" x14ac:dyDescent="0.3">
      <c r="A888">
        <v>34606593</v>
      </c>
      <c r="B888">
        <v>11203</v>
      </c>
      <c r="C888" t="s">
        <v>1044</v>
      </c>
      <c r="D888" s="188" t="s">
        <v>8955</v>
      </c>
    </row>
    <row r="889" spans="1:4" x14ac:dyDescent="0.3">
      <c r="A889">
        <v>62356878</v>
      </c>
      <c r="B889">
        <v>11204</v>
      </c>
      <c r="C889" t="s">
        <v>720</v>
      </c>
      <c r="D889" s="188" t="s">
        <v>8955</v>
      </c>
    </row>
    <row r="890" spans="1:4" x14ac:dyDescent="0.3">
      <c r="A890">
        <v>65140634</v>
      </c>
      <c r="B890">
        <v>11205</v>
      </c>
      <c r="C890" t="s">
        <v>721</v>
      </c>
      <c r="D890" s="188" t="s">
        <v>8955</v>
      </c>
    </row>
    <row r="891" spans="1:4" x14ac:dyDescent="0.3">
      <c r="A891">
        <v>71212515234</v>
      </c>
      <c r="B891">
        <v>11206</v>
      </c>
      <c r="C891" t="s">
        <v>1045</v>
      </c>
      <c r="D891" s="188" t="s">
        <v>8955</v>
      </c>
    </row>
    <row r="892" spans="1:4" x14ac:dyDescent="0.3">
      <c r="A892">
        <v>19221968</v>
      </c>
      <c r="B892">
        <v>11207</v>
      </c>
      <c r="C892" t="s">
        <v>1046</v>
      </c>
      <c r="D892" s="188" t="s">
        <v>8955</v>
      </c>
    </row>
    <row r="893" spans="1:4" x14ac:dyDescent="0.3">
      <c r="A893">
        <v>17895243</v>
      </c>
      <c r="B893">
        <v>11208</v>
      </c>
      <c r="C893" t="s">
        <v>1223</v>
      </c>
      <c r="D893" s="188" t="s">
        <v>8955</v>
      </c>
    </row>
    <row r="894" spans="1:4" x14ac:dyDescent="0.3">
      <c r="A894">
        <v>13338669</v>
      </c>
      <c r="B894">
        <v>11209</v>
      </c>
      <c r="C894" t="s">
        <v>1047</v>
      </c>
      <c r="D894" s="188" t="s">
        <v>8955</v>
      </c>
    </row>
    <row r="895" spans="1:4" x14ac:dyDescent="0.3">
      <c r="A895">
        <v>13338669</v>
      </c>
      <c r="B895">
        <v>11210</v>
      </c>
      <c r="C895" t="s">
        <v>1048</v>
      </c>
      <c r="D895" s="188" t="s">
        <v>8955</v>
      </c>
    </row>
    <row r="896" spans="1:4" x14ac:dyDescent="0.3">
      <c r="A896">
        <v>13338669</v>
      </c>
      <c r="B896">
        <v>11211</v>
      </c>
      <c r="C896" t="s">
        <v>1047</v>
      </c>
      <c r="D896" s="188" t="s">
        <v>8955</v>
      </c>
    </row>
    <row r="897" spans="1:4" x14ac:dyDescent="0.3">
      <c r="A897">
        <v>5309751</v>
      </c>
      <c r="B897">
        <v>11212</v>
      </c>
      <c r="C897" t="s">
        <v>362</v>
      </c>
      <c r="D897" s="188" t="s">
        <v>8955</v>
      </c>
    </row>
    <row r="898" spans="1:4" x14ac:dyDescent="0.3">
      <c r="A898">
        <v>4885978</v>
      </c>
      <c r="B898">
        <v>11213</v>
      </c>
      <c r="C898" t="s">
        <v>821</v>
      </c>
      <c r="D898" s="188" t="s">
        <v>8955</v>
      </c>
    </row>
    <row r="899" spans="1:4" x14ac:dyDescent="0.3">
      <c r="A899">
        <v>4885978</v>
      </c>
      <c r="B899">
        <v>11214</v>
      </c>
      <c r="C899" t="s">
        <v>821</v>
      </c>
      <c r="D899" s="188" t="s">
        <v>8955</v>
      </c>
    </row>
    <row r="900" spans="1:4" x14ac:dyDescent="0.3">
      <c r="A900">
        <v>4885978</v>
      </c>
      <c r="B900">
        <v>11215</v>
      </c>
      <c r="C900" t="s">
        <v>821</v>
      </c>
      <c r="D900" s="188" t="s">
        <v>8955</v>
      </c>
    </row>
    <row r="901" spans="1:4" x14ac:dyDescent="0.3">
      <c r="A901">
        <v>9477765</v>
      </c>
      <c r="B901">
        <v>11216</v>
      </c>
      <c r="C901" t="s">
        <v>739</v>
      </c>
      <c r="D901" s="188" t="s">
        <v>8955</v>
      </c>
    </row>
    <row r="902" spans="1:4" x14ac:dyDescent="0.3">
      <c r="A902">
        <v>30425560</v>
      </c>
      <c r="B902">
        <v>11217</v>
      </c>
      <c r="C902" t="s">
        <v>722</v>
      </c>
      <c r="D902" s="188" t="s">
        <v>8955</v>
      </c>
    </row>
    <row r="903" spans="1:4" x14ac:dyDescent="0.3">
      <c r="A903">
        <v>3848688</v>
      </c>
      <c r="B903">
        <v>11218</v>
      </c>
      <c r="C903" t="s">
        <v>723</v>
      </c>
      <c r="D903" s="188" t="s">
        <v>8955</v>
      </c>
    </row>
    <row r="904" spans="1:4" x14ac:dyDescent="0.3">
      <c r="A904">
        <v>41147735</v>
      </c>
      <c r="B904">
        <v>11219</v>
      </c>
      <c r="C904" t="s">
        <v>724</v>
      </c>
      <c r="D904" s="188" t="s">
        <v>8955</v>
      </c>
    </row>
    <row r="905" spans="1:4" x14ac:dyDescent="0.3">
      <c r="A905">
        <v>65758252</v>
      </c>
      <c r="B905">
        <v>11220</v>
      </c>
      <c r="C905" t="s">
        <v>725</v>
      </c>
      <c r="D905" s="188" t="s">
        <v>8955</v>
      </c>
    </row>
    <row r="906" spans="1:4" x14ac:dyDescent="0.3">
      <c r="A906">
        <v>20707884</v>
      </c>
      <c r="B906">
        <v>11221</v>
      </c>
      <c r="C906" t="s">
        <v>726</v>
      </c>
      <c r="D906" s="188" t="s">
        <v>8955</v>
      </c>
    </row>
    <row r="907" spans="1:4" x14ac:dyDescent="0.3">
      <c r="A907">
        <v>37652454</v>
      </c>
      <c r="B907">
        <v>11222</v>
      </c>
      <c r="C907" t="s">
        <v>727</v>
      </c>
      <c r="D907" s="188" t="s">
        <v>8955</v>
      </c>
    </row>
    <row r="908" spans="1:4" x14ac:dyDescent="0.3">
      <c r="A908">
        <v>3307926</v>
      </c>
      <c r="B908">
        <v>11223</v>
      </c>
      <c r="C908" t="s">
        <v>274</v>
      </c>
      <c r="D908" s="188" t="s">
        <v>8955</v>
      </c>
    </row>
    <row r="909" spans="1:4" x14ac:dyDescent="0.3">
      <c r="A909">
        <v>12598528</v>
      </c>
      <c r="B909">
        <v>11224</v>
      </c>
      <c r="C909" t="s">
        <v>728</v>
      </c>
      <c r="D909" s="188" t="s">
        <v>8955</v>
      </c>
    </row>
    <row r="910" spans="1:4" x14ac:dyDescent="0.3">
      <c r="A910">
        <v>3503152</v>
      </c>
      <c r="B910">
        <v>11225</v>
      </c>
      <c r="C910" t="s">
        <v>729</v>
      </c>
      <c r="D910" s="188" t="s">
        <v>8955</v>
      </c>
    </row>
    <row r="911" spans="1:4" x14ac:dyDescent="0.3">
      <c r="A911">
        <v>37490799</v>
      </c>
      <c r="B911">
        <v>11226</v>
      </c>
      <c r="C911" t="s">
        <v>1186</v>
      </c>
      <c r="D911" s="188" t="s">
        <v>8955</v>
      </c>
    </row>
    <row r="912" spans="1:4" x14ac:dyDescent="0.3">
      <c r="A912">
        <v>29152196</v>
      </c>
      <c r="B912">
        <v>11227</v>
      </c>
      <c r="C912" t="s">
        <v>730</v>
      </c>
      <c r="D912" s="188" t="s">
        <v>8955</v>
      </c>
    </row>
    <row r="913" spans="1:4" x14ac:dyDescent="0.3">
      <c r="A913">
        <v>6790023</v>
      </c>
      <c r="B913">
        <v>11228</v>
      </c>
      <c r="C913" t="s">
        <v>909</v>
      </c>
      <c r="D913" s="188" t="s">
        <v>8955</v>
      </c>
    </row>
    <row r="914" spans="1:4" x14ac:dyDescent="0.3">
      <c r="A914">
        <v>23187835</v>
      </c>
      <c r="B914">
        <v>11229</v>
      </c>
      <c r="C914" t="s">
        <v>731</v>
      </c>
      <c r="D914" s="188" t="s">
        <v>8955</v>
      </c>
    </row>
    <row r="915" spans="1:4" x14ac:dyDescent="0.3">
      <c r="A915">
        <v>1381036</v>
      </c>
      <c r="B915">
        <v>11230</v>
      </c>
      <c r="C915" t="s">
        <v>867</v>
      </c>
      <c r="D915" s="188" t="s">
        <v>8955</v>
      </c>
    </row>
    <row r="916" spans="1:4" x14ac:dyDescent="0.3">
      <c r="A916">
        <v>95393153600</v>
      </c>
      <c r="B916">
        <v>11231</v>
      </c>
      <c r="C916" t="s">
        <v>377</v>
      </c>
      <c r="D916" s="188" t="s">
        <v>8955</v>
      </c>
    </row>
    <row r="917" spans="1:4" x14ac:dyDescent="0.3">
      <c r="A917">
        <v>16864907</v>
      </c>
      <c r="B917">
        <v>11232</v>
      </c>
      <c r="C917" t="s">
        <v>733</v>
      </c>
      <c r="D917" s="188" t="s">
        <v>8955</v>
      </c>
    </row>
    <row r="918" spans="1:4" x14ac:dyDescent="0.3">
      <c r="A918">
        <v>47062179</v>
      </c>
      <c r="B918">
        <v>11233</v>
      </c>
      <c r="C918" t="s">
        <v>1023</v>
      </c>
      <c r="D918" s="188" t="s">
        <v>8955</v>
      </c>
    </row>
    <row r="919" spans="1:4" x14ac:dyDescent="0.3">
      <c r="A919">
        <v>76487222</v>
      </c>
      <c r="B919">
        <v>11234</v>
      </c>
      <c r="C919" t="s">
        <v>815</v>
      </c>
      <c r="D919" s="188" t="s">
        <v>8955</v>
      </c>
    </row>
    <row r="920" spans="1:4" x14ac:dyDescent="0.3">
      <c r="A920">
        <v>28029688</v>
      </c>
      <c r="B920">
        <v>11235</v>
      </c>
      <c r="C920" t="s">
        <v>274</v>
      </c>
      <c r="D920" s="188" t="s">
        <v>8955</v>
      </c>
    </row>
    <row r="921" spans="1:4" x14ac:dyDescent="0.3">
      <c r="A921">
        <v>28029688</v>
      </c>
      <c r="B921">
        <v>11236</v>
      </c>
      <c r="C921" t="s">
        <v>274</v>
      </c>
      <c r="D921" s="188" t="s">
        <v>8955</v>
      </c>
    </row>
    <row r="922" spans="1:4" x14ac:dyDescent="0.3">
      <c r="A922">
        <v>28029688</v>
      </c>
      <c r="B922">
        <v>11237</v>
      </c>
      <c r="C922" t="s">
        <v>274</v>
      </c>
      <c r="D922" s="188" t="s">
        <v>8955</v>
      </c>
    </row>
    <row r="923" spans="1:4" x14ac:dyDescent="0.3">
      <c r="A923">
        <v>32322888</v>
      </c>
      <c r="B923">
        <v>11238</v>
      </c>
      <c r="C923" t="s">
        <v>275</v>
      </c>
      <c r="D923" s="188" t="s">
        <v>8955</v>
      </c>
    </row>
    <row r="924" spans="1:4" x14ac:dyDescent="0.3">
      <c r="A924">
        <v>12563107</v>
      </c>
      <c r="B924">
        <v>11240</v>
      </c>
      <c r="C924" t="s">
        <v>312</v>
      </c>
      <c r="D924" s="188" t="s">
        <v>8955</v>
      </c>
    </row>
    <row r="925" spans="1:4" x14ac:dyDescent="0.3">
      <c r="A925">
        <v>60435351</v>
      </c>
      <c r="B925">
        <v>11241</v>
      </c>
      <c r="C925" t="s">
        <v>644</v>
      </c>
      <c r="D925" s="188" t="s">
        <v>8955</v>
      </c>
    </row>
    <row r="926" spans="1:4" x14ac:dyDescent="0.3">
      <c r="A926">
        <v>12818095</v>
      </c>
      <c r="B926">
        <v>11242</v>
      </c>
      <c r="C926" t="s">
        <v>287</v>
      </c>
      <c r="D926" s="188" t="s">
        <v>8955</v>
      </c>
    </row>
    <row r="927" spans="1:4" x14ac:dyDescent="0.3">
      <c r="A927">
        <v>61037537</v>
      </c>
      <c r="B927">
        <v>11243</v>
      </c>
      <c r="C927" t="s">
        <v>1049</v>
      </c>
      <c r="D927" s="188" t="s">
        <v>8955</v>
      </c>
    </row>
    <row r="928" spans="1:4" x14ac:dyDescent="0.3">
      <c r="A928">
        <v>44174954</v>
      </c>
      <c r="B928">
        <v>11244</v>
      </c>
      <c r="C928" t="s">
        <v>1123</v>
      </c>
      <c r="D928" s="188" t="s">
        <v>8955</v>
      </c>
    </row>
    <row r="929" spans="1:4" x14ac:dyDescent="0.3">
      <c r="A929">
        <v>10736565</v>
      </c>
      <c r="B929">
        <v>11245</v>
      </c>
      <c r="C929" t="s">
        <v>734</v>
      </c>
      <c r="D929" s="188" t="s">
        <v>8955</v>
      </c>
    </row>
    <row r="930" spans="1:4" x14ac:dyDescent="0.3">
      <c r="A930">
        <v>21546050</v>
      </c>
      <c r="B930">
        <v>11246</v>
      </c>
      <c r="C930" t="s">
        <v>758</v>
      </c>
      <c r="D930" s="188" t="s">
        <v>8955</v>
      </c>
    </row>
    <row r="931" spans="1:4" x14ac:dyDescent="0.3">
      <c r="A931">
        <v>2106150</v>
      </c>
      <c r="B931">
        <v>11247</v>
      </c>
      <c r="C931" t="s">
        <v>820</v>
      </c>
      <c r="D931" s="188" t="s">
        <v>8955</v>
      </c>
    </row>
    <row r="932" spans="1:4" x14ac:dyDescent="0.3">
      <c r="A932">
        <v>43312312</v>
      </c>
      <c r="B932">
        <v>11248</v>
      </c>
      <c r="C932" t="s">
        <v>761</v>
      </c>
      <c r="D932" s="188" t="s">
        <v>8955</v>
      </c>
    </row>
    <row r="933" spans="1:4" x14ac:dyDescent="0.3">
      <c r="A933">
        <v>19872461</v>
      </c>
      <c r="B933">
        <v>11249</v>
      </c>
      <c r="C933" t="s">
        <v>737</v>
      </c>
      <c r="D933" s="188" t="s">
        <v>8955</v>
      </c>
    </row>
    <row r="934" spans="1:4" x14ac:dyDescent="0.3">
      <c r="A934">
        <v>11579276</v>
      </c>
      <c r="B934">
        <v>11250</v>
      </c>
      <c r="C934" t="s">
        <v>350</v>
      </c>
      <c r="D934" s="188" t="s">
        <v>8955</v>
      </c>
    </row>
    <row r="935" spans="1:4" x14ac:dyDescent="0.3">
      <c r="A935">
        <v>4039255</v>
      </c>
      <c r="B935">
        <v>11251</v>
      </c>
      <c r="C935" t="s">
        <v>752</v>
      </c>
      <c r="D935" s="188" t="s">
        <v>8955</v>
      </c>
    </row>
    <row r="936" spans="1:4" x14ac:dyDescent="0.3">
      <c r="A936">
        <v>4060779</v>
      </c>
      <c r="B936">
        <v>11252</v>
      </c>
      <c r="C936" t="s">
        <v>367</v>
      </c>
      <c r="D936" s="188" t="s">
        <v>8955</v>
      </c>
    </row>
    <row r="937" spans="1:4" x14ac:dyDescent="0.3">
      <c r="A937">
        <v>24301458</v>
      </c>
      <c r="B937">
        <v>11253</v>
      </c>
      <c r="C937" t="s">
        <v>738</v>
      </c>
      <c r="D937" s="188" t="s">
        <v>8955</v>
      </c>
    </row>
    <row r="938" spans="1:4" x14ac:dyDescent="0.3">
      <c r="A938">
        <v>76444751</v>
      </c>
      <c r="B938">
        <v>11254</v>
      </c>
      <c r="C938" t="s">
        <v>740</v>
      </c>
      <c r="D938" s="188" t="s">
        <v>8955</v>
      </c>
    </row>
    <row r="939" spans="1:4" x14ac:dyDescent="0.3">
      <c r="A939">
        <v>241153204</v>
      </c>
      <c r="B939">
        <v>11255</v>
      </c>
      <c r="C939" t="s">
        <v>1080</v>
      </c>
      <c r="D939" s="188" t="s">
        <v>8955</v>
      </c>
    </row>
    <row r="940" spans="1:4" x14ac:dyDescent="0.3">
      <c r="A940">
        <v>17164435</v>
      </c>
      <c r="B940">
        <v>11256</v>
      </c>
      <c r="C940" t="s">
        <v>744</v>
      </c>
      <c r="D940" s="188" t="s">
        <v>8955</v>
      </c>
    </row>
    <row r="941" spans="1:4" x14ac:dyDescent="0.3">
      <c r="A941">
        <v>34606593</v>
      </c>
      <c r="B941">
        <v>11315</v>
      </c>
      <c r="C941" t="s">
        <v>277</v>
      </c>
      <c r="D941" s="188" t="s">
        <v>8955</v>
      </c>
    </row>
    <row r="942" spans="1:4" x14ac:dyDescent="0.3">
      <c r="A942">
        <v>34606593</v>
      </c>
      <c r="B942">
        <v>11316</v>
      </c>
      <c r="C942" t="s">
        <v>327</v>
      </c>
      <c r="D942" s="188" t="s">
        <v>8955</v>
      </c>
    </row>
    <row r="943" spans="1:4" x14ac:dyDescent="0.3">
      <c r="A943">
        <v>34606593</v>
      </c>
      <c r="B943">
        <v>11317</v>
      </c>
      <c r="C943" t="s">
        <v>899</v>
      </c>
      <c r="D943" s="188" t="s">
        <v>8955</v>
      </c>
    </row>
    <row r="944" spans="1:4" x14ac:dyDescent="0.3">
      <c r="A944">
        <v>10480891</v>
      </c>
      <c r="B944">
        <v>11318</v>
      </c>
      <c r="C944" t="s">
        <v>833</v>
      </c>
      <c r="D944" s="188" t="s">
        <v>8955</v>
      </c>
    </row>
    <row r="945" spans="1:4" x14ac:dyDescent="0.3">
      <c r="A945">
        <v>39397682</v>
      </c>
      <c r="B945">
        <v>11319</v>
      </c>
      <c r="C945" t="s">
        <v>277</v>
      </c>
      <c r="D945" s="188" t="s">
        <v>8955</v>
      </c>
    </row>
    <row r="946" spans="1:4" x14ac:dyDescent="0.3">
      <c r="A946">
        <v>14996274</v>
      </c>
      <c r="B946">
        <v>11320</v>
      </c>
      <c r="C946" t="s">
        <v>834</v>
      </c>
      <c r="D946" s="188" t="s">
        <v>8955</v>
      </c>
    </row>
    <row r="947" spans="1:4" x14ac:dyDescent="0.3">
      <c r="A947">
        <v>23514652</v>
      </c>
      <c r="B947">
        <v>11321</v>
      </c>
      <c r="C947" t="s">
        <v>741</v>
      </c>
      <c r="D947" s="188" t="s">
        <v>8955</v>
      </c>
    </row>
    <row r="948" spans="1:4" x14ac:dyDescent="0.3">
      <c r="A948">
        <v>33644864</v>
      </c>
      <c r="B948">
        <v>11322</v>
      </c>
      <c r="C948" t="s">
        <v>742</v>
      </c>
      <c r="D948" s="188" t="s">
        <v>8955</v>
      </c>
    </row>
    <row r="949" spans="1:4" x14ac:dyDescent="0.3">
      <c r="A949">
        <v>42881356</v>
      </c>
      <c r="B949">
        <v>11323</v>
      </c>
      <c r="C949" t="s">
        <v>743</v>
      </c>
      <c r="D949" s="188" t="s">
        <v>8955</v>
      </c>
    </row>
    <row r="950" spans="1:4" x14ac:dyDescent="0.3">
      <c r="A950">
        <v>2354917</v>
      </c>
      <c r="B950">
        <v>11324</v>
      </c>
      <c r="C950" t="s">
        <v>354</v>
      </c>
      <c r="D950" s="188" t="s">
        <v>8955</v>
      </c>
    </row>
    <row r="951" spans="1:4" x14ac:dyDescent="0.3">
      <c r="A951">
        <v>13558309</v>
      </c>
      <c r="B951">
        <v>11325</v>
      </c>
      <c r="C951" t="s">
        <v>865</v>
      </c>
      <c r="D951" s="188" t="s">
        <v>8955</v>
      </c>
    </row>
    <row r="952" spans="1:4" x14ac:dyDescent="0.3">
      <c r="A952">
        <v>6538082</v>
      </c>
      <c r="B952">
        <v>11326</v>
      </c>
      <c r="C952" t="s">
        <v>764</v>
      </c>
      <c r="D952" s="188" t="s">
        <v>8955</v>
      </c>
    </row>
    <row r="953" spans="1:4" x14ac:dyDescent="0.3">
      <c r="A953">
        <v>9243456</v>
      </c>
      <c r="B953">
        <v>11327</v>
      </c>
      <c r="C953" t="s">
        <v>274</v>
      </c>
      <c r="D953" s="188" t="s">
        <v>8955</v>
      </c>
    </row>
    <row r="954" spans="1:4" x14ac:dyDescent="0.3">
      <c r="A954">
        <v>9243456</v>
      </c>
      <c r="B954">
        <v>11328</v>
      </c>
      <c r="C954" t="s">
        <v>274</v>
      </c>
      <c r="D954" s="188" t="s">
        <v>8955</v>
      </c>
    </row>
    <row r="955" spans="1:4" x14ac:dyDescent="0.3">
      <c r="A955">
        <v>7147444</v>
      </c>
      <c r="B955">
        <v>11329</v>
      </c>
      <c r="C955" t="s">
        <v>745</v>
      </c>
      <c r="D955" s="188" t="s">
        <v>8955</v>
      </c>
    </row>
    <row r="956" spans="1:4" x14ac:dyDescent="0.3">
      <c r="A956">
        <v>9094298</v>
      </c>
      <c r="B956">
        <v>11330</v>
      </c>
      <c r="C956" t="s">
        <v>1031</v>
      </c>
      <c r="D956" s="188" t="s">
        <v>8955</v>
      </c>
    </row>
    <row r="957" spans="1:4" x14ac:dyDescent="0.3">
      <c r="A957">
        <v>41180070</v>
      </c>
      <c r="B957">
        <v>11331</v>
      </c>
      <c r="C957" t="s">
        <v>746</v>
      </c>
      <c r="D957" s="188" t="s">
        <v>8955</v>
      </c>
    </row>
    <row r="958" spans="1:4" x14ac:dyDescent="0.3">
      <c r="A958">
        <v>79949202</v>
      </c>
      <c r="B958">
        <v>11333</v>
      </c>
      <c r="C958" t="s">
        <v>1061</v>
      </c>
      <c r="D958" s="188" t="s">
        <v>8955</v>
      </c>
    </row>
    <row r="959" spans="1:4" x14ac:dyDescent="0.3">
      <c r="A959">
        <v>47716592</v>
      </c>
      <c r="B959">
        <v>11334</v>
      </c>
      <c r="C959" t="s">
        <v>1062</v>
      </c>
      <c r="D959" s="188" t="s">
        <v>8955</v>
      </c>
    </row>
    <row r="960" spans="1:4" x14ac:dyDescent="0.3">
      <c r="A960">
        <v>11743217</v>
      </c>
      <c r="B960">
        <v>11335</v>
      </c>
      <c r="C960" t="s">
        <v>747</v>
      </c>
      <c r="D960" s="188" t="s">
        <v>8955</v>
      </c>
    </row>
    <row r="961" spans="1:4" x14ac:dyDescent="0.3">
      <c r="A961">
        <v>61584223</v>
      </c>
      <c r="B961">
        <v>11336</v>
      </c>
      <c r="C961" t="s">
        <v>748</v>
      </c>
      <c r="D961" s="188" t="s">
        <v>8955</v>
      </c>
    </row>
    <row r="962" spans="1:4" x14ac:dyDescent="0.3">
      <c r="A962">
        <v>2354917</v>
      </c>
      <c r="B962">
        <v>11337</v>
      </c>
      <c r="C962" t="s">
        <v>354</v>
      </c>
      <c r="D962" s="188" t="s">
        <v>8955</v>
      </c>
    </row>
    <row r="963" spans="1:4" x14ac:dyDescent="0.3">
      <c r="A963">
        <v>61065298</v>
      </c>
      <c r="B963">
        <v>11338</v>
      </c>
      <c r="C963" t="s">
        <v>749</v>
      </c>
      <c r="D963" s="188" t="s">
        <v>8955</v>
      </c>
    </row>
    <row r="964" spans="1:4" x14ac:dyDescent="0.3">
      <c r="A964">
        <v>2905110</v>
      </c>
      <c r="B964">
        <v>11339</v>
      </c>
      <c r="C964" t="s">
        <v>750</v>
      </c>
      <c r="D964" s="188" t="s">
        <v>8955</v>
      </c>
    </row>
    <row r="965" spans="1:4" x14ac:dyDescent="0.3">
      <c r="A965">
        <v>17164435</v>
      </c>
      <c r="B965">
        <v>11340</v>
      </c>
      <c r="C965" t="s">
        <v>320</v>
      </c>
      <c r="D965" s="188" t="s">
        <v>8955</v>
      </c>
    </row>
    <row r="966" spans="1:4" x14ac:dyDescent="0.3">
      <c r="A966">
        <v>17503475</v>
      </c>
      <c r="B966">
        <v>11341</v>
      </c>
      <c r="C966" t="s">
        <v>1187</v>
      </c>
      <c r="D966" s="188" t="s">
        <v>8955</v>
      </c>
    </row>
    <row r="967" spans="1:4" x14ac:dyDescent="0.3">
      <c r="A967">
        <v>35834967</v>
      </c>
      <c r="B967">
        <v>11342</v>
      </c>
      <c r="C967" t="s">
        <v>751</v>
      </c>
      <c r="D967" s="188" t="s">
        <v>8955</v>
      </c>
    </row>
    <row r="968" spans="1:4" x14ac:dyDescent="0.3">
      <c r="A968">
        <v>57490905</v>
      </c>
      <c r="B968">
        <v>11343</v>
      </c>
      <c r="C968" t="s">
        <v>835</v>
      </c>
      <c r="D968" s="188" t="s">
        <v>8955</v>
      </c>
    </row>
    <row r="969" spans="1:4" x14ac:dyDescent="0.3">
      <c r="A969">
        <v>2314041</v>
      </c>
      <c r="B969">
        <v>11344</v>
      </c>
      <c r="C969" t="s">
        <v>912</v>
      </c>
      <c r="D969" s="188" t="s">
        <v>8955</v>
      </c>
    </row>
    <row r="970" spans="1:4" x14ac:dyDescent="0.3">
      <c r="A970">
        <v>42441965</v>
      </c>
      <c r="B970">
        <v>11345</v>
      </c>
      <c r="C970" t="s">
        <v>832</v>
      </c>
      <c r="D970" s="188" t="s">
        <v>8955</v>
      </c>
    </row>
    <row r="971" spans="1:4" x14ac:dyDescent="0.3">
      <c r="A971">
        <v>13613420</v>
      </c>
      <c r="B971">
        <v>11348</v>
      </c>
      <c r="C971" t="s">
        <v>754</v>
      </c>
      <c r="D971" s="188" t="s">
        <v>8955</v>
      </c>
    </row>
    <row r="972" spans="1:4" x14ac:dyDescent="0.3">
      <c r="A972">
        <v>59225698</v>
      </c>
      <c r="B972">
        <v>11349</v>
      </c>
      <c r="C972" t="s">
        <v>753</v>
      </c>
      <c r="D972" s="188" t="s">
        <v>8955</v>
      </c>
    </row>
    <row r="973" spans="1:4" x14ac:dyDescent="0.3">
      <c r="A973">
        <v>3364572</v>
      </c>
      <c r="B973">
        <v>11350</v>
      </c>
      <c r="C973" t="s">
        <v>755</v>
      </c>
      <c r="D973" s="188" t="s">
        <v>8955</v>
      </c>
    </row>
    <row r="974" spans="1:4" x14ac:dyDescent="0.3">
      <c r="A974">
        <v>42946280</v>
      </c>
      <c r="B974">
        <v>11352</v>
      </c>
      <c r="C974" t="s">
        <v>1188</v>
      </c>
      <c r="D974" s="188" t="s">
        <v>8955</v>
      </c>
    </row>
    <row r="975" spans="1:4" x14ac:dyDescent="0.3">
      <c r="A975">
        <v>1191207</v>
      </c>
      <c r="B975">
        <v>11353</v>
      </c>
      <c r="C975" t="s">
        <v>1063</v>
      </c>
      <c r="D975" s="188" t="s">
        <v>8955</v>
      </c>
    </row>
    <row r="976" spans="1:4" x14ac:dyDescent="0.3">
      <c r="A976">
        <v>8666201</v>
      </c>
      <c r="B976">
        <v>11354</v>
      </c>
      <c r="C976" t="s">
        <v>756</v>
      </c>
      <c r="D976" s="188" t="s">
        <v>8955</v>
      </c>
    </row>
    <row r="977" spans="1:4" x14ac:dyDescent="0.3">
      <c r="A977">
        <v>2617158</v>
      </c>
      <c r="B977">
        <v>11356</v>
      </c>
      <c r="C977" t="s">
        <v>274</v>
      </c>
      <c r="D977" s="188" t="s">
        <v>8955</v>
      </c>
    </row>
    <row r="978" spans="1:4" x14ac:dyDescent="0.3">
      <c r="A978">
        <v>2617158</v>
      </c>
      <c r="B978">
        <v>11357</v>
      </c>
      <c r="C978" t="s">
        <v>274</v>
      </c>
      <c r="D978" s="188" t="s">
        <v>8955</v>
      </c>
    </row>
    <row r="979" spans="1:4" x14ac:dyDescent="0.3">
      <c r="A979">
        <v>33500609</v>
      </c>
      <c r="B979">
        <v>11358</v>
      </c>
      <c r="C979" t="s">
        <v>757</v>
      </c>
      <c r="D979" s="188" t="s">
        <v>8955</v>
      </c>
    </row>
    <row r="980" spans="1:4" x14ac:dyDescent="0.3">
      <c r="A980">
        <v>8343492</v>
      </c>
      <c r="B980">
        <v>11359</v>
      </c>
      <c r="C980" t="s">
        <v>1064</v>
      </c>
      <c r="D980" s="188" t="s">
        <v>8955</v>
      </c>
    </row>
    <row r="981" spans="1:4" x14ac:dyDescent="0.3">
      <c r="A981">
        <v>65120057</v>
      </c>
      <c r="B981">
        <v>11360</v>
      </c>
      <c r="C981" t="s">
        <v>268</v>
      </c>
      <c r="D981" s="188" t="s">
        <v>8955</v>
      </c>
    </row>
    <row r="982" spans="1:4" x14ac:dyDescent="0.3">
      <c r="A982">
        <v>65120057</v>
      </c>
      <c r="B982">
        <v>11361</v>
      </c>
      <c r="C982" t="s">
        <v>338</v>
      </c>
      <c r="D982" s="188" t="s">
        <v>8955</v>
      </c>
    </row>
    <row r="983" spans="1:4" x14ac:dyDescent="0.3">
      <c r="A983">
        <v>65120057</v>
      </c>
      <c r="B983">
        <v>11362</v>
      </c>
      <c r="C983" t="s">
        <v>857</v>
      </c>
      <c r="D983" s="188" t="s">
        <v>8955</v>
      </c>
    </row>
    <row r="984" spans="1:4" x14ac:dyDescent="0.3">
      <c r="A984">
        <v>42422048</v>
      </c>
      <c r="B984">
        <v>11363</v>
      </c>
      <c r="C984" t="s">
        <v>855</v>
      </c>
      <c r="D984" s="188" t="s">
        <v>8955</v>
      </c>
    </row>
    <row r="985" spans="1:4" x14ac:dyDescent="0.3">
      <c r="A985">
        <v>23768603</v>
      </c>
      <c r="B985">
        <v>11364</v>
      </c>
      <c r="C985" t="s">
        <v>760</v>
      </c>
      <c r="D985" s="188" t="s">
        <v>8955</v>
      </c>
    </row>
    <row r="986" spans="1:4" x14ac:dyDescent="0.3">
      <c r="A986">
        <v>8830929</v>
      </c>
      <c r="B986">
        <v>11366</v>
      </c>
      <c r="C986" t="s">
        <v>762</v>
      </c>
      <c r="D986" s="188" t="s">
        <v>8955</v>
      </c>
    </row>
    <row r="987" spans="1:4" x14ac:dyDescent="0.3">
      <c r="A987">
        <v>5978596</v>
      </c>
      <c r="B987">
        <v>11367</v>
      </c>
      <c r="C987" t="s">
        <v>838</v>
      </c>
      <c r="D987" s="188" t="s">
        <v>8955</v>
      </c>
    </row>
    <row r="988" spans="1:4" x14ac:dyDescent="0.3">
      <c r="A988">
        <v>17344459</v>
      </c>
      <c r="B988">
        <v>11368</v>
      </c>
      <c r="C988" t="s">
        <v>732</v>
      </c>
      <c r="D988" s="188" t="s">
        <v>8955</v>
      </c>
    </row>
    <row r="989" spans="1:4" x14ac:dyDescent="0.3">
      <c r="A989">
        <v>17344459</v>
      </c>
      <c r="B989">
        <v>11369</v>
      </c>
      <c r="C989" t="s">
        <v>732</v>
      </c>
      <c r="D989" s="188" t="s">
        <v>8955</v>
      </c>
    </row>
    <row r="990" spans="1:4" x14ac:dyDescent="0.3">
      <c r="A990">
        <v>8213823</v>
      </c>
      <c r="B990">
        <v>11370</v>
      </c>
      <c r="C990" t="s">
        <v>822</v>
      </c>
      <c r="D990" s="188" t="s">
        <v>8955</v>
      </c>
    </row>
    <row r="991" spans="1:4" x14ac:dyDescent="0.3">
      <c r="A991">
        <v>4431044680</v>
      </c>
      <c r="B991">
        <v>11372</v>
      </c>
      <c r="C991" t="s">
        <v>703</v>
      </c>
      <c r="D991" s="188" t="s">
        <v>8955</v>
      </c>
    </row>
    <row r="992" spans="1:4" x14ac:dyDescent="0.3">
      <c r="A992">
        <v>25566035</v>
      </c>
      <c r="B992">
        <v>11373</v>
      </c>
      <c r="C992" t="s">
        <v>274</v>
      </c>
      <c r="D992" s="188" t="s">
        <v>8955</v>
      </c>
    </row>
    <row r="993" spans="1:4" x14ac:dyDescent="0.3">
      <c r="A993">
        <v>25566035</v>
      </c>
      <c r="B993">
        <v>11374</v>
      </c>
      <c r="C993" t="s">
        <v>274</v>
      </c>
      <c r="D993" s="188" t="s">
        <v>8955</v>
      </c>
    </row>
    <row r="994" spans="1:4" x14ac:dyDescent="0.3">
      <c r="A994">
        <v>25566035</v>
      </c>
      <c r="B994">
        <v>11375</v>
      </c>
      <c r="C994" t="s">
        <v>274</v>
      </c>
      <c r="D994" s="188" t="s">
        <v>8955</v>
      </c>
    </row>
    <row r="995" spans="1:4" x14ac:dyDescent="0.3">
      <c r="A995">
        <v>989304</v>
      </c>
      <c r="B995">
        <v>11376</v>
      </c>
      <c r="C995" t="s">
        <v>765</v>
      </c>
      <c r="D995" s="188" t="s">
        <v>8955</v>
      </c>
    </row>
    <row r="996" spans="1:4" x14ac:dyDescent="0.3">
      <c r="A996">
        <v>15088841</v>
      </c>
      <c r="B996">
        <v>11377</v>
      </c>
      <c r="C996" t="s">
        <v>766</v>
      </c>
      <c r="D996" s="188" t="s">
        <v>8955</v>
      </c>
    </row>
    <row r="997" spans="1:4" x14ac:dyDescent="0.3">
      <c r="A997">
        <v>3703027</v>
      </c>
      <c r="B997">
        <v>11378</v>
      </c>
      <c r="C997" t="s">
        <v>767</v>
      </c>
      <c r="D997" s="188" t="s">
        <v>8955</v>
      </c>
    </row>
    <row r="998" spans="1:4" x14ac:dyDescent="0.3">
      <c r="A998">
        <v>41264990</v>
      </c>
      <c r="B998">
        <v>11379</v>
      </c>
      <c r="C998" t="s">
        <v>379</v>
      </c>
      <c r="D998" s="188" t="s">
        <v>8955</v>
      </c>
    </row>
    <row r="999" spans="1:4" x14ac:dyDescent="0.3">
      <c r="A999">
        <v>15359138</v>
      </c>
      <c r="B999">
        <v>11380</v>
      </c>
      <c r="C999" t="s">
        <v>768</v>
      </c>
      <c r="D999" s="188" t="s">
        <v>8955</v>
      </c>
    </row>
    <row r="1000" spans="1:4" x14ac:dyDescent="0.3">
      <c r="A1000">
        <v>13812133</v>
      </c>
      <c r="B1000">
        <v>11381</v>
      </c>
      <c r="C1000" t="s">
        <v>769</v>
      </c>
      <c r="D1000" s="188" t="s">
        <v>8955</v>
      </c>
    </row>
    <row r="1001" spans="1:4" x14ac:dyDescent="0.3">
      <c r="A1001">
        <v>1414055</v>
      </c>
      <c r="B1001">
        <v>11382</v>
      </c>
      <c r="C1001" t="s">
        <v>770</v>
      </c>
      <c r="D1001" s="188" t="s">
        <v>8955</v>
      </c>
    </row>
    <row r="1002" spans="1:4" x14ac:dyDescent="0.3">
      <c r="A1002">
        <v>33931486</v>
      </c>
      <c r="B1002">
        <v>11383</v>
      </c>
      <c r="C1002" t="s">
        <v>922</v>
      </c>
      <c r="D1002" s="188" t="s">
        <v>8955</v>
      </c>
    </row>
    <row r="1003" spans="1:4" x14ac:dyDescent="0.3">
      <c r="A1003">
        <v>23294509</v>
      </c>
      <c r="B1003">
        <v>11384</v>
      </c>
      <c r="C1003" t="s">
        <v>771</v>
      </c>
      <c r="D1003" s="188" t="s">
        <v>8955</v>
      </c>
    </row>
    <row r="1004" spans="1:4" x14ac:dyDescent="0.3">
      <c r="A1004">
        <v>48246920</v>
      </c>
      <c r="B1004">
        <v>11385</v>
      </c>
      <c r="C1004" t="s">
        <v>802</v>
      </c>
      <c r="D1004" s="188" t="s">
        <v>8955</v>
      </c>
    </row>
    <row r="1005" spans="1:4" x14ac:dyDescent="0.3">
      <c r="A1005">
        <v>21792837</v>
      </c>
      <c r="B1005">
        <v>11386</v>
      </c>
      <c r="C1005" t="s">
        <v>274</v>
      </c>
      <c r="D1005" s="188" t="s">
        <v>8955</v>
      </c>
    </row>
    <row r="1006" spans="1:4" x14ac:dyDescent="0.3">
      <c r="A1006">
        <v>33194200</v>
      </c>
      <c r="B1006">
        <v>11387</v>
      </c>
      <c r="C1006" t="s">
        <v>304</v>
      </c>
      <c r="D1006" s="188" t="s">
        <v>8955</v>
      </c>
    </row>
    <row r="1007" spans="1:4" x14ac:dyDescent="0.3">
      <c r="A1007">
        <v>24019926</v>
      </c>
      <c r="B1007">
        <v>11388</v>
      </c>
      <c r="C1007" t="s">
        <v>274</v>
      </c>
      <c r="D1007" s="188" t="s">
        <v>8955</v>
      </c>
    </row>
    <row r="1008" spans="1:4" x14ac:dyDescent="0.3">
      <c r="A1008">
        <v>24019926</v>
      </c>
      <c r="B1008">
        <v>11389</v>
      </c>
      <c r="C1008" t="s">
        <v>274</v>
      </c>
      <c r="D1008" s="188" t="s">
        <v>8955</v>
      </c>
    </row>
    <row r="1009" spans="1:4" x14ac:dyDescent="0.3">
      <c r="A1009">
        <v>19878404</v>
      </c>
      <c r="B1009">
        <v>11390</v>
      </c>
      <c r="C1009" t="s">
        <v>772</v>
      </c>
      <c r="D1009" s="188" t="s">
        <v>8955</v>
      </c>
    </row>
    <row r="1010" spans="1:4" x14ac:dyDescent="0.3">
      <c r="A1010">
        <v>35823466</v>
      </c>
      <c r="B1010">
        <v>11391</v>
      </c>
      <c r="C1010" t="s">
        <v>1128</v>
      </c>
      <c r="D1010" s="188" t="s">
        <v>8955</v>
      </c>
    </row>
    <row r="1011" spans="1:4" x14ac:dyDescent="0.3">
      <c r="A1011">
        <v>8562228</v>
      </c>
      <c r="B1011">
        <v>11392</v>
      </c>
      <c r="C1011" t="s">
        <v>773</v>
      </c>
      <c r="D1011" s="188" t="s">
        <v>8955</v>
      </c>
    </row>
    <row r="1012" spans="1:4" x14ac:dyDescent="0.3">
      <c r="A1012">
        <v>29254042</v>
      </c>
      <c r="B1012">
        <v>11393</v>
      </c>
      <c r="C1012" t="s">
        <v>274</v>
      </c>
      <c r="D1012" s="188" t="s">
        <v>8955</v>
      </c>
    </row>
    <row r="1013" spans="1:4" x14ac:dyDescent="0.3">
      <c r="A1013">
        <v>11058338</v>
      </c>
      <c r="B1013">
        <v>11394</v>
      </c>
      <c r="C1013" t="s">
        <v>774</v>
      </c>
      <c r="D1013" s="188" t="s">
        <v>8955</v>
      </c>
    </row>
    <row r="1014" spans="1:4" x14ac:dyDescent="0.3">
      <c r="A1014">
        <v>8343492</v>
      </c>
      <c r="B1014">
        <v>11395</v>
      </c>
      <c r="C1014" t="s">
        <v>1133</v>
      </c>
      <c r="D1014" s="188" t="s">
        <v>8955</v>
      </c>
    </row>
    <row r="1015" spans="1:4" x14ac:dyDescent="0.3">
      <c r="A1015">
        <v>2481070</v>
      </c>
      <c r="B1015">
        <v>11396</v>
      </c>
      <c r="C1015" t="s">
        <v>346</v>
      </c>
      <c r="D1015" s="188" t="s">
        <v>8955</v>
      </c>
    </row>
    <row r="1016" spans="1:4" x14ac:dyDescent="0.3">
      <c r="A1016">
        <v>21587809</v>
      </c>
      <c r="B1016">
        <v>11397</v>
      </c>
      <c r="C1016" t="s">
        <v>775</v>
      </c>
      <c r="D1016" s="188" t="s">
        <v>8955</v>
      </c>
    </row>
    <row r="1017" spans="1:4" x14ac:dyDescent="0.3">
      <c r="A1017">
        <v>27631589</v>
      </c>
      <c r="B1017">
        <v>11398</v>
      </c>
      <c r="C1017" t="s">
        <v>776</v>
      </c>
      <c r="D1017" s="188" t="s">
        <v>8955</v>
      </c>
    </row>
    <row r="1018" spans="1:4" x14ac:dyDescent="0.3">
      <c r="A1018">
        <v>9210045</v>
      </c>
      <c r="B1018">
        <v>11399</v>
      </c>
      <c r="C1018" t="s">
        <v>1034</v>
      </c>
      <c r="D1018" s="188" t="s">
        <v>8955</v>
      </c>
    </row>
    <row r="1019" spans="1:4" x14ac:dyDescent="0.3">
      <c r="A1019">
        <v>18742098</v>
      </c>
      <c r="B1019">
        <v>11400</v>
      </c>
      <c r="C1019" t="s">
        <v>777</v>
      </c>
      <c r="D1019" s="188" t="s">
        <v>8955</v>
      </c>
    </row>
    <row r="1020" spans="1:4" x14ac:dyDescent="0.3">
      <c r="A1020">
        <v>42515478</v>
      </c>
      <c r="B1020">
        <v>11403</v>
      </c>
      <c r="C1020" t="s">
        <v>778</v>
      </c>
      <c r="D1020" s="188" t="s">
        <v>8955</v>
      </c>
    </row>
    <row r="1021" spans="1:4" x14ac:dyDescent="0.3">
      <c r="A1021">
        <v>25566035</v>
      </c>
      <c r="B1021">
        <v>11404</v>
      </c>
      <c r="C1021" t="s">
        <v>853</v>
      </c>
      <c r="D1021" s="188" t="s">
        <v>8955</v>
      </c>
    </row>
    <row r="1022" spans="1:4" x14ac:dyDescent="0.3">
      <c r="A1022">
        <v>22544134</v>
      </c>
      <c r="B1022">
        <v>11405</v>
      </c>
      <c r="C1022" t="s">
        <v>780</v>
      </c>
      <c r="D1022" s="188" t="s">
        <v>8955</v>
      </c>
    </row>
    <row r="1023" spans="1:4" x14ac:dyDescent="0.3">
      <c r="A1023">
        <v>29116902</v>
      </c>
      <c r="B1023">
        <v>11406</v>
      </c>
      <c r="C1023" t="s">
        <v>871</v>
      </c>
      <c r="D1023" s="188" t="s">
        <v>8955</v>
      </c>
    </row>
    <row r="1024" spans="1:4" x14ac:dyDescent="0.3">
      <c r="A1024">
        <v>86816592</v>
      </c>
      <c r="B1024">
        <v>11407</v>
      </c>
      <c r="C1024" t="s">
        <v>1035</v>
      </c>
      <c r="D1024" s="188" t="s">
        <v>8955</v>
      </c>
    </row>
    <row r="1025" spans="1:4" x14ac:dyDescent="0.3">
      <c r="A1025">
        <v>37765981</v>
      </c>
      <c r="B1025">
        <v>11408</v>
      </c>
      <c r="C1025" t="s">
        <v>932</v>
      </c>
      <c r="D1025" s="188" t="s">
        <v>8955</v>
      </c>
    </row>
    <row r="1026" spans="1:4" x14ac:dyDescent="0.3">
      <c r="A1026">
        <v>37765981</v>
      </c>
      <c r="B1026">
        <v>11409</v>
      </c>
      <c r="C1026" t="s">
        <v>875</v>
      </c>
      <c r="D1026" s="188" t="s">
        <v>8955</v>
      </c>
    </row>
    <row r="1027" spans="1:4" x14ac:dyDescent="0.3">
      <c r="A1027">
        <v>19072453</v>
      </c>
      <c r="B1027">
        <v>11410</v>
      </c>
      <c r="C1027" t="s">
        <v>782</v>
      </c>
      <c r="D1027" s="188" t="s">
        <v>8955</v>
      </c>
    </row>
    <row r="1028" spans="1:4" x14ac:dyDescent="0.3">
      <c r="A1028">
        <v>10613614</v>
      </c>
      <c r="B1028">
        <v>11411</v>
      </c>
      <c r="C1028" t="s">
        <v>781</v>
      </c>
      <c r="D1028" s="188" t="s">
        <v>8955</v>
      </c>
    </row>
    <row r="1029" spans="1:4" x14ac:dyDescent="0.3">
      <c r="A1029">
        <v>20654377</v>
      </c>
      <c r="B1029">
        <v>11412</v>
      </c>
      <c r="C1029" t="s">
        <v>274</v>
      </c>
      <c r="D1029" s="188" t="s">
        <v>8955</v>
      </c>
    </row>
    <row r="1030" spans="1:4" x14ac:dyDescent="0.3">
      <c r="A1030">
        <v>635970</v>
      </c>
      <c r="B1030">
        <v>11413</v>
      </c>
      <c r="C1030" t="s">
        <v>285</v>
      </c>
      <c r="D1030" s="188" t="s">
        <v>8955</v>
      </c>
    </row>
    <row r="1031" spans="1:4" x14ac:dyDescent="0.3">
      <c r="A1031">
        <v>8343492</v>
      </c>
      <c r="B1031">
        <v>11414</v>
      </c>
      <c r="C1031" t="s">
        <v>1121</v>
      </c>
      <c r="D1031" s="188" t="s">
        <v>8955</v>
      </c>
    </row>
    <row r="1032" spans="1:4" x14ac:dyDescent="0.3">
      <c r="A1032">
        <v>3352674914</v>
      </c>
      <c r="B1032">
        <v>11415</v>
      </c>
      <c r="C1032" t="s">
        <v>1204</v>
      </c>
      <c r="D1032" s="188" t="s">
        <v>8955</v>
      </c>
    </row>
    <row r="1033" spans="1:4" x14ac:dyDescent="0.3">
      <c r="A1033">
        <v>10238641</v>
      </c>
      <c r="B1033">
        <v>11416</v>
      </c>
      <c r="C1033" t="s">
        <v>1124</v>
      </c>
      <c r="D1033" s="188" t="s">
        <v>8955</v>
      </c>
    </row>
    <row r="1034" spans="1:4" x14ac:dyDescent="0.3">
      <c r="A1034">
        <v>30441456</v>
      </c>
      <c r="B1034">
        <v>11417</v>
      </c>
      <c r="C1034" t="s">
        <v>1000</v>
      </c>
      <c r="D1034" s="188" t="s">
        <v>8955</v>
      </c>
    </row>
    <row r="1035" spans="1:4" x14ac:dyDescent="0.3">
      <c r="A1035">
        <v>11890319</v>
      </c>
      <c r="B1035">
        <v>11418</v>
      </c>
      <c r="C1035" t="s">
        <v>796</v>
      </c>
      <c r="D1035" s="188" t="s">
        <v>8955</v>
      </c>
    </row>
    <row r="1036" spans="1:4" x14ac:dyDescent="0.3">
      <c r="A1036">
        <v>9625762</v>
      </c>
      <c r="B1036">
        <v>11419</v>
      </c>
      <c r="C1036" t="s">
        <v>836</v>
      </c>
      <c r="D1036" s="188" t="s">
        <v>8955</v>
      </c>
    </row>
    <row r="1037" spans="1:4" x14ac:dyDescent="0.3">
      <c r="A1037">
        <v>7792949</v>
      </c>
      <c r="B1037">
        <v>11420</v>
      </c>
      <c r="C1037" t="s">
        <v>274</v>
      </c>
      <c r="D1037" s="188" t="s">
        <v>8955</v>
      </c>
    </row>
    <row r="1038" spans="1:4" x14ac:dyDescent="0.3">
      <c r="A1038">
        <v>7792949</v>
      </c>
      <c r="B1038">
        <v>11421</v>
      </c>
      <c r="C1038" t="s">
        <v>274</v>
      </c>
      <c r="D1038" s="188" t="s">
        <v>8955</v>
      </c>
    </row>
    <row r="1039" spans="1:4" x14ac:dyDescent="0.3">
      <c r="A1039">
        <v>7522191</v>
      </c>
      <c r="B1039">
        <v>11422</v>
      </c>
      <c r="C1039" t="s">
        <v>783</v>
      </c>
      <c r="D1039" s="188" t="s">
        <v>8955</v>
      </c>
    </row>
    <row r="1040" spans="1:4" x14ac:dyDescent="0.3">
      <c r="A1040">
        <v>1766710</v>
      </c>
      <c r="B1040">
        <v>11423</v>
      </c>
      <c r="C1040" t="s">
        <v>786</v>
      </c>
      <c r="D1040" s="188" t="s">
        <v>8955</v>
      </c>
    </row>
    <row r="1041" spans="1:4" x14ac:dyDescent="0.3">
      <c r="A1041">
        <v>17467409</v>
      </c>
      <c r="B1041">
        <v>11424</v>
      </c>
      <c r="C1041" t="s">
        <v>878</v>
      </c>
      <c r="D1041" s="188" t="s">
        <v>8955</v>
      </c>
    </row>
    <row r="1042" spans="1:4" x14ac:dyDescent="0.3">
      <c r="A1042">
        <v>17467409</v>
      </c>
      <c r="B1042">
        <v>11425</v>
      </c>
      <c r="C1042" t="s">
        <v>878</v>
      </c>
      <c r="D1042" s="188" t="s">
        <v>8955</v>
      </c>
    </row>
    <row r="1043" spans="1:4" x14ac:dyDescent="0.3">
      <c r="A1043">
        <v>34271379</v>
      </c>
      <c r="B1043">
        <v>11426</v>
      </c>
      <c r="C1043" t="s">
        <v>1065</v>
      </c>
      <c r="D1043" s="188" t="s">
        <v>8955</v>
      </c>
    </row>
    <row r="1044" spans="1:4" x14ac:dyDescent="0.3">
      <c r="A1044">
        <v>21470224</v>
      </c>
      <c r="B1044">
        <v>11427</v>
      </c>
      <c r="C1044" t="s">
        <v>787</v>
      </c>
      <c r="D1044" s="188" t="s">
        <v>8955</v>
      </c>
    </row>
    <row r="1045" spans="1:4" x14ac:dyDescent="0.3">
      <c r="A1045">
        <v>4470925</v>
      </c>
      <c r="B1045">
        <v>11428</v>
      </c>
      <c r="C1045" t="s">
        <v>1228</v>
      </c>
      <c r="D1045" s="188" t="s">
        <v>8955</v>
      </c>
    </row>
    <row r="1046" spans="1:4" x14ac:dyDescent="0.3">
      <c r="A1046">
        <v>18720938</v>
      </c>
      <c r="B1046">
        <v>11429</v>
      </c>
      <c r="C1046" t="s">
        <v>1066</v>
      </c>
      <c r="D1046" s="188" t="s">
        <v>8955</v>
      </c>
    </row>
    <row r="1047" spans="1:4" x14ac:dyDescent="0.3">
      <c r="A1047">
        <v>28763819</v>
      </c>
      <c r="B1047">
        <v>11430</v>
      </c>
      <c r="C1047" t="s">
        <v>785</v>
      </c>
      <c r="D1047" s="188" t="s">
        <v>8955</v>
      </c>
    </row>
    <row r="1048" spans="1:4" x14ac:dyDescent="0.3">
      <c r="A1048">
        <v>655209</v>
      </c>
      <c r="B1048">
        <v>11432</v>
      </c>
      <c r="C1048" t="s">
        <v>784</v>
      </c>
      <c r="D1048" s="188" t="s">
        <v>8955</v>
      </c>
    </row>
    <row r="1049" spans="1:4" x14ac:dyDescent="0.3">
      <c r="A1049">
        <v>27080426</v>
      </c>
      <c r="B1049">
        <v>11433</v>
      </c>
      <c r="C1049" t="s">
        <v>788</v>
      </c>
      <c r="D1049" s="188" t="s">
        <v>8955</v>
      </c>
    </row>
    <row r="1050" spans="1:4" x14ac:dyDescent="0.3">
      <c r="A1050">
        <v>29658922</v>
      </c>
      <c r="B1050">
        <v>11434</v>
      </c>
      <c r="C1050" t="s">
        <v>789</v>
      </c>
      <c r="D1050" s="188" t="s">
        <v>8955</v>
      </c>
    </row>
    <row r="1051" spans="1:4" x14ac:dyDescent="0.3">
      <c r="A1051">
        <v>97515035</v>
      </c>
      <c r="B1051">
        <v>11435</v>
      </c>
      <c r="C1051" t="s">
        <v>790</v>
      </c>
      <c r="D1051" s="188" t="s">
        <v>8955</v>
      </c>
    </row>
    <row r="1052" spans="1:4" x14ac:dyDescent="0.3">
      <c r="A1052">
        <v>47497367</v>
      </c>
      <c r="B1052">
        <v>11436</v>
      </c>
      <c r="C1052" t="s">
        <v>791</v>
      </c>
      <c r="D1052" s="188" t="s">
        <v>8955</v>
      </c>
    </row>
    <row r="1053" spans="1:4" x14ac:dyDescent="0.3">
      <c r="A1053">
        <v>8962213</v>
      </c>
      <c r="B1053">
        <v>11437</v>
      </c>
      <c r="C1053" t="s">
        <v>792</v>
      </c>
      <c r="D1053" s="188" t="s">
        <v>8955</v>
      </c>
    </row>
    <row r="1054" spans="1:4" x14ac:dyDescent="0.3">
      <c r="A1054">
        <v>13791376</v>
      </c>
      <c r="B1054">
        <v>11438</v>
      </c>
      <c r="C1054" t="s">
        <v>274</v>
      </c>
      <c r="D1054" s="188" t="s">
        <v>8955</v>
      </c>
    </row>
    <row r="1055" spans="1:4" x14ac:dyDescent="0.3">
      <c r="A1055">
        <v>37222503</v>
      </c>
      <c r="B1055">
        <v>11439</v>
      </c>
      <c r="C1055" t="s">
        <v>269</v>
      </c>
      <c r="D1055" s="188" t="s">
        <v>8955</v>
      </c>
    </row>
    <row r="1056" spans="1:4" x14ac:dyDescent="0.3">
      <c r="A1056">
        <v>10220039</v>
      </c>
      <c r="B1056">
        <v>11440</v>
      </c>
      <c r="C1056" t="s">
        <v>793</v>
      </c>
      <c r="D1056" s="188" t="s">
        <v>8955</v>
      </c>
    </row>
    <row r="1057" spans="1:4" x14ac:dyDescent="0.3">
      <c r="A1057">
        <v>7329932</v>
      </c>
      <c r="B1057">
        <v>11441</v>
      </c>
      <c r="C1057" t="s">
        <v>1229</v>
      </c>
      <c r="D1057" s="188" t="s">
        <v>8955</v>
      </c>
    </row>
    <row r="1058" spans="1:4" x14ac:dyDescent="0.3">
      <c r="A1058">
        <v>12360493</v>
      </c>
      <c r="B1058">
        <v>11446</v>
      </c>
      <c r="C1058" t="s">
        <v>274</v>
      </c>
      <c r="D1058" s="188" t="s">
        <v>8955</v>
      </c>
    </row>
    <row r="1059" spans="1:4" x14ac:dyDescent="0.3">
      <c r="A1059">
        <v>34999579</v>
      </c>
      <c r="B1059">
        <v>11447</v>
      </c>
      <c r="C1059" t="s">
        <v>315</v>
      </c>
      <c r="D1059" s="188" t="s">
        <v>8955</v>
      </c>
    </row>
    <row r="1060" spans="1:4" x14ac:dyDescent="0.3">
      <c r="A1060">
        <v>1084855</v>
      </c>
      <c r="B1060">
        <v>11448</v>
      </c>
      <c r="C1060" t="s">
        <v>274</v>
      </c>
      <c r="D1060" s="188" t="s">
        <v>8955</v>
      </c>
    </row>
    <row r="1061" spans="1:4" x14ac:dyDescent="0.3">
      <c r="A1061">
        <v>3672857</v>
      </c>
      <c r="B1061">
        <v>11449</v>
      </c>
      <c r="C1061" t="s">
        <v>794</v>
      </c>
      <c r="D1061" s="188" t="s">
        <v>8955</v>
      </c>
    </row>
    <row r="1062" spans="1:4" x14ac:dyDescent="0.3">
      <c r="A1062">
        <v>17162983</v>
      </c>
      <c r="B1062">
        <v>11450</v>
      </c>
      <c r="C1062" t="s">
        <v>343</v>
      </c>
      <c r="D1062" s="188" t="s">
        <v>8955</v>
      </c>
    </row>
    <row r="1063" spans="1:4" x14ac:dyDescent="0.3">
      <c r="A1063">
        <v>7382185</v>
      </c>
      <c r="B1063">
        <v>11451</v>
      </c>
      <c r="C1063" t="s">
        <v>795</v>
      </c>
      <c r="D1063" s="188" t="s">
        <v>8955</v>
      </c>
    </row>
    <row r="1064" spans="1:4" x14ac:dyDescent="0.3">
      <c r="A1064">
        <v>9131944</v>
      </c>
      <c r="B1064">
        <v>11452</v>
      </c>
      <c r="C1064" t="s">
        <v>910</v>
      </c>
      <c r="D1064" s="188" t="s">
        <v>8955</v>
      </c>
    </row>
    <row r="1065" spans="1:4" x14ac:dyDescent="0.3">
      <c r="A1065">
        <v>9131944</v>
      </c>
      <c r="B1065">
        <v>11453</v>
      </c>
      <c r="C1065" t="s">
        <v>274</v>
      </c>
      <c r="D1065" s="188" t="s">
        <v>8955</v>
      </c>
    </row>
    <row r="1066" spans="1:4" x14ac:dyDescent="0.3">
      <c r="A1066">
        <v>39983235</v>
      </c>
      <c r="B1066">
        <v>11454</v>
      </c>
      <c r="C1066" t="s">
        <v>797</v>
      </c>
      <c r="D1066" s="188" t="s">
        <v>8955</v>
      </c>
    </row>
    <row r="1067" spans="1:4" x14ac:dyDescent="0.3">
      <c r="A1067">
        <v>19570720</v>
      </c>
      <c r="B1067">
        <v>11467</v>
      </c>
      <c r="C1067" t="s">
        <v>1067</v>
      </c>
      <c r="D1067" s="188" t="s">
        <v>8955</v>
      </c>
    </row>
    <row r="1068" spans="1:4" x14ac:dyDescent="0.3">
      <c r="A1068">
        <v>63081764</v>
      </c>
      <c r="B1068">
        <v>11469</v>
      </c>
      <c r="C1068" t="s">
        <v>360</v>
      </c>
      <c r="D1068" s="188" t="s">
        <v>8955</v>
      </c>
    </row>
    <row r="1069" spans="1:4" x14ac:dyDescent="0.3">
      <c r="A1069">
        <v>21175203</v>
      </c>
      <c r="B1069">
        <v>11470</v>
      </c>
      <c r="C1069" t="s">
        <v>799</v>
      </c>
      <c r="D1069" s="188" t="s">
        <v>8955</v>
      </c>
    </row>
    <row r="1070" spans="1:4" x14ac:dyDescent="0.3">
      <c r="A1070">
        <v>10558895</v>
      </c>
      <c r="B1070">
        <v>11471</v>
      </c>
      <c r="C1070" t="s">
        <v>801</v>
      </c>
      <c r="D1070" s="188" t="s">
        <v>8955</v>
      </c>
    </row>
    <row r="1071" spans="1:4" x14ac:dyDescent="0.3">
      <c r="A1071">
        <v>5802877</v>
      </c>
      <c r="B1071">
        <v>11472</v>
      </c>
      <c r="C1071" t="s">
        <v>804</v>
      </c>
      <c r="D1071" s="188" t="s">
        <v>8955</v>
      </c>
    </row>
    <row r="1072" spans="1:4" x14ac:dyDescent="0.3">
      <c r="A1072">
        <v>15063096</v>
      </c>
      <c r="B1072">
        <v>11473</v>
      </c>
      <c r="C1072" t="s">
        <v>803</v>
      </c>
      <c r="D1072" s="188" t="s">
        <v>8955</v>
      </c>
    </row>
    <row r="1073" spans="1:4" x14ac:dyDescent="0.3">
      <c r="A1073">
        <v>39580673</v>
      </c>
      <c r="B1073">
        <v>11474</v>
      </c>
      <c r="C1073" t="s">
        <v>806</v>
      </c>
      <c r="D1073" s="188" t="s">
        <v>8955</v>
      </c>
    </row>
    <row r="1074" spans="1:4" x14ac:dyDescent="0.3">
      <c r="A1074">
        <v>32789175</v>
      </c>
      <c r="B1074">
        <v>11475</v>
      </c>
      <c r="C1074" t="s">
        <v>805</v>
      </c>
      <c r="D1074" s="188" t="s">
        <v>8955</v>
      </c>
    </row>
    <row r="1075" spans="1:4" x14ac:dyDescent="0.3">
      <c r="A1075">
        <v>33830043</v>
      </c>
      <c r="B1075">
        <v>11476</v>
      </c>
      <c r="C1075" t="s">
        <v>854</v>
      </c>
      <c r="D1075" s="188" t="s">
        <v>8955</v>
      </c>
    </row>
    <row r="1076" spans="1:4" x14ac:dyDescent="0.3">
      <c r="A1076">
        <v>60874005</v>
      </c>
      <c r="B1076">
        <v>11477</v>
      </c>
      <c r="C1076" t="s">
        <v>841</v>
      </c>
      <c r="D1076" s="188" t="s">
        <v>8955</v>
      </c>
    </row>
    <row r="1077" spans="1:4" x14ac:dyDescent="0.3">
      <c r="A1077">
        <v>20584944</v>
      </c>
      <c r="B1077">
        <v>11478</v>
      </c>
      <c r="C1077" t="s">
        <v>807</v>
      </c>
      <c r="D1077" s="188" t="s">
        <v>8955</v>
      </c>
    </row>
    <row r="1078" spans="1:4" x14ac:dyDescent="0.3">
      <c r="A1078">
        <v>3644204</v>
      </c>
      <c r="B1078">
        <v>11479</v>
      </c>
      <c r="C1078" t="s">
        <v>1036</v>
      </c>
      <c r="D1078" s="188" t="s">
        <v>8955</v>
      </c>
    </row>
    <row r="1079" spans="1:4" x14ac:dyDescent="0.3">
      <c r="A1079">
        <v>3388938</v>
      </c>
      <c r="B1079">
        <v>11480</v>
      </c>
      <c r="C1079" t="s">
        <v>816</v>
      </c>
      <c r="D1079" s="188" t="s">
        <v>8955</v>
      </c>
    </row>
    <row r="1080" spans="1:4" x14ac:dyDescent="0.3">
      <c r="A1080">
        <v>19235340</v>
      </c>
      <c r="B1080">
        <v>11481</v>
      </c>
      <c r="C1080" t="s">
        <v>791</v>
      </c>
      <c r="D1080" s="188" t="s">
        <v>8955</v>
      </c>
    </row>
    <row r="1081" spans="1:4" x14ac:dyDescent="0.3">
      <c r="A1081">
        <v>38349065</v>
      </c>
      <c r="B1081">
        <v>11482</v>
      </c>
      <c r="C1081" t="s">
        <v>808</v>
      </c>
      <c r="D1081" s="188" t="s">
        <v>8955</v>
      </c>
    </row>
    <row r="1082" spans="1:4" x14ac:dyDescent="0.3">
      <c r="A1082">
        <v>5642273</v>
      </c>
      <c r="B1082">
        <v>11483</v>
      </c>
      <c r="C1082" t="s">
        <v>274</v>
      </c>
      <c r="D1082" s="188" t="s">
        <v>8955</v>
      </c>
    </row>
    <row r="1083" spans="1:4" x14ac:dyDescent="0.3">
      <c r="A1083">
        <v>3958763</v>
      </c>
      <c r="B1083">
        <v>11484</v>
      </c>
      <c r="C1083" t="s">
        <v>809</v>
      </c>
      <c r="D1083" s="188" t="s">
        <v>8955</v>
      </c>
    </row>
    <row r="1084" spans="1:4" x14ac:dyDescent="0.3">
      <c r="A1084">
        <v>15403857</v>
      </c>
      <c r="B1084">
        <v>11485</v>
      </c>
      <c r="C1084" t="s">
        <v>920</v>
      </c>
      <c r="D1084" s="188" t="s">
        <v>8955</v>
      </c>
    </row>
    <row r="1085" spans="1:4" x14ac:dyDescent="0.3">
      <c r="A1085">
        <v>3643856</v>
      </c>
      <c r="B1085">
        <v>11486</v>
      </c>
      <c r="C1085" t="s">
        <v>1132</v>
      </c>
      <c r="D1085" s="188" t="s">
        <v>8955</v>
      </c>
    </row>
    <row r="1086" spans="1:4" x14ac:dyDescent="0.3">
      <c r="A1086">
        <v>5773057</v>
      </c>
      <c r="B1086">
        <v>11487</v>
      </c>
      <c r="C1086" t="s">
        <v>810</v>
      </c>
      <c r="D1086" s="188" t="s">
        <v>8955</v>
      </c>
    </row>
    <row r="1087" spans="1:4" x14ac:dyDescent="0.3">
      <c r="A1087">
        <v>8928273</v>
      </c>
      <c r="B1087">
        <v>11488</v>
      </c>
      <c r="C1087" t="s">
        <v>811</v>
      </c>
      <c r="D1087" s="188" t="s">
        <v>8955</v>
      </c>
    </row>
    <row r="1088" spans="1:4" x14ac:dyDescent="0.3">
      <c r="A1088">
        <v>27373518</v>
      </c>
      <c r="B1088">
        <v>11489</v>
      </c>
      <c r="C1088" t="s">
        <v>812</v>
      </c>
      <c r="D1088" s="188" t="s">
        <v>8955</v>
      </c>
    </row>
    <row r="1089" spans="1:4" x14ac:dyDescent="0.3">
      <c r="A1089">
        <v>10220039</v>
      </c>
      <c r="B1089">
        <v>11490</v>
      </c>
      <c r="C1089" t="s">
        <v>813</v>
      </c>
      <c r="D1089" s="188" t="s">
        <v>8955</v>
      </c>
    </row>
    <row r="1090" spans="1:4" x14ac:dyDescent="0.3">
      <c r="A1090">
        <v>40331350</v>
      </c>
      <c r="B1090">
        <v>11491</v>
      </c>
      <c r="C1090" t="s">
        <v>814</v>
      </c>
      <c r="D1090" s="188" t="s">
        <v>8955</v>
      </c>
    </row>
    <row r="1091" spans="1:4" x14ac:dyDescent="0.3">
      <c r="A1091">
        <v>12514972</v>
      </c>
      <c r="B1091">
        <v>11492</v>
      </c>
      <c r="C1091" t="s">
        <v>274</v>
      </c>
      <c r="D1091" s="188" t="s">
        <v>8955</v>
      </c>
    </row>
    <row r="1092" spans="1:4" x14ac:dyDescent="0.3">
      <c r="A1092">
        <v>10242636</v>
      </c>
      <c r="B1092">
        <v>11493</v>
      </c>
      <c r="C1092" t="s">
        <v>862</v>
      </c>
      <c r="D1092" s="188" t="s">
        <v>8955</v>
      </c>
    </row>
    <row r="1093" spans="1:4" x14ac:dyDescent="0.3">
      <c r="A1093">
        <v>2905110</v>
      </c>
      <c r="B1093">
        <v>11495</v>
      </c>
      <c r="C1093" t="s">
        <v>274</v>
      </c>
      <c r="D1093" s="188" t="s">
        <v>8955</v>
      </c>
    </row>
    <row r="1094" spans="1:4" x14ac:dyDescent="0.3">
      <c r="A1094">
        <v>35551279</v>
      </c>
      <c r="B1094">
        <v>11496</v>
      </c>
      <c r="C1094" t="s">
        <v>817</v>
      </c>
      <c r="D1094" s="188" t="s">
        <v>8955</v>
      </c>
    </row>
    <row r="1095" spans="1:4" x14ac:dyDescent="0.3">
      <c r="A1095">
        <v>15563826</v>
      </c>
      <c r="B1095">
        <v>11497</v>
      </c>
      <c r="C1095" t="s">
        <v>880</v>
      </c>
      <c r="D1095" s="188" t="s">
        <v>8955</v>
      </c>
    </row>
    <row r="1096" spans="1:4" x14ac:dyDescent="0.3">
      <c r="A1096">
        <v>13118774</v>
      </c>
      <c r="B1096">
        <v>11498</v>
      </c>
      <c r="C1096" t="s">
        <v>819</v>
      </c>
      <c r="D1096" s="188" t="s">
        <v>8955</v>
      </c>
    </row>
    <row r="1097" spans="1:4" x14ac:dyDescent="0.3">
      <c r="A1097">
        <v>24962466</v>
      </c>
      <c r="B1097">
        <v>11499</v>
      </c>
      <c r="C1097" t="s">
        <v>911</v>
      </c>
      <c r="D1097" s="188" t="s">
        <v>8955</v>
      </c>
    </row>
    <row r="1098" spans="1:4" x14ac:dyDescent="0.3">
      <c r="A1098">
        <v>24962466</v>
      </c>
      <c r="B1098">
        <v>11500</v>
      </c>
      <c r="C1098" t="s">
        <v>1037</v>
      </c>
      <c r="D1098" s="188" t="s">
        <v>8955</v>
      </c>
    </row>
    <row r="1099" spans="1:4" x14ac:dyDescent="0.3">
      <c r="A1099">
        <v>32136021</v>
      </c>
      <c r="B1099">
        <v>11501</v>
      </c>
      <c r="C1099" t="s">
        <v>823</v>
      </c>
      <c r="D1099" s="188" t="s">
        <v>8955</v>
      </c>
    </row>
    <row r="1100" spans="1:4" x14ac:dyDescent="0.3">
      <c r="A1100">
        <v>9008497</v>
      </c>
      <c r="B1100">
        <v>11502</v>
      </c>
      <c r="C1100" t="s">
        <v>824</v>
      </c>
      <c r="D1100" s="188" t="s">
        <v>8955</v>
      </c>
    </row>
    <row r="1101" spans="1:4" x14ac:dyDescent="0.3">
      <c r="A1101">
        <v>20279267800</v>
      </c>
      <c r="B1101">
        <v>11503</v>
      </c>
      <c r="C1101" t="s">
        <v>1129</v>
      </c>
      <c r="D1101" s="188" t="s">
        <v>8955</v>
      </c>
    </row>
    <row r="1102" spans="1:4" x14ac:dyDescent="0.3">
      <c r="A1102">
        <v>6205427</v>
      </c>
      <c r="B1102">
        <v>11504</v>
      </c>
      <c r="C1102" t="s">
        <v>826</v>
      </c>
      <c r="D1102" s="188" t="s">
        <v>8955</v>
      </c>
    </row>
    <row r="1103" spans="1:4" x14ac:dyDescent="0.3">
      <c r="A1103">
        <v>63014377</v>
      </c>
      <c r="B1103">
        <v>11505</v>
      </c>
      <c r="C1103" t="s">
        <v>827</v>
      </c>
      <c r="D1103" s="188" t="s">
        <v>8955</v>
      </c>
    </row>
    <row r="1104" spans="1:4" x14ac:dyDescent="0.3">
      <c r="A1104">
        <v>8832667</v>
      </c>
      <c r="B1104">
        <v>11506</v>
      </c>
      <c r="C1104" t="s">
        <v>840</v>
      </c>
      <c r="D1104" t="s">
        <v>8955</v>
      </c>
    </row>
    <row r="1105" spans="1:4" x14ac:dyDescent="0.3">
      <c r="A1105">
        <v>32836259</v>
      </c>
      <c r="B1105">
        <v>11507</v>
      </c>
      <c r="C1105" t="s">
        <v>828</v>
      </c>
      <c r="D1105" t="s">
        <v>8955</v>
      </c>
    </row>
    <row r="1106" spans="1:4" x14ac:dyDescent="0.3">
      <c r="A1106">
        <v>42824619</v>
      </c>
      <c r="B1106">
        <v>11508</v>
      </c>
      <c r="C1106" t="s">
        <v>332</v>
      </c>
      <c r="D1106" t="s">
        <v>8955</v>
      </c>
    </row>
    <row r="1107" spans="1:4" x14ac:dyDescent="0.3">
      <c r="A1107">
        <v>17713930</v>
      </c>
      <c r="B1107">
        <v>11509</v>
      </c>
      <c r="C1107" t="s">
        <v>277</v>
      </c>
      <c r="D1107" t="s">
        <v>8955</v>
      </c>
    </row>
    <row r="1108" spans="1:4" x14ac:dyDescent="0.3">
      <c r="A1108">
        <v>33000167</v>
      </c>
      <c r="B1108">
        <v>11510</v>
      </c>
      <c r="C1108" t="s">
        <v>508</v>
      </c>
      <c r="D1108" t="s">
        <v>8955</v>
      </c>
    </row>
    <row r="1109" spans="1:4" x14ac:dyDescent="0.3">
      <c r="A1109">
        <v>21441058</v>
      </c>
      <c r="B1109">
        <v>11511</v>
      </c>
      <c r="C1109" t="s">
        <v>532</v>
      </c>
      <c r="D1109" t="s">
        <v>8955</v>
      </c>
    </row>
    <row r="1110" spans="1:4" x14ac:dyDescent="0.3">
      <c r="A1110">
        <v>17162983</v>
      </c>
      <c r="B1110">
        <v>11512</v>
      </c>
      <c r="C1110" t="s">
        <v>829</v>
      </c>
      <c r="D1110" t="s">
        <v>8955</v>
      </c>
    </row>
    <row r="1111" spans="1:4" x14ac:dyDescent="0.3">
      <c r="A1111">
        <v>2618143</v>
      </c>
      <c r="B1111">
        <v>11513</v>
      </c>
      <c r="C1111" t="s">
        <v>330</v>
      </c>
      <c r="D1111" t="s">
        <v>8955</v>
      </c>
    </row>
    <row r="1112" spans="1:4" x14ac:dyDescent="0.3">
      <c r="A1112">
        <v>2618143</v>
      </c>
      <c r="B1112">
        <v>11514</v>
      </c>
      <c r="C1112" t="s">
        <v>128</v>
      </c>
      <c r="D1112" t="s">
        <v>8955</v>
      </c>
    </row>
    <row r="1113" spans="1:4" x14ac:dyDescent="0.3">
      <c r="A1113">
        <v>2618143</v>
      </c>
      <c r="B1113">
        <v>11515</v>
      </c>
      <c r="C1113" t="s">
        <v>1068</v>
      </c>
      <c r="D1113" t="s">
        <v>8955</v>
      </c>
    </row>
    <row r="1114" spans="1:4" x14ac:dyDescent="0.3">
      <c r="A1114">
        <v>38154065</v>
      </c>
      <c r="B1114">
        <v>11516</v>
      </c>
      <c r="C1114" t="s">
        <v>830</v>
      </c>
      <c r="D1114" t="s">
        <v>8955</v>
      </c>
    </row>
  </sheetData>
  <autoFilter ref="A1:D1114" xr:uid="{B95406F5-705B-4515-9A92-07DC9E9FF92E}"/>
  <sortState xmlns:xlrd2="http://schemas.microsoft.com/office/spreadsheetml/2017/richdata2" ref="A2:D1114">
    <sortCondition sortBy="cellColor" ref="D2:D1114" dxfId="12"/>
  </sortState>
  <conditionalFormatting sqref="D1:D1048576">
    <cfRule type="duplicateValues" dxfId="11" priority="1800"/>
  </conditionalFormatting>
  <hyperlinks>
    <hyperlink ref="D2" r:id="rId1" xr:uid="{D0EA2B72-7ACF-4F4A-A673-664F963A79DA}"/>
    <hyperlink ref="D3:D1103" r:id="rId2" display="aleatorio@aleatorio.com.br" xr:uid="{F0BA6DE6-69D6-45B9-9E40-393A0FCB9CA2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37181-D0AB-44B0-8F46-3FD1446F3326}">
  <sheetPr codeName="Planilha1"/>
  <dimension ref="A1:L1025"/>
  <sheetViews>
    <sheetView workbookViewId="0">
      <selection activeCell="H2" sqref="H2:H1025"/>
    </sheetView>
  </sheetViews>
  <sheetFormatPr defaultRowHeight="14.4" x14ac:dyDescent="0.3"/>
  <cols>
    <col min="1" max="3" width="9.109375" style="186"/>
    <col min="5" max="5" width="9.109375" style="186"/>
    <col min="9" max="9" width="9.109375" style="186"/>
    <col min="11" max="11" width="18.6640625" bestFit="1" customWidth="1"/>
    <col min="12" max="12" width="15.88671875" bestFit="1" customWidth="1"/>
  </cols>
  <sheetData>
    <row r="1" spans="1:12" x14ac:dyDescent="0.3">
      <c r="A1" s="186" t="s">
        <v>1380</v>
      </c>
      <c r="B1" s="186" t="s">
        <v>84</v>
      </c>
      <c r="C1" s="186" t="s">
        <v>85</v>
      </c>
      <c r="D1" t="s">
        <v>94</v>
      </c>
      <c r="E1" s="186" t="s">
        <v>1381</v>
      </c>
      <c r="F1" t="s">
        <v>1382</v>
      </c>
      <c r="G1" t="s">
        <v>994</v>
      </c>
      <c r="H1" t="s">
        <v>1383</v>
      </c>
      <c r="I1" s="186" t="s">
        <v>89</v>
      </c>
      <c r="J1" t="s">
        <v>1384</v>
      </c>
      <c r="K1" t="s">
        <v>1385</v>
      </c>
      <c r="L1" t="s">
        <v>1386</v>
      </c>
    </row>
    <row r="2" spans="1:12" x14ac:dyDescent="0.3">
      <c r="A2" s="186">
        <v>38</v>
      </c>
      <c r="B2" s="186">
        <v>30</v>
      </c>
      <c r="C2" s="186" t="s">
        <v>8956</v>
      </c>
      <c r="D2" t="s">
        <v>1387</v>
      </c>
      <c r="E2" s="186">
        <v>6900697</v>
      </c>
      <c r="F2" t="s">
        <v>1388</v>
      </c>
      <c r="G2" t="s">
        <v>87</v>
      </c>
      <c r="H2" t="s">
        <v>8956</v>
      </c>
      <c r="I2" s="186">
        <v>38</v>
      </c>
      <c r="J2" t="s">
        <v>103</v>
      </c>
      <c r="K2" s="185">
        <v>21698.98</v>
      </c>
      <c r="L2" s="191">
        <v>44295.47347222222</v>
      </c>
    </row>
    <row r="3" spans="1:12" x14ac:dyDescent="0.3">
      <c r="A3" s="186">
        <v>25</v>
      </c>
      <c r="B3" s="186">
        <v>0</v>
      </c>
      <c r="C3" s="186" t="s">
        <v>8957</v>
      </c>
      <c r="D3" t="s">
        <v>1387</v>
      </c>
      <c r="E3" s="186">
        <v>24605227</v>
      </c>
      <c r="F3" t="s">
        <v>1388</v>
      </c>
      <c r="G3" t="s">
        <v>87</v>
      </c>
      <c r="H3" t="s">
        <v>8957</v>
      </c>
      <c r="I3" s="186">
        <v>3</v>
      </c>
      <c r="J3" t="s">
        <v>100</v>
      </c>
      <c r="K3" s="185">
        <v>42106.46</v>
      </c>
      <c r="L3" s="191">
        <v>44298.501828703702</v>
      </c>
    </row>
    <row r="4" spans="1:12" x14ac:dyDescent="0.3">
      <c r="A4" s="186">
        <v>34</v>
      </c>
      <c r="B4" s="186">
        <v>30</v>
      </c>
      <c r="C4" s="186" t="s">
        <v>8958</v>
      </c>
      <c r="D4" t="s">
        <v>1387</v>
      </c>
      <c r="E4" s="186">
        <v>6900697</v>
      </c>
      <c r="F4" t="s">
        <v>1388</v>
      </c>
      <c r="G4" t="s">
        <v>87</v>
      </c>
      <c r="H4" t="s">
        <v>8958</v>
      </c>
      <c r="I4" s="186">
        <v>38</v>
      </c>
      <c r="J4" t="s">
        <v>103</v>
      </c>
      <c r="K4" s="185">
        <v>22358.98</v>
      </c>
      <c r="L4" s="191">
        <v>44293.680763888886</v>
      </c>
    </row>
    <row r="5" spans="1:12" x14ac:dyDescent="0.3">
      <c r="A5" s="186">
        <v>39</v>
      </c>
      <c r="B5" s="186">
        <v>30</v>
      </c>
      <c r="C5" s="186" t="s">
        <v>8959</v>
      </c>
      <c r="D5" t="s">
        <v>1387</v>
      </c>
      <c r="E5" s="186">
        <v>6900697</v>
      </c>
      <c r="F5" t="s">
        <v>1388</v>
      </c>
      <c r="G5" t="s">
        <v>87</v>
      </c>
      <c r="H5" t="s">
        <v>8959</v>
      </c>
      <c r="I5" s="186">
        <v>38</v>
      </c>
      <c r="J5" t="s">
        <v>103</v>
      </c>
      <c r="K5" s="185">
        <v>21698.98</v>
      </c>
      <c r="L5" s="191">
        <v>44295.479027777779</v>
      </c>
    </row>
    <row r="6" spans="1:12" x14ac:dyDescent="0.3">
      <c r="A6" s="186">
        <v>52</v>
      </c>
      <c r="B6" s="186">
        <v>0</v>
      </c>
      <c r="C6" s="186" t="s">
        <v>8960</v>
      </c>
      <c r="D6" t="s">
        <v>1387</v>
      </c>
      <c r="E6" s="186">
        <v>2230611</v>
      </c>
      <c r="F6" t="s">
        <v>1388</v>
      </c>
      <c r="G6" t="s">
        <v>87</v>
      </c>
      <c r="H6" t="s">
        <v>8960</v>
      </c>
      <c r="I6" s="186">
        <v>3</v>
      </c>
      <c r="J6" t="s">
        <v>100</v>
      </c>
      <c r="K6" s="185">
        <v>106012.49</v>
      </c>
      <c r="L6" s="191">
        <v>44295.658761574072</v>
      </c>
    </row>
    <row r="7" spans="1:12" x14ac:dyDescent="0.3">
      <c r="A7" s="186">
        <v>315</v>
      </c>
      <c r="B7" s="186">
        <v>0</v>
      </c>
      <c r="C7" s="186" t="s">
        <v>8961</v>
      </c>
      <c r="D7" t="s">
        <v>1387</v>
      </c>
      <c r="E7" s="186">
        <v>32958709</v>
      </c>
      <c r="F7" t="s">
        <v>1388</v>
      </c>
      <c r="G7" t="s">
        <v>87</v>
      </c>
      <c r="H7" t="s">
        <v>8961</v>
      </c>
      <c r="I7" s="186">
        <v>9</v>
      </c>
      <c r="J7" t="s">
        <v>100</v>
      </c>
      <c r="K7" s="185">
        <v>395000</v>
      </c>
      <c r="L7" s="191">
        <v>44298.350925925923</v>
      </c>
    </row>
    <row r="8" spans="1:12" x14ac:dyDescent="0.3">
      <c r="A8" s="186">
        <v>319</v>
      </c>
      <c r="B8" s="186">
        <v>0</v>
      </c>
      <c r="C8" s="186" t="s">
        <v>8962</v>
      </c>
      <c r="D8" t="s">
        <v>1387</v>
      </c>
      <c r="E8" s="186">
        <v>19336666</v>
      </c>
      <c r="F8" t="s">
        <v>1388</v>
      </c>
      <c r="G8" t="s">
        <v>87</v>
      </c>
      <c r="H8" t="s">
        <v>8962</v>
      </c>
      <c r="I8" s="186">
        <v>3</v>
      </c>
      <c r="J8" t="s">
        <v>100</v>
      </c>
      <c r="K8" s="185">
        <v>54147.5</v>
      </c>
      <c r="L8" s="191">
        <v>44298.650856481479</v>
      </c>
    </row>
    <row r="9" spans="1:12" x14ac:dyDescent="0.3">
      <c r="A9" s="186">
        <v>214</v>
      </c>
      <c r="B9" s="186">
        <v>0</v>
      </c>
      <c r="C9" s="186" t="s">
        <v>8963</v>
      </c>
      <c r="D9" t="s">
        <v>244</v>
      </c>
      <c r="E9" s="186">
        <v>2535568</v>
      </c>
      <c r="G9" t="s">
        <v>87</v>
      </c>
      <c r="H9" t="s">
        <v>8963</v>
      </c>
      <c r="I9" s="186">
        <v>3</v>
      </c>
      <c r="J9" t="s">
        <v>100</v>
      </c>
      <c r="K9" s="185">
        <v>0</v>
      </c>
      <c r="L9" s="191">
        <v>44300.650231481479</v>
      </c>
    </row>
    <row r="10" spans="1:12" x14ac:dyDescent="0.3">
      <c r="A10" s="186">
        <v>329</v>
      </c>
      <c r="B10" s="186">
        <v>0</v>
      </c>
      <c r="C10" s="186" t="s">
        <v>8964</v>
      </c>
      <c r="D10" t="s">
        <v>1387</v>
      </c>
      <c r="E10" s="186">
        <v>16701716</v>
      </c>
      <c r="F10" t="s">
        <v>1388</v>
      </c>
      <c r="G10" t="s">
        <v>87</v>
      </c>
      <c r="H10" t="s">
        <v>8964</v>
      </c>
      <c r="I10" s="186">
        <v>2</v>
      </c>
      <c r="J10" t="s">
        <v>100</v>
      </c>
      <c r="K10" s="185">
        <v>32549.19</v>
      </c>
      <c r="L10" s="191">
        <v>44302.371874999997</v>
      </c>
    </row>
    <row r="11" spans="1:12" x14ac:dyDescent="0.3">
      <c r="A11" s="186">
        <v>223</v>
      </c>
      <c r="B11" s="186">
        <v>30</v>
      </c>
      <c r="C11" s="186" t="s">
        <v>8965</v>
      </c>
      <c r="D11" t="s">
        <v>1387</v>
      </c>
      <c r="E11" s="186">
        <v>29286001</v>
      </c>
      <c r="F11" t="s">
        <v>1388</v>
      </c>
      <c r="G11" t="s">
        <v>87</v>
      </c>
      <c r="H11" t="s">
        <v>8965</v>
      </c>
      <c r="I11" s="186">
        <v>18</v>
      </c>
      <c r="J11" t="s">
        <v>103</v>
      </c>
      <c r="K11" s="185">
        <v>19751.13</v>
      </c>
      <c r="L11" s="191">
        <v>44305.444085648145</v>
      </c>
    </row>
    <row r="12" spans="1:12" x14ac:dyDescent="0.3">
      <c r="A12" s="186">
        <v>227</v>
      </c>
      <c r="B12" s="186">
        <v>0</v>
      </c>
      <c r="C12" s="186" t="s">
        <v>8966</v>
      </c>
      <c r="D12" t="s">
        <v>1387</v>
      </c>
      <c r="E12" s="186">
        <v>17445321</v>
      </c>
      <c r="F12" t="s">
        <v>1388</v>
      </c>
      <c r="G12" t="s">
        <v>87</v>
      </c>
      <c r="H12" t="s">
        <v>8966</v>
      </c>
      <c r="I12" s="186">
        <v>3</v>
      </c>
      <c r="J12" t="s">
        <v>100</v>
      </c>
      <c r="K12" s="185">
        <v>68667.350000000006</v>
      </c>
      <c r="L12" s="191">
        <v>44305.645833333336</v>
      </c>
    </row>
    <row r="13" spans="1:12" x14ac:dyDescent="0.3">
      <c r="A13" s="186">
        <v>53</v>
      </c>
      <c r="B13" s="186">
        <v>0</v>
      </c>
      <c r="C13" s="186" t="s">
        <v>8967</v>
      </c>
      <c r="D13" t="s">
        <v>1387</v>
      </c>
      <c r="E13" s="186">
        <v>2230611</v>
      </c>
      <c r="F13" t="s">
        <v>1388</v>
      </c>
      <c r="G13" t="s">
        <v>87</v>
      </c>
      <c r="H13" t="s">
        <v>8967</v>
      </c>
      <c r="I13" s="186">
        <v>2</v>
      </c>
      <c r="J13" t="s">
        <v>100</v>
      </c>
      <c r="K13" s="185">
        <v>106012.49</v>
      </c>
      <c r="L13" s="191">
        <v>44306.37128472222</v>
      </c>
    </row>
    <row r="14" spans="1:12" x14ac:dyDescent="0.3">
      <c r="A14" s="186">
        <v>54</v>
      </c>
      <c r="B14" s="186" t="s">
        <v>1417</v>
      </c>
      <c r="C14" s="186" t="s">
        <v>8968</v>
      </c>
      <c r="D14" t="s">
        <v>1387</v>
      </c>
      <c r="E14" s="186">
        <v>13245924607</v>
      </c>
      <c r="F14" t="s">
        <v>1388</v>
      </c>
      <c r="G14" t="s">
        <v>87</v>
      </c>
      <c r="H14" t="s">
        <v>8968</v>
      </c>
      <c r="I14" s="186">
        <v>2</v>
      </c>
      <c r="J14" t="s">
        <v>1418</v>
      </c>
      <c r="K14" s="185">
        <v>12000</v>
      </c>
      <c r="L14" s="191">
        <v>44308.413043981483</v>
      </c>
    </row>
    <row r="15" spans="1:12" x14ac:dyDescent="0.3">
      <c r="A15" s="186">
        <v>42</v>
      </c>
      <c r="B15" s="186">
        <v>30</v>
      </c>
      <c r="C15" s="186" t="s">
        <v>8969</v>
      </c>
      <c r="D15" t="s">
        <v>1387</v>
      </c>
      <c r="E15" s="186">
        <v>8343492</v>
      </c>
      <c r="F15" t="s">
        <v>1388</v>
      </c>
      <c r="G15" t="s">
        <v>87</v>
      </c>
      <c r="H15" t="s">
        <v>8969</v>
      </c>
      <c r="I15" s="186">
        <v>18</v>
      </c>
      <c r="J15" t="s">
        <v>103</v>
      </c>
      <c r="K15" s="185">
        <v>7333</v>
      </c>
      <c r="L15" s="191">
        <v>44292.513842592591</v>
      </c>
    </row>
    <row r="16" spans="1:12" x14ac:dyDescent="0.3">
      <c r="A16" s="186">
        <v>27</v>
      </c>
      <c r="B16" s="186">
        <v>0</v>
      </c>
      <c r="C16" s="186" t="s">
        <v>8970</v>
      </c>
      <c r="D16" t="s">
        <v>1387</v>
      </c>
      <c r="E16" s="186">
        <v>32523812</v>
      </c>
      <c r="F16" t="s">
        <v>1388</v>
      </c>
      <c r="G16" t="s">
        <v>87</v>
      </c>
      <c r="H16" t="s">
        <v>8970</v>
      </c>
      <c r="I16" s="186">
        <v>10</v>
      </c>
      <c r="J16" t="s">
        <v>100</v>
      </c>
      <c r="K16" s="185">
        <v>230000</v>
      </c>
      <c r="L16" s="191">
        <v>44298.719398148147</v>
      </c>
    </row>
    <row r="17" spans="1:12" x14ac:dyDescent="0.3">
      <c r="A17" s="186">
        <v>28</v>
      </c>
      <c r="B17" s="186">
        <v>0</v>
      </c>
      <c r="C17" s="186" t="s">
        <v>8971</v>
      </c>
      <c r="D17" t="s">
        <v>1387</v>
      </c>
      <c r="E17" s="186">
        <v>29060647</v>
      </c>
      <c r="F17" t="s">
        <v>1388</v>
      </c>
      <c r="G17" t="s">
        <v>87</v>
      </c>
      <c r="H17" t="s">
        <v>8971</v>
      </c>
      <c r="I17" s="186">
        <v>3</v>
      </c>
      <c r="J17" t="s">
        <v>100</v>
      </c>
      <c r="K17" s="185">
        <v>70590.38</v>
      </c>
      <c r="L17" s="191">
        <v>44298.741956018515</v>
      </c>
    </row>
    <row r="18" spans="1:12" x14ac:dyDescent="0.3">
      <c r="A18" s="186">
        <v>321</v>
      </c>
      <c r="B18" s="186">
        <v>30</v>
      </c>
      <c r="C18" s="186" t="s">
        <v>8972</v>
      </c>
      <c r="D18" t="s">
        <v>1387</v>
      </c>
      <c r="E18" s="186">
        <v>6900697</v>
      </c>
      <c r="F18" t="s">
        <v>1388</v>
      </c>
      <c r="G18" t="s">
        <v>87</v>
      </c>
      <c r="H18" t="s">
        <v>8972</v>
      </c>
      <c r="I18" s="186">
        <v>38</v>
      </c>
      <c r="J18" t="s">
        <v>103</v>
      </c>
      <c r="K18" s="185">
        <v>88050.6</v>
      </c>
      <c r="L18" s="191">
        <v>44299.406736111108</v>
      </c>
    </row>
    <row r="19" spans="1:12" x14ac:dyDescent="0.3">
      <c r="A19" s="186">
        <v>221</v>
      </c>
      <c r="B19" s="186">
        <v>0</v>
      </c>
      <c r="C19" s="186" t="s">
        <v>8973</v>
      </c>
      <c r="D19" t="s">
        <v>1394</v>
      </c>
      <c r="E19" s="186">
        <v>2535568</v>
      </c>
      <c r="G19" t="s">
        <v>87</v>
      </c>
      <c r="H19" t="s">
        <v>8973</v>
      </c>
      <c r="I19" s="186">
        <v>3</v>
      </c>
      <c r="J19" t="s">
        <v>100</v>
      </c>
      <c r="K19" s="185">
        <v>0</v>
      </c>
      <c r="L19" s="191">
        <v>44301.650289351855</v>
      </c>
    </row>
    <row r="20" spans="1:12" x14ac:dyDescent="0.3">
      <c r="A20" s="186">
        <v>228</v>
      </c>
      <c r="B20" s="186">
        <v>30</v>
      </c>
      <c r="C20" s="186" t="s">
        <v>8974</v>
      </c>
      <c r="D20" t="s">
        <v>1387</v>
      </c>
      <c r="E20" s="186">
        <v>29286001</v>
      </c>
      <c r="F20" t="s">
        <v>1388</v>
      </c>
      <c r="G20" t="s">
        <v>87</v>
      </c>
      <c r="H20" t="s">
        <v>8974</v>
      </c>
      <c r="I20" s="186">
        <v>18</v>
      </c>
      <c r="J20" t="s">
        <v>103</v>
      </c>
      <c r="K20" s="185">
        <v>18351.419999999998</v>
      </c>
      <c r="L20" s="191">
        <v>44305.742048611108</v>
      </c>
    </row>
    <row r="21" spans="1:12" x14ac:dyDescent="0.3">
      <c r="A21" s="186">
        <v>317</v>
      </c>
      <c r="B21" s="186" t="s">
        <v>1396</v>
      </c>
      <c r="C21" s="186" t="s">
        <v>8975</v>
      </c>
      <c r="D21" t="s">
        <v>1387</v>
      </c>
      <c r="E21" s="186">
        <v>17088977</v>
      </c>
      <c r="F21" t="s">
        <v>1388</v>
      </c>
      <c r="G21" t="s">
        <v>87</v>
      </c>
      <c r="H21" t="s">
        <v>8975</v>
      </c>
      <c r="I21" s="186">
        <v>10</v>
      </c>
      <c r="J21" t="s">
        <v>1397</v>
      </c>
      <c r="K21" s="185">
        <v>469792.28</v>
      </c>
      <c r="L21" s="191">
        <v>44298.380335648151</v>
      </c>
    </row>
    <row r="22" spans="1:12" x14ac:dyDescent="0.3">
      <c r="A22" s="186">
        <v>24</v>
      </c>
      <c r="B22" s="186">
        <v>30</v>
      </c>
      <c r="C22" s="186" t="s">
        <v>8976</v>
      </c>
      <c r="D22" t="s">
        <v>1387</v>
      </c>
      <c r="E22" s="186">
        <v>7522191</v>
      </c>
      <c r="F22" t="s">
        <v>1388</v>
      </c>
      <c r="G22" t="s">
        <v>87</v>
      </c>
      <c r="H22" t="s">
        <v>8976</v>
      </c>
      <c r="I22" s="186">
        <v>3</v>
      </c>
      <c r="J22" t="s">
        <v>103</v>
      </c>
      <c r="K22" s="185">
        <v>125348.97</v>
      </c>
      <c r="L22" s="191">
        <v>44298.416296296295</v>
      </c>
    </row>
    <row r="23" spans="1:12" x14ac:dyDescent="0.3">
      <c r="A23" s="186">
        <v>225</v>
      </c>
      <c r="B23" s="186">
        <v>10</v>
      </c>
      <c r="C23" s="186" t="s">
        <v>8977</v>
      </c>
      <c r="D23" t="s">
        <v>1387</v>
      </c>
      <c r="E23" s="186">
        <v>2535568</v>
      </c>
      <c r="F23" t="s">
        <v>1388</v>
      </c>
      <c r="G23" t="s">
        <v>87</v>
      </c>
      <c r="H23" t="s">
        <v>8977</v>
      </c>
      <c r="I23" s="186">
        <v>43</v>
      </c>
      <c r="J23" t="s">
        <v>133</v>
      </c>
      <c r="K23" s="185">
        <v>27550</v>
      </c>
      <c r="L23" s="191">
        <v>44305.512025462966</v>
      </c>
    </row>
    <row r="24" spans="1:12" x14ac:dyDescent="0.3">
      <c r="A24" s="186">
        <v>226</v>
      </c>
      <c r="B24" s="186">
        <v>10</v>
      </c>
      <c r="C24" s="186" t="s">
        <v>8978</v>
      </c>
      <c r="D24" t="s">
        <v>1387</v>
      </c>
      <c r="E24" s="186">
        <v>2535568</v>
      </c>
      <c r="F24" t="s">
        <v>1388</v>
      </c>
      <c r="G24" t="s">
        <v>87</v>
      </c>
      <c r="H24" t="s">
        <v>8978</v>
      </c>
      <c r="I24" s="186">
        <v>43</v>
      </c>
      <c r="J24" t="s">
        <v>133</v>
      </c>
      <c r="K24" s="185">
        <v>27550</v>
      </c>
      <c r="L24" s="191">
        <v>44305.549745370372</v>
      </c>
    </row>
    <row r="25" spans="1:12" x14ac:dyDescent="0.3">
      <c r="A25" s="186">
        <v>22</v>
      </c>
      <c r="B25" s="186">
        <v>0</v>
      </c>
      <c r="C25" s="186" t="s">
        <v>8979</v>
      </c>
      <c r="D25" t="s">
        <v>1387</v>
      </c>
      <c r="E25" s="186">
        <v>29060647</v>
      </c>
      <c r="F25" t="s">
        <v>1388</v>
      </c>
      <c r="G25" t="s">
        <v>87</v>
      </c>
      <c r="H25" t="s">
        <v>8979</v>
      </c>
      <c r="I25" s="186">
        <v>3</v>
      </c>
      <c r="J25" t="s">
        <v>100</v>
      </c>
      <c r="K25" s="185">
        <v>1060548.8999999999</v>
      </c>
      <c r="L25" s="191">
        <v>44293.477951388886</v>
      </c>
    </row>
    <row r="26" spans="1:12" x14ac:dyDescent="0.3">
      <c r="A26" s="186">
        <v>35</v>
      </c>
      <c r="B26" s="186" t="s">
        <v>1361</v>
      </c>
      <c r="C26" s="186" t="s">
        <v>8980</v>
      </c>
      <c r="D26" t="s">
        <v>1387</v>
      </c>
      <c r="E26" s="186">
        <v>2118203</v>
      </c>
      <c r="F26" t="s">
        <v>1388</v>
      </c>
      <c r="G26" t="s">
        <v>87</v>
      </c>
      <c r="H26" t="s">
        <v>8980</v>
      </c>
      <c r="I26" s="186">
        <v>38</v>
      </c>
      <c r="J26" t="s">
        <v>1362</v>
      </c>
      <c r="K26" s="185">
        <v>15999.47</v>
      </c>
      <c r="L26" s="191">
        <v>44293.846701388888</v>
      </c>
    </row>
    <row r="27" spans="1:12" x14ac:dyDescent="0.3">
      <c r="A27" s="186">
        <v>229</v>
      </c>
      <c r="B27" s="186">
        <v>0</v>
      </c>
      <c r="C27" s="186" t="s">
        <v>8981</v>
      </c>
      <c r="D27" t="s">
        <v>1387</v>
      </c>
      <c r="E27" s="186">
        <v>24605227</v>
      </c>
      <c r="F27" t="s">
        <v>1388</v>
      </c>
      <c r="G27" t="s">
        <v>87</v>
      </c>
      <c r="H27" t="s">
        <v>8981</v>
      </c>
      <c r="I27" s="186">
        <v>3</v>
      </c>
      <c r="J27" t="s">
        <v>100</v>
      </c>
      <c r="K27" s="185">
        <v>42106.46</v>
      </c>
      <c r="L27" s="191">
        <v>44306.658796296295</v>
      </c>
    </row>
    <row r="28" spans="1:12" x14ac:dyDescent="0.3">
      <c r="A28" s="186">
        <v>348</v>
      </c>
      <c r="B28" s="186">
        <v>0</v>
      </c>
      <c r="C28" s="186" t="s">
        <v>8982</v>
      </c>
      <c r="D28" t="s">
        <v>1387</v>
      </c>
      <c r="E28" s="186">
        <v>2230611</v>
      </c>
      <c r="F28" t="s">
        <v>1388</v>
      </c>
      <c r="G28" t="s">
        <v>87</v>
      </c>
      <c r="H28" t="s">
        <v>8982</v>
      </c>
      <c r="I28" s="186">
        <v>2</v>
      </c>
      <c r="J28" t="s">
        <v>100</v>
      </c>
      <c r="K28" s="185">
        <v>106020.05</v>
      </c>
      <c r="L28" s="191">
        <v>44308.512997685182</v>
      </c>
    </row>
    <row r="29" spans="1:12" x14ac:dyDescent="0.3">
      <c r="A29" s="186">
        <v>349</v>
      </c>
      <c r="B29" s="186">
        <v>0</v>
      </c>
      <c r="C29" s="186" t="s">
        <v>8983</v>
      </c>
      <c r="D29" t="s">
        <v>1387</v>
      </c>
      <c r="E29" s="186">
        <v>3453030</v>
      </c>
      <c r="F29" t="s">
        <v>1388</v>
      </c>
      <c r="G29" t="s">
        <v>87</v>
      </c>
      <c r="H29" t="s">
        <v>8983</v>
      </c>
      <c r="I29" s="186">
        <v>3</v>
      </c>
      <c r="J29" t="s">
        <v>100</v>
      </c>
      <c r="K29" s="185">
        <v>45000</v>
      </c>
      <c r="L29" s="191">
        <v>44308.538923611108</v>
      </c>
    </row>
    <row r="30" spans="1:12" x14ac:dyDescent="0.3">
      <c r="A30" s="186">
        <v>250</v>
      </c>
      <c r="B30" s="186">
        <v>0</v>
      </c>
      <c r="C30" s="186" t="s">
        <v>8984</v>
      </c>
      <c r="D30" t="s">
        <v>1387</v>
      </c>
      <c r="E30" s="186">
        <v>7605563</v>
      </c>
      <c r="F30" t="s">
        <v>1388</v>
      </c>
      <c r="G30" t="s">
        <v>87</v>
      </c>
      <c r="H30" t="s">
        <v>8984</v>
      </c>
      <c r="I30" s="186">
        <v>10</v>
      </c>
      <c r="J30" t="s">
        <v>100</v>
      </c>
      <c r="K30" s="185">
        <v>891817.04</v>
      </c>
      <c r="L30" s="191">
        <v>44319.692175925928</v>
      </c>
    </row>
    <row r="31" spans="1:12" x14ac:dyDescent="0.3">
      <c r="A31" s="186">
        <v>383</v>
      </c>
      <c r="B31" s="186">
        <v>0</v>
      </c>
      <c r="C31" s="186" t="s">
        <v>8985</v>
      </c>
      <c r="D31" t="s">
        <v>1387</v>
      </c>
      <c r="E31" s="186">
        <v>19336666</v>
      </c>
      <c r="F31" t="s">
        <v>1388</v>
      </c>
      <c r="G31" t="s">
        <v>87</v>
      </c>
      <c r="H31" t="s">
        <v>8985</v>
      </c>
      <c r="I31" s="186">
        <v>2</v>
      </c>
      <c r="J31" t="s">
        <v>100</v>
      </c>
      <c r="K31" s="185">
        <v>17100</v>
      </c>
      <c r="L31" s="191">
        <v>44321.560601851852</v>
      </c>
    </row>
    <row r="32" spans="1:12" x14ac:dyDescent="0.3">
      <c r="A32" s="186">
        <v>370</v>
      </c>
      <c r="B32" s="186">
        <v>0</v>
      </c>
      <c r="C32" s="186" t="s">
        <v>8986</v>
      </c>
      <c r="D32" t="s">
        <v>1387</v>
      </c>
      <c r="E32" s="186">
        <v>69987181368</v>
      </c>
      <c r="F32" t="s">
        <v>1388</v>
      </c>
      <c r="G32" t="s">
        <v>87</v>
      </c>
      <c r="H32" t="s">
        <v>8986</v>
      </c>
      <c r="I32" s="186">
        <v>9</v>
      </c>
      <c r="J32" t="s">
        <v>100</v>
      </c>
      <c r="K32" s="185">
        <v>54000</v>
      </c>
      <c r="L32" s="191">
        <v>44316.541041666664</v>
      </c>
    </row>
    <row r="33" spans="1:12" x14ac:dyDescent="0.3">
      <c r="A33" s="186">
        <v>384</v>
      </c>
      <c r="B33" s="186" t="s">
        <v>1419</v>
      </c>
      <c r="C33" s="186" t="s">
        <v>8987</v>
      </c>
      <c r="D33" t="s">
        <v>1387</v>
      </c>
      <c r="E33" s="186">
        <v>5324072</v>
      </c>
      <c r="F33" t="s">
        <v>1388</v>
      </c>
      <c r="G33" t="s">
        <v>87</v>
      </c>
      <c r="H33" t="s">
        <v>8987</v>
      </c>
      <c r="I33" s="186">
        <v>18</v>
      </c>
      <c r="J33" t="s">
        <v>1420</v>
      </c>
      <c r="K33" s="185">
        <v>393032.99</v>
      </c>
      <c r="L33" s="191">
        <v>44321.657233796293</v>
      </c>
    </row>
    <row r="34" spans="1:12" x14ac:dyDescent="0.3">
      <c r="A34" s="186">
        <v>377</v>
      </c>
      <c r="B34" s="186">
        <v>0</v>
      </c>
      <c r="C34" s="186" t="s">
        <v>8988</v>
      </c>
      <c r="D34" t="s">
        <v>1387</v>
      </c>
      <c r="E34" s="186">
        <v>19684700</v>
      </c>
      <c r="F34" t="s">
        <v>1388</v>
      </c>
      <c r="G34" t="s">
        <v>87</v>
      </c>
      <c r="H34" t="s">
        <v>8988</v>
      </c>
      <c r="I34" s="186">
        <v>9</v>
      </c>
      <c r="J34" t="s">
        <v>100</v>
      </c>
      <c r="K34" s="185">
        <v>280000</v>
      </c>
      <c r="L34" s="191">
        <v>44320.338240740741</v>
      </c>
    </row>
    <row r="35" spans="1:12" x14ac:dyDescent="0.3">
      <c r="A35" s="186">
        <v>254</v>
      </c>
      <c r="B35" s="186">
        <v>0</v>
      </c>
      <c r="C35" s="186" t="s">
        <v>8989</v>
      </c>
      <c r="D35" t="s">
        <v>1387</v>
      </c>
      <c r="E35" s="186">
        <v>24605227</v>
      </c>
      <c r="F35" t="s">
        <v>1388</v>
      </c>
      <c r="G35" t="s">
        <v>87</v>
      </c>
      <c r="H35" t="s">
        <v>8989</v>
      </c>
      <c r="I35" s="186">
        <v>3</v>
      </c>
      <c r="J35" t="s">
        <v>100</v>
      </c>
      <c r="K35" s="185">
        <v>21053.23</v>
      </c>
      <c r="L35" s="191">
        <v>44321.6252662037</v>
      </c>
    </row>
    <row r="36" spans="1:12" x14ac:dyDescent="0.3">
      <c r="A36" s="186">
        <v>55</v>
      </c>
      <c r="B36" s="186" t="s">
        <v>1417</v>
      </c>
      <c r="C36" s="186" t="s">
        <v>8990</v>
      </c>
      <c r="D36" t="s">
        <v>1387</v>
      </c>
      <c r="E36" s="186">
        <v>13245924607</v>
      </c>
      <c r="F36" t="s">
        <v>1388</v>
      </c>
      <c r="G36" t="s">
        <v>87</v>
      </c>
      <c r="H36" t="s">
        <v>8990</v>
      </c>
      <c r="I36" s="186">
        <v>2</v>
      </c>
      <c r="J36" t="s">
        <v>1418</v>
      </c>
      <c r="K36">
        <v>12810</v>
      </c>
      <c r="L36" s="191">
        <v>44326.599594907406</v>
      </c>
    </row>
    <row r="37" spans="1:12" x14ac:dyDescent="0.3">
      <c r="A37" s="186">
        <v>248</v>
      </c>
      <c r="B37" s="186">
        <v>0</v>
      </c>
      <c r="C37" s="186" t="s">
        <v>8991</v>
      </c>
      <c r="D37" t="s">
        <v>1387</v>
      </c>
      <c r="E37" s="186">
        <v>42509257</v>
      </c>
      <c r="F37" t="s">
        <v>1388</v>
      </c>
      <c r="G37" t="s">
        <v>87</v>
      </c>
      <c r="H37" t="s">
        <v>8991</v>
      </c>
      <c r="I37" s="186">
        <v>10</v>
      </c>
      <c r="J37" t="s">
        <v>100</v>
      </c>
      <c r="K37">
        <v>19700</v>
      </c>
      <c r="L37" s="191">
        <v>44319.463379629633</v>
      </c>
    </row>
    <row r="38" spans="1:12" x14ac:dyDescent="0.3">
      <c r="A38" s="186">
        <v>3108</v>
      </c>
      <c r="B38" s="186">
        <v>18</v>
      </c>
      <c r="C38" s="186" t="s">
        <v>8992</v>
      </c>
      <c r="D38" t="s">
        <v>1387</v>
      </c>
      <c r="E38" s="186">
        <v>28979656</v>
      </c>
      <c r="F38" t="s">
        <v>1410</v>
      </c>
      <c r="G38" t="s">
        <v>87</v>
      </c>
      <c r="H38" t="s">
        <v>8992</v>
      </c>
      <c r="I38" s="186">
        <v>26</v>
      </c>
      <c r="J38" t="s">
        <v>112</v>
      </c>
      <c r="K38" s="185">
        <v>61511.26</v>
      </c>
      <c r="L38" s="191">
        <v>44329.565949074073</v>
      </c>
    </row>
    <row r="39" spans="1:12" x14ac:dyDescent="0.3">
      <c r="A39" s="186">
        <v>275</v>
      </c>
      <c r="B39" s="186">
        <v>0</v>
      </c>
      <c r="C39" s="186" t="s">
        <v>8993</v>
      </c>
      <c r="D39" t="s">
        <v>1387</v>
      </c>
      <c r="E39" s="186">
        <v>40013563</v>
      </c>
      <c r="F39" t="s">
        <v>1388</v>
      </c>
      <c r="G39" t="s">
        <v>87</v>
      </c>
      <c r="H39" t="s">
        <v>8993</v>
      </c>
      <c r="I39" s="186">
        <v>3</v>
      </c>
      <c r="J39" t="s">
        <v>100</v>
      </c>
      <c r="K39" s="185">
        <v>22598.63</v>
      </c>
      <c r="L39" s="191">
        <v>44330.564930555556</v>
      </c>
    </row>
    <row r="40" spans="1:12" x14ac:dyDescent="0.3">
      <c r="A40" s="186">
        <v>364</v>
      </c>
      <c r="B40" s="186">
        <v>0</v>
      </c>
      <c r="C40" s="186" t="s">
        <v>8994</v>
      </c>
      <c r="D40" t="s">
        <v>1387</v>
      </c>
      <c r="E40" s="186">
        <v>63411623</v>
      </c>
      <c r="F40" t="s">
        <v>1388</v>
      </c>
      <c r="G40" t="s">
        <v>87</v>
      </c>
      <c r="H40" t="s">
        <v>8994</v>
      </c>
      <c r="I40" s="186">
        <v>9</v>
      </c>
      <c r="J40" t="s">
        <v>100</v>
      </c>
      <c r="K40" s="185">
        <v>49794.98</v>
      </c>
      <c r="L40" s="191">
        <v>44315.424398148149</v>
      </c>
    </row>
    <row r="41" spans="1:12" x14ac:dyDescent="0.3">
      <c r="A41" s="186">
        <v>420</v>
      </c>
      <c r="B41" s="186">
        <v>30</v>
      </c>
      <c r="C41" s="186" t="s">
        <v>8995</v>
      </c>
      <c r="D41" t="s">
        <v>1387</v>
      </c>
      <c r="E41" s="186">
        <v>8343492</v>
      </c>
      <c r="F41" t="s">
        <v>1388</v>
      </c>
      <c r="G41" t="s">
        <v>87</v>
      </c>
      <c r="H41" t="s">
        <v>8995</v>
      </c>
      <c r="I41" s="186">
        <v>19</v>
      </c>
      <c r="J41" t="s">
        <v>103</v>
      </c>
      <c r="K41" s="185">
        <v>54263.56</v>
      </c>
      <c r="L41" s="191">
        <v>44313.68109953704</v>
      </c>
    </row>
    <row r="42" spans="1:12" x14ac:dyDescent="0.3">
      <c r="A42" s="186">
        <v>267</v>
      </c>
      <c r="B42" s="186" t="s">
        <v>1423</v>
      </c>
      <c r="C42" s="186" t="s">
        <v>8996</v>
      </c>
      <c r="D42" t="s">
        <v>1387</v>
      </c>
      <c r="E42" s="186">
        <v>14594896</v>
      </c>
      <c r="F42" t="s">
        <v>1388</v>
      </c>
      <c r="G42" t="s">
        <v>87</v>
      </c>
      <c r="H42" t="s">
        <v>8996</v>
      </c>
      <c r="I42" s="186">
        <v>3</v>
      </c>
      <c r="J42" t="s">
        <v>1424</v>
      </c>
      <c r="K42" s="185">
        <v>24851.11</v>
      </c>
      <c r="L42" s="191">
        <v>44326.553090277775</v>
      </c>
    </row>
    <row r="43" spans="1:12" x14ac:dyDescent="0.3">
      <c r="A43" s="186">
        <v>282</v>
      </c>
      <c r="B43" s="186">
        <v>18</v>
      </c>
      <c r="C43" s="186" t="s">
        <v>8997</v>
      </c>
      <c r="D43" t="s">
        <v>1387</v>
      </c>
      <c r="E43" s="186">
        <v>21228861</v>
      </c>
      <c r="F43" t="s">
        <v>1388</v>
      </c>
      <c r="G43" t="s">
        <v>87</v>
      </c>
      <c r="H43" t="s">
        <v>8997</v>
      </c>
      <c r="I43" s="186">
        <v>3</v>
      </c>
      <c r="J43" t="s">
        <v>112</v>
      </c>
      <c r="K43">
        <v>81032.009999999995</v>
      </c>
      <c r="L43" s="191">
        <v>44333.423657407409</v>
      </c>
    </row>
    <row r="44" spans="1:12" x14ac:dyDescent="0.3">
      <c r="A44" s="186">
        <v>353</v>
      </c>
      <c r="B44" s="186" t="s">
        <v>1257</v>
      </c>
      <c r="C44" s="186" t="s">
        <v>8998</v>
      </c>
      <c r="D44" t="s">
        <v>1387</v>
      </c>
      <c r="E44" s="186">
        <v>10422698</v>
      </c>
      <c r="F44" t="s">
        <v>1388</v>
      </c>
      <c r="G44" t="s">
        <v>87</v>
      </c>
      <c r="H44" t="s">
        <v>8998</v>
      </c>
      <c r="I44" s="186">
        <v>10</v>
      </c>
      <c r="J44" t="s">
        <v>1258</v>
      </c>
      <c r="K44">
        <v>35311.26</v>
      </c>
      <c r="L44" s="191">
        <v>44312.418680555558</v>
      </c>
    </row>
    <row r="45" spans="1:12" x14ac:dyDescent="0.3">
      <c r="A45" s="186">
        <v>429</v>
      </c>
      <c r="B45" s="186">
        <v>60</v>
      </c>
      <c r="C45" s="186" t="s">
        <v>8999</v>
      </c>
      <c r="D45" t="s">
        <v>1387</v>
      </c>
      <c r="E45" s="186">
        <v>33592510</v>
      </c>
      <c r="F45" t="s">
        <v>1388</v>
      </c>
      <c r="G45" t="s">
        <v>87</v>
      </c>
      <c r="H45" t="s">
        <v>8999</v>
      </c>
      <c r="I45" s="186">
        <v>3</v>
      </c>
      <c r="J45" t="s">
        <v>97</v>
      </c>
      <c r="K45">
        <v>51303.53</v>
      </c>
      <c r="L45" s="191">
        <v>44320.47378472222</v>
      </c>
    </row>
    <row r="46" spans="1:12" x14ac:dyDescent="0.3">
      <c r="A46" s="186">
        <v>393</v>
      </c>
      <c r="B46" s="186">
        <v>30</v>
      </c>
      <c r="C46" s="186" t="s">
        <v>9000</v>
      </c>
      <c r="D46" t="s">
        <v>1387</v>
      </c>
      <c r="E46" s="186">
        <v>4784802</v>
      </c>
      <c r="F46" t="s">
        <v>1388</v>
      </c>
      <c r="G46" t="s">
        <v>87</v>
      </c>
      <c r="H46" t="s">
        <v>9000</v>
      </c>
      <c r="I46" s="186">
        <v>9</v>
      </c>
      <c r="J46" t="s">
        <v>103</v>
      </c>
      <c r="K46" s="185">
        <v>30720</v>
      </c>
      <c r="L46" s="191">
        <v>44326.758217592593</v>
      </c>
    </row>
    <row r="47" spans="1:12" x14ac:dyDescent="0.3">
      <c r="A47" s="186">
        <v>238</v>
      </c>
      <c r="B47" s="186">
        <v>10</v>
      </c>
      <c r="C47" s="186" t="s">
        <v>9001</v>
      </c>
      <c r="D47" t="s">
        <v>1387</v>
      </c>
      <c r="E47" s="186">
        <v>28390586</v>
      </c>
      <c r="F47" t="s">
        <v>1388</v>
      </c>
      <c r="G47" t="s">
        <v>87</v>
      </c>
      <c r="H47" t="s">
        <v>9001</v>
      </c>
      <c r="I47" s="186">
        <v>43</v>
      </c>
      <c r="J47" t="s">
        <v>133</v>
      </c>
      <c r="K47" s="185">
        <v>53700.63</v>
      </c>
      <c r="L47" s="191">
        <v>44312.538587962961</v>
      </c>
    </row>
    <row r="48" spans="1:12" x14ac:dyDescent="0.3">
      <c r="A48" s="186">
        <v>261</v>
      </c>
      <c r="B48" s="186" t="s">
        <v>1421</v>
      </c>
      <c r="C48" s="186" t="s">
        <v>9002</v>
      </c>
      <c r="D48" t="s">
        <v>1387</v>
      </c>
      <c r="E48" s="186">
        <v>29060647</v>
      </c>
      <c r="F48" t="s">
        <v>1388</v>
      </c>
      <c r="G48" t="s">
        <v>87</v>
      </c>
      <c r="H48" t="s">
        <v>9002</v>
      </c>
      <c r="I48" s="186">
        <v>3</v>
      </c>
      <c r="J48" t="s">
        <v>1422</v>
      </c>
      <c r="K48" s="185">
        <v>108101.79</v>
      </c>
      <c r="L48" s="191">
        <v>44323.653587962966</v>
      </c>
    </row>
    <row r="49" spans="1:12" x14ac:dyDescent="0.3">
      <c r="A49" s="186">
        <v>3149</v>
      </c>
      <c r="B49" s="186">
        <v>-1</v>
      </c>
      <c r="C49" s="186" t="s">
        <v>9003</v>
      </c>
      <c r="D49" t="s">
        <v>1387</v>
      </c>
      <c r="E49" s="186">
        <v>4442236</v>
      </c>
      <c r="F49" t="s">
        <v>1388</v>
      </c>
      <c r="G49" t="s">
        <v>87</v>
      </c>
      <c r="H49" t="s">
        <v>9003</v>
      </c>
      <c r="I49" s="186">
        <v>9</v>
      </c>
      <c r="J49" t="s">
        <v>174</v>
      </c>
      <c r="K49" s="185">
        <v>280000</v>
      </c>
      <c r="L49" s="191">
        <v>44342.742106481484</v>
      </c>
    </row>
    <row r="50" spans="1:12" x14ac:dyDescent="0.3">
      <c r="A50" s="186">
        <v>3138</v>
      </c>
      <c r="B50" s="186">
        <v>0</v>
      </c>
      <c r="C50" s="186" t="s">
        <v>9004</v>
      </c>
      <c r="D50" t="s">
        <v>1387</v>
      </c>
      <c r="E50" s="186">
        <v>15482315</v>
      </c>
      <c r="F50" t="s">
        <v>1388</v>
      </c>
      <c r="G50" t="s">
        <v>87</v>
      </c>
      <c r="H50" t="s">
        <v>9004</v>
      </c>
      <c r="I50" s="186">
        <v>10</v>
      </c>
      <c r="J50" t="s">
        <v>100</v>
      </c>
      <c r="K50" s="185">
        <v>510000</v>
      </c>
      <c r="L50" s="191">
        <v>44340.703738425924</v>
      </c>
    </row>
    <row r="51" spans="1:12" x14ac:dyDescent="0.3">
      <c r="A51" s="186">
        <v>2124</v>
      </c>
      <c r="B51" s="186">
        <v>10</v>
      </c>
      <c r="C51" s="186" t="s">
        <v>9005</v>
      </c>
      <c r="D51" t="s">
        <v>1387</v>
      </c>
      <c r="E51" s="186">
        <v>21228861</v>
      </c>
      <c r="F51" t="s">
        <v>1388</v>
      </c>
      <c r="G51" t="s">
        <v>87</v>
      </c>
      <c r="H51" t="s">
        <v>9005</v>
      </c>
      <c r="I51" s="186">
        <v>24</v>
      </c>
      <c r="J51" t="s">
        <v>133</v>
      </c>
      <c r="K51" s="185">
        <v>81032</v>
      </c>
      <c r="L51" s="191">
        <v>44347.367881944447</v>
      </c>
    </row>
    <row r="52" spans="1:12" x14ac:dyDescent="0.3">
      <c r="A52" s="186">
        <v>3173</v>
      </c>
      <c r="B52" s="186">
        <v>15</v>
      </c>
      <c r="C52" s="186" t="s">
        <v>9006</v>
      </c>
      <c r="D52" t="s">
        <v>1387</v>
      </c>
      <c r="E52" s="186">
        <v>60498706</v>
      </c>
      <c r="F52" t="s">
        <v>1388</v>
      </c>
      <c r="G52" t="s">
        <v>87</v>
      </c>
      <c r="H52" t="s">
        <v>9006</v>
      </c>
      <c r="I52" s="186">
        <v>10</v>
      </c>
      <c r="J52" t="s">
        <v>145</v>
      </c>
      <c r="K52" s="185">
        <v>37816.480000000003</v>
      </c>
      <c r="L52" s="191">
        <v>44348.627152777779</v>
      </c>
    </row>
    <row r="53" spans="1:12" x14ac:dyDescent="0.3">
      <c r="A53" s="186">
        <v>2125</v>
      </c>
      <c r="B53" s="186" t="s">
        <v>1396</v>
      </c>
      <c r="C53" s="186" t="s">
        <v>9007</v>
      </c>
      <c r="D53" t="s">
        <v>1387</v>
      </c>
      <c r="E53" s="186">
        <v>16956443</v>
      </c>
      <c r="F53" t="s">
        <v>1388</v>
      </c>
      <c r="G53" t="s">
        <v>87</v>
      </c>
      <c r="H53" t="s">
        <v>9007</v>
      </c>
      <c r="I53" s="186">
        <v>3</v>
      </c>
      <c r="J53" t="s">
        <v>1397</v>
      </c>
      <c r="K53" s="185">
        <v>238218.54</v>
      </c>
      <c r="L53" s="191">
        <v>44347.456296296295</v>
      </c>
    </row>
    <row r="54" spans="1:12" x14ac:dyDescent="0.3">
      <c r="A54" s="186">
        <v>3127</v>
      </c>
      <c r="B54" s="186">
        <v>-1</v>
      </c>
      <c r="C54" s="186" t="s">
        <v>9008</v>
      </c>
      <c r="D54" t="s">
        <v>1387</v>
      </c>
      <c r="E54" s="186">
        <v>114258</v>
      </c>
      <c r="F54" t="s">
        <v>1388</v>
      </c>
      <c r="G54" t="s">
        <v>87</v>
      </c>
      <c r="H54" t="s">
        <v>9008</v>
      </c>
      <c r="I54" s="186">
        <v>10</v>
      </c>
      <c r="J54" t="s">
        <v>174</v>
      </c>
      <c r="K54" s="185">
        <v>390000</v>
      </c>
      <c r="L54" s="191">
        <v>44337.455266203702</v>
      </c>
    </row>
    <row r="55" spans="1:12" x14ac:dyDescent="0.3">
      <c r="A55" s="186">
        <v>2119</v>
      </c>
      <c r="B55" s="186">
        <v>0</v>
      </c>
      <c r="C55" s="186" t="s">
        <v>9009</v>
      </c>
      <c r="D55" t="s">
        <v>1387</v>
      </c>
      <c r="E55" s="186">
        <v>29060647</v>
      </c>
      <c r="F55" t="s">
        <v>1388</v>
      </c>
      <c r="G55" t="s">
        <v>87</v>
      </c>
      <c r="H55" t="s">
        <v>9009</v>
      </c>
      <c r="I55" s="186">
        <v>2</v>
      </c>
      <c r="J55" t="s">
        <v>100</v>
      </c>
      <c r="K55" s="185">
        <v>807313.74</v>
      </c>
      <c r="L55" s="191">
        <v>44341.701550925929</v>
      </c>
    </row>
    <row r="56" spans="1:12" x14ac:dyDescent="0.3">
      <c r="A56" s="186">
        <v>3169</v>
      </c>
      <c r="B56" s="186">
        <v>0</v>
      </c>
      <c r="C56" s="186" t="s">
        <v>9010</v>
      </c>
      <c r="D56" t="s">
        <v>1387</v>
      </c>
      <c r="E56" s="186">
        <v>35864319</v>
      </c>
      <c r="F56" t="s">
        <v>1388</v>
      </c>
      <c r="G56" t="s">
        <v>87</v>
      </c>
      <c r="H56" t="s">
        <v>9010</v>
      </c>
      <c r="I56" s="186">
        <v>19</v>
      </c>
      <c r="J56" t="s">
        <v>100</v>
      </c>
      <c r="K56" s="185">
        <v>39984.04</v>
      </c>
      <c r="L56" s="191">
        <v>44348.485856481479</v>
      </c>
    </row>
    <row r="57" spans="1:12" x14ac:dyDescent="0.3">
      <c r="A57" s="186">
        <v>2134</v>
      </c>
      <c r="B57" s="186" t="s">
        <v>1421</v>
      </c>
      <c r="C57" s="186" t="s">
        <v>9011</v>
      </c>
      <c r="D57" t="s">
        <v>1387</v>
      </c>
      <c r="E57" s="186">
        <v>29060647</v>
      </c>
      <c r="F57" t="s">
        <v>1388</v>
      </c>
      <c r="G57" t="s">
        <v>87</v>
      </c>
      <c r="H57" t="s">
        <v>9011</v>
      </c>
      <c r="I57" s="186">
        <v>3</v>
      </c>
      <c r="J57" t="s">
        <v>1422</v>
      </c>
      <c r="K57" s="185">
        <v>108102.78</v>
      </c>
      <c r="L57" s="191">
        <v>44348.720358796294</v>
      </c>
    </row>
    <row r="58" spans="1:12" x14ac:dyDescent="0.3">
      <c r="A58" s="186">
        <v>56</v>
      </c>
      <c r="B58" s="186">
        <v>-1</v>
      </c>
      <c r="C58" s="186" t="s">
        <v>9012</v>
      </c>
      <c r="D58" t="s">
        <v>1387</v>
      </c>
      <c r="E58" s="186">
        <v>99782650668</v>
      </c>
      <c r="F58" t="s">
        <v>1388</v>
      </c>
      <c r="G58" t="s">
        <v>87</v>
      </c>
      <c r="H58" t="s">
        <v>9012</v>
      </c>
      <c r="I58" s="186">
        <v>2</v>
      </c>
      <c r="J58" t="s">
        <v>174</v>
      </c>
      <c r="K58" s="185">
        <v>8000</v>
      </c>
      <c r="L58" s="191">
        <v>44334.529907407406</v>
      </c>
    </row>
    <row r="59" spans="1:12" x14ac:dyDescent="0.3">
      <c r="A59" s="186">
        <v>293</v>
      </c>
      <c r="B59" s="186">
        <v>0</v>
      </c>
      <c r="C59" s="186" t="s">
        <v>9013</v>
      </c>
      <c r="D59" t="s">
        <v>1387</v>
      </c>
      <c r="E59" s="186">
        <v>9588193788</v>
      </c>
      <c r="F59" t="s">
        <v>1388</v>
      </c>
      <c r="G59" t="s">
        <v>87</v>
      </c>
      <c r="H59" t="s">
        <v>9013</v>
      </c>
      <c r="I59" s="186">
        <v>3</v>
      </c>
      <c r="J59" t="s">
        <v>100</v>
      </c>
      <c r="K59" s="185">
        <v>19228</v>
      </c>
      <c r="L59" s="191">
        <v>44334.623344907406</v>
      </c>
    </row>
    <row r="60" spans="1:12" x14ac:dyDescent="0.3">
      <c r="A60" s="186">
        <v>3146</v>
      </c>
      <c r="B60" s="186" t="s">
        <v>195</v>
      </c>
      <c r="C60" s="186" t="s">
        <v>9014</v>
      </c>
      <c r="D60" t="s">
        <v>1387</v>
      </c>
      <c r="E60" s="186">
        <v>1092686</v>
      </c>
      <c r="F60" t="s">
        <v>1410</v>
      </c>
      <c r="G60" t="s">
        <v>87</v>
      </c>
      <c r="H60" t="s">
        <v>9014</v>
      </c>
      <c r="I60" s="186">
        <v>10</v>
      </c>
      <c r="J60" t="s">
        <v>196</v>
      </c>
      <c r="K60" s="185">
        <v>33311.26</v>
      </c>
      <c r="L60" s="191">
        <v>44342.442048611112</v>
      </c>
    </row>
    <row r="61" spans="1:12" x14ac:dyDescent="0.3">
      <c r="A61" s="186">
        <v>298</v>
      </c>
      <c r="B61" s="186">
        <v>18</v>
      </c>
      <c r="C61" s="186" t="s">
        <v>9015</v>
      </c>
      <c r="D61" t="s">
        <v>1387</v>
      </c>
      <c r="E61" s="186">
        <v>21228861</v>
      </c>
      <c r="F61" t="s">
        <v>1388</v>
      </c>
      <c r="G61" t="s">
        <v>87</v>
      </c>
      <c r="H61" t="s">
        <v>9015</v>
      </c>
      <c r="I61" s="186">
        <v>3</v>
      </c>
      <c r="J61" t="s">
        <v>112</v>
      </c>
      <c r="K61" s="185">
        <v>81032.009999999995</v>
      </c>
      <c r="L61" s="191">
        <v>44335.637337962966</v>
      </c>
    </row>
    <row r="62" spans="1:12" x14ac:dyDescent="0.3">
      <c r="A62" s="186">
        <v>3144</v>
      </c>
      <c r="B62" s="186">
        <v>0</v>
      </c>
      <c r="C62" s="186" t="s">
        <v>9016</v>
      </c>
      <c r="D62" t="s">
        <v>1387</v>
      </c>
      <c r="E62" s="186">
        <v>89524675668</v>
      </c>
      <c r="F62" t="s">
        <v>1410</v>
      </c>
      <c r="G62" t="s">
        <v>87</v>
      </c>
      <c r="H62" t="s">
        <v>9016</v>
      </c>
      <c r="I62" s="186">
        <v>38</v>
      </c>
      <c r="J62" t="s">
        <v>100</v>
      </c>
      <c r="K62" s="185">
        <v>74499.490000000005</v>
      </c>
      <c r="L62" s="191">
        <v>44342.380925925929</v>
      </c>
    </row>
    <row r="63" spans="1:12" x14ac:dyDescent="0.3">
      <c r="A63" s="186">
        <v>3158</v>
      </c>
      <c r="B63" s="186">
        <v>-1</v>
      </c>
      <c r="C63" s="186" t="s">
        <v>9017</v>
      </c>
      <c r="D63" t="s">
        <v>1387</v>
      </c>
      <c r="E63" s="186">
        <v>76347397234</v>
      </c>
      <c r="F63" t="s">
        <v>1388</v>
      </c>
      <c r="G63" t="s">
        <v>87</v>
      </c>
      <c r="H63" t="s">
        <v>9017</v>
      </c>
      <c r="I63" s="186">
        <v>38</v>
      </c>
      <c r="J63" t="s">
        <v>174</v>
      </c>
      <c r="K63" s="185">
        <v>2400</v>
      </c>
      <c r="L63" s="191">
        <v>44344.638854166667</v>
      </c>
    </row>
    <row r="64" spans="1:12" x14ac:dyDescent="0.3">
      <c r="A64" s="186">
        <v>3195</v>
      </c>
      <c r="B64" s="186">
        <v>-1</v>
      </c>
      <c r="C64" s="186" t="s">
        <v>9018</v>
      </c>
      <c r="D64" t="s">
        <v>1387</v>
      </c>
      <c r="E64" s="186">
        <v>76347397234</v>
      </c>
      <c r="F64" t="s">
        <v>1388</v>
      </c>
      <c r="G64" t="s">
        <v>87</v>
      </c>
      <c r="H64" t="s">
        <v>9018</v>
      </c>
      <c r="I64" s="186">
        <v>38</v>
      </c>
      <c r="J64" t="s">
        <v>174</v>
      </c>
      <c r="K64">
        <v>3600.01</v>
      </c>
      <c r="L64" s="191">
        <v>44355.713310185187</v>
      </c>
    </row>
    <row r="65" spans="1:12" x14ac:dyDescent="0.3">
      <c r="A65" s="186">
        <v>2147</v>
      </c>
      <c r="C65" s="186" t="s">
        <v>9019</v>
      </c>
      <c r="D65" t="s">
        <v>1395</v>
      </c>
      <c r="E65" s="186">
        <v>8769549</v>
      </c>
      <c r="G65" t="s">
        <v>113</v>
      </c>
      <c r="H65" t="s">
        <v>9019</v>
      </c>
      <c r="I65" s="186">
        <v>18</v>
      </c>
      <c r="K65" s="185">
        <v>78380.06</v>
      </c>
      <c r="L65" s="191">
        <v>44356.562256944446</v>
      </c>
    </row>
    <row r="66" spans="1:12" x14ac:dyDescent="0.3">
      <c r="A66" s="186">
        <v>3207</v>
      </c>
      <c r="B66" s="186">
        <v>0</v>
      </c>
      <c r="C66" s="186" t="s">
        <v>9020</v>
      </c>
      <c r="D66" t="s">
        <v>1387</v>
      </c>
      <c r="E66" s="186">
        <v>3389126</v>
      </c>
      <c r="F66" t="s">
        <v>1388</v>
      </c>
      <c r="G66" t="s">
        <v>87</v>
      </c>
      <c r="H66" t="s">
        <v>9020</v>
      </c>
      <c r="I66" s="186">
        <v>3</v>
      </c>
      <c r="J66" t="s">
        <v>100</v>
      </c>
      <c r="K66">
        <v>20428.060000000001</v>
      </c>
      <c r="L66" s="191">
        <v>44358.594224537039</v>
      </c>
    </row>
    <row r="67" spans="1:12" x14ac:dyDescent="0.3">
      <c r="A67" s="186">
        <v>463</v>
      </c>
      <c r="B67" s="186">
        <v>60</v>
      </c>
      <c r="C67" s="186" t="s">
        <v>9021</v>
      </c>
      <c r="D67" t="s">
        <v>1395</v>
      </c>
      <c r="E67" s="186">
        <v>33592510</v>
      </c>
      <c r="G67" t="s">
        <v>87</v>
      </c>
      <c r="H67" t="s">
        <v>9021</v>
      </c>
      <c r="I67" s="186">
        <v>3</v>
      </c>
      <c r="J67" t="s">
        <v>97</v>
      </c>
      <c r="K67" s="185">
        <v>196299.4</v>
      </c>
      <c r="L67" s="191">
        <v>44355.53738425926</v>
      </c>
    </row>
    <row r="68" spans="1:12" x14ac:dyDescent="0.3">
      <c r="A68" s="186">
        <v>3206</v>
      </c>
      <c r="B68" s="186">
        <v>-1</v>
      </c>
      <c r="C68" s="186" t="s">
        <v>9022</v>
      </c>
      <c r="D68" t="s">
        <v>1387</v>
      </c>
      <c r="E68" s="186">
        <v>1040144233</v>
      </c>
      <c r="F68" t="s">
        <v>1388</v>
      </c>
      <c r="G68" t="s">
        <v>87</v>
      </c>
      <c r="H68" t="s">
        <v>9022</v>
      </c>
      <c r="I68" s="186">
        <v>38</v>
      </c>
      <c r="J68" t="s">
        <v>174</v>
      </c>
      <c r="K68" s="185">
        <v>1200.74</v>
      </c>
      <c r="L68" s="191">
        <v>44358.566331018519</v>
      </c>
    </row>
    <row r="69" spans="1:12" x14ac:dyDescent="0.3">
      <c r="A69" s="186">
        <v>2141</v>
      </c>
      <c r="B69" s="186">
        <v>0</v>
      </c>
      <c r="C69" s="186" t="s">
        <v>9023</v>
      </c>
      <c r="D69" t="s">
        <v>1387</v>
      </c>
      <c r="E69" s="186">
        <v>24624490</v>
      </c>
      <c r="F69" t="s">
        <v>1388</v>
      </c>
      <c r="G69" t="s">
        <v>87</v>
      </c>
      <c r="H69" t="s">
        <v>9023</v>
      </c>
      <c r="I69" s="186">
        <v>9</v>
      </c>
      <c r="J69" t="s">
        <v>100</v>
      </c>
      <c r="K69" s="185">
        <v>170217.8</v>
      </c>
      <c r="L69" s="191">
        <v>44355.648344907408</v>
      </c>
    </row>
    <row r="70" spans="1:12" x14ac:dyDescent="0.3">
      <c r="A70" s="186">
        <v>3218</v>
      </c>
      <c r="B70" s="186">
        <v>-1</v>
      </c>
      <c r="C70" s="186" t="s">
        <v>9024</v>
      </c>
      <c r="D70" t="s">
        <v>1387</v>
      </c>
      <c r="E70" s="186">
        <v>1040144233</v>
      </c>
      <c r="F70" t="s">
        <v>1388</v>
      </c>
      <c r="G70" t="s">
        <v>87</v>
      </c>
      <c r="H70" t="s">
        <v>9024</v>
      </c>
      <c r="I70" s="186">
        <v>38</v>
      </c>
      <c r="J70" t="s">
        <v>174</v>
      </c>
      <c r="K70" s="185">
        <v>2400</v>
      </c>
      <c r="L70" s="191">
        <v>44361.569884259261</v>
      </c>
    </row>
    <row r="71" spans="1:12" x14ac:dyDescent="0.3">
      <c r="A71" s="186">
        <v>3228</v>
      </c>
      <c r="B71" s="186">
        <v>-1</v>
      </c>
      <c r="C71" s="186" t="s">
        <v>9025</v>
      </c>
      <c r="D71" t="s">
        <v>1387</v>
      </c>
      <c r="E71" s="186">
        <v>1040144233</v>
      </c>
      <c r="F71" t="s">
        <v>1388</v>
      </c>
      <c r="G71" t="s">
        <v>87</v>
      </c>
      <c r="H71" t="s">
        <v>9025</v>
      </c>
      <c r="I71" s="186">
        <v>38</v>
      </c>
      <c r="J71" t="s">
        <v>174</v>
      </c>
      <c r="K71" s="185">
        <v>2400</v>
      </c>
      <c r="L71" s="191">
        <v>44362.615798611114</v>
      </c>
    </row>
    <row r="72" spans="1:12" x14ac:dyDescent="0.3">
      <c r="A72" s="186">
        <v>3191</v>
      </c>
      <c r="B72" s="186">
        <v>-1</v>
      </c>
      <c r="C72" s="186" t="s">
        <v>9026</v>
      </c>
      <c r="D72" t="s">
        <v>1387</v>
      </c>
      <c r="E72" s="186">
        <v>67417418287</v>
      </c>
      <c r="F72" t="s">
        <v>1388</v>
      </c>
      <c r="G72" t="s">
        <v>87</v>
      </c>
      <c r="H72" t="s">
        <v>9026</v>
      </c>
      <c r="I72" s="186">
        <v>38</v>
      </c>
      <c r="J72" t="s">
        <v>174</v>
      </c>
      <c r="K72" s="185">
        <v>1200.01</v>
      </c>
      <c r="L72" s="191">
        <v>44354.639675925922</v>
      </c>
    </row>
    <row r="73" spans="1:12" x14ac:dyDescent="0.3">
      <c r="A73" s="186">
        <v>3233</v>
      </c>
      <c r="B73" s="186">
        <v>0</v>
      </c>
      <c r="C73" s="186" t="s">
        <v>9027</v>
      </c>
      <c r="D73" t="s">
        <v>1387</v>
      </c>
      <c r="E73" s="186">
        <v>40520366034</v>
      </c>
      <c r="F73" t="s">
        <v>1388</v>
      </c>
      <c r="G73" t="s">
        <v>87</v>
      </c>
      <c r="H73" t="s">
        <v>9027</v>
      </c>
      <c r="I73" s="186">
        <v>2</v>
      </c>
      <c r="J73" t="s">
        <v>100</v>
      </c>
      <c r="K73" s="185">
        <v>135000</v>
      </c>
      <c r="L73" s="191">
        <v>44363.389826388891</v>
      </c>
    </row>
    <row r="74" spans="1:12" x14ac:dyDescent="0.3">
      <c r="A74" s="186">
        <v>2143</v>
      </c>
      <c r="C74" s="186" t="s">
        <v>9028</v>
      </c>
      <c r="D74" t="s">
        <v>1395</v>
      </c>
      <c r="E74" s="186">
        <v>402552</v>
      </c>
      <c r="G74" t="s">
        <v>87</v>
      </c>
      <c r="H74" t="s">
        <v>9028</v>
      </c>
      <c r="I74" s="186">
        <v>18</v>
      </c>
      <c r="K74" s="185">
        <v>49428.639999999999</v>
      </c>
      <c r="L74" s="191">
        <v>44355.717615740738</v>
      </c>
    </row>
    <row r="75" spans="1:12" x14ac:dyDescent="0.3">
      <c r="A75" s="186">
        <v>3236</v>
      </c>
      <c r="B75" s="186">
        <v>-1</v>
      </c>
      <c r="C75" s="186" t="s">
        <v>9029</v>
      </c>
      <c r="D75" t="s">
        <v>1387</v>
      </c>
      <c r="E75" s="186">
        <v>1040144233</v>
      </c>
      <c r="F75" t="s">
        <v>1388</v>
      </c>
      <c r="G75" t="s">
        <v>87</v>
      </c>
      <c r="H75" t="s">
        <v>9029</v>
      </c>
      <c r="I75" s="186">
        <v>38</v>
      </c>
      <c r="J75" t="s">
        <v>174</v>
      </c>
      <c r="K75" s="185">
        <v>1200.01</v>
      </c>
      <c r="L75" s="191">
        <v>44363.491747685184</v>
      </c>
    </row>
    <row r="76" spans="1:12" x14ac:dyDescent="0.3">
      <c r="A76" s="186">
        <v>3237</v>
      </c>
      <c r="B76" s="186">
        <v>-1</v>
      </c>
      <c r="C76" s="186" t="s">
        <v>9030</v>
      </c>
      <c r="D76" t="s">
        <v>1387</v>
      </c>
      <c r="E76" s="186">
        <v>2026377278</v>
      </c>
      <c r="F76" t="s">
        <v>1388</v>
      </c>
      <c r="G76" t="s">
        <v>87</v>
      </c>
      <c r="H76" t="s">
        <v>9030</v>
      </c>
      <c r="I76" s="186">
        <v>38</v>
      </c>
      <c r="J76" t="s">
        <v>174</v>
      </c>
      <c r="K76" s="185">
        <v>1200.01</v>
      </c>
      <c r="L76" s="191">
        <v>44363.503761574073</v>
      </c>
    </row>
    <row r="77" spans="1:12" x14ac:dyDescent="0.3">
      <c r="A77" s="186">
        <v>3202</v>
      </c>
      <c r="B77" s="186">
        <v>-1</v>
      </c>
      <c r="C77" s="186" t="s">
        <v>9031</v>
      </c>
      <c r="D77" t="s">
        <v>1387</v>
      </c>
      <c r="E77" s="186">
        <v>87241056604</v>
      </c>
      <c r="F77" t="s">
        <v>1388</v>
      </c>
      <c r="G77" t="s">
        <v>87</v>
      </c>
      <c r="H77" t="s">
        <v>9031</v>
      </c>
      <c r="I77" s="186">
        <v>38</v>
      </c>
      <c r="J77" t="s">
        <v>174</v>
      </c>
      <c r="K77" s="185">
        <v>1200.01</v>
      </c>
      <c r="L77" s="191">
        <v>44357.676435185182</v>
      </c>
    </row>
    <row r="78" spans="1:12" x14ac:dyDescent="0.3">
      <c r="A78" s="186">
        <v>3242</v>
      </c>
      <c r="B78" s="186">
        <v>-1</v>
      </c>
      <c r="C78" s="186" t="s">
        <v>9032</v>
      </c>
      <c r="D78" t="s">
        <v>1387</v>
      </c>
      <c r="E78" s="186">
        <v>2026377278</v>
      </c>
      <c r="F78" t="s">
        <v>1388</v>
      </c>
      <c r="G78" t="s">
        <v>87</v>
      </c>
      <c r="H78" t="s">
        <v>9032</v>
      </c>
      <c r="I78" s="186">
        <v>38</v>
      </c>
      <c r="J78" t="s">
        <v>174</v>
      </c>
      <c r="K78" s="185">
        <v>1200.01</v>
      </c>
      <c r="L78" s="191">
        <v>44363.682442129626</v>
      </c>
    </row>
    <row r="79" spans="1:12" x14ac:dyDescent="0.3">
      <c r="A79" s="186">
        <v>3192</v>
      </c>
      <c r="B79" s="186" t="s">
        <v>1257</v>
      </c>
      <c r="C79" s="186" t="s">
        <v>9033</v>
      </c>
      <c r="D79" t="s">
        <v>1387</v>
      </c>
      <c r="E79" s="186">
        <v>6900697</v>
      </c>
      <c r="F79" t="s">
        <v>1388</v>
      </c>
      <c r="G79" t="s">
        <v>87</v>
      </c>
      <c r="H79" t="s">
        <v>9033</v>
      </c>
      <c r="I79" s="186">
        <v>38</v>
      </c>
      <c r="J79" t="s">
        <v>1258</v>
      </c>
      <c r="K79" s="185">
        <v>88397.72</v>
      </c>
      <c r="L79" s="191">
        <v>44355.453877314816</v>
      </c>
    </row>
    <row r="80" spans="1:12" x14ac:dyDescent="0.3">
      <c r="A80" s="186">
        <v>2161</v>
      </c>
      <c r="B80" s="186" t="s">
        <v>1421</v>
      </c>
      <c r="C80" s="186" t="s">
        <v>9034</v>
      </c>
      <c r="D80" t="s">
        <v>1387</v>
      </c>
      <c r="E80" s="186">
        <v>4311533</v>
      </c>
      <c r="F80" t="s">
        <v>1388</v>
      </c>
      <c r="G80" t="s">
        <v>87</v>
      </c>
      <c r="H80" t="s">
        <v>9034</v>
      </c>
      <c r="I80" s="186">
        <v>10</v>
      </c>
      <c r="J80" t="s">
        <v>1422</v>
      </c>
      <c r="K80" s="185">
        <v>186377.61</v>
      </c>
      <c r="L80" s="191">
        <v>44361.431828703702</v>
      </c>
    </row>
    <row r="81" spans="1:12" x14ac:dyDescent="0.3">
      <c r="A81" s="186">
        <v>3238</v>
      </c>
      <c r="B81" s="186">
        <v>0</v>
      </c>
      <c r="C81" s="186" t="s">
        <v>9035</v>
      </c>
      <c r="D81" t="s">
        <v>1387</v>
      </c>
      <c r="E81" s="186">
        <v>93253036391</v>
      </c>
      <c r="F81" t="s">
        <v>1388</v>
      </c>
      <c r="G81" t="s">
        <v>87</v>
      </c>
      <c r="H81" t="s">
        <v>9035</v>
      </c>
      <c r="I81" s="186">
        <v>9</v>
      </c>
      <c r="J81" t="s">
        <v>100</v>
      </c>
      <c r="K81" s="185">
        <v>210000</v>
      </c>
      <c r="L81" s="191">
        <v>44363.599178240744</v>
      </c>
    </row>
    <row r="82" spans="1:12" x14ac:dyDescent="0.3">
      <c r="A82" s="186">
        <v>3190</v>
      </c>
      <c r="B82" s="186">
        <v>30</v>
      </c>
      <c r="C82" s="186" t="s">
        <v>9036</v>
      </c>
      <c r="D82" t="s">
        <v>1387</v>
      </c>
      <c r="E82" s="186">
        <v>60394665</v>
      </c>
      <c r="F82" t="s">
        <v>1388</v>
      </c>
      <c r="G82" t="s">
        <v>87</v>
      </c>
      <c r="H82" t="s">
        <v>9036</v>
      </c>
      <c r="I82" s="186">
        <v>10</v>
      </c>
      <c r="J82" t="s">
        <v>103</v>
      </c>
      <c r="K82">
        <v>25482.54</v>
      </c>
      <c r="L82" s="191">
        <v>44354.578460648147</v>
      </c>
    </row>
    <row r="83" spans="1:12" x14ac:dyDescent="0.3">
      <c r="A83" s="186">
        <v>3239</v>
      </c>
      <c r="B83" s="186">
        <v>0</v>
      </c>
      <c r="C83" s="186" t="s">
        <v>9037</v>
      </c>
      <c r="D83" t="s">
        <v>1387</v>
      </c>
      <c r="E83" s="186">
        <v>93253036391</v>
      </c>
      <c r="F83" t="s">
        <v>1388</v>
      </c>
      <c r="G83" t="s">
        <v>87</v>
      </c>
      <c r="H83" t="s">
        <v>9037</v>
      </c>
      <c r="I83" s="186">
        <v>9</v>
      </c>
      <c r="J83" t="s">
        <v>100</v>
      </c>
      <c r="K83" s="185">
        <v>250000</v>
      </c>
      <c r="L83" s="191">
        <v>44363.603032407409</v>
      </c>
    </row>
    <row r="84" spans="1:12" x14ac:dyDescent="0.3">
      <c r="A84" s="186">
        <v>3243</v>
      </c>
      <c r="B84" s="186">
        <v>-1</v>
      </c>
      <c r="C84" s="186" t="s">
        <v>9038</v>
      </c>
      <c r="D84" t="s">
        <v>1387</v>
      </c>
      <c r="E84" s="186">
        <v>1040144233</v>
      </c>
      <c r="F84" t="s">
        <v>1388</v>
      </c>
      <c r="G84" t="s">
        <v>87</v>
      </c>
      <c r="H84" t="s">
        <v>9038</v>
      </c>
      <c r="I84" s="186">
        <v>38</v>
      </c>
      <c r="J84" t="s">
        <v>174</v>
      </c>
      <c r="K84" s="185">
        <v>1200.01</v>
      </c>
      <c r="L84" s="191">
        <v>44363.687256944446</v>
      </c>
    </row>
    <row r="85" spans="1:12" x14ac:dyDescent="0.3">
      <c r="A85" s="186">
        <v>3251</v>
      </c>
      <c r="B85" s="186">
        <v>-1</v>
      </c>
      <c r="C85" s="186" t="s">
        <v>9039</v>
      </c>
      <c r="D85" t="s">
        <v>1387</v>
      </c>
      <c r="E85" s="186">
        <v>1040144233</v>
      </c>
      <c r="F85" t="s">
        <v>1388</v>
      </c>
      <c r="G85" t="s">
        <v>87</v>
      </c>
      <c r="H85" t="s">
        <v>9039</v>
      </c>
      <c r="I85" s="186">
        <v>38</v>
      </c>
      <c r="J85" t="s">
        <v>174</v>
      </c>
      <c r="K85">
        <v>6001.11</v>
      </c>
      <c r="L85" s="191">
        <v>44364.550856481481</v>
      </c>
    </row>
    <row r="86" spans="1:12" x14ac:dyDescent="0.3">
      <c r="A86" s="186">
        <v>3257</v>
      </c>
      <c r="B86" s="186">
        <v>-1</v>
      </c>
      <c r="C86" s="186" t="s">
        <v>9040</v>
      </c>
      <c r="D86" t="s">
        <v>1387</v>
      </c>
      <c r="E86" s="186">
        <v>1040144233</v>
      </c>
      <c r="F86" t="s">
        <v>1388</v>
      </c>
      <c r="G86" t="s">
        <v>87</v>
      </c>
      <c r="H86" t="s">
        <v>9040</v>
      </c>
      <c r="I86" s="186">
        <v>38</v>
      </c>
      <c r="J86" t="s">
        <v>174</v>
      </c>
      <c r="K86" s="185">
        <v>7200.01</v>
      </c>
      <c r="L86" s="191">
        <v>44365.45820601852</v>
      </c>
    </row>
    <row r="87" spans="1:12" x14ac:dyDescent="0.3">
      <c r="A87" s="186">
        <v>3290</v>
      </c>
      <c r="B87" s="186">
        <v>0</v>
      </c>
      <c r="C87" s="186" t="s">
        <v>9041</v>
      </c>
      <c r="D87" t="s">
        <v>1387</v>
      </c>
      <c r="E87" s="186">
        <v>15482315</v>
      </c>
      <c r="F87" t="s">
        <v>1388</v>
      </c>
      <c r="G87" t="s">
        <v>87</v>
      </c>
      <c r="H87" t="s">
        <v>9041</v>
      </c>
      <c r="I87" s="186">
        <v>10</v>
      </c>
      <c r="J87" t="s">
        <v>100</v>
      </c>
      <c r="K87" s="185">
        <v>580000</v>
      </c>
      <c r="L87" s="191">
        <v>44369.716608796298</v>
      </c>
    </row>
    <row r="88" spans="1:12" x14ac:dyDescent="0.3">
      <c r="A88" s="186">
        <v>2191</v>
      </c>
      <c r="B88" s="186">
        <v>30</v>
      </c>
      <c r="C88" s="186" t="s">
        <v>9042</v>
      </c>
      <c r="D88" t="s">
        <v>1387</v>
      </c>
      <c r="E88" s="186">
        <v>16694812</v>
      </c>
      <c r="F88" t="s">
        <v>1388</v>
      </c>
      <c r="G88" t="s">
        <v>87</v>
      </c>
      <c r="H88" t="s">
        <v>9042</v>
      </c>
      <c r="I88" s="186">
        <v>3</v>
      </c>
      <c r="J88" t="s">
        <v>103</v>
      </c>
      <c r="K88" s="185">
        <v>23079.279999999999</v>
      </c>
      <c r="L88" s="191">
        <v>44372.490636574075</v>
      </c>
    </row>
    <row r="89" spans="1:12" x14ac:dyDescent="0.3">
      <c r="A89" s="186">
        <v>3314</v>
      </c>
      <c r="B89" s="186">
        <v>30</v>
      </c>
      <c r="C89" s="186" t="s">
        <v>9043</v>
      </c>
      <c r="D89" t="s">
        <v>1387</v>
      </c>
      <c r="E89" s="186">
        <v>15363867</v>
      </c>
      <c r="F89" t="s">
        <v>1388</v>
      </c>
      <c r="G89" t="s">
        <v>87</v>
      </c>
      <c r="H89" t="s">
        <v>9043</v>
      </c>
      <c r="I89" s="186">
        <v>18</v>
      </c>
      <c r="J89" t="s">
        <v>103</v>
      </c>
      <c r="K89" s="185">
        <v>298536.12</v>
      </c>
      <c r="L89" s="191">
        <v>44375.484027777777</v>
      </c>
    </row>
    <row r="90" spans="1:12" x14ac:dyDescent="0.3">
      <c r="A90" s="186">
        <v>494</v>
      </c>
      <c r="B90" s="186">
        <v>0</v>
      </c>
      <c r="C90" s="186" t="s">
        <v>9044</v>
      </c>
      <c r="D90" t="s">
        <v>1387</v>
      </c>
      <c r="E90" s="186">
        <v>10279488</v>
      </c>
      <c r="F90" t="s">
        <v>1388</v>
      </c>
      <c r="G90" t="s">
        <v>87</v>
      </c>
      <c r="H90" t="s">
        <v>9044</v>
      </c>
      <c r="I90" s="186">
        <v>10</v>
      </c>
      <c r="J90" t="s">
        <v>100</v>
      </c>
      <c r="K90" s="185">
        <v>0</v>
      </c>
      <c r="L90" s="191">
        <v>44377.562743055554</v>
      </c>
    </row>
    <row r="91" spans="1:12" x14ac:dyDescent="0.3">
      <c r="A91" s="186">
        <v>3279</v>
      </c>
      <c r="B91" s="186">
        <v>0</v>
      </c>
      <c r="C91" s="186" t="s">
        <v>9045</v>
      </c>
      <c r="D91" t="s">
        <v>1387</v>
      </c>
      <c r="E91" s="186">
        <v>19336666</v>
      </c>
      <c r="F91" t="s">
        <v>1388</v>
      </c>
      <c r="G91" t="s">
        <v>87</v>
      </c>
      <c r="H91" t="s">
        <v>9045</v>
      </c>
      <c r="I91" s="186">
        <v>2</v>
      </c>
      <c r="J91" t="s">
        <v>100</v>
      </c>
      <c r="K91" s="185">
        <v>76700</v>
      </c>
      <c r="L91" s="191">
        <v>44368.705439814818</v>
      </c>
    </row>
    <row r="92" spans="1:12" x14ac:dyDescent="0.3">
      <c r="A92" s="186">
        <v>3328</v>
      </c>
      <c r="B92" s="186">
        <v>0</v>
      </c>
      <c r="C92" s="186" t="s">
        <v>9046</v>
      </c>
      <c r="D92" t="s">
        <v>1387</v>
      </c>
      <c r="E92" s="186">
        <v>75911438</v>
      </c>
      <c r="F92" t="s">
        <v>1388</v>
      </c>
      <c r="G92" t="s">
        <v>87</v>
      </c>
      <c r="H92" t="s">
        <v>9046</v>
      </c>
      <c r="I92" s="186">
        <v>10</v>
      </c>
      <c r="J92" t="s">
        <v>100</v>
      </c>
      <c r="K92">
        <v>135000</v>
      </c>
      <c r="L92" s="191">
        <v>44376.754143518519</v>
      </c>
    </row>
    <row r="93" spans="1:12" x14ac:dyDescent="0.3">
      <c r="A93" s="186">
        <v>3340</v>
      </c>
      <c r="B93" s="186">
        <v>0</v>
      </c>
      <c r="C93" s="186" t="s">
        <v>9047</v>
      </c>
      <c r="D93" t="s">
        <v>1387</v>
      </c>
      <c r="E93" s="186">
        <v>24513603</v>
      </c>
      <c r="F93" t="s">
        <v>1388</v>
      </c>
      <c r="G93" t="s">
        <v>87</v>
      </c>
      <c r="H93" t="s">
        <v>9047</v>
      </c>
      <c r="I93" s="186">
        <v>18</v>
      </c>
      <c r="J93" t="s">
        <v>100</v>
      </c>
      <c r="K93" s="185">
        <v>2672.47</v>
      </c>
      <c r="L93" s="191">
        <v>44378.396215277775</v>
      </c>
    </row>
    <row r="94" spans="1:12" x14ac:dyDescent="0.3">
      <c r="A94" s="186">
        <v>3311</v>
      </c>
      <c r="B94" s="186">
        <v>0</v>
      </c>
      <c r="C94" s="186" t="s">
        <v>9048</v>
      </c>
      <c r="D94" t="s">
        <v>1387</v>
      </c>
      <c r="E94" s="186">
        <v>24513603</v>
      </c>
      <c r="F94" t="s">
        <v>1388</v>
      </c>
      <c r="G94" t="s">
        <v>87</v>
      </c>
      <c r="H94" t="s">
        <v>9048</v>
      </c>
      <c r="I94" s="186">
        <v>18</v>
      </c>
      <c r="J94" t="s">
        <v>100</v>
      </c>
      <c r="K94" s="185">
        <v>38356.47</v>
      </c>
      <c r="L94" s="191">
        <v>44372.601527777777</v>
      </c>
    </row>
    <row r="95" spans="1:12" x14ac:dyDescent="0.3">
      <c r="A95" s="186">
        <v>3317</v>
      </c>
      <c r="B95" s="186">
        <v>-1</v>
      </c>
      <c r="C95" s="186" t="s">
        <v>9049</v>
      </c>
      <c r="D95" t="s">
        <v>1387</v>
      </c>
      <c r="E95" s="186">
        <v>67417418287</v>
      </c>
      <c r="F95" t="s">
        <v>1388</v>
      </c>
      <c r="G95" t="s">
        <v>87</v>
      </c>
      <c r="H95" t="s">
        <v>9049</v>
      </c>
      <c r="I95" s="186">
        <v>38</v>
      </c>
      <c r="J95" t="s">
        <v>174</v>
      </c>
      <c r="K95">
        <v>1200.01</v>
      </c>
      <c r="L95" s="191">
        <v>44375.643518518518</v>
      </c>
    </row>
    <row r="96" spans="1:12" x14ac:dyDescent="0.3">
      <c r="A96" s="186">
        <v>3318</v>
      </c>
      <c r="B96" s="186">
        <v>-1</v>
      </c>
      <c r="C96" s="186" t="s">
        <v>9050</v>
      </c>
      <c r="D96" t="s">
        <v>1387</v>
      </c>
      <c r="E96" s="186">
        <v>2026377278</v>
      </c>
      <c r="F96" t="s">
        <v>1388</v>
      </c>
      <c r="G96" t="s">
        <v>87</v>
      </c>
      <c r="H96" t="s">
        <v>9050</v>
      </c>
      <c r="I96" s="186">
        <v>38</v>
      </c>
      <c r="J96" t="s">
        <v>174</v>
      </c>
      <c r="K96" s="185">
        <v>2400</v>
      </c>
      <c r="L96" s="191">
        <v>44375.645590277774</v>
      </c>
    </row>
    <row r="97" spans="1:12" x14ac:dyDescent="0.3">
      <c r="A97" s="186">
        <v>3324</v>
      </c>
      <c r="B97" s="186">
        <v>-1</v>
      </c>
      <c r="C97" s="186" t="s">
        <v>9051</v>
      </c>
      <c r="D97" t="s">
        <v>1387</v>
      </c>
      <c r="E97" s="186">
        <v>32698402253</v>
      </c>
      <c r="F97" t="s">
        <v>1388</v>
      </c>
      <c r="G97" t="s">
        <v>87</v>
      </c>
      <c r="H97" t="s">
        <v>9051</v>
      </c>
      <c r="I97" s="186">
        <v>38</v>
      </c>
      <c r="J97" t="s">
        <v>174</v>
      </c>
      <c r="K97" s="185">
        <v>1200.01</v>
      </c>
      <c r="L97" s="191">
        <v>44376.388287037036</v>
      </c>
    </row>
    <row r="98" spans="1:12" x14ac:dyDescent="0.3">
      <c r="A98" s="186">
        <v>2196</v>
      </c>
      <c r="B98" s="186">
        <v>0</v>
      </c>
      <c r="C98" s="186" t="s">
        <v>9052</v>
      </c>
      <c r="D98" t="s">
        <v>1387</v>
      </c>
      <c r="E98" s="186">
        <v>33525025</v>
      </c>
      <c r="F98" t="s">
        <v>1388</v>
      </c>
      <c r="G98" t="s">
        <v>87</v>
      </c>
      <c r="H98" t="s">
        <v>9052</v>
      </c>
      <c r="I98" s="186">
        <v>26</v>
      </c>
      <c r="J98" t="s">
        <v>100</v>
      </c>
      <c r="K98" s="185">
        <v>15502.01</v>
      </c>
      <c r="L98" s="191">
        <v>44377.367638888885</v>
      </c>
    </row>
    <row r="99" spans="1:12" x14ac:dyDescent="0.3">
      <c r="A99" s="186">
        <v>3265</v>
      </c>
      <c r="B99" s="186">
        <v>0</v>
      </c>
      <c r="C99" s="186" t="s">
        <v>9053</v>
      </c>
      <c r="D99" t="s">
        <v>1387</v>
      </c>
      <c r="E99" s="186">
        <v>19336666</v>
      </c>
      <c r="F99" t="s">
        <v>1388</v>
      </c>
      <c r="G99" t="s">
        <v>87</v>
      </c>
      <c r="H99" t="s">
        <v>9053</v>
      </c>
      <c r="I99" s="186">
        <v>2</v>
      </c>
      <c r="J99" t="s">
        <v>100</v>
      </c>
      <c r="K99" s="185">
        <v>19390</v>
      </c>
      <c r="L99" s="191">
        <v>44365.661226851851</v>
      </c>
    </row>
    <row r="100" spans="1:12" x14ac:dyDescent="0.3">
      <c r="A100" s="186">
        <v>3306</v>
      </c>
      <c r="B100" s="186">
        <v>0</v>
      </c>
      <c r="C100" s="186" t="s">
        <v>9054</v>
      </c>
      <c r="D100" t="s">
        <v>1395</v>
      </c>
      <c r="E100" s="186">
        <v>2012862</v>
      </c>
      <c r="G100" t="s">
        <v>87</v>
      </c>
      <c r="H100" t="s">
        <v>9054</v>
      </c>
      <c r="I100" s="186">
        <v>3</v>
      </c>
      <c r="J100" t="s">
        <v>100</v>
      </c>
      <c r="K100" s="185">
        <v>9954.42</v>
      </c>
      <c r="L100" s="191">
        <v>44371.644837962966</v>
      </c>
    </row>
    <row r="101" spans="1:12" x14ac:dyDescent="0.3">
      <c r="A101" s="186">
        <v>3308</v>
      </c>
      <c r="B101" s="186">
        <v>0</v>
      </c>
      <c r="C101" s="186" t="s">
        <v>9055</v>
      </c>
      <c r="D101" t="s">
        <v>1387</v>
      </c>
      <c r="E101" s="186">
        <v>31797102</v>
      </c>
      <c r="F101" t="s">
        <v>1388</v>
      </c>
      <c r="G101" t="s">
        <v>87</v>
      </c>
      <c r="H101" t="s">
        <v>9055</v>
      </c>
      <c r="I101" s="186">
        <v>9</v>
      </c>
      <c r="J101" t="s">
        <v>100</v>
      </c>
      <c r="K101">
        <v>24388.27</v>
      </c>
      <c r="L101" s="191">
        <v>44372.354224537034</v>
      </c>
    </row>
    <row r="102" spans="1:12" x14ac:dyDescent="0.3">
      <c r="A102" s="186">
        <v>2194</v>
      </c>
      <c r="B102" s="186">
        <v>18</v>
      </c>
      <c r="C102" s="186" t="s">
        <v>9056</v>
      </c>
      <c r="D102" t="s">
        <v>1387</v>
      </c>
      <c r="E102" s="186">
        <v>26242107</v>
      </c>
      <c r="F102" t="s">
        <v>1388</v>
      </c>
      <c r="G102" t="s">
        <v>87</v>
      </c>
      <c r="H102" t="s">
        <v>9056</v>
      </c>
      <c r="I102" s="186">
        <v>3</v>
      </c>
      <c r="J102" t="s">
        <v>112</v>
      </c>
      <c r="K102" s="185">
        <v>63801.9</v>
      </c>
      <c r="L102" s="191">
        <v>44375.744039351855</v>
      </c>
    </row>
    <row r="103" spans="1:12" x14ac:dyDescent="0.3">
      <c r="A103" s="186">
        <v>2197</v>
      </c>
      <c r="B103" s="186">
        <v>0</v>
      </c>
      <c r="C103" s="186" t="s">
        <v>9057</v>
      </c>
      <c r="D103" t="s">
        <v>1387</v>
      </c>
      <c r="E103" s="186">
        <v>33474351</v>
      </c>
      <c r="F103" t="s">
        <v>1388</v>
      </c>
      <c r="G103" t="s">
        <v>87</v>
      </c>
      <c r="H103" t="s">
        <v>9057</v>
      </c>
      <c r="I103" s="186">
        <v>26</v>
      </c>
      <c r="J103" t="s">
        <v>100</v>
      </c>
      <c r="K103" s="185">
        <v>15476.01</v>
      </c>
      <c r="L103" s="191">
        <v>44377.378518518519</v>
      </c>
    </row>
    <row r="104" spans="1:12" x14ac:dyDescent="0.3">
      <c r="A104" s="186">
        <v>2198</v>
      </c>
      <c r="B104" s="186">
        <v>0</v>
      </c>
      <c r="C104" s="186" t="s">
        <v>9058</v>
      </c>
      <c r="D104" t="s">
        <v>1387</v>
      </c>
      <c r="E104" s="186">
        <v>32523587</v>
      </c>
      <c r="F104" t="s">
        <v>1388</v>
      </c>
      <c r="G104" t="s">
        <v>87</v>
      </c>
      <c r="H104" t="s">
        <v>9058</v>
      </c>
      <c r="I104" s="186">
        <v>26</v>
      </c>
      <c r="J104" t="s">
        <v>100</v>
      </c>
      <c r="K104" s="185">
        <v>16152.01</v>
      </c>
      <c r="L104" s="191">
        <v>44377.380254629628</v>
      </c>
    </row>
    <row r="105" spans="1:12" x14ac:dyDescent="0.3">
      <c r="A105" s="186">
        <v>3276</v>
      </c>
      <c r="B105" s="186">
        <v>0</v>
      </c>
      <c r="C105" s="186" t="s">
        <v>9059</v>
      </c>
      <c r="D105" t="s">
        <v>1387</v>
      </c>
      <c r="E105" s="186">
        <v>17445321</v>
      </c>
      <c r="F105" t="s">
        <v>1388</v>
      </c>
      <c r="G105" t="s">
        <v>87</v>
      </c>
      <c r="H105" t="s">
        <v>9059</v>
      </c>
      <c r="I105" s="186">
        <v>3</v>
      </c>
      <c r="J105" t="s">
        <v>100</v>
      </c>
      <c r="K105" s="185">
        <v>34333.67</v>
      </c>
      <c r="L105" s="191">
        <v>44368.539699074077</v>
      </c>
    </row>
    <row r="106" spans="1:12" x14ac:dyDescent="0.3">
      <c r="A106" s="186">
        <v>3278</v>
      </c>
      <c r="B106" s="186">
        <v>0</v>
      </c>
      <c r="C106" s="186" t="s">
        <v>9060</v>
      </c>
      <c r="D106" t="s">
        <v>1387</v>
      </c>
      <c r="E106" s="186">
        <v>38309519</v>
      </c>
      <c r="F106" t="s">
        <v>1388</v>
      </c>
      <c r="G106" t="s">
        <v>87</v>
      </c>
      <c r="H106" t="s">
        <v>9060</v>
      </c>
      <c r="I106" s="186">
        <v>2</v>
      </c>
      <c r="J106" t="s">
        <v>100</v>
      </c>
      <c r="K106" s="185">
        <v>20000</v>
      </c>
      <c r="L106" s="191">
        <v>44368.700682870367</v>
      </c>
    </row>
    <row r="107" spans="1:12" x14ac:dyDescent="0.3">
      <c r="A107" s="186">
        <v>3315</v>
      </c>
      <c r="B107" s="186">
        <v>0</v>
      </c>
      <c r="C107" s="186" t="s">
        <v>9061</v>
      </c>
      <c r="D107" t="s">
        <v>1387</v>
      </c>
      <c r="E107" s="186">
        <v>27742001</v>
      </c>
      <c r="F107" t="s">
        <v>1388</v>
      </c>
      <c r="G107" t="s">
        <v>87</v>
      </c>
      <c r="H107" t="s">
        <v>9061</v>
      </c>
      <c r="I107" s="186">
        <v>10</v>
      </c>
      <c r="J107" t="s">
        <v>100</v>
      </c>
      <c r="K107" s="185">
        <v>230000</v>
      </c>
      <c r="L107" s="191">
        <v>44375.567314814813</v>
      </c>
    </row>
    <row r="108" spans="1:12" x14ac:dyDescent="0.3">
      <c r="A108" s="186">
        <v>3322</v>
      </c>
      <c r="B108" s="186">
        <v>0</v>
      </c>
      <c r="C108" s="186" t="s">
        <v>9062</v>
      </c>
      <c r="D108" t="s">
        <v>1387</v>
      </c>
      <c r="E108" s="186">
        <v>1246104</v>
      </c>
      <c r="F108" t="s">
        <v>1388</v>
      </c>
      <c r="G108" t="s">
        <v>87</v>
      </c>
      <c r="H108" t="s">
        <v>9062</v>
      </c>
      <c r="I108" s="186">
        <v>24</v>
      </c>
      <c r="J108" t="s">
        <v>100</v>
      </c>
      <c r="K108" s="185">
        <v>18284.91</v>
      </c>
      <c r="L108" s="191">
        <v>44375.707233796296</v>
      </c>
    </row>
    <row r="109" spans="1:12" x14ac:dyDescent="0.3">
      <c r="A109" s="186">
        <v>3334</v>
      </c>
      <c r="B109" s="186">
        <v>0</v>
      </c>
      <c r="C109" s="186" t="s">
        <v>9063</v>
      </c>
      <c r="D109" t="s">
        <v>1387</v>
      </c>
      <c r="E109" s="186">
        <v>3460975</v>
      </c>
      <c r="F109" t="s">
        <v>1388</v>
      </c>
      <c r="G109" t="s">
        <v>87</v>
      </c>
      <c r="H109" t="s">
        <v>9063</v>
      </c>
      <c r="I109" s="186">
        <v>38</v>
      </c>
      <c r="J109" t="s">
        <v>100</v>
      </c>
      <c r="K109" s="185">
        <v>52498.68</v>
      </c>
      <c r="L109" s="191">
        <v>44377.509814814817</v>
      </c>
    </row>
    <row r="110" spans="1:12" x14ac:dyDescent="0.3">
      <c r="A110" s="186">
        <v>3259</v>
      </c>
      <c r="B110" s="186">
        <v>0</v>
      </c>
      <c r="C110" s="186" t="s">
        <v>9064</v>
      </c>
      <c r="D110" t="s">
        <v>1387</v>
      </c>
      <c r="E110" s="186">
        <v>5642273</v>
      </c>
      <c r="F110" t="s">
        <v>1388</v>
      </c>
      <c r="G110" t="s">
        <v>87</v>
      </c>
      <c r="H110" t="s">
        <v>9064</v>
      </c>
      <c r="I110" s="186">
        <v>10</v>
      </c>
      <c r="J110" t="s">
        <v>100</v>
      </c>
      <c r="K110" s="185">
        <v>347796.95</v>
      </c>
      <c r="L110" s="191">
        <v>44365.477905092594</v>
      </c>
    </row>
    <row r="111" spans="1:12" x14ac:dyDescent="0.3">
      <c r="A111" s="186">
        <v>3268</v>
      </c>
      <c r="B111" s="186">
        <v>0</v>
      </c>
      <c r="C111" s="186" t="s">
        <v>9065</v>
      </c>
      <c r="D111" t="s">
        <v>1395</v>
      </c>
      <c r="E111" s="186">
        <v>27338689</v>
      </c>
      <c r="G111" t="s">
        <v>113</v>
      </c>
      <c r="H111" t="s">
        <v>9065</v>
      </c>
      <c r="I111" s="186">
        <v>42</v>
      </c>
      <c r="J111" t="s">
        <v>100</v>
      </c>
      <c r="K111" s="185">
        <v>63622</v>
      </c>
      <c r="L111" s="191">
        <v>44365.910740740743</v>
      </c>
    </row>
    <row r="112" spans="1:12" x14ac:dyDescent="0.3">
      <c r="A112" s="186">
        <v>3283</v>
      </c>
      <c r="B112" s="186" t="s">
        <v>1398</v>
      </c>
      <c r="C112" s="186" t="s">
        <v>9066</v>
      </c>
      <c r="D112" t="s">
        <v>1387</v>
      </c>
      <c r="E112" s="186">
        <v>5642273</v>
      </c>
      <c r="F112" t="s">
        <v>1388</v>
      </c>
      <c r="G112" t="s">
        <v>87</v>
      </c>
      <c r="H112" t="s">
        <v>9066</v>
      </c>
      <c r="I112" s="186">
        <v>10</v>
      </c>
      <c r="J112" t="s">
        <v>1399</v>
      </c>
      <c r="K112">
        <v>207978.92</v>
      </c>
      <c r="L112" s="191">
        <v>44369.426076388889</v>
      </c>
    </row>
    <row r="113" spans="1:12" x14ac:dyDescent="0.3">
      <c r="A113" s="186">
        <v>3305</v>
      </c>
      <c r="B113" s="186">
        <v>0</v>
      </c>
      <c r="C113" s="186" t="s">
        <v>9067</v>
      </c>
      <c r="D113" t="s">
        <v>1395</v>
      </c>
      <c r="E113" s="186">
        <v>11476506</v>
      </c>
      <c r="G113" t="s">
        <v>87</v>
      </c>
      <c r="H113" t="s">
        <v>9067</v>
      </c>
      <c r="I113" s="186">
        <v>3</v>
      </c>
      <c r="J113" t="s">
        <v>100</v>
      </c>
      <c r="K113" s="185">
        <v>34043.56</v>
      </c>
      <c r="L113" s="191">
        <v>44371.638171296298</v>
      </c>
    </row>
    <row r="114" spans="1:12" x14ac:dyDescent="0.3">
      <c r="A114" s="186">
        <v>3339</v>
      </c>
      <c r="B114" s="186">
        <v>0</v>
      </c>
      <c r="C114" s="186" t="s">
        <v>9068</v>
      </c>
      <c r="D114" t="s">
        <v>1387</v>
      </c>
      <c r="E114" s="186">
        <v>64560341249</v>
      </c>
      <c r="F114" t="s">
        <v>1388</v>
      </c>
      <c r="G114" t="s">
        <v>87</v>
      </c>
      <c r="H114" t="s">
        <v>9068</v>
      </c>
      <c r="I114" s="186">
        <v>10</v>
      </c>
      <c r="J114" t="s">
        <v>100</v>
      </c>
      <c r="K114" s="185">
        <v>230000</v>
      </c>
      <c r="L114" s="191">
        <v>44378.383356481485</v>
      </c>
    </row>
    <row r="115" spans="1:12" x14ac:dyDescent="0.3">
      <c r="A115" s="186">
        <v>3261</v>
      </c>
      <c r="B115" s="186">
        <v>-1</v>
      </c>
      <c r="C115" s="186" t="s">
        <v>9069</v>
      </c>
      <c r="D115" t="s">
        <v>1387</v>
      </c>
      <c r="E115" s="186">
        <v>67417418287</v>
      </c>
      <c r="F115" t="s">
        <v>1388</v>
      </c>
      <c r="G115" t="s">
        <v>87</v>
      </c>
      <c r="H115" t="s">
        <v>9069</v>
      </c>
      <c r="I115" s="186">
        <v>38</v>
      </c>
      <c r="J115" t="s">
        <v>174</v>
      </c>
      <c r="K115" s="185">
        <v>4800</v>
      </c>
      <c r="L115" s="191">
        <v>44365.550671296296</v>
      </c>
    </row>
    <row r="116" spans="1:12" x14ac:dyDescent="0.3">
      <c r="A116" s="186">
        <v>3262</v>
      </c>
      <c r="B116" s="186">
        <v>-1</v>
      </c>
      <c r="C116" s="186" t="s">
        <v>9070</v>
      </c>
      <c r="D116" t="s">
        <v>1387</v>
      </c>
      <c r="E116" s="186">
        <v>1040144233</v>
      </c>
      <c r="F116" t="s">
        <v>1388</v>
      </c>
      <c r="G116" t="s">
        <v>87</v>
      </c>
      <c r="H116" t="s">
        <v>9070</v>
      </c>
      <c r="I116" s="186">
        <v>38</v>
      </c>
      <c r="J116" t="s">
        <v>174</v>
      </c>
      <c r="K116" s="185">
        <v>3600.01</v>
      </c>
      <c r="L116" s="191">
        <v>44365.55395833333</v>
      </c>
    </row>
    <row r="117" spans="1:12" x14ac:dyDescent="0.3">
      <c r="A117" s="186">
        <v>3263</v>
      </c>
      <c r="B117" s="186">
        <v>-1</v>
      </c>
      <c r="C117" s="186" t="s">
        <v>9071</v>
      </c>
      <c r="D117" t="s">
        <v>1387</v>
      </c>
      <c r="E117" s="186">
        <v>1040144233</v>
      </c>
      <c r="F117" t="s">
        <v>1388</v>
      </c>
      <c r="G117" t="s">
        <v>87</v>
      </c>
      <c r="H117" t="s">
        <v>9071</v>
      </c>
      <c r="I117" s="186">
        <v>38</v>
      </c>
      <c r="J117" t="s">
        <v>174</v>
      </c>
      <c r="K117" s="185">
        <v>2400</v>
      </c>
      <c r="L117" s="191">
        <v>44365.557083333333</v>
      </c>
    </row>
    <row r="118" spans="1:12" x14ac:dyDescent="0.3">
      <c r="A118" s="186">
        <v>3264</v>
      </c>
      <c r="B118" s="186">
        <v>0</v>
      </c>
      <c r="C118" s="186" t="s">
        <v>9072</v>
      </c>
      <c r="D118" t="s">
        <v>1395</v>
      </c>
      <c r="E118" s="186">
        <v>38309519</v>
      </c>
      <c r="G118" t="s">
        <v>87</v>
      </c>
      <c r="H118" t="s">
        <v>9072</v>
      </c>
      <c r="I118" s="186">
        <v>3</v>
      </c>
      <c r="J118" t="s">
        <v>100</v>
      </c>
      <c r="K118" s="185">
        <v>20000</v>
      </c>
      <c r="L118" s="191">
        <v>44365.637523148151</v>
      </c>
    </row>
    <row r="119" spans="1:12" x14ac:dyDescent="0.3">
      <c r="A119" s="186">
        <v>3286</v>
      </c>
      <c r="B119" s="186">
        <v>-1</v>
      </c>
      <c r="C119" s="186" t="s">
        <v>9073</v>
      </c>
      <c r="D119" t="s">
        <v>1387</v>
      </c>
      <c r="E119" s="186">
        <v>67417418287</v>
      </c>
      <c r="F119" t="s">
        <v>1388</v>
      </c>
      <c r="G119" t="s">
        <v>87</v>
      </c>
      <c r="H119" t="s">
        <v>9073</v>
      </c>
      <c r="I119" s="186">
        <v>38</v>
      </c>
      <c r="J119" t="s">
        <v>174</v>
      </c>
      <c r="K119" s="185">
        <v>1200.01</v>
      </c>
      <c r="L119" s="191">
        <v>44369.687465277777</v>
      </c>
    </row>
    <row r="120" spans="1:12" x14ac:dyDescent="0.3">
      <c r="A120" s="186">
        <v>3291</v>
      </c>
      <c r="B120" s="186">
        <v>0</v>
      </c>
      <c r="C120" s="186" t="s">
        <v>9074</v>
      </c>
      <c r="D120" t="s">
        <v>1387</v>
      </c>
      <c r="E120" s="186">
        <v>19336666</v>
      </c>
      <c r="F120" t="s">
        <v>1388</v>
      </c>
      <c r="G120" t="s">
        <v>87</v>
      </c>
      <c r="H120" t="s">
        <v>9074</v>
      </c>
      <c r="I120" s="186">
        <v>2</v>
      </c>
      <c r="J120" t="s">
        <v>100</v>
      </c>
      <c r="K120" s="185">
        <v>76700</v>
      </c>
      <c r="L120" s="191">
        <v>44369.743460648147</v>
      </c>
    </row>
    <row r="121" spans="1:12" x14ac:dyDescent="0.3">
      <c r="A121" s="186">
        <v>3343</v>
      </c>
      <c r="B121" s="186">
        <v>0</v>
      </c>
      <c r="C121" s="186" t="s">
        <v>9075</v>
      </c>
      <c r="D121" t="s">
        <v>1387</v>
      </c>
      <c r="E121" s="186">
        <v>75911438</v>
      </c>
      <c r="F121" t="s">
        <v>1388</v>
      </c>
      <c r="G121" t="s">
        <v>87</v>
      </c>
      <c r="H121" t="s">
        <v>9075</v>
      </c>
      <c r="I121" s="186">
        <v>10</v>
      </c>
      <c r="J121" t="s">
        <v>100</v>
      </c>
      <c r="K121" s="185">
        <v>150000</v>
      </c>
      <c r="L121" s="191">
        <v>44378.635625000003</v>
      </c>
    </row>
    <row r="122" spans="1:12" x14ac:dyDescent="0.3">
      <c r="A122" s="186">
        <v>3364</v>
      </c>
      <c r="B122" s="186" t="s">
        <v>195</v>
      </c>
      <c r="C122" s="186" t="s">
        <v>9076</v>
      </c>
      <c r="D122" t="s">
        <v>1387</v>
      </c>
      <c r="E122" s="186">
        <v>3460975</v>
      </c>
      <c r="F122" t="s">
        <v>1388</v>
      </c>
      <c r="G122" t="s">
        <v>87</v>
      </c>
      <c r="H122" t="s">
        <v>9076</v>
      </c>
      <c r="I122" s="186">
        <v>38</v>
      </c>
      <c r="J122" t="s">
        <v>196</v>
      </c>
      <c r="K122" s="185">
        <v>52498.68</v>
      </c>
      <c r="L122" s="191">
        <v>44383.766921296294</v>
      </c>
    </row>
    <row r="123" spans="1:12" x14ac:dyDescent="0.3">
      <c r="A123" s="186">
        <v>2219</v>
      </c>
      <c r="B123" s="186">
        <v>-1</v>
      </c>
      <c r="C123" s="186" t="s">
        <v>9077</v>
      </c>
      <c r="D123" t="s">
        <v>1387</v>
      </c>
      <c r="E123" s="186">
        <v>14530774</v>
      </c>
      <c r="F123" t="s">
        <v>1388</v>
      </c>
      <c r="G123" t="s">
        <v>87</v>
      </c>
      <c r="H123" t="s">
        <v>9077</v>
      </c>
      <c r="I123" s="186">
        <v>3</v>
      </c>
      <c r="J123" t="s">
        <v>174</v>
      </c>
      <c r="K123" s="185">
        <v>42538.400000000001</v>
      </c>
      <c r="L123" s="191">
        <v>44390.497928240744</v>
      </c>
    </row>
    <row r="124" spans="1:12" x14ac:dyDescent="0.3">
      <c r="A124" s="186">
        <v>2204</v>
      </c>
      <c r="B124" s="186">
        <v>13058</v>
      </c>
      <c r="C124" s="186" t="s">
        <v>9078</v>
      </c>
      <c r="D124" t="s">
        <v>1387</v>
      </c>
      <c r="E124" s="186">
        <v>26242107</v>
      </c>
      <c r="F124" t="s">
        <v>1388</v>
      </c>
      <c r="G124" t="s">
        <v>87</v>
      </c>
      <c r="H124" t="s">
        <v>9078</v>
      </c>
      <c r="I124" s="186">
        <v>3</v>
      </c>
      <c r="J124" t="s">
        <v>1360</v>
      </c>
      <c r="K124">
        <v>16000</v>
      </c>
      <c r="L124" s="191">
        <v>44382.517222222225</v>
      </c>
    </row>
    <row r="125" spans="1:12" x14ac:dyDescent="0.3">
      <c r="A125" s="186">
        <v>2221</v>
      </c>
      <c r="B125" s="186">
        <v>5</v>
      </c>
      <c r="C125" s="186" t="s">
        <v>9079</v>
      </c>
      <c r="D125" t="s">
        <v>1387</v>
      </c>
      <c r="E125" s="186">
        <v>22060255</v>
      </c>
      <c r="F125" t="s">
        <v>1388</v>
      </c>
      <c r="G125" t="s">
        <v>87</v>
      </c>
      <c r="H125" t="s">
        <v>9079</v>
      </c>
      <c r="I125" s="186">
        <v>18</v>
      </c>
      <c r="J125" t="s">
        <v>129</v>
      </c>
      <c r="K125">
        <v>30980.65</v>
      </c>
      <c r="L125" s="191">
        <v>44392.389224537037</v>
      </c>
    </row>
    <row r="126" spans="1:12" x14ac:dyDescent="0.3">
      <c r="A126" s="186">
        <v>3351</v>
      </c>
      <c r="B126" s="186">
        <v>0</v>
      </c>
      <c r="C126" s="186" t="s">
        <v>9080</v>
      </c>
      <c r="D126" t="s">
        <v>1395</v>
      </c>
      <c r="E126" s="186">
        <v>39750147</v>
      </c>
      <c r="G126" t="s">
        <v>113</v>
      </c>
      <c r="H126" t="s">
        <v>9080</v>
      </c>
      <c r="I126" s="186">
        <v>19</v>
      </c>
      <c r="J126" t="s">
        <v>100</v>
      </c>
      <c r="K126" s="185">
        <v>66542.64</v>
      </c>
      <c r="L126" s="191">
        <v>44382.361921296295</v>
      </c>
    </row>
    <row r="127" spans="1:12" x14ac:dyDescent="0.3">
      <c r="A127" s="186">
        <v>2224</v>
      </c>
      <c r="B127" s="186">
        <v>30</v>
      </c>
      <c r="C127" s="186" t="s">
        <v>9081</v>
      </c>
      <c r="D127" t="s">
        <v>1387</v>
      </c>
      <c r="E127" s="186">
        <v>15063096</v>
      </c>
      <c r="F127" t="s">
        <v>1388</v>
      </c>
      <c r="G127" t="s">
        <v>87</v>
      </c>
      <c r="H127" t="s">
        <v>9081</v>
      </c>
      <c r="I127" s="186">
        <v>3</v>
      </c>
      <c r="J127" t="s">
        <v>103</v>
      </c>
      <c r="K127" s="185">
        <v>12583</v>
      </c>
      <c r="L127" s="191">
        <v>44396.491539351853</v>
      </c>
    </row>
    <row r="128" spans="1:12" x14ac:dyDescent="0.3">
      <c r="A128" s="186">
        <v>3367</v>
      </c>
      <c r="B128" s="186" t="s">
        <v>1425</v>
      </c>
      <c r="C128" s="186" t="s">
        <v>9082</v>
      </c>
      <c r="D128" t="s">
        <v>1387</v>
      </c>
      <c r="E128" s="186">
        <v>4784802</v>
      </c>
      <c r="F128" t="s">
        <v>1388</v>
      </c>
      <c r="G128" t="s">
        <v>87</v>
      </c>
      <c r="H128" t="s">
        <v>9082</v>
      </c>
      <c r="I128" s="186">
        <v>9</v>
      </c>
      <c r="J128" t="s">
        <v>1426</v>
      </c>
      <c r="K128" s="185">
        <v>30720</v>
      </c>
      <c r="L128" s="191">
        <v>44384.903703703705</v>
      </c>
    </row>
    <row r="129" spans="1:12" x14ac:dyDescent="0.3">
      <c r="A129" s="186">
        <v>3371</v>
      </c>
      <c r="B129" s="186">
        <v>0</v>
      </c>
      <c r="C129" s="186" t="s">
        <v>9083</v>
      </c>
      <c r="D129" t="s">
        <v>1395</v>
      </c>
      <c r="E129" s="186">
        <v>7850991</v>
      </c>
      <c r="G129" t="s">
        <v>87</v>
      </c>
      <c r="H129" t="s">
        <v>9083</v>
      </c>
      <c r="I129" s="186">
        <v>9</v>
      </c>
      <c r="J129" t="s">
        <v>100</v>
      </c>
      <c r="K129" s="185">
        <v>260803.20000000001</v>
      </c>
      <c r="L129" s="191">
        <v>44385.731365740743</v>
      </c>
    </row>
    <row r="130" spans="1:12" x14ac:dyDescent="0.3">
      <c r="A130" s="186">
        <v>4109</v>
      </c>
      <c r="B130" s="186">
        <v>70</v>
      </c>
      <c r="C130" s="186" t="s">
        <v>9084</v>
      </c>
      <c r="D130" t="s">
        <v>1387</v>
      </c>
      <c r="E130" s="186">
        <v>17227422</v>
      </c>
      <c r="F130" t="s">
        <v>1388</v>
      </c>
      <c r="G130" t="s">
        <v>87</v>
      </c>
      <c r="H130" t="s">
        <v>9084</v>
      </c>
      <c r="I130" s="186">
        <v>3</v>
      </c>
      <c r="J130" t="s">
        <v>200</v>
      </c>
      <c r="K130" s="185">
        <v>16126.77</v>
      </c>
      <c r="L130" s="191">
        <v>44390.536261574074</v>
      </c>
    </row>
    <row r="131" spans="1:12" x14ac:dyDescent="0.3">
      <c r="A131" s="186">
        <v>2212</v>
      </c>
      <c r="B131" s="186">
        <v>0</v>
      </c>
      <c r="C131" s="186" t="s">
        <v>9085</v>
      </c>
      <c r="D131" t="s">
        <v>1387</v>
      </c>
      <c r="E131" s="186">
        <v>42532601</v>
      </c>
      <c r="F131" t="s">
        <v>1388</v>
      </c>
      <c r="G131" t="s">
        <v>87</v>
      </c>
      <c r="H131" t="s">
        <v>9085</v>
      </c>
      <c r="I131" s="186">
        <v>3</v>
      </c>
      <c r="J131" t="s">
        <v>100</v>
      </c>
      <c r="K131" s="185">
        <v>18476.41</v>
      </c>
      <c r="L131" s="191">
        <v>44384.626261574071</v>
      </c>
    </row>
    <row r="132" spans="1:12" x14ac:dyDescent="0.3">
      <c r="A132" s="186">
        <v>2229</v>
      </c>
      <c r="B132" s="186">
        <v>0</v>
      </c>
      <c r="C132" s="186" t="s">
        <v>9086</v>
      </c>
      <c r="D132" t="s">
        <v>1387</v>
      </c>
      <c r="E132" s="186">
        <v>7605563</v>
      </c>
      <c r="F132" t="s">
        <v>1388</v>
      </c>
      <c r="G132" t="s">
        <v>87</v>
      </c>
      <c r="H132" t="s">
        <v>9086</v>
      </c>
      <c r="I132" s="186">
        <v>10</v>
      </c>
      <c r="J132" t="s">
        <v>100</v>
      </c>
      <c r="K132" s="185">
        <v>59797.2</v>
      </c>
      <c r="L132" s="191">
        <v>44397.735046296293</v>
      </c>
    </row>
    <row r="133" spans="1:12" x14ac:dyDescent="0.3">
      <c r="A133" s="186">
        <v>3390</v>
      </c>
      <c r="B133" s="186">
        <v>0</v>
      </c>
      <c r="C133" s="186" t="s">
        <v>9087</v>
      </c>
      <c r="D133" t="s">
        <v>1395</v>
      </c>
      <c r="E133" s="186">
        <v>27536978847</v>
      </c>
      <c r="G133" t="s">
        <v>113</v>
      </c>
      <c r="H133" t="s">
        <v>9087</v>
      </c>
      <c r="I133" s="186">
        <v>24</v>
      </c>
      <c r="J133" t="s">
        <v>100</v>
      </c>
      <c r="K133" s="185">
        <v>40208.03</v>
      </c>
      <c r="L133" s="191">
        <v>44391.433310185188</v>
      </c>
    </row>
    <row r="134" spans="1:12" x14ac:dyDescent="0.3">
      <c r="A134" s="186">
        <v>3432</v>
      </c>
      <c r="B134" s="186">
        <v>0</v>
      </c>
      <c r="C134" s="186" t="s">
        <v>9088</v>
      </c>
      <c r="D134" t="s">
        <v>1387</v>
      </c>
      <c r="E134" s="186">
        <v>31797102</v>
      </c>
      <c r="F134" t="s">
        <v>1388</v>
      </c>
      <c r="G134" t="s">
        <v>87</v>
      </c>
      <c r="H134" t="s">
        <v>9088</v>
      </c>
      <c r="I134" s="186">
        <v>9</v>
      </c>
      <c r="J134" t="s">
        <v>100</v>
      </c>
      <c r="K134" s="185">
        <v>24426.44</v>
      </c>
      <c r="L134" s="191">
        <v>44400.376423611109</v>
      </c>
    </row>
    <row r="135" spans="1:12" x14ac:dyDescent="0.3">
      <c r="A135" s="186">
        <v>2233</v>
      </c>
      <c r="B135" s="186">
        <v>5</v>
      </c>
      <c r="C135" s="186" t="s">
        <v>9089</v>
      </c>
      <c r="D135" t="s">
        <v>1387</v>
      </c>
      <c r="E135" s="186">
        <v>28390586</v>
      </c>
      <c r="F135" t="s">
        <v>1388</v>
      </c>
      <c r="G135" t="s">
        <v>87</v>
      </c>
      <c r="H135" t="s">
        <v>9089</v>
      </c>
      <c r="I135" s="186">
        <v>43</v>
      </c>
      <c r="J135" t="s">
        <v>129</v>
      </c>
      <c r="K135" s="185">
        <v>10800</v>
      </c>
      <c r="L135" s="191">
        <v>44400.465266203704</v>
      </c>
    </row>
    <row r="136" spans="1:12" x14ac:dyDescent="0.3">
      <c r="A136" s="186">
        <v>2215</v>
      </c>
      <c r="B136" s="186">
        <v>-1</v>
      </c>
      <c r="C136" s="186" t="s">
        <v>9090</v>
      </c>
      <c r="D136" t="s">
        <v>1387</v>
      </c>
      <c r="E136" s="186">
        <v>15063096</v>
      </c>
      <c r="F136" t="s">
        <v>1388</v>
      </c>
      <c r="G136" t="s">
        <v>87</v>
      </c>
      <c r="H136" t="s">
        <v>9090</v>
      </c>
      <c r="I136" s="186">
        <v>3</v>
      </c>
      <c r="J136" t="s">
        <v>174</v>
      </c>
      <c r="K136" s="185">
        <v>13383</v>
      </c>
      <c r="L136" s="191">
        <v>44385.416018518517</v>
      </c>
    </row>
    <row r="137" spans="1:12" x14ac:dyDescent="0.3">
      <c r="A137" s="186">
        <v>3434</v>
      </c>
      <c r="B137" s="186">
        <v>0</v>
      </c>
      <c r="C137" s="186" t="s">
        <v>9091</v>
      </c>
      <c r="D137" t="s">
        <v>1387</v>
      </c>
      <c r="E137" s="186">
        <v>15482315</v>
      </c>
      <c r="F137" t="s">
        <v>1388</v>
      </c>
      <c r="G137" t="s">
        <v>87</v>
      </c>
      <c r="H137" t="s">
        <v>9091</v>
      </c>
      <c r="I137" s="186">
        <v>10</v>
      </c>
      <c r="J137" t="s">
        <v>100</v>
      </c>
      <c r="K137" s="185">
        <v>580000</v>
      </c>
      <c r="L137" s="191">
        <v>44400.571597222224</v>
      </c>
    </row>
    <row r="138" spans="1:12" x14ac:dyDescent="0.3">
      <c r="A138" s="186">
        <v>3379</v>
      </c>
      <c r="B138" s="186">
        <v>30</v>
      </c>
      <c r="C138" s="186" t="s">
        <v>9092</v>
      </c>
      <c r="D138" t="s">
        <v>1387</v>
      </c>
      <c r="E138" s="186">
        <v>2336124</v>
      </c>
      <c r="F138" t="s">
        <v>1388</v>
      </c>
      <c r="G138" t="s">
        <v>87</v>
      </c>
      <c r="H138" t="s">
        <v>9092</v>
      </c>
      <c r="I138" s="186">
        <v>10</v>
      </c>
      <c r="J138" t="s">
        <v>103</v>
      </c>
      <c r="K138" s="185">
        <v>25482.54</v>
      </c>
      <c r="L138" s="191">
        <v>44389.584363425929</v>
      </c>
    </row>
    <row r="139" spans="1:12" x14ac:dyDescent="0.3">
      <c r="A139" s="186">
        <v>3386</v>
      </c>
      <c r="B139" s="186">
        <v>0</v>
      </c>
      <c r="C139" s="186" t="s">
        <v>9093</v>
      </c>
      <c r="D139" t="s">
        <v>1395</v>
      </c>
      <c r="E139" s="186">
        <v>3245959648</v>
      </c>
      <c r="G139" t="s">
        <v>113</v>
      </c>
      <c r="H139" t="s">
        <v>9093</v>
      </c>
      <c r="I139" s="186">
        <v>3</v>
      </c>
      <c r="J139" t="s">
        <v>100</v>
      </c>
      <c r="K139" s="185">
        <v>22470.87</v>
      </c>
      <c r="L139" s="191">
        <v>44390.602789351855</v>
      </c>
    </row>
    <row r="140" spans="1:12" x14ac:dyDescent="0.3">
      <c r="A140" s="186">
        <v>3397</v>
      </c>
      <c r="B140" s="186">
        <v>0</v>
      </c>
      <c r="C140" s="186" t="s">
        <v>9094</v>
      </c>
      <c r="D140" t="s">
        <v>1387</v>
      </c>
      <c r="E140" s="186">
        <v>19336666</v>
      </c>
      <c r="F140" t="s">
        <v>1388</v>
      </c>
      <c r="G140" t="s">
        <v>87</v>
      </c>
      <c r="H140" t="s">
        <v>9094</v>
      </c>
      <c r="I140" s="186">
        <v>2</v>
      </c>
      <c r="J140" t="s">
        <v>100</v>
      </c>
      <c r="K140" s="185">
        <v>15410</v>
      </c>
      <c r="L140" s="191">
        <v>44391.602199074077</v>
      </c>
    </row>
    <row r="141" spans="1:12" x14ac:dyDescent="0.3">
      <c r="A141" s="186">
        <v>3404</v>
      </c>
      <c r="B141" s="186">
        <v>0</v>
      </c>
      <c r="C141" s="186" t="s">
        <v>9095</v>
      </c>
      <c r="D141" t="s">
        <v>1387</v>
      </c>
      <c r="E141" s="186">
        <v>27121672</v>
      </c>
      <c r="F141" t="s">
        <v>1388</v>
      </c>
      <c r="G141" t="s">
        <v>87</v>
      </c>
      <c r="H141" t="s">
        <v>9095</v>
      </c>
      <c r="I141" s="186">
        <v>10</v>
      </c>
      <c r="J141" t="s">
        <v>100</v>
      </c>
      <c r="K141" s="185">
        <v>48218.21</v>
      </c>
      <c r="L141" s="191">
        <v>44392.447083333333</v>
      </c>
    </row>
    <row r="142" spans="1:12" x14ac:dyDescent="0.3">
      <c r="A142" s="186">
        <v>3430</v>
      </c>
      <c r="B142" s="186">
        <v>-1</v>
      </c>
      <c r="C142" s="186" t="s">
        <v>9096</v>
      </c>
      <c r="D142" t="s">
        <v>1387</v>
      </c>
      <c r="E142" s="186">
        <v>10697573</v>
      </c>
      <c r="F142" t="s">
        <v>1388</v>
      </c>
      <c r="G142" t="s">
        <v>87</v>
      </c>
      <c r="H142" t="s">
        <v>9096</v>
      </c>
      <c r="I142" s="186">
        <v>3</v>
      </c>
      <c r="J142" t="s">
        <v>174</v>
      </c>
      <c r="K142" s="185">
        <v>76883.83</v>
      </c>
      <c r="L142" s="191">
        <v>44399.550023148149</v>
      </c>
    </row>
    <row r="143" spans="1:12" x14ac:dyDescent="0.3">
      <c r="A143" s="186">
        <v>2236</v>
      </c>
      <c r="B143" s="186">
        <v>-1</v>
      </c>
      <c r="C143" s="186" t="s">
        <v>9097</v>
      </c>
      <c r="D143" t="s">
        <v>1387</v>
      </c>
      <c r="E143" s="186">
        <v>14530774</v>
      </c>
      <c r="F143" t="s">
        <v>1388</v>
      </c>
      <c r="G143" t="s">
        <v>87</v>
      </c>
      <c r="H143" t="s">
        <v>9097</v>
      </c>
      <c r="I143" s="186">
        <v>3</v>
      </c>
      <c r="J143" t="s">
        <v>174</v>
      </c>
      <c r="K143" s="185">
        <v>42538.400000000001</v>
      </c>
      <c r="L143" s="191">
        <v>44403.32402777778</v>
      </c>
    </row>
    <row r="144" spans="1:12" x14ac:dyDescent="0.3">
      <c r="A144" s="186">
        <v>3469</v>
      </c>
      <c r="B144" s="186">
        <v>0</v>
      </c>
      <c r="C144" s="186" t="s">
        <v>9098</v>
      </c>
      <c r="D144" t="s">
        <v>1387</v>
      </c>
      <c r="E144" s="186">
        <v>29586939</v>
      </c>
      <c r="F144" t="s">
        <v>1388</v>
      </c>
      <c r="G144" t="s">
        <v>87</v>
      </c>
      <c r="H144" t="s">
        <v>9098</v>
      </c>
      <c r="I144" s="186">
        <v>3</v>
      </c>
      <c r="J144" t="s">
        <v>100</v>
      </c>
      <c r="K144" s="185">
        <v>17333.150000000001</v>
      </c>
      <c r="L144" s="191">
        <v>44410.560590277775</v>
      </c>
    </row>
    <row r="145" spans="1:12" x14ac:dyDescent="0.3">
      <c r="A145" s="186">
        <v>3476</v>
      </c>
      <c r="B145" s="186">
        <v>-1</v>
      </c>
      <c r="C145" s="186" t="s">
        <v>9099</v>
      </c>
      <c r="D145" t="s">
        <v>1387</v>
      </c>
      <c r="E145" s="186">
        <v>1092686</v>
      </c>
      <c r="F145" t="s">
        <v>1388</v>
      </c>
      <c r="G145" t="s">
        <v>87</v>
      </c>
      <c r="H145" t="s">
        <v>9099</v>
      </c>
      <c r="I145" s="186">
        <v>10</v>
      </c>
      <c r="J145" t="s">
        <v>174</v>
      </c>
      <c r="K145" s="185">
        <v>33311.26</v>
      </c>
      <c r="L145" s="191">
        <v>44412.396458333336</v>
      </c>
    </row>
    <row r="146" spans="1:12" x14ac:dyDescent="0.3">
      <c r="A146" s="186">
        <v>3496</v>
      </c>
      <c r="B146" s="186">
        <v>0</v>
      </c>
      <c r="C146" s="186" t="s">
        <v>9100</v>
      </c>
      <c r="D146" t="s">
        <v>1387</v>
      </c>
      <c r="E146" s="186">
        <v>23893079</v>
      </c>
      <c r="F146" t="s">
        <v>1388</v>
      </c>
      <c r="G146" t="s">
        <v>87</v>
      </c>
      <c r="H146" t="s">
        <v>9100</v>
      </c>
      <c r="I146" s="186">
        <v>9</v>
      </c>
      <c r="J146" t="s">
        <v>100</v>
      </c>
      <c r="K146" s="185">
        <v>4793.42</v>
      </c>
      <c r="L146" s="191">
        <v>44417.56013888889</v>
      </c>
    </row>
    <row r="147" spans="1:12" x14ac:dyDescent="0.3">
      <c r="A147" s="186">
        <v>3470</v>
      </c>
      <c r="B147" s="186">
        <v>0</v>
      </c>
      <c r="C147" s="186" t="s">
        <v>9101</v>
      </c>
      <c r="D147" t="s">
        <v>1387</v>
      </c>
      <c r="E147" s="186">
        <v>82777179387</v>
      </c>
      <c r="F147" t="s">
        <v>1388</v>
      </c>
      <c r="G147" t="s">
        <v>87</v>
      </c>
      <c r="H147" t="s">
        <v>9101</v>
      </c>
      <c r="I147" s="186">
        <v>9</v>
      </c>
      <c r="J147" t="s">
        <v>100</v>
      </c>
      <c r="K147" s="185">
        <v>4509</v>
      </c>
      <c r="L147" s="191">
        <v>44410.594247685185</v>
      </c>
    </row>
    <row r="148" spans="1:12" x14ac:dyDescent="0.3">
      <c r="A148" s="186">
        <v>3478</v>
      </c>
      <c r="B148" s="186">
        <v>0</v>
      </c>
      <c r="C148" s="186" t="s">
        <v>9102</v>
      </c>
      <c r="D148" t="s">
        <v>1387</v>
      </c>
      <c r="E148" s="186">
        <v>4458217</v>
      </c>
      <c r="F148" t="s">
        <v>1388</v>
      </c>
      <c r="G148" t="s">
        <v>87</v>
      </c>
      <c r="H148" t="s">
        <v>9102</v>
      </c>
      <c r="I148" s="186">
        <v>18</v>
      </c>
      <c r="J148" t="s">
        <v>100</v>
      </c>
      <c r="K148" s="185">
        <v>23721.200000000001</v>
      </c>
      <c r="L148" s="191">
        <v>44412.436724537038</v>
      </c>
    </row>
    <row r="149" spans="1:12" x14ac:dyDescent="0.3">
      <c r="A149" s="186">
        <v>3527</v>
      </c>
      <c r="B149" s="186">
        <v>0</v>
      </c>
      <c r="C149" s="186" t="s">
        <v>9103</v>
      </c>
      <c r="D149" t="s">
        <v>1387</v>
      </c>
      <c r="E149" s="186">
        <v>82777179387</v>
      </c>
      <c r="F149" t="s">
        <v>1388</v>
      </c>
      <c r="G149" t="s">
        <v>87</v>
      </c>
      <c r="H149" t="s">
        <v>9103</v>
      </c>
      <c r="I149" s="186">
        <v>9</v>
      </c>
      <c r="J149" t="s">
        <v>100</v>
      </c>
      <c r="K149" s="185">
        <v>4509</v>
      </c>
      <c r="L149" s="191">
        <v>44425.365081018521</v>
      </c>
    </row>
    <row r="150" spans="1:12" x14ac:dyDescent="0.3">
      <c r="A150" s="186">
        <v>3445</v>
      </c>
      <c r="B150" s="186">
        <v>0</v>
      </c>
      <c r="C150" s="186" t="s">
        <v>9104</v>
      </c>
      <c r="D150" t="s">
        <v>1387</v>
      </c>
      <c r="E150" s="186">
        <v>4458217</v>
      </c>
      <c r="F150" t="s">
        <v>1388</v>
      </c>
      <c r="G150" t="s">
        <v>87</v>
      </c>
      <c r="H150" t="s">
        <v>9104</v>
      </c>
      <c r="I150" s="186">
        <v>18</v>
      </c>
      <c r="J150" t="s">
        <v>100</v>
      </c>
      <c r="K150" s="185">
        <v>23721.7</v>
      </c>
      <c r="L150" s="191">
        <v>44404.378807870373</v>
      </c>
    </row>
    <row r="151" spans="1:12" x14ac:dyDescent="0.3">
      <c r="A151" s="186">
        <v>4117</v>
      </c>
      <c r="B151" s="186">
        <v>60</v>
      </c>
      <c r="C151" s="186" t="s">
        <v>9105</v>
      </c>
      <c r="D151" t="s">
        <v>1387</v>
      </c>
      <c r="E151" s="186">
        <v>17227422</v>
      </c>
      <c r="F151" t="s">
        <v>1388</v>
      </c>
      <c r="G151" t="s">
        <v>87</v>
      </c>
      <c r="H151" t="s">
        <v>9105</v>
      </c>
      <c r="I151" s="186">
        <v>2</v>
      </c>
      <c r="J151" t="s">
        <v>97</v>
      </c>
      <c r="K151" s="185">
        <v>4321.47</v>
      </c>
      <c r="L151" s="191">
        <v>44407.442488425928</v>
      </c>
    </row>
    <row r="152" spans="1:12" x14ac:dyDescent="0.3">
      <c r="A152" s="186">
        <v>2242</v>
      </c>
      <c r="B152" s="186">
        <v>30</v>
      </c>
      <c r="C152" s="186" t="s">
        <v>9106</v>
      </c>
      <c r="D152" t="s">
        <v>1395</v>
      </c>
      <c r="E152" s="186">
        <v>17164435</v>
      </c>
      <c r="G152" t="s">
        <v>87</v>
      </c>
      <c r="H152" t="s">
        <v>9106</v>
      </c>
      <c r="I152" s="186">
        <v>18</v>
      </c>
      <c r="J152" t="s">
        <v>103</v>
      </c>
      <c r="K152" s="185">
        <v>2508433.15</v>
      </c>
      <c r="L152" s="191">
        <v>44410.682592592595</v>
      </c>
    </row>
    <row r="153" spans="1:12" x14ac:dyDescent="0.3">
      <c r="A153" s="186">
        <v>3505</v>
      </c>
      <c r="B153" s="186">
        <v>30</v>
      </c>
      <c r="C153" s="186" t="s">
        <v>9107</v>
      </c>
      <c r="D153" t="s">
        <v>1394</v>
      </c>
      <c r="E153" s="186">
        <v>19739564</v>
      </c>
      <c r="G153" t="s">
        <v>87</v>
      </c>
      <c r="H153" t="s">
        <v>9107</v>
      </c>
      <c r="I153" s="186">
        <v>9</v>
      </c>
      <c r="J153" t="s">
        <v>103</v>
      </c>
      <c r="K153" s="185">
        <v>0</v>
      </c>
      <c r="L153" s="191">
        <v>44418.727951388886</v>
      </c>
    </row>
    <row r="154" spans="1:12" x14ac:dyDescent="0.3">
      <c r="A154" s="186">
        <v>3488</v>
      </c>
      <c r="B154" s="186" t="s">
        <v>1419</v>
      </c>
      <c r="C154" s="186" t="s">
        <v>9108</v>
      </c>
      <c r="D154" t="s">
        <v>1387</v>
      </c>
      <c r="E154" s="186">
        <v>8738250</v>
      </c>
      <c r="F154" t="s">
        <v>1388</v>
      </c>
      <c r="G154" t="s">
        <v>87</v>
      </c>
      <c r="H154" t="s">
        <v>9108</v>
      </c>
      <c r="I154" s="186">
        <v>3</v>
      </c>
      <c r="J154" t="s">
        <v>1420</v>
      </c>
      <c r="K154">
        <v>80998.3</v>
      </c>
      <c r="L154" s="191">
        <v>44414.514108796298</v>
      </c>
    </row>
    <row r="155" spans="1:12" x14ac:dyDescent="0.3">
      <c r="A155" s="186">
        <v>2249</v>
      </c>
      <c r="B155" s="186">
        <v>0</v>
      </c>
      <c r="C155" s="186" t="s">
        <v>9109</v>
      </c>
      <c r="D155" t="s">
        <v>1387</v>
      </c>
      <c r="E155" s="186">
        <v>7605563</v>
      </c>
      <c r="F155" t="s">
        <v>1388</v>
      </c>
      <c r="G155" t="s">
        <v>87</v>
      </c>
      <c r="H155" t="s">
        <v>9109</v>
      </c>
      <c r="I155" s="186">
        <v>10</v>
      </c>
      <c r="J155" t="s">
        <v>100</v>
      </c>
      <c r="K155" s="185">
        <v>43454.14</v>
      </c>
      <c r="L155" s="191">
        <v>44419.62395833333</v>
      </c>
    </row>
    <row r="156" spans="1:12" x14ac:dyDescent="0.3">
      <c r="A156" s="186">
        <v>2251</v>
      </c>
      <c r="B156" s="186">
        <v>30</v>
      </c>
      <c r="C156" s="186" t="s">
        <v>9110</v>
      </c>
      <c r="D156" t="s">
        <v>1387</v>
      </c>
      <c r="E156" s="186">
        <v>15063096</v>
      </c>
      <c r="F156" t="s">
        <v>1388</v>
      </c>
      <c r="G156" t="s">
        <v>87</v>
      </c>
      <c r="H156" t="s">
        <v>9110</v>
      </c>
      <c r="I156" s="186">
        <v>3</v>
      </c>
      <c r="J156" t="s">
        <v>103</v>
      </c>
      <c r="K156" s="185">
        <v>12583</v>
      </c>
      <c r="L156" s="191">
        <v>44420.481747685182</v>
      </c>
    </row>
    <row r="157" spans="1:12" x14ac:dyDescent="0.3">
      <c r="A157" s="186">
        <v>3515</v>
      </c>
      <c r="B157" s="186">
        <v>30</v>
      </c>
      <c r="C157" s="186" t="s">
        <v>9111</v>
      </c>
      <c r="D157" t="s">
        <v>1387</v>
      </c>
      <c r="E157" s="186">
        <v>8056030</v>
      </c>
      <c r="F157" t="s">
        <v>1388</v>
      </c>
      <c r="G157" t="s">
        <v>87</v>
      </c>
      <c r="H157" t="s">
        <v>9111</v>
      </c>
      <c r="I157" s="186">
        <v>26</v>
      </c>
      <c r="J157" t="s">
        <v>103</v>
      </c>
      <c r="K157" s="185">
        <v>71237.490000000005</v>
      </c>
      <c r="L157" s="191">
        <v>44421.358472222222</v>
      </c>
    </row>
    <row r="158" spans="1:12" x14ac:dyDescent="0.3">
      <c r="A158" s="186">
        <v>2257</v>
      </c>
      <c r="B158" s="186">
        <v>30</v>
      </c>
      <c r="C158" s="186" t="s">
        <v>9112</v>
      </c>
      <c r="D158" t="s">
        <v>1387</v>
      </c>
      <c r="E158" s="186">
        <v>15063096</v>
      </c>
      <c r="F158" t="s">
        <v>1388</v>
      </c>
      <c r="G158" t="s">
        <v>87</v>
      </c>
      <c r="H158" t="s">
        <v>9112</v>
      </c>
      <c r="I158" s="186">
        <v>3</v>
      </c>
      <c r="J158" t="s">
        <v>103</v>
      </c>
      <c r="K158" s="185">
        <v>48000</v>
      </c>
      <c r="L158" s="191">
        <v>44428.621469907404</v>
      </c>
    </row>
    <row r="159" spans="1:12" x14ac:dyDescent="0.3">
      <c r="A159" s="186">
        <v>3557</v>
      </c>
      <c r="B159" s="186" t="s">
        <v>1431</v>
      </c>
      <c r="C159" s="186" t="s">
        <v>9113</v>
      </c>
      <c r="D159" t="s">
        <v>1387</v>
      </c>
      <c r="E159" s="186">
        <v>14057377</v>
      </c>
      <c r="F159" t="s">
        <v>1388</v>
      </c>
      <c r="G159" t="s">
        <v>87</v>
      </c>
      <c r="H159" t="s">
        <v>9113</v>
      </c>
      <c r="I159" s="186">
        <v>3</v>
      </c>
      <c r="J159" t="s">
        <v>1432</v>
      </c>
      <c r="K159">
        <v>88289.86</v>
      </c>
      <c r="L159" s="191">
        <v>44431.47383101852</v>
      </c>
    </row>
    <row r="160" spans="1:12" x14ac:dyDescent="0.3">
      <c r="A160" s="186">
        <v>4138</v>
      </c>
      <c r="B160" s="186">
        <v>30</v>
      </c>
      <c r="C160" s="186" t="s">
        <v>9114</v>
      </c>
      <c r="D160" t="s">
        <v>1387</v>
      </c>
      <c r="E160" s="186">
        <v>34692778</v>
      </c>
      <c r="F160" t="s">
        <v>1388</v>
      </c>
      <c r="G160" t="s">
        <v>87</v>
      </c>
      <c r="H160" t="s">
        <v>9114</v>
      </c>
      <c r="I160" s="186">
        <v>18</v>
      </c>
      <c r="J160" t="s">
        <v>103</v>
      </c>
      <c r="K160">
        <v>14175.09</v>
      </c>
      <c r="L160" s="191">
        <v>44431.689039351855</v>
      </c>
    </row>
    <row r="161" spans="1:12" x14ac:dyDescent="0.3">
      <c r="A161" s="186">
        <v>3560</v>
      </c>
      <c r="B161" s="186" t="s">
        <v>1429</v>
      </c>
      <c r="C161" s="186" t="s">
        <v>9115</v>
      </c>
      <c r="D161" t="s">
        <v>1387</v>
      </c>
      <c r="E161" s="186">
        <v>42621493</v>
      </c>
      <c r="F161" t="s">
        <v>1388</v>
      </c>
      <c r="G161" t="s">
        <v>87</v>
      </c>
      <c r="H161" t="s">
        <v>9115</v>
      </c>
      <c r="I161" s="186">
        <v>2</v>
      </c>
      <c r="J161" t="s">
        <v>1430</v>
      </c>
      <c r="K161" s="185">
        <v>38000</v>
      </c>
      <c r="L161" s="191">
        <v>44431.705081018517</v>
      </c>
    </row>
    <row r="162" spans="1:12" x14ac:dyDescent="0.3">
      <c r="A162" s="186">
        <v>3597</v>
      </c>
      <c r="B162" s="186">
        <v>0</v>
      </c>
      <c r="C162" s="186" t="s">
        <v>9116</v>
      </c>
      <c r="D162" t="s">
        <v>1387</v>
      </c>
      <c r="E162" s="186">
        <v>9065120</v>
      </c>
      <c r="F162" t="s">
        <v>1410</v>
      </c>
      <c r="G162" t="s">
        <v>87</v>
      </c>
      <c r="H162" t="s">
        <v>9116</v>
      </c>
      <c r="I162" s="186">
        <v>24</v>
      </c>
      <c r="J162" t="s">
        <v>100</v>
      </c>
      <c r="K162" s="185">
        <v>145440</v>
      </c>
      <c r="L162" s="191">
        <v>44438.622777777775</v>
      </c>
    </row>
    <row r="163" spans="1:12" x14ac:dyDescent="0.3">
      <c r="A163" s="186">
        <v>3537</v>
      </c>
      <c r="B163" s="186">
        <v>0</v>
      </c>
      <c r="C163" s="186" t="s">
        <v>9117</v>
      </c>
      <c r="D163" t="s">
        <v>1387</v>
      </c>
      <c r="E163" s="186">
        <v>11210588</v>
      </c>
      <c r="F163" t="s">
        <v>1388</v>
      </c>
      <c r="G163" t="s">
        <v>87</v>
      </c>
      <c r="H163" t="s">
        <v>9117</v>
      </c>
      <c r="I163" s="186">
        <v>3</v>
      </c>
      <c r="J163" t="s">
        <v>100</v>
      </c>
      <c r="K163" s="185">
        <v>26438.35</v>
      </c>
      <c r="L163" s="191">
        <v>44426.375694444447</v>
      </c>
    </row>
    <row r="164" spans="1:12" x14ac:dyDescent="0.3">
      <c r="A164" s="186">
        <v>3612</v>
      </c>
      <c r="B164" s="186">
        <v>0</v>
      </c>
      <c r="C164" s="186" t="s">
        <v>9118</v>
      </c>
      <c r="D164" t="s">
        <v>1387</v>
      </c>
      <c r="E164" s="186">
        <v>38345570</v>
      </c>
      <c r="F164" t="s">
        <v>1410</v>
      </c>
      <c r="G164" t="s">
        <v>113</v>
      </c>
      <c r="H164" t="s">
        <v>9118</v>
      </c>
      <c r="I164" s="186">
        <v>24</v>
      </c>
      <c r="J164" t="s">
        <v>100</v>
      </c>
      <c r="K164" s="185">
        <v>35000</v>
      </c>
      <c r="L164" s="191">
        <v>44442.456921296296</v>
      </c>
    </row>
    <row r="165" spans="1:12" x14ac:dyDescent="0.3">
      <c r="A165" s="186">
        <v>3555</v>
      </c>
      <c r="B165" s="186">
        <v>-1</v>
      </c>
      <c r="C165" s="186" t="s">
        <v>9119</v>
      </c>
      <c r="D165" t="s">
        <v>1387</v>
      </c>
      <c r="E165" s="186">
        <v>7382050</v>
      </c>
      <c r="F165" t="s">
        <v>1388</v>
      </c>
      <c r="G165" t="s">
        <v>87</v>
      </c>
      <c r="H165" t="s">
        <v>9119</v>
      </c>
      <c r="I165" s="186">
        <v>18</v>
      </c>
      <c r="J165" t="s">
        <v>174</v>
      </c>
      <c r="K165" s="185">
        <v>11750</v>
      </c>
      <c r="L165" s="191">
        <v>44431.358194444445</v>
      </c>
    </row>
    <row r="166" spans="1:12" x14ac:dyDescent="0.3">
      <c r="A166" s="186">
        <v>4140</v>
      </c>
      <c r="B166" s="186">
        <v>60</v>
      </c>
      <c r="C166" s="186" t="s">
        <v>9120</v>
      </c>
      <c r="D166" t="s">
        <v>1387</v>
      </c>
      <c r="E166" s="186">
        <v>33592510</v>
      </c>
      <c r="F166" t="s">
        <v>1388</v>
      </c>
      <c r="G166" t="s">
        <v>87</v>
      </c>
      <c r="H166" t="s">
        <v>9120</v>
      </c>
      <c r="I166" s="186">
        <v>3</v>
      </c>
      <c r="J166" t="s">
        <v>97</v>
      </c>
      <c r="K166" s="185">
        <v>51303.53</v>
      </c>
      <c r="L166" s="191">
        <v>44433.580266203702</v>
      </c>
    </row>
    <row r="167" spans="1:12" x14ac:dyDescent="0.3">
      <c r="A167" s="186">
        <v>3579</v>
      </c>
      <c r="B167" s="186" t="s">
        <v>1427</v>
      </c>
      <c r="C167" s="186" t="s">
        <v>9121</v>
      </c>
      <c r="D167" t="s">
        <v>1387</v>
      </c>
      <c r="E167" s="186">
        <v>2602726</v>
      </c>
      <c r="F167" t="s">
        <v>1388</v>
      </c>
      <c r="G167" t="s">
        <v>87</v>
      </c>
      <c r="H167" t="s">
        <v>9121</v>
      </c>
      <c r="I167" s="186">
        <v>3</v>
      </c>
      <c r="J167" t="s">
        <v>1428</v>
      </c>
      <c r="K167" s="185">
        <v>60960</v>
      </c>
      <c r="L167" s="191">
        <v>44433.67015046296</v>
      </c>
    </row>
    <row r="168" spans="1:12" x14ac:dyDescent="0.3">
      <c r="A168" s="186">
        <v>2272</v>
      </c>
      <c r="B168" s="186">
        <v>30</v>
      </c>
      <c r="C168" s="186" t="s">
        <v>9122</v>
      </c>
      <c r="D168" t="s">
        <v>1395</v>
      </c>
      <c r="E168" s="186">
        <v>16694812</v>
      </c>
      <c r="G168" t="s">
        <v>87</v>
      </c>
      <c r="H168" t="s">
        <v>9122</v>
      </c>
      <c r="I168" s="186">
        <v>3</v>
      </c>
      <c r="J168" t="s">
        <v>103</v>
      </c>
      <c r="K168" s="185">
        <v>23079</v>
      </c>
      <c r="L168" s="191">
        <v>44442.676747685182</v>
      </c>
    </row>
    <row r="169" spans="1:12" x14ac:dyDescent="0.3">
      <c r="A169" s="186">
        <v>3625</v>
      </c>
      <c r="B169" s="186">
        <v>10</v>
      </c>
      <c r="C169" s="186" t="s">
        <v>9123</v>
      </c>
      <c r="D169" t="s">
        <v>1387</v>
      </c>
      <c r="E169" s="186">
        <v>4060779</v>
      </c>
      <c r="F169" t="s">
        <v>1388</v>
      </c>
      <c r="G169" t="s">
        <v>87</v>
      </c>
      <c r="H169" t="s">
        <v>9123</v>
      </c>
      <c r="I169" s="186">
        <v>3</v>
      </c>
      <c r="J169" t="s">
        <v>133</v>
      </c>
      <c r="K169" s="185">
        <v>21205.56</v>
      </c>
      <c r="L169" s="191">
        <v>44449.452187499999</v>
      </c>
    </row>
    <row r="170" spans="1:12" x14ac:dyDescent="0.3">
      <c r="A170" s="186">
        <v>3627</v>
      </c>
      <c r="B170" s="186">
        <v>0</v>
      </c>
      <c r="C170" s="186" t="s">
        <v>9124</v>
      </c>
      <c r="D170" t="s">
        <v>1387</v>
      </c>
      <c r="E170" s="186">
        <v>41285678</v>
      </c>
      <c r="F170" t="s">
        <v>1410</v>
      </c>
      <c r="G170" t="s">
        <v>113</v>
      </c>
      <c r="H170" t="s">
        <v>9124</v>
      </c>
      <c r="I170" s="186">
        <v>24</v>
      </c>
      <c r="J170" t="s">
        <v>100</v>
      </c>
      <c r="K170" s="185">
        <v>26113.82</v>
      </c>
      <c r="L170" s="191">
        <v>44449.618946759256</v>
      </c>
    </row>
    <row r="171" spans="1:12" x14ac:dyDescent="0.3">
      <c r="A171" s="186">
        <v>3540</v>
      </c>
      <c r="B171" s="186">
        <v>0</v>
      </c>
      <c r="C171" s="186" t="s">
        <v>9125</v>
      </c>
      <c r="D171" t="s">
        <v>1387</v>
      </c>
      <c r="E171" s="186">
        <v>11210588</v>
      </c>
      <c r="F171" t="s">
        <v>1388</v>
      </c>
      <c r="G171" t="s">
        <v>87</v>
      </c>
      <c r="H171" t="s">
        <v>9125</v>
      </c>
      <c r="I171" s="186">
        <v>3</v>
      </c>
      <c r="J171" t="s">
        <v>100</v>
      </c>
      <c r="K171" s="185">
        <v>25000</v>
      </c>
      <c r="L171" s="191">
        <v>44427.367476851854</v>
      </c>
    </row>
    <row r="172" spans="1:12" x14ac:dyDescent="0.3">
      <c r="A172" s="186">
        <v>3552</v>
      </c>
      <c r="B172" s="186" t="s">
        <v>1257</v>
      </c>
      <c r="C172" s="186" t="s">
        <v>9126</v>
      </c>
      <c r="D172" t="s">
        <v>1387</v>
      </c>
      <c r="E172" s="186">
        <v>2111345</v>
      </c>
      <c r="F172" t="s">
        <v>1388</v>
      </c>
      <c r="G172" t="s">
        <v>87</v>
      </c>
      <c r="H172" t="s">
        <v>9126</v>
      </c>
      <c r="I172" s="186">
        <v>24</v>
      </c>
      <c r="J172" t="s">
        <v>1258</v>
      </c>
      <c r="K172" s="185">
        <v>204020</v>
      </c>
      <c r="L172" s="191">
        <v>44428.648194444446</v>
      </c>
    </row>
    <row r="173" spans="1:12" x14ac:dyDescent="0.3">
      <c r="A173" s="186">
        <v>3569</v>
      </c>
      <c r="B173" s="186">
        <v>0</v>
      </c>
      <c r="C173" s="186" t="s">
        <v>9127</v>
      </c>
      <c r="D173" t="s">
        <v>1387</v>
      </c>
      <c r="E173" s="186">
        <v>75911438</v>
      </c>
      <c r="F173" t="s">
        <v>1388</v>
      </c>
      <c r="G173" t="s">
        <v>87</v>
      </c>
      <c r="H173" t="s">
        <v>9127</v>
      </c>
      <c r="I173" s="186">
        <v>3</v>
      </c>
      <c r="J173" t="s">
        <v>100</v>
      </c>
      <c r="K173" s="185">
        <v>270000</v>
      </c>
      <c r="L173" s="191">
        <v>44433.492002314815</v>
      </c>
    </row>
    <row r="174" spans="1:12" x14ac:dyDescent="0.3">
      <c r="A174" s="186">
        <v>3578</v>
      </c>
      <c r="B174" s="186" t="s">
        <v>1427</v>
      </c>
      <c r="C174" s="186" t="s">
        <v>9128</v>
      </c>
      <c r="D174" t="s">
        <v>1387</v>
      </c>
      <c r="E174" s="186">
        <v>2602726</v>
      </c>
      <c r="F174" t="s">
        <v>1388</v>
      </c>
      <c r="G174" t="s">
        <v>87</v>
      </c>
      <c r="H174" t="s">
        <v>9128</v>
      </c>
      <c r="I174" s="186">
        <v>3</v>
      </c>
      <c r="J174" t="s">
        <v>1428</v>
      </c>
      <c r="K174" s="185">
        <v>91440</v>
      </c>
      <c r="L174" s="191">
        <v>44433.667939814812</v>
      </c>
    </row>
    <row r="175" spans="1:12" x14ac:dyDescent="0.3">
      <c r="A175" s="186">
        <v>2269</v>
      </c>
      <c r="B175" s="186">
        <v>11475</v>
      </c>
      <c r="C175" s="186" t="s">
        <v>9129</v>
      </c>
      <c r="D175" t="s">
        <v>1387</v>
      </c>
      <c r="E175" s="186">
        <v>18917614</v>
      </c>
      <c r="F175" t="s">
        <v>1410</v>
      </c>
      <c r="G175" t="s">
        <v>87</v>
      </c>
      <c r="H175" t="s">
        <v>9129</v>
      </c>
      <c r="I175" s="186">
        <v>3</v>
      </c>
      <c r="J175" t="s">
        <v>1433</v>
      </c>
      <c r="K175" s="185">
        <v>255829.6</v>
      </c>
      <c r="L175" s="191">
        <v>44440.506342592591</v>
      </c>
    </row>
    <row r="176" spans="1:12" x14ac:dyDescent="0.3">
      <c r="A176" s="186">
        <v>3616</v>
      </c>
      <c r="B176" s="186">
        <v>0</v>
      </c>
      <c r="C176" s="186" t="s">
        <v>9130</v>
      </c>
      <c r="D176" t="s">
        <v>1387</v>
      </c>
      <c r="E176" s="186">
        <v>27121672</v>
      </c>
      <c r="F176" t="s">
        <v>1388</v>
      </c>
      <c r="G176" t="s">
        <v>87</v>
      </c>
      <c r="H176" t="s">
        <v>9130</v>
      </c>
      <c r="I176" s="186">
        <v>10</v>
      </c>
      <c r="J176" t="s">
        <v>100</v>
      </c>
      <c r="K176" s="185">
        <v>48218.21</v>
      </c>
      <c r="L176" s="191">
        <v>44442.630173611113</v>
      </c>
    </row>
    <row r="177" spans="1:12" x14ac:dyDescent="0.3">
      <c r="A177" s="186">
        <v>3548</v>
      </c>
      <c r="B177" s="186" t="s">
        <v>1427</v>
      </c>
      <c r="C177" s="186" t="s">
        <v>9131</v>
      </c>
      <c r="D177" t="s">
        <v>1387</v>
      </c>
      <c r="E177" s="186">
        <v>8738250</v>
      </c>
      <c r="F177" t="s">
        <v>1388</v>
      </c>
      <c r="G177" t="s">
        <v>87</v>
      </c>
      <c r="H177" t="s">
        <v>9131</v>
      </c>
      <c r="I177" s="186">
        <v>3</v>
      </c>
      <c r="J177" t="s">
        <v>1428</v>
      </c>
      <c r="K177" s="185">
        <v>32948</v>
      </c>
      <c r="L177" s="191">
        <v>44427.73878472222</v>
      </c>
    </row>
    <row r="178" spans="1:12" x14ac:dyDescent="0.3">
      <c r="A178" s="186">
        <v>2264</v>
      </c>
      <c r="B178" s="186">
        <v>30</v>
      </c>
      <c r="C178" s="186" t="s">
        <v>9132</v>
      </c>
      <c r="D178" t="s">
        <v>1387</v>
      </c>
      <c r="E178" s="186">
        <v>15063096</v>
      </c>
      <c r="F178" t="s">
        <v>1388</v>
      </c>
      <c r="G178" t="s">
        <v>87</v>
      </c>
      <c r="H178" t="s">
        <v>9132</v>
      </c>
      <c r="I178" s="186">
        <v>3</v>
      </c>
      <c r="J178" t="s">
        <v>103</v>
      </c>
      <c r="K178" s="185">
        <v>24000</v>
      </c>
      <c r="L178" s="191">
        <v>44435.44699074074</v>
      </c>
    </row>
    <row r="179" spans="1:12" x14ac:dyDescent="0.3">
      <c r="A179" s="186">
        <v>3604</v>
      </c>
      <c r="B179" s="186" t="s">
        <v>1427</v>
      </c>
      <c r="C179" s="186" t="s">
        <v>9133</v>
      </c>
      <c r="D179" t="s">
        <v>1387</v>
      </c>
      <c r="E179" s="186">
        <v>2602726</v>
      </c>
      <c r="F179" t="s">
        <v>1388</v>
      </c>
      <c r="G179" t="s">
        <v>87</v>
      </c>
      <c r="H179" t="s">
        <v>9133</v>
      </c>
      <c r="I179" s="186">
        <v>3</v>
      </c>
      <c r="J179" t="s">
        <v>1428</v>
      </c>
      <c r="K179">
        <v>60960</v>
      </c>
      <c r="L179" s="191">
        <v>44440.49009259259</v>
      </c>
    </row>
    <row r="180" spans="1:12" x14ac:dyDescent="0.3">
      <c r="A180" s="186">
        <v>4150</v>
      </c>
      <c r="B180" s="186">
        <v>60</v>
      </c>
      <c r="C180" s="186" t="s">
        <v>9134</v>
      </c>
      <c r="D180" t="s">
        <v>1387</v>
      </c>
      <c r="E180" s="186">
        <v>33592510</v>
      </c>
      <c r="F180" t="s">
        <v>1388</v>
      </c>
      <c r="G180" t="s">
        <v>87</v>
      </c>
      <c r="H180" t="s">
        <v>9134</v>
      </c>
      <c r="I180" s="186">
        <v>3</v>
      </c>
      <c r="J180" t="s">
        <v>97</v>
      </c>
      <c r="K180" s="185">
        <v>51302.93</v>
      </c>
      <c r="L180" s="191">
        <v>44441.451342592591</v>
      </c>
    </row>
    <row r="181" spans="1:12" x14ac:dyDescent="0.3">
      <c r="A181" s="186">
        <v>3626</v>
      </c>
      <c r="B181" s="186">
        <v>0</v>
      </c>
      <c r="C181" s="186" t="s">
        <v>9135</v>
      </c>
      <c r="D181" t="s">
        <v>1387</v>
      </c>
      <c r="E181" s="186">
        <v>22415842</v>
      </c>
      <c r="F181" t="s">
        <v>1388</v>
      </c>
      <c r="G181" t="s">
        <v>87</v>
      </c>
      <c r="H181" t="s">
        <v>9135</v>
      </c>
      <c r="I181" s="186">
        <v>10</v>
      </c>
      <c r="J181" t="s">
        <v>100</v>
      </c>
      <c r="K181" s="185">
        <v>18006.599999999999</v>
      </c>
      <c r="L181" s="191">
        <v>44449.494375000002</v>
      </c>
    </row>
    <row r="182" spans="1:12" x14ac:dyDescent="0.3">
      <c r="A182" s="186">
        <v>3690</v>
      </c>
      <c r="B182" s="186">
        <v>0</v>
      </c>
      <c r="C182" s="186" t="s">
        <v>9136</v>
      </c>
      <c r="D182" t="s">
        <v>1387</v>
      </c>
      <c r="E182" s="186">
        <v>11714068609</v>
      </c>
      <c r="F182" t="s">
        <v>1388</v>
      </c>
      <c r="G182" t="s">
        <v>87</v>
      </c>
      <c r="H182" t="s">
        <v>9136</v>
      </c>
      <c r="I182" s="186">
        <v>3</v>
      </c>
      <c r="J182" t="s">
        <v>100</v>
      </c>
      <c r="K182" s="185">
        <v>20482.68</v>
      </c>
      <c r="L182" s="191">
        <v>44467.67695601852</v>
      </c>
    </row>
    <row r="183" spans="1:12" x14ac:dyDescent="0.3">
      <c r="A183" s="186">
        <v>3701</v>
      </c>
      <c r="B183" s="186">
        <v>0</v>
      </c>
      <c r="C183" s="186" t="s">
        <v>9137</v>
      </c>
      <c r="D183" t="s">
        <v>1387</v>
      </c>
      <c r="E183" s="186">
        <v>912481</v>
      </c>
      <c r="F183" t="s">
        <v>1388</v>
      </c>
      <c r="G183" t="s">
        <v>87</v>
      </c>
      <c r="H183" t="s">
        <v>9137</v>
      </c>
      <c r="I183" s="186">
        <v>3</v>
      </c>
      <c r="J183" t="s">
        <v>100</v>
      </c>
      <c r="K183">
        <v>21480</v>
      </c>
      <c r="L183" s="191">
        <v>44470.324814814812</v>
      </c>
    </row>
    <row r="184" spans="1:12" x14ac:dyDescent="0.3">
      <c r="A184" s="186">
        <v>2291</v>
      </c>
      <c r="B184" s="186">
        <v>0</v>
      </c>
      <c r="C184" s="186" t="s">
        <v>9138</v>
      </c>
      <c r="D184" t="s">
        <v>1387</v>
      </c>
      <c r="E184" s="186">
        <v>24000759</v>
      </c>
      <c r="F184" t="s">
        <v>1388</v>
      </c>
      <c r="G184" t="s">
        <v>87</v>
      </c>
      <c r="H184" t="s">
        <v>9138</v>
      </c>
      <c r="I184" s="186">
        <v>10</v>
      </c>
      <c r="J184" t="s">
        <v>100</v>
      </c>
      <c r="K184" s="185">
        <v>7682.42</v>
      </c>
      <c r="L184" s="191">
        <v>44462.491342592592</v>
      </c>
    </row>
    <row r="185" spans="1:12" x14ac:dyDescent="0.3">
      <c r="A185" s="186">
        <v>2299</v>
      </c>
      <c r="B185" s="186">
        <v>10</v>
      </c>
      <c r="C185" s="186" t="s">
        <v>9139</v>
      </c>
      <c r="D185" t="s">
        <v>1387</v>
      </c>
      <c r="E185" s="186">
        <v>28060943</v>
      </c>
      <c r="F185" t="s">
        <v>1388</v>
      </c>
      <c r="G185" t="s">
        <v>87</v>
      </c>
      <c r="H185" t="s">
        <v>9139</v>
      </c>
      <c r="I185" s="186">
        <v>43</v>
      </c>
      <c r="J185" t="s">
        <v>133</v>
      </c>
      <c r="K185" s="185">
        <v>63848.29</v>
      </c>
      <c r="L185" s="191">
        <v>44474.417696759258</v>
      </c>
    </row>
    <row r="186" spans="1:12" x14ac:dyDescent="0.3">
      <c r="A186" s="186">
        <v>3635</v>
      </c>
      <c r="B186" s="186" t="s">
        <v>1427</v>
      </c>
      <c r="C186" s="186" t="s">
        <v>9140</v>
      </c>
      <c r="D186" t="s">
        <v>1387</v>
      </c>
      <c r="E186" s="186">
        <v>2602726</v>
      </c>
      <c r="F186" t="s">
        <v>1388</v>
      </c>
      <c r="G186" t="s">
        <v>87</v>
      </c>
      <c r="H186" t="s">
        <v>9140</v>
      </c>
      <c r="I186" s="186">
        <v>3</v>
      </c>
      <c r="J186" t="s">
        <v>1428</v>
      </c>
      <c r="K186" s="185">
        <v>60960</v>
      </c>
      <c r="L186" s="191">
        <v>44452.64744212963</v>
      </c>
    </row>
    <row r="187" spans="1:12" x14ac:dyDescent="0.3">
      <c r="A187" s="186">
        <v>3649</v>
      </c>
      <c r="B187" s="186">
        <v>30</v>
      </c>
      <c r="C187" s="186" t="s">
        <v>9141</v>
      </c>
      <c r="D187" t="s">
        <v>1387</v>
      </c>
      <c r="E187" s="186">
        <v>78391612</v>
      </c>
      <c r="F187" t="s">
        <v>1388</v>
      </c>
      <c r="G187" t="s">
        <v>87</v>
      </c>
      <c r="H187" t="s">
        <v>9141</v>
      </c>
      <c r="I187" s="186">
        <v>10</v>
      </c>
      <c r="J187" t="s">
        <v>103</v>
      </c>
      <c r="K187" s="185">
        <v>91140.36</v>
      </c>
      <c r="L187" s="191">
        <v>44455.713564814818</v>
      </c>
    </row>
    <row r="188" spans="1:12" x14ac:dyDescent="0.3">
      <c r="A188" s="186">
        <v>2287</v>
      </c>
      <c r="B188" s="186">
        <v>0</v>
      </c>
      <c r="C188" s="186" t="s">
        <v>9142</v>
      </c>
      <c r="D188" t="s">
        <v>1394</v>
      </c>
      <c r="E188" s="186">
        <v>15655289</v>
      </c>
      <c r="G188" t="s">
        <v>87</v>
      </c>
      <c r="H188" t="s">
        <v>9142</v>
      </c>
      <c r="I188" s="186">
        <v>37</v>
      </c>
      <c r="J188" t="s">
        <v>100</v>
      </c>
      <c r="K188" s="185">
        <v>0</v>
      </c>
      <c r="L188" s="191">
        <v>44462.363240740742</v>
      </c>
    </row>
    <row r="189" spans="1:12" x14ac:dyDescent="0.3">
      <c r="A189" s="186">
        <v>3683</v>
      </c>
      <c r="B189" s="186">
        <v>0</v>
      </c>
      <c r="C189" s="186" t="s">
        <v>9143</v>
      </c>
      <c r="D189" t="s">
        <v>1387</v>
      </c>
      <c r="E189" s="186">
        <v>3257878</v>
      </c>
      <c r="F189" t="s">
        <v>1388</v>
      </c>
      <c r="G189" t="s">
        <v>87</v>
      </c>
      <c r="H189" t="s">
        <v>9143</v>
      </c>
      <c r="I189" s="186">
        <v>3</v>
      </c>
      <c r="J189" t="s">
        <v>100</v>
      </c>
      <c r="K189" s="185">
        <v>186429</v>
      </c>
      <c r="L189" s="191">
        <v>44466.626435185186</v>
      </c>
    </row>
    <row r="190" spans="1:12" x14ac:dyDescent="0.3">
      <c r="A190" s="186">
        <v>3660</v>
      </c>
      <c r="B190" s="186">
        <v>0</v>
      </c>
      <c r="C190" s="186" t="s">
        <v>9144</v>
      </c>
      <c r="D190" t="s">
        <v>1387</v>
      </c>
      <c r="E190" s="186">
        <v>19336666</v>
      </c>
      <c r="F190" t="s">
        <v>1388</v>
      </c>
      <c r="G190" t="s">
        <v>87</v>
      </c>
      <c r="H190" t="s">
        <v>9144</v>
      </c>
      <c r="I190" s="186">
        <v>2</v>
      </c>
      <c r="J190" t="s">
        <v>100</v>
      </c>
      <c r="K190" s="185">
        <v>26950.5</v>
      </c>
      <c r="L190" s="191">
        <v>44459.630231481482</v>
      </c>
    </row>
    <row r="191" spans="1:12" x14ac:dyDescent="0.3">
      <c r="A191" s="186">
        <v>3673</v>
      </c>
      <c r="B191" s="186">
        <v>0</v>
      </c>
      <c r="C191" s="186" t="s">
        <v>9145</v>
      </c>
      <c r="D191" t="s">
        <v>1387</v>
      </c>
      <c r="E191" s="186">
        <v>6980064</v>
      </c>
      <c r="F191" t="s">
        <v>1388</v>
      </c>
      <c r="G191" t="s">
        <v>87</v>
      </c>
      <c r="H191" t="s">
        <v>9145</v>
      </c>
      <c r="I191" s="186">
        <v>19</v>
      </c>
      <c r="J191" t="s">
        <v>100</v>
      </c>
      <c r="K191" s="185">
        <v>34043.56</v>
      </c>
      <c r="L191" s="191">
        <v>44462.397476851853</v>
      </c>
    </row>
    <row r="192" spans="1:12" x14ac:dyDescent="0.3">
      <c r="A192" s="186">
        <v>3687</v>
      </c>
      <c r="B192" s="186">
        <v>0</v>
      </c>
      <c r="C192" s="186" t="s">
        <v>9146</v>
      </c>
      <c r="D192" t="s">
        <v>1387</v>
      </c>
      <c r="E192" s="186">
        <v>19336666</v>
      </c>
      <c r="F192" t="s">
        <v>1388</v>
      </c>
      <c r="G192" t="s">
        <v>87</v>
      </c>
      <c r="H192" t="s">
        <v>9146</v>
      </c>
      <c r="I192" s="186">
        <v>2</v>
      </c>
      <c r="J192" t="s">
        <v>100</v>
      </c>
      <c r="K192" s="185">
        <v>13325</v>
      </c>
      <c r="L192" s="191">
        <v>44467.60701388889</v>
      </c>
    </row>
    <row r="193" spans="1:12" x14ac:dyDescent="0.3">
      <c r="A193" s="186">
        <v>2297</v>
      </c>
      <c r="B193" s="186">
        <v>10</v>
      </c>
      <c r="C193" s="186" t="s">
        <v>9147</v>
      </c>
      <c r="D193" t="s">
        <v>1387</v>
      </c>
      <c r="E193" s="186">
        <v>2535568</v>
      </c>
      <c r="F193" t="s">
        <v>1388</v>
      </c>
      <c r="G193" t="s">
        <v>87</v>
      </c>
      <c r="H193" t="s">
        <v>9147</v>
      </c>
      <c r="I193" s="186">
        <v>9</v>
      </c>
      <c r="J193" t="s">
        <v>133</v>
      </c>
      <c r="K193" s="185">
        <v>32052.97</v>
      </c>
      <c r="L193" s="191">
        <v>44473.509062500001</v>
      </c>
    </row>
    <row r="194" spans="1:12" x14ac:dyDescent="0.3">
      <c r="A194" s="186">
        <v>3638</v>
      </c>
      <c r="B194" s="186">
        <v>0</v>
      </c>
      <c r="C194" s="186" t="s">
        <v>9148</v>
      </c>
      <c r="D194" t="s">
        <v>1387</v>
      </c>
      <c r="E194" s="186">
        <v>19336666</v>
      </c>
      <c r="F194" t="s">
        <v>1388</v>
      </c>
      <c r="G194" t="s">
        <v>87</v>
      </c>
      <c r="H194" t="s">
        <v>9148</v>
      </c>
      <c r="I194" s="186">
        <v>2</v>
      </c>
      <c r="J194" t="s">
        <v>100</v>
      </c>
      <c r="K194" s="185">
        <v>32240</v>
      </c>
      <c r="L194" s="191">
        <v>44453.457800925928</v>
      </c>
    </row>
    <row r="195" spans="1:12" x14ac:dyDescent="0.3">
      <c r="A195" s="186">
        <v>3672</v>
      </c>
      <c r="B195" s="186">
        <v>10</v>
      </c>
      <c r="C195" s="186" t="s">
        <v>9149</v>
      </c>
      <c r="D195" t="s">
        <v>1387</v>
      </c>
      <c r="E195" s="186">
        <v>4060779</v>
      </c>
      <c r="F195" t="s">
        <v>1388</v>
      </c>
      <c r="G195" t="s">
        <v>87</v>
      </c>
      <c r="H195" t="s">
        <v>9149</v>
      </c>
      <c r="I195" s="186">
        <v>3</v>
      </c>
      <c r="J195" t="s">
        <v>133</v>
      </c>
      <c r="K195">
        <v>14779.56</v>
      </c>
      <c r="L195" s="191">
        <v>44461.652175925927</v>
      </c>
    </row>
    <row r="196" spans="1:12" x14ac:dyDescent="0.3">
      <c r="A196" s="186">
        <v>4173</v>
      </c>
      <c r="B196" s="186">
        <v>60</v>
      </c>
      <c r="C196" s="186" t="s">
        <v>9150</v>
      </c>
      <c r="D196" t="s">
        <v>1387</v>
      </c>
      <c r="E196" s="186">
        <v>33592510</v>
      </c>
      <c r="F196" t="s">
        <v>1388</v>
      </c>
      <c r="G196" t="s">
        <v>87</v>
      </c>
      <c r="H196" t="s">
        <v>9150</v>
      </c>
      <c r="I196" s="186">
        <v>3</v>
      </c>
      <c r="J196" t="s">
        <v>97</v>
      </c>
      <c r="K196" s="185">
        <v>38403.839999999997</v>
      </c>
      <c r="L196" s="191">
        <v>44473.711076388892</v>
      </c>
    </row>
    <row r="197" spans="1:12" x14ac:dyDescent="0.3">
      <c r="A197" s="186">
        <v>3684</v>
      </c>
      <c r="B197" s="186">
        <v>0</v>
      </c>
      <c r="C197" s="186" t="s">
        <v>9151</v>
      </c>
      <c r="D197" t="s">
        <v>1387</v>
      </c>
      <c r="E197" s="186">
        <v>16956443</v>
      </c>
      <c r="F197" t="s">
        <v>1388</v>
      </c>
      <c r="G197" t="s">
        <v>87</v>
      </c>
      <c r="H197" t="s">
        <v>9151</v>
      </c>
      <c r="I197" s="186">
        <v>3</v>
      </c>
      <c r="J197" t="s">
        <v>100</v>
      </c>
      <c r="K197" s="185">
        <v>35000</v>
      </c>
      <c r="L197" s="191">
        <v>44467.412708333337</v>
      </c>
    </row>
    <row r="198" spans="1:12" x14ac:dyDescent="0.3">
      <c r="A198" s="186">
        <v>3652</v>
      </c>
      <c r="B198" s="186">
        <v>0</v>
      </c>
      <c r="C198" s="186" t="s">
        <v>9152</v>
      </c>
      <c r="D198" t="s">
        <v>1387</v>
      </c>
      <c r="E198" s="186">
        <v>6257096677</v>
      </c>
      <c r="F198" t="s">
        <v>1388</v>
      </c>
      <c r="G198" t="s">
        <v>87</v>
      </c>
      <c r="H198" t="s">
        <v>9152</v>
      </c>
      <c r="I198" s="186">
        <v>3</v>
      </c>
      <c r="J198" t="s">
        <v>100</v>
      </c>
      <c r="K198" s="185">
        <v>10480</v>
      </c>
      <c r="L198" s="191">
        <v>44456.631666666668</v>
      </c>
    </row>
    <row r="199" spans="1:12" x14ac:dyDescent="0.3">
      <c r="A199" s="186">
        <v>2289</v>
      </c>
      <c r="B199" s="186">
        <v>0</v>
      </c>
      <c r="C199" s="186" t="s">
        <v>9153</v>
      </c>
      <c r="D199" t="s">
        <v>1387</v>
      </c>
      <c r="E199" s="186">
        <v>24000759</v>
      </c>
      <c r="F199" t="s">
        <v>1388</v>
      </c>
      <c r="G199" t="s">
        <v>87</v>
      </c>
      <c r="H199" t="s">
        <v>9153</v>
      </c>
      <c r="I199" s="186">
        <v>10</v>
      </c>
      <c r="J199" t="s">
        <v>100</v>
      </c>
      <c r="K199" s="185">
        <v>34091.21</v>
      </c>
      <c r="L199" s="191">
        <v>44462.481400462966</v>
      </c>
    </row>
    <row r="200" spans="1:12" x14ac:dyDescent="0.3">
      <c r="A200" s="186">
        <v>2290</v>
      </c>
      <c r="B200" s="186">
        <v>0</v>
      </c>
      <c r="C200" s="186" t="s">
        <v>9154</v>
      </c>
      <c r="D200" t="s">
        <v>1387</v>
      </c>
      <c r="E200" s="186">
        <v>24000759</v>
      </c>
      <c r="F200" t="s">
        <v>1388</v>
      </c>
      <c r="G200" t="s">
        <v>87</v>
      </c>
      <c r="H200" t="s">
        <v>9154</v>
      </c>
      <c r="I200" s="186">
        <v>10</v>
      </c>
      <c r="J200" t="s">
        <v>100</v>
      </c>
      <c r="K200" s="185">
        <v>4700</v>
      </c>
      <c r="L200" s="191">
        <v>44462.485937500001</v>
      </c>
    </row>
    <row r="201" spans="1:12" x14ac:dyDescent="0.3">
      <c r="A201" s="186">
        <v>3738</v>
      </c>
      <c r="B201" s="186" t="s">
        <v>1398</v>
      </c>
      <c r="C201" s="186" t="s">
        <v>9155</v>
      </c>
      <c r="D201" t="s">
        <v>1387</v>
      </c>
      <c r="E201" s="186">
        <v>10858291</v>
      </c>
      <c r="F201" t="s">
        <v>1388</v>
      </c>
      <c r="G201" t="s">
        <v>87</v>
      </c>
      <c r="H201" t="s">
        <v>9155</v>
      </c>
      <c r="I201" s="186">
        <v>19</v>
      </c>
      <c r="J201" t="s">
        <v>1399</v>
      </c>
      <c r="K201" s="185">
        <v>142806.17000000001</v>
      </c>
      <c r="L201" s="191">
        <v>44488.562581018516</v>
      </c>
    </row>
    <row r="202" spans="1:12" x14ac:dyDescent="0.3">
      <c r="A202" s="186">
        <v>2334</v>
      </c>
      <c r="B202" s="186">
        <v>0</v>
      </c>
      <c r="C202" s="186" t="s">
        <v>9156</v>
      </c>
      <c r="D202" t="s">
        <v>1395</v>
      </c>
      <c r="E202" s="186">
        <v>2602726</v>
      </c>
      <c r="G202" t="s">
        <v>87</v>
      </c>
      <c r="H202" t="s">
        <v>9156</v>
      </c>
      <c r="I202" s="186">
        <v>3</v>
      </c>
      <c r="J202" t="s">
        <v>100</v>
      </c>
      <c r="K202">
        <v>87369.56</v>
      </c>
      <c r="L202" s="191">
        <v>44505.439502314817</v>
      </c>
    </row>
    <row r="203" spans="1:12" x14ac:dyDescent="0.3">
      <c r="A203" s="186">
        <v>2310</v>
      </c>
      <c r="B203" s="186">
        <v>10</v>
      </c>
      <c r="C203" s="186" t="s">
        <v>9157</v>
      </c>
      <c r="D203" t="s">
        <v>1387</v>
      </c>
      <c r="E203" s="186">
        <v>15063096</v>
      </c>
      <c r="F203" t="s">
        <v>1388</v>
      </c>
      <c r="G203" t="s">
        <v>87</v>
      </c>
      <c r="H203" t="s">
        <v>9157</v>
      </c>
      <c r="I203" s="186">
        <v>3</v>
      </c>
      <c r="J203" t="s">
        <v>133</v>
      </c>
      <c r="K203">
        <v>24000</v>
      </c>
      <c r="L203" s="191">
        <v>44484.61445601852</v>
      </c>
    </row>
    <row r="204" spans="1:12" x14ac:dyDescent="0.3">
      <c r="A204" s="186">
        <v>3758</v>
      </c>
      <c r="B204" s="186">
        <v>0</v>
      </c>
      <c r="C204" s="186" t="s">
        <v>9158</v>
      </c>
      <c r="D204" t="s">
        <v>1387</v>
      </c>
      <c r="E204" s="186">
        <v>4994410</v>
      </c>
      <c r="F204" t="s">
        <v>1388</v>
      </c>
      <c r="G204" t="s">
        <v>87</v>
      </c>
      <c r="H204" t="s">
        <v>9158</v>
      </c>
      <c r="I204" s="186">
        <v>3</v>
      </c>
      <c r="J204" t="s">
        <v>100</v>
      </c>
      <c r="K204" s="185">
        <v>170217.8</v>
      </c>
      <c r="L204" s="191">
        <v>44497.348506944443</v>
      </c>
    </row>
    <row r="205" spans="1:12" x14ac:dyDescent="0.3">
      <c r="A205" s="186">
        <v>3771</v>
      </c>
      <c r="B205" s="186">
        <v>10</v>
      </c>
      <c r="C205" s="186" t="s">
        <v>9159</v>
      </c>
      <c r="D205" t="s">
        <v>1387</v>
      </c>
      <c r="E205" s="186">
        <v>4060779</v>
      </c>
      <c r="F205" t="s">
        <v>1388</v>
      </c>
      <c r="G205" t="s">
        <v>87</v>
      </c>
      <c r="H205" t="s">
        <v>9159</v>
      </c>
      <c r="I205" s="186">
        <v>3</v>
      </c>
      <c r="J205" t="s">
        <v>133</v>
      </c>
      <c r="K205" s="185">
        <v>14779.56</v>
      </c>
      <c r="L205" s="191">
        <v>44504.343321759261</v>
      </c>
    </row>
    <row r="206" spans="1:12" x14ac:dyDescent="0.3">
      <c r="A206" s="186">
        <v>3777</v>
      </c>
      <c r="B206" s="186">
        <v>0</v>
      </c>
      <c r="C206" s="186" t="s">
        <v>9160</v>
      </c>
      <c r="D206" t="s">
        <v>1387</v>
      </c>
      <c r="E206" s="186">
        <v>7102198</v>
      </c>
      <c r="F206" t="s">
        <v>1388</v>
      </c>
      <c r="G206" t="s">
        <v>87</v>
      </c>
      <c r="H206" t="s">
        <v>9160</v>
      </c>
      <c r="I206" s="186">
        <v>10</v>
      </c>
      <c r="J206" t="s">
        <v>100</v>
      </c>
      <c r="K206" s="185">
        <v>36320</v>
      </c>
      <c r="L206" s="191">
        <v>44505.658194444448</v>
      </c>
    </row>
    <row r="207" spans="1:12" x14ac:dyDescent="0.3">
      <c r="A207" s="186">
        <v>3753</v>
      </c>
      <c r="B207" s="186">
        <v>-1</v>
      </c>
      <c r="C207" s="186" t="s">
        <v>9161</v>
      </c>
      <c r="D207" t="s">
        <v>1387</v>
      </c>
      <c r="E207" s="186">
        <v>3992929</v>
      </c>
      <c r="F207" t="s">
        <v>1388</v>
      </c>
      <c r="G207" t="s">
        <v>87</v>
      </c>
      <c r="H207" t="s">
        <v>9161</v>
      </c>
      <c r="I207" s="186">
        <v>9</v>
      </c>
      <c r="J207" t="s">
        <v>174</v>
      </c>
      <c r="K207" s="185">
        <v>136174.24</v>
      </c>
      <c r="L207" s="191">
        <v>44495.816342592596</v>
      </c>
    </row>
    <row r="208" spans="1:12" x14ac:dyDescent="0.3">
      <c r="A208" s="186">
        <v>3770</v>
      </c>
      <c r="B208" s="186">
        <v>18</v>
      </c>
      <c r="C208" s="186" t="s">
        <v>9162</v>
      </c>
      <c r="D208" t="s">
        <v>1387</v>
      </c>
      <c r="E208" s="186">
        <v>23893079</v>
      </c>
      <c r="F208" t="s">
        <v>1388</v>
      </c>
      <c r="G208" t="s">
        <v>87</v>
      </c>
      <c r="H208" t="s">
        <v>9162</v>
      </c>
      <c r="I208" s="186">
        <v>9</v>
      </c>
      <c r="J208" t="s">
        <v>112</v>
      </c>
      <c r="K208" s="185">
        <v>4941.67</v>
      </c>
      <c r="L208" s="191">
        <v>44503.824236111112</v>
      </c>
    </row>
    <row r="209" spans="1:12" x14ac:dyDescent="0.3">
      <c r="A209" s="186">
        <v>3732</v>
      </c>
      <c r="B209" s="186">
        <v>0</v>
      </c>
      <c r="C209" s="186" t="s">
        <v>9163</v>
      </c>
      <c r="D209" t="s">
        <v>1387</v>
      </c>
      <c r="E209" s="186">
        <v>3257878</v>
      </c>
      <c r="F209" t="s">
        <v>1388</v>
      </c>
      <c r="G209" t="s">
        <v>87</v>
      </c>
      <c r="H209" t="s">
        <v>9163</v>
      </c>
      <c r="I209" s="186">
        <v>3</v>
      </c>
      <c r="J209" t="s">
        <v>100</v>
      </c>
      <c r="K209">
        <v>174208.32</v>
      </c>
      <c r="L209" s="191">
        <v>44484.394432870373</v>
      </c>
    </row>
    <row r="210" spans="1:12" x14ac:dyDescent="0.3">
      <c r="A210" s="186">
        <v>3723</v>
      </c>
      <c r="B210" s="186">
        <v>0</v>
      </c>
      <c r="C210" s="186" t="s">
        <v>9164</v>
      </c>
      <c r="D210" t="s">
        <v>1387</v>
      </c>
      <c r="E210" s="186">
        <v>19336666</v>
      </c>
      <c r="F210" t="s">
        <v>1388</v>
      </c>
      <c r="G210" t="s">
        <v>87</v>
      </c>
      <c r="H210" t="s">
        <v>9164</v>
      </c>
      <c r="I210" s="186">
        <v>2</v>
      </c>
      <c r="J210" t="s">
        <v>100</v>
      </c>
      <c r="K210" s="185">
        <v>26949.99</v>
      </c>
      <c r="L210" s="191">
        <v>44480.696550925924</v>
      </c>
    </row>
    <row r="211" spans="1:12" x14ac:dyDescent="0.3">
      <c r="A211" s="186">
        <v>3775</v>
      </c>
      <c r="B211" s="186">
        <v>0</v>
      </c>
      <c r="C211" s="186" t="s">
        <v>9165</v>
      </c>
      <c r="D211" t="s">
        <v>1387</v>
      </c>
      <c r="E211" s="186">
        <v>20651311</v>
      </c>
      <c r="F211" t="s">
        <v>1388</v>
      </c>
      <c r="G211" t="s">
        <v>87</v>
      </c>
      <c r="H211" t="s">
        <v>9165</v>
      </c>
      <c r="I211" s="186">
        <v>3</v>
      </c>
      <c r="J211" t="s">
        <v>100</v>
      </c>
      <c r="K211" s="185">
        <v>13684.78</v>
      </c>
      <c r="L211" s="191">
        <v>44504.601747685185</v>
      </c>
    </row>
    <row r="212" spans="1:12" x14ac:dyDescent="0.3">
      <c r="A212" s="186">
        <v>3763</v>
      </c>
      <c r="B212" s="186">
        <v>0</v>
      </c>
      <c r="C212" s="186" t="s">
        <v>9166</v>
      </c>
      <c r="D212" t="s">
        <v>1387</v>
      </c>
      <c r="E212" s="186">
        <v>70008256187</v>
      </c>
      <c r="F212" t="s">
        <v>1388</v>
      </c>
      <c r="G212" t="s">
        <v>87</v>
      </c>
      <c r="H212" t="s">
        <v>9166</v>
      </c>
      <c r="I212" s="186">
        <v>10</v>
      </c>
      <c r="J212" t="s">
        <v>100</v>
      </c>
      <c r="K212" s="185">
        <v>450000</v>
      </c>
      <c r="L212" s="191">
        <v>44498.405023148145</v>
      </c>
    </row>
    <row r="213" spans="1:12" x14ac:dyDescent="0.3">
      <c r="A213" s="186">
        <v>3743</v>
      </c>
      <c r="B213" s="186">
        <v>-1</v>
      </c>
      <c r="C213" s="186" t="s">
        <v>9167</v>
      </c>
      <c r="D213" t="s">
        <v>1387</v>
      </c>
      <c r="E213" s="186">
        <v>33751392</v>
      </c>
      <c r="F213" t="s">
        <v>1388</v>
      </c>
      <c r="G213" t="s">
        <v>87</v>
      </c>
      <c r="H213" t="s">
        <v>9167</v>
      </c>
      <c r="I213" s="186">
        <v>19</v>
      </c>
      <c r="J213" t="s">
        <v>174</v>
      </c>
      <c r="K213" s="185">
        <v>74027.600000000006</v>
      </c>
      <c r="L213" s="191">
        <v>44489.703946759262</v>
      </c>
    </row>
    <row r="214" spans="1:12" x14ac:dyDescent="0.3">
      <c r="A214" s="186">
        <v>3746</v>
      </c>
      <c r="B214" s="186">
        <v>-1</v>
      </c>
      <c r="C214" s="186" t="s">
        <v>9168</v>
      </c>
      <c r="D214" t="s">
        <v>1387</v>
      </c>
      <c r="E214" s="186">
        <v>5212138</v>
      </c>
      <c r="F214" t="s">
        <v>1388</v>
      </c>
      <c r="G214" t="s">
        <v>87</v>
      </c>
      <c r="H214" t="s">
        <v>9168</v>
      </c>
      <c r="I214" s="186">
        <v>10</v>
      </c>
      <c r="J214" t="s">
        <v>174</v>
      </c>
      <c r="K214">
        <v>350051.13</v>
      </c>
      <c r="L214" s="191">
        <v>44494.661840277775</v>
      </c>
    </row>
    <row r="215" spans="1:12" x14ac:dyDescent="0.3">
      <c r="A215" s="186">
        <v>2329</v>
      </c>
      <c r="B215" s="186">
        <v>0</v>
      </c>
      <c r="C215" s="186" t="s">
        <v>9169</v>
      </c>
      <c r="D215" t="s">
        <v>1387</v>
      </c>
      <c r="E215" s="186">
        <v>4458217</v>
      </c>
      <c r="F215" t="s">
        <v>1388</v>
      </c>
      <c r="G215" t="s">
        <v>87</v>
      </c>
      <c r="H215" t="s">
        <v>9169</v>
      </c>
      <c r="I215" s="186">
        <v>18</v>
      </c>
      <c r="J215" t="s">
        <v>100</v>
      </c>
      <c r="K215">
        <v>23721.71</v>
      </c>
      <c r="L215" s="191">
        <v>44503.458101851851</v>
      </c>
    </row>
    <row r="216" spans="1:12" x14ac:dyDescent="0.3">
      <c r="A216" s="186">
        <v>2346</v>
      </c>
      <c r="B216" s="186">
        <v>-1</v>
      </c>
      <c r="C216" s="186" t="s">
        <v>9170</v>
      </c>
      <c r="D216" t="s">
        <v>1387</v>
      </c>
      <c r="E216" s="186">
        <v>20231848</v>
      </c>
      <c r="F216" t="s">
        <v>1388</v>
      </c>
      <c r="G216" t="s">
        <v>87</v>
      </c>
      <c r="H216" t="s">
        <v>9170</v>
      </c>
      <c r="I216" s="186">
        <v>2</v>
      </c>
      <c r="J216" t="s">
        <v>174</v>
      </c>
      <c r="K216" s="185">
        <v>110000</v>
      </c>
      <c r="L216" s="191">
        <v>44511.408680555556</v>
      </c>
    </row>
    <row r="217" spans="1:12" x14ac:dyDescent="0.3">
      <c r="A217" s="186">
        <v>3821</v>
      </c>
      <c r="B217" s="186">
        <v>0</v>
      </c>
      <c r="C217" s="186" t="s">
        <v>9171</v>
      </c>
      <c r="D217" t="s">
        <v>1387</v>
      </c>
      <c r="E217" s="186">
        <v>17591369</v>
      </c>
      <c r="F217" t="s">
        <v>1388</v>
      </c>
      <c r="G217" t="s">
        <v>87</v>
      </c>
      <c r="H217" t="s">
        <v>9171</v>
      </c>
      <c r="I217" s="186">
        <v>10</v>
      </c>
      <c r="J217" t="s">
        <v>100</v>
      </c>
      <c r="K217" s="185">
        <v>30000</v>
      </c>
      <c r="L217" s="191">
        <v>44530.694340277776</v>
      </c>
    </row>
    <row r="218" spans="1:12" x14ac:dyDescent="0.3">
      <c r="A218" s="186">
        <v>2370</v>
      </c>
      <c r="B218" s="186" t="s">
        <v>1389</v>
      </c>
      <c r="C218" s="186" t="s">
        <v>9172</v>
      </c>
      <c r="D218" t="s">
        <v>1387</v>
      </c>
      <c r="E218" s="186">
        <v>83646547</v>
      </c>
      <c r="F218" t="s">
        <v>1388</v>
      </c>
      <c r="G218" t="s">
        <v>87</v>
      </c>
      <c r="H218" t="s">
        <v>9172</v>
      </c>
      <c r="I218" s="186">
        <v>10</v>
      </c>
      <c r="J218" t="s">
        <v>1390</v>
      </c>
      <c r="K218">
        <v>792500</v>
      </c>
      <c r="L218" s="191">
        <v>44531.439652777779</v>
      </c>
    </row>
    <row r="219" spans="1:12" x14ac:dyDescent="0.3">
      <c r="A219" s="186">
        <v>3844</v>
      </c>
      <c r="B219" s="186">
        <v>0</v>
      </c>
      <c r="C219" s="186" t="s">
        <v>9173</v>
      </c>
      <c r="D219" t="s">
        <v>1387</v>
      </c>
      <c r="E219" s="186">
        <v>28432390</v>
      </c>
      <c r="F219" t="s">
        <v>1388</v>
      </c>
      <c r="G219" t="s">
        <v>87</v>
      </c>
      <c r="H219" t="s">
        <v>9173</v>
      </c>
      <c r="I219" s="186">
        <v>10</v>
      </c>
      <c r="J219" t="s">
        <v>100</v>
      </c>
      <c r="K219">
        <v>35000</v>
      </c>
      <c r="L219" s="191">
        <v>44543.437523148146</v>
      </c>
    </row>
    <row r="220" spans="1:12" x14ac:dyDescent="0.3">
      <c r="A220" s="186">
        <v>2391</v>
      </c>
      <c r="B220" s="186">
        <v>0</v>
      </c>
      <c r="C220" s="186" t="s">
        <v>9174</v>
      </c>
      <c r="D220" t="s">
        <v>1387</v>
      </c>
      <c r="E220" s="186">
        <v>10931472</v>
      </c>
      <c r="F220" t="s">
        <v>1388</v>
      </c>
      <c r="G220" t="s">
        <v>87</v>
      </c>
      <c r="H220" t="s">
        <v>9174</v>
      </c>
      <c r="I220" s="186">
        <v>2</v>
      </c>
      <c r="J220" t="s">
        <v>100</v>
      </c>
      <c r="K220" s="185">
        <v>60000</v>
      </c>
      <c r="L220" s="191">
        <v>44544.483136574076</v>
      </c>
    </row>
    <row r="221" spans="1:12" x14ac:dyDescent="0.3">
      <c r="A221" s="186">
        <v>3808</v>
      </c>
      <c r="B221" s="186">
        <v>30</v>
      </c>
      <c r="C221" s="186" t="s">
        <v>9175</v>
      </c>
      <c r="D221" t="s">
        <v>1387</v>
      </c>
      <c r="E221" s="186">
        <v>44013159</v>
      </c>
      <c r="F221" t="s">
        <v>1388</v>
      </c>
      <c r="G221" t="s">
        <v>87</v>
      </c>
      <c r="H221" t="s">
        <v>9175</v>
      </c>
      <c r="I221" s="186">
        <v>26</v>
      </c>
      <c r="J221" t="s">
        <v>103</v>
      </c>
      <c r="K221" s="185">
        <v>60535.62</v>
      </c>
      <c r="L221" s="191">
        <v>44523.704270833332</v>
      </c>
    </row>
    <row r="222" spans="1:12" x14ac:dyDescent="0.3">
      <c r="A222" s="186">
        <v>2363</v>
      </c>
      <c r="B222" s="186">
        <v>-1</v>
      </c>
      <c r="C222" s="186" t="s">
        <v>9176</v>
      </c>
      <c r="D222" t="s">
        <v>1387</v>
      </c>
      <c r="E222" s="186">
        <v>86435779600</v>
      </c>
      <c r="F222" t="s">
        <v>1388</v>
      </c>
      <c r="G222" t="s">
        <v>87</v>
      </c>
      <c r="H222" t="s">
        <v>9176</v>
      </c>
      <c r="I222" s="186">
        <v>2</v>
      </c>
      <c r="J222" t="s">
        <v>174</v>
      </c>
      <c r="K222" s="185">
        <v>170000</v>
      </c>
      <c r="L222" s="191">
        <v>44525.433796296296</v>
      </c>
    </row>
    <row r="223" spans="1:12" x14ac:dyDescent="0.3">
      <c r="A223" s="186">
        <v>3817</v>
      </c>
      <c r="B223" s="186">
        <v>-1</v>
      </c>
      <c r="C223" s="186" t="s">
        <v>9177</v>
      </c>
      <c r="D223" t="s">
        <v>1387</v>
      </c>
      <c r="E223" s="186">
        <v>5571228</v>
      </c>
      <c r="F223" t="s">
        <v>1388</v>
      </c>
      <c r="G223" t="s">
        <v>87</v>
      </c>
      <c r="H223" t="s">
        <v>9177</v>
      </c>
      <c r="I223" s="186">
        <v>9</v>
      </c>
      <c r="J223" t="s">
        <v>174</v>
      </c>
      <c r="K223" s="185">
        <v>38384.68</v>
      </c>
      <c r="L223" s="191">
        <v>44526.680648148147</v>
      </c>
    </row>
    <row r="224" spans="1:12" x14ac:dyDescent="0.3">
      <c r="A224" s="186">
        <v>2381</v>
      </c>
      <c r="B224" s="186">
        <v>0</v>
      </c>
      <c r="C224" s="186" t="s">
        <v>9178</v>
      </c>
      <c r="D224" t="s">
        <v>1387</v>
      </c>
      <c r="E224" s="186">
        <v>10931472</v>
      </c>
      <c r="F224" t="s">
        <v>1388</v>
      </c>
      <c r="G224" t="s">
        <v>87</v>
      </c>
      <c r="H224" t="s">
        <v>9178</v>
      </c>
      <c r="I224" s="186">
        <v>2</v>
      </c>
      <c r="J224" t="s">
        <v>100</v>
      </c>
      <c r="K224" s="185">
        <v>98000</v>
      </c>
      <c r="L224" s="191">
        <v>44537.600671296299</v>
      </c>
    </row>
    <row r="225" spans="1:12" x14ac:dyDescent="0.3">
      <c r="A225" s="186">
        <v>2355</v>
      </c>
      <c r="B225" s="186">
        <v>0</v>
      </c>
      <c r="C225" s="186" t="s">
        <v>9179</v>
      </c>
      <c r="D225" t="s">
        <v>1387</v>
      </c>
      <c r="E225" s="186">
        <v>13313434</v>
      </c>
      <c r="F225" t="s">
        <v>1388</v>
      </c>
      <c r="G225" t="s">
        <v>87</v>
      </c>
      <c r="H225" t="s">
        <v>9179</v>
      </c>
      <c r="I225" s="186">
        <v>43</v>
      </c>
      <c r="J225" t="s">
        <v>100</v>
      </c>
      <c r="K225" s="185">
        <v>20000</v>
      </c>
      <c r="L225" s="191">
        <v>44519.597997685189</v>
      </c>
    </row>
    <row r="226" spans="1:12" x14ac:dyDescent="0.3">
      <c r="A226" s="186">
        <v>3823</v>
      </c>
      <c r="B226" s="186">
        <v>0</v>
      </c>
      <c r="C226" s="186" t="s">
        <v>9180</v>
      </c>
      <c r="D226" t="s">
        <v>1387</v>
      </c>
      <c r="E226" s="186">
        <v>22415842</v>
      </c>
      <c r="F226" t="s">
        <v>1388</v>
      </c>
      <c r="G226" t="s">
        <v>87</v>
      </c>
      <c r="H226" t="s">
        <v>9180</v>
      </c>
      <c r="I226" s="186">
        <v>10</v>
      </c>
      <c r="J226" t="s">
        <v>100</v>
      </c>
      <c r="K226" s="185">
        <v>39577.5</v>
      </c>
      <c r="L226" s="191">
        <v>44531.471759259257</v>
      </c>
    </row>
    <row r="227" spans="1:12" x14ac:dyDescent="0.3">
      <c r="A227" s="186">
        <v>3841</v>
      </c>
      <c r="B227" s="186">
        <v>0</v>
      </c>
      <c r="C227" s="186" t="s">
        <v>9181</v>
      </c>
      <c r="D227" t="s">
        <v>1387</v>
      </c>
      <c r="E227" s="186">
        <v>14688220</v>
      </c>
      <c r="F227" t="s">
        <v>1388</v>
      </c>
      <c r="G227" t="s">
        <v>87</v>
      </c>
      <c r="H227" t="s">
        <v>9181</v>
      </c>
      <c r="I227" s="186">
        <v>9</v>
      </c>
      <c r="J227" t="s">
        <v>100</v>
      </c>
      <c r="K227" s="185">
        <v>80916.08</v>
      </c>
      <c r="L227" s="191">
        <v>44539.483460648145</v>
      </c>
    </row>
    <row r="228" spans="1:12" x14ac:dyDescent="0.3">
      <c r="A228" s="186">
        <v>2386</v>
      </c>
      <c r="B228" s="186">
        <v>0</v>
      </c>
      <c r="C228" s="186" t="s">
        <v>9182</v>
      </c>
      <c r="D228" t="s">
        <v>1387</v>
      </c>
      <c r="E228" s="186">
        <v>76236021600</v>
      </c>
      <c r="F228" t="s">
        <v>1388</v>
      </c>
      <c r="G228" t="s">
        <v>87</v>
      </c>
      <c r="H228" t="s">
        <v>9182</v>
      </c>
      <c r="I228" s="186">
        <v>2</v>
      </c>
      <c r="J228" t="s">
        <v>100</v>
      </c>
      <c r="K228" s="185">
        <v>75000</v>
      </c>
      <c r="L228" s="191">
        <v>44540.439363425925</v>
      </c>
    </row>
    <row r="229" spans="1:12" x14ac:dyDescent="0.3">
      <c r="A229" s="186">
        <v>2388</v>
      </c>
      <c r="B229" s="186">
        <v>0</v>
      </c>
      <c r="C229" s="186" t="s">
        <v>9183</v>
      </c>
      <c r="D229" t="s">
        <v>1387</v>
      </c>
      <c r="E229" s="186">
        <v>10718126</v>
      </c>
      <c r="F229" t="s">
        <v>1388</v>
      </c>
      <c r="G229" t="s">
        <v>87</v>
      </c>
      <c r="H229" t="s">
        <v>9183</v>
      </c>
      <c r="I229" s="186">
        <v>2</v>
      </c>
      <c r="J229" t="s">
        <v>100</v>
      </c>
      <c r="K229" s="185">
        <v>50000</v>
      </c>
      <c r="L229" s="191">
        <v>44543.436365740738</v>
      </c>
    </row>
    <row r="230" spans="1:12" x14ac:dyDescent="0.3">
      <c r="A230" s="186">
        <v>2392</v>
      </c>
      <c r="B230" s="186">
        <v>0</v>
      </c>
      <c r="C230" s="186" t="s">
        <v>9184</v>
      </c>
      <c r="D230" t="s">
        <v>1387</v>
      </c>
      <c r="E230" s="186">
        <v>10931472</v>
      </c>
      <c r="F230" t="s">
        <v>1388</v>
      </c>
      <c r="G230" t="s">
        <v>87</v>
      </c>
      <c r="H230" t="s">
        <v>9184</v>
      </c>
      <c r="I230" s="186">
        <v>2</v>
      </c>
      <c r="J230" t="s">
        <v>100</v>
      </c>
      <c r="K230" s="185">
        <v>38000</v>
      </c>
      <c r="L230" s="191">
        <v>44544.487743055557</v>
      </c>
    </row>
    <row r="231" spans="1:12" x14ac:dyDescent="0.3">
      <c r="A231" s="186">
        <v>3812</v>
      </c>
      <c r="B231" s="186">
        <v>0</v>
      </c>
      <c r="C231" s="186" t="s">
        <v>9185</v>
      </c>
      <c r="D231" t="s">
        <v>1387</v>
      </c>
      <c r="E231" s="186">
        <v>15632398</v>
      </c>
      <c r="F231" t="s">
        <v>1410</v>
      </c>
      <c r="G231" t="s">
        <v>113</v>
      </c>
      <c r="H231" t="s">
        <v>9185</v>
      </c>
      <c r="I231" s="186">
        <v>24</v>
      </c>
      <c r="J231" t="s">
        <v>100</v>
      </c>
      <c r="K231" s="185">
        <v>76000</v>
      </c>
      <c r="L231" s="191">
        <v>44525.576249999998</v>
      </c>
    </row>
    <row r="232" spans="1:12" x14ac:dyDescent="0.3">
      <c r="A232" s="186">
        <v>3843</v>
      </c>
      <c r="B232" s="186">
        <v>60</v>
      </c>
      <c r="C232" s="186" t="s">
        <v>9186</v>
      </c>
      <c r="D232" t="s">
        <v>1387</v>
      </c>
      <c r="E232" s="186">
        <v>33500609</v>
      </c>
      <c r="F232" t="s">
        <v>1388</v>
      </c>
      <c r="G232" t="s">
        <v>87</v>
      </c>
      <c r="H232" t="s">
        <v>9186</v>
      </c>
      <c r="I232" s="186">
        <v>3</v>
      </c>
      <c r="J232" t="s">
        <v>97</v>
      </c>
      <c r="K232" s="185">
        <v>16650</v>
      </c>
      <c r="L232" s="191">
        <v>44540.650625000002</v>
      </c>
    </row>
    <row r="233" spans="1:12" x14ac:dyDescent="0.3">
      <c r="A233" s="186">
        <v>2393</v>
      </c>
      <c r="B233" s="186">
        <v>0</v>
      </c>
      <c r="C233" s="186" t="s">
        <v>9187</v>
      </c>
      <c r="D233" t="s">
        <v>1394</v>
      </c>
      <c r="E233" s="186">
        <v>38501872687</v>
      </c>
      <c r="G233" t="s">
        <v>87</v>
      </c>
      <c r="H233" t="s">
        <v>9187</v>
      </c>
      <c r="I233" s="186">
        <v>2</v>
      </c>
      <c r="J233" t="s">
        <v>100</v>
      </c>
      <c r="K233" s="185">
        <v>0</v>
      </c>
      <c r="L233" s="191">
        <v>44544.713506944441</v>
      </c>
    </row>
    <row r="234" spans="1:12" x14ac:dyDescent="0.3">
      <c r="A234" s="186">
        <v>3803</v>
      </c>
      <c r="B234" s="186">
        <v>0</v>
      </c>
      <c r="C234" s="186" t="s">
        <v>9188</v>
      </c>
      <c r="D234" t="s">
        <v>1394</v>
      </c>
      <c r="E234" s="186">
        <v>44983435</v>
      </c>
      <c r="G234" t="s">
        <v>87</v>
      </c>
      <c r="H234" t="s">
        <v>9188</v>
      </c>
      <c r="I234" s="186">
        <v>9</v>
      </c>
      <c r="J234" t="s">
        <v>100</v>
      </c>
      <c r="K234">
        <v>0</v>
      </c>
      <c r="L234" s="191">
        <v>44521.505891203706</v>
      </c>
    </row>
    <row r="235" spans="1:12" x14ac:dyDescent="0.3">
      <c r="A235" s="186">
        <v>3805</v>
      </c>
      <c r="B235" s="186">
        <v>0</v>
      </c>
      <c r="C235" s="186" t="s">
        <v>9189</v>
      </c>
      <c r="D235" t="s">
        <v>1395</v>
      </c>
      <c r="E235" s="186">
        <v>21062047</v>
      </c>
      <c r="G235" t="s">
        <v>87</v>
      </c>
      <c r="H235" t="s">
        <v>9189</v>
      </c>
      <c r="I235" s="186">
        <v>3</v>
      </c>
      <c r="J235" t="s">
        <v>100</v>
      </c>
      <c r="K235">
        <v>1449288.6</v>
      </c>
      <c r="L235" s="191">
        <v>44522.614340277774</v>
      </c>
    </row>
    <row r="236" spans="1:12" x14ac:dyDescent="0.3">
      <c r="A236" s="186">
        <v>2365</v>
      </c>
      <c r="B236" s="186">
        <v>-1</v>
      </c>
      <c r="C236" s="186" t="s">
        <v>9190</v>
      </c>
      <c r="D236" t="s">
        <v>1387</v>
      </c>
      <c r="E236" s="186">
        <v>86435779600</v>
      </c>
      <c r="F236" t="s">
        <v>1388</v>
      </c>
      <c r="G236" t="s">
        <v>87</v>
      </c>
      <c r="H236" t="s">
        <v>9190</v>
      </c>
      <c r="I236" s="186">
        <v>2</v>
      </c>
      <c r="J236" t="s">
        <v>174</v>
      </c>
      <c r="K236" s="185">
        <v>170000</v>
      </c>
      <c r="L236" s="191">
        <v>44526.471909722219</v>
      </c>
    </row>
    <row r="237" spans="1:12" x14ac:dyDescent="0.3">
      <c r="A237" s="186">
        <v>3819</v>
      </c>
      <c r="B237" s="186">
        <v>10</v>
      </c>
      <c r="C237" s="186" t="s">
        <v>9191</v>
      </c>
      <c r="D237" t="s">
        <v>1387</v>
      </c>
      <c r="E237" s="186">
        <v>9110880</v>
      </c>
      <c r="F237" t="s">
        <v>1388</v>
      </c>
      <c r="G237" t="s">
        <v>87</v>
      </c>
      <c r="H237" t="s">
        <v>9191</v>
      </c>
      <c r="I237" s="186">
        <v>9</v>
      </c>
      <c r="J237" t="s">
        <v>133</v>
      </c>
      <c r="K237" s="185">
        <v>32228.880000000001</v>
      </c>
      <c r="L237" s="191">
        <v>44529.772256944445</v>
      </c>
    </row>
    <row r="238" spans="1:12" x14ac:dyDescent="0.3">
      <c r="A238" s="186">
        <v>3829</v>
      </c>
      <c r="B238" s="186">
        <v>30</v>
      </c>
      <c r="C238" s="186" t="s">
        <v>9192</v>
      </c>
      <c r="D238" t="s">
        <v>1387</v>
      </c>
      <c r="E238" s="186">
        <v>8310839</v>
      </c>
      <c r="F238" t="s">
        <v>1388</v>
      </c>
      <c r="G238" t="s">
        <v>87</v>
      </c>
      <c r="H238" t="s">
        <v>9192</v>
      </c>
      <c r="I238" s="186">
        <v>18</v>
      </c>
      <c r="J238" t="s">
        <v>103</v>
      </c>
      <c r="K238" s="185">
        <v>16600</v>
      </c>
      <c r="L238" s="191">
        <v>44533.440393518518</v>
      </c>
    </row>
    <row r="239" spans="1:12" x14ac:dyDescent="0.3">
      <c r="A239" s="186">
        <v>3795</v>
      </c>
      <c r="B239" s="186" t="s">
        <v>1257</v>
      </c>
      <c r="C239" s="186" t="s">
        <v>9193</v>
      </c>
      <c r="D239" t="s">
        <v>1387</v>
      </c>
      <c r="E239" s="186">
        <v>26240903</v>
      </c>
      <c r="F239" t="s">
        <v>1388</v>
      </c>
      <c r="G239" t="s">
        <v>87</v>
      </c>
      <c r="H239" t="s">
        <v>9193</v>
      </c>
      <c r="I239" s="186">
        <v>3</v>
      </c>
      <c r="J239" t="s">
        <v>1258</v>
      </c>
      <c r="K239">
        <v>12449.9</v>
      </c>
      <c r="L239" s="191">
        <v>44516.703692129631</v>
      </c>
    </row>
    <row r="240" spans="1:12" x14ac:dyDescent="0.3">
      <c r="A240" s="186">
        <v>2375</v>
      </c>
      <c r="B240" s="186">
        <v>30</v>
      </c>
      <c r="C240" s="186" t="s">
        <v>9194</v>
      </c>
      <c r="D240" t="s">
        <v>1387</v>
      </c>
      <c r="E240" s="186">
        <v>4060779</v>
      </c>
      <c r="F240" t="s">
        <v>1388</v>
      </c>
      <c r="G240" t="s">
        <v>87</v>
      </c>
      <c r="H240" t="s">
        <v>9194</v>
      </c>
      <c r="I240" s="186">
        <v>3</v>
      </c>
      <c r="J240" t="s">
        <v>103</v>
      </c>
      <c r="K240" s="185">
        <v>34043.56</v>
      </c>
      <c r="L240" s="191">
        <v>44533.649525462963</v>
      </c>
    </row>
    <row r="241" spans="1:12" x14ac:dyDescent="0.3">
      <c r="A241" s="186">
        <v>2376</v>
      </c>
      <c r="B241" s="186">
        <v>0</v>
      </c>
      <c r="C241" s="186" t="s">
        <v>9195</v>
      </c>
      <c r="D241" t="s">
        <v>1387</v>
      </c>
      <c r="E241" s="186">
        <v>1628391626</v>
      </c>
      <c r="F241" t="s">
        <v>1388</v>
      </c>
      <c r="G241" t="s">
        <v>87</v>
      </c>
      <c r="H241" t="s">
        <v>9195</v>
      </c>
      <c r="I241" s="186">
        <v>2</v>
      </c>
      <c r="J241" t="s">
        <v>100</v>
      </c>
      <c r="K241" s="185">
        <v>350000</v>
      </c>
      <c r="L241" s="191">
        <v>44533.682453703703</v>
      </c>
    </row>
    <row r="242" spans="1:12" x14ac:dyDescent="0.3">
      <c r="A242" s="186">
        <v>3790</v>
      </c>
      <c r="B242" s="186">
        <v>13</v>
      </c>
      <c r="C242" s="186" t="s">
        <v>9196</v>
      </c>
      <c r="D242" t="s">
        <v>1387</v>
      </c>
      <c r="E242" s="186">
        <v>22060255</v>
      </c>
      <c r="F242" t="s">
        <v>1388</v>
      </c>
      <c r="G242" t="s">
        <v>87</v>
      </c>
      <c r="H242" t="s">
        <v>9196</v>
      </c>
      <c r="I242" s="186">
        <v>18</v>
      </c>
      <c r="J242" t="s">
        <v>1434</v>
      </c>
      <c r="K242">
        <v>31245.43</v>
      </c>
      <c r="L242" s="191">
        <v>44512.462800925925</v>
      </c>
    </row>
    <row r="243" spans="1:12" x14ac:dyDescent="0.3">
      <c r="A243" s="186">
        <v>3807</v>
      </c>
      <c r="B243" s="186">
        <v>0</v>
      </c>
      <c r="C243" s="186" t="s">
        <v>9197</v>
      </c>
      <c r="D243" t="s">
        <v>1387</v>
      </c>
      <c r="E243" s="186">
        <v>28432390</v>
      </c>
      <c r="F243" t="s">
        <v>1388</v>
      </c>
      <c r="G243" t="s">
        <v>87</v>
      </c>
      <c r="H243" t="s">
        <v>9197</v>
      </c>
      <c r="I243" s="186">
        <v>10</v>
      </c>
      <c r="J243" t="s">
        <v>100</v>
      </c>
      <c r="K243" s="185">
        <v>50000</v>
      </c>
      <c r="L243" s="191">
        <v>44523.375578703701</v>
      </c>
    </row>
    <row r="244" spans="1:12" x14ac:dyDescent="0.3">
      <c r="A244" s="186">
        <v>2369</v>
      </c>
      <c r="B244" s="186">
        <v>0</v>
      </c>
      <c r="C244" s="186" t="s">
        <v>9198</v>
      </c>
      <c r="D244" t="s">
        <v>1387</v>
      </c>
      <c r="E244" s="186">
        <v>27742001</v>
      </c>
      <c r="F244" t="s">
        <v>1388</v>
      </c>
      <c r="G244" t="s">
        <v>87</v>
      </c>
      <c r="H244" t="s">
        <v>9198</v>
      </c>
      <c r="I244" s="186">
        <v>10</v>
      </c>
      <c r="J244" t="s">
        <v>100</v>
      </c>
      <c r="K244" s="185">
        <v>260200</v>
      </c>
      <c r="L244" s="191">
        <v>44531.360393518517</v>
      </c>
    </row>
    <row r="245" spans="1:12" x14ac:dyDescent="0.3">
      <c r="A245" s="186">
        <v>3822</v>
      </c>
      <c r="B245" s="186" t="s">
        <v>175</v>
      </c>
      <c r="C245" s="186" t="s">
        <v>9199</v>
      </c>
      <c r="D245" t="s">
        <v>1387</v>
      </c>
      <c r="E245" s="186">
        <v>22060255</v>
      </c>
      <c r="F245" t="s">
        <v>1388</v>
      </c>
      <c r="G245" t="s">
        <v>87</v>
      </c>
      <c r="H245" t="s">
        <v>9199</v>
      </c>
      <c r="I245" s="186">
        <v>18</v>
      </c>
      <c r="J245" t="s">
        <v>176</v>
      </c>
      <c r="K245" s="185">
        <v>31245.43</v>
      </c>
      <c r="L245" s="191">
        <v>44531.427071759259</v>
      </c>
    </row>
    <row r="246" spans="1:12" x14ac:dyDescent="0.3">
      <c r="A246" s="186">
        <v>3835</v>
      </c>
      <c r="B246" s="186">
        <v>0</v>
      </c>
      <c r="C246" s="186" t="s">
        <v>9200</v>
      </c>
      <c r="D246" t="s">
        <v>1387</v>
      </c>
      <c r="E246" s="186">
        <v>29649374272</v>
      </c>
      <c r="F246" t="s">
        <v>1388</v>
      </c>
      <c r="G246" t="s">
        <v>87</v>
      </c>
      <c r="H246" t="s">
        <v>9200</v>
      </c>
      <c r="I246" s="186">
        <v>10</v>
      </c>
      <c r="J246" t="s">
        <v>100</v>
      </c>
      <c r="K246" s="185">
        <v>230000</v>
      </c>
      <c r="L246" s="191">
        <v>44536.460439814815</v>
      </c>
    </row>
    <row r="247" spans="1:12" x14ac:dyDescent="0.3">
      <c r="A247" s="186">
        <v>3931</v>
      </c>
      <c r="B247" s="186">
        <v>28</v>
      </c>
      <c r="C247" s="186" t="s">
        <v>9201</v>
      </c>
      <c r="D247" t="s">
        <v>1387</v>
      </c>
      <c r="E247" s="186">
        <v>14986991</v>
      </c>
      <c r="F247" t="s">
        <v>1388</v>
      </c>
      <c r="G247" t="s">
        <v>87</v>
      </c>
      <c r="H247" t="s">
        <v>9201</v>
      </c>
      <c r="I247" s="186">
        <v>3</v>
      </c>
      <c r="J247" t="s">
        <v>130</v>
      </c>
      <c r="K247" s="185">
        <v>12106.06</v>
      </c>
      <c r="L247" s="191">
        <v>44586.485937500001</v>
      </c>
    </row>
    <row r="248" spans="1:12" x14ac:dyDescent="0.3">
      <c r="A248" s="186">
        <v>2408</v>
      </c>
      <c r="B248" s="186" t="s">
        <v>195</v>
      </c>
      <c r="C248" s="186" t="s">
        <v>9202</v>
      </c>
      <c r="D248" t="s">
        <v>1387</v>
      </c>
      <c r="E248" s="186">
        <v>6066763</v>
      </c>
      <c r="F248" t="s">
        <v>1388</v>
      </c>
      <c r="G248" t="s">
        <v>87</v>
      </c>
      <c r="H248" t="s">
        <v>9202</v>
      </c>
      <c r="I248" s="186">
        <v>9</v>
      </c>
      <c r="J248" t="s">
        <v>196</v>
      </c>
      <c r="K248">
        <v>25500</v>
      </c>
      <c r="L248" s="191">
        <v>44572.508194444446</v>
      </c>
    </row>
    <row r="249" spans="1:12" x14ac:dyDescent="0.3">
      <c r="A249" s="186">
        <v>2409</v>
      </c>
      <c r="B249" s="186">
        <v>30</v>
      </c>
      <c r="C249" s="186" t="s">
        <v>9203</v>
      </c>
      <c r="D249" t="s">
        <v>1387</v>
      </c>
      <c r="E249" s="186">
        <v>37490799</v>
      </c>
      <c r="F249" t="s">
        <v>1388</v>
      </c>
      <c r="G249" t="s">
        <v>87</v>
      </c>
      <c r="H249" t="s">
        <v>9203</v>
      </c>
      <c r="I249" s="186">
        <v>19</v>
      </c>
      <c r="J249" t="s">
        <v>103</v>
      </c>
      <c r="K249" s="185">
        <v>22500</v>
      </c>
      <c r="L249" s="191">
        <v>44572.683113425926</v>
      </c>
    </row>
    <row r="250" spans="1:12" x14ac:dyDescent="0.3">
      <c r="A250" s="186">
        <v>3938</v>
      </c>
      <c r="B250" s="186">
        <v>10</v>
      </c>
      <c r="C250" s="186" t="s">
        <v>9204</v>
      </c>
      <c r="D250" t="s">
        <v>1387</v>
      </c>
      <c r="E250" s="186">
        <v>5571228</v>
      </c>
      <c r="F250" t="s">
        <v>1388</v>
      </c>
      <c r="G250" t="s">
        <v>87</v>
      </c>
      <c r="H250" t="s">
        <v>9204</v>
      </c>
      <c r="I250" s="186">
        <v>9</v>
      </c>
      <c r="J250" t="s">
        <v>133</v>
      </c>
      <c r="K250" s="185">
        <v>39984.04</v>
      </c>
      <c r="L250" s="191">
        <v>44588.550439814811</v>
      </c>
    </row>
    <row r="251" spans="1:12" x14ac:dyDescent="0.3">
      <c r="A251" s="186">
        <v>3887</v>
      </c>
      <c r="B251" s="186">
        <v>10</v>
      </c>
      <c r="C251" s="186" t="s">
        <v>9205</v>
      </c>
      <c r="D251" t="s">
        <v>1387</v>
      </c>
      <c r="E251" s="186">
        <v>8555864</v>
      </c>
      <c r="F251" t="s">
        <v>1388</v>
      </c>
      <c r="G251" t="s">
        <v>87</v>
      </c>
      <c r="H251" t="s">
        <v>9205</v>
      </c>
      <c r="I251" s="186">
        <v>9</v>
      </c>
      <c r="J251" t="s">
        <v>133</v>
      </c>
      <c r="K251" s="185">
        <v>33986.43</v>
      </c>
      <c r="L251" s="191">
        <v>44572.398240740738</v>
      </c>
    </row>
    <row r="252" spans="1:12" x14ac:dyDescent="0.3">
      <c r="A252" s="186">
        <v>4227</v>
      </c>
      <c r="B252" s="186">
        <v>30</v>
      </c>
      <c r="C252" s="186" t="s">
        <v>9206</v>
      </c>
      <c r="D252" t="s">
        <v>1387</v>
      </c>
      <c r="E252" s="186">
        <v>21256870</v>
      </c>
      <c r="F252" t="s">
        <v>1388</v>
      </c>
      <c r="G252" t="s">
        <v>87</v>
      </c>
      <c r="H252" t="s">
        <v>9206</v>
      </c>
      <c r="I252" s="186">
        <v>3</v>
      </c>
      <c r="J252" t="s">
        <v>103</v>
      </c>
      <c r="K252" s="185">
        <v>75203.12</v>
      </c>
      <c r="L252" s="191">
        <v>44551.579664351855</v>
      </c>
    </row>
    <row r="253" spans="1:12" x14ac:dyDescent="0.3">
      <c r="A253" s="186">
        <v>2400</v>
      </c>
      <c r="B253" s="186">
        <v>0</v>
      </c>
      <c r="C253" s="186" t="s">
        <v>9207</v>
      </c>
      <c r="D253" t="s">
        <v>1387</v>
      </c>
      <c r="E253" s="186">
        <v>69013276687</v>
      </c>
      <c r="F253" t="s">
        <v>1388</v>
      </c>
      <c r="G253" t="s">
        <v>87</v>
      </c>
      <c r="H253" t="s">
        <v>9207</v>
      </c>
      <c r="I253" s="186">
        <v>2</v>
      </c>
      <c r="J253" t="s">
        <v>100</v>
      </c>
      <c r="K253" s="185">
        <v>215000</v>
      </c>
      <c r="L253" s="191">
        <v>44557.435879629629</v>
      </c>
    </row>
    <row r="254" spans="1:12" x14ac:dyDescent="0.3">
      <c r="A254" s="186">
        <v>2406</v>
      </c>
      <c r="B254" s="186" t="s">
        <v>195</v>
      </c>
      <c r="C254" s="186" t="s">
        <v>9208</v>
      </c>
      <c r="D254" t="s">
        <v>1387</v>
      </c>
      <c r="E254" s="186">
        <v>42509257</v>
      </c>
      <c r="F254" t="s">
        <v>1388</v>
      </c>
      <c r="G254" t="s">
        <v>87</v>
      </c>
      <c r="H254" t="s">
        <v>9208</v>
      </c>
      <c r="I254" s="186">
        <v>10</v>
      </c>
      <c r="J254" t="s">
        <v>196</v>
      </c>
      <c r="K254" s="185">
        <v>468203.86</v>
      </c>
      <c r="L254" s="191">
        <v>44567.472488425927</v>
      </c>
    </row>
    <row r="255" spans="1:12" x14ac:dyDescent="0.3">
      <c r="A255" s="186">
        <v>2423</v>
      </c>
      <c r="B255" s="186">
        <v>0</v>
      </c>
      <c r="C255" s="186" t="s">
        <v>9209</v>
      </c>
      <c r="D255" t="s">
        <v>1387</v>
      </c>
      <c r="E255" s="186">
        <v>29411968</v>
      </c>
      <c r="F255" t="s">
        <v>1388</v>
      </c>
      <c r="G255" t="s">
        <v>87</v>
      </c>
      <c r="H255" t="s">
        <v>9209</v>
      </c>
      <c r="I255" s="186">
        <v>10</v>
      </c>
      <c r="J255" t="s">
        <v>100</v>
      </c>
      <c r="K255" s="185">
        <v>18249.57</v>
      </c>
      <c r="L255" s="191">
        <v>44580.671030092592</v>
      </c>
    </row>
    <row r="256" spans="1:12" x14ac:dyDescent="0.3">
      <c r="A256" s="186">
        <v>3859</v>
      </c>
      <c r="B256" s="186" t="s">
        <v>195</v>
      </c>
      <c r="C256" s="186" t="s">
        <v>9210</v>
      </c>
      <c r="D256" t="s">
        <v>1387</v>
      </c>
      <c r="E256" s="186">
        <v>3460975</v>
      </c>
      <c r="F256" t="s">
        <v>1388</v>
      </c>
      <c r="G256" t="s">
        <v>87</v>
      </c>
      <c r="H256" t="s">
        <v>9210</v>
      </c>
      <c r="I256" s="186">
        <v>38</v>
      </c>
      <c r="J256" t="s">
        <v>196</v>
      </c>
      <c r="K256" s="185">
        <v>30198.720000000001</v>
      </c>
      <c r="L256" s="191">
        <v>44546.659502314818</v>
      </c>
    </row>
    <row r="257" spans="1:12" x14ac:dyDescent="0.3">
      <c r="A257" s="186">
        <v>3866</v>
      </c>
      <c r="B257" s="186" t="s">
        <v>1435</v>
      </c>
      <c r="C257" s="186" t="s">
        <v>9211</v>
      </c>
      <c r="D257" t="s">
        <v>1387</v>
      </c>
      <c r="E257" s="186">
        <v>19141842</v>
      </c>
      <c r="F257" t="s">
        <v>1388</v>
      </c>
      <c r="G257" t="s">
        <v>87</v>
      </c>
      <c r="H257" t="s">
        <v>9211</v>
      </c>
      <c r="I257" s="186">
        <v>24</v>
      </c>
      <c r="J257" t="s">
        <v>1436</v>
      </c>
      <c r="K257">
        <v>58500</v>
      </c>
      <c r="L257" s="191">
        <v>44558.753298611111</v>
      </c>
    </row>
    <row r="258" spans="1:12" x14ac:dyDescent="0.3">
      <c r="A258" s="186">
        <v>3867</v>
      </c>
      <c r="C258" s="186" t="s">
        <v>9212</v>
      </c>
      <c r="D258" t="s">
        <v>1387</v>
      </c>
      <c r="E258" s="186">
        <v>19141842</v>
      </c>
      <c r="F258" t="s">
        <v>1410</v>
      </c>
      <c r="G258" t="s">
        <v>87</v>
      </c>
      <c r="H258" t="s">
        <v>9212</v>
      </c>
      <c r="I258" s="186">
        <v>24</v>
      </c>
      <c r="K258" s="185">
        <v>86000</v>
      </c>
      <c r="L258" s="191">
        <v>44559.613900462966</v>
      </c>
    </row>
    <row r="259" spans="1:12" x14ac:dyDescent="0.3">
      <c r="A259" s="186">
        <v>3870</v>
      </c>
      <c r="B259" s="186">
        <v>0</v>
      </c>
      <c r="C259" s="186" t="s">
        <v>9213</v>
      </c>
      <c r="D259" t="s">
        <v>1387</v>
      </c>
      <c r="E259" s="186">
        <v>21819161</v>
      </c>
      <c r="F259" t="s">
        <v>1410</v>
      </c>
      <c r="G259" t="s">
        <v>87</v>
      </c>
      <c r="H259" t="s">
        <v>9213</v>
      </c>
      <c r="I259" s="186">
        <v>24</v>
      </c>
      <c r="J259" t="s">
        <v>100</v>
      </c>
      <c r="K259" s="185">
        <v>23251.200000000001</v>
      </c>
      <c r="L259" s="191">
        <v>44564.605000000003</v>
      </c>
    </row>
    <row r="260" spans="1:12" x14ac:dyDescent="0.3">
      <c r="A260" s="186">
        <v>13</v>
      </c>
      <c r="B260" s="186">
        <v>10</v>
      </c>
      <c r="C260" s="186" t="s">
        <v>9214</v>
      </c>
      <c r="D260" t="s">
        <v>1387</v>
      </c>
      <c r="E260" s="186">
        <v>51466860</v>
      </c>
      <c r="F260" t="s">
        <v>1388</v>
      </c>
      <c r="G260" t="s">
        <v>87</v>
      </c>
      <c r="H260" t="s">
        <v>9214</v>
      </c>
      <c r="I260" s="186">
        <v>37</v>
      </c>
      <c r="J260" t="s">
        <v>133</v>
      </c>
      <c r="K260" s="185">
        <v>71469.38</v>
      </c>
      <c r="L260" s="191">
        <v>44573.45171296296</v>
      </c>
    </row>
    <row r="261" spans="1:12" x14ac:dyDescent="0.3">
      <c r="A261" s="186">
        <v>3899</v>
      </c>
      <c r="B261" s="186">
        <v>30</v>
      </c>
      <c r="C261" s="186" t="s">
        <v>9215</v>
      </c>
      <c r="D261" t="s">
        <v>1387</v>
      </c>
      <c r="E261" s="186">
        <v>11460271</v>
      </c>
      <c r="F261" t="s">
        <v>1388</v>
      </c>
      <c r="G261" t="s">
        <v>87</v>
      </c>
      <c r="H261" t="s">
        <v>9215</v>
      </c>
      <c r="I261" s="186">
        <v>3</v>
      </c>
      <c r="J261" t="s">
        <v>103</v>
      </c>
      <c r="K261" s="185">
        <v>22995.17</v>
      </c>
      <c r="L261" s="191">
        <v>44574.423125000001</v>
      </c>
    </row>
    <row r="262" spans="1:12" x14ac:dyDescent="0.3">
      <c r="A262" s="186">
        <v>3858</v>
      </c>
      <c r="B262" s="186">
        <v>30</v>
      </c>
      <c r="C262" s="186" t="s">
        <v>9216</v>
      </c>
      <c r="D262" t="s">
        <v>1387</v>
      </c>
      <c r="E262" s="186">
        <v>15363867</v>
      </c>
      <c r="F262" t="s">
        <v>1388</v>
      </c>
      <c r="G262" t="s">
        <v>87</v>
      </c>
      <c r="H262" t="s">
        <v>9216</v>
      </c>
      <c r="I262" s="186">
        <v>18</v>
      </c>
      <c r="J262" t="s">
        <v>103</v>
      </c>
      <c r="K262" s="185">
        <v>23245.5</v>
      </c>
      <c r="L262" s="191">
        <v>44546.592824074076</v>
      </c>
    </row>
    <row r="263" spans="1:12" x14ac:dyDescent="0.3">
      <c r="A263" s="186">
        <v>2399</v>
      </c>
      <c r="B263" s="186" t="s">
        <v>1437</v>
      </c>
      <c r="C263" s="186" t="s">
        <v>9217</v>
      </c>
      <c r="D263" t="s">
        <v>1387</v>
      </c>
      <c r="E263" s="186">
        <v>10439282608</v>
      </c>
      <c r="F263" t="s">
        <v>1388</v>
      </c>
      <c r="G263" t="s">
        <v>87</v>
      </c>
      <c r="H263" t="s">
        <v>9217</v>
      </c>
      <c r="I263" s="186">
        <v>3</v>
      </c>
      <c r="J263" t="s">
        <v>1438</v>
      </c>
      <c r="K263" s="185">
        <v>78317.5</v>
      </c>
      <c r="L263" s="191">
        <v>44552.622337962966</v>
      </c>
    </row>
    <row r="264" spans="1:12" x14ac:dyDescent="0.3">
      <c r="A264" s="186">
        <v>2415</v>
      </c>
      <c r="B264" s="186">
        <v>10</v>
      </c>
      <c r="C264" s="186" t="s">
        <v>9218</v>
      </c>
      <c r="D264" t="s">
        <v>1387</v>
      </c>
      <c r="E264" s="186">
        <v>5456420</v>
      </c>
      <c r="F264" t="s">
        <v>1388</v>
      </c>
      <c r="G264" t="s">
        <v>87</v>
      </c>
      <c r="H264" t="s">
        <v>9218</v>
      </c>
      <c r="I264" s="186">
        <v>26</v>
      </c>
      <c r="J264" t="s">
        <v>133</v>
      </c>
      <c r="K264" s="185">
        <v>63551.7</v>
      </c>
      <c r="L264" s="191">
        <v>44579.34783564815</v>
      </c>
    </row>
    <row r="265" spans="1:12" x14ac:dyDescent="0.3">
      <c r="A265" s="186">
        <v>3923</v>
      </c>
      <c r="B265" s="186">
        <v>0</v>
      </c>
      <c r="C265" s="186" t="s">
        <v>9219</v>
      </c>
      <c r="D265" t="s">
        <v>1387</v>
      </c>
      <c r="E265" s="186">
        <v>8021949</v>
      </c>
      <c r="F265" t="s">
        <v>1388</v>
      </c>
      <c r="G265" t="s">
        <v>87</v>
      </c>
      <c r="H265" t="s">
        <v>9219</v>
      </c>
      <c r="I265" s="186">
        <v>26</v>
      </c>
      <c r="J265" t="s">
        <v>100</v>
      </c>
      <c r="K265" s="185">
        <v>47760.26</v>
      </c>
      <c r="L265" s="191">
        <v>44585.47929398148</v>
      </c>
    </row>
    <row r="266" spans="1:12" x14ac:dyDescent="0.3">
      <c r="A266" s="186">
        <v>3926</v>
      </c>
      <c r="B266" s="186">
        <v>18</v>
      </c>
      <c r="C266" s="186" t="s">
        <v>9220</v>
      </c>
      <c r="D266" t="s">
        <v>1387</v>
      </c>
      <c r="E266" s="186">
        <v>51097897</v>
      </c>
      <c r="F266" t="s">
        <v>1388</v>
      </c>
      <c r="G266" t="s">
        <v>87</v>
      </c>
      <c r="H266" t="s">
        <v>9220</v>
      </c>
      <c r="I266" s="186">
        <v>24</v>
      </c>
      <c r="J266" t="s">
        <v>112</v>
      </c>
      <c r="K266" s="185">
        <v>1709</v>
      </c>
      <c r="L266" s="191">
        <v>44585.724618055552</v>
      </c>
    </row>
    <row r="267" spans="1:12" x14ac:dyDescent="0.3">
      <c r="A267" s="186">
        <v>3928</v>
      </c>
      <c r="B267" s="186">
        <v>18</v>
      </c>
      <c r="C267" s="186" t="s">
        <v>9221</v>
      </c>
      <c r="D267" t="s">
        <v>1387</v>
      </c>
      <c r="E267" s="186">
        <v>51097897</v>
      </c>
      <c r="F267" t="s">
        <v>1388</v>
      </c>
      <c r="G267" t="s">
        <v>87</v>
      </c>
      <c r="H267" t="s">
        <v>9221</v>
      </c>
      <c r="I267" s="186">
        <v>24</v>
      </c>
      <c r="J267" t="s">
        <v>112</v>
      </c>
      <c r="K267" s="185">
        <v>1709</v>
      </c>
      <c r="L267" s="191">
        <v>44586.426006944443</v>
      </c>
    </row>
    <row r="268" spans="1:12" x14ac:dyDescent="0.3">
      <c r="A268" s="186">
        <v>2403</v>
      </c>
      <c r="B268" s="186">
        <v>21</v>
      </c>
      <c r="C268" s="186" t="s">
        <v>9222</v>
      </c>
      <c r="D268" t="s">
        <v>1387</v>
      </c>
      <c r="E268" s="186">
        <v>7605563</v>
      </c>
      <c r="F268" t="s">
        <v>1388</v>
      </c>
      <c r="G268" t="s">
        <v>87</v>
      </c>
      <c r="H268" t="s">
        <v>9222</v>
      </c>
      <c r="I268" s="186">
        <v>10</v>
      </c>
      <c r="J268" t="s">
        <v>137</v>
      </c>
      <c r="K268" s="185">
        <v>363574</v>
      </c>
      <c r="L268" s="191">
        <v>44564.366168981483</v>
      </c>
    </row>
    <row r="269" spans="1:12" x14ac:dyDescent="0.3">
      <c r="A269" s="186">
        <v>3908</v>
      </c>
      <c r="B269" s="186" t="s">
        <v>175</v>
      </c>
      <c r="C269" s="186" t="s">
        <v>9223</v>
      </c>
      <c r="D269" t="s">
        <v>1387</v>
      </c>
      <c r="E269" s="186">
        <v>22060255</v>
      </c>
      <c r="F269" t="s">
        <v>1388</v>
      </c>
      <c r="G269" t="s">
        <v>87</v>
      </c>
      <c r="H269" t="s">
        <v>9223</v>
      </c>
      <c r="I269" s="186">
        <v>18</v>
      </c>
      <c r="J269" t="s">
        <v>176</v>
      </c>
      <c r="K269" s="185">
        <v>30011.43</v>
      </c>
      <c r="L269" s="191">
        <v>44579.402314814812</v>
      </c>
    </row>
    <row r="270" spans="1:12" x14ac:dyDescent="0.3">
      <c r="A270" s="186">
        <v>3853</v>
      </c>
      <c r="B270" s="186">
        <v>0</v>
      </c>
      <c r="C270" s="186" t="s">
        <v>9224</v>
      </c>
      <c r="D270" t="s">
        <v>1387</v>
      </c>
      <c r="E270" s="186">
        <v>19903978</v>
      </c>
      <c r="F270" t="s">
        <v>1410</v>
      </c>
      <c r="G270" t="s">
        <v>113</v>
      </c>
      <c r="H270" t="s">
        <v>9224</v>
      </c>
      <c r="I270" s="186">
        <v>24</v>
      </c>
      <c r="J270" t="s">
        <v>100</v>
      </c>
      <c r="K270">
        <v>62800</v>
      </c>
      <c r="L270" s="191">
        <v>44545.596655092595</v>
      </c>
    </row>
    <row r="271" spans="1:12" x14ac:dyDescent="0.3">
      <c r="A271" s="186">
        <v>3932</v>
      </c>
      <c r="B271" s="186">
        <v>30</v>
      </c>
      <c r="C271" s="186" t="s">
        <v>9225</v>
      </c>
      <c r="D271" t="s">
        <v>1387</v>
      </c>
      <c r="E271" s="186">
        <v>15363867</v>
      </c>
      <c r="F271" t="s">
        <v>1388</v>
      </c>
      <c r="G271" t="s">
        <v>87</v>
      </c>
      <c r="H271" t="s">
        <v>9225</v>
      </c>
      <c r="I271" s="186">
        <v>18</v>
      </c>
      <c r="J271" t="s">
        <v>103</v>
      </c>
      <c r="K271" s="185">
        <v>43930.15</v>
      </c>
      <c r="L271" s="191">
        <v>44586.626157407409</v>
      </c>
    </row>
    <row r="272" spans="1:12" x14ac:dyDescent="0.3">
      <c r="A272" s="186">
        <v>2426</v>
      </c>
      <c r="B272" s="186" t="s">
        <v>1441</v>
      </c>
      <c r="C272" s="186" t="s">
        <v>9226</v>
      </c>
      <c r="D272" t="s">
        <v>1387</v>
      </c>
      <c r="E272" s="186">
        <v>26092631</v>
      </c>
      <c r="F272" t="s">
        <v>1388</v>
      </c>
      <c r="G272" t="s">
        <v>87</v>
      </c>
      <c r="H272" t="s">
        <v>9226</v>
      </c>
      <c r="I272" s="186">
        <v>38</v>
      </c>
      <c r="J272" t="s">
        <v>1442</v>
      </c>
      <c r="K272" s="185">
        <v>21883.7</v>
      </c>
      <c r="L272" s="191">
        <v>44586.67291666667</v>
      </c>
    </row>
    <row r="273" spans="1:12" x14ac:dyDescent="0.3">
      <c r="A273" s="186">
        <v>3935</v>
      </c>
      <c r="B273" s="186" t="s">
        <v>1439</v>
      </c>
      <c r="C273" s="186" t="s">
        <v>9227</v>
      </c>
      <c r="D273" t="s">
        <v>1387</v>
      </c>
      <c r="E273" s="186">
        <v>65315418</v>
      </c>
      <c r="F273" t="s">
        <v>1388</v>
      </c>
      <c r="G273" t="s">
        <v>87</v>
      </c>
      <c r="H273" t="s">
        <v>9227</v>
      </c>
      <c r="I273" s="186">
        <v>2</v>
      </c>
      <c r="J273" t="s">
        <v>1440</v>
      </c>
      <c r="K273" s="185">
        <v>300000</v>
      </c>
      <c r="L273" s="191">
        <v>44586.686736111114</v>
      </c>
    </row>
    <row r="274" spans="1:12" x14ac:dyDescent="0.3">
      <c r="A274" s="186">
        <v>3939</v>
      </c>
      <c r="B274" s="186">
        <v>0</v>
      </c>
      <c r="C274" s="186" t="s">
        <v>9228</v>
      </c>
      <c r="D274" t="s">
        <v>1395</v>
      </c>
      <c r="E274" s="186">
        <v>31783830</v>
      </c>
      <c r="G274" t="s">
        <v>87</v>
      </c>
      <c r="H274" t="s">
        <v>9228</v>
      </c>
      <c r="I274" s="186">
        <v>26</v>
      </c>
      <c r="J274" t="s">
        <v>100</v>
      </c>
      <c r="K274" s="185">
        <v>1651088.2</v>
      </c>
      <c r="L274" s="191">
        <v>44588.562731481485</v>
      </c>
    </row>
    <row r="275" spans="1:12" x14ac:dyDescent="0.3">
      <c r="A275" s="186">
        <v>3941</v>
      </c>
      <c r="B275" s="186">
        <v>0</v>
      </c>
      <c r="C275" s="186" t="s">
        <v>9229</v>
      </c>
      <c r="D275" t="s">
        <v>1387</v>
      </c>
      <c r="E275" s="186">
        <v>42128230</v>
      </c>
      <c r="F275" t="s">
        <v>1388</v>
      </c>
      <c r="G275" t="s">
        <v>87</v>
      </c>
      <c r="H275" t="s">
        <v>9229</v>
      </c>
      <c r="I275" s="186">
        <v>3</v>
      </c>
      <c r="J275" t="s">
        <v>100</v>
      </c>
      <c r="K275" s="185">
        <v>27000</v>
      </c>
      <c r="L275" s="191">
        <v>44588.695243055554</v>
      </c>
    </row>
    <row r="276" spans="1:12" x14ac:dyDescent="0.3">
      <c r="A276" s="186">
        <v>3971</v>
      </c>
      <c r="B276" s="186">
        <v>30</v>
      </c>
      <c r="C276" s="186" t="s">
        <v>9230</v>
      </c>
      <c r="D276" t="s">
        <v>1387</v>
      </c>
      <c r="E276" s="186">
        <v>15363867</v>
      </c>
      <c r="F276" t="s">
        <v>1388</v>
      </c>
      <c r="G276" t="s">
        <v>87</v>
      </c>
      <c r="H276" t="s">
        <v>9230</v>
      </c>
      <c r="I276" s="186">
        <v>18</v>
      </c>
      <c r="J276" t="s">
        <v>103</v>
      </c>
      <c r="K276" s="185">
        <v>11736</v>
      </c>
      <c r="L276" s="191">
        <v>44600.622719907406</v>
      </c>
    </row>
    <row r="277" spans="1:12" x14ac:dyDescent="0.3">
      <c r="A277" s="186">
        <v>3983</v>
      </c>
      <c r="B277" s="186">
        <v>0</v>
      </c>
      <c r="C277" s="186" t="s">
        <v>9231</v>
      </c>
      <c r="D277" t="s">
        <v>1387</v>
      </c>
      <c r="E277" s="186">
        <v>45171394253</v>
      </c>
      <c r="F277" t="s">
        <v>1388</v>
      </c>
      <c r="G277" t="s">
        <v>87</v>
      </c>
      <c r="H277" t="s">
        <v>9231</v>
      </c>
      <c r="I277" s="186">
        <v>10</v>
      </c>
      <c r="J277" t="s">
        <v>100</v>
      </c>
      <c r="K277" s="185">
        <v>520000</v>
      </c>
      <c r="L277" s="191">
        <v>44603.482361111113</v>
      </c>
    </row>
    <row r="278" spans="1:12" x14ac:dyDescent="0.3">
      <c r="A278" s="186">
        <v>31022</v>
      </c>
      <c r="B278" s="186">
        <v>0</v>
      </c>
      <c r="C278" s="186" t="s">
        <v>9232</v>
      </c>
      <c r="D278" t="s">
        <v>1387</v>
      </c>
      <c r="E278" s="186">
        <v>15252598</v>
      </c>
      <c r="F278" t="s">
        <v>1410</v>
      </c>
      <c r="G278" t="s">
        <v>87</v>
      </c>
      <c r="H278" t="s">
        <v>9232</v>
      </c>
      <c r="I278" s="186">
        <v>24</v>
      </c>
      <c r="J278" t="s">
        <v>100</v>
      </c>
      <c r="K278" s="185">
        <v>76080</v>
      </c>
      <c r="L278" s="191">
        <v>44620.50849537037</v>
      </c>
    </row>
    <row r="279" spans="1:12" x14ac:dyDescent="0.3">
      <c r="A279" s="186">
        <v>31023</v>
      </c>
      <c r="B279" s="186">
        <v>-1</v>
      </c>
      <c r="C279" s="186" t="s">
        <v>9233</v>
      </c>
      <c r="D279" t="s">
        <v>1387</v>
      </c>
      <c r="E279" s="186">
        <v>15863304</v>
      </c>
      <c r="F279" t="s">
        <v>1410</v>
      </c>
      <c r="G279" t="s">
        <v>113</v>
      </c>
      <c r="H279" t="s">
        <v>9233</v>
      </c>
      <c r="I279" s="186">
        <v>24</v>
      </c>
      <c r="J279" t="s">
        <v>174</v>
      </c>
      <c r="K279" s="185">
        <v>1300628</v>
      </c>
      <c r="L279" s="191">
        <v>44620.528819444444</v>
      </c>
    </row>
    <row r="280" spans="1:12" x14ac:dyDescent="0.3">
      <c r="A280" s="186">
        <v>2430</v>
      </c>
      <c r="B280" s="186">
        <v>0</v>
      </c>
      <c r="C280" s="186" t="s">
        <v>9234</v>
      </c>
      <c r="D280" t="s">
        <v>1387</v>
      </c>
      <c r="E280" s="186">
        <v>13313434</v>
      </c>
      <c r="F280" t="s">
        <v>1388</v>
      </c>
      <c r="G280" t="s">
        <v>87</v>
      </c>
      <c r="H280" t="s">
        <v>9234</v>
      </c>
      <c r="I280" s="186">
        <v>43</v>
      </c>
      <c r="J280" t="s">
        <v>100</v>
      </c>
      <c r="K280" s="185">
        <v>6440</v>
      </c>
      <c r="L280" s="191">
        <v>44594.448645833334</v>
      </c>
    </row>
    <row r="281" spans="1:12" x14ac:dyDescent="0.3">
      <c r="A281" s="186">
        <v>3979</v>
      </c>
      <c r="B281" s="186">
        <v>28</v>
      </c>
      <c r="C281" s="186" t="s">
        <v>9235</v>
      </c>
      <c r="D281" t="s">
        <v>1387</v>
      </c>
      <c r="E281" s="186">
        <v>29116902</v>
      </c>
      <c r="F281" t="s">
        <v>1388</v>
      </c>
      <c r="G281" t="s">
        <v>87</v>
      </c>
      <c r="H281" t="s">
        <v>9235</v>
      </c>
      <c r="I281" s="186">
        <v>26</v>
      </c>
      <c r="J281" t="s">
        <v>130</v>
      </c>
      <c r="K281" s="185">
        <v>99538.46</v>
      </c>
      <c r="L281" s="191">
        <v>44602.510381944441</v>
      </c>
    </row>
    <row r="282" spans="1:12" x14ac:dyDescent="0.3">
      <c r="A282" s="186">
        <v>2414</v>
      </c>
      <c r="B282" s="186">
        <v>13058</v>
      </c>
      <c r="C282" s="186" t="s">
        <v>9236</v>
      </c>
      <c r="D282" t="s">
        <v>1387</v>
      </c>
      <c r="E282" s="186">
        <v>47419874</v>
      </c>
      <c r="F282" t="s">
        <v>1388</v>
      </c>
      <c r="G282" t="s">
        <v>87</v>
      </c>
      <c r="H282" t="s">
        <v>9236</v>
      </c>
      <c r="I282" s="186">
        <v>38</v>
      </c>
      <c r="J282" t="s">
        <v>1360</v>
      </c>
      <c r="K282" s="185">
        <v>33402.03</v>
      </c>
      <c r="L282" s="191">
        <v>44578.67528935185</v>
      </c>
    </row>
    <row r="283" spans="1:12" x14ac:dyDescent="0.3">
      <c r="A283" s="186">
        <v>3958</v>
      </c>
      <c r="B283" s="186">
        <v>0</v>
      </c>
      <c r="C283" s="186" t="s">
        <v>9237</v>
      </c>
      <c r="D283" t="s">
        <v>1387</v>
      </c>
      <c r="E283" s="186">
        <v>28643946</v>
      </c>
      <c r="F283" t="s">
        <v>1410</v>
      </c>
      <c r="G283" t="s">
        <v>87</v>
      </c>
      <c r="H283" t="s">
        <v>9237</v>
      </c>
      <c r="I283" s="186">
        <v>24</v>
      </c>
      <c r="J283" t="s">
        <v>100</v>
      </c>
      <c r="K283">
        <v>1319517.96</v>
      </c>
      <c r="L283" s="191">
        <v>44595.72216435185</v>
      </c>
    </row>
    <row r="284" spans="1:12" x14ac:dyDescent="0.3">
      <c r="A284" s="186">
        <v>3969</v>
      </c>
      <c r="B284" s="186" t="s">
        <v>1259</v>
      </c>
      <c r="C284" s="186" t="s">
        <v>9238</v>
      </c>
      <c r="D284" t="s">
        <v>1387</v>
      </c>
      <c r="E284" s="186">
        <v>3417241227</v>
      </c>
      <c r="F284" t="s">
        <v>1388</v>
      </c>
      <c r="G284" t="s">
        <v>87</v>
      </c>
      <c r="H284" t="s">
        <v>9238</v>
      </c>
      <c r="I284" s="186">
        <v>10</v>
      </c>
      <c r="J284" t="s">
        <v>1260</v>
      </c>
      <c r="K284">
        <v>520000</v>
      </c>
      <c r="L284" s="191">
        <v>44600.577384259261</v>
      </c>
    </row>
    <row r="285" spans="1:12" x14ac:dyDescent="0.3">
      <c r="A285" s="186">
        <v>3981</v>
      </c>
      <c r="B285" s="186">
        <v>30</v>
      </c>
      <c r="C285" s="186" t="s">
        <v>9239</v>
      </c>
      <c r="D285" t="s">
        <v>1387</v>
      </c>
      <c r="E285" s="186">
        <v>44013159</v>
      </c>
      <c r="F285" t="s">
        <v>1388</v>
      </c>
      <c r="G285" t="s">
        <v>87</v>
      </c>
      <c r="H285" t="s">
        <v>9239</v>
      </c>
      <c r="I285" s="186">
        <v>26</v>
      </c>
      <c r="J285" t="s">
        <v>103</v>
      </c>
      <c r="K285" s="185">
        <v>9967.1</v>
      </c>
      <c r="L285" s="191">
        <v>44602.653541666667</v>
      </c>
    </row>
    <row r="286" spans="1:12" x14ac:dyDescent="0.3">
      <c r="A286" s="186">
        <v>2434</v>
      </c>
      <c r="B286" s="186">
        <v>0</v>
      </c>
      <c r="C286" s="186" t="s">
        <v>9240</v>
      </c>
      <c r="D286" t="s">
        <v>1394</v>
      </c>
      <c r="E286" s="186">
        <v>12002472</v>
      </c>
      <c r="G286" t="s">
        <v>113</v>
      </c>
      <c r="H286" t="s">
        <v>9240</v>
      </c>
      <c r="I286" s="186">
        <v>37</v>
      </c>
      <c r="J286" t="s">
        <v>100</v>
      </c>
      <c r="K286" s="185">
        <v>0</v>
      </c>
      <c r="L286" s="191">
        <v>44600.403784722221</v>
      </c>
    </row>
    <row r="287" spans="1:12" x14ac:dyDescent="0.3">
      <c r="A287" s="186">
        <v>3991</v>
      </c>
      <c r="B287" s="186">
        <v>-1</v>
      </c>
      <c r="C287" s="186" t="s">
        <v>9241</v>
      </c>
      <c r="D287" t="s">
        <v>1387</v>
      </c>
      <c r="E287" s="186">
        <v>45171394253</v>
      </c>
      <c r="F287" t="s">
        <v>1388</v>
      </c>
      <c r="G287" t="s">
        <v>87</v>
      </c>
      <c r="H287" t="s">
        <v>9241</v>
      </c>
      <c r="I287" s="186">
        <v>10</v>
      </c>
      <c r="J287" t="s">
        <v>174</v>
      </c>
      <c r="K287" s="185">
        <v>40500</v>
      </c>
      <c r="L287" s="191">
        <v>44607.647048611114</v>
      </c>
    </row>
    <row r="288" spans="1:12" x14ac:dyDescent="0.3">
      <c r="A288" s="186">
        <v>3974</v>
      </c>
      <c r="B288" s="186">
        <v>30</v>
      </c>
      <c r="C288" s="186" t="s">
        <v>9242</v>
      </c>
      <c r="D288" t="s">
        <v>1387</v>
      </c>
      <c r="E288" s="186">
        <v>5571228</v>
      </c>
      <c r="F288" t="s">
        <v>1388</v>
      </c>
      <c r="G288" t="s">
        <v>87</v>
      </c>
      <c r="H288" t="s">
        <v>9242</v>
      </c>
      <c r="I288" s="186">
        <v>9</v>
      </c>
      <c r="J288" t="s">
        <v>103</v>
      </c>
      <c r="K288" s="185">
        <v>115433.64</v>
      </c>
      <c r="L288" s="191">
        <v>44601.45721064815</v>
      </c>
    </row>
    <row r="289" spans="1:12" x14ac:dyDescent="0.3">
      <c r="A289" s="186">
        <v>3976</v>
      </c>
      <c r="B289" s="186">
        <v>-1</v>
      </c>
      <c r="C289" s="186" t="s">
        <v>9243</v>
      </c>
      <c r="D289" t="s">
        <v>1387</v>
      </c>
      <c r="E289" s="186">
        <v>28619965</v>
      </c>
      <c r="F289" t="s">
        <v>1388</v>
      </c>
      <c r="G289" t="s">
        <v>87</v>
      </c>
      <c r="H289" t="s">
        <v>9243</v>
      </c>
      <c r="I289" s="186">
        <v>18</v>
      </c>
      <c r="J289" t="s">
        <v>174</v>
      </c>
      <c r="K289" s="185">
        <v>30474</v>
      </c>
      <c r="L289" s="191">
        <v>44601.638935185183</v>
      </c>
    </row>
    <row r="290" spans="1:12" x14ac:dyDescent="0.3">
      <c r="A290" s="186">
        <v>2435</v>
      </c>
      <c r="B290" s="186">
        <v>30</v>
      </c>
      <c r="C290" s="186" t="s">
        <v>9244</v>
      </c>
      <c r="D290" t="s">
        <v>1394</v>
      </c>
      <c r="E290" s="186">
        <v>17164435</v>
      </c>
      <c r="G290" t="s">
        <v>87</v>
      </c>
      <c r="H290" t="s">
        <v>9244</v>
      </c>
      <c r="I290" s="186">
        <v>3</v>
      </c>
      <c r="J290" t="s">
        <v>103</v>
      </c>
      <c r="K290" s="185">
        <v>0</v>
      </c>
      <c r="L290" s="191">
        <v>44601.737708333334</v>
      </c>
    </row>
    <row r="291" spans="1:12" x14ac:dyDescent="0.3">
      <c r="A291" s="186">
        <v>3988</v>
      </c>
      <c r="B291" s="186">
        <v>-1</v>
      </c>
      <c r="C291" s="186" t="s">
        <v>9245</v>
      </c>
      <c r="D291" t="s">
        <v>1387</v>
      </c>
      <c r="E291" s="186">
        <v>45862982604</v>
      </c>
      <c r="F291" t="s">
        <v>1388</v>
      </c>
      <c r="G291" t="s">
        <v>87</v>
      </c>
      <c r="H291" t="s">
        <v>9245</v>
      </c>
      <c r="I291" s="186">
        <v>10</v>
      </c>
      <c r="J291" t="s">
        <v>174</v>
      </c>
      <c r="K291" s="185">
        <v>180000</v>
      </c>
      <c r="L291" s="191">
        <v>44606.488437499997</v>
      </c>
    </row>
    <row r="292" spans="1:12" x14ac:dyDescent="0.3">
      <c r="A292" s="186">
        <v>3997</v>
      </c>
      <c r="B292" s="186">
        <v>-1</v>
      </c>
      <c r="C292" s="186" t="s">
        <v>9246</v>
      </c>
      <c r="D292" t="s">
        <v>1387</v>
      </c>
      <c r="E292" s="186">
        <v>14996274</v>
      </c>
      <c r="F292" t="s">
        <v>1388</v>
      </c>
      <c r="G292" t="s">
        <v>87</v>
      </c>
      <c r="H292" t="s">
        <v>9246</v>
      </c>
      <c r="I292" s="186">
        <v>10</v>
      </c>
      <c r="J292" t="s">
        <v>174</v>
      </c>
      <c r="K292" s="185">
        <v>110000</v>
      </c>
      <c r="L292" s="191">
        <v>44609.595057870371</v>
      </c>
    </row>
    <row r="293" spans="1:12" x14ac:dyDescent="0.3">
      <c r="A293" s="186">
        <v>31011</v>
      </c>
      <c r="B293" s="186">
        <v>-1</v>
      </c>
      <c r="C293" s="186" t="s">
        <v>9247</v>
      </c>
      <c r="D293" t="s">
        <v>1387</v>
      </c>
      <c r="E293" s="186">
        <v>3998869</v>
      </c>
      <c r="F293" t="s">
        <v>1410</v>
      </c>
      <c r="G293" t="s">
        <v>87</v>
      </c>
      <c r="H293" t="s">
        <v>9247</v>
      </c>
      <c r="I293" s="186">
        <v>24</v>
      </c>
      <c r="J293" t="s">
        <v>174</v>
      </c>
      <c r="K293" s="185">
        <v>1947178.25</v>
      </c>
      <c r="L293" s="191">
        <v>44614.575057870374</v>
      </c>
    </row>
    <row r="294" spans="1:12" x14ac:dyDescent="0.3">
      <c r="A294" s="186">
        <v>2431</v>
      </c>
      <c r="B294" s="186" t="s">
        <v>1443</v>
      </c>
      <c r="C294" s="186" t="s">
        <v>9248</v>
      </c>
      <c r="D294" t="s">
        <v>1387</v>
      </c>
      <c r="E294" s="186">
        <v>18322925</v>
      </c>
      <c r="F294" t="s">
        <v>1388</v>
      </c>
      <c r="G294" t="s">
        <v>87</v>
      </c>
      <c r="H294" t="s">
        <v>9248</v>
      </c>
      <c r="I294" s="186">
        <v>3</v>
      </c>
      <c r="J294" t="s">
        <v>1444</v>
      </c>
      <c r="K294">
        <v>314856.92</v>
      </c>
      <c r="L294" s="191">
        <v>44595.367025462961</v>
      </c>
    </row>
    <row r="295" spans="1:12" x14ac:dyDescent="0.3">
      <c r="A295" s="186">
        <v>3987</v>
      </c>
      <c r="B295" s="186" t="s">
        <v>1398</v>
      </c>
      <c r="C295" s="186" t="s">
        <v>9249</v>
      </c>
      <c r="D295" t="s">
        <v>1395</v>
      </c>
      <c r="E295" s="186">
        <v>14916797</v>
      </c>
      <c r="G295" t="s">
        <v>87</v>
      </c>
      <c r="H295" t="s">
        <v>9249</v>
      </c>
      <c r="I295" s="186">
        <v>10</v>
      </c>
      <c r="J295" t="s">
        <v>1399</v>
      </c>
      <c r="K295" s="185">
        <v>370000</v>
      </c>
      <c r="L295" s="191">
        <v>44606.431770833333</v>
      </c>
    </row>
    <row r="296" spans="1:12" x14ac:dyDescent="0.3">
      <c r="A296" s="186">
        <v>3992</v>
      </c>
      <c r="B296" s="186">
        <v>-1</v>
      </c>
      <c r="C296" s="186" t="s">
        <v>9250</v>
      </c>
      <c r="D296" t="s">
        <v>1387</v>
      </c>
      <c r="E296" s="186">
        <v>71212515234</v>
      </c>
      <c r="F296" t="s">
        <v>1388</v>
      </c>
      <c r="G296" t="s">
        <v>87</v>
      </c>
      <c r="H296" t="s">
        <v>9250</v>
      </c>
      <c r="I296" s="186">
        <v>10</v>
      </c>
      <c r="J296" t="s">
        <v>174</v>
      </c>
      <c r="K296" s="185">
        <v>23999.98</v>
      </c>
      <c r="L296" s="191">
        <v>44607.652789351851</v>
      </c>
    </row>
    <row r="297" spans="1:12" x14ac:dyDescent="0.3">
      <c r="A297" s="186">
        <v>31008</v>
      </c>
      <c r="B297" s="186">
        <v>30</v>
      </c>
      <c r="C297" s="186" t="s">
        <v>9251</v>
      </c>
      <c r="D297" t="s">
        <v>1387</v>
      </c>
      <c r="E297" s="186">
        <v>44013159</v>
      </c>
      <c r="F297" t="s">
        <v>1388</v>
      </c>
      <c r="G297" t="s">
        <v>87</v>
      </c>
      <c r="H297" t="s">
        <v>9251</v>
      </c>
      <c r="I297" s="186">
        <v>26</v>
      </c>
      <c r="J297" t="s">
        <v>103</v>
      </c>
      <c r="K297" s="185">
        <v>70502.720000000001</v>
      </c>
      <c r="L297" s="191">
        <v>44613.594629629632</v>
      </c>
    </row>
    <row r="298" spans="1:12" x14ac:dyDescent="0.3">
      <c r="A298" s="186">
        <v>31014</v>
      </c>
      <c r="B298" s="186">
        <v>-1</v>
      </c>
      <c r="C298" s="186" t="s">
        <v>9252</v>
      </c>
      <c r="D298" t="s">
        <v>1387</v>
      </c>
      <c r="E298" s="186">
        <v>17467409</v>
      </c>
      <c r="F298" t="s">
        <v>1388</v>
      </c>
      <c r="G298" t="s">
        <v>87</v>
      </c>
      <c r="H298" t="s">
        <v>9252</v>
      </c>
      <c r="I298" s="186">
        <v>10</v>
      </c>
      <c r="J298" t="s">
        <v>174</v>
      </c>
      <c r="K298" s="185">
        <v>73627.5</v>
      </c>
      <c r="L298" s="191">
        <v>44615.44494212963</v>
      </c>
    </row>
    <row r="299" spans="1:12" x14ac:dyDescent="0.3">
      <c r="A299" s="186">
        <v>31020</v>
      </c>
      <c r="B299" s="186">
        <v>-1</v>
      </c>
      <c r="C299" s="186" t="s">
        <v>9253</v>
      </c>
      <c r="D299" t="s">
        <v>1387</v>
      </c>
      <c r="E299" s="186">
        <v>32136021</v>
      </c>
      <c r="F299" t="s">
        <v>1410</v>
      </c>
      <c r="G299" t="s">
        <v>113</v>
      </c>
      <c r="H299" t="s">
        <v>9253</v>
      </c>
      <c r="I299" s="186">
        <v>24</v>
      </c>
      <c r="J299" t="s">
        <v>174</v>
      </c>
      <c r="K299" s="185">
        <v>81120</v>
      </c>
      <c r="L299" s="191">
        <v>44620.390439814815</v>
      </c>
    </row>
    <row r="300" spans="1:12" x14ac:dyDescent="0.3">
      <c r="A300" s="186">
        <v>31061</v>
      </c>
      <c r="B300" s="186">
        <v>-1</v>
      </c>
      <c r="C300" s="186" t="s">
        <v>9254</v>
      </c>
      <c r="D300" t="s">
        <v>1387</v>
      </c>
      <c r="E300" s="186">
        <v>5497195</v>
      </c>
      <c r="F300" t="s">
        <v>1410</v>
      </c>
      <c r="G300" t="s">
        <v>113</v>
      </c>
      <c r="H300" t="s">
        <v>9254</v>
      </c>
      <c r="I300" s="186">
        <v>24</v>
      </c>
      <c r="J300" t="s">
        <v>174</v>
      </c>
      <c r="K300" s="185">
        <v>196350</v>
      </c>
      <c r="L300" s="191">
        <v>44627.717673611114</v>
      </c>
    </row>
    <row r="301" spans="1:12" x14ac:dyDescent="0.3">
      <c r="A301" s="186">
        <v>31073</v>
      </c>
      <c r="B301" s="186" t="s">
        <v>1370</v>
      </c>
      <c r="C301" s="186" t="s">
        <v>9255</v>
      </c>
      <c r="D301" t="s">
        <v>1387</v>
      </c>
      <c r="E301" s="186">
        <v>6273155</v>
      </c>
      <c r="F301" t="s">
        <v>1388</v>
      </c>
      <c r="G301" t="s">
        <v>87</v>
      </c>
      <c r="H301" t="s">
        <v>9255</v>
      </c>
      <c r="I301" s="186">
        <v>9</v>
      </c>
      <c r="J301" t="s">
        <v>1371</v>
      </c>
      <c r="K301" s="185">
        <v>113378.44</v>
      </c>
      <c r="L301" s="191">
        <v>44630.690995370373</v>
      </c>
    </row>
    <row r="302" spans="1:12" x14ac:dyDescent="0.3">
      <c r="A302" s="186">
        <v>31050</v>
      </c>
      <c r="B302" s="186">
        <v>0</v>
      </c>
      <c r="C302" s="186" t="s">
        <v>9256</v>
      </c>
      <c r="D302" t="s">
        <v>1387</v>
      </c>
      <c r="E302" s="186">
        <v>16956443</v>
      </c>
      <c r="F302" t="s">
        <v>1388</v>
      </c>
      <c r="G302" t="s">
        <v>87</v>
      </c>
      <c r="H302" t="s">
        <v>9256</v>
      </c>
      <c r="I302" s="186">
        <v>3</v>
      </c>
      <c r="J302" t="s">
        <v>100</v>
      </c>
      <c r="K302" s="185">
        <v>35000</v>
      </c>
      <c r="L302" s="191">
        <v>44624.686249999999</v>
      </c>
    </row>
    <row r="303" spans="1:12" x14ac:dyDescent="0.3">
      <c r="A303" s="186">
        <v>31054</v>
      </c>
      <c r="B303" s="186">
        <v>0</v>
      </c>
      <c r="C303" s="186" t="s">
        <v>9257</v>
      </c>
      <c r="D303" t="s">
        <v>1387</v>
      </c>
      <c r="E303" s="186">
        <v>3068142</v>
      </c>
      <c r="F303" t="s">
        <v>1388</v>
      </c>
      <c r="G303" t="s">
        <v>87</v>
      </c>
      <c r="H303" t="s">
        <v>9257</v>
      </c>
      <c r="I303" s="186">
        <v>3</v>
      </c>
      <c r="J303" t="s">
        <v>100</v>
      </c>
      <c r="K303" s="185">
        <v>2700</v>
      </c>
      <c r="L303" s="191">
        <v>44627.413217592592</v>
      </c>
    </row>
    <row r="304" spans="1:12" x14ac:dyDescent="0.3">
      <c r="A304" s="186">
        <v>2449</v>
      </c>
      <c r="B304" s="186">
        <v>0</v>
      </c>
      <c r="C304" s="186" t="s">
        <v>9258</v>
      </c>
      <c r="D304" t="s">
        <v>1394</v>
      </c>
      <c r="E304" s="186">
        <v>16670085</v>
      </c>
      <c r="G304" t="s">
        <v>87</v>
      </c>
      <c r="H304" t="s">
        <v>9258</v>
      </c>
      <c r="I304" s="186">
        <v>37</v>
      </c>
      <c r="J304" t="s">
        <v>100</v>
      </c>
      <c r="K304" s="185">
        <v>0</v>
      </c>
      <c r="L304" s="191">
        <v>44628.59983796296</v>
      </c>
    </row>
    <row r="305" spans="1:12" x14ac:dyDescent="0.3">
      <c r="A305" s="186">
        <v>31081</v>
      </c>
      <c r="B305" s="186">
        <v>-1</v>
      </c>
      <c r="C305" s="186" t="s">
        <v>9259</v>
      </c>
      <c r="D305" t="s">
        <v>1387</v>
      </c>
      <c r="E305" s="186">
        <v>12238155</v>
      </c>
      <c r="F305" t="s">
        <v>1410</v>
      </c>
      <c r="G305" t="s">
        <v>113</v>
      </c>
      <c r="H305" t="s">
        <v>9259</v>
      </c>
      <c r="I305" s="186">
        <v>24</v>
      </c>
      <c r="J305" t="s">
        <v>174</v>
      </c>
      <c r="K305" s="185">
        <v>62400</v>
      </c>
      <c r="L305" s="191">
        <v>44634.728506944448</v>
      </c>
    </row>
    <row r="306" spans="1:12" x14ac:dyDescent="0.3">
      <c r="A306" s="186">
        <v>31099</v>
      </c>
      <c r="B306" s="186">
        <v>-1</v>
      </c>
      <c r="C306" s="186" t="s">
        <v>9260</v>
      </c>
      <c r="D306" t="s">
        <v>1387</v>
      </c>
      <c r="E306" s="186">
        <v>69290148268</v>
      </c>
      <c r="F306" t="s">
        <v>1388</v>
      </c>
      <c r="G306" t="s">
        <v>87</v>
      </c>
      <c r="H306" t="s">
        <v>9260</v>
      </c>
      <c r="I306" s="186">
        <v>10</v>
      </c>
      <c r="J306" t="s">
        <v>174</v>
      </c>
      <c r="K306">
        <v>11999.99</v>
      </c>
      <c r="L306" s="191">
        <v>44642.45207175926</v>
      </c>
    </row>
    <row r="307" spans="1:12" x14ac:dyDescent="0.3">
      <c r="A307" s="186">
        <v>31106</v>
      </c>
      <c r="B307" s="186">
        <v>-1</v>
      </c>
      <c r="C307" s="186" t="s">
        <v>9261</v>
      </c>
      <c r="D307" t="s">
        <v>1387</v>
      </c>
      <c r="E307" s="186">
        <v>14376798</v>
      </c>
      <c r="F307" t="s">
        <v>1388</v>
      </c>
      <c r="G307" t="s">
        <v>87</v>
      </c>
      <c r="H307" t="s">
        <v>9261</v>
      </c>
      <c r="I307" s="186">
        <v>3</v>
      </c>
      <c r="J307" t="s">
        <v>174</v>
      </c>
      <c r="K307" s="185">
        <v>40000</v>
      </c>
      <c r="L307" s="191">
        <v>44644.384305555555</v>
      </c>
    </row>
    <row r="308" spans="1:12" x14ac:dyDescent="0.3">
      <c r="A308" s="186">
        <v>31037</v>
      </c>
      <c r="B308" s="186">
        <v>-1</v>
      </c>
      <c r="C308" s="186" t="s">
        <v>9262</v>
      </c>
      <c r="D308" t="s">
        <v>1387</v>
      </c>
      <c r="E308" s="186">
        <v>10480891</v>
      </c>
      <c r="F308" t="s">
        <v>1410</v>
      </c>
      <c r="G308" t="s">
        <v>113</v>
      </c>
      <c r="H308" t="s">
        <v>9262</v>
      </c>
      <c r="I308" s="186">
        <v>24</v>
      </c>
      <c r="J308" t="s">
        <v>174</v>
      </c>
      <c r="K308" s="185">
        <v>342364</v>
      </c>
      <c r="L308" s="191">
        <v>44623.724895833337</v>
      </c>
    </row>
    <row r="309" spans="1:12" x14ac:dyDescent="0.3">
      <c r="A309" s="186">
        <v>2458</v>
      </c>
      <c r="B309" s="186">
        <v>5</v>
      </c>
      <c r="C309" s="186" t="s">
        <v>9263</v>
      </c>
      <c r="D309" t="s">
        <v>1387</v>
      </c>
      <c r="E309" s="186">
        <v>9325670</v>
      </c>
      <c r="F309" t="s">
        <v>1388</v>
      </c>
      <c r="G309" t="s">
        <v>87</v>
      </c>
      <c r="H309" t="s">
        <v>9263</v>
      </c>
      <c r="I309" s="186">
        <v>3</v>
      </c>
      <c r="J309" t="s">
        <v>129</v>
      </c>
      <c r="K309" s="185">
        <v>6946.28</v>
      </c>
      <c r="L309" s="191">
        <v>44641.541701388887</v>
      </c>
    </row>
    <row r="310" spans="1:12" x14ac:dyDescent="0.3">
      <c r="A310" s="186">
        <v>2445</v>
      </c>
      <c r="B310" s="186" t="e">
        <v>#DIV/0!</v>
      </c>
      <c r="C310" s="186" t="s">
        <v>9264</v>
      </c>
      <c r="D310" t="s">
        <v>1387</v>
      </c>
      <c r="E310" s="186">
        <v>31878776649</v>
      </c>
      <c r="F310" t="s">
        <v>1388</v>
      </c>
      <c r="G310" t="s">
        <v>87</v>
      </c>
      <c r="H310" t="s">
        <v>9264</v>
      </c>
      <c r="I310" s="186">
        <v>3</v>
      </c>
      <c r="J310" t="s">
        <v>1445</v>
      </c>
      <c r="K310" s="185">
        <v>352399.58</v>
      </c>
      <c r="L310" s="191">
        <v>44622.669293981482</v>
      </c>
    </row>
    <row r="311" spans="1:12" x14ac:dyDescent="0.3">
      <c r="A311" s="186">
        <v>31035</v>
      </c>
      <c r="B311" s="186">
        <v>0</v>
      </c>
      <c r="C311" s="186" t="s">
        <v>9265</v>
      </c>
      <c r="D311" t="s">
        <v>1387</v>
      </c>
      <c r="E311" s="186">
        <v>19230218</v>
      </c>
      <c r="F311" t="s">
        <v>1388</v>
      </c>
      <c r="G311" t="s">
        <v>87</v>
      </c>
      <c r="H311" t="s">
        <v>9265</v>
      </c>
      <c r="I311" s="186">
        <v>3</v>
      </c>
      <c r="J311" t="s">
        <v>100</v>
      </c>
      <c r="K311" s="185">
        <v>550000</v>
      </c>
      <c r="L311" s="191">
        <v>44623.418263888889</v>
      </c>
    </row>
    <row r="312" spans="1:12" x14ac:dyDescent="0.3">
      <c r="A312" s="186">
        <v>31097</v>
      </c>
      <c r="B312" s="186">
        <v>10</v>
      </c>
      <c r="C312" s="186" t="s">
        <v>9266</v>
      </c>
      <c r="D312" t="s">
        <v>1387</v>
      </c>
      <c r="E312" s="186">
        <v>19739564</v>
      </c>
      <c r="F312" t="s">
        <v>1388</v>
      </c>
      <c r="G312" t="s">
        <v>87</v>
      </c>
      <c r="H312" t="s">
        <v>9266</v>
      </c>
      <c r="I312" s="186">
        <v>18</v>
      </c>
      <c r="J312" t="s">
        <v>133</v>
      </c>
      <c r="K312" s="185">
        <v>28560</v>
      </c>
      <c r="L312" s="191">
        <v>44641.362986111111</v>
      </c>
    </row>
    <row r="313" spans="1:12" x14ac:dyDescent="0.3">
      <c r="A313" s="186">
        <v>4272</v>
      </c>
      <c r="B313" s="186">
        <v>60</v>
      </c>
      <c r="C313" s="186" t="s">
        <v>9267</v>
      </c>
      <c r="D313" t="s">
        <v>1387</v>
      </c>
      <c r="E313" s="186">
        <v>33592510</v>
      </c>
      <c r="F313" t="s">
        <v>1388</v>
      </c>
      <c r="G313" t="s">
        <v>87</v>
      </c>
      <c r="H313" t="s">
        <v>9267</v>
      </c>
      <c r="I313" s="186">
        <v>3</v>
      </c>
      <c r="J313" t="s">
        <v>97</v>
      </c>
      <c r="K313" s="185">
        <v>57605.760000000002</v>
      </c>
      <c r="L313" s="191">
        <v>44645.439456018517</v>
      </c>
    </row>
    <row r="314" spans="1:12" x14ac:dyDescent="0.3">
      <c r="A314" s="186">
        <v>31082</v>
      </c>
      <c r="B314" s="186">
        <v>0</v>
      </c>
      <c r="C314" s="186" t="s">
        <v>9268</v>
      </c>
      <c r="D314" t="s">
        <v>1387</v>
      </c>
      <c r="E314" s="186">
        <v>59104901</v>
      </c>
      <c r="F314" t="s">
        <v>1410</v>
      </c>
      <c r="G314" t="s">
        <v>113</v>
      </c>
      <c r="H314" t="s">
        <v>9268</v>
      </c>
      <c r="I314" s="186">
        <v>24</v>
      </c>
      <c r="J314" t="s">
        <v>100</v>
      </c>
      <c r="K314" s="185">
        <v>917420</v>
      </c>
      <c r="L314" s="191">
        <v>44634.993472222224</v>
      </c>
    </row>
    <row r="315" spans="1:12" x14ac:dyDescent="0.3">
      <c r="A315" s="186">
        <v>31089</v>
      </c>
      <c r="B315" s="186">
        <v>10</v>
      </c>
      <c r="C315" s="186" t="s">
        <v>9269</v>
      </c>
      <c r="D315" t="s">
        <v>1387</v>
      </c>
      <c r="E315" s="186">
        <v>8555864</v>
      </c>
      <c r="F315" t="s">
        <v>1388</v>
      </c>
      <c r="G315" t="s">
        <v>87</v>
      </c>
      <c r="H315" t="s">
        <v>9269</v>
      </c>
      <c r="I315" s="186">
        <v>9</v>
      </c>
      <c r="J315" t="s">
        <v>133</v>
      </c>
      <c r="K315" s="185">
        <v>33986.43</v>
      </c>
      <c r="L315" s="191">
        <v>44636.63994212963</v>
      </c>
    </row>
    <row r="316" spans="1:12" x14ac:dyDescent="0.3">
      <c r="A316" s="186">
        <v>2444</v>
      </c>
      <c r="B316" s="186">
        <v>0</v>
      </c>
      <c r="C316" s="186" t="s">
        <v>9270</v>
      </c>
      <c r="D316" t="s">
        <v>1387</v>
      </c>
      <c r="E316" s="186">
        <v>24000759</v>
      </c>
      <c r="F316" t="s">
        <v>1388</v>
      </c>
      <c r="G316" t="s">
        <v>87</v>
      </c>
      <c r="H316" t="s">
        <v>9270</v>
      </c>
      <c r="I316" s="186">
        <v>10</v>
      </c>
      <c r="J316" t="s">
        <v>100</v>
      </c>
      <c r="K316" s="185">
        <v>40846.81</v>
      </c>
      <c r="L316" s="191">
        <v>44622.527731481481</v>
      </c>
    </row>
    <row r="317" spans="1:12" x14ac:dyDescent="0.3">
      <c r="A317" s="186">
        <v>2461</v>
      </c>
      <c r="B317" s="186">
        <v>0</v>
      </c>
      <c r="C317" s="186" t="s">
        <v>9271</v>
      </c>
      <c r="D317" t="s">
        <v>1387</v>
      </c>
      <c r="E317" s="186">
        <v>69005672668</v>
      </c>
      <c r="F317" t="s">
        <v>1388</v>
      </c>
      <c r="G317" t="s">
        <v>87</v>
      </c>
      <c r="H317" t="s">
        <v>9271</v>
      </c>
      <c r="I317" s="186">
        <v>3</v>
      </c>
      <c r="J317" t="s">
        <v>100</v>
      </c>
      <c r="K317" s="185">
        <v>235000</v>
      </c>
      <c r="L317" s="191">
        <v>44644.610555555555</v>
      </c>
    </row>
    <row r="318" spans="1:12" x14ac:dyDescent="0.3">
      <c r="A318" s="186">
        <v>31030</v>
      </c>
      <c r="B318" s="186">
        <v>0</v>
      </c>
      <c r="C318" s="186" t="s">
        <v>9272</v>
      </c>
      <c r="D318" t="s">
        <v>1387</v>
      </c>
      <c r="E318" s="186">
        <v>21269606</v>
      </c>
      <c r="F318" t="s">
        <v>1388</v>
      </c>
      <c r="G318" t="s">
        <v>87</v>
      </c>
      <c r="H318" t="s">
        <v>9272</v>
      </c>
      <c r="I318" s="186">
        <v>3</v>
      </c>
      <c r="J318" t="s">
        <v>100</v>
      </c>
      <c r="K318" s="185">
        <v>250000</v>
      </c>
      <c r="L318" s="191">
        <v>44622.382037037038</v>
      </c>
    </row>
    <row r="319" spans="1:12" x14ac:dyDescent="0.3">
      <c r="A319" s="186">
        <v>2455</v>
      </c>
      <c r="B319" s="186" t="s">
        <v>175</v>
      </c>
      <c r="C319" s="186" t="s">
        <v>9273</v>
      </c>
      <c r="D319" t="s">
        <v>1387</v>
      </c>
      <c r="E319" s="186">
        <v>19072453</v>
      </c>
      <c r="F319" t="s">
        <v>1388</v>
      </c>
      <c r="G319" t="s">
        <v>87</v>
      </c>
      <c r="H319" t="s">
        <v>9273</v>
      </c>
      <c r="I319" s="186">
        <v>3</v>
      </c>
      <c r="J319" t="s">
        <v>176</v>
      </c>
      <c r="K319" s="185">
        <v>26474</v>
      </c>
      <c r="L319" s="191">
        <v>44635.344236111108</v>
      </c>
    </row>
    <row r="320" spans="1:12" x14ac:dyDescent="0.3">
      <c r="A320" s="186">
        <v>31129</v>
      </c>
      <c r="B320" s="186">
        <v>0</v>
      </c>
      <c r="C320" s="186" t="s">
        <v>9274</v>
      </c>
      <c r="D320" t="s">
        <v>1387</v>
      </c>
      <c r="E320" s="186">
        <v>14198875</v>
      </c>
      <c r="F320" t="s">
        <v>1388</v>
      </c>
      <c r="G320" t="s">
        <v>87</v>
      </c>
      <c r="H320" t="s">
        <v>9274</v>
      </c>
      <c r="I320" s="186">
        <v>3</v>
      </c>
      <c r="J320" t="s">
        <v>100</v>
      </c>
      <c r="K320" s="185">
        <v>300000</v>
      </c>
      <c r="L320" s="191">
        <v>44651.357581018521</v>
      </c>
    </row>
    <row r="321" spans="1:12" x14ac:dyDescent="0.3">
      <c r="A321" s="186">
        <v>31207</v>
      </c>
      <c r="B321" s="186">
        <v>0</v>
      </c>
      <c r="C321" s="186" t="s">
        <v>9275</v>
      </c>
      <c r="D321" t="s">
        <v>1387</v>
      </c>
      <c r="E321" s="186">
        <v>2789567697</v>
      </c>
      <c r="F321" t="s">
        <v>1388</v>
      </c>
      <c r="G321" t="s">
        <v>87</v>
      </c>
      <c r="H321" t="s">
        <v>9275</v>
      </c>
      <c r="I321" s="186">
        <v>3</v>
      </c>
      <c r="J321" t="s">
        <v>100</v>
      </c>
      <c r="K321" s="185">
        <v>400000</v>
      </c>
      <c r="L321" s="191">
        <v>44673.679247685184</v>
      </c>
    </row>
    <row r="322" spans="1:12" x14ac:dyDescent="0.3">
      <c r="A322" s="186">
        <v>31208</v>
      </c>
      <c r="B322" s="186">
        <v>0</v>
      </c>
      <c r="C322" s="186" t="s">
        <v>9276</v>
      </c>
      <c r="D322" t="s">
        <v>1387</v>
      </c>
      <c r="E322" s="186">
        <v>65315418</v>
      </c>
      <c r="F322" t="s">
        <v>1388</v>
      </c>
      <c r="G322" t="s">
        <v>87</v>
      </c>
      <c r="H322" t="s">
        <v>9276</v>
      </c>
      <c r="I322" s="186">
        <v>3</v>
      </c>
      <c r="J322" t="s">
        <v>100</v>
      </c>
      <c r="K322" s="185">
        <v>590000</v>
      </c>
      <c r="L322" s="191">
        <v>44676.386863425927</v>
      </c>
    </row>
    <row r="323" spans="1:12" x14ac:dyDescent="0.3">
      <c r="A323" s="186">
        <v>31209</v>
      </c>
      <c r="B323" s="186">
        <v>0</v>
      </c>
      <c r="C323" s="186" t="s">
        <v>9277</v>
      </c>
      <c r="D323" t="s">
        <v>1387</v>
      </c>
      <c r="E323" s="186">
        <v>12929735</v>
      </c>
      <c r="F323" t="s">
        <v>1388</v>
      </c>
      <c r="G323" t="s">
        <v>87</v>
      </c>
      <c r="H323" t="s">
        <v>9277</v>
      </c>
      <c r="I323" s="186">
        <v>3</v>
      </c>
      <c r="J323" t="s">
        <v>100</v>
      </c>
      <c r="K323" s="185">
        <v>24100</v>
      </c>
      <c r="L323" s="191">
        <v>44676.409351851849</v>
      </c>
    </row>
    <row r="324" spans="1:12" x14ac:dyDescent="0.3">
      <c r="A324" s="186">
        <v>31213</v>
      </c>
      <c r="B324" s="186">
        <v>0</v>
      </c>
      <c r="C324" s="186" t="s">
        <v>9278</v>
      </c>
      <c r="D324" t="s">
        <v>1387</v>
      </c>
      <c r="E324" s="186">
        <v>5943917</v>
      </c>
      <c r="F324" t="s">
        <v>1388</v>
      </c>
      <c r="G324" t="s">
        <v>87</v>
      </c>
      <c r="H324" t="s">
        <v>9278</v>
      </c>
      <c r="I324" s="186">
        <v>10</v>
      </c>
      <c r="J324" t="s">
        <v>100</v>
      </c>
      <c r="K324" s="185">
        <v>429265.24</v>
      </c>
      <c r="L324" s="191">
        <v>44677.557615740741</v>
      </c>
    </row>
    <row r="325" spans="1:12" x14ac:dyDescent="0.3">
      <c r="A325" s="186">
        <v>31162</v>
      </c>
      <c r="B325" s="186" t="e">
        <v>#DIV/0!</v>
      </c>
      <c r="C325" s="186" t="s">
        <v>9279</v>
      </c>
      <c r="D325" t="s">
        <v>1387</v>
      </c>
      <c r="E325" s="186">
        <v>5581867852</v>
      </c>
      <c r="F325" t="s">
        <v>1388</v>
      </c>
      <c r="G325" t="s">
        <v>87</v>
      </c>
      <c r="H325" t="s">
        <v>9279</v>
      </c>
      <c r="I325" s="186">
        <v>3</v>
      </c>
      <c r="J325" t="s">
        <v>1445</v>
      </c>
      <c r="K325" s="185">
        <v>630000</v>
      </c>
      <c r="L325" s="191">
        <v>44659.417870370373</v>
      </c>
    </row>
    <row r="326" spans="1:12" x14ac:dyDescent="0.3">
      <c r="A326" s="186">
        <v>31174</v>
      </c>
      <c r="B326" s="186">
        <v>-1</v>
      </c>
      <c r="C326" s="186" t="s">
        <v>9280</v>
      </c>
      <c r="D326" t="s">
        <v>1387</v>
      </c>
      <c r="E326" s="186">
        <v>44764288</v>
      </c>
      <c r="F326" t="s">
        <v>1388</v>
      </c>
      <c r="G326" t="s">
        <v>87</v>
      </c>
      <c r="H326" t="s">
        <v>9280</v>
      </c>
      <c r="I326" s="186">
        <v>10</v>
      </c>
      <c r="J326" t="s">
        <v>174</v>
      </c>
      <c r="K326" s="185">
        <v>20000.009999999998</v>
      </c>
      <c r="L326" s="191">
        <v>44664.463599537034</v>
      </c>
    </row>
    <row r="327" spans="1:12" x14ac:dyDescent="0.3">
      <c r="A327" s="186">
        <v>31192</v>
      </c>
      <c r="B327" s="186">
        <v>0</v>
      </c>
      <c r="C327" s="186" t="s">
        <v>9281</v>
      </c>
      <c r="D327" t="s">
        <v>1387</v>
      </c>
      <c r="E327" s="186">
        <v>1541959604</v>
      </c>
      <c r="F327" t="s">
        <v>1388</v>
      </c>
      <c r="G327" t="s">
        <v>87</v>
      </c>
      <c r="H327" t="s">
        <v>9281</v>
      </c>
      <c r="I327" s="186">
        <v>3</v>
      </c>
      <c r="J327" t="s">
        <v>100</v>
      </c>
      <c r="K327" s="185">
        <v>277038</v>
      </c>
      <c r="L327" s="191">
        <v>44670.402858796297</v>
      </c>
    </row>
    <row r="328" spans="1:12" x14ac:dyDescent="0.3">
      <c r="A328" s="186">
        <v>31219</v>
      </c>
      <c r="B328" s="186">
        <v>45</v>
      </c>
      <c r="C328" s="186" t="s">
        <v>9282</v>
      </c>
      <c r="D328" t="s">
        <v>1387</v>
      </c>
      <c r="E328" s="186">
        <v>13812133</v>
      </c>
      <c r="F328" t="s">
        <v>1388</v>
      </c>
      <c r="G328" t="s">
        <v>87</v>
      </c>
      <c r="H328" t="s">
        <v>9282</v>
      </c>
      <c r="I328" s="186">
        <v>26</v>
      </c>
      <c r="J328" t="s">
        <v>106</v>
      </c>
      <c r="K328" s="185">
        <v>22666.19</v>
      </c>
      <c r="L328" s="191">
        <v>44678.440995370373</v>
      </c>
    </row>
    <row r="329" spans="1:12" x14ac:dyDescent="0.3">
      <c r="A329" s="186">
        <v>31205</v>
      </c>
      <c r="B329" s="186">
        <v>0</v>
      </c>
      <c r="C329" s="186" t="s">
        <v>9283</v>
      </c>
      <c r="D329" t="s">
        <v>1387</v>
      </c>
      <c r="E329" s="186">
        <v>7667743681</v>
      </c>
      <c r="F329" t="s">
        <v>1388</v>
      </c>
      <c r="G329" t="s">
        <v>87</v>
      </c>
      <c r="H329" t="s">
        <v>9283</v>
      </c>
      <c r="I329" s="186">
        <v>3</v>
      </c>
      <c r="J329" t="s">
        <v>100</v>
      </c>
      <c r="K329" s="185">
        <v>280000</v>
      </c>
      <c r="L329" s="191">
        <v>44671.721701388888</v>
      </c>
    </row>
    <row r="330" spans="1:12" x14ac:dyDescent="0.3">
      <c r="A330" s="186">
        <v>31206</v>
      </c>
      <c r="B330" s="186">
        <v>-1</v>
      </c>
      <c r="C330" s="186" t="s">
        <v>9284</v>
      </c>
      <c r="D330" t="s">
        <v>1387</v>
      </c>
      <c r="E330" s="186">
        <v>32667924</v>
      </c>
      <c r="F330" t="s">
        <v>1388</v>
      </c>
      <c r="G330" t="s">
        <v>87</v>
      </c>
      <c r="H330" t="s">
        <v>9284</v>
      </c>
      <c r="I330" s="186">
        <v>10</v>
      </c>
      <c r="J330" t="s">
        <v>174</v>
      </c>
      <c r="K330" s="185">
        <v>38000</v>
      </c>
      <c r="L330" s="191">
        <v>44673.62059027778</v>
      </c>
    </row>
    <row r="331" spans="1:12" x14ac:dyDescent="0.3">
      <c r="A331" s="186">
        <v>31224</v>
      </c>
      <c r="B331" s="186">
        <v>0</v>
      </c>
      <c r="C331" s="186" t="s">
        <v>9285</v>
      </c>
      <c r="D331" t="s">
        <v>1387</v>
      </c>
      <c r="E331" s="186">
        <v>7994158</v>
      </c>
      <c r="F331" t="s">
        <v>1388</v>
      </c>
      <c r="G331" t="s">
        <v>87</v>
      </c>
      <c r="H331" t="s">
        <v>9285</v>
      </c>
      <c r="I331" s="186">
        <v>9</v>
      </c>
      <c r="J331" t="s">
        <v>100</v>
      </c>
      <c r="K331" s="185">
        <v>330000</v>
      </c>
      <c r="L331" s="191">
        <v>44679.425127314818</v>
      </c>
    </row>
    <row r="332" spans="1:12" x14ac:dyDescent="0.3">
      <c r="A332" s="186">
        <v>31227</v>
      </c>
      <c r="B332" s="186">
        <v>-1</v>
      </c>
      <c r="C332" s="186" t="s">
        <v>9286</v>
      </c>
      <c r="D332" t="s">
        <v>1387</v>
      </c>
      <c r="E332" s="186">
        <v>70057084238</v>
      </c>
      <c r="F332" t="s">
        <v>1388</v>
      </c>
      <c r="G332" t="s">
        <v>87</v>
      </c>
      <c r="H332" t="s">
        <v>9286</v>
      </c>
      <c r="I332" s="186">
        <v>10</v>
      </c>
      <c r="J332" t="s">
        <v>174</v>
      </c>
      <c r="K332" s="185">
        <v>38000</v>
      </c>
      <c r="L332" s="191">
        <v>44679.97457175926</v>
      </c>
    </row>
    <row r="333" spans="1:12" x14ac:dyDescent="0.3">
      <c r="A333" s="186">
        <v>31148</v>
      </c>
      <c r="B333" s="186">
        <v>-1</v>
      </c>
      <c r="C333" s="186" t="s">
        <v>9287</v>
      </c>
      <c r="D333" t="s">
        <v>1387</v>
      </c>
      <c r="E333" s="186">
        <v>7360115</v>
      </c>
      <c r="F333" t="s">
        <v>1388</v>
      </c>
      <c r="G333" t="s">
        <v>87</v>
      </c>
      <c r="H333" t="s">
        <v>9287</v>
      </c>
      <c r="I333" s="186">
        <v>3</v>
      </c>
      <c r="J333" t="s">
        <v>174</v>
      </c>
      <c r="K333" s="185">
        <v>12927.15</v>
      </c>
      <c r="L333" s="191">
        <v>44657.410092592596</v>
      </c>
    </row>
    <row r="334" spans="1:12" x14ac:dyDescent="0.3">
      <c r="A334" s="186">
        <v>31186</v>
      </c>
      <c r="B334" s="186">
        <v>0</v>
      </c>
      <c r="C334" s="186" t="s">
        <v>9288</v>
      </c>
      <c r="D334" t="s">
        <v>1387</v>
      </c>
      <c r="E334" s="186">
        <v>38199406</v>
      </c>
      <c r="F334" t="s">
        <v>1410</v>
      </c>
      <c r="G334" t="s">
        <v>113</v>
      </c>
      <c r="H334" t="s">
        <v>9288</v>
      </c>
      <c r="I334" s="186">
        <v>24</v>
      </c>
      <c r="J334" t="s">
        <v>100</v>
      </c>
      <c r="K334" s="185">
        <v>28920000</v>
      </c>
      <c r="L334" s="191">
        <v>44669.498888888891</v>
      </c>
    </row>
    <row r="335" spans="1:12" x14ac:dyDescent="0.3">
      <c r="A335" s="186">
        <v>31134</v>
      </c>
      <c r="B335" s="186" t="s">
        <v>195</v>
      </c>
      <c r="C335" s="186" t="s">
        <v>9289</v>
      </c>
      <c r="D335" t="s">
        <v>1387</v>
      </c>
      <c r="E335" s="186">
        <v>6273155</v>
      </c>
      <c r="F335" t="s">
        <v>1388</v>
      </c>
      <c r="G335" t="s">
        <v>87</v>
      </c>
      <c r="H335" t="s">
        <v>9289</v>
      </c>
      <c r="I335" s="186">
        <v>9</v>
      </c>
      <c r="J335" t="s">
        <v>196</v>
      </c>
      <c r="K335" s="185">
        <v>113378.44</v>
      </c>
      <c r="L335" s="191">
        <v>44651.712083333332</v>
      </c>
    </row>
    <row r="336" spans="1:12" x14ac:dyDescent="0.3">
      <c r="A336" s="186">
        <v>2468</v>
      </c>
      <c r="B336" s="186">
        <v>0</v>
      </c>
      <c r="C336" s="186" t="s">
        <v>9290</v>
      </c>
      <c r="D336" t="s">
        <v>1387</v>
      </c>
      <c r="E336" s="186">
        <v>45323644</v>
      </c>
      <c r="F336" t="s">
        <v>1388</v>
      </c>
      <c r="G336" t="s">
        <v>87</v>
      </c>
      <c r="H336" t="s">
        <v>9290</v>
      </c>
      <c r="I336" s="186">
        <v>3</v>
      </c>
      <c r="J336" t="s">
        <v>100</v>
      </c>
      <c r="K336" s="185">
        <v>335000</v>
      </c>
      <c r="L336" s="191">
        <v>44656.682106481479</v>
      </c>
    </row>
    <row r="337" spans="1:12" x14ac:dyDescent="0.3">
      <c r="A337" s="186">
        <v>31161</v>
      </c>
      <c r="B337" s="186">
        <v>0</v>
      </c>
      <c r="C337" s="186" t="s">
        <v>9291</v>
      </c>
      <c r="D337" t="s">
        <v>1387</v>
      </c>
      <c r="E337" s="186">
        <v>5272070</v>
      </c>
      <c r="F337" t="s">
        <v>1388</v>
      </c>
      <c r="G337" t="s">
        <v>87</v>
      </c>
      <c r="H337" t="s">
        <v>9291</v>
      </c>
      <c r="I337" s="186">
        <v>10</v>
      </c>
      <c r="J337" t="s">
        <v>100</v>
      </c>
      <c r="K337" s="185">
        <v>210000</v>
      </c>
      <c r="L337" s="191">
        <v>44659.387766203705</v>
      </c>
    </row>
    <row r="338" spans="1:12" x14ac:dyDescent="0.3">
      <c r="A338" s="186">
        <v>31167</v>
      </c>
      <c r="B338" s="186">
        <v>0</v>
      </c>
      <c r="C338" s="186" t="s">
        <v>9292</v>
      </c>
      <c r="D338" t="s">
        <v>1387</v>
      </c>
      <c r="E338" s="186">
        <v>24000759</v>
      </c>
      <c r="F338" t="s">
        <v>1388</v>
      </c>
      <c r="G338" t="s">
        <v>87</v>
      </c>
      <c r="H338" t="s">
        <v>9292</v>
      </c>
      <c r="I338" s="186">
        <v>10</v>
      </c>
      <c r="J338" t="s">
        <v>100</v>
      </c>
      <c r="K338" s="185">
        <v>49999.98</v>
      </c>
      <c r="L338" s="191">
        <v>44663.459606481483</v>
      </c>
    </row>
    <row r="339" spans="1:12" x14ac:dyDescent="0.3">
      <c r="A339" s="186">
        <v>31164</v>
      </c>
      <c r="B339" s="186">
        <v>-1</v>
      </c>
      <c r="C339" s="186" t="s">
        <v>9293</v>
      </c>
      <c r="D339" t="s">
        <v>1387</v>
      </c>
      <c r="E339" s="186">
        <v>71212515234</v>
      </c>
      <c r="F339" t="s">
        <v>1388</v>
      </c>
      <c r="G339" t="s">
        <v>87</v>
      </c>
      <c r="H339" t="s">
        <v>9293</v>
      </c>
      <c r="I339" s="186">
        <v>10</v>
      </c>
      <c r="J339" t="s">
        <v>174</v>
      </c>
      <c r="K339" s="185">
        <v>24000</v>
      </c>
      <c r="L339" s="191">
        <v>44659.556990740741</v>
      </c>
    </row>
    <row r="340" spans="1:12" x14ac:dyDescent="0.3">
      <c r="A340" s="186">
        <v>4297</v>
      </c>
      <c r="B340" s="186">
        <v>30</v>
      </c>
      <c r="C340" s="186" t="s">
        <v>9294</v>
      </c>
      <c r="D340" t="s">
        <v>1387</v>
      </c>
      <c r="E340" s="186">
        <v>8343492</v>
      </c>
      <c r="F340" t="s">
        <v>1388</v>
      </c>
      <c r="G340" t="s">
        <v>87</v>
      </c>
      <c r="H340" t="s">
        <v>9294</v>
      </c>
      <c r="I340" s="186">
        <v>3</v>
      </c>
      <c r="J340" t="s">
        <v>103</v>
      </c>
      <c r="K340" s="185">
        <v>1883.12</v>
      </c>
      <c r="L340" s="191">
        <v>44665.663958333331</v>
      </c>
    </row>
    <row r="341" spans="1:12" x14ac:dyDescent="0.3">
      <c r="A341" s="186">
        <v>2473</v>
      </c>
      <c r="B341" s="186">
        <v>-1</v>
      </c>
      <c r="C341" s="186" t="s">
        <v>9295</v>
      </c>
      <c r="D341" t="s">
        <v>1387</v>
      </c>
      <c r="E341" s="186">
        <v>35833933</v>
      </c>
      <c r="F341" t="s">
        <v>1388</v>
      </c>
      <c r="G341" t="s">
        <v>87</v>
      </c>
      <c r="H341" t="s">
        <v>9295</v>
      </c>
      <c r="I341" s="186">
        <v>3</v>
      </c>
      <c r="J341" t="s">
        <v>174</v>
      </c>
      <c r="K341" s="185">
        <v>315000</v>
      </c>
      <c r="L341" s="191">
        <v>44671.494004629632</v>
      </c>
    </row>
    <row r="342" spans="1:12" x14ac:dyDescent="0.3">
      <c r="A342" s="186">
        <v>31150</v>
      </c>
      <c r="B342" s="186">
        <v>0</v>
      </c>
      <c r="C342" s="186" t="s">
        <v>9296</v>
      </c>
      <c r="D342" t="s">
        <v>1387</v>
      </c>
      <c r="E342" s="186">
        <v>31878776649</v>
      </c>
      <c r="F342" t="s">
        <v>1388</v>
      </c>
      <c r="G342" t="s">
        <v>87</v>
      </c>
      <c r="H342" t="s">
        <v>9296</v>
      </c>
      <c r="I342" s="186">
        <v>3</v>
      </c>
      <c r="J342" t="s">
        <v>100</v>
      </c>
      <c r="K342" s="185">
        <v>363784.54</v>
      </c>
      <c r="L342" s="191">
        <v>44657.4528125</v>
      </c>
    </row>
    <row r="343" spans="1:12" x14ac:dyDescent="0.3">
      <c r="A343" s="186">
        <v>31154</v>
      </c>
      <c r="B343" s="186">
        <v>0</v>
      </c>
      <c r="C343" s="186" t="s">
        <v>9297</v>
      </c>
      <c r="D343" t="s">
        <v>1387</v>
      </c>
      <c r="E343" s="186">
        <v>3068142</v>
      </c>
      <c r="F343" t="s">
        <v>1388</v>
      </c>
      <c r="G343" t="s">
        <v>87</v>
      </c>
      <c r="H343" t="s">
        <v>9297</v>
      </c>
      <c r="I343" s="186">
        <v>3</v>
      </c>
      <c r="J343" t="s">
        <v>100</v>
      </c>
      <c r="K343">
        <v>2700</v>
      </c>
      <c r="L343" s="191">
        <v>44658.353506944448</v>
      </c>
    </row>
    <row r="344" spans="1:12" x14ac:dyDescent="0.3">
      <c r="A344" s="186">
        <v>31247</v>
      </c>
      <c r="B344" s="186">
        <v>0</v>
      </c>
      <c r="C344" s="186" t="s">
        <v>9298</v>
      </c>
      <c r="D344" t="s">
        <v>1387</v>
      </c>
      <c r="E344" s="186">
        <v>36628893</v>
      </c>
      <c r="F344" t="s">
        <v>1388</v>
      </c>
      <c r="G344" t="s">
        <v>87</v>
      </c>
      <c r="H344" t="s">
        <v>9298</v>
      </c>
      <c r="I344" s="186">
        <v>9</v>
      </c>
      <c r="J344" t="s">
        <v>100</v>
      </c>
      <c r="K344">
        <v>13500</v>
      </c>
      <c r="L344" s="191">
        <v>44686.656076388892</v>
      </c>
    </row>
    <row r="345" spans="1:12" x14ac:dyDescent="0.3">
      <c r="A345" s="186">
        <v>2488</v>
      </c>
      <c r="B345" s="186">
        <v>0</v>
      </c>
      <c r="C345" s="186" t="s">
        <v>9299</v>
      </c>
      <c r="D345" t="s">
        <v>1387</v>
      </c>
      <c r="E345" s="186">
        <v>20177671</v>
      </c>
      <c r="F345" t="s">
        <v>1388</v>
      </c>
      <c r="G345" t="s">
        <v>87</v>
      </c>
      <c r="H345" t="s">
        <v>9299</v>
      </c>
      <c r="I345" s="186">
        <v>43</v>
      </c>
      <c r="J345" t="s">
        <v>100</v>
      </c>
      <c r="K345" s="185">
        <v>15729.61</v>
      </c>
      <c r="L345" s="191">
        <v>44700.452696759261</v>
      </c>
    </row>
    <row r="346" spans="1:12" x14ac:dyDescent="0.3">
      <c r="A346" s="186">
        <v>31267</v>
      </c>
      <c r="B346" s="186">
        <v>0</v>
      </c>
      <c r="C346" s="186" t="s">
        <v>9300</v>
      </c>
      <c r="D346" t="s">
        <v>1387</v>
      </c>
      <c r="E346" s="186">
        <v>1456618148</v>
      </c>
      <c r="F346" t="s">
        <v>1388</v>
      </c>
      <c r="G346" t="s">
        <v>87</v>
      </c>
      <c r="H346" t="s">
        <v>9300</v>
      </c>
      <c r="I346" s="186">
        <v>37</v>
      </c>
      <c r="J346" t="s">
        <v>100</v>
      </c>
      <c r="K346" s="185">
        <v>31310</v>
      </c>
      <c r="L346" s="191">
        <v>44693.384282407409</v>
      </c>
    </row>
    <row r="347" spans="1:12" x14ac:dyDescent="0.3">
      <c r="A347" s="186">
        <v>31280</v>
      </c>
      <c r="B347" s="186">
        <v>0</v>
      </c>
      <c r="C347" s="186" t="s">
        <v>9301</v>
      </c>
      <c r="D347" t="s">
        <v>1387</v>
      </c>
      <c r="E347" s="186">
        <v>5846703</v>
      </c>
      <c r="F347" t="s">
        <v>1388</v>
      </c>
      <c r="G347" t="s">
        <v>87</v>
      </c>
      <c r="H347" t="s">
        <v>9301</v>
      </c>
      <c r="I347" s="186">
        <v>9</v>
      </c>
      <c r="J347" t="s">
        <v>100</v>
      </c>
      <c r="K347" s="185">
        <v>14500</v>
      </c>
      <c r="L347" s="191">
        <v>44697.472256944442</v>
      </c>
    </row>
    <row r="348" spans="1:12" x14ac:dyDescent="0.3">
      <c r="A348" s="186">
        <v>4310</v>
      </c>
      <c r="B348" s="186">
        <v>10</v>
      </c>
      <c r="C348" s="186" t="s">
        <v>9302</v>
      </c>
      <c r="D348" t="s">
        <v>1387</v>
      </c>
      <c r="E348" s="186">
        <v>10279488</v>
      </c>
      <c r="F348" t="s">
        <v>1388</v>
      </c>
      <c r="G348" t="s">
        <v>87</v>
      </c>
      <c r="H348" t="s">
        <v>9302</v>
      </c>
      <c r="I348" s="186">
        <v>3</v>
      </c>
      <c r="J348" t="s">
        <v>133</v>
      </c>
      <c r="K348" s="185">
        <v>94362.66</v>
      </c>
      <c r="L348" s="191">
        <v>44698.360289351855</v>
      </c>
    </row>
    <row r="349" spans="1:12" x14ac:dyDescent="0.3">
      <c r="A349" s="186">
        <v>31300</v>
      </c>
      <c r="B349" s="186" t="e">
        <v>#DIV/0!</v>
      </c>
      <c r="C349" s="186" t="s">
        <v>9303</v>
      </c>
      <c r="D349" t="s">
        <v>1395</v>
      </c>
      <c r="E349" s="186">
        <v>31878776649</v>
      </c>
      <c r="G349" t="s">
        <v>87</v>
      </c>
      <c r="H349" t="s">
        <v>9303</v>
      </c>
      <c r="I349" s="186">
        <v>3</v>
      </c>
      <c r="J349" t="s">
        <v>1445</v>
      </c>
      <c r="K349" s="185">
        <v>352399.52</v>
      </c>
      <c r="L349" s="191">
        <v>44701.373912037037</v>
      </c>
    </row>
    <row r="350" spans="1:12" x14ac:dyDescent="0.3">
      <c r="A350" s="186">
        <v>31310</v>
      </c>
      <c r="B350" s="186">
        <v>0</v>
      </c>
      <c r="C350" s="186" t="s">
        <v>9304</v>
      </c>
      <c r="D350" t="s">
        <v>1387</v>
      </c>
      <c r="E350" s="186">
        <v>18856317</v>
      </c>
      <c r="F350" t="s">
        <v>1388</v>
      </c>
      <c r="G350" t="s">
        <v>87</v>
      </c>
      <c r="H350" t="s">
        <v>9304</v>
      </c>
      <c r="I350" s="186">
        <v>3</v>
      </c>
      <c r="J350" t="s">
        <v>100</v>
      </c>
      <c r="K350" s="185">
        <v>45000</v>
      </c>
      <c r="L350" s="191">
        <v>44704.554456018515</v>
      </c>
    </row>
    <row r="351" spans="1:12" x14ac:dyDescent="0.3">
      <c r="A351" s="186">
        <v>31318</v>
      </c>
      <c r="B351" s="186">
        <v>0</v>
      </c>
      <c r="C351" s="186" t="s">
        <v>9305</v>
      </c>
      <c r="D351" t="s">
        <v>1387</v>
      </c>
      <c r="E351" s="186">
        <v>11431803</v>
      </c>
      <c r="F351" t="s">
        <v>1388</v>
      </c>
      <c r="G351" t="s">
        <v>87</v>
      </c>
      <c r="H351" t="s">
        <v>9305</v>
      </c>
      <c r="I351" s="186">
        <v>2</v>
      </c>
      <c r="J351" t="s">
        <v>100</v>
      </c>
      <c r="K351" s="185">
        <v>168000</v>
      </c>
      <c r="L351" s="191">
        <v>44706.337314814817</v>
      </c>
    </row>
    <row r="352" spans="1:12" x14ac:dyDescent="0.3">
      <c r="A352" s="186">
        <v>31322</v>
      </c>
      <c r="B352" s="186">
        <v>-1</v>
      </c>
      <c r="C352" s="186" t="s">
        <v>9306</v>
      </c>
      <c r="D352" t="s">
        <v>1387</v>
      </c>
      <c r="E352" s="186">
        <v>37780104</v>
      </c>
      <c r="F352" t="s">
        <v>1388</v>
      </c>
      <c r="G352" t="s">
        <v>87</v>
      </c>
      <c r="H352" t="s">
        <v>9306</v>
      </c>
      <c r="I352" s="186">
        <v>10</v>
      </c>
      <c r="J352" t="s">
        <v>174</v>
      </c>
      <c r="K352" s="185">
        <v>650000</v>
      </c>
      <c r="L352" s="191">
        <v>44706.592349537037</v>
      </c>
    </row>
    <row r="353" spans="1:12" x14ac:dyDescent="0.3">
      <c r="A353" s="186">
        <v>2494</v>
      </c>
      <c r="B353" s="186">
        <v>0</v>
      </c>
      <c r="C353" s="186" t="s">
        <v>9307</v>
      </c>
      <c r="D353" t="s">
        <v>1387</v>
      </c>
      <c r="E353" s="186">
        <v>17445321</v>
      </c>
      <c r="F353" t="s">
        <v>1388</v>
      </c>
      <c r="G353" t="s">
        <v>87</v>
      </c>
      <c r="H353" t="s">
        <v>9307</v>
      </c>
      <c r="I353" s="186">
        <v>3</v>
      </c>
      <c r="J353" t="s">
        <v>100</v>
      </c>
      <c r="K353" s="185">
        <v>38500</v>
      </c>
      <c r="L353" s="191">
        <v>44706.655381944445</v>
      </c>
    </row>
    <row r="354" spans="1:12" x14ac:dyDescent="0.3">
      <c r="A354" s="186">
        <v>2478</v>
      </c>
      <c r="B354" s="186">
        <v>5</v>
      </c>
      <c r="C354" s="186" t="s">
        <v>9308</v>
      </c>
      <c r="D354" t="s">
        <v>1387</v>
      </c>
      <c r="E354" s="186">
        <v>9325670</v>
      </c>
      <c r="F354" t="s">
        <v>1388</v>
      </c>
      <c r="G354" t="s">
        <v>87</v>
      </c>
      <c r="H354" t="s">
        <v>9308</v>
      </c>
      <c r="I354" s="186">
        <v>3</v>
      </c>
      <c r="J354" t="s">
        <v>129</v>
      </c>
      <c r="K354" s="185">
        <v>6946.28</v>
      </c>
      <c r="L354" s="191">
        <v>44684.60832175926</v>
      </c>
    </row>
    <row r="355" spans="1:12" x14ac:dyDescent="0.3">
      <c r="A355" s="186">
        <v>31241</v>
      </c>
      <c r="B355" s="186">
        <v>0</v>
      </c>
      <c r="C355" s="186" t="s">
        <v>9309</v>
      </c>
      <c r="D355" t="s">
        <v>1387</v>
      </c>
      <c r="E355" s="186">
        <v>66437113200</v>
      </c>
      <c r="F355" t="s">
        <v>1388</v>
      </c>
      <c r="G355" t="s">
        <v>87</v>
      </c>
      <c r="H355" t="s">
        <v>9309</v>
      </c>
      <c r="I355" s="186">
        <v>10</v>
      </c>
      <c r="J355" t="s">
        <v>100</v>
      </c>
      <c r="K355" s="185">
        <v>390000</v>
      </c>
      <c r="L355" s="191">
        <v>44685.576921296299</v>
      </c>
    </row>
    <row r="356" spans="1:12" x14ac:dyDescent="0.3">
      <c r="A356" s="186">
        <v>31249</v>
      </c>
      <c r="B356" s="186">
        <v>0</v>
      </c>
      <c r="C356" s="186" t="s">
        <v>9310</v>
      </c>
      <c r="D356" t="s">
        <v>1387</v>
      </c>
      <c r="E356" s="186">
        <v>31500121</v>
      </c>
      <c r="F356" t="s">
        <v>1388</v>
      </c>
      <c r="G356" t="s">
        <v>87</v>
      </c>
      <c r="H356" t="s">
        <v>9310</v>
      </c>
      <c r="I356" s="186">
        <v>3</v>
      </c>
      <c r="J356" t="s">
        <v>100</v>
      </c>
      <c r="K356" s="185">
        <v>600000</v>
      </c>
      <c r="L356" s="191">
        <v>44687.443020833336</v>
      </c>
    </row>
    <row r="357" spans="1:12" x14ac:dyDescent="0.3">
      <c r="A357" s="186">
        <v>31257</v>
      </c>
      <c r="B357" s="186">
        <v>0</v>
      </c>
      <c r="C357" s="186" t="s">
        <v>9311</v>
      </c>
      <c r="D357" t="s">
        <v>1387</v>
      </c>
      <c r="E357" s="186">
        <v>36628893</v>
      </c>
      <c r="F357" t="s">
        <v>1388</v>
      </c>
      <c r="G357" t="s">
        <v>87</v>
      </c>
      <c r="H357" t="s">
        <v>9311</v>
      </c>
      <c r="I357" s="186">
        <v>9</v>
      </c>
      <c r="J357" t="s">
        <v>100</v>
      </c>
      <c r="K357" s="185">
        <v>500</v>
      </c>
      <c r="L357" s="191">
        <v>44690.498877314814</v>
      </c>
    </row>
    <row r="358" spans="1:12" x14ac:dyDescent="0.3">
      <c r="A358" s="186">
        <v>31279</v>
      </c>
      <c r="B358" s="186">
        <v>0</v>
      </c>
      <c r="C358" s="186" t="s">
        <v>9312</v>
      </c>
      <c r="D358" t="s">
        <v>1387</v>
      </c>
      <c r="E358" s="186">
        <v>5943917</v>
      </c>
      <c r="F358" t="s">
        <v>1388</v>
      </c>
      <c r="G358" t="s">
        <v>87</v>
      </c>
      <c r="H358" t="s">
        <v>9312</v>
      </c>
      <c r="I358" s="186">
        <v>10</v>
      </c>
      <c r="J358" t="s">
        <v>100</v>
      </c>
      <c r="K358" s="185">
        <v>272879.5</v>
      </c>
      <c r="L358" s="191">
        <v>44697.462905092594</v>
      </c>
    </row>
    <row r="359" spans="1:12" x14ac:dyDescent="0.3">
      <c r="A359" s="186">
        <v>31306</v>
      </c>
      <c r="B359" s="186">
        <v>0</v>
      </c>
      <c r="C359" s="186" t="s">
        <v>9313</v>
      </c>
      <c r="D359" t="s">
        <v>1394</v>
      </c>
      <c r="E359" s="186">
        <v>42929315</v>
      </c>
      <c r="G359" t="s">
        <v>87</v>
      </c>
      <c r="H359" t="s">
        <v>9313</v>
      </c>
      <c r="I359" s="186">
        <v>3</v>
      </c>
      <c r="J359" t="s">
        <v>100</v>
      </c>
      <c r="K359" s="185">
        <v>0</v>
      </c>
      <c r="L359" s="191">
        <v>44701.662002314813</v>
      </c>
    </row>
    <row r="360" spans="1:12" x14ac:dyDescent="0.3">
      <c r="A360" s="186">
        <v>31255</v>
      </c>
      <c r="B360" s="186">
        <v>0</v>
      </c>
      <c r="C360" s="186" t="s">
        <v>9314</v>
      </c>
      <c r="D360" t="s">
        <v>1387</v>
      </c>
      <c r="E360" s="186">
        <v>5846703</v>
      </c>
      <c r="F360" t="s">
        <v>1388</v>
      </c>
      <c r="G360" t="s">
        <v>87</v>
      </c>
      <c r="H360" t="s">
        <v>9314</v>
      </c>
      <c r="I360" s="186">
        <v>9</v>
      </c>
      <c r="J360" t="s">
        <v>100</v>
      </c>
      <c r="K360" s="185">
        <v>500</v>
      </c>
      <c r="L360" s="191">
        <v>44690.451678240737</v>
      </c>
    </row>
    <row r="361" spans="1:12" x14ac:dyDescent="0.3">
      <c r="A361" s="186">
        <v>2481</v>
      </c>
      <c r="B361" s="186">
        <v>6</v>
      </c>
      <c r="C361" s="186" t="s">
        <v>9315</v>
      </c>
      <c r="D361" t="s">
        <v>1387</v>
      </c>
      <c r="E361" s="186">
        <v>42509257</v>
      </c>
      <c r="F361" t="s">
        <v>1388</v>
      </c>
      <c r="G361" t="s">
        <v>87</v>
      </c>
      <c r="H361" t="s">
        <v>9315</v>
      </c>
      <c r="I361" s="186">
        <v>10</v>
      </c>
      <c r="J361" t="s">
        <v>205</v>
      </c>
      <c r="K361" s="185">
        <v>55200</v>
      </c>
      <c r="L361" s="191">
        <v>44690.632569444446</v>
      </c>
    </row>
    <row r="362" spans="1:12" x14ac:dyDescent="0.3">
      <c r="A362" s="186">
        <v>31019</v>
      </c>
      <c r="B362" s="186" t="s">
        <v>1257</v>
      </c>
      <c r="C362" s="186" t="s">
        <v>9316</v>
      </c>
      <c r="D362" t="s">
        <v>1387</v>
      </c>
      <c r="E362" s="186">
        <v>19141842</v>
      </c>
      <c r="F362" t="s">
        <v>1410</v>
      </c>
      <c r="G362" t="s">
        <v>87</v>
      </c>
      <c r="H362" t="s">
        <v>9316</v>
      </c>
      <c r="I362" s="186">
        <v>24</v>
      </c>
      <c r="J362" t="s">
        <v>1258</v>
      </c>
      <c r="K362" s="185">
        <v>119778</v>
      </c>
      <c r="L362" s="191">
        <v>44617.653680555559</v>
      </c>
    </row>
    <row r="363" spans="1:12" x14ac:dyDescent="0.3">
      <c r="A363" s="186">
        <v>31237</v>
      </c>
      <c r="B363" s="186" t="s">
        <v>1389</v>
      </c>
      <c r="C363" s="186" t="s">
        <v>9317</v>
      </c>
      <c r="D363" t="s">
        <v>1387</v>
      </c>
      <c r="E363" s="186">
        <v>5642273</v>
      </c>
      <c r="F363" t="s">
        <v>1388</v>
      </c>
      <c r="G363" t="s">
        <v>87</v>
      </c>
      <c r="H363" t="s">
        <v>9317</v>
      </c>
      <c r="I363" s="186">
        <v>10</v>
      </c>
      <c r="J363" t="s">
        <v>1390</v>
      </c>
      <c r="K363" s="185">
        <v>360435.6</v>
      </c>
      <c r="L363" s="191">
        <v>44684.570717592593</v>
      </c>
    </row>
    <row r="364" spans="1:12" x14ac:dyDescent="0.3">
      <c r="A364" s="186">
        <v>31283</v>
      </c>
      <c r="B364" s="186">
        <v>0</v>
      </c>
      <c r="C364" s="186" t="s">
        <v>9318</v>
      </c>
      <c r="D364" t="s">
        <v>1394</v>
      </c>
      <c r="E364" s="186">
        <v>3585304</v>
      </c>
      <c r="G364" t="s">
        <v>87</v>
      </c>
      <c r="H364" t="s">
        <v>9318</v>
      </c>
      <c r="I364" s="186">
        <v>43</v>
      </c>
      <c r="J364" t="s">
        <v>100</v>
      </c>
      <c r="K364" s="185">
        <v>0</v>
      </c>
      <c r="L364" s="191">
        <v>44697.655370370368</v>
      </c>
    </row>
    <row r="365" spans="1:12" x14ac:dyDescent="0.3">
      <c r="A365" s="186">
        <v>2484</v>
      </c>
      <c r="B365" s="186">
        <v>0</v>
      </c>
      <c r="C365" s="186" t="s">
        <v>9319</v>
      </c>
      <c r="D365" t="s">
        <v>1387</v>
      </c>
      <c r="E365" s="186">
        <v>10736565</v>
      </c>
      <c r="F365" t="s">
        <v>1388</v>
      </c>
      <c r="G365" t="s">
        <v>87</v>
      </c>
      <c r="H365" t="s">
        <v>9319</v>
      </c>
      <c r="I365" s="186">
        <v>3</v>
      </c>
      <c r="J365" t="s">
        <v>100</v>
      </c>
      <c r="K365" s="185">
        <v>6000</v>
      </c>
      <c r="L365" s="191">
        <v>44697.732395833336</v>
      </c>
    </row>
    <row r="366" spans="1:12" x14ac:dyDescent="0.3">
      <c r="A366" s="186">
        <v>31293</v>
      </c>
      <c r="B366" s="186">
        <v>0</v>
      </c>
      <c r="C366" s="186" t="s">
        <v>9320</v>
      </c>
      <c r="D366" t="s">
        <v>1387</v>
      </c>
      <c r="E366" s="186">
        <v>11431803</v>
      </c>
      <c r="F366" t="s">
        <v>1388</v>
      </c>
      <c r="G366" t="s">
        <v>87</v>
      </c>
      <c r="H366" t="s">
        <v>9320</v>
      </c>
      <c r="I366" s="186">
        <v>2</v>
      </c>
      <c r="J366" t="s">
        <v>100</v>
      </c>
      <c r="K366" s="185">
        <v>420000</v>
      </c>
      <c r="L366" s="191">
        <v>44699.448333333334</v>
      </c>
    </row>
    <row r="367" spans="1:12" x14ac:dyDescent="0.3">
      <c r="A367" s="186">
        <v>31321</v>
      </c>
      <c r="B367" s="186">
        <v>45</v>
      </c>
      <c r="C367" s="186" t="s">
        <v>9321</v>
      </c>
      <c r="D367" t="s">
        <v>1387</v>
      </c>
      <c r="E367" s="186">
        <v>13812133</v>
      </c>
      <c r="F367" t="s">
        <v>1388</v>
      </c>
      <c r="G367" t="s">
        <v>87</v>
      </c>
      <c r="H367" t="s">
        <v>9321</v>
      </c>
      <c r="I367" s="186">
        <v>26</v>
      </c>
      <c r="J367" t="s">
        <v>106</v>
      </c>
      <c r="K367" s="185">
        <v>22666.19</v>
      </c>
      <c r="L367" s="191">
        <v>44706.586273148147</v>
      </c>
    </row>
    <row r="368" spans="1:12" x14ac:dyDescent="0.3">
      <c r="A368" s="186">
        <v>31326</v>
      </c>
      <c r="B368" s="186">
        <v>0</v>
      </c>
      <c r="C368" s="186" t="s">
        <v>9322</v>
      </c>
      <c r="D368" t="s">
        <v>1387</v>
      </c>
      <c r="E368" s="186">
        <v>4871551</v>
      </c>
      <c r="F368" t="s">
        <v>1388</v>
      </c>
      <c r="G368" t="s">
        <v>87</v>
      </c>
      <c r="H368" t="s">
        <v>9322</v>
      </c>
      <c r="I368" s="186">
        <v>3</v>
      </c>
      <c r="J368" t="s">
        <v>100</v>
      </c>
      <c r="K368" s="185">
        <v>215000</v>
      </c>
      <c r="L368" s="191">
        <v>44707.645196759258</v>
      </c>
    </row>
    <row r="369" spans="1:12" x14ac:dyDescent="0.3">
      <c r="A369" s="186">
        <v>31236</v>
      </c>
      <c r="B369" s="186">
        <v>0</v>
      </c>
      <c r="C369" s="186" t="s">
        <v>9323</v>
      </c>
      <c r="D369" t="s">
        <v>1387</v>
      </c>
      <c r="E369" s="186">
        <v>22415842</v>
      </c>
      <c r="F369" t="s">
        <v>1388</v>
      </c>
      <c r="G369" t="s">
        <v>87</v>
      </c>
      <c r="H369" t="s">
        <v>9323</v>
      </c>
      <c r="I369" s="186">
        <v>10</v>
      </c>
      <c r="J369" t="s">
        <v>100</v>
      </c>
      <c r="K369" s="185">
        <v>14999.99</v>
      </c>
      <c r="L369" s="191">
        <v>44684.565717592595</v>
      </c>
    </row>
    <row r="370" spans="1:12" x14ac:dyDescent="0.3">
      <c r="A370" s="186">
        <v>31289</v>
      </c>
      <c r="B370" s="186">
        <v>-1</v>
      </c>
      <c r="C370" s="186" t="s">
        <v>9324</v>
      </c>
      <c r="D370" t="s">
        <v>1387</v>
      </c>
      <c r="E370" s="186">
        <v>45270388</v>
      </c>
      <c r="F370" t="s">
        <v>1388</v>
      </c>
      <c r="G370" t="s">
        <v>87</v>
      </c>
      <c r="H370" t="s">
        <v>9324</v>
      </c>
      <c r="I370" s="186">
        <v>3</v>
      </c>
      <c r="J370" t="s">
        <v>174</v>
      </c>
      <c r="K370" s="185">
        <v>84952.68</v>
      </c>
      <c r="L370" s="191">
        <v>44699.346643518518</v>
      </c>
    </row>
    <row r="371" spans="1:12" x14ac:dyDescent="0.3">
      <c r="A371" s="186">
        <v>2476</v>
      </c>
      <c r="B371" s="186">
        <v>30</v>
      </c>
      <c r="C371" s="186" t="s">
        <v>9325</v>
      </c>
      <c r="D371" t="s">
        <v>1387</v>
      </c>
      <c r="E371" s="186">
        <v>16956443</v>
      </c>
      <c r="F371" t="s">
        <v>1388</v>
      </c>
      <c r="G371" t="s">
        <v>87</v>
      </c>
      <c r="H371" t="s">
        <v>9325</v>
      </c>
      <c r="I371" s="186">
        <v>3</v>
      </c>
      <c r="J371" t="s">
        <v>103</v>
      </c>
      <c r="K371" s="185">
        <v>276940.2</v>
      </c>
      <c r="L371" s="191">
        <v>44680.599444444444</v>
      </c>
    </row>
    <row r="372" spans="1:12" x14ac:dyDescent="0.3">
      <c r="A372" s="186">
        <v>31229</v>
      </c>
      <c r="B372" s="186">
        <v>0</v>
      </c>
      <c r="C372" s="186" t="s">
        <v>9326</v>
      </c>
      <c r="D372" t="s">
        <v>1387</v>
      </c>
      <c r="E372" s="186">
        <v>71504328</v>
      </c>
      <c r="F372" t="s">
        <v>1388</v>
      </c>
      <c r="G372" t="s">
        <v>87</v>
      </c>
      <c r="H372" t="s">
        <v>9326</v>
      </c>
      <c r="I372" s="186">
        <v>3</v>
      </c>
      <c r="J372" t="s">
        <v>100</v>
      </c>
      <c r="K372" s="185">
        <v>48000</v>
      </c>
      <c r="L372" s="191">
        <v>44680.640833333331</v>
      </c>
    </row>
    <row r="373" spans="1:12" x14ac:dyDescent="0.3">
      <c r="A373" s="186">
        <v>4303</v>
      </c>
      <c r="B373" s="186">
        <v>60</v>
      </c>
      <c r="C373" s="186" t="s">
        <v>9327</v>
      </c>
      <c r="D373" t="s">
        <v>1387</v>
      </c>
      <c r="E373" s="186">
        <v>33592510</v>
      </c>
      <c r="F373" t="s">
        <v>1388</v>
      </c>
      <c r="G373" t="s">
        <v>87</v>
      </c>
      <c r="H373" t="s">
        <v>9327</v>
      </c>
      <c r="I373" s="186">
        <v>3</v>
      </c>
      <c r="J373" t="s">
        <v>97</v>
      </c>
      <c r="K373" s="185">
        <v>38403.839999999997</v>
      </c>
      <c r="L373" s="191">
        <v>44685.715243055558</v>
      </c>
    </row>
    <row r="374" spans="1:12" x14ac:dyDescent="0.3">
      <c r="A374" s="186">
        <v>31254</v>
      </c>
      <c r="B374" s="186">
        <v>0</v>
      </c>
      <c r="C374" s="186" t="s">
        <v>9328</v>
      </c>
      <c r="D374" t="s">
        <v>1387</v>
      </c>
      <c r="E374" s="186">
        <v>5846703</v>
      </c>
      <c r="F374" t="s">
        <v>1388</v>
      </c>
      <c r="G374" t="s">
        <v>87</v>
      </c>
      <c r="H374" t="s">
        <v>9328</v>
      </c>
      <c r="I374" s="186">
        <v>9</v>
      </c>
      <c r="J374" t="s">
        <v>100</v>
      </c>
      <c r="K374" s="185">
        <v>14500</v>
      </c>
      <c r="L374" s="191">
        <v>44690.447083333333</v>
      </c>
    </row>
    <row r="375" spans="1:12" x14ac:dyDescent="0.3">
      <c r="A375" s="186">
        <v>31263</v>
      </c>
      <c r="B375" s="186">
        <v>0</v>
      </c>
      <c r="C375" s="186" t="s">
        <v>9329</v>
      </c>
      <c r="D375" t="s">
        <v>1387</v>
      </c>
      <c r="E375" s="186">
        <v>12638731</v>
      </c>
      <c r="F375" t="s">
        <v>1388</v>
      </c>
      <c r="G375" t="s">
        <v>87</v>
      </c>
      <c r="H375" t="s">
        <v>9329</v>
      </c>
      <c r="I375" s="186">
        <v>43</v>
      </c>
      <c r="J375" t="s">
        <v>100</v>
      </c>
      <c r="K375" s="185">
        <v>520000</v>
      </c>
      <c r="L375" s="191">
        <v>44692.709421296298</v>
      </c>
    </row>
    <row r="376" spans="1:12" x14ac:dyDescent="0.3">
      <c r="A376" s="186">
        <v>31290</v>
      </c>
      <c r="B376" s="186" t="s">
        <v>1446</v>
      </c>
      <c r="C376" s="186" t="s">
        <v>9330</v>
      </c>
      <c r="D376" t="s">
        <v>1387</v>
      </c>
      <c r="E376" s="186">
        <v>5324072</v>
      </c>
      <c r="F376" t="s">
        <v>1388</v>
      </c>
      <c r="G376" t="s">
        <v>87</v>
      </c>
      <c r="H376" t="s">
        <v>9330</v>
      </c>
      <c r="I376" s="186">
        <v>18</v>
      </c>
      <c r="J376" t="s">
        <v>1447</v>
      </c>
      <c r="K376" s="185">
        <v>119497</v>
      </c>
      <c r="L376" s="191">
        <v>44699.37232638889</v>
      </c>
    </row>
    <row r="377" spans="1:12" x14ac:dyDescent="0.3">
      <c r="A377" s="186">
        <v>31301</v>
      </c>
      <c r="B377" s="186">
        <v>-1</v>
      </c>
      <c r="C377" s="186" t="s">
        <v>9331</v>
      </c>
      <c r="D377" t="s">
        <v>1387</v>
      </c>
      <c r="E377" s="186">
        <v>60977388620</v>
      </c>
      <c r="F377" t="s">
        <v>1388</v>
      </c>
      <c r="G377" t="s">
        <v>87</v>
      </c>
      <c r="H377" t="s">
        <v>9331</v>
      </c>
      <c r="I377" s="186">
        <v>3</v>
      </c>
      <c r="J377" t="s">
        <v>174</v>
      </c>
      <c r="K377" s="185">
        <v>12106.06</v>
      </c>
      <c r="L377" s="191">
        <v>44701.401539351849</v>
      </c>
    </row>
    <row r="378" spans="1:12" x14ac:dyDescent="0.3">
      <c r="A378" s="186">
        <v>31307</v>
      </c>
      <c r="B378" s="186">
        <v>10</v>
      </c>
      <c r="C378" s="186" t="s">
        <v>9332</v>
      </c>
      <c r="D378" t="s">
        <v>1387</v>
      </c>
      <c r="E378" s="186">
        <v>23834518</v>
      </c>
      <c r="F378" t="s">
        <v>1388</v>
      </c>
      <c r="G378" t="s">
        <v>87</v>
      </c>
      <c r="H378" t="s">
        <v>9332</v>
      </c>
      <c r="I378" s="186">
        <v>3</v>
      </c>
      <c r="J378" t="s">
        <v>133</v>
      </c>
      <c r="K378" s="185">
        <v>193942.52</v>
      </c>
      <c r="L378" s="191">
        <v>44704.451122685183</v>
      </c>
    </row>
    <row r="379" spans="1:12" x14ac:dyDescent="0.3">
      <c r="A379" s="186">
        <v>31349</v>
      </c>
      <c r="B379" s="186">
        <v>0</v>
      </c>
      <c r="C379" s="186" t="s">
        <v>9333</v>
      </c>
      <c r="D379" t="s">
        <v>1387</v>
      </c>
      <c r="E379" s="186">
        <v>19336666</v>
      </c>
      <c r="F379" t="s">
        <v>1388</v>
      </c>
      <c r="G379" t="s">
        <v>87</v>
      </c>
      <c r="H379" t="s">
        <v>9333</v>
      </c>
      <c r="I379" s="186">
        <v>2</v>
      </c>
      <c r="J379" t="s">
        <v>100</v>
      </c>
      <c r="K379" s="185">
        <v>98000</v>
      </c>
      <c r="L379" s="191">
        <v>44712.646990740737</v>
      </c>
    </row>
    <row r="380" spans="1:12" x14ac:dyDescent="0.3">
      <c r="A380" s="186">
        <v>21100</v>
      </c>
      <c r="B380" s="186" t="s">
        <v>1458</v>
      </c>
      <c r="C380" s="186" t="s">
        <v>9334</v>
      </c>
      <c r="D380" t="s">
        <v>1387</v>
      </c>
      <c r="E380" s="186">
        <v>8104042</v>
      </c>
      <c r="F380" t="s">
        <v>1388</v>
      </c>
      <c r="G380" t="s">
        <v>87</v>
      </c>
      <c r="H380" t="s">
        <v>9334</v>
      </c>
      <c r="I380" s="186">
        <v>3</v>
      </c>
      <c r="J380" t="s">
        <v>1459</v>
      </c>
      <c r="K380" s="185">
        <v>120808.23</v>
      </c>
      <c r="L380" s="191">
        <v>44970.716365740744</v>
      </c>
    </row>
    <row r="381" spans="1:12" x14ac:dyDescent="0.3">
      <c r="A381" s="186">
        <v>31533</v>
      </c>
      <c r="B381" s="186">
        <v>0</v>
      </c>
      <c r="C381" s="186" t="s">
        <v>9335</v>
      </c>
      <c r="D381" t="s">
        <v>1387</v>
      </c>
      <c r="E381" s="186">
        <v>13328459</v>
      </c>
      <c r="F381" t="s">
        <v>1388</v>
      </c>
      <c r="G381" t="s">
        <v>87</v>
      </c>
      <c r="H381" t="s">
        <v>9335</v>
      </c>
      <c r="I381" s="186">
        <v>37</v>
      </c>
      <c r="J381" t="s">
        <v>100</v>
      </c>
      <c r="K381" s="185">
        <v>38000</v>
      </c>
      <c r="L381" s="191">
        <v>44767.619733796295</v>
      </c>
    </row>
    <row r="382" spans="1:12" x14ac:dyDescent="0.3">
      <c r="A382" s="186">
        <v>21265</v>
      </c>
      <c r="C382" s="186" t="s">
        <v>9336</v>
      </c>
      <c r="D382" t="s">
        <v>1394</v>
      </c>
      <c r="E382" s="186">
        <v>37817287</v>
      </c>
      <c r="G382" t="s">
        <v>113</v>
      </c>
      <c r="H382" t="s">
        <v>9336</v>
      </c>
      <c r="I382" s="186">
        <v>3</v>
      </c>
      <c r="K382" s="185">
        <v>0</v>
      </c>
      <c r="L382" s="191">
        <v>44994.436736111114</v>
      </c>
    </row>
    <row r="383" spans="1:12" x14ac:dyDescent="0.3">
      <c r="A383" s="186">
        <v>2514</v>
      </c>
      <c r="B383" s="186">
        <v>21</v>
      </c>
      <c r="C383" s="186" t="s">
        <v>9337</v>
      </c>
      <c r="D383" t="s">
        <v>1387</v>
      </c>
      <c r="E383" s="186">
        <v>7605563</v>
      </c>
      <c r="F383" t="s">
        <v>1388</v>
      </c>
      <c r="G383" t="s">
        <v>87</v>
      </c>
      <c r="H383" t="s">
        <v>9337</v>
      </c>
      <c r="I383" s="186">
        <v>10</v>
      </c>
      <c r="J383" t="s">
        <v>137</v>
      </c>
      <c r="K383" s="185">
        <v>363574</v>
      </c>
      <c r="L383" s="191">
        <v>44732.457152777781</v>
      </c>
    </row>
    <row r="384" spans="1:12" x14ac:dyDescent="0.3">
      <c r="A384" s="186">
        <v>31591</v>
      </c>
      <c r="B384" s="186">
        <v>-1</v>
      </c>
      <c r="C384" s="186" t="s">
        <v>9338</v>
      </c>
      <c r="D384" t="s">
        <v>1387</v>
      </c>
      <c r="E384" s="186">
        <v>17467409</v>
      </c>
      <c r="F384" t="s">
        <v>1388</v>
      </c>
      <c r="G384" t="s">
        <v>87</v>
      </c>
      <c r="H384" t="s">
        <v>9338</v>
      </c>
      <c r="I384" s="186">
        <v>10</v>
      </c>
      <c r="J384" t="s">
        <v>174</v>
      </c>
      <c r="K384" s="185">
        <v>40457</v>
      </c>
      <c r="L384" s="191">
        <v>44777.61037037037</v>
      </c>
    </row>
    <row r="385" spans="1:12" x14ac:dyDescent="0.3">
      <c r="A385" s="186">
        <v>21263</v>
      </c>
      <c r="C385" s="186" t="s">
        <v>9339</v>
      </c>
      <c r="D385" t="s">
        <v>1394</v>
      </c>
      <c r="E385" s="186">
        <v>37817287</v>
      </c>
      <c r="G385" t="s">
        <v>113</v>
      </c>
      <c r="H385" t="s">
        <v>9339</v>
      </c>
      <c r="I385" s="186">
        <v>3</v>
      </c>
      <c r="K385" s="185">
        <v>0</v>
      </c>
      <c r="L385" s="191">
        <v>44994.381365740737</v>
      </c>
    </row>
    <row r="386" spans="1:12" x14ac:dyDescent="0.3">
      <c r="A386" s="186">
        <v>31354</v>
      </c>
      <c r="B386" s="186">
        <v>0</v>
      </c>
      <c r="C386" s="186" t="s">
        <v>9340</v>
      </c>
      <c r="D386" t="s">
        <v>1387</v>
      </c>
      <c r="E386" s="186">
        <v>17467409</v>
      </c>
      <c r="F386" t="s">
        <v>1388</v>
      </c>
      <c r="G386" t="s">
        <v>87</v>
      </c>
      <c r="H386" t="s">
        <v>9340</v>
      </c>
      <c r="I386" s="186">
        <v>10</v>
      </c>
      <c r="J386" t="s">
        <v>100</v>
      </c>
      <c r="K386" s="185">
        <v>52739.37</v>
      </c>
      <c r="L386" s="191">
        <v>44714.434872685182</v>
      </c>
    </row>
    <row r="387" spans="1:12" x14ac:dyDescent="0.3">
      <c r="A387" s="186">
        <v>31439</v>
      </c>
      <c r="B387" s="186">
        <v>30</v>
      </c>
      <c r="C387" s="186" t="s">
        <v>9341</v>
      </c>
      <c r="D387" t="s">
        <v>1387</v>
      </c>
      <c r="E387" s="186">
        <v>19739564</v>
      </c>
      <c r="F387" t="s">
        <v>1388</v>
      </c>
      <c r="G387" t="s">
        <v>87</v>
      </c>
      <c r="H387" t="s">
        <v>9341</v>
      </c>
      <c r="I387" s="186">
        <v>9</v>
      </c>
      <c r="J387" t="s">
        <v>103</v>
      </c>
      <c r="K387" s="185">
        <v>24500</v>
      </c>
      <c r="L387" s="191">
        <v>44742.493101851855</v>
      </c>
    </row>
    <row r="388" spans="1:12" x14ac:dyDescent="0.3">
      <c r="A388" s="186">
        <v>2620</v>
      </c>
      <c r="B388" s="186">
        <v>0</v>
      </c>
      <c r="C388" s="186" t="s">
        <v>9342</v>
      </c>
      <c r="D388" t="s">
        <v>1387</v>
      </c>
      <c r="E388" s="186">
        <v>9017198</v>
      </c>
      <c r="F388" t="s">
        <v>1388</v>
      </c>
      <c r="G388" t="s">
        <v>87</v>
      </c>
      <c r="H388" t="s">
        <v>9342</v>
      </c>
      <c r="I388" s="186">
        <v>3</v>
      </c>
      <c r="J388" t="s">
        <v>100</v>
      </c>
      <c r="K388" s="185">
        <v>437500</v>
      </c>
      <c r="L388" s="191">
        <v>44803.473807870374</v>
      </c>
    </row>
    <row r="389" spans="1:12" x14ac:dyDescent="0.3">
      <c r="A389" s="186">
        <v>2656</v>
      </c>
      <c r="B389" s="186" t="s">
        <v>1361</v>
      </c>
      <c r="C389" s="186" t="s">
        <v>9343</v>
      </c>
      <c r="D389" t="s">
        <v>1387</v>
      </c>
      <c r="E389" s="186">
        <v>17185786</v>
      </c>
      <c r="F389" t="s">
        <v>1388</v>
      </c>
      <c r="G389" t="s">
        <v>87</v>
      </c>
      <c r="H389" t="s">
        <v>9343</v>
      </c>
      <c r="I389" s="186">
        <v>2</v>
      </c>
      <c r="J389" t="s">
        <v>1362</v>
      </c>
      <c r="K389" s="185">
        <v>11826.15</v>
      </c>
      <c r="L389" s="191">
        <v>44830.462407407409</v>
      </c>
    </row>
    <row r="390" spans="1:12" x14ac:dyDescent="0.3">
      <c r="A390" s="186">
        <v>31341</v>
      </c>
      <c r="B390" s="186" t="s">
        <v>195</v>
      </c>
      <c r="C390" s="186" t="s">
        <v>9344</v>
      </c>
      <c r="D390" t="s">
        <v>1387</v>
      </c>
      <c r="E390" s="186">
        <v>84738301</v>
      </c>
      <c r="F390" t="s">
        <v>1388</v>
      </c>
      <c r="G390" t="s">
        <v>87</v>
      </c>
      <c r="H390" t="s">
        <v>9344</v>
      </c>
      <c r="I390" s="186">
        <v>38</v>
      </c>
      <c r="J390" t="s">
        <v>196</v>
      </c>
      <c r="K390" s="185">
        <v>45000</v>
      </c>
      <c r="L390" s="191">
        <v>44711.57984953704</v>
      </c>
    </row>
    <row r="391" spans="1:12" x14ac:dyDescent="0.3">
      <c r="A391" s="186">
        <v>4325</v>
      </c>
      <c r="B391" s="186">
        <v>30</v>
      </c>
      <c r="C391" s="186" t="s">
        <v>9345</v>
      </c>
      <c r="D391" t="s">
        <v>1387</v>
      </c>
      <c r="E391" s="186">
        <v>8343492</v>
      </c>
      <c r="F391" t="s">
        <v>1388</v>
      </c>
      <c r="G391" t="s">
        <v>87</v>
      </c>
      <c r="H391" t="s">
        <v>9345</v>
      </c>
      <c r="I391" s="186">
        <v>3</v>
      </c>
      <c r="J391" t="s">
        <v>103</v>
      </c>
      <c r="K391" s="185">
        <v>12232.49</v>
      </c>
      <c r="L391" s="191">
        <v>44725.383969907409</v>
      </c>
    </row>
    <row r="392" spans="1:12" x14ac:dyDescent="0.3">
      <c r="A392" s="186">
        <v>31532</v>
      </c>
      <c r="B392" s="186">
        <v>1</v>
      </c>
      <c r="C392" s="186" t="s">
        <v>9346</v>
      </c>
      <c r="D392" t="s">
        <v>1387</v>
      </c>
      <c r="E392" s="186">
        <v>5846703</v>
      </c>
      <c r="F392" t="s">
        <v>1388</v>
      </c>
      <c r="G392" t="s">
        <v>87</v>
      </c>
      <c r="H392" t="s">
        <v>9346</v>
      </c>
      <c r="I392" s="186">
        <v>9</v>
      </c>
      <c r="J392" t="s">
        <v>1450</v>
      </c>
      <c r="K392" s="185">
        <v>15000</v>
      </c>
      <c r="L392" s="191">
        <v>44767.422418981485</v>
      </c>
    </row>
    <row r="393" spans="1:12" x14ac:dyDescent="0.3">
      <c r="A393" s="186">
        <v>2873</v>
      </c>
      <c r="B393" s="186">
        <v>0</v>
      </c>
      <c r="C393" s="186" t="s">
        <v>9347</v>
      </c>
      <c r="D393" t="s">
        <v>1387</v>
      </c>
      <c r="E393" s="186">
        <v>37262942</v>
      </c>
      <c r="F393" t="s">
        <v>1388</v>
      </c>
      <c r="G393" t="s">
        <v>87</v>
      </c>
      <c r="H393" t="s">
        <v>9347</v>
      </c>
      <c r="I393" s="186">
        <v>10</v>
      </c>
      <c r="J393" t="s">
        <v>100</v>
      </c>
      <c r="K393" s="185">
        <v>28063.82</v>
      </c>
      <c r="L393" s="191">
        <v>44931.578356481485</v>
      </c>
    </row>
    <row r="394" spans="1:12" x14ac:dyDescent="0.3">
      <c r="A394" s="186">
        <v>21358</v>
      </c>
      <c r="B394" s="186" t="s">
        <v>246</v>
      </c>
      <c r="C394" s="186" t="s">
        <v>9348</v>
      </c>
      <c r="D394" t="s">
        <v>1387</v>
      </c>
      <c r="E394" s="186">
        <v>35234509</v>
      </c>
      <c r="F394" t="s">
        <v>1388</v>
      </c>
      <c r="G394" t="s">
        <v>87</v>
      </c>
      <c r="H394" t="s">
        <v>9348</v>
      </c>
      <c r="I394" s="186">
        <v>24</v>
      </c>
      <c r="J394" t="s">
        <v>246</v>
      </c>
      <c r="K394" s="185">
        <v>360000</v>
      </c>
      <c r="L394" s="191">
        <v>45012.410509259258</v>
      </c>
    </row>
    <row r="395" spans="1:12" x14ac:dyDescent="0.3">
      <c r="A395" s="186">
        <v>31909</v>
      </c>
      <c r="B395" s="186">
        <v>-1</v>
      </c>
      <c r="C395" s="186" t="s">
        <v>9349</v>
      </c>
      <c r="D395" t="s">
        <v>1387</v>
      </c>
      <c r="E395" s="186">
        <v>95980601015</v>
      </c>
      <c r="F395" t="s">
        <v>1388</v>
      </c>
      <c r="G395" t="s">
        <v>87</v>
      </c>
      <c r="H395" t="s">
        <v>9349</v>
      </c>
      <c r="I395" s="186">
        <v>9</v>
      </c>
      <c r="J395" t="s">
        <v>174</v>
      </c>
      <c r="K395" s="185">
        <v>43000</v>
      </c>
      <c r="L395" s="191">
        <v>44875.437245370369</v>
      </c>
    </row>
    <row r="396" spans="1:12" x14ac:dyDescent="0.3">
      <c r="A396" s="186">
        <v>31839</v>
      </c>
      <c r="B396" s="186">
        <v>-1</v>
      </c>
      <c r="C396" s="186" t="s">
        <v>9350</v>
      </c>
      <c r="D396" t="s">
        <v>1387</v>
      </c>
      <c r="E396" s="186">
        <v>43908732</v>
      </c>
      <c r="F396" t="s">
        <v>1388</v>
      </c>
      <c r="G396" t="s">
        <v>87</v>
      </c>
      <c r="H396" t="s">
        <v>9350</v>
      </c>
      <c r="I396" s="186">
        <v>37</v>
      </c>
      <c r="J396" t="s">
        <v>174</v>
      </c>
      <c r="K396" s="185">
        <v>40000</v>
      </c>
      <c r="L396" s="191">
        <v>44858.467627314814</v>
      </c>
    </row>
    <row r="397" spans="1:12" x14ac:dyDescent="0.3">
      <c r="A397" s="186">
        <v>31983</v>
      </c>
      <c r="B397" s="186">
        <v>-1</v>
      </c>
      <c r="C397" s="186" t="s">
        <v>9351</v>
      </c>
      <c r="D397" t="s">
        <v>1387</v>
      </c>
      <c r="E397" s="186">
        <v>14752126</v>
      </c>
      <c r="F397" t="s">
        <v>1388</v>
      </c>
      <c r="G397" t="s">
        <v>87</v>
      </c>
      <c r="H397" t="s">
        <v>9351</v>
      </c>
      <c r="I397" s="186">
        <v>3</v>
      </c>
      <c r="J397" t="s">
        <v>174</v>
      </c>
      <c r="K397" s="185">
        <v>53158</v>
      </c>
      <c r="L397" s="191">
        <v>44895.680081018516</v>
      </c>
    </row>
    <row r="398" spans="1:12" x14ac:dyDescent="0.3">
      <c r="A398" s="186">
        <v>2508</v>
      </c>
      <c r="B398" s="186">
        <v>20</v>
      </c>
      <c r="C398" s="186" t="s">
        <v>9352</v>
      </c>
      <c r="D398" t="s">
        <v>1387</v>
      </c>
      <c r="E398" s="186">
        <v>7954091</v>
      </c>
      <c r="F398" t="s">
        <v>1388</v>
      </c>
      <c r="G398" t="s">
        <v>87</v>
      </c>
      <c r="H398" t="s">
        <v>9352</v>
      </c>
      <c r="I398" s="186">
        <v>3</v>
      </c>
      <c r="J398" t="s">
        <v>148</v>
      </c>
      <c r="K398" s="185">
        <v>142787.29999999999</v>
      </c>
      <c r="L398" s="191">
        <v>44725.537164351852</v>
      </c>
    </row>
    <row r="399" spans="1:12" x14ac:dyDescent="0.3">
      <c r="A399" s="186">
        <v>2558</v>
      </c>
      <c r="B399" s="186">
        <v>0</v>
      </c>
      <c r="C399" s="186" t="s">
        <v>9353</v>
      </c>
      <c r="D399" t="s">
        <v>1387</v>
      </c>
      <c r="E399" s="186">
        <v>37262942</v>
      </c>
      <c r="F399" t="s">
        <v>1388</v>
      </c>
      <c r="G399" t="s">
        <v>87</v>
      </c>
      <c r="H399" t="s">
        <v>9353</v>
      </c>
      <c r="I399" s="186">
        <v>10</v>
      </c>
      <c r="J399" t="s">
        <v>100</v>
      </c>
      <c r="K399" s="185">
        <v>106967.08</v>
      </c>
      <c r="L399" s="191">
        <v>44767.534305555557</v>
      </c>
    </row>
    <row r="400" spans="1:12" x14ac:dyDescent="0.3">
      <c r="A400" s="186">
        <v>31689</v>
      </c>
      <c r="B400" s="186">
        <v>0</v>
      </c>
      <c r="C400" s="186" t="s">
        <v>9354</v>
      </c>
      <c r="D400" t="s">
        <v>1387</v>
      </c>
      <c r="E400" s="186">
        <v>29316596</v>
      </c>
      <c r="F400" t="s">
        <v>1388</v>
      </c>
      <c r="G400" t="s">
        <v>87</v>
      </c>
      <c r="H400" t="s">
        <v>9354</v>
      </c>
      <c r="I400" s="186">
        <v>24</v>
      </c>
      <c r="J400" t="s">
        <v>100</v>
      </c>
      <c r="K400" s="185">
        <v>79414.509999999995</v>
      </c>
      <c r="L400" s="191">
        <v>44804.504502314812</v>
      </c>
    </row>
    <row r="401" spans="1:12" x14ac:dyDescent="0.3">
      <c r="A401" s="186">
        <v>4403</v>
      </c>
      <c r="B401" s="186">
        <v>30</v>
      </c>
      <c r="C401" s="186" t="s">
        <v>9355</v>
      </c>
      <c r="D401" t="s">
        <v>1387</v>
      </c>
      <c r="E401" s="186">
        <v>97515035</v>
      </c>
      <c r="F401" t="s">
        <v>1388</v>
      </c>
      <c r="G401" t="s">
        <v>87</v>
      </c>
      <c r="H401" t="s">
        <v>9355</v>
      </c>
      <c r="I401" s="186">
        <v>10</v>
      </c>
      <c r="J401" t="s">
        <v>103</v>
      </c>
      <c r="K401" s="185">
        <v>113759.02</v>
      </c>
      <c r="L401" s="191">
        <v>44838.637384259258</v>
      </c>
    </row>
    <row r="402" spans="1:12" x14ac:dyDescent="0.3">
      <c r="A402" s="186">
        <v>2894</v>
      </c>
      <c r="B402" s="186">
        <v>0</v>
      </c>
      <c r="C402" s="186" t="s">
        <v>9356</v>
      </c>
      <c r="D402" t="s">
        <v>1387</v>
      </c>
      <c r="E402" s="186">
        <v>37262942</v>
      </c>
      <c r="F402" t="s">
        <v>1388</v>
      </c>
      <c r="G402" t="s">
        <v>87</v>
      </c>
      <c r="H402" t="s">
        <v>9356</v>
      </c>
      <c r="I402" s="186">
        <v>10</v>
      </c>
      <c r="J402" t="s">
        <v>100</v>
      </c>
      <c r="K402" s="185">
        <v>19347.96</v>
      </c>
      <c r="L402" s="191">
        <v>44937.366157407407</v>
      </c>
    </row>
    <row r="403" spans="1:12" x14ac:dyDescent="0.3">
      <c r="A403" s="186">
        <v>32029</v>
      </c>
      <c r="B403" s="186">
        <v>18</v>
      </c>
      <c r="C403" s="186" t="s">
        <v>9357</v>
      </c>
      <c r="D403" t="s">
        <v>1387</v>
      </c>
      <c r="E403" s="186">
        <v>8056030</v>
      </c>
      <c r="F403" t="s">
        <v>1388</v>
      </c>
      <c r="G403" t="s">
        <v>87</v>
      </c>
      <c r="H403" t="s">
        <v>9357</v>
      </c>
      <c r="I403" s="186">
        <v>26</v>
      </c>
      <c r="J403" t="s">
        <v>112</v>
      </c>
      <c r="K403" s="185">
        <v>70878.42</v>
      </c>
      <c r="L403" s="191">
        <v>44909.489421296297</v>
      </c>
    </row>
    <row r="404" spans="1:12" x14ac:dyDescent="0.3">
      <c r="A404" s="186">
        <v>2799</v>
      </c>
      <c r="B404" s="186" t="s">
        <v>1361</v>
      </c>
      <c r="C404" s="186" t="s">
        <v>9358</v>
      </c>
      <c r="D404" t="s">
        <v>1387</v>
      </c>
      <c r="E404" s="186">
        <v>48546859</v>
      </c>
      <c r="F404" t="s">
        <v>1388</v>
      </c>
      <c r="G404" t="s">
        <v>87</v>
      </c>
      <c r="H404" t="s">
        <v>9358</v>
      </c>
      <c r="I404" s="186">
        <v>10</v>
      </c>
      <c r="J404" t="s">
        <v>1362</v>
      </c>
      <c r="K404" s="185">
        <v>12600.01</v>
      </c>
      <c r="L404" s="191">
        <v>44911.626354166663</v>
      </c>
    </row>
    <row r="405" spans="1:12" x14ac:dyDescent="0.3">
      <c r="A405" s="186">
        <v>2669</v>
      </c>
      <c r="B405" s="186" t="s">
        <v>195</v>
      </c>
      <c r="C405" s="186" t="s">
        <v>9359</v>
      </c>
      <c r="D405" t="s">
        <v>1387</v>
      </c>
      <c r="E405" s="186">
        <v>11099682</v>
      </c>
      <c r="F405" t="s">
        <v>1388</v>
      </c>
      <c r="G405" t="s">
        <v>87</v>
      </c>
      <c r="H405" t="s">
        <v>9359</v>
      </c>
      <c r="I405" s="186">
        <v>3</v>
      </c>
      <c r="J405" t="s">
        <v>196</v>
      </c>
      <c r="K405" s="185">
        <v>37760.44</v>
      </c>
      <c r="L405" s="191">
        <v>44834.573738425926</v>
      </c>
    </row>
    <row r="406" spans="1:12" x14ac:dyDescent="0.3">
      <c r="A406" s="186">
        <v>2746</v>
      </c>
      <c r="B406" s="186" t="s">
        <v>227</v>
      </c>
      <c r="C406" s="186" t="s">
        <v>9360</v>
      </c>
      <c r="D406" t="s">
        <v>1387</v>
      </c>
      <c r="E406" s="186">
        <v>35567684</v>
      </c>
      <c r="F406" t="s">
        <v>1388</v>
      </c>
      <c r="G406" t="s">
        <v>87</v>
      </c>
      <c r="H406" t="s">
        <v>9360</v>
      </c>
      <c r="I406" s="186">
        <v>19</v>
      </c>
      <c r="J406" t="s">
        <v>228</v>
      </c>
      <c r="K406" s="185">
        <v>53883.46</v>
      </c>
      <c r="L406" s="191">
        <v>44879.71365740741</v>
      </c>
    </row>
    <row r="407" spans="1:12" x14ac:dyDescent="0.3">
      <c r="A407" s="186">
        <v>21089</v>
      </c>
      <c r="B407" s="186" t="s">
        <v>1396</v>
      </c>
      <c r="C407" s="186" t="s">
        <v>9361</v>
      </c>
      <c r="D407" t="s">
        <v>1387</v>
      </c>
      <c r="E407" s="186">
        <v>14594896</v>
      </c>
      <c r="F407" t="s">
        <v>1388</v>
      </c>
      <c r="G407" t="s">
        <v>87</v>
      </c>
      <c r="H407" t="s">
        <v>9361</v>
      </c>
      <c r="I407" s="186">
        <v>3</v>
      </c>
      <c r="J407" t="s">
        <v>1397</v>
      </c>
      <c r="K407" s="185">
        <v>29994.9</v>
      </c>
      <c r="L407" s="191">
        <v>44966.691238425927</v>
      </c>
    </row>
    <row r="408" spans="1:12" x14ac:dyDescent="0.3">
      <c r="A408" s="186">
        <v>31652</v>
      </c>
      <c r="B408" s="186">
        <v>0</v>
      </c>
      <c r="C408" s="186" t="s">
        <v>9362</v>
      </c>
      <c r="D408" t="s">
        <v>1394</v>
      </c>
      <c r="E408" s="186">
        <v>76359785</v>
      </c>
      <c r="G408" t="s">
        <v>87</v>
      </c>
      <c r="H408" t="s">
        <v>9362</v>
      </c>
      <c r="I408" s="186">
        <v>3</v>
      </c>
      <c r="J408" t="s">
        <v>100</v>
      </c>
      <c r="K408" s="185">
        <v>0</v>
      </c>
      <c r="L408" s="191">
        <v>44791.697210648148</v>
      </c>
    </row>
    <row r="409" spans="1:12" x14ac:dyDescent="0.3">
      <c r="A409" s="186">
        <v>2676</v>
      </c>
      <c r="B409" s="186" t="s">
        <v>222</v>
      </c>
      <c r="C409" s="186" t="s">
        <v>9363</v>
      </c>
      <c r="D409" t="s">
        <v>1387</v>
      </c>
      <c r="E409" s="186">
        <v>34359912</v>
      </c>
      <c r="F409" t="s">
        <v>1388</v>
      </c>
      <c r="G409" t="s">
        <v>87</v>
      </c>
      <c r="H409" t="s">
        <v>9363</v>
      </c>
      <c r="I409" s="186">
        <v>38</v>
      </c>
      <c r="J409" t="s">
        <v>223</v>
      </c>
      <c r="K409" s="185">
        <v>50709.26</v>
      </c>
      <c r="L409" s="191">
        <v>44839.694710648146</v>
      </c>
    </row>
    <row r="410" spans="1:12" x14ac:dyDescent="0.3">
      <c r="A410" s="186">
        <v>21409</v>
      </c>
      <c r="B410" s="186">
        <v>0</v>
      </c>
      <c r="C410" s="186" t="s">
        <v>9364</v>
      </c>
      <c r="D410" t="s">
        <v>1387</v>
      </c>
      <c r="E410" s="186">
        <v>10279488</v>
      </c>
      <c r="F410" t="s">
        <v>1388</v>
      </c>
      <c r="G410" t="s">
        <v>87</v>
      </c>
      <c r="H410" t="s">
        <v>9364</v>
      </c>
      <c r="I410" s="186">
        <v>18</v>
      </c>
      <c r="J410" t="s">
        <v>100</v>
      </c>
      <c r="K410" s="185">
        <v>115200</v>
      </c>
      <c r="L410" s="191">
        <v>45019.758055555554</v>
      </c>
    </row>
    <row r="411" spans="1:12" x14ac:dyDescent="0.3">
      <c r="A411" s="186">
        <v>31654</v>
      </c>
      <c r="B411" s="186">
        <v>-1</v>
      </c>
      <c r="C411" s="186" t="s">
        <v>9365</v>
      </c>
      <c r="D411" t="s">
        <v>1387</v>
      </c>
      <c r="E411" s="186">
        <v>5846703</v>
      </c>
      <c r="F411" t="s">
        <v>1388</v>
      </c>
      <c r="G411" t="s">
        <v>87</v>
      </c>
      <c r="H411" t="s">
        <v>9365</v>
      </c>
      <c r="I411" s="186">
        <v>9</v>
      </c>
      <c r="J411" t="s">
        <v>174</v>
      </c>
      <c r="K411" s="185">
        <v>14500</v>
      </c>
      <c r="L411" s="191">
        <v>44792.441458333335</v>
      </c>
    </row>
    <row r="412" spans="1:12" x14ac:dyDescent="0.3">
      <c r="A412" s="186">
        <v>21024</v>
      </c>
      <c r="B412" s="186">
        <v>-1</v>
      </c>
      <c r="C412" s="186" t="s">
        <v>9366</v>
      </c>
      <c r="D412" t="s">
        <v>1387</v>
      </c>
      <c r="E412" s="186">
        <v>37009968</v>
      </c>
      <c r="F412" t="s">
        <v>1388</v>
      </c>
      <c r="G412" t="s">
        <v>87</v>
      </c>
      <c r="H412" t="s">
        <v>9366</v>
      </c>
      <c r="I412" s="186">
        <v>10</v>
      </c>
      <c r="J412" t="s">
        <v>174</v>
      </c>
      <c r="K412" s="185">
        <v>550000</v>
      </c>
      <c r="L412" s="191">
        <v>44959.637824074074</v>
      </c>
    </row>
    <row r="413" spans="1:12" x14ac:dyDescent="0.3">
      <c r="A413" s="186">
        <v>4424</v>
      </c>
      <c r="B413" s="186">
        <v>30</v>
      </c>
      <c r="C413" s="186" t="s">
        <v>9367</v>
      </c>
      <c r="D413" t="s">
        <v>1387</v>
      </c>
      <c r="E413" s="186">
        <v>97515035</v>
      </c>
      <c r="F413" t="s">
        <v>1388</v>
      </c>
      <c r="G413" t="s">
        <v>87</v>
      </c>
      <c r="H413" t="s">
        <v>9367</v>
      </c>
      <c r="I413" s="186">
        <v>10</v>
      </c>
      <c r="J413" t="s">
        <v>103</v>
      </c>
      <c r="K413" s="185">
        <v>9891.06</v>
      </c>
      <c r="L413" s="191">
        <v>44872.354062500002</v>
      </c>
    </row>
    <row r="414" spans="1:12" x14ac:dyDescent="0.3">
      <c r="A414" s="186">
        <v>31968</v>
      </c>
      <c r="B414" s="186">
        <v>-1</v>
      </c>
      <c r="C414" s="186" t="s">
        <v>9368</v>
      </c>
      <c r="D414" t="s">
        <v>1387</v>
      </c>
      <c r="E414" s="186">
        <v>47589413</v>
      </c>
      <c r="F414" t="s">
        <v>1388</v>
      </c>
      <c r="G414" t="s">
        <v>87</v>
      </c>
      <c r="H414" t="s">
        <v>9368</v>
      </c>
      <c r="I414" s="186">
        <v>18</v>
      </c>
      <c r="J414" t="s">
        <v>174</v>
      </c>
      <c r="K414" s="185">
        <v>207926.76</v>
      </c>
      <c r="L414" s="191">
        <v>44890.619618055556</v>
      </c>
    </row>
    <row r="415" spans="1:12" x14ac:dyDescent="0.3">
      <c r="A415" s="186">
        <v>21153</v>
      </c>
      <c r="B415" s="186">
        <v>30</v>
      </c>
      <c r="C415" s="186" t="s">
        <v>9369</v>
      </c>
      <c r="D415" t="s">
        <v>1387</v>
      </c>
      <c r="E415" s="186">
        <v>23374794</v>
      </c>
      <c r="F415" t="s">
        <v>1388</v>
      </c>
      <c r="G415" t="s">
        <v>87</v>
      </c>
      <c r="H415" t="s">
        <v>9369</v>
      </c>
      <c r="I415" s="186">
        <v>3</v>
      </c>
      <c r="J415" t="s">
        <v>103</v>
      </c>
      <c r="K415" s="185">
        <v>18450.490000000002</v>
      </c>
      <c r="L415" s="191">
        <v>44974.520185185182</v>
      </c>
    </row>
    <row r="416" spans="1:12" x14ac:dyDescent="0.3">
      <c r="A416" s="186">
        <v>2541</v>
      </c>
      <c r="B416" s="186">
        <v>0</v>
      </c>
      <c r="C416" s="186" t="s">
        <v>9370</v>
      </c>
      <c r="D416" t="s">
        <v>1387</v>
      </c>
      <c r="E416" s="186">
        <v>17162983</v>
      </c>
      <c r="F416" t="s">
        <v>1388</v>
      </c>
      <c r="G416" t="s">
        <v>87</v>
      </c>
      <c r="H416" t="s">
        <v>9370</v>
      </c>
      <c r="I416" s="186">
        <v>3</v>
      </c>
      <c r="J416" t="s">
        <v>100</v>
      </c>
      <c r="K416" s="185">
        <v>6000</v>
      </c>
      <c r="L416" s="191">
        <v>44750.702627314815</v>
      </c>
    </row>
    <row r="417" spans="1:12" x14ac:dyDescent="0.3">
      <c r="A417" s="186">
        <v>2579</v>
      </c>
      <c r="B417" s="186">
        <v>0</v>
      </c>
      <c r="C417" s="186" t="s">
        <v>9371</v>
      </c>
      <c r="D417" t="s">
        <v>1387</v>
      </c>
      <c r="E417" s="186">
        <v>37059418</v>
      </c>
      <c r="F417" t="s">
        <v>1388</v>
      </c>
      <c r="G417" t="s">
        <v>87</v>
      </c>
      <c r="H417" t="s">
        <v>9371</v>
      </c>
      <c r="I417" s="186">
        <v>3</v>
      </c>
      <c r="J417" t="s">
        <v>100</v>
      </c>
      <c r="K417" s="185">
        <v>570000</v>
      </c>
      <c r="L417" s="191">
        <v>44775.585173611114</v>
      </c>
    </row>
    <row r="418" spans="1:12" x14ac:dyDescent="0.3">
      <c r="A418" s="186">
        <v>2652</v>
      </c>
      <c r="B418" s="186">
        <v>0</v>
      </c>
      <c r="C418" s="186" t="s">
        <v>9372</v>
      </c>
      <c r="D418" t="s">
        <v>1387</v>
      </c>
      <c r="E418" s="186">
        <v>37262942</v>
      </c>
      <c r="F418" t="s">
        <v>1388</v>
      </c>
      <c r="G418" t="s">
        <v>87</v>
      </c>
      <c r="H418" t="s">
        <v>9372</v>
      </c>
      <c r="I418" s="186">
        <v>10</v>
      </c>
      <c r="J418" t="s">
        <v>100</v>
      </c>
      <c r="K418" s="185">
        <v>40273.06</v>
      </c>
      <c r="L418" s="191">
        <v>44827.540844907409</v>
      </c>
    </row>
    <row r="419" spans="1:12" x14ac:dyDescent="0.3">
      <c r="A419" s="186">
        <v>2768</v>
      </c>
      <c r="C419" s="186" t="s">
        <v>9373</v>
      </c>
      <c r="D419" t="s">
        <v>1394</v>
      </c>
      <c r="E419" s="186">
        <v>45074937</v>
      </c>
      <c r="G419" t="s">
        <v>113</v>
      </c>
      <c r="H419" t="s">
        <v>9373</v>
      </c>
      <c r="I419" s="186">
        <v>24</v>
      </c>
      <c r="K419" s="185">
        <v>0</v>
      </c>
      <c r="L419" s="191">
        <v>44890.49523148148</v>
      </c>
    </row>
    <row r="420" spans="1:12" x14ac:dyDescent="0.3">
      <c r="A420" s="186">
        <v>21082</v>
      </c>
      <c r="B420" s="186" t="s">
        <v>1361</v>
      </c>
      <c r="C420" s="186" t="s">
        <v>9374</v>
      </c>
      <c r="D420" t="s">
        <v>1387</v>
      </c>
      <c r="E420" s="186">
        <v>48546859</v>
      </c>
      <c r="F420" t="s">
        <v>1388</v>
      </c>
      <c r="G420" t="s">
        <v>87</v>
      </c>
      <c r="H420" t="s">
        <v>9374</v>
      </c>
      <c r="I420" s="186">
        <v>10</v>
      </c>
      <c r="J420" t="s">
        <v>1362</v>
      </c>
      <c r="K420" s="185">
        <v>4200</v>
      </c>
      <c r="L420" s="191">
        <v>44966.346631944441</v>
      </c>
    </row>
    <row r="421" spans="1:12" x14ac:dyDescent="0.3">
      <c r="A421" s="186">
        <v>31474</v>
      </c>
      <c r="B421" s="186">
        <v>10</v>
      </c>
      <c r="C421" s="186" t="s">
        <v>9375</v>
      </c>
      <c r="D421" t="s">
        <v>1387</v>
      </c>
      <c r="E421" s="186">
        <v>15655289</v>
      </c>
      <c r="F421" t="s">
        <v>1388</v>
      </c>
      <c r="G421" t="s">
        <v>87</v>
      </c>
      <c r="H421" t="s">
        <v>9375</v>
      </c>
      <c r="I421" s="186">
        <v>3</v>
      </c>
      <c r="J421" t="s">
        <v>133</v>
      </c>
      <c r="K421" s="185">
        <v>1940.1</v>
      </c>
      <c r="L421" s="191">
        <v>44753.576504629629</v>
      </c>
    </row>
    <row r="422" spans="1:12" x14ac:dyDescent="0.3">
      <c r="A422" s="186">
        <v>2647</v>
      </c>
      <c r="B422" s="186" t="s">
        <v>229</v>
      </c>
      <c r="C422" s="186" t="s">
        <v>9376</v>
      </c>
      <c r="D422" t="s">
        <v>1387</v>
      </c>
      <c r="E422" s="186">
        <v>27847022</v>
      </c>
      <c r="F422" t="s">
        <v>1388</v>
      </c>
      <c r="G422" t="s">
        <v>87</v>
      </c>
      <c r="H422" t="s">
        <v>9376</v>
      </c>
      <c r="I422" s="186">
        <v>38</v>
      </c>
      <c r="J422" t="s">
        <v>230</v>
      </c>
      <c r="K422" s="185">
        <v>27330</v>
      </c>
      <c r="L422" s="191">
        <v>44825.637048611112</v>
      </c>
    </row>
    <row r="423" spans="1:12" x14ac:dyDescent="0.3">
      <c r="A423" s="186">
        <v>4318</v>
      </c>
      <c r="B423" s="186">
        <v>30</v>
      </c>
      <c r="C423" s="186" t="s">
        <v>9377</v>
      </c>
      <c r="D423" t="s">
        <v>1387</v>
      </c>
      <c r="E423" s="186">
        <v>8343492</v>
      </c>
      <c r="F423" t="s">
        <v>1388</v>
      </c>
      <c r="G423" t="s">
        <v>87</v>
      </c>
      <c r="H423" t="s">
        <v>9377</v>
      </c>
      <c r="I423" s="186">
        <v>18</v>
      </c>
      <c r="J423" t="s">
        <v>103</v>
      </c>
      <c r="K423" s="185">
        <v>915.6</v>
      </c>
      <c r="L423" s="191">
        <v>44713.414594907408</v>
      </c>
    </row>
    <row r="424" spans="1:12" x14ac:dyDescent="0.3">
      <c r="A424" s="186">
        <v>31399</v>
      </c>
      <c r="B424" s="186">
        <v>10</v>
      </c>
      <c r="C424" s="186" t="s">
        <v>9378</v>
      </c>
      <c r="D424" t="s">
        <v>1387</v>
      </c>
      <c r="E424" s="186">
        <v>8555864</v>
      </c>
      <c r="F424" t="s">
        <v>1388</v>
      </c>
      <c r="G424" t="s">
        <v>87</v>
      </c>
      <c r="H424" t="s">
        <v>9378</v>
      </c>
      <c r="I424" s="186">
        <v>9</v>
      </c>
      <c r="J424" t="s">
        <v>133</v>
      </c>
      <c r="K424" s="185">
        <v>33986.43</v>
      </c>
      <c r="L424" s="191">
        <v>44729.430266203701</v>
      </c>
    </row>
    <row r="425" spans="1:12" x14ac:dyDescent="0.3">
      <c r="A425" s="186">
        <v>31487</v>
      </c>
      <c r="B425" s="186">
        <v>0</v>
      </c>
      <c r="C425" s="186" t="s">
        <v>9379</v>
      </c>
      <c r="D425" t="s">
        <v>1387</v>
      </c>
      <c r="E425" s="186">
        <v>42977769</v>
      </c>
      <c r="F425" t="s">
        <v>1388</v>
      </c>
      <c r="G425" t="s">
        <v>87</v>
      </c>
      <c r="H425" t="s">
        <v>9379</v>
      </c>
      <c r="I425" s="186">
        <v>3</v>
      </c>
      <c r="J425" t="s">
        <v>100</v>
      </c>
      <c r="K425" s="185">
        <v>385000</v>
      </c>
      <c r="L425" s="191">
        <v>44755.620775462965</v>
      </c>
    </row>
    <row r="426" spans="1:12" x14ac:dyDescent="0.3">
      <c r="A426" s="186">
        <v>21525</v>
      </c>
      <c r="B426" s="186">
        <v>30</v>
      </c>
      <c r="C426" s="186" t="s">
        <v>9380</v>
      </c>
      <c r="D426" t="s">
        <v>1387</v>
      </c>
      <c r="E426" s="186">
        <v>684808</v>
      </c>
      <c r="F426" t="s">
        <v>1388</v>
      </c>
      <c r="G426" t="s">
        <v>87</v>
      </c>
      <c r="H426" t="s">
        <v>9380</v>
      </c>
      <c r="I426" s="186">
        <v>38</v>
      </c>
      <c r="J426" t="s">
        <v>103</v>
      </c>
      <c r="K426" s="185">
        <v>198200</v>
      </c>
      <c r="L426" s="191">
        <v>45036.537766203706</v>
      </c>
    </row>
    <row r="427" spans="1:12" x14ac:dyDescent="0.3">
      <c r="A427" s="186">
        <v>31509</v>
      </c>
      <c r="B427" s="186">
        <v>28</v>
      </c>
      <c r="C427" s="186" t="s">
        <v>9381</v>
      </c>
      <c r="D427" t="s">
        <v>1387</v>
      </c>
      <c r="E427" s="186">
        <v>36146575</v>
      </c>
      <c r="F427" t="s">
        <v>1388</v>
      </c>
      <c r="G427" t="s">
        <v>87</v>
      </c>
      <c r="H427" t="s">
        <v>9381</v>
      </c>
      <c r="I427" s="186">
        <v>24</v>
      </c>
      <c r="J427" t="s">
        <v>130</v>
      </c>
      <c r="K427" s="185">
        <v>3170.52</v>
      </c>
      <c r="L427" s="191">
        <v>44761.470254629632</v>
      </c>
    </row>
    <row r="428" spans="1:12" x14ac:dyDescent="0.3">
      <c r="A428" s="186">
        <v>2990</v>
      </c>
      <c r="B428" s="186">
        <v>21</v>
      </c>
      <c r="C428" s="186" t="s">
        <v>9382</v>
      </c>
      <c r="D428" t="s">
        <v>1387</v>
      </c>
      <c r="E428" s="186">
        <v>7605563</v>
      </c>
      <c r="F428" t="s">
        <v>1388</v>
      </c>
      <c r="G428" t="s">
        <v>87</v>
      </c>
      <c r="H428" t="s">
        <v>9382</v>
      </c>
      <c r="I428" s="186">
        <v>10</v>
      </c>
      <c r="J428" t="s">
        <v>137</v>
      </c>
      <c r="K428" s="185">
        <v>122826.73</v>
      </c>
      <c r="L428" s="191">
        <v>44952.66574074074</v>
      </c>
    </row>
    <row r="429" spans="1:12" x14ac:dyDescent="0.3">
      <c r="A429" s="186">
        <v>4494</v>
      </c>
      <c r="B429" s="186">
        <v>30</v>
      </c>
      <c r="C429" s="186" t="s">
        <v>9383</v>
      </c>
      <c r="D429" t="s">
        <v>1387</v>
      </c>
      <c r="E429" s="186">
        <v>34209835</v>
      </c>
      <c r="F429" t="s">
        <v>1388</v>
      </c>
      <c r="G429" t="s">
        <v>87</v>
      </c>
      <c r="H429" t="s">
        <v>9383</v>
      </c>
      <c r="I429" s="186">
        <v>3</v>
      </c>
      <c r="J429" t="s">
        <v>103</v>
      </c>
      <c r="K429" s="185">
        <v>24398.98</v>
      </c>
      <c r="L429" s="191">
        <v>44972.730810185189</v>
      </c>
    </row>
    <row r="430" spans="1:12" x14ac:dyDescent="0.3">
      <c r="A430" s="186">
        <v>21471</v>
      </c>
      <c r="B430" s="186">
        <v>0</v>
      </c>
      <c r="C430" s="186" t="s">
        <v>9384</v>
      </c>
      <c r="D430" t="s">
        <v>1394</v>
      </c>
      <c r="E430" s="186">
        <v>20651683</v>
      </c>
      <c r="G430" t="s">
        <v>87</v>
      </c>
      <c r="H430" t="s">
        <v>9384</v>
      </c>
      <c r="I430" s="186">
        <v>3</v>
      </c>
      <c r="J430" t="s">
        <v>100</v>
      </c>
      <c r="K430" s="185">
        <v>0</v>
      </c>
      <c r="L430" s="191">
        <v>45029.394282407404</v>
      </c>
    </row>
    <row r="431" spans="1:12" x14ac:dyDescent="0.3">
      <c r="A431" s="186">
        <v>4368</v>
      </c>
      <c r="B431" s="186">
        <v>60</v>
      </c>
      <c r="C431" s="186" t="s">
        <v>9385</v>
      </c>
      <c r="D431" t="s">
        <v>1387</v>
      </c>
      <c r="E431" s="186">
        <v>12056613</v>
      </c>
      <c r="F431" t="s">
        <v>1388</v>
      </c>
      <c r="G431" t="s">
        <v>87</v>
      </c>
      <c r="H431" t="s">
        <v>9385</v>
      </c>
      <c r="I431" s="186">
        <v>3</v>
      </c>
      <c r="J431" t="s">
        <v>97</v>
      </c>
      <c r="K431" s="185">
        <v>96025.74</v>
      </c>
      <c r="L431" s="191">
        <v>44785.451412037037</v>
      </c>
    </row>
    <row r="432" spans="1:12" x14ac:dyDescent="0.3">
      <c r="A432" s="186">
        <v>2711</v>
      </c>
      <c r="B432" s="186">
        <v>0</v>
      </c>
      <c r="C432" s="186" t="s">
        <v>9386</v>
      </c>
      <c r="D432" t="s">
        <v>1394</v>
      </c>
      <c r="E432" s="186">
        <v>15352621</v>
      </c>
      <c r="G432" t="s">
        <v>113</v>
      </c>
      <c r="H432" t="s">
        <v>9386</v>
      </c>
      <c r="I432" s="186">
        <v>19</v>
      </c>
      <c r="J432" t="s">
        <v>100</v>
      </c>
      <c r="K432" s="185">
        <v>0</v>
      </c>
      <c r="L432" s="191">
        <v>44866.642546296294</v>
      </c>
    </row>
    <row r="433" spans="1:12" x14ac:dyDescent="0.3">
      <c r="A433" s="186">
        <v>2758</v>
      </c>
      <c r="B433" s="186">
        <v>0</v>
      </c>
      <c r="C433" s="186" t="s">
        <v>9387</v>
      </c>
      <c r="D433" t="s">
        <v>1387</v>
      </c>
      <c r="E433" s="186">
        <v>42509257</v>
      </c>
      <c r="F433" t="s">
        <v>1388</v>
      </c>
      <c r="G433" t="s">
        <v>87</v>
      </c>
      <c r="H433" t="s">
        <v>9387</v>
      </c>
      <c r="I433" s="186">
        <v>10</v>
      </c>
      <c r="J433" t="s">
        <v>100</v>
      </c>
      <c r="K433" s="185">
        <v>306350.36</v>
      </c>
      <c r="L433" s="191">
        <v>44886.497430555559</v>
      </c>
    </row>
    <row r="434" spans="1:12" x14ac:dyDescent="0.3">
      <c r="A434" s="186">
        <v>21474</v>
      </c>
      <c r="B434" s="186" t="s">
        <v>175</v>
      </c>
      <c r="C434" s="186" t="s">
        <v>9388</v>
      </c>
      <c r="D434" t="s">
        <v>1387</v>
      </c>
      <c r="E434" s="186">
        <v>54883194</v>
      </c>
      <c r="F434" t="s">
        <v>1388</v>
      </c>
      <c r="G434" t="s">
        <v>87</v>
      </c>
      <c r="H434" t="s">
        <v>9388</v>
      </c>
      <c r="I434" s="186">
        <v>10</v>
      </c>
      <c r="J434" t="s">
        <v>176</v>
      </c>
      <c r="K434" s="185">
        <v>17999.990000000002</v>
      </c>
      <c r="L434" s="191">
        <v>45029.480486111112</v>
      </c>
    </row>
    <row r="435" spans="1:12" x14ac:dyDescent="0.3">
      <c r="A435" s="186">
        <v>31507</v>
      </c>
      <c r="B435" s="186">
        <v>28</v>
      </c>
      <c r="C435" s="186" t="s">
        <v>9389</v>
      </c>
      <c r="D435" t="s">
        <v>1387</v>
      </c>
      <c r="E435" s="186">
        <v>36146575</v>
      </c>
      <c r="F435" t="s">
        <v>1388</v>
      </c>
      <c r="G435" t="s">
        <v>87</v>
      </c>
      <c r="H435" t="s">
        <v>9389</v>
      </c>
      <c r="I435" s="186">
        <v>24</v>
      </c>
      <c r="J435" t="s">
        <v>130</v>
      </c>
      <c r="K435" s="185">
        <v>3595.5</v>
      </c>
      <c r="L435" s="191">
        <v>44761.463750000003</v>
      </c>
    </row>
    <row r="436" spans="1:12" x14ac:dyDescent="0.3">
      <c r="A436" s="186">
        <v>31678</v>
      </c>
      <c r="B436" s="186">
        <v>6</v>
      </c>
      <c r="C436" s="186" t="s">
        <v>9390</v>
      </c>
      <c r="D436" t="s">
        <v>1387</v>
      </c>
      <c r="E436" s="186">
        <v>29206971</v>
      </c>
      <c r="F436" t="s">
        <v>1388</v>
      </c>
      <c r="G436" t="s">
        <v>87</v>
      </c>
      <c r="H436" t="s">
        <v>9390</v>
      </c>
      <c r="I436" s="186">
        <v>10</v>
      </c>
      <c r="J436" t="s">
        <v>205</v>
      </c>
      <c r="K436" s="185">
        <v>2650</v>
      </c>
      <c r="L436" s="191">
        <v>44798.660393518519</v>
      </c>
    </row>
    <row r="437" spans="1:12" x14ac:dyDescent="0.3">
      <c r="A437" s="186">
        <v>2973</v>
      </c>
      <c r="B437" s="186">
        <v>0</v>
      </c>
      <c r="C437" s="186" t="s">
        <v>9391</v>
      </c>
      <c r="D437" t="s">
        <v>1394</v>
      </c>
      <c r="E437" s="186">
        <v>9646672</v>
      </c>
      <c r="G437" t="s">
        <v>87</v>
      </c>
      <c r="H437" t="s">
        <v>9391</v>
      </c>
      <c r="I437" s="186">
        <v>18</v>
      </c>
      <c r="J437" t="s">
        <v>100</v>
      </c>
      <c r="K437" s="185">
        <v>0</v>
      </c>
      <c r="L437" s="191">
        <v>44950.592361111114</v>
      </c>
    </row>
    <row r="438" spans="1:12" x14ac:dyDescent="0.3">
      <c r="A438" s="186">
        <v>21244</v>
      </c>
      <c r="B438" s="186" t="s">
        <v>175</v>
      </c>
      <c r="C438" s="186" t="s">
        <v>9392</v>
      </c>
      <c r="D438" t="s">
        <v>1387</v>
      </c>
      <c r="E438" s="186">
        <v>23963565</v>
      </c>
      <c r="F438" t="s">
        <v>1388</v>
      </c>
      <c r="G438" t="s">
        <v>87</v>
      </c>
      <c r="H438" t="s">
        <v>9392</v>
      </c>
      <c r="I438" s="186">
        <v>10</v>
      </c>
      <c r="J438" t="s">
        <v>176</v>
      </c>
      <c r="K438" s="185">
        <v>18000.009999999998</v>
      </c>
      <c r="L438" s="191">
        <v>44991.495972222219</v>
      </c>
    </row>
    <row r="439" spans="1:12" x14ac:dyDescent="0.3">
      <c r="A439" s="186">
        <v>31939</v>
      </c>
      <c r="B439" s="186">
        <v>-1</v>
      </c>
      <c r="C439" s="186" t="s">
        <v>9393</v>
      </c>
      <c r="D439" t="s">
        <v>1387</v>
      </c>
      <c r="E439" s="186">
        <v>4038581</v>
      </c>
      <c r="F439" t="s">
        <v>1388</v>
      </c>
      <c r="G439" t="s">
        <v>87</v>
      </c>
      <c r="H439" t="s">
        <v>9393</v>
      </c>
      <c r="I439" s="186">
        <v>10</v>
      </c>
      <c r="J439" t="s">
        <v>174</v>
      </c>
      <c r="K439" s="185">
        <v>20699.2</v>
      </c>
      <c r="L439" s="191">
        <v>44883.365358796298</v>
      </c>
    </row>
    <row r="440" spans="1:12" x14ac:dyDescent="0.3">
      <c r="A440" s="186">
        <v>31994</v>
      </c>
      <c r="B440" s="186">
        <v>-1</v>
      </c>
      <c r="C440" s="186" t="s">
        <v>9394</v>
      </c>
      <c r="D440" t="s">
        <v>1387</v>
      </c>
      <c r="E440" s="186">
        <v>86512555</v>
      </c>
      <c r="F440" t="s">
        <v>1388</v>
      </c>
      <c r="G440" t="s">
        <v>87</v>
      </c>
      <c r="H440" t="s">
        <v>9394</v>
      </c>
      <c r="I440" s="186">
        <v>3</v>
      </c>
      <c r="J440" t="s">
        <v>174</v>
      </c>
      <c r="K440">
        <v>16432</v>
      </c>
      <c r="L440" s="191">
        <v>44901.426863425928</v>
      </c>
    </row>
    <row r="441" spans="1:12" x14ac:dyDescent="0.3">
      <c r="A441" s="186">
        <v>31362</v>
      </c>
      <c r="C441" s="186" t="s">
        <v>9395</v>
      </c>
      <c r="D441" t="s">
        <v>1394</v>
      </c>
      <c r="E441" s="186">
        <v>18217472</v>
      </c>
      <c r="G441" t="s">
        <v>113</v>
      </c>
      <c r="H441" t="s">
        <v>9395</v>
      </c>
      <c r="I441" s="186">
        <v>3</v>
      </c>
      <c r="K441" s="185">
        <v>0</v>
      </c>
      <c r="L441" s="191">
        <v>44718.425347222219</v>
      </c>
    </row>
    <row r="442" spans="1:12" x14ac:dyDescent="0.3">
      <c r="A442" s="186">
        <v>2523</v>
      </c>
      <c r="B442" s="186">
        <v>30</v>
      </c>
      <c r="C442" s="186" t="s">
        <v>9396</v>
      </c>
      <c r="D442" t="s">
        <v>1394</v>
      </c>
      <c r="E442" s="186">
        <v>2617158</v>
      </c>
      <c r="G442" t="s">
        <v>87</v>
      </c>
      <c r="H442" t="s">
        <v>9396</v>
      </c>
      <c r="I442" s="186">
        <v>3</v>
      </c>
      <c r="J442" t="s">
        <v>103</v>
      </c>
      <c r="K442" s="185">
        <v>0</v>
      </c>
      <c r="L442" s="191">
        <v>44735.615659722222</v>
      </c>
    </row>
    <row r="443" spans="1:12" x14ac:dyDescent="0.3">
      <c r="A443" s="186">
        <v>31747</v>
      </c>
      <c r="B443" s="186">
        <v>0</v>
      </c>
      <c r="C443" s="186" t="s">
        <v>9397</v>
      </c>
      <c r="D443" t="s">
        <v>1387</v>
      </c>
      <c r="E443" s="186">
        <v>5943917</v>
      </c>
      <c r="F443" t="s">
        <v>1388</v>
      </c>
      <c r="G443" t="s">
        <v>87</v>
      </c>
      <c r="H443" t="s">
        <v>9397</v>
      </c>
      <c r="I443" s="186">
        <v>10</v>
      </c>
      <c r="J443" t="s">
        <v>100</v>
      </c>
      <c r="K443" s="185">
        <v>36143.56</v>
      </c>
      <c r="L443" s="191">
        <v>44824.826296296298</v>
      </c>
    </row>
    <row r="444" spans="1:12" x14ac:dyDescent="0.3">
      <c r="A444" s="186">
        <v>2983</v>
      </c>
      <c r="B444" s="186" t="s">
        <v>1396</v>
      </c>
      <c r="C444" s="186" t="s">
        <v>9398</v>
      </c>
      <c r="D444" t="s">
        <v>1387</v>
      </c>
      <c r="E444" s="186">
        <v>8104042</v>
      </c>
      <c r="F444" t="s">
        <v>1388</v>
      </c>
      <c r="G444" t="s">
        <v>87</v>
      </c>
      <c r="H444" t="s">
        <v>9398</v>
      </c>
      <c r="I444" s="186">
        <v>3</v>
      </c>
      <c r="J444" t="s">
        <v>1397</v>
      </c>
      <c r="K444" s="185">
        <v>120808.23</v>
      </c>
      <c r="L444" s="191">
        <v>44951.742743055554</v>
      </c>
    </row>
    <row r="445" spans="1:12" x14ac:dyDescent="0.3">
      <c r="A445" s="186">
        <v>31379</v>
      </c>
      <c r="B445" s="186">
        <v>30</v>
      </c>
      <c r="C445" s="186" t="s">
        <v>9399</v>
      </c>
      <c r="D445" t="s">
        <v>1387</v>
      </c>
      <c r="E445" s="186">
        <v>22060255</v>
      </c>
      <c r="F445" t="s">
        <v>1388</v>
      </c>
      <c r="G445" t="s">
        <v>87</v>
      </c>
      <c r="H445" t="s">
        <v>9399</v>
      </c>
      <c r="I445" s="186">
        <v>18</v>
      </c>
      <c r="J445" t="s">
        <v>103</v>
      </c>
      <c r="K445" s="185">
        <v>36828.730000000003</v>
      </c>
      <c r="L445" s="191">
        <v>44720.356828703705</v>
      </c>
    </row>
    <row r="446" spans="1:12" x14ac:dyDescent="0.3">
      <c r="A446" s="186">
        <v>32028</v>
      </c>
      <c r="B446" s="186">
        <v>28</v>
      </c>
      <c r="C446" s="186" t="s">
        <v>9400</v>
      </c>
      <c r="D446" t="s">
        <v>1387</v>
      </c>
      <c r="E446" s="186">
        <v>36146575</v>
      </c>
      <c r="F446" t="s">
        <v>1388</v>
      </c>
      <c r="G446" t="s">
        <v>87</v>
      </c>
      <c r="H446" t="s">
        <v>9400</v>
      </c>
      <c r="I446" s="186">
        <v>24</v>
      </c>
      <c r="J446" t="s">
        <v>130</v>
      </c>
      <c r="K446" s="185">
        <v>4887.51</v>
      </c>
      <c r="L446" s="191">
        <v>44909.357615740744</v>
      </c>
    </row>
    <row r="447" spans="1:12" x14ac:dyDescent="0.3">
      <c r="A447" s="186">
        <v>4442</v>
      </c>
      <c r="B447" s="186">
        <v>60</v>
      </c>
      <c r="C447" s="186" t="s">
        <v>9401</v>
      </c>
      <c r="D447" t="s">
        <v>1387</v>
      </c>
      <c r="E447" s="186">
        <v>33592510</v>
      </c>
      <c r="F447" t="s">
        <v>1388</v>
      </c>
      <c r="G447" t="s">
        <v>87</v>
      </c>
      <c r="H447" t="s">
        <v>9401</v>
      </c>
      <c r="I447" s="186">
        <v>3</v>
      </c>
      <c r="J447" t="s">
        <v>97</v>
      </c>
      <c r="K447" s="185">
        <v>2325777</v>
      </c>
      <c r="L447" s="191">
        <v>44902.39949074074</v>
      </c>
    </row>
    <row r="448" spans="1:12" x14ac:dyDescent="0.3">
      <c r="A448" s="186">
        <v>2901</v>
      </c>
      <c r="B448" s="186">
        <v>-1</v>
      </c>
      <c r="C448" s="186" t="s">
        <v>9402</v>
      </c>
      <c r="D448" t="s">
        <v>1394</v>
      </c>
      <c r="E448" s="186">
        <v>22113908</v>
      </c>
      <c r="G448" t="s">
        <v>87</v>
      </c>
      <c r="H448" t="s">
        <v>9402</v>
      </c>
      <c r="I448" s="186">
        <v>3</v>
      </c>
      <c r="J448" t="s">
        <v>174</v>
      </c>
      <c r="K448" s="185">
        <v>0</v>
      </c>
      <c r="L448" s="191">
        <v>44938.40351851852</v>
      </c>
    </row>
    <row r="449" spans="1:12" x14ac:dyDescent="0.3">
      <c r="A449" s="186">
        <v>21023</v>
      </c>
      <c r="B449" s="192">
        <v>60</v>
      </c>
      <c r="C449" s="186" t="s">
        <v>9403</v>
      </c>
      <c r="D449" t="s">
        <v>1387</v>
      </c>
      <c r="E449" s="186">
        <v>60894730</v>
      </c>
      <c r="F449" t="s">
        <v>1388</v>
      </c>
      <c r="G449" t="s">
        <v>87</v>
      </c>
      <c r="H449" t="s">
        <v>9403</v>
      </c>
      <c r="I449" s="186">
        <v>3</v>
      </c>
      <c r="J449" t="s">
        <v>97</v>
      </c>
      <c r="K449" s="185">
        <v>0</v>
      </c>
      <c r="L449" s="191">
        <v>44959.624212962961</v>
      </c>
    </row>
    <row r="450" spans="1:12" x14ac:dyDescent="0.3">
      <c r="A450" s="186">
        <v>31365</v>
      </c>
      <c r="B450" s="186">
        <v>0</v>
      </c>
      <c r="C450" s="186" t="s">
        <v>9404</v>
      </c>
      <c r="D450" t="s">
        <v>1387</v>
      </c>
      <c r="E450" s="186">
        <v>13718452</v>
      </c>
      <c r="F450" t="s">
        <v>1388</v>
      </c>
      <c r="G450" t="s">
        <v>87</v>
      </c>
      <c r="H450" t="s">
        <v>9404</v>
      </c>
      <c r="I450" s="186">
        <v>37</v>
      </c>
      <c r="J450" t="s">
        <v>100</v>
      </c>
      <c r="K450" s="185">
        <v>37900</v>
      </c>
      <c r="L450" s="191">
        <v>44718.607349537036</v>
      </c>
    </row>
    <row r="451" spans="1:12" x14ac:dyDescent="0.3">
      <c r="A451" s="186">
        <v>2836</v>
      </c>
      <c r="B451" s="186">
        <v>0</v>
      </c>
      <c r="C451" s="186" t="s">
        <v>9405</v>
      </c>
      <c r="D451" t="s">
        <v>1387</v>
      </c>
      <c r="E451" s="186">
        <v>75911438</v>
      </c>
      <c r="F451" t="s">
        <v>1388</v>
      </c>
      <c r="G451" t="s">
        <v>87</v>
      </c>
      <c r="H451" t="s">
        <v>9405</v>
      </c>
      <c r="I451" s="186">
        <v>10</v>
      </c>
      <c r="J451" t="s">
        <v>100</v>
      </c>
      <c r="K451" s="185">
        <v>385000</v>
      </c>
      <c r="L451" s="191">
        <v>44923.352847222224</v>
      </c>
    </row>
    <row r="452" spans="1:12" x14ac:dyDescent="0.3">
      <c r="A452" s="186">
        <v>21016</v>
      </c>
      <c r="B452" s="186">
        <v>0</v>
      </c>
      <c r="C452" s="186" t="s">
        <v>9406</v>
      </c>
      <c r="D452" t="s">
        <v>1387</v>
      </c>
      <c r="E452" s="186">
        <v>24553991</v>
      </c>
      <c r="F452" t="s">
        <v>1388</v>
      </c>
      <c r="G452" t="s">
        <v>87</v>
      </c>
      <c r="H452" t="s">
        <v>9406</v>
      </c>
      <c r="I452" s="186">
        <v>3</v>
      </c>
      <c r="J452" t="s">
        <v>100</v>
      </c>
      <c r="K452" s="185">
        <v>925000</v>
      </c>
      <c r="L452" s="191">
        <v>44959.324317129627</v>
      </c>
    </row>
    <row r="453" spans="1:12" x14ac:dyDescent="0.3">
      <c r="A453" s="186">
        <v>31904</v>
      </c>
      <c r="B453" s="186" t="s">
        <v>1361</v>
      </c>
      <c r="C453" s="186" t="s">
        <v>9407</v>
      </c>
      <c r="D453" t="s">
        <v>1387</v>
      </c>
      <c r="E453" s="186">
        <v>34209835</v>
      </c>
      <c r="F453" t="s">
        <v>1388</v>
      </c>
      <c r="G453" t="s">
        <v>87</v>
      </c>
      <c r="H453" t="s">
        <v>9407</v>
      </c>
      <c r="I453" s="186">
        <v>10</v>
      </c>
      <c r="J453" t="s">
        <v>1362</v>
      </c>
      <c r="K453" s="185">
        <v>18200.009999999998</v>
      </c>
      <c r="L453" s="191">
        <v>44873.709293981483</v>
      </c>
    </row>
    <row r="454" spans="1:12" x14ac:dyDescent="0.3">
      <c r="A454" s="186">
        <v>31976</v>
      </c>
      <c r="B454" s="186">
        <v>30</v>
      </c>
      <c r="C454" s="186" t="s">
        <v>9408</v>
      </c>
      <c r="D454" t="s">
        <v>1387</v>
      </c>
      <c r="E454" s="186">
        <v>5642273</v>
      </c>
      <c r="F454" t="s">
        <v>1388</v>
      </c>
      <c r="G454" t="s">
        <v>87</v>
      </c>
      <c r="H454" t="s">
        <v>9408</v>
      </c>
      <c r="I454" s="186">
        <v>10</v>
      </c>
      <c r="J454" t="s">
        <v>103</v>
      </c>
      <c r="K454" s="185">
        <v>171118.4</v>
      </c>
      <c r="L454" s="191">
        <v>44894.686064814814</v>
      </c>
    </row>
    <row r="455" spans="1:12" x14ac:dyDescent="0.3">
      <c r="A455" s="186">
        <v>31387</v>
      </c>
      <c r="B455" s="186" t="s">
        <v>1257</v>
      </c>
      <c r="C455" s="186" t="s">
        <v>9409</v>
      </c>
      <c r="D455" t="s">
        <v>1387</v>
      </c>
      <c r="E455" s="186">
        <v>5150719</v>
      </c>
      <c r="F455" t="s">
        <v>1388</v>
      </c>
      <c r="G455" t="s">
        <v>87</v>
      </c>
      <c r="H455" t="s">
        <v>9409</v>
      </c>
      <c r="I455" s="186">
        <v>10</v>
      </c>
      <c r="J455" t="s">
        <v>1258</v>
      </c>
      <c r="K455" s="185">
        <v>430000</v>
      </c>
      <c r="L455" s="191">
        <v>44725.463043981479</v>
      </c>
    </row>
    <row r="456" spans="1:12" x14ac:dyDescent="0.3">
      <c r="A456" s="186">
        <v>2597</v>
      </c>
      <c r="B456" s="186" t="s">
        <v>229</v>
      </c>
      <c r="C456" s="186" t="s">
        <v>9410</v>
      </c>
      <c r="D456" t="s">
        <v>1387</v>
      </c>
      <c r="E456" s="186">
        <v>27847022</v>
      </c>
      <c r="F456" t="s">
        <v>1388</v>
      </c>
      <c r="G456" t="s">
        <v>87</v>
      </c>
      <c r="H456" t="s">
        <v>9410</v>
      </c>
      <c r="I456" s="186">
        <v>38</v>
      </c>
      <c r="J456" t="s">
        <v>230</v>
      </c>
      <c r="K456" s="185">
        <v>27330</v>
      </c>
      <c r="L456" s="191">
        <v>44790.718078703707</v>
      </c>
    </row>
    <row r="457" spans="1:12" x14ac:dyDescent="0.3">
      <c r="A457" s="186">
        <v>31881</v>
      </c>
      <c r="B457" s="186">
        <v>30</v>
      </c>
      <c r="C457" s="186" t="s">
        <v>9411</v>
      </c>
      <c r="D457" t="s">
        <v>1387</v>
      </c>
      <c r="E457" s="186">
        <v>1157555</v>
      </c>
      <c r="F457" t="s">
        <v>1388</v>
      </c>
      <c r="G457" t="s">
        <v>87</v>
      </c>
      <c r="H457" t="s">
        <v>9411</v>
      </c>
      <c r="I457" s="186">
        <v>37</v>
      </c>
      <c r="J457" t="s">
        <v>103</v>
      </c>
      <c r="K457" s="185">
        <v>7000</v>
      </c>
      <c r="L457" s="191">
        <v>44869.485775462963</v>
      </c>
    </row>
    <row r="458" spans="1:12" x14ac:dyDescent="0.3">
      <c r="A458" s="186">
        <v>21335</v>
      </c>
      <c r="B458" s="186">
        <v>-1</v>
      </c>
      <c r="C458" s="186" t="s">
        <v>9412</v>
      </c>
      <c r="D458" t="s">
        <v>1387</v>
      </c>
      <c r="E458" s="186">
        <v>58034315</v>
      </c>
      <c r="F458" t="s">
        <v>1388</v>
      </c>
      <c r="G458" t="s">
        <v>87</v>
      </c>
      <c r="H458" t="s">
        <v>9412</v>
      </c>
      <c r="I458" s="186">
        <v>18</v>
      </c>
      <c r="J458" t="s">
        <v>174</v>
      </c>
      <c r="K458" s="185">
        <v>217964.16</v>
      </c>
      <c r="L458" s="191">
        <v>45007.450335648151</v>
      </c>
    </row>
    <row r="459" spans="1:12" x14ac:dyDescent="0.3">
      <c r="A459" s="186">
        <v>2567</v>
      </c>
      <c r="C459" s="186" t="s">
        <v>9413</v>
      </c>
      <c r="D459" t="s">
        <v>1394</v>
      </c>
      <c r="E459" s="186">
        <v>42599019</v>
      </c>
      <c r="G459" t="s">
        <v>113</v>
      </c>
      <c r="H459" t="s">
        <v>9413</v>
      </c>
      <c r="I459" s="186">
        <v>9</v>
      </c>
      <c r="K459" s="185">
        <v>0</v>
      </c>
      <c r="L459" s="191">
        <v>44770.674976851849</v>
      </c>
    </row>
    <row r="460" spans="1:12" x14ac:dyDescent="0.3">
      <c r="A460" s="186">
        <v>32006</v>
      </c>
      <c r="B460" s="186">
        <v>30</v>
      </c>
      <c r="C460" s="186" t="s">
        <v>9414</v>
      </c>
      <c r="D460" t="s">
        <v>1387</v>
      </c>
      <c r="E460" s="186">
        <v>242184</v>
      </c>
      <c r="F460" t="s">
        <v>1388</v>
      </c>
      <c r="G460" t="s">
        <v>87</v>
      </c>
      <c r="H460" t="s">
        <v>9414</v>
      </c>
      <c r="I460" s="186">
        <v>18</v>
      </c>
      <c r="J460" t="s">
        <v>103</v>
      </c>
      <c r="K460" s="185">
        <v>2634.5</v>
      </c>
      <c r="L460" s="191">
        <v>44903.361550925925</v>
      </c>
    </row>
    <row r="461" spans="1:12" x14ac:dyDescent="0.3">
      <c r="A461" s="186">
        <v>2725</v>
      </c>
      <c r="B461" s="186">
        <v>0</v>
      </c>
      <c r="C461" s="186" t="s">
        <v>9415</v>
      </c>
      <c r="D461" t="s">
        <v>1387</v>
      </c>
      <c r="E461" s="186">
        <v>2824334657</v>
      </c>
      <c r="F461" t="s">
        <v>1388</v>
      </c>
      <c r="G461" t="s">
        <v>87</v>
      </c>
      <c r="H461" t="s">
        <v>9415</v>
      </c>
      <c r="I461" s="186">
        <v>3</v>
      </c>
      <c r="J461" t="s">
        <v>100</v>
      </c>
      <c r="K461" s="185">
        <v>50000</v>
      </c>
      <c r="L461" s="191">
        <v>44872.678043981483</v>
      </c>
    </row>
    <row r="462" spans="1:12" x14ac:dyDescent="0.3">
      <c r="A462" s="186">
        <v>31486</v>
      </c>
      <c r="B462" s="186">
        <v>0</v>
      </c>
      <c r="C462" s="186" t="s">
        <v>9416</v>
      </c>
      <c r="D462" t="s">
        <v>1387</v>
      </c>
      <c r="E462" s="186">
        <v>8543809</v>
      </c>
      <c r="F462" t="s">
        <v>1388</v>
      </c>
      <c r="G462" t="s">
        <v>87</v>
      </c>
      <c r="H462" t="s">
        <v>9416</v>
      </c>
      <c r="I462" s="186">
        <v>3</v>
      </c>
      <c r="J462" t="s">
        <v>100</v>
      </c>
      <c r="K462" s="185">
        <v>20000</v>
      </c>
      <c r="L462" s="191">
        <v>44755.495358796295</v>
      </c>
    </row>
    <row r="463" spans="1:12" x14ac:dyDescent="0.3">
      <c r="A463" s="186">
        <v>31553</v>
      </c>
      <c r="B463" s="186">
        <v>0</v>
      </c>
      <c r="C463" s="186" t="s">
        <v>9417</v>
      </c>
      <c r="D463" t="s">
        <v>1394</v>
      </c>
      <c r="E463" s="186">
        <v>28619965</v>
      </c>
      <c r="G463" t="s">
        <v>87</v>
      </c>
      <c r="H463" t="s">
        <v>9417</v>
      </c>
      <c r="I463" s="186">
        <v>18</v>
      </c>
      <c r="J463" t="s">
        <v>100</v>
      </c>
      <c r="K463" s="185">
        <v>0</v>
      </c>
      <c r="L463" s="191">
        <v>44769.668819444443</v>
      </c>
    </row>
    <row r="464" spans="1:12" x14ac:dyDescent="0.3">
      <c r="A464" s="186">
        <v>31946</v>
      </c>
      <c r="B464" s="186">
        <v>35</v>
      </c>
      <c r="C464" s="186" t="s">
        <v>9418</v>
      </c>
      <c r="D464" t="s">
        <v>1387</v>
      </c>
      <c r="E464" s="186">
        <v>36178464</v>
      </c>
      <c r="F464" t="s">
        <v>1388</v>
      </c>
      <c r="G464" t="s">
        <v>87</v>
      </c>
      <c r="H464" t="s">
        <v>9418</v>
      </c>
      <c r="I464" s="186">
        <v>37</v>
      </c>
      <c r="J464" t="s">
        <v>161</v>
      </c>
      <c r="K464" s="185">
        <v>29150</v>
      </c>
      <c r="L464" s="191">
        <v>44886.393391203703</v>
      </c>
    </row>
    <row r="465" spans="1:12" x14ac:dyDescent="0.3">
      <c r="A465" s="186">
        <v>31557</v>
      </c>
      <c r="B465" s="186" t="s">
        <v>227</v>
      </c>
      <c r="C465" s="186" t="s">
        <v>9419</v>
      </c>
      <c r="D465" t="s">
        <v>1387</v>
      </c>
      <c r="E465" s="186">
        <v>23381163</v>
      </c>
      <c r="F465" t="s">
        <v>1388</v>
      </c>
      <c r="G465" t="s">
        <v>87</v>
      </c>
      <c r="H465" t="s">
        <v>9419</v>
      </c>
      <c r="I465" s="186">
        <v>3</v>
      </c>
      <c r="J465" t="s">
        <v>228</v>
      </c>
      <c r="K465" s="185">
        <v>31794.080000000002</v>
      </c>
      <c r="L465" s="191">
        <v>44770.594930555555</v>
      </c>
    </row>
    <row r="466" spans="1:12" x14ac:dyDescent="0.3">
      <c r="A466" s="186">
        <v>21174</v>
      </c>
      <c r="B466" s="186">
        <v>0</v>
      </c>
      <c r="C466" s="186" t="s">
        <v>9420</v>
      </c>
      <c r="D466" t="s">
        <v>1387</v>
      </c>
      <c r="E466" s="186">
        <v>75911438</v>
      </c>
      <c r="F466" t="s">
        <v>1388</v>
      </c>
      <c r="G466" t="s">
        <v>87</v>
      </c>
      <c r="H466" t="s">
        <v>9420</v>
      </c>
      <c r="I466" s="186">
        <v>3</v>
      </c>
      <c r="J466" t="s">
        <v>100</v>
      </c>
      <c r="K466" s="185">
        <v>315000</v>
      </c>
      <c r="L466" s="191">
        <v>44981.391469907408</v>
      </c>
    </row>
    <row r="467" spans="1:12" x14ac:dyDescent="0.3">
      <c r="A467" s="186">
        <v>31343</v>
      </c>
      <c r="B467" s="186" t="s">
        <v>1448</v>
      </c>
      <c r="C467" s="186" t="s">
        <v>9421</v>
      </c>
      <c r="D467" t="s">
        <v>1387</v>
      </c>
      <c r="E467" s="186">
        <v>17256140</v>
      </c>
      <c r="F467" t="s">
        <v>1388</v>
      </c>
      <c r="G467" t="s">
        <v>87</v>
      </c>
      <c r="H467" t="s">
        <v>9421</v>
      </c>
      <c r="I467" s="186">
        <v>3</v>
      </c>
      <c r="J467" t="s">
        <v>1449</v>
      </c>
      <c r="K467" s="185">
        <v>22130.41</v>
      </c>
      <c r="L467" s="191">
        <v>44711.688009259262</v>
      </c>
    </row>
    <row r="468" spans="1:12" x14ac:dyDescent="0.3">
      <c r="A468" s="186">
        <v>31779</v>
      </c>
      <c r="B468" s="186">
        <v>-1</v>
      </c>
      <c r="C468" s="186" t="s">
        <v>9422</v>
      </c>
      <c r="D468" t="s">
        <v>1387</v>
      </c>
      <c r="E468" s="186">
        <v>7368719690</v>
      </c>
      <c r="F468" t="s">
        <v>1388</v>
      </c>
      <c r="G468" t="s">
        <v>87</v>
      </c>
      <c r="H468" t="s">
        <v>9422</v>
      </c>
      <c r="I468" s="186">
        <v>3</v>
      </c>
      <c r="J468" t="s">
        <v>174</v>
      </c>
      <c r="K468" s="185">
        <v>14291.8</v>
      </c>
      <c r="L468" s="191">
        <v>44838.441817129627</v>
      </c>
    </row>
    <row r="469" spans="1:12" x14ac:dyDescent="0.3">
      <c r="A469" s="186">
        <v>2595</v>
      </c>
      <c r="B469" s="186">
        <v>0</v>
      </c>
      <c r="C469" s="186" t="s">
        <v>9423</v>
      </c>
      <c r="D469" t="s">
        <v>1387</v>
      </c>
      <c r="E469" s="186">
        <v>10718126</v>
      </c>
      <c r="F469" t="s">
        <v>1388</v>
      </c>
      <c r="G469" t="s">
        <v>87</v>
      </c>
      <c r="H469" t="s">
        <v>9423</v>
      </c>
      <c r="I469" s="186">
        <v>3</v>
      </c>
      <c r="J469" t="s">
        <v>100</v>
      </c>
      <c r="K469" s="185">
        <v>44000</v>
      </c>
      <c r="L469" s="191">
        <v>44789.702245370368</v>
      </c>
    </row>
    <row r="470" spans="1:12" x14ac:dyDescent="0.3">
      <c r="A470" s="186">
        <v>2635</v>
      </c>
      <c r="B470" s="186">
        <v>10</v>
      </c>
      <c r="C470" s="186" t="s">
        <v>9424</v>
      </c>
      <c r="D470" t="s">
        <v>1387</v>
      </c>
      <c r="E470" s="186">
        <v>17162983</v>
      </c>
      <c r="F470" t="s">
        <v>1388</v>
      </c>
      <c r="G470" t="s">
        <v>87</v>
      </c>
      <c r="H470" t="s">
        <v>9424</v>
      </c>
      <c r="I470" s="186">
        <v>3</v>
      </c>
      <c r="J470" t="s">
        <v>133</v>
      </c>
      <c r="K470" s="185">
        <v>700</v>
      </c>
      <c r="L470" s="191">
        <v>44816.403043981481</v>
      </c>
    </row>
    <row r="471" spans="1:12" x14ac:dyDescent="0.3">
      <c r="A471" s="186">
        <v>2696</v>
      </c>
      <c r="B471" s="186">
        <v>-1</v>
      </c>
      <c r="C471" s="186" t="s">
        <v>9425</v>
      </c>
      <c r="D471" t="s">
        <v>1387</v>
      </c>
      <c r="E471" s="186">
        <v>35050595</v>
      </c>
      <c r="F471" t="s">
        <v>1388</v>
      </c>
      <c r="G471" t="s">
        <v>87</v>
      </c>
      <c r="H471" t="s">
        <v>9425</v>
      </c>
      <c r="I471" s="186">
        <v>3</v>
      </c>
      <c r="J471" t="s">
        <v>174</v>
      </c>
      <c r="K471" s="185">
        <v>64000</v>
      </c>
      <c r="L471" s="191">
        <v>44855.439050925925</v>
      </c>
    </row>
    <row r="472" spans="1:12" x14ac:dyDescent="0.3">
      <c r="A472" s="186">
        <v>4511</v>
      </c>
      <c r="B472" s="186">
        <v>30</v>
      </c>
      <c r="C472" s="186" t="s">
        <v>9426</v>
      </c>
      <c r="D472" t="s">
        <v>1387</v>
      </c>
      <c r="E472" s="186">
        <v>20346524</v>
      </c>
      <c r="F472" t="s">
        <v>1388</v>
      </c>
      <c r="G472" t="s">
        <v>87</v>
      </c>
      <c r="H472" t="s">
        <v>9426</v>
      </c>
      <c r="I472" s="186">
        <v>3</v>
      </c>
      <c r="J472" t="s">
        <v>103</v>
      </c>
      <c r="K472" s="185">
        <v>156000</v>
      </c>
      <c r="L472" s="191">
        <v>44991.657233796293</v>
      </c>
    </row>
    <row r="473" spans="1:12" x14ac:dyDescent="0.3">
      <c r="A473" s="186">
        <v>2596</v>
      </c>
      <c r="B473" s="186">
        <v>0</v>
      </c>
      <c r="C473" s="186" t="s">
        <v>9427</v>
      </c>
      <c r="D473" t="s">
        <v>1387</v>
      </c>
      <c r="E473" s="186">
        <v>30558160</v>
      </c>
      <c r="F473" t="s">
        <v>1388</v>
      </c>
      <c r="G473" t="s">
        <v>87</v>
      </c>
      <c r="H473" t="s">
        <v>9427</v>
      </c>
      <c r="I473" s="186">
        <v>9</v>
      </c>
      <c r="J473" t="s">
        <v>100</v>
      </c>
      <c r="K473" s="185">
        <v>140000</v>
      </c>
      <c r="L473" s="191">
        <v>44790.399861111109</v>
      </c>
    </row>
    <row r="474" spans="1:12" x14ac:dyDescent="0.3">
      <c r="A474" s="186">
        <v>31660</v>
      </c>
      <c r="B474" s="186">
        <v>30</v>
      </c>
      <c r="C474" s="186" t="s">
        <v>9428</v>
      </c>
      <c r="D474" t="s">
        <v>1387</v>
      </c>
      <c r="E474" s="186">
        <v>8056030</v>
      </c>
      <c r="F474" t="s">
        <v>1388</v>
      </c>
      <c r="G474" t="s">
        <v>87</v>
      </c>
      <c r="H474" t="s">
        <v>9428</v>
      </c>
      <c r="I474" s="186">
        <v>26</v>
      </c>
      <c r="J474" t="s">
        <v>103</v>
      </c>
      <c r="K474" s="185">
        <v>71237.490000000005</v>
      </c>
      <c r="L474" s="191">
        <v>44795.649699074071</v>
      </c>
    </row>
    <row r="475" spans="1:12" x14ac:dyDescent="0.3">
      <c r="A475" s="186">
        <v>2712</v>
      </c>
      <c r="B475" s="186">
        <v>8</v>
      </c>
      <c r="C475" s="186" t="s">
        <v>9429</v>
      </c>
      <c r="D475" t="s">
        <v>1387</v>
      </c>
      <c r="E475" s="186">
        <v>42509257</v>
      </c>
      <c r="F475" t="s">
        <v>1388</v>
      </c>
      <c r="G475" t="s">
        <v>87</v>
      </c>
      <c r="H475" t="s">
        <v>9429</v>
      </c>
      <c r="I475" s="186">
        <v>10</v>
      </c>
      <c r="J475" t="s">
        <v>1265</v>
      </c>
      <c r="K475" s="185">
        <v>16207</v>
      </c>
      <c r="L475" s="191">
        <v>44868.432916666665</v>
      </c>
    </row>
    <row r="476" spans="1:12" x14ac:dyDescent="0.3">
      <c r="A476" s="186">
        <v>2888</v>
      </c>
      <c r="B476" s="186">
        <v>0</v>
      </c>
      <c r="C476" s="186" t="s">
        <v>9430</v>
      </c>
      <c r="D476" t="s">
        <v>1387</v>
      </c>
      <c r="E476" s="186">
        <v>27965588</v>
      </c>
      <c r="F476" t="s">
        <v>1388</v>
      </c>
      <c r="G476" t="s">
        <v>87</v>
      </c>
      <c r="H476" t="s">
        <v>9430</v>
      </c>
      <c r="I476" s="186">
        <v>19</v>
      </c>
      <c r="J476" t="s">
        <v>100</v>
      </c>
      <c r="K476" s="185">
        <v>47101.3</v>
      </c>
      <c r="L476" s="191">
        <v>44936.485011574077</v>
      </c>
    </row>
    <row r="477" spans="1:12" x14ac:dyDescent="0.3">
      <c r="A477" s="186">
        <v>21092</v>
      </c>
      <c r="B477" s="186" t="s">
        <v>227</v>
      </c>
      <c r="C477" s="186" t="s">
        <v>9431</v>
      </c>
      <c r="D477" t="s">
        <v>1387</v>
      </c>
      <c r="E477" s="186">
        <v>5515245</v>
      </c>
      <c r="F477" t="s">
        <v>1388</v>
      </c>
      <c r="G477" t="s">
        <v>87</v>
      </c>
      <c r="H477" t="s">
        <v>9431</v>
      </c>
      <c r="I477" s="186">
        <v>3</v>
      </c>
      <c r="J477" t="s">
        <v>228</v>
      </c>
      <c r="K477" s="185">
        <v>18400</v>
      </c>
      <c r="L477" s="191">
        <v>44967.395104166666</v>
      </c>
    </row>
    <row r="478" spans="1:12" x14ac:dyDescent="0.3">
      <c r="A478" s="186">
        <v>2729</v>
      </c>
      <c r="B478" s="186">
        <v>-1</v>
      </c>
      <c r="C478" s="186" t="s">
        <v>9432</v>
      </c>
      <c r="D478" t="s">
        <v>1387</v>
      </c>
      <c r="E478" s="186">
        <v>35050595</v>
      </c>
      <c r="F478" t="s">
        <v>1388</v>
      </c>
      <c r="G478" t="s">
        <v>87</v>
      </c>
      <c r="H478" t="s">
        <v>9432</v>
      </c>
      <c r="I478" s="186">
        <v>3</v>
      </c>
      <c r="J478" t="s">
        <v>174</v>
      </c>
      <c r="K478" s="185">
        <v>61000</v>
      </c>
      <c r="L478" s="191">
        <v>44873.388842592591</v>
      </c>
    </row>
    <row r="479" spans="1:12" x14ac:dyDescent="0.3">
      <c r="A479" s="186">
        <v>21219</v>
      </c>
      <c r="B479" s="186" t="s">
        <v>1366</v>
      </c>
      <c r="C479" s="186" t="s">
        <v>9433</v>
      </c>
      <c r="D479" t="s">
        <v>1387</v>
      </c>
      <c r="E479" s="186">
        <v>48449901</v>
      </c>
      <c r="F479" t="s">
        <v>1388</v>
      </c>
      <c r="G479" t="s">
        <v>87</v>
      </c>
      <c r="H479" t="s">
        <v>9433</v>
      </c>
      <c r="I479" s="186">
        <v>3</v>
      </c>
      <c r="J479" t="s">
        <v>1367</v>
      </c>
      <c r="K479">
        <v>18400</v>
      </c>
      <c r="L479" s="191">
        <v>44987.440486111111</v>
      </c>
    </row>
    <row r="480" spans="1:12" x14ac:dyDescent="0.3">
      <c r="A480" s="186">
        <v>31956</v>
      </c>
      <c r="B480" s="186" t="s">
        <v>222</v>
      </c>
      <c r="C480" s="186" t="s">
        <v>9434</v>
      </c>
      <c r="D480" t="s">
        <v>1387</v>
      </c>
      <c r="E480" s="186">
        <v>15063096</v>
      </c>
      <c r="F480" t="s">
        <v>1388</v>
      </c>
      <c r="G480" t="s">
        <v>87</v>
      </c>
      <c r="H480" t="s">
        <v>9434</v>
      </c>
      <c r="I480" s="186">
        <v>3</v>
      </c>
      <c r="J480" t="s">
        <v>223</v>
      </c>
      <c r="K480" s="185">
        <v>303267.51</v>
      </c>
      <c r="L480" s="191">
        <v>44888.466770833336</v>
      </c>
    </row>
    <row r="481" spans="1:12" x14ac:dyDescent="0.3">
      <c r="A481" s="186">
        <v>2771</v>
      </c>
      <c r="B481" s="186">
        <v>0</v>
      </c>
      <c r="C481" s="186" t="s">
        <v>9435</v>
      </c>
      <c r="D481" t="s">
        <v>1387</v>
      </c>
      <c r="E481" s="186">
        <v>74608673653</v>
      </c>
      <c r="F481" t="s">
        <v>1388</v>
      </c>
      <c r="G481" t="s">
        <v>87</v>
      </c>
      <c r="H481" t="s">
        <v>9435</v>
      </c>
      <c r="I481" s="186">
        <v>3</v>
      </c>
      <c r="J481" t="s">
        <v>100</v>
      </c>
      <c r="K481" s="185">
        <v>610000</v>
      </c>
      <c r="L481" s="191">
        <v>44894.489490740743</v>
      </c>
    </row>
    <row r="482" spans="1:12" x14ac:dyDescent="0.3">
      <c r="A482" s="186">
        <v>31442</v>
      </c>
      <c r="B482" s="186">
        <v>0</v>
      </c>
      <c r="C482" s="186" t="s">
        <v>9436</v>
      </c>
      <c r="D482" t="s">
        <v>1387</v>
      </c>
      <c r="E482" s="186">
        <v>17467409</v>
      </c>
      <c r="F482" t="s">
        <v>1388</v>
      </c>
      <c r="G482" t="s">
        <v>87</v>
      </c>
      <c r="H482" t="s">
        <v>9436</v>
      </c>
      <c r="I482" s="186">
        <v>10</v>
      </c>
      <c r="J482" t="s">
        <v>100</v>
      </c>
      <c r="K482" s="185">
        <v>37378.75</v>
      </c>
      <c r="L482" s="191">
        <v>44742.644305555557</v>
      </c>
    </row>
    <row r="483" spans="1:12" x14ac:dyDescent="0.3">
      <c r="A483" s="186">
        <v>2533</v>
      </c>
      <c r="B483" s="186">
        <v>0</v>
      </c>
      <c r="C483" s="186" t="s">
        <v>9437</v>
      </c>
      <c r="D483" t="s">
        <v>1387</v>
      </c>
      <c r="E483" s="186">
        <v>35833933</v>
      </c>
      <c r="F483" t="s">
        <v>1388</v>
      </c>
      <c r="G483" t="s">
        <v>87</v>
      </c>
      <c r="H483" t="s">
        <v>9437</v>
      </c>
      <c r="I483" s="186">
        <v>3</v>
      </c>
      <c r="J483" t="s">
        <v>100</v>
      </c>
      <c r="K483" s="185">
        <v>310000</v>
      </c>
      <c r="L483" s="191">
        <v>44747.565995370373</v>
      </c>
    </row>
    <row r="484" spans="1:12" x14ac:dyDescent="0.3">
      <c r="A484" s="186">
        <v>2612</v>
      </c>
      <c r="B484" s="186">
        <v>0</v>
      </c>
      <c r="C484" s="186" t="s">
        <v>9438</v>
      </c>
      <c r="D484" t="s">
        <v>1387</v>
      </c>
      <c r="E484" s="186">
        <v>20868650900</v>
      </c>
      <c r="F484" t="s">
        <v>1388</v>
      </c>
      <c r="G484" t="s">
        <v>87</v>
      </c>
      <c r="H484" t="s">
        <v>9438</v>
      </c>
      <c r="I484" s="186">
        <v>9</v>
      </c>
      <c r="J484" t="s">
        <v>100</v>
      </c>
      <c r="K484" s="185">
        <v>90000</v>
      </c>
      <c r="L484" s="191">
        <v>44798.342986111114</v>
      </c>
    </row>
    <row r="485" spans="1:12" x14ac:dyDescent="0.3">
      <c r="A485" s="186">
        <v>31954</v>
      </c>
      <c r="B485" s="186" t="s">
        <v>227</v>
      </c>
      <c r="C485" s="186" t="s">
        <v>9439</v>
      </c>
      <c r="D485" t="s">
        <v>1387</v>
      </c>
      <c r="E485" s="186">
        <v>30822139</v>
      </c>
      <c r="F485" t="s">
        <v>1388</v>
      </c>
      <c r="G485" t="s">
        <v>87</v>
      </c>
      <c r="H485" t="s">
        <v>9439</v>
      </c>
      <c r="I485" s="186">
        <v>3</v>
      </c>
      <c r="J485" t="s">
        <v>228</v>
      </c>
      <c r="K485" s="185">
        <v>50527.88</v>
      </c>
      <c r="L485" s="191">
        <v>44888.407418981478</v>
      </c>
    </row>
    <row r="486" spans="1:12" x14ac:dyDescent="0.3">
      <c r="A486" s="186">
        <v>31999</v>
      </c>
      <c r="B486" s="186" t="s">
        <v>222</v>
      </c>
      <c r="C486" s="186" t="s">
        <v>9440</v>
      </c>
      <c r="D486" t="s">
        <v>1387</v>
      </c>
      <c r="E486" s="186">
        <v>34359912</v>
      </c>
      <c r="F486" t="s">
        <v>1388</v>
      </c>
      <c r="G486" t="s">
        <v>87</v>
      </c>
      <c r="H486" t="s">
        <v>9440</v>
      </c>
      <c r="I486" s="186">
        <v>38</v>
      </c>
      <c r="J486" t="s">
        <v>223</v>
      </c>
      <c r="K486" s="185">
        <v>67600</v>
      </c>
      <c r="L486" s="191">
        <v>44901.670868055553</v>
      </c>
    </row>
    <row r="487" spans="1:12" x14ac:dyDescent="0.3">
      <c r="A487" s="186">
        <v>31434</v>
      </c>
      <c r="B487" s="186">
        <v>21</v>
      </c>
      <c r="C487" s="186" t="s">
        <v>9441</v>
      </c>
      <c r="D487" t="s">
        <v>1387</v>
      </c>
      <c r="E487" s="186">
        <v>61082988</v>
      </c>
      <c r="F487" t="s">
        <v>1388</v>
      </c>
      <c r="G487" t="s">
        <v>87</v>
      </c>
      <c r="H487" t="s">
        <v>9441</v>
      </c>
      <c r="I487" s="186">
        <v>24</v>
      </c>
      <c r="J487" t="s">
        <v>137</v>
      </c>
      <c r="K487" s="185">
        <v>56514.43</v>
      </c>
      <c r="L487" s="191">
        <v>44741.667268518519</v>
      </c>
    </row>
    <row r="488" spans="1:12" x14ac:dyDescent="0.3">
      <c r="A488" s="186">
        <v>32010</v>
      </c>
      <c r="B488" s="186">
        <v>30</v>
      </c>
      <c r="C488" s="186" t="s">
        <v>9442</v>
      </c>
      <c r="D488" t="s">
        <v>1387</v>
      </c>
      <c r="E488" s="186">
        <v>36178464</v>
      </c>
      <c r="F488" t="s">
        <v>1388</v>
      </c>
      <c r="G488" t="s">
        <v>87</v>
      </c>
      <c r="H488" t="s">
        <v>9442</v>
      </c>
      <c r="I488" s="186">
        <v>37</v>
      </c>
      <c r="J488" t="s">
        <v>103</v>
      </c>
      <c r="K488" s="185">
        <v>17075</v>
      </c>
      <c r="L488" s="191">
        <v>44903.629953703705</v>
      </c>
    </row>
    <row r="489" spans="1:12" x14ac:dyDescent="0.3">
      <c r="A489" s="186">
        <v>31522</v>
      </c>
      <c r="B489" s="186">
        <v>10</v>
      </c>
      <c r="C489" s="186" t="s">
        <v>9443</v>
      </c>
      <c r="D489" t="s">
        <v>1387</v>
      </c>
      <c r="E489" s="186">
        <v>29206971</v>
      </c>
      <c r="F489" t="s">
        <v>1388</v>
      </c>
      <c r="G489" t="s">
        <v>87</v>
      </c>
      <c r="H489" t="s">
        <v>9443</v>
      </c>
      <c r="I489" s="186">
        <v>10</v>
      </c>
      <c r="J489" t="s">
        <v>133</v>
      </c>
      <c r="K489" s="185">
        <v>7500</v>
      </c>
      <c r="L489" s="191">
        <v>44763.455763888887</v>
      </c>
    </row>
    <row r="490" spans="1:12" x14ac:dyDescent="0.3">
      <c r="A490" s="186">
        <v>31847</v>
      </c>
      <c r="B490" s="186" t="s">
        <v>1455</v>
      </c>
      <c r="C490" s="186" t="s">
        <v>9444</v>
      </c>
      <c r="D490" t="s">
        <v>1387</v>
      </c>
      <c r="E490" s="186">
        <v>27426196</v>
      </c>
      <c r="F490" t="s">
        <v>1388</v>
      </c>
      <c r="G490" t="s">
        <v>87</v>
      </c>
      <c r="H490" t="s">
        <v>9444</v>
      </c>
      <c r="I490" s="186">
        <v>18</v>
      </c>
      <c r="J490" t="s">
        <v>1456</v>
      </c>
      <c r="K490" s="185">
        <v>32013.759999999998</v>
      </c>
      <c r="L490" s="191">
        <v>44859.565000000002</v>
      </c>
    </row>
    <row r="491" spans="1:12" x14ac:dyDescent="0.3">
      <c r="A491" s="186">
        <v>2798</v>
      </c>
      <c r="B491" s="186" t="s">
        <v>1361</v>
      </c>
      <c r="C491" s="186" t="s">
        <v>9445</v>
      </c>
      <c r="D491" t="s">
        <v>1387</v>
      </c>
      <c r="E491" s="186">
        <v>48546859</v>
      </c>
      <c r="F491" t="s">
        <v>1388</v>
      </c>
      <c r="G491" t="s">
        <v>87</v>
      </c>
      <c r="H491" t="s">
        <v>9445</v>
      </c>
      <c r="I491" s="186">
        <v>10</v>
      </c>
      <c r="J491" t="s">
        <v>1362</v>
      </c>
      <c r="K491" s="185">
        <v>22400.01</v>
      </c>
      <c r="L491" s="191">
        <v>44911.620127314818</v>
      </c>
    </row>
    <row r="492" spans="1:12" x14ac:dyDescent="0.3">
      <c r="A492" s="186">
        <v>31400</v>
      </c>
      <c r="B492" s="186">
        <v>0</v>
      </c>
      <c r="C492" s="186" t="s">
        <v>9446</v>
      </c>
      <c r="D492" t="s">
        <v>1387</v>
      </c>
      <c r="E492" s="186">
        <v>10931472</v>
      </c>
      <c r="F492" t="s">
        <v>1388</v>
      </c>
      <c r="G492" t="s">
        <v>87</v>
      </c>
      <c r="H492" t="s">
        <v>9446</v>
      </c>
      <c r="I492" s="186">
        <v>2</v>
      </c>
      <c r="J492" t="s">
        <v>100</v>
      </c>
      <c r="K492" s="185">
        <v>95000</v>
      </c>
      <c r="L492" s="191">
        <v>44732.377557870372</v>
      </c>
    </row>
    <row r="493" spans="1:12" x14ac:dyDescent="0.3">
      <c r="A493" s="186">
        <v>31421</v>
      </c>
      <c r="B493" s="186">
        <v>0</v>
      </c>
      <c r="C493" s="186" t="s">
        <v>9447</v>
      </c>
      <c r="D493" t="s">
        <v>1387</v>
      </c>
      <c r="E493" s="186">
        <v>42132847</v>
      </c>
      <c r="F493" t="s">
        <v>1388</v>
      </c>
      <c r="G493" t="s">
        <v>87</v>
      </c>
      <c r="H493" t="s">
        <v>9447</v>
      </c>
      <c r="I493" s="186">
        <v>3</v>
      </c>
      <c r="J493" t="s">
        <v>100</v>
      </c>
      <c r="K493" s="185">
        <v>34000</v>
      </c>
      <c r="L493" s="191">
        <v>44736.428356481483</v>
      </c>
    </row>
    <row r="494" spans="1:12" x14ac:dyDescent="0.3">
      <c r="A494" s="186">
        <v>31650</v>
      </c>
      <c r="B494" s="186">
        <v>-1</v>
      </c>
      <c r="C494" s="186" t="s">
        <v>9448</v>
      </c>
      <c r="D494" t="s">
        <v>1387</v>
      </c>
      <c r="E494" s="186">
        <v>66275306</v>
      </c>
      <c r="F494" t="s">
        <v>1388</v>
      </c>
      <c r="G494" t="s">
        <v>87</v>
      </c>
      <c r="H494" t="s">
        <v>9448</v>
      </c>
      <c r="I494" s="186">
        <v>3</v>
      </c>
      <c r="J494" t="s">
        <v>174</v>
      </c>
      <c r="K494" s="185">
        <v>41200</v>
      </c>
      <c r="L494" s="191">
        <v>44791.682118055556</v>
      </c>
    </row>
    <row r="495" spans="1:12" x14ac:dyDescent="0.3">
      <c r="A495" s="186">
        <v>31740</v>
      </c>
      <c r="B495" s="186">
        <v>28</v>
      </c>
      <c r="C495" s="186" t="s">
        <v>9449</v>
      </c>
      <c r="D495" t="s">
        <v>1387</v>
      </c>
      <c r="E495" s="186">
        <v>36146575</v>
      </c>
      <c r="F495" t="s">
        <v>1388</v>
      </c>
      <c r="G495" t="s">
        <v>87</v>
      </c>
      <c r="H495" t="s">
        <v>9449</v>
      </c>
      <c r="I495" s="186">
        <v>24</v>
      </c>
      <c r="J495" t="s">
        <v>130</v>
      </c>
      <c r="K495" s="185">
        <v>2134.35</v>
      </c>
      <c r="L495" s="191">
        <v>44823.507210648146</v>
      </c>
    </row>
    <row r="496" spans="1:12" x14ac:dyDescent="0.3">
      <c r="A496" s="186">
        <v>32031</v>
      </c>
      <c r="B496" s="186">
        <v>-1</v>
      </c>
      <c r="C496" s="186" t="s">
        <v>9450</v>
      </c>
      <c r="D496" t="s">
        <v>1387</v>
      </c>
      <c r="E496" s="186">
        <v>5701136</v>
      </c>
      <c r="F496" t="s">
        <v>1388</v>
      </c>
      <c r="G496" t="s">
        <v>87</v>
      </c>
      <c r="H496" t="s">
        <v>9450</v>
      </c>
      <c r="I496" s="186">
        <v>18</v>
      </c>
      <c r="J496" t="s">
        <v>174</v>
      </c>
      <c r="K496" s="185">
        <v>74904.37</v>
      </c>
      <c r="L496" s="191">
        <v>44909.536446759259</v>
      </c>
    </row>
    <row r="497" spans="1:12" x14ac:dyDescent="0.3">
      <c r="A497" s="186">
        <v>2788</v>
      </c>
      <c r="B497" s="186">
        <v>0</v>
      </c>
      <c r="C497" s="186" t="s">
        <v>9451</v>
      </c>
      <c r="D497" t="s">
        <v>1387</v>
      </c>
      <c r="E497" s="186">
        <v>37262942</v>
      </c>
      <c r="F497" t="s">
        <v>1388</v>
      </c>
      <c r="G497" t="s">
        <v>87</v>
      </c>
      <c r="H497" t="s">
        <v>9451</v>
      </c>
      <c r="I497" s="186">
        <v>10</v>
      </c>
      <c r="J497" t="s">
        <v>100</v>
      </c>
      <c r="K497" s="185">
        <v>28063.82</v>
      </c>
      <c r="L497" s="191">
        <v>44909.618819444448</v>
      </c>
    </row>
    <row r="498" spans="1:12" x14ac:dyDescent="0.3">
      <c r="A498" s="186">
        <v>31419</v>
      </c>
      <c r="B498" s="186" t="s">
        <v>227</v>
      </c>
      <c r="C498" s="186" t="s">
        <v>9452</v>
      </c>
      <c r="D498" t="s">
        <v>1387</v>
      </c>
      <c r="E498" s="186">
        <v>4489345666</v>
      </c>
      <c r="F498" t="s">
        <v>1388</v>
      </c>
      <c r="G498" t="s">
        <v>87</v>
      </c>
      <c r="H498" t="s">
        <v>9452</v>
      </c>
      <c r="I498" s="186">
        <v>3</v>
      </c>
      <c r="J498" t="s">
        <v>228</v>
      </c>
      <c r="K498" s="185">
        <v>157820.16</v>
      </c>
      <c r="L498" s="191">
        <v>44735.697314814817</v>
      </c>
    </row>
    <row r="499" spans="1:12" x14ac:dyDescent="0.3">
      <c r="A499" s="186">
        <v>31428</v>
      </c>
      <c r="B499" s="186">
        <v>0</v>
      </c>
      <c r="C499" s="186" t="s">
        <v>9453</v>
      </c>
      <c r="D499" t="s">
        <v>1387</v>
      </c>
      <c r="E499" s="186">
        <v>78705487820</v>
      </c>
      <c r="F499" t="s">
        <v>1388</v>
      </c>
      <c r="G499" t="s">
        <v>87</v>
      </c>
      <c r="H499" t="s">
        <v>9453</v>
      </c>
      <c r="I499" s="186">
        <v>10</v>
      </c>
      <c r="J499" t="s">
        <v>100</v>
      </c>
      <c r="K499" s="185">
        <v>47397.38</v>
      </c>
      <c r="L499" s="191">
        <v>44739.617384259262</v>
      </c>
    </row>
    <row r="500" spans="1:12" x14ac:dyDescent="0.3">
      <c r="A500" s="186">
        <v>2610</v>
      </c>
      <c r="B500" s="186">
        <v>0</v>
      </c>
      <c r="C500" s="186" t="s">
        <v>9454</v>
      </c>
      <c r="D500" t="s">
        <v>1387</v>
      </c>
      <c r="E500" s="186">
        <v>28757000</v>
      </c>
      <c r="F500" t="s">
        <v>1388</v>
      </c>
      <c r="G500" t="s">
        <v>87</v>
      </c>
      <c r="H500" t="s">
        <v>9454</v>
      </c>
      <c r="I500" s="186">
        <v>3</v>
      </c>
      <c r="J500" t="s">
        <v>100</v>
      </c>
      <c r="K500" s="185">
        <v>430000</v>
      </c>
      <c r="L500" s="191">
        <v>44797.385451388887</v>
      </c>
    </row>
    <row r="501" spans="1:12" x14ac:dyDescent="0.3">
      <c r="A501" s="186">
        <v>31741</v>
      </c>
      <c r="B501" s="186">
        <v>28</v>
      </c>
      <c r="C501" s="186" t="s">
        <v>9455</v>
      </c>
      <c r="D501" t="s">
        <v>1387</v>
      </c>
      <c r="E501" s="186">
        <v>36146575</v>
      </c>
      <c r="F501" t="s">
        <v>1388</v>
      </c>
      <c r="G501" t="s">
        <v>87</v>
      </c>
      <c r="H501" t="s">
        <v>9455</v>
      </c>
      <c r="I501" s="186">
        <v>24</v>
      </c>
      <c r="J501" t="s">
        <v>130</v>
      </c>
      <c r="K501" s="185">
        <v>4883.25</v>
      </c>
      <c r="L501" s="191">
        <v>44823.519548611112</v>
      </c>
    </row>
    <row r="502" spans="1:12" x14ac:dyDescent="0.3">
      <c r="A502" s="186">
        <v>31763</v>
      </c>
      <c r="B502" s="186">
        <v>-1</v>
      </c>
      <c r="C502" s="186" t="s">
        <v>9456</v>
      </c>
      <c r="D502" t="s">
        <v>1387</v>
      </c>
      <c r="E502" s="186">
        <v>8992198</v>
      </c>
      <c r="F502" t="s">
        <v>1388</v>
      </c>
      <c r="G502" t="s">
        <v>87</v>
      </c>
      <c r="H502" t="s">
        <v>9456</v>
      </c>
      <c r="I502" s="186">
        <v>18</v>
      </c>
      <c r="J502" t="s">
        <v>174</v>
      </c>
      <c r="K502" s="185">
        <v>13152.43</v>
      </c>
      <c r="L502" s="191">
        <v>44832.675717592596</v>
      </c>
    </row>
    <row r="503" spans="1:12" x14ac:dyDescent="0.3">
      <c r="A503" s="186">
        <v>2835</v>
      </c>
      <c r="B503" s="192" t="s">
        <v>227</v>
      </c>
      <c r="C503" s="186" t="s">
        <v>9457</v>
      </c>
      <c r="D503" t="s">
        <v>1387</v>
      </c>
      <c r="E503" s="186">
        <v>242184</v>
      </c>
      <c r="F503" t="s">
        <v>1388</v>
      </c>
      <c r="G503" t="s">
        <v>87</v>
      </c>
      <c r="H503" t="s">
        <v>9457</v>
      </c>
      <c r="I503" s="186">
        <v>3</v>
      </c>
      <c r="J503" t="s">
        <v>228</v>
      </c>
      <c r="K503" s="185">
        <v>220067.81</v>
      </c>
      <c r="L503" s="191">
        <v>44922.695659722223</v>
      </c>
    </row>
    <row r="504" spans="1:12" x14ac:dyDescent="0.3">
      <c r="A504" s="186">
        <v>2537</v>
      </c>
      <c r="B504" s="186">
        <v>0</v>
      </c>
      <c r="C504" s="186" t="s">
        <v>9458</v>
      </c>
      <c r="D504" t="s">
        <v>1387</v>
      </c>
      <c r="E504" s="186">
        <v>37262942</v>
      </c>
      <c r="F504" t="s">
        <v>1388</v>
      </c>
      <c r="G504" t="s">
        <v>87</v>
      </c>
      <c r="H504" t="s">
        <v>9458</v>
      </c>
      <c r="I504" s="186">
        <v>10</v>
      </c>
      <c r="J504" t="s">
        <v>100</v>
      </c>
      <c r="K504" s="185">
        <v>20136.53</v>
      </c>
      <c r="L504" s="191">
        <v>44748.48609953704</v>
      </c>
    </row>
    <row r="505" spans="1:12" x14ac:dyDescent="0.3">
      <c r="A505" s="186">
        <v>2600</v>
      </c>
      <c r="B505" s="186">
        <v>0</v>
      </c>
      <c r="C505" s="186" t="s">
        <v>9459</v>
      </c>
      <c r="D505" t="s">
        <v>1387</v>
      </c>
      <c r="E505" s="186">
        <v>37082119</v>
      </c>
      <c r="F505" t="s">
        <v>1388</v>
      </c>
      <c r="G505" t="s">
        <v>87</v>
      </c>
      <c r="H505" t="s">
        <v>9459</v>
      </c>
      <c r="I505" s="186">
        <v>9</v>
      </c>
      <c r="J505" t="s">
        <v>100</v>
      </c>
      <c r="K505" s="185">
        <v>380000</v>
      </c>
      <c r="L505" s="191">
        <v>44791.492291666669</v>
      </c>
    </row>
    <row r="506" spans="1:12" x14ac:dyDescent="0.3">
      <c r="A506" s="186">
        <v>2615</v>
      </c>
      <c r="B506" s="186">
        <v>60</v>
      </c>
      <c r="C506" s="186" t="s">
        <v>9460</v>
      </c>
      <c r="D506" t="s">
        <v>1394</v>
      </c>
      <c r="E506" s="186">
        <v>33592510</v>
      </c>
      <c r="G506" t="s">
        <v>87</v>
      </c>
      <c r="H506" t="s">
        <v>9460</v>
      </c>
      <c r="I506" s="186">
        <v>3</v>
      </c>
      <c r="J506" t="s">
        <v>97</v>
      </c>
      <c r="K506" s="185">
        <v>0</v>
      </c>
      <c r="L506" s="191">
        <v>44799.627800925926</v>
      </c>
    </row>
    <row r="507" spans="1:12" x14ac:dyDescent="0.3">
      <c r="A507" s="186">
        <v>2870</v>
      </c>
      <c r="B507" s="186">
        <v>30</v>
      </c>
      <c r="C507" s="186" t="s">
        <v>9461</v>
      </c>
      <c r="D507" t="s">
        <v>244</v>
      </c>
      <c r="E507" s="186">
        <v>32243429</v>
      </c>
      <c r="G507" t="s">
        <v>87</v>
      </c>
      <c r="H507" t="s">
        <v>9461</v>
      </c>
      <c r="I507" s="186">
        <v>24</v>
      </c>
      <c r="J507" t="s">
        <v>103</v>
      </c>
      <c r="K507" s="185">
        <v>450000</v>
      </c>
      <c r="L507" s="191">
        <v>44931.39271990741</v>
      </c>
    </row>
    <row r="508" spans="1:12" x14ac:dyDescent="0.3">
      <c r="A508" s="186">
        <v>2889</v>
      </c>
      <c r="B508" s="186">
        <v>0</v>
      </c>
      <c r="C508" s="186" t="s">
        <v>9462</v>
      </c>
      <c r="D508" t="s">
        <v>1387</v>
      </c>
      <c r="E508" s="186">
        <v>27965588</v>
      </c>
      <c r="F508" t="s">
        <v>1388</v>
      </c>
      <c r="G508" t="s">
        <v>87</v>
      </c>
      <c r="H508" t="s">
        <v>9462</v>
      </c>
      <c r="I508" s="186">
        <v>19</v>
      </c>
      <c r="J508" t="s">
        <v>100</v>
      </c>
      <c r="K508" s="185">
        <v>45601.3</v>
      </c>
      <c r="L508" s="191">
        <v>44936.500775462962</v>
      </c>
    </row>
    <row r="509" spans="1:12" x14ac:dyDescent="0.3">
      <c r="A509" s="186">
        <v>31529</v>
      </c>
      <c r="B509" s="186">
        <v>0</v>
      </c>
      <c r="C509" s="186" t="s">
        <v>9463</v>
      </c>
      <c r="D509" t="s">
        <v>1387</v>
      </c>
      <c r="E509" s="186">
        <v>6355102</v>
      </c>
      <c r="F509" t="s">
        <v>1388</v>
      </c>
      <c r="G509" t="s">
        <v>87</v>
      </c>
      <c r="H509" t="s">
        <v>9463</v>
      </c>
      <c r="I509" s="186">
        <v>3</v>
      </c>
      <c r="J509" t="s">
        <v>100</v>
      </c>
      <c r="K509" s="185">
        <v>180000</v>
      </c>
      <c r="L509" s="191">
        <v>44764.356030092589</v>
      </c>
    </row>
    <row r="510" spans="1:12" x14ac:dyDescent="0.3">
      <c r="A510" s="186">
        <v>31813</v>
      </c>
      <c r="B510" s="186" t="s">
        <v>229</v>
      </c>
      <c r="C510" s="186" t="s">
        <v>9464</v>
      </c>
      <c r="D510" t="s">
        <v>1387</v>
      </c>
      <c r="E510" s="186">
        <v>242184</v>
      </c>
      <c r="F510" t="s">
        <v>1388</v>
      </c>
      <c r="G510" t="s">
        <v>87</v>
      </c>
      <c r="H510" t="s">
        <v>9464</v>
      </c>
      <c r="I510" s="186">
        <v>18</v>
      </c>
      <c r="J510" t="s">
        <v>230</v>
      </c>
      <c r="K510" s="185">
        <v>240629.35</v>
      </c>
      <c r="L510" s="191">
        <v>44846.335196759261</v>
      </c>
    </row>
    <row r="511" spans="1:12" x14ac:dyDescent="0.3">
      <c r="A511" s="186">
        <v>2893</v>
      </c>
      <c r="B511" s="186">
        <v>0</v>
      </c>
      <c r="C511" s="186" t="s">
        <v>9465</v>
      </c>
      <c r="D511" t="s">
        <v>1387</v>
      </c>
      <c r="E511" s="186">
        <v>37262942</v>
      </c>
      <c r="F511" t="s">
        <v>1388</v>
      </c>
      <c r="G511" t="s">
        <v>87</v>
      </c>
      <c r="H511" t="s">
        <v>9465</v>
      </c>
      <c r="I511" s="186">
        <v>10</v>
      </c>
      <c r="J511" t="s">
        <v>100</v>
      </c>
      <c r="K511" s="185">
        <v>38695.93</v>
      </c>
      <c r="L511" s="191">
        <v>44937.36136574074</v>
      </c>
    </row>
    <row r="512" spans="1:12" x14ac:dyDescent="0.3">
      <c r="A512" s="186">
        <v>31540</v>
      </c>
      <c r="B512" s="186">
        <v>0</v>
      </c>
      <c r="C512" s="186" t="s">
        <v>9466</v>
      </c>
      <c r="D512" t="s">
        <v>1387</v>
      </c>
      <c r="E512" s="186">
        <v>10718126</v>
      </c>
      <c r="F512" t="s">
        <v>1388</v>
      </c>
      <c r="G512" t="s">
        <v>87</v>
      </c>
      <c r="H512" t="s">
        <v>9466</v>
      </c>
      <c r="I512" s="186">
        <v>3</v>
      </c>
      <c r="J512" t="s">
        <v>100</v>
      </c>
      <c r="K512" s="185">
        <v>45000</v>
      </c>
      <c r="L512" s="191">
        <v>44768.417546296296</v>
      </c>
    </row>
    <row r="513" spans="1:12" x14ac:dyDescent="0.3">
      <c r="A513" s="186">
        <v>2720</v>
      </c>
      <c r="B513" s="186">
        <v>0</v>
      </c>
      <c r="C513" s="186" t="s">
        <v>9467</v>
      </c>
      <c r="D513" t="s">
        <v>1387</v>
      </c>
      <c r="E513" s="186">
        <v>37205285</v>
      </c>
      <c r="F513" t="s">
        <v>1388</v>
      </c>
      <c r="G513" t="s">
        <v>87</v>
      </c>
      <c r="H513" t="s">
        <v>9467</v>
      </c>
      <c r="I513" s="186">
        <v>9</v>
      </c>
      <c r="J513" t="s">
        <v>100</v>
      </c>
      <c r="K513" s="185">
        <v>450000</v>
      </c>
      <c r="L513" s="191">
        <v>44868.676354166666</v>
      </c>
    </row>
    <row r="514" spans="1:12" x14ac:dyDescent="0.3">
      <c r="A514" s="186">
        <v>21583</v>
      </c>
      <c r="B514" s="186" t="s">
        <v>1460</v>
      </c>
      <c r="C514" s="186" t="s">
        <v>9468</v>
      </c>
      <c r="D514" t="s">
        <v>1387</v>
      </c>
      <c r="E514" s="186">
        <v>22212519</v>
      </c>
      <c r="F514" t="s">
        <v>1388</v>
      </c>
      <c r="G514" t="s">
        <v>87</v>
      </c>
      <c r="H514" t="s">
        <v>9468</v>
      </c>
      <c r="I514" s="186">
        <v>3</v>
      </c>
      <c r="J514" t="s">
        <v>1460</v>
      </c>
      <c r="K514" s="185">
        <v>15000</v>
      </c>
      <c r="L514" s="191">
        <v>45049.474351851852</v>
      </c>
    </row>
    <row r="515" spans="1:12" x14ac:dyDescent="0.3">
      <c r="A515" s="186">
        <v>4380</v>
      </c>
      <c r="C515" s="186" t="s">
        <v>9469</v>
      </c>
      <c r="D515" t="s">
        <v>1394</v>
      </c>
      <c r="E515" s="186">
        <v>20059618</v>
      </c>
      <c r="G515" t="s">
        <v>87</v>
      </c>
      <c r="H515" t="s">
        <v>9469</v>
      </c>
      <c r="I515" s="186">
        <v>3</v>
      </c>
      <c r="K515" s="185">
        <v>0</v>
      </c>
      <c r="L515" s="191">
        <v>44803.60974537037</v>
      </c>
    </row>
    <row r="516" spans="1:12" x14ac:dyDescent="0.3">
      <c r="A516" s="186">
        <v>21215</v>
      </c>
      <c r="B516" s="186">
        <v>-1</v>
      </c>
      <c r="C516" s="186" t="s">
        <v>9470</v>
      </c>
      <c r="D516" t="s">
        <v>1387</v>
      </c>
      <c r="E516" s="186">
        <v>24175587691</v>
      </c>
      <c r="F516" t="s">
        <v>1388</v>
      </c>
      <c r="G516" t="s">
        <v>87</v>
      </c>
      <c r="H516" t="s">
        <v>9470</v>
      </c>
      <c r="I516" s="186">
        <v>3</v>
      </c>
      <c r="J516" t="s">
        <v>174</v>
      </c>
      <c r="K516" s="185">
        <v>12000</v>
      </c>
      <c r="L516" s="191">
        <v>44986.745150462964</v>
      </c>
    </row>
    <row r="517" spans="1:12" x14ac:dyDescent="0.3">
      <c r="A517" s="186">
        <v>2519</v>
      </c>
      <c r="B517" s="186">
        <v>0</v>
      </c>
      <c r="C517" s="186" t="s">
        <v>9471</v>
      </c>
      <c r="D517" t="s">
        <v>1387</v>
      </c>
      <c r="E517" s="186">
        <v>16956443</v>
      </c>
      <c r="F517" t="s">
        <v>1388</v>
      </c>
      <c r="G517" t="s">
        <v>87</v>
      </c>
      <c r="H517" t="s">
        <v>9471</v>
      </c>
      <c r="I517" s="186">
        <v>3</v>
      </c>
      <c r="J517" t="s">
        <v>100</v>
      </c>
      <c r="K517" s="185">
        <v>66189.100000000006</v>
      </c>
      <c r="L517" s="191">
        <v>44733.439652777779</v>
      </c>
    </row>
    <row r="518" spans="1:12" x14ac:dyDescent="0.3">
      <c r="A518" s="186">
        <v>2710</v>
      </c>
      <c r="B518" s="186">
        <v>3</v>
      </c>
      <c r="C518" s="186" t="s">
        <v>9472</v>
      </c>
      <c r="D518" t="s">
        <v>1387</v>
      </c>
      <c r="E518" s="186">
        <v>61584223</v>
      </c>
      <c r="F518" t="s">
        <v>1388</v>
      </c>
      <c r="G518" t="s">
        <v>87</v>
      </c>
      <c r="H518" t="s">
        <v>9472</v>
      </c>
      <c r="I518" s="186">
        <v>3</v>
      </c>
      <c r="J518" t="s">
        <v>1347</v>
      </c>
      <c r="K518">
        <v>24945.01</v>
      </c>
      <c r="L518" s="191">
        <v>44866.466087962966</v>
      </c>
    </row>
    <row r="519" spans="1:12" x14ac:dyDescent="0.3">
      <c r="A519" s="186">
        <v>21155</v>
      </c>
      <c r="B519" s="186" t="s">
        <v>246</v>
      </c>
      <c r="C519" s="186" t="s">
        <v>9473</v>
      </c>
      <c r="D519" t="s">
        <v>1387</v>
      </c>
      <c r="E519" s="186">
        <v>35234509</v>
      </c>
      <c r="F519" t="s">
        <v>1388</v>
      </c>
      <c r="G519" t="s">
        <v>87</v>
      </c>
      <c r="H519" t="s">
        <v>9473</v>
      </c>
      <c r="I519" s="186">
        <v>24</v>
      </c>
      <c r="J519" t="s">
        <v>246</v>
      </c>
      <c r="K519" s="185">
        <v>360000</v>
      </c>
      <c r="L519" s="191">
        <v>44974.610914351855</v>
      </c>
    </row>
    <row r="520" spans="1:12" x14ac:dyDescent="0.3">
      <c r="A520" s="186">
        <v>21225</v>
      </c>
      <c r="B520" s="186">
        <v>-1</v>
      </c>
      <c r="C520" s="186" t="s">
        <v>9474</v>
      </c>
      <c r="D520" t="s">
        <v>1387</v>
      </c>
      <c r="E520" s="186">
        <v>1342562</v>
      </c>
      <c r="F520" t="s">
        <v>1388</v>
      </c>
      <c r="G520" t="s">
        <v>87</v>
      </c>
      <c r="H520" t="s">
        <v>9474</v>
      </c>
      <c r="I520" s="186">
        <v>3</v>
      </c>
      <c r="J520" t="s">
        <v>174</v>
      </c>
      <c r="K520" s="185">
        <v>13200</v>
      </c>
      <c r="L520" s="191">
        <v>44987.688668981478</v>
      </c>
    </row>
    <row r="521" spans="1:12" x14ac:dyDescent="0.3">
      <c r="A521" s="186">
        <v>21373</v>
      </c>
      <c r="B521" s="186">
        <v>21</v>
      </c>
      <c r="C521" s="186" t="s">
        <v>9475</v>
      </c>
      <c r="D521" t="s">
        <v>1387</v>
      </c>
      <c r="E521" s="186">
        <v>7605563</v>
      </c>
      <c r="F521" t="s">
        <v>1388</v>
      </c>
      <c r="G521" t="s">
        <v>87</v>
      </c>
      <c r="H521" t="s">
        <v>9475</v>
      </c>
      <c r="I521" s="186">
        <v>10</v>
      </c>
      <c r="J521" t="s">
        <v>137</v>
      </c>
      <c r="K521" s="185">
        <v>19817.39</v>
      </c>
      <c r="L521" s="191">
        <v>45013.69462962963</v>
      </c>
    </row>
    <row r="522" spans="1:12" x14ac:dyDescent="0.3">
      <c r="A522" s="186">
        <v>2629</v>
      </c>
      <c r="B522" s="186">
        <v>0</v>
      </c>
      <c r="C522" s="186" t="s">
        <v>9476</v>
      </c>
      <c r="D522" t="s">
        <v>1394</v>
      </c>
      <c r="E522" s="186">
        <v>29825598620</v>
      </c>
      <c r="G522" t="s">
        <v>87</v>
      </c>
      <c r="H522" t="s">
        <v>9476</v>
      </c>
      <c r="I522" s="186">
        <v>3</v>
      </c>
      <c r="J522" t="s">
        <v>100</v>
      </c>
      <c r="K522" s="185">
        <v>0</v>
      </c>
      <c r="L522" s="191">
        <v>44810.506979166668</v>
      </c>
    </row>
    <row r="523" spans="1:12" x14ac:dyDescent="0.3">
      <c r="A523" s="186">
        <v>2700</v>
      </c>
      <c r="B523" s="186">
        <v>0</v>
      </c>
      <c r="C523" s="186" t="s">
        <v>9477</v>
      </c>
      <c r="D523" t="s">
        <v>1387</v>
      </c>
      <c r="E523" s="186">
        <v>17696801</v>
      </c>
      <c r="F523" t="s">
        <v>1388</v>
      </c>
      <c r="G523" t="s">
        <v>87</v>
      </c>
      <c r="H523" t="s">
        <v>9477</v>
      </c>
      <c r="I523" s="186">
        <v>19</v>
      </c>
      <c r="J523" t="s">
        <v>100</v>
      </c>
      <c r="K523" s="185">
        <v>780000</v>
      </c>
      <c r="L523" s="191">
        <v>44858.448865740742</v>
      </c>
    </row>
    <row r="524" spans="1:12" x14ac:dyDescent="0.3">
      <c r="A524" s="186">
        <v>31863</v>
      </c>
      <c r="B524" s="186">
        <v>-1</v>
      </c>
      <c r="C524" s="186" t="s">
        <v>9478</v>
      </c>
      <c r="D524" t="s">
        <v>1387</v>
      </c>
      <c r="E524" s="186">
        <v>18540906</v>
      </c>
      <c r="F524" t="s">
        <v>1388</v>
      </c>
      <c r="G524" t="s">
        <v>87</v>
      </c>
      <c r="H524" t="s">
        <v>9478</v>
      </c>
      <c r="I524" s="186">
        <v>10</v>
      </c>
      <c r="J524" t="s">
        <v>174</v>
      </c>
      <c r="K524" s="185">
        <v>59632.85</v>
      </c>
      <c r="L524" s="191">
        <v>44861.435659722221</v>
      </c>
    </row>
    <row r="525" spans="1:12" x14ac:dyDescent="0.3">
      <c r="A525" s="186">
        <v>2993</v>
      </c>
      <c r="B525" s="186">
        <v>0</v>
      </c>
      <c r="C525" s="186" t="s">
        <v>9479</v>
      </c>
      <c r="D525" t="s">
        <v>1387</v>
      </c>
      <c r="E525" s="186">
        <v>47589413</v>
      </c>
      <c r="F525" t="s">
        <v>1388</v>
      </c>
      <c r="G525" t="s">
        <v>87</v>
      </c>
      <c r="H525" t="s">
        <v>9479</v>
      </c>
      <c r="I525" s="186">
        <v>18</v>
      </c>
      <c r="J525" t="s">
        <v>100</v>
      </c>
      <c r="K525" s="185">
        <v>228703.41</v>
      </c>
      <c r="L525" s="191">
        <v>44952.790023148147</v>
      </c>
    </row>
    <row r="526" spans="1:12" x14ac:dyDescent="0.3">
      <c r="A526" s="186">
        <v>2497</v>
      </c>
      <c r="B526" s="186">
        <v>0</v>
      </c>
      <c r="C526" s="186" t="s">
        <v>9480</v>
      </c>
      <c r="D526" t="s">
        <v>1387</v>
      </c>
      <c r="E526" s="186">
        <v>5042690</v>
      </c>
      <c r="F526" t="s">
        <v>1388</v>
      </c>
      <c r="G526" t="s">
        <v>87</v>
      </c>
      <c r="H526" t="s">
        <v>9480</v>
      </c>
      <c r="I526" s="186">
        <v>3</v>
      </c>
      <c r="J526" t="s">
        <v>100</v>
      </c>
      <c r="K526" s="185">
        <v>385000</v>
      </c>
      <c r="L526" s="191">
        <v>44708.671296296299</v>
      </c>
    </row>
    <row r="527" spans="1:12" x14ac:dyDescent="0.3">
      <c r="A527" s="186">
        <v>2520</v>
      </c>
      <c r="B527" s="186" t="s">
        <v>1361</v>
      </c>
      <c r="C527" s="186" t="s">
        <v>9481</v>
      </c>
      <c r="D527" t="s">
        <v>1387</v>
      </c>
      <c r="E527" s="186">
        <v>17185786</v>
      </c>
      <c r="F527" t="s">
        <v>1388</v>
      </c>
      <c r="G527" t="s">
        <v>87</v>
      </c>
      <c r="H527" t="s">
        <v>9481</v>
      </c>
      <c r="I527" s="186">
        <v>3</v>
      </c>
      <c r="J527" t="s">
        <v>1362</v>
      </c>
      <c r="K527" s="185">
        <v>11362.38</v>
      </c>
      <c r="L527" s="191">
        <v>44733.480370370373</v>
      </c>
    </row>
    <row r="528" spans="1:12" x14ac:dyDescent="0.3">
      <c r="A528" s="186">
        <v>21055</v>
      </c>
      <c r="B528" s="186">
        <v>18</v>
      </c>
      <c r="C528" s="186" t="s">
        <v>9482</v>
      </c>
      <c r="D528" t="s">
        <v>1387</v>
      </c>
      <c r="E528" s="186">
        <v>41016423</v>
      </c>
      <c r="F528" t="s">
        <v>1388</v>
      </c>
      <c r="G528" t="s">
        <v>87</v>
      </c>
      <c r="H528" t="s">
        <v>9482</v>
      </c>
      <c r="I528" s="186">
        <v>37</v>
      </c>
      <c r="J528" t="s">
        <v>112</v>
      </c>
      <c r="K528" s="185">
        <v>6000</v>
      </c>
      <c r="L528" s="191">
        <v>44964.446122685185</v>
      </c>
    </row>
    <row r="529" spans="1:12" x14ac:dyDescent="0.3">
      <c r="A529" s="186">
        <v>21098</v>
      </c>
      <c r="B529" s="186">
        <v>-1</v>
      </c>
      <c r="C529" s="186" t="s">
        <v>9483</v>
      </c>
      <c r="D529" t="s">
        <v>1402</v>
      </c>
      <c r="E529" s="186">
        <v>15643555</v>
      </c>
      <c r="G529" t="s">
        <v>87</v>
      </c>
      <c r="H529" t="s">
        <v>9483</v>
      </c>
      <c r="I529" s="186">
        <v>3</v>
      </c>
      <c r="J529" t="s">
        <v>174</v>
      </c>
      <c r="K529" s="185">
        <v>145582.9</v>
      </c>
      <c r="L529" s="191">
        <v>44970.687094907407</v>
      </c>
    </row>
    <row r="530" spans="1:12" x14ac:dyDescent="0.3">
      <c r="A530" s="186">
        <v>21111</v>
      </c>
      <c r="B530" s="186">
        <v>0</v>
      </c>
      <c r="C530" s="186" t="s">
        <v>9484</v>
      </c>
      <c r="D530" t="s">
        <v>1387</v>
      </c>
      <c r="E530" s="186">
        <v>47589413</v>
      </c>
      <c r="F530" t="s">
        <v>1388</v>
      </c>
      <c r="G530" t="s">
        <v>87</v>
      </c>
      <c r="H530" t="s">
        <v>9484</v>
      </c>
      <c r="I530" s="186">
        <v>18</v>
      </c>
      <c r="J530" t="s">
        <v>100</v>
      </c>
      <c r="K530" s="185">
        <v>228703.41</v>
      </c>
      <c r="L530" s="191">
        <v>44971.597685185188</v>
      </c>
    </row>
    <row r="531" spans="1:12" x14ac:dyDescent="0.3">
      <c r="A531" s="186">
        <v>21457</v>
      </c>
      <c r="B531" s="186">
        <v>30</v>
      </c>
      <c r="C531" s="186" t="s">
        <v>9485</v>
      </c>
      <c r="D531" t="s">
        <v>1387</v>
      </c>
      <c r="E531" s="186">
        <v>88309620</v>
      </c>
      <c r="F531" t="s">
        <v>1388</v>
      </c>
      <c r="G531" t="s">
        <v>87</v>
      </c>
      <c r="H531" t="s">
        <v>9485</v>
      </c>
      <c r="I531" s="186">
        <v>24</v>
      </c>
      <c r="J531" t="s">
        <v>103</v>
      </c>
      <c r="K531" s="185">
        <v>1152330</v>
      </c>
      <c r="L531" s="191">
        <v>45028.433530092596</v>
      </c>
    </row>
    <row r="532" spans="1:12" x14ac:dyDescent="0.3">
      <c r="A532" s="186">
        <v>4543</v>
      </c>
      <c r="B532" s="186">
        <v>10</v>
      </c>
      <c r="C532" s="186" t="s">
        <v>9486</v>
      </c>
      <c r="D532" t="s">
        <v>1387</v>
      </c>
      <c r="E532" s="186">
        <v>20346524</v>
      </c>
      <c r="F532" t="s">
        <v>1388</v>
      </c>
      <c r="G532" t="s">
        <v>87</v>
      </c>
      <c r="H532" t="s">
        <v>9486</v>
      </c>
      <c r="I532" s="186">
        <v>3</v>
      </c>
      <c r="J532" t="s">
        <v>133</v>
      </c>
      <c r="K532" s="185">
        <v>156000</v>
      </c>
      <c r="L532" s="191">
        <v>45029.698472222219</v>
      </c>
    </row>
    <row r="533" spans="1:12" x14ac:dyDescent="0.3">
      <c r="A533" s="186">
        <v>31455</v>
      </c>
      <c r="B533" s="186">
        <v>0</v>
      </c>
      <c r="C533" s="186" t="s">
        <v>9487</v>
      </c>
      <c r="D533" t="s">
        <v>1387</v>
      </c>
      <c r="E533" s="186">
        <v>7732415663</v>
      </c>
      <c r="F533" t="s">
        <v>1388</v>
      </c>
      <c r="G533" t="s">
        <v>87</v>
      </c>
      <c r="H533" t="s">
        <v>9487</v>
      </c>
      <c r="I533" s="186">
        <v>3</v>
      </c>
      <c r="J533" t="s">
        <v>100</v>
      </c>
      <c r="K533" s="185">
        <v>150000</v>
      </c>
      <c r="L533" s="191">
        <v>44747.706493055557</v>
      </c>
    </row>
    <row r="534" spans="1:12" x14ac:dyDescent="0.3">
      <c r="A534" s="186">
        <v>31742</v>
      </c>
      <c r="B534" s="186">
        <v>28</v>
      </c>
      <c r="C534" s="186" t="s">
        <v>9488</v>
      </c>
      <c r="D534" t="s">
        <v>1387</v>
      </c>
      <c r="E534" s="186">
        <v>36146575</v>
      </c>
      <c r="F534" t="s">
        <v>1388</v>
      </c>
      <c r="G534" t="s">
        <v>87</v>
      </c>
      <c r="H534" t="s">
        <v>9488</v>
      </c>
      <c r="I534" s="186">
        <v>24</v>
      </c>
      <c r="J534" t="s">
        <v>130</v>
      </c>
      <c r="K534" s="185">
        <v>4498.2</v>
      </c>
      <c r="L534" s="191">
        <v>44823.582754629628</v>
      </c>
    </row>
    <row r="535" spans="1:12" x14ac:dyDescent="0.3">
      <c r="A535" s="186">
        <v>2685</v>
      </c>
      <c r="B535" s="186">
        <v>0</v>
      </c>
      <c r="C535" s="186" t="s">
        <v>9489</v>
      </c>
      <c r="D535" t="s">
        <v>1387</v>
      </c>
      <c r="E535" s="186">
        <v>10931472</v>
      </c>
      <c r="F535" t="s">
        <v>1388</v>
      </c>
      <c r="G535" t="s">
        <v>87</v>
      </c>
      <c r="H535" t="s">
        <v>9489</v>
      </c>
      <c r="I535" s="186">
        <v>3</v>
      </c>
      <c r="J535" t="s">
        <v>100</v>
      </c>
      <c r="K535" s="185">
        <v>499999.86</v>
      </c>
      <c r="L535" s="191">
        <v>44847.582245370373</v>
      </c>
    </row>
    <row r="536" spans="1:12" x14ac:dyDescent="0.3">
      <c r="A536" s="186">
        <v>21261</v>
      </c>
      <c r="B536" s="186">
        <v>20</v>
      </c>
      <c r="C536" s="186" t="s">
        <v>9490</v>
      </c>
      <c r="D536" t="s">
        <v>1387</v>
      </c>
      <c r="E536" s="186">
        <v>2219378</v>
      </c>
      <c r="F536" t="s">
        <v>1388</v>
      </c>
      <c r="G536" t="s">
        <v>87</v>
      </c>
      <c r="H536" t="s">
        <v>9490</v>
      </c>
      <c r="I536" s="186">
        <v>10</v>
      </c>
      <c r="J536" t="s">
        <v>148</v>
      </c>
      <c r="K536" s="185">
        <v>9900</v>
      </c>
      <c r="L536" s="191">
        <v>44993.738819444443</v>
      </c>
    </row>
    <row r="537" spans="1:12" x14ac:dyDescent="0.3">
      <c r="A537" s="186">
        <v>21294</v>
      </c>
      <c r="B537" s="186">
        <v>-1</v>
      </c>
      <c r="C537" s="186" t="s">
        <v>9491</v>
      </c>
      <c r="D537" t="s">
        <v>1387</v>
      </c>
      <c r="E537" s="186">
        <v>33117783</v>
      </c>
      <c r="F537" t="s">
        <v>1388</v>
      </c>
      <c r="G537" t="s">
        <v>87</v>
      </c>
      <c r="H537" t="s">
        <v>9491</v>
      </c>
      <c r="I537" s="186">
        <v>10</v>
      </c>
      <c r="J537" t="s">
        <v>174</v>
      </c>
      <c r="K537" s="185">
        <v>46000</v>
      </c>
      <c r="L537" s="191">
        <v>45000.428182870368</v>
      </c>
    </row>
    <row r="538" spans="1:12" x14ac:dyDescent="0.3">
      <c r="A538" s="186">
        <v>21305</v>
      </c>
      <c r="B538" s="186">
        <v>30</v>
      </c>
      <c r="C538" s="186" t="s">
        <v>9492</v>
      </c>
      <c r="D538" t="s">
        <v>1387</v>
      </c>
      <c r="E538" s="186">
        <v>33193996</v>
      </c>
      <c r="F538" t="s">
        <v>1388</v>
      </c>
      <c r="G538" t="s">
        <v>87</v>
      </c>
      <c r="H538" t="s">
        <v>9492</v>
      </c>
      <c r="I538" s="186">
        <v>3</v>
      </c>
      <c r="J538" t="s">
        <v>103</v>
      </c>
      <c r="K538" s="185">
        <v>21666.34</v>
      </c>
      <c r="L538" s="191">
        <v>45001.516099537039</v>
      </c>
    </row>
    <row r="539" spans="1:12" x14ac:dyDescent="0.3">
      <c r="A539" s="186">
        <v>31333</v>
      </c>
      <c r="B539" s="186">
        <v>0</v>
      </c>
      <c r="C539" s="186" t="s">
        <v>9493</v>
      </c>
      <c r="D539" t="s">
        <v>1387</v>
      </c>
      <c r="E539" s="186">
        <v>71212515234</v>
      </c>
      <c r="F539" t="s">
        <v>1388</v>
      </c>
      <c r="G539" t="s">
        <v>87</v>
      </c>
      <c r="H539" t="s">
        <v>9493</v>
      </c>
      <c r="I539" s="186">
        <v>10</v>
      </c>
      <c r="J539" t="s">
        <v>100</v>
      </c>
      <c r="K539" s="185">
        <v>19999.98</v>
      </c>
      <c r="L539" s="191">
        <v>44711.386134259257</v>
      </c>
    </row>
    <row r="540" spans="1:12" x14ac:dyDescent="0.3">
      <c r="A540" s="186">
        <v>21190</v>
      </c>
      <c r="B540" s="186">
        <v>0</v>
      </c>
      <c r="C540" s="186" t="s">
        <v>9494</v>
      </c>
      <c r="D540" t="s">
        <v>1387</v>
      </c>
      <c r="E540" s="186">
        <v>31893224</v>
      </c>
      <c r="F540" t="s">
        <v>1388</v>
      </c>
      <c r="G540" t="s">
        <v>87</v>
      </c>
      <c r="H540" t="s">
        <v>9494</v>
      </c>
      <c r="I540" s="186">
        <v>9</v>
      </c>
      <c r="J540" t="s">
        <v>100</v>
      </c>
      <c r="K540" s="185">
        <v>380000</v>
      </c>
      <c r="L540" s="191">
        <v>44984.428923611114</v>
      </c>
    </row>
    <row r="541" spans="1:12" x14ac:dyDescent="0.3">
      <c r="A541" s="186">
        <v>21314</v>
      </c>
      <c r="B541" s="186">
        <v>0</v>
      </c>
      <c r="C541" s="186" t="s">
        <v>9495</v>
      </c>
      <c r="D541" t="s">
        <v>1387</v>
      </c>
      <c r="E541" s="186">
        <v>10439282608</v>
      </c>
      <c r="F541" t="s">
        <v>1388</v>
      </c>
      <c r="G541" t="s">
        <v>87</v>
      </c>
      <c r="H541" t="s">
        <v>9495</v>
      </c>
      <c r="I541" s="186">
        <v>3</v>
      </c>
      <c r="J541" t="s">
        <v>100</v>
      </c>
      <c r="K541" s="185">
        <v>1700</v>
      </c>
      <c r="L541" s="191">
        <v>45002.491446759261</v>
      </c>
    </row>
    <row r="542" spans="1:12" x14ac:dyDescent="0.3">
      <c r="A542" s="186">
        <v>31601</v>
      </c>
      <c r="B542" s="186" t="s">
        <v>1451</v>
      </c>
      <c r="C542" s="186" t="s">
        <v>9496</v>
      </c>
      <c r="D542" t="s">
        <v>1387</v>
      </c>
      <c r="E542" s="186">
        <v>5517765</v>
      </c>
      <c r="F542" t="s">
        <v>1388</v>
      </c>
      <c r="G542" t="s">
        <v>87</v>
      </c>
      <c r="H542" t="s">
        <v>9496</v>
      </c>
      <c r="I542" s="186">
        <v>9</v>
      </c>
      <c r="J542" t="s">
        <v>1452</v>
      </c>
      <c r="K542" s="185">
        <v>33278.49</v>
      </c>
      <c r="L542" s="191">
        <v>44781.588391203702</v>
      </c>
    </row>
    <row r="543" spans="1:12" x14ac:dyDescent="0.3">
      <c r="A543" s="186">
        <v>2599</v>
      </c>
      <c r="B543" s="186">
        <v>0</v>
      </c>
      <c r="C543" s="186" t="s">
        <v>9497</v>
      </c>
      <c r="D543" t="s">
        <v>1387</v>
      </c>
      <c r="E543" s="186">
        <v>7703316</v>
      </c>
      <c r="F543" t="s">
        <v>1410</v>
      </c>
      <c r="G543" t="s">
        <v>113</v>
      </c>
      <c r="H543" t="s">
        <v>9497</v>
      </c>
      <c r="I543" s="186">
        <v>9</v>
      </c>
      <c r="J543" t="s">
        <v>100</v>
      </c>
      <c r="K543" s="185">
        <v>380000</v>
      </c>
      <c r="L543" s="191">
        <v>44791.325891203705</v>
      </c>
    </row>
    <row r="544" spans="1:12" x14ac:dyDescent="0.3">
      <c r="A544" s="186">
        <v>31874</v>
      </c>
      <c r="B544" s="186">
        <v>45</v>
      </c>
      <c r="C544" s="186" t="s">
        <v>9498</v>
      </c>
      <c r="D544" t="s">
        <v>1387</v>
      </c>
      <c r="E544" s="186">
        <v>17161936</v>
      </c>
      <c r="F544" t="s">
        <v>1388</v>
      </c>
      <c r="G544" t="s">
        <v>87</v>
      </c>
      <c r="H544" t="s">
        <v>9498</v>
      </c>
      <c r="I544" s="186">
        <v>26</v>
      </c>
      <c r="J544" t="s">
        <v>106</v>
      </c>
      <c r="K544" s="185">
        <v>43699.01</v>
      </c>
      <c r="L544" s="191">
        <v>44865.651087962964</v>
      </c>
    </row>
    <row r="545" spans="1:12" x14ac:dyDescent="0.3">
      <c r="A545" s="186">
        <v>21152</v>
      </c>
      <c r="B545" s="186">
        <v>0</v>
      </c>
      <c r="C545" s="186" t="s">
        <v>9499</v>
      </c>
      <c r="D545" t="s">
        <v>1387</v>
      </c>
      <c r="E545" s="186">
        <v>31893224</v>
      </c>
      <c r="F545" t="s">
        <v>1388</v>
      </c>
      <c r="G545" t="s">
        <v>87</v>
      </c>
      <c r="H545" t="s">
        <v>9499</v>
      </c>
      <c r="I545" s="186">
        <v>9</v>
      </c>
      <c r="J545" t="s">
        <v>100</v>
      </c>
      <c r="K545" s="185">
        <v>450000</v>
      </c>
      <c r="L545" s="191">
        <v>44974.458831018521</v>
      </c>
    </row>
    <row r="546" spans="1:12" x14ac:dyDescent="0.3">
      <c r="A546" s="186">
        <v>4533</v>
      </c>
      <c r="B546" s="186">
        <v>60</v>
      </c>
      <c r="C546" s="186" t="s">
        <v>9500</v>
      </c>
      <c r="D546" t="s">
        <v>1387</v>
      </c>
      <c r="E546" s="186">
        <v>33592510</v>
      </c>
      <c r="F546" t="s">
        <v>1388</v>
      </c>
      <c r="G546" t="s">
        <v>87</v>
      </c>
      <c r="H546" t="s">
        <v>9500</v>
      </c>
      <c r="I546" s="186">
        <v>3</v>
      </c>
      <c r="J546" t="s">
        <v>97</v>
      </c>
      <c r="K546" s="185">
        <v>2325777</v>
      </c>
      <c r="L546" s="191">
        <v>45008.643113425926</v>
      </c>
    </row>
    <row r="547" spans="1:12" x14ac:dyDescent="0.3">
      <c r="A547" s="186">
        <v>21481</v>
      </c>
      <c r="B547" s="186">
        <v>0</v>
      </c>
      <c r="C547" s="186" t="s">
        <v>9501</v>
      </c>
      <c r="D547" t="s">
        <v>1387</v>
      </c>
      <c r="E547" s="186">
        <v>50094468</v>
      </c>
      <c r="F547" t="s">
        <v>1388</v>
      </c>
      <c r="G547" t="s">
        <v>87</v>
      </c>
      <c r="H547" t="s">
        <v>9501</v>
      </c>
      <c r="I547" s="186">
        <v>43</v>
      </c>
      <c r="J547" t="s">
        <v>100</v>
      </c>
      <c r="K547">
        <v>590000</v>
      </c>
      <c r="L547" s="191">
        <v>45030.39634259259</v>
      </c>
    </row>
    <row r="548" spans="1:12" x14ac:dyDescent="0.3">
      <c r="A548" s="186">
        <v>31368</v>
      </c>
      <c r="B548" s="186">
        <v>0</v>
      </c>
      <c r="C548" s="186" t="s">
        <v>9502</v>
      </c>
      <c r="D548" t="s">
        <v>1387</v>
      </c>
      <c r="E548" s="186">
        <v>43124931</v>
      </c>
      <c r="F548" t="s">
        <v>1388</v>
      </c>
      <c r="G548" t="s">
        <v>87</v>
      </c>
      <c r="H548" t="s">
        <v>9502</v>
      </c>
      <c r="I548" s="186">
        <v>3</v>
      </c>
      <c r="J548" t="s">
        <v>100</v>
      </c>
      <c r="K548" s="185">
        <v>280000</v>
      </c>
      <c r="L548" s="191">
        <v>44718.65347222222</v>
      </c>
    </row>
    <row r="549" spans="1:12" x14ac:dyDescent="0.3">
      <c r="A549" s="186">
        <v>2510</v>
      </c>
      <c r="B549" s="186">
        <v>10</v>
      </c>
      <c r="C549" s="186" t="s">
        <v>9503</v>
      </c>
      <c r="D549" t="s">
        <v>1387</v>
      </c>
      <c r="E549" s="186">
        <v>16956443</v>
      </c>
      <c r="F549" t="s">
        <v>1388</v>
      </c>
      <c r="G549" t="s">
        <v>87</v>
      </c>
      <c r="H549" t="s">
        <v>9503</v>
      </c>
      <c r="I549" s="186">
        <v>3</v>
      </c>
      <c r="J549" t="s">
        <v>133</v>
      </c>
      <c r="K549" s="185">
        <v>6000</v>
      </c>
      <c r="L549" s="191">
        <v>44725.721435185187</v>
      </c>
    </row>
    <row r="550" spans="1:12" x14ac:dyDescent="0.3">
      <c r="A550" s="186">
        <v>31815</v>
      </c>
      <c r="B550" s="186">
        <v>-1</v>
      </c>
      <c r="C550" s="186" t="s">
        <v>9504</v>
      </c>
      <c r="D550" t="s">
        <v>1387</v>
      </c>
      <c r="E550" s="186">
        <v>8992198</v>
      </c>
      <c r="F550" t="s">
        <v>1388</v>
      </c>
      <c r="G550" t="s">
        <v>87</v>
      </c>
      <c r="H550" t="s">
        <v>9504</v>
      </c>
      <c r="I550" s="186">
        <v>3</v>
      </c>
      <c r="J550" t="s">
        <v>174</v>
      </c>
      <c r="K550" s="185">
        <v>13152.43</v>
      </c>
      <c r="L550" s="191">
        <v>44847.724328703705</v>
      </c>
    </row>
    <row r="551" spans="1:12" x14ac:dyDescent="0.3">
      <c r="A551" s="186">
        <v>21019</v>
      </c>
      <c r="B551" s="186" t="s">
        <v>222</v>
      </c>
      <c r="C551" s="186" t="s">
        <v>9505</v>
      </c>
      <c r="D551" t="s">
        <v>1387</v>
      </c>
      <c r="E551" s="186">
        <v>10290557</v>
      </c>
      <c r="F551" t="s">
        <v>1388</v>
      </c>
      <c r="G551" t="s">
        <v>87</v>
      </c>
      <c r="H551" t="s">
        <v>9505</v>
      </c>
      <c r="I551" s="186">
        <v>24</v>
      </c>
      <c r="J551" t="s">
        <v>223</v>
      </c>
      <c r="K551" s="185">
        <v>56673.96</v>
      </c>
      <c r="L551" s="191">
        <v>44959.399965277778</v>
      </c>
    </row>
    <row r="552" spans="1:12" x14ac:dyDescent="0.3">
      <c r="A552" s="186">
        <v>31914</v>
      </c>
      <c r="B552" s="186" t="s">
        <v>222</v>
      </c>
      <c r="C552" s="186" t="s">
        <v>9506</v>
      </c>
      <c r="D552" t="s">
        <v>1387</v>
      </c>
      <c r="E552" s="186">
        <v>15063096</v>
      </c>
      <c r="F552" t="s">
        <v>1388</v>
      </c>
      <c r="G552" t="s">
        <v>87</v>
      </c>
      <c r="H552" t="s">
        <v>9506</v>
      </c>
      <c r="I552" s="186">
        <v>3</v>
      </c>
      <c r="J552" t="s">
        <v>223</v>
      </c>
      <c r="K552" s="185">
        <v>329267.51</v>
      </c>
      <c r="L552" s="191">
        <v>44875.692731481482</v>
      </c>
    </row>
    <row r="553" spans="1:12" x14ac:dyDescent="0.3">
      <c r="A553" s="186">
        <v>21183</v>
      </c>
      <c r="B553" s="186">
        <v>0</v>
      </c>
      <c r="C553" s="186" t="s">
        <v>9507</v>
      </c>
      <c r="D553" t="s">
        <v>1387</v>
      </c>
      <c r="E553" s="186">
        <v>82921717620</v>
      </c>
      <c r="F553" t="s">
        <v>1388</v>
      </c>
      <c r="G553" t="s">
        <v>87</v>
      </c>
      <c r="H553" t="s">
        <v>9507</v>
      </c>
      <c r="I553" s="186">
        <v>3</v>
      </c>
      <c r="J553" t="s">
        <v>100</v>
      </c>
      <c r="K553" s="185">
        <v>30000</v>
      </c>
      <c r="L553" s="191">
        <v>44981.660497685189</v>
      </c>
    </row>
    <row r="554" spans="1:12" x14ac:dyDescent="0.3">
      <c r="A554" s="186">
        <v>21255</v>
      </c>
      <c r="B554" s="186" t="s">
        <v>1353</v>
      </c>
      <c r="C554" s="186" t="s">
        <v>9508</v>
      </c>
      <c r="D554" t="s">
        <v>1387</v>
      </c>
      <c r="E554" s="186">
        <v>8054995</v>
      </c>
      <c r="F554" t="s">
        <v>1388</v>
      </c>
      <c r="G554" t="s">
        <v>87</v>
      </c>
      <c r="H554" t="s">
        <v>9508</v>
      </c>
      <c r="I554" s="186">
        <v>10</v>
      </c>
      <c r="J554" t="s">
        <v>1354</v>
      </c>
      <c r="K554" s="185">
        <v>375000</v>
      </c>
      <c r="L554" s="191">
        <v>44992.642592592594</v>
      </c>
    </row>
    <row r="555" spans="1:12" x14ac:dyDescent="0.3">
      <c r="A555" s="186">
        <v>31350</v>
      </c>
      <c r="B555" s="186">
        <v>-1</v>
      </c>
      <c r="C555" s="186" t="s">
        <v>9509</v>
      </c>
      <c r="D555" t="s">
        <v>1387</v>
      </c>
      <c r="E555" s="186">
        <v>71504328</v>
      </c>
      <c r="F555" t="s">
        <v>1388</v>
      </c>
      <c r="G555" t="s">
        <v>87</v>
      </c>
      <c r="H555" t="s">
        <v>9509</v>
      </c>
      <c r="I555" s="186">
        <v>3</v>
      </c>
      <c r="J555" t="s">
        <v>174</v>
      </c>
      <c r="K555" s="185">
        <v>42000</v>
      </c>
      <c r="L555" s="191">
        <v>44713.477662037039</v>
      </c>
    </row>
    <row r="556" spans="1:12" x14ac:dyDescent="0.3">
      <c r="A556" s="186">
        <v>21025</v>
      </c>
      <c r="B556" s="186">
        <v>-1</v>
      </c>
      <c r="C556" s="186" t="s">
        <v>9510</v>
      </c>
      <c r="D556" t="s">
        <v>1394</v>
      </c>
      <c r="E556" s="186">
        <v>47260580</v>
      </c>
      <c r="G556" t="s">
        <v>113</v>
      </c>
      <c r="H556" t="s">
        <v>9510</v>
      </c>
      <c r="I556" s="186">
        <v>19</v>
      </c>
      <c r="J556" t="s">
        <v>174</v>
      </c>
      <c r="K556" s="185">
        <v>0</v>
      </c>
      <c r="L556" s="191">
        <v>44959.67695601852</v>
      </c>
    </row>
    <row r="557" spans="1:12" x14ac:dyDescent="0.3">
      <c r="A557" s="186">
        <v>21301</v>
      </c>
      <c r="B557" s="186">
        <v>0</v>
      </c>
      <c r="C557" s="186" t="s">
        <v>9511</v>
      </c>
      <c r="D557" t="s">
        <v>1387</v>
      </c>
      <c r="E557" s="186">
        <v>31632910</v>
      </c>
      <c r="F557" t="s">
        <v>1388</v>
      </c>
      <c r="G557" t="s">
        <v>87</v>
      </c>
      <c r="H557" t="s">
        <v>9511</v>
      </c>
      <c r="I557" s="186">
        <v>37</v>
      </c>
      <c r="J557" t="s">
        <v>100</v>
      </c>
      <c r="K557" s="185">
        <v>39500</v>
      </c>
      <c r="L557" s="191">
        <v>45001.423252314817</v>
      </c>
    </row>
    <row r="558" spans="1:12" x14ac:dyDescent="0.3">
      <c r="A558" s="186">
        <v>21490</v>
      </c>
      <c r="B558" s="186">
        <v>0</v>
      </c>
      <c r="C558" s="186" t="s">
        <v>9512</v>
      </c>
      <c r="D558" t="s">
        <v>1387</v>
      </c>
      <c r="E558" s="186">
        <v>37578252</v>
      </c>
      <c r="F558" t="s">
        <v>1388</v>
      </c>
      <c r="G558" t="s">
        <v>87</v>
      </c>
      <c r="H558" t="s">
        <v>9512</v>
      </c>
      <c r="I558" s="186">
        <v>9</v>
      </c>
      <c r="J558" t="s">
        <v>100</v>
      </c>
      <c r="K558" s="185">
        <v>131947.48000000001</v>
      </c>
      <c r="L558" s="191">
        <v>45030.633206018516</v>
      </c>
    </row>
    <row r="559" spans="1:12" x14ac:dyDescent="0.3">
      <c r="A559" s="186">
        <v>31361</v>
      </c>
      <c r="B559" s="186" t="s">
        <v>1396</v>
      </c>
      <c r="C559" s="186" t="s">
        <v>9513</v>
      </c>
      <c r="D559" t="s">
        <v>1387</v>
      </c>
      <c r="E559" s="186">
        <v>14594896</v>
      </c>
      <c r="F559" t="s">
        <v>1388</v>
      </c>
      <c r="G559" t="s">
        <v>87</v>
      </c>
      <c r="H559" t="s">
        <v>9513</v>
      </c>
      <c r="I559" s="186">
        <v>3</v>
      </c>
      <c r="J559" t="s">
        <v>1397</v>
      </c>
      <c r="K559" s="185">
        <v>38858.68</v>
      </c>
      <c r="L559" s="191">
        <v>44718.383171296293</v>
      </c>
    </row>
    <row r="560" spans="1:12" x14ac:dyDescent="0.3">
      <c r="A560" s="186">
        <v>2528</v>
      </c>
      <c r="B560" s="186">
        <v>28</v>
      </c>
      <c r="C560" s="186" t="s">
        <v>9514</v>
      </c>
      <c r="D560" t="s">
        <v>1387</v>
      </c>
      <c r="E560" s="186">
        <v>29411968</v>
      </c>
      <c r="F560" t="s">
        <v>1388</v>
      </c>
      <c r="G560" t="s">
        <v>87</v>
      </c>
      <c r="H560" t="s">
        <v>9514</v>
      </c>
      <c r="I560" s="186">
        <v>10</v>
      </c>
      <c r="J560" t="s">
        <v>130</v>
      </c>
      <c r="K560" s="185">
        <v>15391.25</v>
      </c>
      <c r="L560" s="191">
        <v>44742.356805555559</v>
      </c>
    </row>
    <row r="561" spans="1:12" x14ac:dyDescent="0.3">
      <c r="A561" s="186">
        <v>2584</v>
      </c>
      <c r="B561" s="186">
        <v>0</v>
      </c>
      <c r="C561" s="186" t="s">
        <v>9515</v>
      </c>
      <c r="D561" t="s">
        <v>1387</v>
      </c>
      <c r="E561" s="186">
        <v>3758639239</v>
      </c>
      <c r="F561" t="s">
        <v>1388</v>
      </c>
      <c r="G561" t="s">
        <v>87</v>
      </c>
      <c r="H561" t="s">
        <v>9515</v>
      </c>
      <c r="I561" s="186">
        <v>3</v>
      </c>
      <c r="J561" t="s">
        <v>100</v>
      </c>
      <c r="K561" s="185">
        <v>340000</v>
      </c>
      <c r="L561" s="191">
        <v>44777.590115740742</v>
      </c>
    </row>
    <row r="562" spans="1:12" x14ac:dyDescent="0.3">
      <c r="A562" s="186">
        <v>2655</v>
      </c>
      <c r="B562" s="186" t="s">
        <v>1453</v>
      </c>
      <c r="C562" s="186" t="s">
        <v>9516</v>
      </c>
      <c r="D562" t="s">
        <v>1387</v>
      </c>
      <c r="E562" s="186">
        <v>29825598620</v>
      </c>
      <c r="F562" t="s">
        <v>1388</v>
      </c>
      <c r="G562" t="s">
        <v>87</v>
      </c>
      <c r="H562" t="s">
        <v>9516</v>
      </c>
      <c r="I562" s="186">
        <v>3</v>
      </c>
      <c r="J562" t="s">
        <v>1454</v>
      </c>
      <c r="K562" s="185">
        <v>126000</v>
      </c>
      <c r="L562" s="191">
        <v>44830.418923611112</v>
      </c>
    </row>
    <row r="563" spans="1:12" x14ac:dyDescent="0.3">
      <c r="A563" s="186">
        <v>31367</v>
      </c>
      <c r="B563" s="186">
        <v>0</v>
      </c>
      <c r="C563" s="186" t="s">
        <v>9517</v>
      </c>
      <c r="D563" t="s">
        <v>1387</v>
      </c>
      <c r="E563" s="186">
        <v>33781055</v>
      </c>
      <c r="F563" t="s">
        <v>1388</v>
      </c>
      <c r="G563" t="s">
        <v>87</v>
      </c>
      <c r="H563" t="s">
        <v>9517</v>
      </c>
      <c r="I563" s="186">
        <v>2</v>
      </c>
      <c r="J563" t="s">
        <v>100</v>
      </c>
      <c r="K563" s="185">
        <v>9561.14</v>
      </c>
      <c r="L563" s="191">
        <v>44718.65185185185</v>
      </c>
    </row>
    <row r="564" spans="1:12" x14ac:dyDescent="0.3">
      <c r="A564" s="186">
        <v>31672</v>
      </c>
      <c r="B564" s="186">
        <v>0</v>
      </c>
      <c r="C564" s="186" t="s">
        <v>9518</v>
      </c>
      <c r="D564" t="s">
        <v>1387</v>
      </c>
      <c r="E564" s="186">
        <v>29649374272</v>
      </c>
      <c r="F564" t="s">
        <v>1388</v>
      </c>
      <c r="G564" t="s">
        <v>87</v>
      </c>
      <c r="H564" t="s">
        <v>9518</v>
      </c>
      <c r="I564" s="186">
        <v>10</v>
      </c>
      <c r="J564" t="s">
        <v>100</v>
      </c>
      <c r="K564" s="185">
        <v>450000</v>
      </c>
      <c r="L564" s="191">
        <v>44797.769768518519</v>
      </c>
    </row>
    <row r="565" spans="1:12" x14ac:dyDescent="0.3">
      <c r="A565" s="186">
        <v>21406</v>
      </c>
      <c r="B565" s="186" t="s">
        <v>1361</v>
      </c>
      <c r="C565" s="186" t="s">
        <v>9519</v>
      </c>
      <c r="D565" t="s">
        <v>1387</v>
      </c>
      <c r="E565" s="186">
        <v>48546859</v>
      </c>
      <c r="F565" t="s">
        <v>1388</v>
      </c>
      <c r="G565" t="s">
        <v>87</v>
      </c>
      <c r="H565" t="s">
        <v>9519</v>
      </c>
      <c r="I565" s="186">
        <v>10</v>
      </c>
      <c r="J565" t="s">
        <v>1362</v>
      </c>
      <c r="K565" s="185">
        <v>4200</v>
      </c>
      <c r="L565" s="191">
        <v>45019.490115740744</v>
      </c>
    </row>
    <row r="566" spans="1:12" x14ac:dyDescent="0.3">
      <c r="A566" s="186">
        <v>21437</v>
      </c>
      <c r="B566" s="186">
        <v>30</v>
      </c>
      <c r="C566" s="186" t="s">
        <v>9520</v>
      </c>
      <c r="D566" t="s">
        <v>1387</v>
      </c>
      <c r="E566" s="186">
        <v>684808</v>
      </c>
      <c r="F566" t="s">
        <v>1388</v>
      </c>
      <c r="G566" t="s">
        <v>87</v>
      </c>
      <c r="H566" t="s">
        <v>9520</v>
      </c>
      <c r="I566" s="186">
        <v>38</v>
      </c>
      <c r="J566" t="s">
        <v>103</v>
      </c>
      <c r="K566" s="185">
        <v>107900</v>
      </c>
      <c r="L566" s="191">
        <v>45022.521111111113</v>
      </c>
    </row>
    <row r="567" spans="1:12" x14ac:dyDescent="0.3">
      <c r="A567" s="186">
        <v>21453</v>
      </c>
      <c r="B567" s="186">
        <v>-1</v>
      </c>
      <c r="C567" s="186" t="s">
        <v>9521</v>
      </c>
      <c r="D567" t="s">
        <v>1387</v>
      </c>
      <c r="E567" s="186">
        <v>42509257</v>
      </c>
      <c r="F567" t="s">
        <v>1388</v>
      </c>
      <c r="G567" t="s">
        <v>87</v>
      </c>
      <c r="H567" t="s">
        <v>9521</v>
      </c>
      <c r="I567" s="186">
        <v>10</v>
      </c>
      <c r="J567" t="s">
        <v>174</v>
      </c>
      <c r="K567" s="185">
        <v>50000.02</v>
      </c>
      <c r="L567" s="191">
        <v>45027.409178240741</v>
      </c>
    </row>
    <row r="568" spans="1:12" x14ac:dyDescent="0.3">
      <c r="A568" s="186">
        <v>31554</v>
      </c>
      <c r="C568" s="186" t="s">
        <v>9522</v>
      </c>
      <c r="D568" t="s">
        <v>1394</v>
      </c>
      <c r="E568" s="186">
        <v>8729986</v>
      </c>
      <c r="G568" t="s">
        <v>113</v>
      </c>
      <c r="H568" t="s">
        <v>9522</v>
      </c>
      <c r="I568" s="186">
        <v>24</v>
      </c>
      <c r="K568" s="185">
        <v>0</v>
      </c>
      <c r="L568" s="191">
        <v>44769.698541666665</v>
      </c>
    </row>
    <row r="569" spans="1:12" x14ac:dyDescent="0.3">
      <c r="A569" s="186">
        <v>31495</v>
      </c>
      <c r="B569" s="186">
        <v>-1</v>
      </c>
      <c r="C569" s="186" t="s">
        <v>9523</v>
      </c>
      <c r="D569" t="s">
        <v>1387</v>
      </c>
      <c r="E569" s="186">
        <v>11059594</v>
      </c>
      <c r="F569" t="s">
        <v>1388</v>
      </c>
      <c r="G569" t="s">
        <v>87</v>
      </c>
      <c r="H569" t="s">
        <v>9523</v>
      </c>
      <c r="I569" s="186">
        <v>3</v>
      </c>
      <c r="J569" t="s">
        <v>174</v>
      </c>
      <c r="K569">
        <v>12106.06</v>
      </c>
      <c r="L569" s="191">
        <v>44756.623784722222</v>
      </c>
    </row>
    <row r="570" spans="1:12" x14ac:dyDescent="0.3">
      <c r="A570" s="186">
        <v>2636</v>
      </c>
      <c r="B570" s="186">
        <v>5</v>
      </c>
      <c r="C570" s="186" t="s">
        <v>9524</v>
      </c>
      <c r="D570" t="s">
        <v>1387</v>
      </c>
      <c r="E570" s="186">
        <v>18313817</v>
      </c>
      <c r="F570" t="s">
        <v>1388</v>
      </c>
      <c r="G570" t="s">
        <v>87</v>
      </c>
      <c r="H570" t="s">
        <v>9524</v>
      </c>
      <c r="I570" s="186">
        <v>3</v>
      </c>
      <c r="J570" t="s">
        <v>129</v>
      </c>
      <c r="K570" s="185">
        <v>77600</v>
      </c>
      <c r="L570" s="191">
        <v>44816.742673611108</v>
      </c>
    </row>
    <row r="571" spans="1:12" x14ac:dyDescent="0.3">
      <c r="A571" s="186">
        <v>31759</v>
      </c>
      <c r="B571" s="186">
        <v>45</v>
      </c>
      <c r="C571" s="186" t="s">
        <v>9525</v>
      </c>
      <c r="D571" t="s">
        <v>1387</v>
      </c>
      <c r="E571" s="186">
        <v>60498706</v>
      </c>
      <c r="F571" t="s">
        <v>1388</v>
      </c>
      <c r="G571" t="s">
        <v>87</v>
      </c>
      <c r="H571" t="s">
        <v>9525</v>
      </c>
      <c r="I571" s="186">
        <v>10</v>
      </c>
      <c r="J571" t="s">
        <v>106</v>
      </c>
      <c r="K571" s="185">
        <v>36043.56</v>
      </c>
      <c r="L571" s="191">
        <v>44827.717453703706</v>
      </c>
    </row>
    <row r="572" spans="1:12" x14ac:dyDescent="0.3">
      <c r="A572" s="186">
        <v>21186</v>
      </c>
      <c r="B572" s="186">
        <v>-1</v>
      </c>
      <c r="C572" s="186" t="s">
        <v>9526</v>
      </c>
      <c r="D572" t="s">
        <v>1387</v>
      </c>
      <c r="E572" s="186">
        <v>9253209860</v>
      </c>
      <c r="F572" t="s">
        <v>1388</v>
      </c>
      <c r="G572" t="s">
        <v>87</v>
      </c>
      <c r="H572" t="s">
        <v>9526</v>
      </c>
      <c r="I572" s="186">
        <v>3</v>
      </c>
      <c r="J572" t="s">
        <v>174</v>
      </c>
      <c r="K572" s="185">
        <v>520000</v>
      </c>
      <c r="L572" s="191">
        <v>44981.691932870373</v>
      </c>
    </row>
    <row r="573" spans="1:12" x14ac:dyDescent="0.3">
      <c r="A573" s="186">
        <v>31332</v>
      </c>
      <c r="B573" s="186">
        <v>35</v>
      </c>
      <c r="C573" s="186" t="s">
        <v>9527</v>
      </c>
      <c r="D573" t="s">
        <v>1387</v>
      </c>
      <c r="E573" s="186">
        <v>82992686</v>
      </c>
      <c r="F573" t="s">
        <v>1388</v>
      </c>
      <c r="G573" t="s">
        <v>87</v>
      </c>
      <c r="H573" t="s">
        <v>9527</v>
      </c>
      <c r="I573" s="186">
        <v>3</v>
      </c>
      <c r="J573" t="s">
        <v>161</v>
      </c>
      <c r="K573" s="185">
        <v>10000</v>
      </c>
      <c r="L573" s="191">
        <v>44708.637962962966</v>
      </c>
    </row>
    <row r="574" spans="1:12" x14ac:dyDescent="0.3">
      <c r="A574" s="186">
        <v>31915</v>
      </c>
      <c r="B574" s="186" t="s">
        <v>227</v>
      </c>
      <c r="C574" s="186" t="s">
        <v>9528</v>
      </c>
      <c r="D574" t="s">
        <v>1387</v>
      </c>
      <c r="E574" s="186">
        <v>48449901</v>
      </c>
      <c r="F574" t="s">
        <v>1388</v>
      </c>
      <c r="G574" t="s">
        <v>87</v>
      </c>
      <c r="H574" t="s">
        <v>9528</v>
      </c>
      <c r="I574" s="186">
        <v>3</v>
      </c>
      <c r="J574" t="s">
        <v>228</v>
      </c>
      <c r="K574" s="185">
        <v>18400</v>
      </c>
      <c r="L574" s="191">
        <v>44875.734224537038</v>
      </c>
    </row>
    <row r="575" spans="1:12" x14ac:dyDescent="0.3">
      <c r="A575" s="186">
        <v>31409</v>
      </c>
      <c r="B575" s="186">
        <v>0</v>
      </c>
      <c r="C575" s="186" t="s">
        <v>9529</v>
      </c>
      <c r="D575" t="s">
        <v>1387</v>
      </c>
      <c r="E575" s="186">
        <v>29099910</v>
      </c>
      <c r="F575" t="s">
        <v>1388</v>
      </c>
      <c r="G575" t="s">
        <v>87</v>
      </c>
      <c r="H575" t="s">
        <v>9529</v>
      </c>
      <c r="I575" s="186">
        <v>37</v>
      </c>
      <c r="J575" t="s">
        <v>100</v>
      </c>
      <c r="K575" s="185">
        <v>122000</v>
      </c>
      <c r="L575" s="191">
        <v>44733.654780092591</v>
      </c>
    </row>
    <row r="576" spans="1:12" x14ac:dyDescent="0.3">
      <c r="A576" s="186">
        <v>31488</v>
      </c>
      <c r="B576" s="186" t="s">
        <v>227</v>
      </c>
      <c r="C576" s="186" t="s">
        <v>9530</v>
      </c>
      <c r="D576" t="s">
        <v>1387</v>
      </c>
      <c r="E576" s="186">
        <v>47136994</v>
      </c>
      <c r="F576" t="s">
        <v>1388</v>
      </c>
      <c r="G576" t="s">
        <v>87</v>
      </c>
      <c r="H576" t="s">
        <v>9530</v>
      </c>
      <c r="I576" s="186">
        <v>3</v>
      </c>
      <c r="J576" t="s">
        <v>228</v>
      </c>
      <c r="K576" s="185">
        <v>157820.16</v>
      </c>
      <c r="L576" s="191">
        <v>44755.654999999999</v>
      </c>
    </row>
    <row r="577" spans="1:12" x14ac:dyDescent="0.3">
      <c r="A577" s="186">
        <v>31542</v>
      </c>
      <c r="B577" s="186">
        <v>0</v>
      </c>
      <c r="C577" s="186" t="s">
        <v>9531</v>
      </c>
      <c r="D577" t="s">
        <v>1387</v>
      </c>
      <c r="E577" s="186">
        <v>25461912</v>
      </c>
      <c r="F577" t="s">
        <v>1388</v>
      </c>
      <c r="G577" t="s">
        <v>87</v>
      </c>
      <c r="H577" t="s">
        <v>9531</v>
      </c>
      <c r="I577" s="186">
        <v>9</v>
      </c>
      <c r="J577" t="s">
        <v>100</v>
      </c>
      <c r="K577" s="185">
        <v>101756.26</v>
      </c>
      <c r="L577" s="191">
        <v>44768.509560185186</v>
      </c>
    </row>
    <row r="578" spans="1:12" x14ac:dyDescent="0.3">
      <c r="A578" s="186">
        <v>31548</v>
      </c>
      <c r="B578" s="186" t="s">
        <v>1257</v>
      </c>
      <c r="C578" s="186" t="s">
        <v>9532</v>
      </c>
      <c r="D578" t="s">
        <v>1387</v>
      </c>
      <c r="E578" s="186">
        <v>684808</v>
      </c>
      <c r="F578" t="s">
        <v>1388</v>
      </c>
      <c r="G578" t="s">
        <v>87</v>
      </c>
      <c r="H578" t="s">
        <v>9532</v>
      </c>
      <c r="I578" s="186">
        <v>38</v>
      </c>
      <c r="J578" t="s">
        <v>1258</v>
      </c>
      <c r="K578" s="185">
        <v>166800</v>
      </c>
      <c r="L578" s="191">
        <v>44768.679062499999</v>
      </c>
    </row>
    <row r="579" spans="1:12" x14ac:dyDescent="0.3">
      <c r="A579" s="186">
        <v>21113</v>
      </c>
      <c r="B579" s="186" t="s">
        <v>227</v>
      </c>
      <c r="C579" s="186" t="s">
        <v>9533</v>
      </c>
      <c r="D579" t="s">
        <v>1387</v>
      </c>
      <c r="E579" s="186">
        <v>12929735</v>
      </c>
      <c r="F579" t="s">
        <v>1388</v>
      </c>
      <c r="G579" t="s">
        <v>87</v>
      </c>
      <c r="H579" t="s">
        <v>9533</v>
      </c>
      <c r="I579" s="186">
        <v>3</v>
      </c>
      <c r="J579" t="s">
        <v>228</v>
      </c>
      <c r="K579" s="185">
        <v>31500</v>
      </c>
      <c r="L579" s="191">
        <v>44971.681759259256</v>
      </c>
    </row>
    <row r="580" spans="1:12" x14ac:dyDescent="0.3">
      <c r="A580" s="186">
        <v>21392</v>
      </c>
      <c r="B580" s="186">
        <v>10</v>
      </c>
      <c r="C580" s="186" t="s">
        <v>9534</v>
      </c>
      <c r="D580" t="s">
        <v>1387</v>
      </c>
      <c r="E580" s="186">
        <v>31673254</v>
      </c>
      <c r="F580" t="s">
        <v>1388</v>
      </c>
      <c r="G580" t="s">
        <v>87</v>
      </c>
      <c r="H580" t="s">
        <v>9534</v>
      </c>
      <c r="I580" s="186">
        <v>18</v>
      </c>
      <c r="J580" t="s">
        <v>133</v>
      </c>
      <c r="K580" s="185">
        <v>5634.5</v>
      </c>
      <c r="L580" s="191">
        <v>45015.684930555559</v>
      </c>
    </row>
    <row r="581" spans="1:12" x14ac:dyDescent="0.3">
      <c r="A581" s="186">
        <v>31556</v>
      </c>
      <c r="B581" s="186">
        <v>0</v>
      </c>
      <c r="C581" s="186" t="s">
        <v>9535</v>
      </c>
      <c r="D581" t="s">
        <v>1387</v>
      </c>
      <c r="E581" s="186">
        <v>16480034</v>
      </c>
      <c r="F581" t="s">
        <v>1388</v>
      </c>
      <c r="G581" t="s">
        <v>87</v>
      </c>
      <c r="H581" t="s">
        <v>9535</v>
      </c>
      <c r="I581" s="186">
        <v>3</v>
      </c>
      <c r="J581" t="s">
        <v>100</v>
      </c>
      <c r="K581" s="185">
        <v>97000</v>
      </c>
      <c r="L581" s="191">
        <v>44770.492245370369</v>
      </c>
    </row>
    <row r="582" spans="1:12" x14ac:dyDescent="0.3">
      <c r="A582" s="186">
        <v>2504</v>
      </c>
      <c r="B582" s="186">
        <v>0</v>
      </c>
      <c r="C582" s="186" t="s">
        <v>9536</v>
      </c>
      <c r="D582" t="s">
        <v>1394</v>
      </c>
      <c r="E582" s="186">
        <v>27786322</v>
      </c>
      <c r="G582" t="s">
        <v>87</v>
      </c>
      <c r="H582" t="s">
        <v>9536</v>
      </c>
      <c r="I582" s="186">
        <v>19</v>
      </c>
      <c r="J582" t="s">
        <v>100</v>
      </c>
      <c r="K582" s="185">
        <v>0</v>
      </c>
      <c r="L582" s="191">
        <v>44721.416863425926</v>
      </c>
    </row>
    <row r="583" spans="1:12" x14ac:dyDescent="0.3">
      <c r="A583" s="186">
        <v>31424</v>
      </c>
      <c r="B583" s="186" t="s">
        <v>1396</v>
      </c>
      <c r="C583" s="186" t="s">
        <v>9537</v>
      </c>
      <c r="D583" t="s">
        <v>1387</v>
      </c>
      <c r="E583" s="186">
        <v>14594896</v>
      </c>
      <c r="F583" t="s">
        <v>1388</v>
      </c>
      <c r="G583" t="s">
        <v>87</v>
      </c>
      <c r="H583" t="s">
        <v>9537</v>
      </c>
      <c r="I583" s="186">
        <v>3</v>
      </c>
      <c r="J583" t="s">
        <v>1397</v>
      </c>
      <c r="K583" s="185">
        <v>34517.56</v>
      </c>
      <c r="L583" s="191">
        <v>44736.573460648149</v>
      </c>
    </row>
    <row r="584" spans="1:12" x14ac:dyDescent="0.3">
      <c r="A584" s="186">
        <v>21051</v>
      </c>
      <c r="B584" s="186" t="s">
        <v>1457</v>
      </c>
      <c r="C584" s="186" t="s">
        <v>9538</v>
      </c>
      <c r="D584" t="s">
        <v>1387</v>
      </c>
      <c r="E584" s="186">
        <v>19657509</v>
      </c>
      <c r="F584" t="s">
        <v>1388</v>
      </c>
      <c r="G584" t="s">
        <v>87</v>
      </c>
      <c r="H584" t="s">
        <v>9538</v>
      </c>
      <c r="I584" s="186">
        <v>26</v>
      </c>
      <c r="J584" t="s">
        <v>1457</v>
      </c>
      <c r="K584" s="185">
        <v>27099.13</v>
      </c>
      <c r="L584" s="191">
        <v>44963.608344907407</v>
      </c>
    </row>
    <row r="585" spans="1:12" x14ac:dyDescent="0.3">
      <c r="A585" s="186">
        <v>21473</v>
      </c>
      <c r="B585" s="186" t="s">
        <v>195</v>
      </c>
      <c r="C585" s="186" t="s">
        <v>9539</v>
      </c>
      <c r="D585" t="s">
        <v>1387</v>
      </c>
      <c r="E585" s="186">
        <v>44761338</v>
      </c>
      <c r="F585" t="s">
        <v>1388</v>
      </c>
      <c r="G585" t="s">
        <v>87</v>
      </c>
      <c r="H585" t="s">
        <v>9539</v>
      </c>
      <c r="I585" s="186">
        <v>19</v>
      </c>
      <c r="J585" t="s">
        <v>196</v>
      </c>
      <c r="K585" s="185">
        <v>61913.19</v>
      </c>
      <c r="L585" s="191">
        <v>45029.397928240738</v>
      </c>
    </row>
    <row r="586" spans="1:12" x14ac:dyDescent="0.3">
      <c r="A586" s="186">
        <v>21518</v>
      </c>
      <c r="B586" s="192">
        <v>15</v>
      </c>
      <c r="C586" s="186" t="s">
        <v>9540</v>
      </c>
      <c r="D586" t="s">
        <v>1387</v>
      </c>
      <c r="E586" s="186">
        <v>10228340</v>
      </c>
      <c r="F586" t="s">
        <v>1388</v>
      </c>
      <c r="G586" t="s">
        <v>87</v>
      </c>
      <c r="H586" t="s">
        <v>9540</v>
      </c>
      <c r="I586" s="186">
        <v>37</v>
      </c>
      <c r="J586" t="s">
        <v>145</v>
      </c>
      <c r="K586" s="185">
        <v>113480.9</v>
      </c>
      <c r="L586" s="191">
        <v>45035.710972222223</v>
      </c>
    </row>
    <row r="587" spans="1:12" x14ac:dyDescent="0.3">
      <c r="A587" s="186">
        <v>31388</v>
      </c>
      <c r="B587" s="186" t="s">
        <v>1398</v>
      </c>
      <c r="C587" s="186" t="s">
        <v>9541</v>
      </c>
      <c r="D587" t="s">
        <v>1387</v>
      </c>
      <c r="E587" s="186">
        <v>10858291</v>
      </c>
      <c r="F587" t="s">
        <v>1388</v>
      </c>
      <c r="G587" t="s">
        <v>87</v>
      </c>
      <c r="H587" t="s">
        <v>9541</v>
      </c>
      <c r="I587" s="186">
        <v>19</v>
      </c>
      <c r="J587" t="s">
        <v>1399</v>
      </c>
      <c r="K587" s="185">
        <v>57233.93</v>
      </c>
      <c r="L587" s="191">
        <v>44725.480937499997</v>
      </c>
    </row>
    <row r="588" spans="1:12" x14ac:dyDescent="0.3">
      <c r="A588" s="186">
        <v>31396</v>
      </c>
      <c r="B588" s="186">
        <v>0</v>
      </c>
      <c r="C588" s="186" t="s">
        <v>9542</v>
      </c>
      <c r="D588" t="s">
        <v>1387</v>
      </c>
      <c r="E588" s="186">
        <v>29099910</v>
      </c>
      <c r="F588" t="s">
        <v>1388</v>
      </c>
      <c r="G588" t="s">
        <v>87</v>
      </c>
      <c r="H588" t="s">
        <v>9542</v>
      </c>
      <c r="I588" s="186">
        <v>37</v>
      </c>
      <c r="J588" t="s">
        <v>100</v>
      </c>
      <c r="K588" s="185">
        <v>122000</v>
      </c>
      <c r="L588" s="191">
        <v>44726.640081018515</v>
      </c>
    </row>
    <row r="589" spans="1:12" x14ac:dyDescent="0.3">
      <c r="A589" s="186">
        <v>31493</v>
      </c>
      <c r="B589" s="186">
        <v>-1</v>
      </c>
      <c r="C589" s="186" t="s">
        <v>9543</v>
      </c>
      <c r="D589" t="s">
        <v>1387</v>
      </c>
      <c r="E589" s="186">
        <v>4038581</v>
      </c>
      <c r="F589" t="s">
        <v>1388</v>
      </c>
      <c r="G589" t="s">
        <v>87</v>
      </c>
      <c r="H589" t="s">
        <v>9543</v>
      </c>
      <c r="I589" s="186">
        <v>10</v>
      </c>
      <c r="J589" t="s">
        <v>174</v>
      </c>
      <c r="K589" s="185">
        <v>36043.56</v>
      </c>
      <c r="L589" s="191">
        <v>44756.457442129627</v>
      </c>
    </row>
    <row r="590" spans="1:12" x14ac:dyDescent="0.3">
      <c r="A590" s="186">
        <v>2675</v>
      </c>
      <c r="B590" s="186">
        <v>20</v>
      </c>
      <c r="C590" s="186" t="s">
        <v>9544</v>
      </c>
      <c r="D590" t="s">
        <v>1387</v>
      </c>
      <c r="E590" s="186">
        <v>7954091</v>
      </c>
      <c r="F590" t="s">
        <v>1388</v>
      </c>
      <c r="G590" t="s">
        <v>87</v>
      </c>
      <c r="H590" t="s">
        <v>9544</v>
      </c>
      <c r="I590" s="186">
        <v>3</v>
      </c>
      <c r="J590" t="s">
        <v>148</v>
      </c>
      <c r="K590" s="185">
        <v>142787.29999999999</v>
      </c>
      <c r="L590" s="191">
        <v>44839.435925925929</v>
      </c>
    </row>
    <row r="591" spans="1:12" x14ac:dyDescent="0.3">
      <c r="A591" s="186">
        <v>2998</v>
      </c>
      <c r="B591" s="186">
        <v>0</v>
      </c>
      <c r="C591" s="186" t="s">
        <v>9545</v>
      </c>
      <c r="D591" t="s">
        <v>1387</v>
      </c>
      <c r="E591" s="186">
        <v>16539375</v>
      </c>
      <c r="F591" t="s">
        <v>1388</v>
      </c>
      <c r="G591" t="s">
        <v>87</v>
      </c>
      <c r="H591" t="s">
        <v>9545</v>
      </c>
      <c r="I591" s="186">
        <v>10</v>
      </c>
      <c r="J591" t="s">
        <v>100</v>
      </c>
      <c r="K591" s="185">
        <v>550000</v>
      </c>
      <c r="L591" s="191">
        <v>44953.622094907405</v>
      </c>
    </row>
    <row r="592" spans="1:12" x14ac:dyDescent="0.3">
      <c r="A592" s="186">
        <v>21175</v>
      </c>
      <c r="B592" s="186">
        <v>0</v>
      </c>
      <c r="C592" s="186" t="s">
        <v>9546</v>
      </c>
      <c r="D592" t="s">
        <v>1387</v>
      </c>
      <c r="E592" s="186">
        <v>86400789391</v>
      </c>
      <c r="F592" t="s">
        <v>1388</v>
      </c>
      <c r="G592" t="s">
        <v>87</v>
      </c>
      <c r="H592" t="s">
        <v>9546</v>
      </c>
      <c r="I592" s="186">
        <v>3</v>
      </c>
      <c r="J592" t="s">
        <v>100</v>
      </c>
      <c r="K592" s="185">
        <v>640000</v>
      </c>
      <c r="L592" s="191">
        <v>44981.406493055554</v>
      </c>
    </row>
    <row r="593" spans="1:12" x14ac:dyDescent="0.3">
      <c r="A593" s="186">
        <v>21449</v>
      </c>
      <c r="B593" s="186">
        <v>-1</v>
      </c>
      <c r="C593" s="186" t="s">
        <v>9547</v>
      </c>
      <c r="D593" t="s">
        <v>1387</v>
      </c>
      <c r="E593" s="186">
        <v>43200669</v>
      </c>
      <c r="F593" t="s">
        <v>1388</v>
      </c>
      <c r="G593" t="s">
        <v>87</v>
      </c>
      <c r="H593" t="s">
        <v>9547</v>
      </c>
      <c r="I593" s="186">
        <v>10</v>
      </c>
      <c r="J593" t="s">
        <v>174</v>
      </c>
      <c r="K593" s="185">
        <v>100000.02</v>
      </c>
      <c r="L593" s="191">
        <v>45026.54855324074</v>
      </c>
    </row>
    <row r="594" spans="1:12" x14ac:dyDescent="0.3">
      <c r="A594" s="186">
        <v>31984</v>
      </c>
      <c r="B594" s="186">
        <v>-1</v>
      </c>
      <c r="C594" s="186" t="s">
        <v>9548</v>
      </c>
      <c r="D594" t="s">
        <v>1387</v>
      </c>
      <c r="E594" s="186">
        <v>14752126</v>
      </c>
      <c r="F594" t="s">
        <v>1388</v>
      </c>
      <c r="G594" t="s">
        <v>87</v>
      </c>
      <c r="H594" t="s">
        <v>9548</v>
      </c>
      <c r="I594" s="186">
        <v>3</v>
      </c>
      <c r="J594" t="s">
        <v>174</v>
      </c>
      <c r="K594" s="185">
        <v>54658</v>
      </c>
      <c r="L594" s="191">
        <v>44895.683981481481</v>
      </c>
    </row>
    <row r="595" spans="1:12" x14ac:dyDescent="0.3">
      <c r="A595" s="186">
        <v>31680</v>
      </c>
      <c r="B595" s="186">
        <v>2</v>
      </c>
      <c r="C595" s="186" t="s">
        <v>9549</v>
      </c>
      <c r="D595" t="s">
        <v>1387</v>
      </c>
      <c r="E595" s="186">
        <v>3998869</v>
      </c>
      <c r="F595" t="s">
        <v>1388</v>
      </c>
      <c r="G595" t="s">
        <v>87</v>
      </c>
      <c r="H595" t="s">
        <v>9549</v>
      </c>
      <c r="I595" s="186">
        <v>24</v>
      </c>
      <c r="J595" t="s">
        <v>1261</v>
      </c>
      <c r="K595" s="185">
        <v>2013118.68</v>
      </c>
      <c r="L595" s="191">
        <v>44799.467013888891</v>
      </c>
    </row>
    <row r="596" spans="1:12" x14ac:dyDescent="0.3">
      <c r="A596" s="186">
        <v>31567</v>
      </c>
      <c r="B596" s="186" t="s">
        <v>227</v>
      </c>
      <c r="C596" s="186" t="s">
        <v>9550</v>
      </c>
      <c r="D596" t="s">
        <v>1387</v>
      </c>
      <c r="E596" s="186">
        <v>23381163</v>
      </c>
      <c r="F596" t="s">
        <v>1388</v>
      </c>
      <c r="G596" t="s">
        <v>87</v>
      </c>
      <c r="H596" t="s">
        <v>9550</v>
      </c>
      <c r="I596" s="186">
        <v>3</v>
      </c>
      <c r="J596" t="s">
        <v>228</v>
      </c>
      <c r="K596" s="185">
        <v>31320.080000000002</v>
      </c>
      <c r="L596" s="191">
        <v>44771.698750000003</v>
      </c>
    </row>
    <row r="597" spans="1:12" x14ac:dyDescent="0.3">
      <c r="A597" s="186">
        <v>31632</v>
      </c>
      <c r="B597" s="186">
        <v>15</v>
      </c>
      <c r="C597" s="186" t="s">
        <v>9551</v>
      </c>
      <c r="D597" t="s">
        <v>1387</v>
      </c>
      <c r="E597" s="186">
        <v>18238980</v>
      </c>
      <c r="F597" t="s">
        <v>1388</v>
      </c>
      <c r="G597" t="s">
        <v>87</v>
      </c>
      <c r="H597" t="s">
        <v>9551</v>
      </c>
      <c r="I597" s="186">
        <v>24</v>
      </c>
      <c r="J597" t="s">
        <v>145</v>
      </c>
      <c r="K597" s="185">
        <v>132350</v>
      </c>
      <c r="L597" s="191">
        <v>44784.719166666669</v>
      </c>
    </row>
    <row r="598" spans="1:12" x14ac:dyDescent="0.3">
      <c r="A598" s="186">
        <v>31648</v>
      </c>
      <c r="B598" s="186">
        <v>0</v>
      </c>
      <c r="C598" s="186" t="s">
        <v>9552</v>
      </c>
      <c r="D598" t="s">
        <v>1387</v>
      </c>
      <c r="E598" s="186">
        <v>5943917</v>
      </c>
      <c r="F598" t="s">
        <v>1388</v>
      </c>
      <c r="G598" t="s">
        <v>87</v>
      </c>
      <c r="H598" t="s">
        <v>9552</v>
      </c>
      <c r="I598" s="186">
        <v>10</v>
      </c>
      <c r="J598" t="s">
        <v>100</v>
      </c>
      <c r="K598" s="185">
        <v>88051.6</v>
      </c>
      <c r="L598" s="191">
        <v>44791.644675925927</v>
      </c>
    </row>
    <row r="599" spans="1:12" x14ac:dyDescent="0.3">
      <c r="A599" s="186">
        <v>2621</v>
      </c>
      <c r="B599" s="186">
        <v>0</v>
      </c>
      <c r="C599" s="186" t="s">
        <v>9553</v>
      </c>
      <c r="D599" t="s">
        <v>1387</v>
      </c>
      <c r="E599" s="186">
        <v>42509257</v>
      </c>
      <c r="F599" t="s">
        <v>1388</v>
      </c>
      <c r="G599" t="s">
        <v>87</v>
      </c>
      <c r="H599" t="s">
        <v>9553</v>
      </c>
      <c r="I599" s="186">
        <v>10</v>
      </c>
      <c r="J599" t="s">
        <v>100</v>
      </c>
      <c r="K599" s="185">
        <v>231964.28</v>
      </c>
      <c r="L599" s="191">
        <v>44804.416261574072</v>
      </c>
    </row>
    <row r="600" spans="1:12" x14ac:dyDescent="0.3">
      <c r="A600" s="186">
        <v>4558</v>
      </c>
      <c r="B600" s="186">
        <v>0</v>
      </c>
      <c r="C600" s="186" t="s">
        <v>9554</v>
      </c>
      <c r="D600" t="s">
        <v>1387</v>
      </c>
      <c r="E600" s="186">
        <v>34209835</v>
      </c>
      <c r="F600" t="s">
        <v>1388</v>
      </c>
      <c r="G600" t="s">
        <v>87</v>
      </c>
      <c r="H600" t="s">
        <v>9554</v>
      </c>
      <c r="I600" s="186">
        <v>10</v>
      </c>
      <c r="J600" t="s">
        <v>100</v>
      </c>
      <c r="K600" s="185">
        <v>1400</v>
      </c>
      <c r="L600" s="191">
        <v>45061.675532407404</v>
      </c>
    </row>
    <row r="601" spans="1:12" x14ac:dyDescent="0.3">
      <c r="A601" s="186">
        <v>21932</v>
      </c>
      <c r="B601" s="186">
        <v>0</v>
      </c>
      <c r="C601" s="186" t="s">
        <v>9555</v>
      </c>
      <c r="D601" t="s">
        <v>1387</v>
      </c>
      <c r="E601" s="186">
        <v>48368901</v>
      </c>
      <c r="F601" t="s">
        <v>1388</v>
      </c>
      <c r="G601" t="s">
        <v>87</v>
      </c>
      <c r="H601" t="s">
        <v>9555</v>
      </c>
      <c r="I601" s="186">
        <v>9</v>
      </c>
      <c r="J601" t="s">
        <v>100</v>
      </c>
      <c r="K601" s="185">
        <v>125000</v>
      </c>
      <c r="L601" s="191">
        <v>45106.415995370371</v>
      </c>
    </row>
    <row r="602" spans="1:12" x14ac:dyDescent="0.3">
      <c r="A602" s="186">
        <v>22707</v>
      </c>
      <c r="B602" s="186">
        <v>30</v>
      </c>
      <c r="C602" s="186" t="s">
        <v>9556</v>
      </c>
      <c r="D602" t="s">
        <v>1387</v>
      </c>
      <c r="E602" s="186">
        <v>4065033</v>
      </c>
      <c r="F602" t="s">
        <v>1388</v>
      </c>
      <c r="G602" t="s">
        <v>87</v>
      </c>
      <c r="H602" t="s">
        <v>9556</v>
      </c>
      <c r="I602" s="186">
        <v>38</v>
      </c>
      <c r="J602" t="s">
        <v>103</v>
      </c>
      <c r="K602" s="185">
        <v>147840</v>
      </c>
      <c r="L602" s="191">
        <v>45251.490717592591</v>
      </c>
    </row>
    <row r="603" spans="1:12" x14ac:dyDescent="0.3">
      <c r="A603" s="186">
        <v>22410</v>
      </c>
      <c r="B603" s="186">
        <v>15</v>
      </c>
      <c r="C603" s="186" t="s">
        <v>9557</v>
      </c>
      <c r="D603" t="s">
        <v>1387</v>
      </c>
      <c r="E603" s="186">
        <v>23776376</v>
      </c>
      <c r="F603" t="s">
        <v>1388</v>
      </c>
      <c r="G603" t="s">
        <v>87</v>
      </c>
      <c r="H603" t="s">
        <v>9557</v>
      </c>
      <c r="I603" s="186">
        <v>3</v>
      </c>
      <c r="J603" t="s">
        <v>145</v>
      </c>
      <c r="K603">
        <v>22499.13</v>
      </c>
      <c r="L603" s="191">
        <v>45191.375601851854</v>
      </c>
    </row>
    <row r="604" spans="1:12" x14ac:dyDescent="0.3">
      <c r="A604" s="186">
        <v>22784</v>
      </c>
      <c r="B604" s="186">
        <v>30</v>
      </c>
      <c r="C604" s="186" t="s">
        <v>9558</v>
      </c>
      <c r="D604" t="s">
        <v>1387</v>
      </c>
      <c r="E604" s="186">
        <v>49457168</v>
      </c>
      <c r="F604" t="s">
        <v>1388</v>
      </c>
      <c r="G604" t="s">
        <v>87</v>
      </c>
      <c r="H604" t="s">
        <v>9558</v>
      </c>
      <c r="I604" s="186">
        <v>3</v>
      </c>
      <c r="J604" t="s">
        <v>103</v>
      </c>
      <c r="K604" s="185">
        <v>7338.16</v>
      </c>
      <c r="L604" s="191">
        <v>45264.44226851852</v>
      </c>
    </row>
    <row r="605" spans="1:12" x14ac:dyDescent="0.3">
      <c r="A605" s="186">
        <v>21926</v>
      </c>
      <c r="B605" s="186">
        <v>0</v>
      </c>
      <c r="C605" s="186" t="s">
        <v>9559</v>
      </c>
      <c r="D605" t="s">
        <v>1387</v>
      </c>
      <c r="E605" s="186">
        <v>98391755304</v>
      </c>
      <c r="F605" t="s">
        <v>1388</v>
      </c>
      <c r="G605" t="s">
        <v>87</v>
      </c>
      <c r="H605" t="s">
        <v>9559</v>
      </c>
      <c r="I605" s="186">
        <v>9</v>
      </c>
      <c r="J605" t="s">
        <v>100</v>
      </c>
      <c r="K605" s="185">
        <v>420000</v>
      </c>
      <c r="L605" s="191">
        <v>45105.319444444445</v>
      </c>
    </row>
    <row r="606" spans="1:12" x14ac:dyDescent="0.3">
      <c r="A606" s="186">
        <v>22315</v>
      </c>
      <c r="B606" s="186" t="s">
        <v>249</v>
      </c>
      <c r="C606" s="186" t="s">
        <v>9560</v>
      </c>
      <c r="D606" t="s">
        <v>1395</v>
      </c>
      <c r="E606" s="186">
        <v>42699600</v>
      </c>
      <c r="G606" t="s">
        <v>87</v>
      </c>
      <c r="H606" t="s">
        <v>9560</v>
      </c>
      <c r="I606" s="186">
        <v>24</v>
      </c>
      <c r="J606" t="s">
        <v>250</v>
      </c>
      <c r="K606" s="185">
        <v>1144714</v>
      </c>
      <c r="L606" s="191">
        <v>45174.498692129629</v>
      </c>
    </row>
    <row r="607" spans="1:12" x14ac:dyDescent="0.3">
      <c r="A607" s="186">
        <v>22169</v>
      </c>
      <c r="B607" s="186">
        <v>0</v>
      </c>
      <c r="C607" s="186" t="s">
        <v>9561</v>
      </c>
      <c r="D607" t="s">
        <v>1387</v>
      </c>
      <c r="E607" s="186">
        <v>7192177</v>
      </c>
      <c r="F607" t="s">
        <v>1388</v>
      </c>
      <c r="G607" t="s">
        <v>87</v>
      </c>
      <c r="H607" t="s">
        <v>9561</v>
      </c>
      <c r="I607" s="186">
        <v>3</v>
      </c>
      <c r="J607" t="s">
        <v>100</v>
      </c>
      <c r="K607" s="185">
        <v>270000</v>
      </c>
      <c r="L607" s="191">
        <v>45145.693391203706</v>
      </c>
    </row>
    <row r="608" spans="1:12" x14ac:dyDescent="0.3">
      <c r="A608" s="186">
        <v>22370</v>
      </c>
      <c r="B608" s="186" t="s">
        <v>1389</v>
      </c>
      <c r="C608" s="186" t="s">
        <v>9562</v>
      </c>
      <c r="D608" t="s">
        <v>1387</v>
      </c>
      <c r="E608" s="186">
        <v>12929735</v>
      </c>
      <c r="F608" t="s">
        <v>1388</v>
      </c>
      <c r="G608" t="s">
        <v>87</v>
      </c>
      <c r="H608" t="s">
        <v>9562</v>
      </c>
      <c r="I608" s="186">
        <v>3</v>
      </c>
      <c r="J608" t="s">
        <v>1390</v>
      </c>
      <c r="K608">
        <v>32000</v>
      </c>
      <c r="L608" s="191">
        <v>45183.73709490741</v>
      </c>
    </row>
    <row r="609" spans="1:12" x14ac:dyDescent="0.3">
      <c r="A609" s="186">
        <v>4749</v>
      </c>
      <c r="B609" s="186">
        <v>0</v>
      </c>
      <c r="C609" s="186" t="s">
        <v>9563</v>
      </c>
      <c r="D609" t="s">
        <v>1394</v>
      </c>
      <c r="E609" s="186">
        <v>10279488</v>
      </c>
      <c r="G609" t="s">
        <v>87</v>
      </c>
      <c r="H609" t="s">
        <v>9563</v>
      </c>
      <c r="I609" s="186">
        <v>10</v>
      </c>
      <c r="J609" t="s">
        <v>100</v>
      </c>
      <c r="K609" s="185">
        <v>37072.06</v>
      </c>
      <c r="L609" s="191">
        <v>45233.637349537035</v>
      </c>
    </row>
    <row r="610" spans="1:12" x14ac:dyDescent="0.3">
      <c r="A610" s="186">
        <v>22861</v>
      </c>
      <c r="B610" s="186">
        <v>-1</v>
      </c>
      <c r="C610" s="186" t="s">
        <v>9564</v>
      </c>
      <c r="D610" t="s">
        <v>1387</v>
      </c>
      <c r="E610" s="186">
        <v>47136994</v>
      </c>
      <c r="F610" t="s">
        <v>1388</v>
      </c>
      <c r="G610" t="s">
        <v>87</v>
      </c>
      <c r="H610" t="s">
        <v>9564</v>
      </c>
      <c r="I610" s="186">
        <v>3</v>
      </c>
      <c r="J610" t="s">
        <v>174</v>
      </c>
      <c r="K610" s="185">
        <v>5250</v>
      </c>
      <c r="L610" s="191">
        <v>45280.379780092589</v>
      </c>
    </row>
    <row r="611" spans="1:12" x14ac:dyDescent="0.3">
      <c r="A611" s="186">
        <v>22871</v>
      </c>
      <c r="B611" s="186">
        <v>30</v>
      </c>
      <c r="C611" s="186" t="s">
        <v>9565</v>
      </c>
      <c r="D611" t="s">
        <v>1387</v>
      </c>
      <c r="E611" s="186">
        <v>42909409</v>
      </c>
      <c r="F611" t="s">
        <v>1388</v>
      </c>
      <c r="G611" t="s">
        <v>87</v>
      </c>
      <c r="H611" t="s">
        <v>9565</v>
      </c>
      <c r="I611" s="186">
        <v>18</v>
      </c>
      <c r="J611" t="s">
        <v>103</v>
      </c>
      <c r="K611" s="185">
        <v>17500</v>
      </c>
      <c r="L611" s="191">
        <v>45286.391053240739</v>
      </c>
    </row>
    <row r="612" spans="1:12" x14ac:dyDescent="0.3">
      <c r="A612" s="186">
        <v>21893</v>
      </c>
      <c r="B612" s="186">
        <v>0</v>
      </c>
      <c r="C612" s="186" t="s">
        <v>9566</v>
      </c>
      <c r="D612" t="s">
        <v>1387</v>
      </c>
      <c r="E612" s="186">
        <v>38501872687</v>
      </c>
      <c r="F612" t="s">
        <v>1388</v>
      </c>
      <c r="G612" t="s">
        <v>87</v>
      </c>
      <c r="H612" t="s">
        <v>9566</v>
      </c>
      <c r="I612" s="186">
        <v>3</v>
      </c>
      <c r="J612" t="s">
        <v>100</v>
      </c>
      <c r="K612" s="185">
        <v>10000</v>
      </c>
      <c r="L612" s="191">
        <v>45099.365451388891</v>
      </c>
    </row>
    <row r="613" spans="1:12" x14ac:dyDescent="0.3">
      <c r="A613" s="186">
        <v>22250</v>
      </c>
      <c r="B613" s="186">
        <v>45</v>
      </c>
      <c r="C613" s="186" t="s">
        <v>9567</v>
      </c>
      <c r="D613" t="s">
        <v>1387</v>
      </c>
      <c r="E613" s="186">
        <v>28789998</v>
      </c>
      <c r="F613" t="s">
        <v>1388</v>
      </c>
      <c r="G613" t="s">
        <v>87</v>
      </c>
      <c r="H613" t="s">
        <v>9567</v>
      </c>
      <c r="I613" s="186">
        <v>18</v>
      </c>
      <c r="J613" t="s">
        <v>106</v>
      </c>
      <c r="K613" s="185">
        <v>8151.88</v>
      </c>
      <c r="L613" s="191">
        <v>45160.617569444446</v>
      </c>
    </row>
    <row r="614" spans="1:12" x14ac:dyDescent="0.3">
      <c r="A614" s="186">
        <v>22295</v>
      </c>
      <c r="B614" s="186">
        <v>-1</v>
      </c>
      <c r="C614" s="186" t="s">
        <v>9568</v>
      </c>
      <c r="D614" t="s">
        <v>1387</v>
      </c>
      <c r="E614" s="186">
        <v>31430936</v>
      </c>
      <c r="F614" t="s">
        <v>1388</v>
      </c>
      <c r="G614" t="s">
        <v>87</v>
      </c>
      <c r="H614" t="s">
        <v>9568</v>
      </c>
      <c r="I614" s="186">
        <v>3</v>
      </c>
      <c r="J614" t="s">
        <v>174</v>
      </c>
      <c r="K614" s="185">
        <v>15694.17</v>
      </c>
      <c r="L614" s="191">
        <v>45168.423877314817</v>
      </c>
    </row>
    <row r="615" spans="1:12" x14ac:dyDescent="0.3">
      <c r="A615" s="186">
        <v>22376</v>
      </c>
      <c r="B615" s="186" t="s">
        <v>1396</v>
      </c>
      <c r="C615" s="186" t="s">
        <v>9569</v>
      </c>
      <c r="D615" t="s">
        <v>1387</v>
      </c>
      <c r="E615" s="186">
        <v>12929735</v>
      </c>
      <c r="F615" t="s">
        <v>1388</v>
      </c>
      <c r="G615" t="s">
        <v>87</v>
      </c>
      <c r="H615" t="s">
        <v>9569</v>
      </c>
      <c r="I615" s="186">
        <v>3</v>
      </c>
      <c r="J615" t="s">
        <v>1397</v>
      </c>
      <c r="K615" s="185">
        <v>60000</v>
      </c>
      <c r="L615" s="191">
        <v>45187.475046296298</v>
      </c>
    </row>
    <row r="616" spans="1:12" x14ac:dyDescent="0.3">
      <c r="A616" s="186">
        <v>22398</v>
      </c>
      <c r="B616" s="186">
        <v>15</v>
      </c>
      <c r="C616" s="186" t="s">
        <v>9570</v>
      </c>
      <c r="D616" t="s">
        <v>1387</v>
      </c>
      <c r="E616" s="186">
        <v>7605563</v>
      </c>
      <c r="F616" t="s">
        <v>1388</v>
      </c>
      <c r="G616" t="s">
        <v>87</v>
      </c>
      <c r="H616" t="s">
        <v>9570</v>
      </c>
      <c r="I616" s="186">
        <v>9</v>
      </c>
      <c r="J616" t="s">
        <v>145</v>
      </c>
      <c r="K616" s="185">
        <v>37000</v>
      </c>
      <c r="L616" s="191">
        <v>45189.49560185185</v>
      </c>
    </row>
    <row r="617" spans="1:12" x14ac:dyDescent="0.3">
      <c r="A617" s="186">
        <v>22960</v>
      </c>
      <c r="B617" s="186">
        <v>30</v>
      </c>
      <c r="C617" s="186" t="s">
        <v>9571</v>
      </c>
      <c r="D617" t="s">
        <v>1387</v>
      </c>
      <c r="E617" s="186">
        <v>82502196</v>
      </c>
      <c r="F617" t="s">
        <v>1388</v>
      </c>
      <c r="G617" t="s">
        <v>87</v>
      </c>
      <c r="H617" t="s">
        <v>9571</v>
      </c>
      <c r="I617" s="186">
        <v>3</v>
      </c>
      <c r="J617" t="s">
        <v>103</v>
      </c>
      <c r="K617" s="185">
        <v>10000</v>
      </c>
      <c r="L617" s="191">
        <v>45301.472372685188</v>
      </c>
    </row>
    <row r="618" spans="1:12" x14ac:dyDescent="0.3">
      <c r="A618" s="186">
        <v>21778</v>
      </c>
      <c r="B618" s="186">
        <v>0</v>
      </c>
      <c r="C618" s="186" t="s">
        <v>9572</v>
      </c>
      <c r="D618" t="s">
        <v>1387</v>
      </c>
      <c r="E618" s="186">
        <v>7994158</v>
      </c>
      <c r="F618" t="s">
        <v>1388</v>
      </c>
      <c r="G618" t="s">
        <v>87</v>
      </c>
      <c r="H618" t="s">
        <v>9572</v>
      </c>
      <c r="I618" s="186">
        <v>9</v>
      </c>
      <c r="J618" t="s">
        <v>100</v>
      </c>
      <c r="K618" s="185">
        <v>180000</v>
      </c>
      <c r="L618" s="191">
        <v>45078.479120370372</v>
      </c>
    </row>
    <row r="619" spans="1:12" x14ac:dyDescent="0.3">
      <c r="A619" s="186">
        <v>21940</v>
      </c>
      <c r="B619" s="186">
        <v>-1</v>
      </c>
      <c r="C619" s="186" t="s">
        <v>9573</v>
      </c>
      <c r="D619" t="s">
        <v>1387</v>
      </c>
      <c r="E619" s="186">
        <v>24556599</v>
      </c>
      <c r="F619" t="s">
        <v>1388</v>
      </c>
      <c r="G619" t="s">
        <v>87</v>
      </c>
      <c r="H619" t="s">
        <v>9573</v>
      </c>
      <c r="I619" s="186">
        <v>19</v>
      </c>
      <c r="J619" t="s">
        <v>174</v>
      </c>
      <c r="K619" s="185">
        <v>65000</v>
      </c>
      <c r="L619" s="191">
        <v>45106.642928240741</v>
      </c>
    </row>
    <row r="620" spans="1:12" x14ac:dyDescent="0.3">
      <c r="A620" s="186">
        <v>22212</v>
      </c>
      <c r="B620" s="186">
        <v>0</v>
      </c>
      <c r="C620" s="186" t="s">
        <v>9574</v>
      </c>
      <c r="D620" t="s">
        <v>1387</v>
      </c>
      <c r="E620" s="186">
        <v>49527911</v>
      </c>
      <c r="F620" t="s">
        <v>1388</v>
      </c>
      <c r="G620" t="s">
        <v>87</v>
      </c>
      <c r="H620" t="s">
        <v>9574</v>
      </c>
      <c r="I620" s="186">
        <v>43</v>
      </c>
      <c r="J620" t="s">
        <v>100</v>
      </c>
      <c r="K620" s="185">
        <v>300000</v>
      </c>
      <c r="L620" s="191">
        <v>45154.509722222225</v>
      </c>
    </row>
    <row r="621" spans="1:12" x14ac:dyDescent="0.3">
      <c r="A621" s="186">
        <v>21632</v>
      </c>
      <c r="B621" s="186" t="s">
        <v>1461</v>
      </c>
      <c r="C621" s="186" t="s">
        <v>9575</v>
      </c>
      <c r="D621" t="s">
        <v>1387</v>
      </c>
      <c r="E621" s="186">
        <v>36698080</v>
      </c>
      <c r="F621" t="s">
        <v>1388</v>
      </c>
      <c r="G621" t="s">
        <v>87</v>
      </c>
      <c r="H621" t="s">
        <v>9575</v>
      </c>
      <c r="I621" s="186">
        <v>37</v>
      </c>
      <c r="J621" t="s">
        <v>1462</v>
      </c>
      <c r="K621" s="185">
        <v>91445</v>
      </c>
      <c r="L621" s="191">
        <v>45058.524537037039</v>
      </c>
    </row>
    <row r="622" spans="1:12" x14ac:dyDescent="0.3">
      <c r="A622" s="186">
        <v>21844</v>
      </c>
      <c r="B622" s="186" t="s">
        <v>195</v>
      </c>
      <c r="C622" s="186" t="s">
        <v>9576</v>
      </c>
      <c r="D622" t="s">
        <v>1387</v>
      </c>
      <c r="E622" s="186">
        <v>7913656</v>
      </c>
      <c r="F622" t="s">
        <v>1388</v>
      </c>
      <c r="G622" t="s">
        <v>87</v>
      </c>
      <c r="H622" t="s">
        <v>9576</v>
      </c>
      <c r="I622" s="186">
        <v>3</v>
      </c>
      <c r="J622" t="s">
        <v>196</v>
      </c>
      <c r="K622" s="185">
        <v>27969.25</v>
      </c>
      <c r="L622" s="191">
        <v>45093.395578703705</v>
      </c>
    </row>
    <row r="623" spans="1:12" x14ac:dyDescent="0.3">
      <c r="A623" s="186">
        <v>22695</v>
      </c>
      <c r="B623" s="186">
        <v>30</v>
      </c>
      <c r="C623" s="186" t="s">
        <v>9577</v>
      </c>
      <c r="D623" t="s">
        <v>1387</v>
      </c>
      <c r="E623" s="186">
        <v>29316596</v>
      </c>
      <c r="F623" t="s">
        <v>1388</v>
      </c>
      <c r="G623" t="s">
        <v>87</v>
      </c>
      <c r="H623" t="s">
        <v>9577</v>
      </c>
      <c r="I623" s="186">
        <v>10</v>
      </c>
      <c r="J623" t="s">
        <v>103</v>
      </c>
      <c r="K623" s="185">
        <v>160000</v>
      </c>
      <c r="L623" s="191">
        <v>45246.710266203707</v>
      </c>
    </row>
    <row r="624" spans="1:12" x14ac:dyDescent="0.3">
      <c r="A624" s="186">
        <v>23308</v>
      </c>
      <c r="B624" s="186">
        <v>-1</v>
      </c>
      <c r="C624" s="186" t="s">
        <v>9578</v>
      </c>
      <c r="D624" t="s">
        <v>1387</v>
      </c>
      <c r="E624" s="186">
        <v>37324312</v>
      </c>
      <c r="F624" t="s">
        <v>1388</v>
      </c>
      <c r="G624" t="s">
        <v>87</v>
      </c>
      <c r="H624" t="s">
        <v>9578</v>
      </c>
      <c r="I624" s="186">
        <v>43</v>
      </c>
      <c r="J624" t="s">
        <v>174</v>
      </c>
      <c r="K624" s="185">
        <v>53259.11</v>
      </c>
      <c r="L624" s="191">
        <v>45342.490648148145</v>
      </c>
    </row>
    <row r="625" spans="1:12" x14ac:dyDescent="0.3">
      <c r="A625" s="186">
        <v>22286</v>
      </c>
      <c r="B625" s="186">
        <v>0</v>
      </c>
      <c r="C625" s="186" t="s">
        <v>9579</v>
      </c>
      <c r="D625" t="s">
        <v>1387</v>
      </c>
      <c r="E625" s="186">
        <v>48928934</v>
      </c>
      <c r="F625" t="s">
        <v>1388</v>
      </c>
      <c r="G625" t="s">
        <v>87</v>
      </c>
      <c r="H625" t="s">
        <v>9579</v>
      </c>
      <c r="I625" s="186">
        <v>19</v>
      </c>
      <c r="J625" t="s">
        <v>100</v>
      </c>
      <c r="K625" s="185">
        <v>29817.8</v>
      </c>
      <c r="L625" s="191">
        <v>45166.842175925929</v>
      </c>
    </row>
    <row r="626" spans="1:12" x14ac:dyDescent="0.3">
      <c r="A626" s="186">
        <v>22617</v>
      </c>
      <c r="B626" s="186">
        <v>-1</v>
      </c>
      <c r="C626" s="186" t="s">
        <v>9580</v>
      </c>
      <c r="D626" t="s">
        <v>1395</v>
      </c>
      <c r="E626" s="186">
        <v>10895505</v>
      </c>
      <c r="G626" t="s">
        <v>87</v>
      </c>
      <c r="H626" t="s">
        <v>9580</v>
      </c>
      <c r="I626" s="186">
        <v>10</v>
      </c>
      <c r="J626" t="s">
        <v>174</v>
      </c>
      <c r="K626" s="185">
        <v>15000</v>
      </c>
      <c r="L626" s="191">
        <v>45237.481134259258</v>
      </c>
    </row>
    <row r="627" spans="1:12" x14ac:dyDescent="0.3">
      <c r="A627" s="186">
        <v>22644</v>
      </c>
      <c r="B627" s="186">
        <v>30</v>
      </c>
      <c r="C627" s="186" t="s">
        <v>9581</v>
      </c>
      <c r="D627" t="s">
        <v>1387</v>
      </c>
      <c r="E627" s="186">
        <v>7522191</v>
      </c>
      <c r="F627" t="s">
        <v>1388</v>
      </c>
      <c r="G627" t="s">
        <v>87</v>
      </c>
      <c r="H627" t="s">
        <v>9581</v>
      </c>
      <c r="I627" s="186">
        <v>18</v>
      </c>
      <c r="J627" t="s">
        <v>103</v>
      </c>
      <c r="K627" s="185">
        <v>4008.96</v>
      </c>
      <c r="L627" s="191">
        <v>45239.619293981479</v>
      </c>
    </row>
    <row r="628" spans="1:12" x14ac:dyDescent="0.3">
      <c r="A628" s="186">
        <v>22144</v>
      </c>
      <c r="B628" s="186">
        <v>0</v>
      </c>
      <c r="C628" s="186" t="s">
        <v>9582</v>
      </c>
      <c r="D628" t="s">
        <v>1387</v>
      </c>
      <c r="E628" s="186">
        <v>19230218</v>
      </c>
      <c r="F628" t="s">
        <v>1388</v>
      </c>
      <c r="G628" t="s">
        <v>87</v>
      </c>
      <c r="H628" t="s">
        <v>9582</v>
      </c>
      <c r="I628" s="186">
        <v>3</v>
      </c>
      <c r="J628" t="s">
        <v>100</v>
      </c>
      <c r="K628" s="185">
        <v>270000</v>
      </c>
      <c r="L628" s="191">
        <v>45141.60292824074</v>
      </c>
    </row>
    <row r="629" spans="1:12" x14ac:dyDescent="0.3">
      <c r="A629" s="186">
        <v>22275</v>
      </c>
      <c r="B629" s="186">
        <v>0</v>
      </c>
      <c r="C629" s="186" t="s">
        <v>9583</v>
      </c>
      <c r="D629" t="s">
        <v>1387</v>
      </c>
      <c r="E629" s="186">
        <v>7522191</v>
      </c>
      <c r="F629" t="s">
        <v>1388</v>
      </c>
      <c r="G629" t="s">
        <v>87</v>
      </c>
      <c r="H629" t="s">
        <v>9583</v>
      </c>
      <c r="I629" s="186">
        <v>24</v>
      </c>
      <c r="J629" t="s">
        <v>100</v>
      </c>
      <c r="K629" s="185">
        <v>2672.66</v>
      </c>
      <c r="L629" s="191">
        <v>45163.440706018519</v>
      </c>
    </row>
    <row r="630" spans="1:12" x14ac:dyDescent="0.3">
      <c r="A630" s="186">
        <v>4638</v>
      </c>
      <c r="B630" s="186">
        <v>0</v>
      </c>
      <c r="C630" s="186" t="s">
        <v>9584</v>
      </c>
      <c r="D630" t="s">
        <v>1387</v>
      </c>
      <c r="E630" s="186">
        <v>34209835</v>
      </c>
      <c r="F630" t="s">
        <v>1388</v>
      </c>
      <c r="G630" t="s">
        <v>87</v>
      </c>
      <c r="H630" t="s">
        <v>9584</v>
      </c>
      <c r="I630" s="186">
        <v>10</v>
      </c>
      <c r="J630" t="s">
        <v>100</v>
      </c>
      <c r="K630" s="185">
        <v>1400</v>
      </c>
      <c r="L630" s="191">
        <v>45141.487488425926</v>
      </c>
    </row>
    <row r="631" spans="1:12" x14ac:dyDescent="0.3">
      <c r="A631" s="186">
        <v>22362</v>
      </c>
      <c r="B631" s="186" t="s">
        <v>1392</v>
      </c>
      <c r="C631" s="186" t="s">
        <v>9585</v>
      </c>
      <c r="D631" t="s">
        <v>1387</v>
      </c>
      <c r="E631" s="186">
        <v>48368901</v>
      </c>
      <c r="F631" t="s">
        <v>1388</v>
      </c>
      <c r="G631" t="s">
        <v>87</v>
      </c>
      <c r="H631" t="s">
        <v>9585</v>
      </c>
      <c r="I631" s="186">
        <v>9</v>
      </c>
      <c r="J631" t="s">
        <v>1393</v>
      </c>
      <c r="K631" s="185">
        <v>520000</v>
      </c>
      <c r="L631" s="191">
        <v>45183.382430555554</v>
      </c>
    </row>
    <row r="632" spans="1:12" x14ac:dyDescent="0.3">
      <c r="A632" s="186">
        <v>22911</v>
      </c>
      <c r="B632" s="186">
        <v>30</v>
      </c>
      <c r="C632" s="186" t="s">
        <v>9586</v>
      </c>
      <c r="D632" t="s">
        <v>1387</v>
      </c>
      <c r="E632" s="186">
        <v>61584223</v>
      </c>
      <c r="F632" t="s">
        <v>1388</v>
      </c>
      <c r="G632" t="s">
        <v>87</v>
      </c>
      <c r="H632" t="s">
        <v>9586</v>
      </c>
      <c r="I632" s="186">
        <v>3</v>
      </c>
      <c r="J632" t="s">
        <v>103</v>
      </c>
      <c r="K632" s="185">
        <v>9530.16</v>
      </c>
      <c r="L632" s="191">
        <v>45296.35833333333</v>
      </c>
    </row>
    <row r="633" spans="1:12" x14ac:dyDescent="0.3">
      <c r="A633" s="186">
        <v>22934</v>
      </c>
      <c r="B633" s="186" t="s">
        <v>222</v>
      </c>
      <c r="C633" s="186" t="s">
        <v>9587</v>
      </c>
      <c r="D633" t="s">
        <v>1387</v>
      </c>
      <c r="E633" s="186">
        <v>2535568</v>
      </c>
      <c r="F633" t="s">
        <v>1388</v>
      </c>
      <c r="G633" t="s">
        <v>87</v>
      </c>
      <c r="H633" t="s">
        <v>9587</v>
      </c>
      <c r="I633" s="186">
        <v>43</v>
      </c>
      <c r="J633" t="s">
        <v>223</v>
      </c>
      <c r="K633" s="185">
        <v>53259.11</v>
      </c>
      <c r="L633" s="191">
        <v>45300.373692129629</v>
      </c>
    </row>
    <row r="634" spans="1:12" x14ac:dyDescent="0.3">
      <c r="A634" s="186">
        <v>22694</v>
      </c>
      <c r="B634" s="186">
        <v>30</v>
      </c>
      <c r="C634" s="186" t="s">
        <v>9588</v>
      </c>
      <c r="D634" t="s">
        <v>1387</v>
      </c>
      <c r="E634" s="186">
        <v>33193996</v>
      </c>
      <c r="F634" t="s">
        <v>1388</v>
      </c>
      <c r="G634" t="s">
        <v>87</v>
      </c>
      <c r="H634" t="s">
        <v>9588</v>
      </c>
      <c r="I634" s="186">
        <v>10</v>
      </c>
      <c r="J634" t="s">
        <v>103</v>
      </c>
      <c r="K634" s="185">
        <v>57524.6</v>
      </c>
      <c r="L634" s="191">
        <v>45246.697523148148</v>
      </c>
    </row>
    <row r="635" spans="1:12" x14ac:dyDescent="0.3">
      <c r="A635" s="186">
        <v>23206</v>
      </c>
      <c r="B635" s="186">
        <v>0</v>
      </c>
      <c r="C635" s="186" t="s">
        <v>9589</v>
      </c>
      <c r="D635" t="s">
        <v>1387</v>
      </c>
      <c r="E635" s="186">
        <v>37058360</v>
      </c>
      <c r="F635" t="s">
        <v>1388</v>
      </c>
      <c r="G635" t="s">
        <v>87</v>
      </c>
      <c r="H635" t="s">
        <v>9589</v>
      </c>
      <c r="I635" s="186">
        <v>3</v>
      </c>
      <c r="J635" t="s">
        <v>100</v>
      </c>
      <c r="K635">
        <v>745000</v>
      </c>
      <c r="L635" s="191">
        <v>45328.395266203705</v>
      </c>
    </row>
    <row r="636" spans="1:12" x14ac:dyDescent="0.3">
      <c r="A636" s="186">
        <v>22229</v>
      </c>
      <c r="B636" s="186">
        <v>-1</v>
      </c>
      <c r="C636" s="186" t="s">
        <v>9590</v>
      </c>
      <c r="D636" t="s">
        <v>1387</v>
      </c>
      <c r="E636" s="186">
        <v>18011944</v>
      </c>
      <c r="F636" t="s">
        <v>1388</v>
      </c>
      <c r="G636" t="s">
        <v>87</v>
      </c>
      <c r="H636" t="s">
        <v>9590</v>
      </c>
      <c r="I636" s="186">
        <v>3</v>
      </c>
      <c r="J636" t="s">
        <v>174</v>
      </c>
      <c r="K636" s="185">
        <v>24555.83</v>
      </c>
      <c r="L636" s="191">
        <v>45156.67627314815</v>
      </c>
    </row>
    <row r="637" spans="1:12" x14ac:dyDescent="0.3">
      <c r="A637" s="186">
        <v>22274</v>
      </c>
      <c r="B637" s="186">
        <v>45</v>
      </c>
      <c r="C637" s="186" t="s">
        <v>9591</v>
      </c>
      <c r="D637" t="s">
        <v>1387</v>
      </c>
      <c r="E637" s="186">
        <v>28789998</v>
      </c>
      <c r="F637" t="s">
        <v>1388</v>
      </c>
      <c r="G637" t="s">
        <v>87</v>
      </c>
      <c r="H637" t="s">
        <v>9591</v>
      </c>
      <c r="I637" s="186">
        <v>18</v>
      </c>
      <c r="J637" t="s">
        <v>106</v>
      </c>
      <c r="K637" s="185">
        <v>8151.88</v>
      </c>
      <c r="L637" s="191">
        <v>45163.429305555554</v>
      </c>
    </row>
    <row r="638" spans="1:12" x14ac:dyDescent="0.3">
      <c r="A638" s="186">
        <v>4788</v>
      </c>
      <c r="B638" s="186">
        <v>30</v>
      </c>
      <c r="C638" s="186" t="s">
        <v>9592</v>
      </c>
      <c r="D638" t="s">
        <v>1387</v>
      </c>
      <c r="E638" s="186">
        <v>52749283</v>
      </c>
      <c r="F638" t="s">
        <v>1388</v>
      </c>
      <c r="G638" t="s">
        <v>87</v>
      </c>
      <c r="H638" t="s">
        <v>9592</v>
      </c>
      <c r="I638" s="186">
        <v>10</v>
      </c>
      <c r="J638" t="s">
        <v>103</v>
      </c>
      <c r="K638" s="185">
        <v>9800</v>
      </c>
      <c r="L638" s="191">
        <v>45301.469548611109</v>
      </c>
    </row>
    <row r="639" spans="1:12" x14ac:dyDescent="0.3">
      <c r="A639" s="186">
        <v>22321</v>
      </c>
      <c r="B639" s="186">
        <v>10</v>
      </c>
      <c r="C639" s="186" t="s">
        <v>9593</v>
      </c>
      <c r="D639" t="s">
        <v>1387</v>
      </c>
      <c r="E639" s="186">
        <v>50180042</v>
      </c>
      <c r="F639" t="s">
        <v>1388</v>
      </c>
      <c r="G639" t="s">
        <v>87</v>
      </c>
      <c r="H639" t="s">
        <v>9593</v>
      </c>
      <c r="I639" s="186">
        <v>10</v>
      </c>
      <c r="J639" t="s">
        <v>133</v>
      </c>
      <c r="K639" s="185">
        <v>8000</v>
      </c>
      <c r="L639" s="191">
        <v>45175.368611111109</v>
      </c>
    </row>
    <row r="640" spans="1:12" x14ac:dyDescent="0.3">
      <c r="A640" s="186">
        <v>22690</v>
      </c>
      <c r="B640" s="186">
        <v>-1</v>
      </c>
      <c r="C640" s="186" t="s">
        <v>9594</v>
      </c>
      <c r="D640" t="s">
        <v>1387</v>
      </c>
      <c r="E640" s="186">
        <v>54883194</v>
      </c>
      <c r="F640" t="s">
        <v>1388</v>
      </c>
      <c r="G640" t="s">
        <v>87</v>
      </c>
      <c r="H640" t="s">
        <v>9594</v>
      </c>
      <c r="I640" s="186">
        <v>10</v>
      </c>
      <c r="J640" t="s">
        <v>174</v>
      </c>
      <c r="K640" s="185">
        <v>315000</v>
      </c>
      <c r="L640" s="191">
        <v>45246.402245370373</v>
      </c>
    </row>
    <row r="641" spans="1:12" x14ac:dyDescent="0.3">
      <c r="A641" s="186">
        <v>23154</v>
      </c>
      <c r="B641" s="186">
        <v>-1</v>
      </c>
      <c r="C641" s="186" t="s">
        <v>9595</v>
      </c>
      <c r="D641" t="s">
        <v>1394</v>
      </c>
      <c r="E641" s="186">
        <v>19970115</v>
      </c>
      <c r="G641" t="s">
        <v>113</v>
      </c>
      <c r="H641" t="s">
        <v>9595</v>
      </c>
      <c r="I641" s="186">
        <v>3</v>
      </c>
      <c r="J641" t="s">
        <v>174</v>
      </c>
      <c r="K641" s="185">
        <v>0</v>
      </c>
      <c r="L641" s="191">
        <v>45321.355243055557</v>
      </c>
    </row>
    <row r="642" spans="1:12" x14ac:dyDescent="0.3">
      <c r="A642" s="186">
        <v>21666</v>
      </c>
      <c r="B642" s="186">
        <v>30</v>
      </c>
      <c r="C642" s="186" t="s">
        <v>9596</v>
      </c>
      <c r="D642" t="s">
        <v>1387</v>
      </c>
      <c r="E642" s="186">
        <v>684808</v>
      </c>
      <c r="F642" t="s">
        <v>1388</v>
      </c>
      <c r="G642" t="s">
        <v>87</v>
      </c>
      <c r="H642" t="s">
        <v>9596</v>
      </c>
      <c r="I642" s="186">
        <v>38</v>
      </c>
      <c r="J642" t="s">
        <v>103</v>
      </c>
      <c r="K642" s="185">
        <v>43160</v>
      </c>
      <c r="L642" s="191">
        <v>45064.703946759262</v>
      </c>
    </row>
    <row r="643" spans="1:12" x14ac:dyDescent="0.3">
      <c r="A643" s="186">
        <v>21941</v>
      </c>
      <c r="B643" s="186">
        <v>2</v>
      </c>
      <c r="C643" s="186" t="s">
        <v>9597</v>
      </c>
      <c r="D643" t="s">
        <v>1387</v>
      </c>
      <c r="E643" s="186">
        <v>22690912</v>
      </c>
      <c r="F643" t="s">
        <v>1388</v>
      </c>
      <c r="G643" t="s">
        <v>87</v>
      </c>
      <c r="H643" t="s">
        <v>9597</v>
      </c>
      <c r="I643" s="186">
        <v>3</v>
      </c>
      <c r="J643" t="s">
        <v>224</v>
      </c>
      <c r="K643" s="185">
        <v>0</v>
      </c>
      <c r="L643" s="191">
        <v>45106.660416666666</v>
      </c>
    </row>
    <row r="644" spans="1:12" x14ac:dyDescent="0.3">
      <c r="A644" s="186">
        <v>4756</v>
      </c>
      <c r="B644" s="186">
        <v>10</v>
      </c>
      <c r="C644" s="186" t="s">
        <v>9598</v>
      </c>
      <c r="D644" t="s">
        <v>1387</v>
      </c>
      <c r="E644" s="186">
        <v>52749283</v>
      </c>
      <c r="F644" t="s">
        <v>1388</v>
      </c>
      <c r="G644" t="s">
        <v>87</v>
      </c>
      <c r="H644" t="s">
        <v>9598</v>
      </c>
      <c r="I644" s="186">
        <v>10</v>
      </c>
      <c r="J644" t="s">
        <v>133</v>
      </c>
      <c r="K644" s="185">
        <v>2800</v>
      </c>
      <c r="L644" s="191">
        <v>45240.646215277775</v>
      </c>
    </row>
    <row r="645" spans="1:12" x14ac:dyDescent="0.3">
      <c r="A645" s="186">
        <v>23019</v>
      </c>
      <c r="B645" s="186">
        <v>0</v>
      </c>
      <c r="C645" s="186" t="s">
        <v>9599</v>
      </c>
      <c r="D645" t="s">
        <v>1394</v>
      </c>
      <c r="E645" s="186">
        <v>13623957</v>
      </c>
      <c r="G645" t="s">
        <v>87</v>
      </c>
      <c r="H645" t="s">
        <v>9599</v>
      </c>
      <c r="I645" s="186">
        <v>18</v>
      </c>
      <c r="J645" t="s">
        <v>100</v>
      </c>
      <c r="K645" s="185">
        <v>2679402.8199999998</v>
      </c>
      <c r="L645" s="191">
        <v>45306.723321759258</v>
      </c>
    </row>
    <row r="646" spans="1:12" x14ac:dyDescent="0.3">
      <c r="A646" s="186">
        <v>21626</v>
      </c>
      <c r="B646" s="186" t="s">
        <v>175</v>
      </c>
      <c r="C646" s="186" t="s">
        <v>9600</v>
      </c>
      <c r="D646" t="s">
        <v>1387</v>
      </c>
      <c r="E646" s="186">
        <v>54883194</v>
      </c>
      <c r="F646" t="s">
        <v>1388</v>
      </c>
      <c r="G646" t="s">
        <v>87</v>
      </c>
      <c r="H646" t="s">
        <v>9600</v>
      </c>
      <c r="I646" s="186">
        <v>10</v>
      </c>
      <c r="J646" t="s">
        <v>176</v>
      </c>
      <c r="K646" s="185">
        <v>18000</v>
      </c>
      <c r="L646" s="191">
        <v>45057.495162037034</v>
      </c>
    </row>
    <row r="647" spans="1:12" x14ac:dyDescent="0.3">
      <c r="A647" s="186">
        <v>23061</v>
      </c>
      <c r="B647" s="186">
        <v>30</v>
      </c>
      <c r="C647" s="186" t="s">
        <v>9601</v>
      </c>
      <c r="D647" t="s">
        <v>1387</v>
      </c>
      <c r="E647" s="186">
        <v>33592510</v>
      </c>
      <c r="F647" t="s">
        <v>1388</v>
      </c>
      <c r="G647" t="s">
        <v>87</v>
      </c>
      <c r="H647" t="s">
        <v>9601</v>
      </c>
      <c r="I647" s="186">
        <v>24</v>
      </c>
      <c r="J647" t="s">
        <v>103</v>
      </c>
      <c r="K647" s="185">
        <v>81007.94</v>
      </c>
      <c r="L647" s="191">
        <v>45310.754733796297</v>
      </c>
    </row>
    <row r="648" spans="1:12" x14ac:dyDescent="0.3">
      <c r="A648" s="186">
        <v>23062</v>
      </c>
      <c r="B648" s="186">
        <v>30</v>
      </c>
      <c r="C648" s="186" t="s">
        <v>9602</v>
      </c>
      <c r="D648" t="s">
        <v>1387</v>
      </c>
      <c r="E648" s="186">
        <v>29316596</v>
      </c>
      <c r="F648" t="s">
        <v>1388</v>
      </c>
      <c r="G648" t="s">
        <v>87</v>
      </c>
      <c r="H648" t="s">
        <v>9602</v>
      </c>
      <c r="I648" s="186">
        <v>9</v>
      </c>
      <c r="J648" t="s">
        <v>103</v>
      </c>
      <c r="K648" s="185">
        <v>28000</v>
      </c>
      <c r="L648" s="191">
        <v>45313.358738425923</v>
      </c>
    </row>
    <row r="649" spans="1:12" x14ac:dyDescent="0.3">
      <c r="A649" s="186">
        <v>23105</v>
      </c>
      <c r="B649" s="186">
        <v>-1</v>
      </c>
      <c r="C649" s="186" t="s">
        <v>9603</v>
      </c>
      <c r="D649" t="s">
        <v>1387</v>
      </c>
      <c r="E649" s="186">
        <v>8220952</v>
      </c>
      <c r="F649" t="s">
        <v>1388</v>
      </c>
      <c r="G649" t="s">
        <v>87</v>
      </c>
      <c r="H649" t="s">
        <v>9603</v>
      </c>
      <c r="I649" s="186">
        <v>43</v>
      </c>
      <c r="J649" t="s">
        <v>174</v>
      </c>
      <c r="K649" s="185">
        <v>23099.13</v>
      </c>
      <c r="L649" s="191">
        <v>45316.431956018518</v>
      </c>
    </row>
    <row r="650" spans="1:12" x14ac:dyDescent="0.3">
      <c r="A650" s="186">
        <v>23117</v>
      </c>
      <c r="B650" s="186">
        <v>-1</v>
      </c>
      <c r="C650" s="186" t="s">
        <v>9604</v>
      </c>
      <c r="D650" t="s">
        <v>1387</v>
      </c>
      <c r="E650" s="186">
        <v>25259523</v>
      </c>
      <c r="F650" t="s">
        <v>1388</v>
      </c>
      <c r="G650" t="s">
        <v>87</v>
      </c>
      <c r="H650" t="s">
        <v>9604</v>
      </c>
      <c r="I650" s="186">
        <v>3</v>
      </c>
      <c r="J650" t="s">
        <v>174</v>
      </c>
      <c r="K650" s="185">
        <v>294000</v>
      </c>
      <c r="L650" s="191">
        <v>45316.747569444444</v>
      </c>
    </row>
    <row r="651" spans="1:12" x14ac:dyDescent="0.3">
      <c r="A651" s="186">
        <v>21648</v>
      </c>
      <c r="B651" s="186">
        <v>-1</v>
      </c>
      <c r="C651" s="186" t="s">
        <v>9605</v>
      </c>
      <c r="D651" t="s">
        <v>1387</v>
      </c>
      <c r="E651" s="186">
        <v>4038581</v>
      </c>
      <c r="F651" t="s">
        <v>1388</v>
      </c>
      <c r="G651" t="s">
        <v>87</v>
      </c>
      <c r="H651" t="s">
        <v>9605</v>
      </c>
      <c r="I651" s="186">
        <v>10</v>
      </c>
      <c r="J651" t="s">
        <v>174</v>
      </c>
      <c r="K651" s="185">
        <v>63922.87</v>
      </c>
      <c r="L651" s="191">
        <v>45061.675902777781</v>
      </c>
    </row>
    <row r="652" spans="1:12" x14ac:dyDescent="0.3">
      <c r="A652" s="186">
        <v>21760</v>
      </c>
      <c r="B652" s="186">
        <v>10</v>
      </c>
      <c r="C652" s="186" t="s">
        <v>9606</v>
      </c>
      <c r="D652" t="s">
        <v>1387</v>
      </c>
      <c r="E652" s="186">
        <v>10685570</v>
      </c>
      <c r="F652" t="s">
        <v>1388</v>
      </c>
      <c r="G652" t="s">
        <v>87</v>
      </c>
      <c r="H652" t="s">
        <v>9606</v>
      </c>
      <c r="I652" s="186">
        <v>24</v>
      </c>
      <c r="J652" t="s">
        <v>133</v>
      </c>
      <c r="K652" s="185">
        <v>19820</v>
      </c>
      <c r="L652" s="191">
        <v>45075.740057870367</v>
      </c>
    </row>
    <row r="653" spans="1:12" x14ac:dyDescent="0.3">
      <c r="A653" s="186">
        <v>22577</v>
      </c>
      <c r="B653" s="186" t="s">
        <v>1398</v>
      </c>
      <c r="C653" s="186" t="s">
        <v>9607</v>
      </c>
      <c r="D653" t="s">
        <v>1387</v>
      </c>
      <c r="E653" s="186">
        <v>21048323</v>
      </c>
      <c r="F653" t="s">
        <v>1388</v>
      </c>
      <c r="G653" t="s">
        <v>87</v>
      </c>
      <c r="H653" t="s">
        <v>9607</v>
      </c>
      <c r="I653" s="186">
        <v>9</v>
      </c>
      <c r="J653" t="s">
        <v>1399</v>
      </c>
      <c r="K653" s="185">
        <v>300000</v>
      </c>
      <c r="L653" s="191">
        <v>45225.833055555559</v>
      </c>
    </row>
    <row r="654" spans="1:12" x14ac:dyDescent="0.3">
      <c r="A654" s="186">
        <v>22961</v>
      </c>
      <c r="B654" s="186">
        <v>0</v>
      </c>
      <c r="C654" s="186" t="s">
        <v>9608</v>
      </c>
      <c r="D654" t="s">
        <v>1387</v>
      </c>
      <c r="E654" s="186">
        <v>14863079</v>
      </c>
      <c r="F654" t="s">
        <v>1388</v>
      </c>
      <c r="G654" t="s">
        <v>87</v>
      </c>
      <c r="H654" t="s">
        <v>9608</v>
      </c>
      <c r="I654" s="186">
        <v>18</v>
      </c>
      <c r="J654" t="s">
        <v>100</v>
      </c>
      <c r="K654" s="185">
        <v>119907.61</v>
      </c>
      <c r="L654" s="191">
        <v>45301.47314814815</v>
      </c>
    </row>
    <row r="655" spans="1:12" x14ac:dyDescent="0.3">
      <c r="A655" s="186">
        <v>23225</v>
      </c>
      <c r="B655" s="186">
        <v>0</v>
      </c>
      <c r="C655" s="186" t="s">
        <v>9609</v>
      </c>
      <c r="D655" t="s">
        <v>1387</v>
      </c>
      <c r="E655" s="186">
        <v>29180099</v>
      </c>
      <c r="F655" t="s">
        <v>1388</v>
      </c>
      <c r="G655" t="s">
        <v>87</v>
      </c>
      <c r="H655" t="s">
        <v>9609</v>
      </c>
      <c r="I655" s="186">
        <v>9</v>
      </c>
      <c r="J655" t="s">
        <v>100</v>
      </c>
      <c r="K655" s="185">
        <v>1040000</v>
      </c>
      <c r="L655" s="191">
        <v>45329.361273148148</v>
      </c>
    </row>
    <row r="656" spans="1:12" x14ac:dyDescent="0.3">
      <c r="A656" s="186">
        <v>21687</v>
      </c>
      <c r="B656" s="186">
        <v>30</v>
      </c>
      <c r="C656" s="186" t="s">
        <v>9610</v>
      </c>
      <c r="D656" t="s">
        <v>1387</v>
      </c>
      <c r="E656" s="186">
        <v>684808</v>
      </c>
      <c r="F656" t="s">
        <v>1388</v>
      </c>
      <c r="G656" t="s">
        <v>87</v>
      </c>
      <c r="H656" t="s">
        <v>9610</v>
      </c>
      <c r="I656" s="186">
        <v>38</v>
      </c>
      <c r="J656" t="s">
        <v>103</v>
      </c>
      <c r="K656" s="185">
        <v>198200</v>
      </c>
      <c r="L656" s="191">
        <v>45068.60596064815</v>
      </c>
    </row>
    <row r="657" spans="1:12" x14ac:dyDescent="0.3">
      <c r="A657" s="186">
        <v>4810</v>
      </c>
      <c r="B657" s="186">
        <v>30</v>
      </c>
      <c r="C657" s="186" t="s">
        <v>9611</v>
      </c>
      <c r="D657" t="s">
        <v>1387</v>
      </c>
      <c r="E657" s="186">
        <v>52749283</v>
      </c>
      <c r="F657" t="s">
        <v>1388</v>
      </c>
      <c r="G657" t="s">
        <v>87</v>
      </c>
      <c r="H657" t="s">
        <v>9611</v>
      </c>
      <c r="I657" s="186">
        <v>10</v>
      </c>
      <c r="J657" t="s">
        <v>103</v>
      </c>
      <c r="K657" s="185">
        <v>4200</v>
      </c>
      <c r="L657" s="191">
        <v>45336.416377314818</v>
      </c>
    </row>
    <row r="658" spans="1:12" x14ac:dyDescent="0.3">
      <c r="A658" s="186">
        <v>21693</v>
      </c>
      <c r="B658" s="186" t="s">
        <v>1463</v>
      </c>
      <c r="C658" s="186" t="s">
        <v>9612</v>
      </c>
      <c r="D658" t="s">
        <v>1387</v>
      </c>
      <c r="E658" s="186">
        <v>50180042</v>
      </c>
      <c r="F658" t="s">
        <v>1388</v>
      </c>
      <c r="G658" t="s">
        <v>87</v>
      </c>
      <c r="H658" t="s">
        <v>9612</v>
      </c>
      <c r="I658" s="186">
        <v>10</v>
      </c>
      <c r="J658" t="s">
        <v>1464</v>
      </c>
      <c r="K658" s="185">
        <v>83153.05</v>
      </c>
      <c r="L658" s="191">
        <v>45068.636979166666</v>
      </c>
    </row>
    <row r="659" spans="1:12" x14ac:dyDescent="0.3">
      <c r="A659" s="186">
        <v>22243</v>
      </c>
      <c r="B659" s="186" t="s">
        <v>1392</v>
      </c>
      <c r="C659" s="186" t="s">
        <v>9613</v>
      </c>
      <c r="D659" t="s">
        <v>1387</v>
      </c>
      <c r="E659" s="186">
        <v>43787820</v>
      </c>
      <c r="F659" t="s">
        <v>1388</v>
      </c>
      <c r="G659" t="s">
        <v>87</v>
      </c>
      <c r="H659" t="s">
        <v>9613</v>
      </c>
      <c r="I659" s="186">
        <v>9</v>
      </c>
      <c r="J659" t="s">
        <v>1393</v>
      </c>
      <c r="K659" s="185">
        <v>310000</v>
      </c>
      <c r="L659" s="191">
        <v>45160.427048611113</v>
      </c>
    </row>
    <row r="660" spans="1:12" x14ac:dyDescent="0.3">
      <c r="A660" s="186">
        <v>22121</v>
      </c>
      <c r="B660" s="186" t="s">
        <v>1391</v>
      </c>
      <c r="C660" s="186" t="s">
        <v>9614</v>
      </c>
      <c r="D660" t="s">
        <v>1387</v>
      </c>
      <c r="E660" s="186">
        <v>5183066663</v>
      </c>
      <c r="F660" t="s">
        <v>1388</v>
      </c>
      <c r="G660" t="s">
        <v>87</v>
      </c>
      <c r="H660" t="s">
        <v>9614</v>
      </c>
      <c r="I660" s="186">
        <v>3</v>
      </c>
      <c r="J660" t="s">
        <v>1391</v>
      </c>
      <c r="K660" s="185">
        <v>330000</v>
      </c>
      <c r="L660" s="191">
        <v>45138.679710648146</v>
      </c>
    </row>
    <row r="661" spans="1:12" x14ac:dyDescent="0.3">
      <c r="A661" s="186">
        <v>22763</v>
      </c>
      <c r="B661" s="186">
        <v>30</v>
      </c>
      <c r="C661" s="186" t="s">
        <v>9615</v>
      </c>
      <c r="D661" t="s">
        <v>1387</v>
      </c>
      <c r="E661" s="186">
        <v>46573143</v>
      </c>
      <c r="F661" t="s">
        <v>1388</v>
      </c>
      <c r="G661" t="s">
        <v>87</v>
      </c>
      <c r="H661" t="s">
        <v>9615</v>
      </c>
      <c r="I661" s="186">
        <v>18</v>
      </c>
      <c r="J661" t="s">
        <v>103</v>
      </c>
      <c r="K661" s="185">
        <v>600</v>
      </c>
      <c r="L661" s="191">
        <v>45259.671469907407</v>
      </c>
    </row>
    <row r="662" spans="1:12" x14ac:dyDescent="0.3">
      <c r="A662" s="186">
        <v>22896</v>
      </c>
      <c r="B662" s="186" t="s">
        <v>1400</v>
      </c>
      <c r="C662" s="186" t="s">
        <v>9616</v>
      </c>
      <c r="D662" t="s">
        <v>1387</v>
      </c>
      <c r="E662" s="186">
        <v>12929735</v>
      </c>
      <c r="F662" t="s">
        <v>1388</v>
      </c>
      <c r="G662" t="s">
        <v>87</v>
      </c>
      <c r="H662" t="s">
        <v>9616</v>
      </c>
      <c r="I662" s="186">
        <v>3</v>
      </c>
      <c r="J662" t="s">
        <v>1401</v>
      </c>
      <c r="K662" s="185">
        <v>67185.09</v>
      </c>
      <c r="L662" s="191">
        <v>45294.436828703707</v>
      </c>
    </row>
    <row r="663" spans="1:12" x14ac:dyDescent="0.3">
      <c r="A663" s="186">
        <v>22910</v>
      </c>
      <c r="B663" s="186">
        <v>0</v>
      </c>
      <c r="C663" s="186" t="s">
        <v>9617</v>
      </c>
      <c r="D663" t="s">
        <v>1387</v>
      </c>
      <c r="E663" s="186">
        <v>7994158</v>
      </c>
      <c r="F663" t="s">
        <v>1388</v>
      </c>
      <c r="G663" t="s">
        <v>87</v>
      </c>
      <c r="H663" t="s">
        <v>9617</v>
      </c>
      <c r="I663" s="186">
        <v>9</v>
      </c>
      <c r="J663" t="s">
        <v>100</v>
      </c>
      <c r="K663" s="185">
        <v>180000</v>
      </c>
      <c r="L663" s="191">
        <v>45296.353472222225</v>
      </c>
    </row>
    <row r="664" spans="1:12" x14ac:dyDescent="0.3">
      <c r="A664" s="186">
        <v>22040</v>
      </c>
      <c r="B664" s="186">
        <v>0</v>
      </c>
      <c r="C664" s="186" t="s">
        <v>9618</v>
      </c>
      <c r="D664" t="s">
        <v>1387</v>
      </c>
      <c r="E664" s="186">
        <v>86400789391</v>
      </c>
      <c r="F664" t="s">
        <v>1388</v>
      </c>
      <c r="G664" t="s">
        <v>87</v>
      </c>
      <c r="H664" t="s">
        <v>9618</v>
      </c>
      <c r="I664" s="186">
        <v>3</v>
      </c>
      <c r="J664" t="s">
        <v>100</v>
      </c>
      <c r="K664" s="185">
        <v>930000</v>
      </c>
      <c r="L664" s="191">
        <v>45124.609097222223</v>
      </c>
    </row>
    <row r="665" spans="1:12" x14ac:dyDescent="0.3">
      <c r="A665" s="186">
        <v>23073</v>
      </c>
      <c r="B665" s="186" t="s">
        <v>1403</v>
      </c>
      <c r="C665" s="186" t="s">
        <v>9619</v>
      </c>
      <c r="D665" t="s">
        <v>1387</v>
      </c>
      <c r="E665" s="186">
        <v>15736596</v>
      </c>
      <c r="F665" t="s">
        <v>1388</v>
      </c>
      <c r="G665" t="s">
        <v>87</v>
      </c>
      <c r="H665" t="s">
        <v>9619</v>
      </c>
      <c r="I665" s="186">
        <v>19</v>
      </c>
      <c r="J665" t="s">
        <v>1404</v>
      </c>
      <c r="K665" s="185">
        <v>64400</v>
      </c>
      <c r="L665" s="191">
        <v>45313.682592592595</v>
      </c>
    </row>
    <row r="666" spans="1:12" x14ac:dyDescent="0.3">
      <c r="A666" s="186">
        <v>23286</v>
      </c>
      <c r="B666" s="186" t="s">
        <v>1407</v>
      </c>
      <c r="C666" s="186" t="s">
        <v>9620</v>
      </c>
      <c r="D666" t="s">
        <v>1387</v>
      </c>
      <c r="E666" s="186">
        <v>12929735</v>
      </c>
      <c r="F666" t="s">
        <v>1388</v>
      </c>
      <c r="G666" t="s">
        <v>87</v>
      </c>
      <c r="H666" t="s">
        <v>9620</v>
      </c>
      <c r="I666" s="186">
        <v>3</v>
      </c>
      <c r="J666" t="s">
        <v>1407</v>
      </c>
      <c r="K666" s="185">
        <v>48769.48</v>
      </c>
      <c r="L666" s="191">
        <v>45337.630219907405</v>
      </c>
    </row>
    <row r="667" spans="1:12" x14ac:dyDescent="0.3">
      <c r="A667" s="186">
        <v>23306</v>
      </c>
      <c r="B667" s="186">
        <v>30</v>
      </c>
      <c r="C667" s="186" t="s">
        <v>9621</v>
      </c>
      <c r="D667" t="s">
        <v>1387</v>
      </c>
      <c r="E667" s="186">
        <v>15800170</v>
      </c>
      <c r="F667" t="s">
        <v>1388</v>
      </c>
      <c r="G667" t="s">
        <v>87</v>
      </c>
      <c r="H667" t="s">
        <v>9621</v>
      </c>
      <c r="I667" s="186">
        <v>38</v>
      </c>
      <c r="J667" t="s">
        <v>103</v>
      </c>
      <c r="K667" s="185">
        <v>243812.31</v>
      </c>
      <c r="L667" s="191">
        <v>45341.753703703704</v>
      </c>
    </row>
    <row r="668" spans="1:12" x14ac:dyDescent="0.3">
      <c r="A668" s="186">
        <v>21952</v>
      </c>
      <c r="B668" s="186" t="s">
        <v>1389</v>
      </c>
      <c r="C668" s="186" t="s">
        <v>9622</v>
      </c>
      <c r="D668" t="s">
        <v>1387</v>
      </c>
      <c r="E668" s="186">
        <v>35203974</v>
      </c>
      <c r="F668" t="s">
        <v>1388</v>
      </c>
      <c r="G668" t="s">
        <v>87</v>
      </c>
      <c r="H668" t="s">
        <v>9622</v>
      </c>
      <c r="I668" s="186">
        <v>3</v>
      </c>
      <c r="J668" t="s">
        <v>1390</v>
      </c>
      <c r="K668" s="185">
        <v>310000</v>
      </c>
      <c r="L668" s="191">
        <v>45107.590300925927</v>
      </c>
    </row>
    <row r="669" spans="1:12" x14ac:dyDescent="0.3">
      <c r="A669" s="186">
        <v>22479</v>
      </c>
      <c r="B669" s="186">
        <v>0</v>
      </c>
      <c r="C669" s="186" t="s">
        <v>9623</v>
      </c>
      <c r="D669" t="s">
        <v>1387</v>
      </c>
      <c r="E669" s="186">
        <v>90109651120</v>
      </c>
      <c r="F669" t="s">
        <v>1388</v>
      </c>
      <c r="G669" t="s">
        <v>87</v>
      </c>
      <c r="H669" t="s">
        <v>9623</v>
      </c>
      <c r="I669" s="186">
        <v>9</v>
      </c>
      <c r="J669" t="s">
        <v>100</v>
      </c>
      <c r="K669" s="185">
        <v>495000</v>
      </c>
      <c r="L669" s="191">
        <v>45208.618506944447</v>
      </c>
    </row>
    <row r="670" spans="1:12" x14ac:dyDescent="0.3">
      <c r="A670" s="186">
        <v>22488</v>
      </c>
      <c r="B670" s="186">
        <v>-1</v>
      </c>
      <c r="C670" s="186" t="s">
        <v>9624</v>
      </c>
      <c r="D670" t="s">
        <v>1387</v>
      </c>
      <c r="E670" s="186">
        <v>18200245</v>
      </c>
      <c r="F670" t="s">
        <v>1388</v>
      </c>
      <c r="G670" t="s">
        <v>87</v>
      </c>
      <c r="H670" t="s">
        <v>9624</v>
      </c>
      <c r="I670" s="186">
        <v>10</v>
      </c>
      <c r="J670" t="s">
        <v>174</v>
      </c>
      <c r="K670" s="185">
        <v>398000</v>
      </c>
      <c r="L670" s="191">
        <v>45209.674571759257</v>
      </c>
    </row>
    <row r="671" spans="1:12" x14ac:dyDescent="0.3">
      <c r="A671" s="186">
        <v>21824</v>
      </c>
      <c r="B671" s="186">
        <v>30</v>
      </c>
      <c r="C671" s="186" t="s">
        <v>9625</v>
      </c>
      <c r="D671" t="s">
        <v>1387</v>
      </c>
      <c r="E671" s="186">
        <v>684808</v>
      </c>
      <c r="F671" t="s">
        <v>1388</v>
      </c>
      <c r="G671" t="s">
        <v>87</v>
      </c>
      <c r="H671" t="s">
        <v>9625</v>
      </c>
      <c r="I671" s="186">
        <v>38</v>
      </c>
      <c r="J671" t="s">
        <v>103</v>
      </c>
      <c r="K671" s="185">
        <v>153050</v>
      </c>
      <c r="L671" s="191">
        <v>45089.650370370371</v>
      </c>
    </row>
    <row r="672" spans="1:12" x14ac:dyDescent="0.3">
      <c r="A672" s="186">
        <v>22051</v>
      </c>
      <c r="B672" s="186">
        <v>0</v>
      </c>
      <c r="C672" s="186" t="s">
        <v>9626</v>
      </c>
      <c r="D672" t="s">
        <v>1387</v>
      </c>
      <c r="E672" s="186">
        <v>75911438</v>
      </c>
      <c r="F672" t="s">
        <v>1388</v>
      </c>
      <c r="G672" t="s">
        <v>87</v>
      </c>
      <c r="H672" t="s">
        <v>9626</v>
      </c>
      <c r="I672" s="186">
        <v>10</v>
      </c>
      <c r="J672" t="s">
        <v>100</v>
      </c>
      <c r="K672" s="185">
        <v>350000</v>
      </c>
      <c r="L672" s="191">
        <v>45125.665960648148</v>
      </c>
    </row>
    <row r="673" spans="1:12" x14ac:dyDescent="0.3">
      <c r="A673" s="186">
        <v>22076</v>
      </c>
      <c r="B673" s="186">
        <v>-1</v>
      </c>
      <c r="C673" s="186" t="s">
        <v>9627</v>
      </c>
      <c r="D673" t="s">
        <v>1387</v>
      </c>
      <c r="E673" s="186">
        <v>11099682</v>
      </c>
      <c r="F673" t="s">
        <v>1388</v>
      </c>
      <c r="G673" t="s">
        <v>87</v>
      </c>
      <c r="H673" t="s">
        <v>9627</v>
      </c>
      <c r="I673" s="186">
        <v>3</v>
      </c>
      <c r="J673" t="s">
        <v>174</v>
      </c>
      <c r="K673" s="185">
        <v>23000</v>
      </c>
      <c r="L673" s="191">
        <v>45131.627476851849</v>
      </c>
    </row>
    <row r="674" spans="1:12" x14ac:dyDescent="0.3">
      <c r="A674" s="186">
        <v>23301</v>
      </c>
      <c r="B674" s="186">
        <v>-1</v>
      </c>
      <c r="C674" s="186" t="s">
        <v>9628</v>
      </c>
      <c r="D674" t="s">
        <v>1387</v>
      </c>
      <c r="E674" s="186">
        <v>26286423</v>
      </c>
      <c r="F674" t="s">
        <v>1388</v>
      </c>
      <c r="G674" t="s">
        <v>87</v>
      </c>
      <c r="H674" t="s">
        <v>9628</v>
      </c>
      <c r="I674" s="186">
        <v>3</v>
      </c>
      <c r="J674" t="s">
        <v>174</v>
      </c>
      <c r="K674" s="185">
        <v>260000</v>
      </c>
      <c r="L674" s="191">
        <v>45341.457152777781</v>
      </c>
    </row>
    <row r="675" spans="1:12" x14ac:dyDescent="0.3">
      <c r="A675" s="186">
        <v>21855</v>
      </c>
      <c r="B675" s="186">
        <v>0</v>
      </c>
      <c r="C675" s="186" t="s">
        <v>9629</v>
      </c>
      <c r="D675" t="s">
        <v>1387</v>
      </c>
      <c r="E675" s="186">
        <v>36567323</v>
      </c>
      <c r="F675" t="s">
        <v>1388</v>
      </c>
      <c r="G675" t="s">
        <v>87</v>
      </c>
      <c r="H675" t="s">
        <v>9629</v>
      </c>
      <c r="I675" s="186">
        <v>3</v>
      </c>
      <c r="J675" t="s">
        <v>100</v>
      </c>
      <c r="K675" s="185">
        <v>192000</v>
      </c>
      <c r="L675" s="191">
        <v>45096.424432870372</v>
      </c>
    </row>
    <row r="676" spans="1:12" x14ac:dyDescent="0.3">
      <c r="A676" s="186">
        <v>22485</v>
      </c>
      <c r="B676" s="186">
        <v>0</v>
      </c>
      <c r="C676" s="186" t="s">
        <v>9630</v>
      </c>
      <c r="D676" t="s">
        <v>1387</v>
      </c>
      <c r="E676" s="186">
        <v>13927230197</v>
      </c>
      <c r="F676" t="s">
        <v>1388</v>
      </c>
      <c r="G676" t="s">
        <v>87</v>
      </c>
      <c r="H676" t="s">
        <v>9630</v>
      </c>
      <c r="I676" s="186">
        <v>9</v>
      </c>
      <c r="J676" t="s">
        <v>100</v>
      </c>
      <c r="K676" s="185">
        <v>495000</v>
      </c>
      <c r="L676" s="191">
        <v>45209.491712962961</v>
      </c>
    </row>
    <row r="677" spans="1:12" x14ac:dyDescent="0.3">
      <c r="A677" s="186">
        <v>22312</v>
      </c>
      <c r="B677" s="186">
        <v>-1</v>
      </c>
      <c r="C677" s="186" t="s">
        <v>9631</v>
      </c>
      <c r="D677" t="s">
        <v>1387</v>
      </c>
      <c r="E677" s="186">
        <v>31594097</v>
      </c>
      <c r="F677" t="s">
        <v>1388</v>
      </c>
      <c r="G677" t="s">
        <v>87</v>
      </c>
      <c r="H677" t="s">
        <v>9631</v>
      </c>
      <c r="I677" s="186">
        <v>10</v>
      </c>
      <c r="J677" t="s">
        <v>174</v>
      </c>
      <c r="K677" s="185">
        <v>23000</v>
      </c>
      <c r="L677" s="191">
        <v>45174.412222222221</v>
      </c>
    </row>
    <row r="678" spans="1:12" x14ac:dyDescent="0.3">
      <c r="A678" s="186">
        <v>22698</v>
      </c>
      <c r="B678" s="186">
        <v>0</v>
      </c>
      <c r="C678" s="186" t="s">
        <v>9632</v>
      </c>
      <c r="D678" t="s">
        <v>1387</v>
      </c>
      <c r="E678" s="186">
        <v>2864617307</v>
      </c>
      <c r="F678" t="s">
        <v>1388</v>
      </c>
      <c r="G678" t="s">
        <v>87</v>
      </c>
      <c r="H678" t="s">
        <v>9632</v>
      </c>
      <c r="I678" s="186">
        <v>9</v>
      </c>
      <c r="J678" t="s">
        <v>100</v>
      </c>
      <c r="K678" s="185">
        <v>390000</v>
      </c>
      <c r="L678" s="191">
        <v>45247.485601851855</v>
      </c>
    </row>
    <row r="679" spans="1:12" x14ac:dyDescent="0.3">
      <c r="A679" s="186">
        <v>22198</v>
      </c>
      <c r="B679" s="186">
        <v>30</v>
      </c>
      <c r="C679" s="186" t="s">
        <v>9633</v>
      </c>
      <c r="D679" t="s">
        <v>1387</v>
      </c>
      <c r="E679" s="186">
        <v>5603711</v>
      </c>
      <c r="F679" t="s">
        <v>1388</v>
      </c>
      <c r="G679" t="s">
        <v>87</v>
      </c>
      <c r="H679" t="s">
        <v>9633</v>
      </c>
      <c r="I679" s="186">
        <v>42</v>
      </c>
      <c r="J679" t="s">
        <v>103</v>
      </c>
      <c r="K679" s="185">
        <v>391480.46</v>
      </c>
      <c r="L679" s="191">
        <v>45149.376030092593</v>
      </c>
    </row>
    <row r="680" spans="1:12" x14ac:dyDescent="0.3">
      <c r="A680" s="186">
        <v>22141</v>
      </c>
      <c r="B680" s="186">
        <v>-1</v>
      </c>
      <c r="C680" s="186" t="s">
        <v>9634</v>
      </c>
      <c r="D680" t="s">
        <v>1387</v>
      </c>
      <c r="E680" s="186">
        <v>31430936</v>
      </c>
      <c r="F680" t="s">
        <v>1388</v>
      </c>
      <c r="G680" t="s">
        <v>87</v>
      </c>
      <c r="H680" t="s">
        <v>9634</v>
      </c>
      <c r="I680" s="186">
        <v>3</v>
      </c>
      <c r="J680" t="s">
        <v>174</v>
      </c>
      <c r="K680">
        <v>17000</v>
      </c>
      <c r="L680" s="191">
        <v>45141.47457175926</v>
      </c>
    </row>
    <row r="681" spans="1:12" x14ac:dyDescent="0.3">
      <c r="A681" s="186">
        <v>4695</v>
      </c>
      <c r="C681" s="186" t="s">
        <v>9635</v>
      </c>
      <c r="D681" t="s">
        <v>1394</v>
      </c>
      <c r="E681" s="186">
        <v>9250729</v>
      </c>
      <c r="G681" t="s">
        <v>87</v>
      </c>
      <c r="H681" t="s">
        <v>9635</v>
      </c>
      <c r="I681" s="186">
        <v>3</v>
      </c>
      <c r="K681" s="185">
        <v>0</v>
      </c>
      <c r="L681" s="191">
        <v>45177.434236111112</v>
      </c>
    </row>
    <row r="682" spans="1:12" x14ac:dyDescent="0.3">
      <c r="A682" s="186">
        <v>22969</v>
      </c>
      <c r="B682" s="186">
        <v>-1</v>
      </c>
      <c r="C682" s="186" t="s">
        <v>9636</v>
      </c>
      <c r="D682" t="s">
        <v>1387</v>
      </c>
      <c r="E682" s="186">
        <v>62694464220</v>
      </c>
      <c r="F682" t="s">
        <v>1388</v>
      </c>
      <c r="G682" t="s">
        <v>87</v>
      </c>
      <c r="H682" t="s">
        <v>9636</v>
      </c>
      <c r="I682" s="186">
        <v>10</v>
      </c>
      <c r="J682" t="s">
        <v>174</v>
      </c>
      <c r="K682">
        <v>290000</v>
      </c>
      <c r="L682" s="191">
        <v>45301.618518518517</v>
      </c>
    </row>
    <row r="683" spans="1:12" x14ac:dyDescent="0.3">
      <c r="A683" s="186">
        <v>21713</v>
      </c>
      <c r="B683" s="186">
        <v>0</v>
      </c>
      <c r="C683" s="186" t="s">
        <v>9637</v>
      </c>
      <c r="D683" t="s">
        <v>1387</v>
      </c>
      <c r="E683" s="186">
        <v>10279488</v>
      </c>
      <c r="F683" t="s">
        <v>1388</v>
      </c>
      <c r="G683" t="s">
        <v>87</v>
      </c>
      <c r="H683" t="s">
        <v>9637</v>
      </c>
      <c r="I683" s="186">
        <v>18</v>
      </c>
      <c r="J683" t="s">
        <v>100</v>
      </c>
      <c r="K683" s="185">
        <v>96000</v>
      </c>
      <c r="L683" s="191">
        <v>45069.718078703707</v>
      </c>
    </row>
    <row r="684" spans="1:12" x14ac:dyDescent="0.3">
      <c r="A684" s="186">
        <v>21929</v>
      </c>
      <c r="B684" s="186">
        <v>-1</v>
      </c>
      <c r="C684" s="186" t="s">
        <v>9638</v>
      </c>
      <c r="D684" t="s">
        <v>1387</v>
      </c>
      <c r="E684" s="186">
        <v>47136994</v>
      </c>
      <c r="F684" t="s">
        <v>1388</v>
      </c>
      <c r="G684" t="s">
        <v>87</v>
      </c>
      <c r="H684" t="s">
        <v>9638</v>
      </c>
      <c r="I684" s="186">
        <v>3</v>
      </c>
      <c r="J684" t="s">
        <v>174</v>
      </c>
      <c r="K684" s="185">
        <v>36450</v>
      </c>
      <c r="L684" s="191">
        <v>45105.605254629627</v>
      </c>
    </row>
    <row r="685" spans="1:12" x14ac:dyDescent="0.3">
      <c r="A685" s="186">
        <v>22718</v>
      </c>
      <c r="B685" s="186">
        <v>30</v>
      </c>
      <c r="C685" s="186" t="s">
        <v>9639</v>
      </c>
      <c r="D685" t="s">
        <v>1387</v>
      </c>
      <c r="E685" s="186">
        <v>29316596</v>
      </c>
      <c r="F685" t="s">
        <v>1388</v>
      </c>
      <c r="G685" t="s">
        <v>87</v>
      </c>
      <c r="H685" t="s">
        <v>9639</v>
      </c>
      <c r="I685" s="186">
        <v>9</v>
      </c>
      <c r="J685" t="s">
        <v>103</v>
      </c>
      <c r="K685" s="185">
        <v>160000</v>
      </c>
      <c r="L685" s="191">
        <v>45251.708344907405</v>
      </c>
    </row>
    <row r="686" spans="1:12" x14ac:dyDescent="0.3">
      <c r="A686" s="186">
        <v>23262</v>
      </c>
      <c r="B686" s="186">
        <v>0</v>
      </c>
      <c r="C686" s="186" t="s">
        <v>9640</v>
      </c>
      <c r="D686" t="s">
        <v>1387</v>
      </c>
      <c r="E686" s="186">
        <v>29649374272</v>
      </c>
      <c r="F686" t="s">
        <v>1388</v>
      </c>
      <c r="G686" t="s">
        <v>87</v>
      </c>
      <c r="H686" t="s">
        <v>9640</v>
      </c>
      <c r="I686" s="186">
        <v>10</v>
      </c>
      <c r="J686" t="s">
        <v>100</v>
      </c>
      <c r="K686" s="185">
        <v>425000</v>
      </c>
      <c r="L686" s="191">
        <v>45334.7421875</v>
      </c>
    </row>
    <row r="687" spans="1:12" x14ac:dyDescent="0.3">
      <c r="A687" s="186">
        <v>23295</v>
      </c>
      <c r="B687" s="186">
        <v>30</v>
      </c>
      <c r="C687" s="186" t="s">
        <v>9641</v>
      </c>
      <c r="D687" t="s">
        <v>1387</v>
      </c>
      <c r="E687" s="186">
        <v>46155662</v>
      </c>
      <c r="F687" t="s">
        <v>1388</v>
      </c>
      <c r="G687" t="s">
        <v>87</v>
      </c>
      <c r="H687" t="s">
        <v>9641</v>
      </c>
      <c r="I687" s="186">
        <v>26</v>
      </c>
      <c r="J687" t="s">
        <v>103</v>
      </c>
      <c r="K687" s="185">
        <v>67391.509999999995</v>
      </c>
      <c r="L687" s="191">
        <v>45338.453275462962</v>
      </c>
    </row>
    <row r="688" spans="1:12" x14ac:dyDescent="0.3">
      <c r="A688" s="186">
        <v>22329</v>
      </c>
      <c r="B688" s="186">
        <v>-1</v>
      </c>
      <c r="C688" s="186" t="s">
        <v>9642</v>
      </c>
      <c r="D688" t="s">
        <v>1387</v>
      </c>
      <c r="E688" s="186">
        <v>35833933</v>
      </c>
      <c r="F688" t="s">
        <v>1388</v>
      </c>
      <c r="G688" t="s">
        <v>87</v>
      </c>
      <c r="H688" t="s">
        <v>9642</v>
      </c>
      <c r="I688" s="186">
        <v>3</v>
      </c>
      <c r="J688" t="s">
        <v>174</v>
      </c>
      <c r="K688">
        <v>170000</v>
      </c>
      <c r="L688" s="191">
        <v>45177.392291666663</v>
      </c>
    </row>
    <row r="689" spans="1:12" x14ac:dyDescent="0.3">
      <c r="A689" s="186">
        <v>4694</v>
      </c>
      <c r="C689" s="186" t="s">
        <v>9643</v>
      </c>
      <c r="D689" t="s">
        <v>1394</v>
      </c>
      <c r="E689" s="186">
        <v>7762066</v>
      </c>
      <c r="G689" t="s">
        <v>87</v>
      </c>
      <c r="H689" t="s">
        <v>9643</v>
      </c>
      <c r="I689" s="186">
        <v>3</v>
      </c>
      <c r="K689" s="185">
        <v>0</v>
      </c>
      <c r="L689" s="191">
        <v>45177.403715277775</v>
      </c>
    </row>
    <row r="690" spans="1:12" x14ac:dyDescent="0.3">
      <c r="A690" s="186">
        <v>22412</v>
      </c>
      <c r="B690" s="186">
        <v>-1</v>
      </c>
      <c r="C690" s="186" t="s">
        <v>9644</v>
      </c>
      <c r="D690" t="s">
        <v>1387</v>
      </c>
      <c r="E690" s="186">
        <v>10584342</v>
      </c>
      <c r="F690" t="s">
        <v>1388</v>
      </c>
      <c r="G690" t="s">
        <v>87</v>
      </c>
      <c r="H690" t="s">
        <v>9644</v>
      </c>
      <c r="I690" s="186">
        <v>10</v>
      </c>
      <c r="J690" t="s">
        <v>174</v>
      </c>
      <c r="K690" s="185">
        <v>39765.78</v>
      </c>
      <c r="L690" s="191">
        <v>45192.325868055559</v>
      </c>
    </row>
    <row r="691" spans="1:12" x14ac:dyDescent="0.3">
      <c r="A691" s="186">
        <v>22659</v>
      </c>
      <c r="B691" s="186" t="s">
        <v>1396</v>
      </c>
      <c r="C691" s="186" t="s">
        <v>9645</v>
      </c>
      <c r="D691" t="s">
        <v>1387</v>
      </c>
      <c r="E691" s="186">
        <v>12929735</v>
      </c>
      <c r="F691" t="s">
        <v>1388</v>
      </c>
      <c r="G691" t="s">
        <v>87</v>
      </c>
      <c r="H691" t="s">
        <v>9645</v>
      </c>
      <c r="I691" s="186">
        <v>3</v>
      </c>
      <c r="J691" t="s">
        <v>1397</v>
      </c>
      <c r="K691" s="185">
        <v>25819.14</v>
      </c>
      <c r="L691" s="191">
        <v>45240.668078703704</v>
      </c>
    </row>
    <row r="692" spans="1:12" x14ac:dyDescent="0.3">
      <c r="A692" s="186">
        <v>22008</v>
      </c>
      <c r="B692" s="186">
        <v>0</v>
      </c>
      <c r="C692" s="186" t="s">
        <v>9646</v>
      </c>
      <c r="D692" t="s">
        <v>1387</v>
      </c>
      <c r="E692" s="186">
        <v>20488780</v>
      </c>
      <c r="F692" t="s">
        <v>1388</v>
      </c>
      <c r="G692" t="s">
        <v>87</v>
      </c>
      <c r="H692" t="s">
        <v>9646</v>
      </c>
      <c r="I692" s="186">
        <v>10</v>
      </c>
      <c r="J692" t="s">
        <v>100</v>
      </c>
      <c r="K692" s="185">
        <v>520000</v>
      </c>
      <c r="L692" s="191">
        <v>45118.62128472222</v>
      </c>
    </row>
    <row r="693" spans="1:12" x14ac:dyDescent="0.3">
      <c r="A693" s="186">
        <v>22368</v>
      </c>
      <c r="B693" s="186">
        <v>0</v>
      </c>
      <c r="C693" s="186" t="s">
        <v>9647</v>
      </c>
      <c r="D693" t="s">
        <v>1387</v>
      </c>
      <c r="E693" s="186">
        <v>51597035</v>
      </c>
      <c r="F693" t="s">
        <v>1388</v>
      </c>
      <c r="G693" t="s">
        <v>87</v>
      </c>
      <c r="H693" t="s">
        <v>9647</v>
      </c>
      <c r="I693" s="186">
        <v>3</v>
      </c>
      <c r="J693" t="s">
        <v>100</v>
      </c>
      <c r="K693" s="185">
        <v>350000</v>
      </c>
      <c r="L693" s="191">
        <v>45183.630787037036</v>
      </c>
    </row>
    <row r="694" spans="1:12" x14ac:dyDescent="0.3">
      <c r="A694" s="186">
        <v>4705</v>
      </c>
      <c r="B694" s="186">
        <v>60</v>
      </c>
      <c r="C694" s="186" t="s">
        <v>9648</v>
      </c>
      <c r="D694" t="s">
        <v>1387</v>
      </c>
      <c r="E694" s="186">
        <v>17227422</v>
      </c>
      <c r="F694" t="s">
        <v>1388</v>
      </c>
      <c r="G694" t="s">
        <v>87</v>
      </c>
      <c r="H694" t="s">
        <v>9648</v>
      </c>
      <c r="I694" s="186">
        <v>3</v>
      </c>
      <c r="J694" t="s">
        <v>97</v>
      </c>
      <c r="K694" s="185">
        <v>106747.35</v>
      </c>
      <c r="L694" s="191">
        <v>45188.422789351855</v>
      </c>
    </row>
    <row r="695" spans="1:12" x14ac:dyDescent="0.3">
      <c r="A695" s="186">
        <v>22544</v>
      </c>
      <c r="B695" s="186">
        <v>-1</v>
      </c>
      <c r="C695" s="186" t="s">
        <v>9649</v>
      </c>
      <c r="D695" t="s">
        <v>1387</v>
      </c>
      <c r="E695" s="186">
        <v>15010167</v>
      </c>
      <c r="F695" t="s">
        <v>1388</v>
      </c>
      <c r="G695" t="s">
        <v>87</v>
      </c>
      <c r="H695" t="s">
        <v>9649</v>
      </c>
      <c r="I695" s="186">
        <v>38</v>
      </c>
      <c r="J695" t="s">
        <v>174</v>
      </c>
      <c r="K695" s="185">
        <v>20729.96</v>
      </c>
      <c r="L695" s="191">
        <v>45219.665300925924</v>
      </c>
    </row>
    <row r="696" spans="1:12" x14ac:dyDescent="0.3">
      <c r="A696" s="186">
        <v>22597</v>
      </c>
      <c r="B696" s="186">
        <v>0</v>
      </c>
      <c r="C696" s="186" t="s">
        <v>9650</v>
      </c>
      <c r="D696" t="s">
        <v>1394</v>
      </c>
      <c r="E696" s="186">
        <v>14267717</v>
      </c>
      <c r="G696" t="s">
        <v>87</v>
      </c>
      <c r="H696" t="s">
        <v>9650</v>
      </c>
      <c r="I696" s="186">
        <v>9</v>
      </c>
      <c r="J696" t="s">
        <v>100</v>
      </c>
      <c r="K696" s="185">
        <v>0</v>
      </c>
      <c r="L696" s="191">
        <v>45231.535428240742</v>
      </c>
    </row>
    <row r="697" spans="1:12" x14ac:dyDescent="0.3">
      <c r="A697" s="186">
        <v>21933</v>
      </c>
      <c r="B697" s="186">
        <v>-1</v>
      </c>
      <c r="C697" s="186" t="s">
        <v>9651</v>
      </c>
      <c r="D697" t="s">
        <v>1387</v>
      </c>
      <c r="E697" s="186">
        <v>5701136</v>
      </c>
      <c r="F697" t="s">
        <v>1388</v>
      </c>
      <c r="G697" t="s">
        <v>87</v>
      </c>
      <c r="H697" t="s">
        <v>9651</v>
      </c>
      <c r="I697" s="186">
        <v>18</v>
      </c>
      <c r="J697" t="s">
        <v>174</v>
      </c>
      <c r="K697">
        <v>8165.38</v>
      </c>
      <c r="L697" s="191">
        <v>45106.421851851854</v>
      </c>
    </row>
    <row r="698" spans="1:12" x14ac:dyDescent="0.3">
      <c r="A698" s="186">
        <v>22009</v>
      </c>
      <c r="B698" s="186">
        <v>40</v>
      </c>
      <c r="C698" s="186" t="s">
        <v>9652</v>
      </c>
      <c r="D698" t="s">
        <v>1387</v>
      </c>
      <c r="E698" s="186">
        <v>19942283</v>
      </c>
      <c r="F698" t="s">
        <v>1388</v>
      </c>
      <c r="G698" t="s">
        <v>87</v>
      </c>
      <c r="H698" t="s">
        <v>9652</v>
      </c>
      <c r="I698" s="186">
        <v>3</v>
      </c>
      <c r="J698" t="s">
        <v>239</v>
      </c>
      <c r="K698" s="185">
        <v>189454.61</v>
      </c>
      <c r="L698" s="191">
        <v>45118.627430555556</v>
      </c>
    </row>
    <row r="699" spans="1:12" x14ac:dyDescent="0.3">
      <c r="A699" s="186">
        <v>22298</v>
      </c>
      <c r="B699" s="186">
        <v>0</v>
      </c>
      <c r="C699" s="186" t="s">
        <v>9653</v>
      </c>
      <c r="D699" t="s">
        <v>1387</v>
      </c>
      <c r="E699" s="186">
        <v>21048323</v>
      </c>
      <c r="F699" t="s">
        <v>1388</v>
      </c>
      <c r="G699" t="s">
        <v>87</v>
      </c>
      <c r="H699" t="s">
        <v>9653</v>
      </c>
      <c r="I699" s="186">
        <v>9</v>
      </c>
      <c r="J699" t="s">
        <v>100</v>
      </c>
      <c r="K699" s="185">
        <v>300000</v>
      </c>
      <c r="L699" s="191">
        <v>45169.347800925927</v>
      </c>
    </row>
    <row r="700" spans="1:12" x14ac:dyDescent="0.3">
      <c r="A700" s="186">
        <v>22327</v>
      </c>
      <c r="C700" s="186" t="s">
        <v>9654</v>
      </c>
      <c r="D700" t="s">
        <v>1394</v>
      </c>
      <c r="E700" s="186">
        <v>29884534</v>
      </c>
      <c r="G700" t="s">
        <v>113</v>
      </c>
      <c r="H700" t="s">
        <v>9654</v>
      </c>
      <c r="I700" s="186">
        <v>18</v>
      </c>
      <c r="K700" s="185">
        <v>0</v>
      </c>
      <c r="L700" s="191">
        <v>45176.439814814818</v>
      </c>
    </row>
    <row r="701" spans="1:12" x14ac:dyDescent="0.3">
      <c r="A701" s="186">
        <v>22384</v>
      </c>
      <c r="B701" s="186">
        <v>15</v>
      </c>
      <c r="C701" s="186" t="s">
        <v>9655</v>
      </c>
      <c r="D701" t="s">
        <v>1387</v>
      </c>
      <c r="E701" s="186">
        <v>7522191</v>
      </c>
      <c r="F701" t="s">
        <v>1388</v>
      </c>
      <c r="G701" t="s">
        <v>87</v>
      </c>
      <c r="H701" t="s">
        <v>9655</v>
      </c>
      <c r="I701" s="186">
        <v>3</v>
      </c>
      <c r="J701" t="s">
        <v>145</v>
      </c>
      <c r="K701" s="185">
        <v>70857.240000000005</v>
      </c>
      <c r="L701" s="191">
        <v>45187.724004629628</v>
      </c>
    </row>
    <row r="702" spans="1:12" x14ac:dyDescent="0.3">
      <c r="A702" s="186">
        <v>22646</v>
      </c>
      <c r="B702" s="186">
        <v>30</v>
      </c>
      <c r="C702" s="186" t="s">
        <v>9656</v>
      </c>
      <c r="D702" t="s">
        <v>1394</v>
      </c>
      <c r="E702" s="186">
        <v>13623957</v>
      </c>
      <c r="G702" t="s">
        <v>87</v>
      </c>
      <c r="H702" t="s">
        <v>9656</v>
      </c>
      <c r="I702" s="186">
        <v>18</v>
      </c>
      <c r="J702" t="s">
        <v>103</v>
      </c>
      <c r="K702" s="185">
        <v>509497.45</v>
      </c>
      <c r="L702" s="191">
        <v>45239.658402777779</v>
      </c>
    </row>
    <row r="703" spans="1:12" x14ac:dyDescent="0.3">
      <c r="A703" s="186">
        <v>21624</v>
      </c>
      <c r="B703" s="186">
        <v>-1</v>
      </c>
      <c r="C703" s="186" t="s">
        <v>9657</v>
      </c>
      <c r="D703" t="s">
        <v>1387</v>
      </c>
      <c r="E703" s="186">
        <v>271847</v>
      </c>
      <c r="F703" t="s">
        <v>1388</v>
      </c>
      <c r="G703" t="s">
        <v>87</v>
      </c>
      <c r="H703" t="s">
        <v>9657</v>
      </c>
      <c r="I703" s="186">
        <v>3</v>
      </c>
      <c r="J703" t="s">
        <v>174</v>
      </c>
      <c r="K703" s="185">
        <v>420000</v>
      </c>
      <c r="L703" s="191">
        <v>45056.637245370373</v>
      </c>
    </row>
    <row r="704" spans="1:12" x14ac:dyDescent="0.3">
      <c r="A704" s="186">
        <v>4561</v>
      </c>
      <c r="B704" s="186">
        <v>60</v>
      </c>
      <c r="C704" s="186" t="s">
        <v>9658</v>
      </c>
      <c r="D704" t="s">
        <v>1387</v>
      </c>
      <c r="E704" s="186">
        <v>33592510</v>
      </c>
      <c r="F704" t="s">
        <v>1388</v>
      </c>
      <c r="G704" t="s">
        <v>87</v>
      </c>
      <c r="H704" t="s">
        <v>9658</v>
      </c>
      <c r="I704" s="186">
        <v>3</v>
      </c>
      <c r="J704" t="s">
        <v>97</v>
      </c>
      <c r="K704" s="185">
        <v>2325777</v>
      </c>
      <c r="L704" s="191">
        <v>45069.727118055554</v>
      </c>
    </row>
    <row r="705" spans="1:12" x14ac:dyDescent="0.3">
      <c r="A705" s="186">
        <v>21791</v>
      </c>
      <c r="C705" s="186" t="s">
        <v>9659</v>
      </c>
      <c r="D705" t="s">
        <v>1394</v>
      </c>
      <c r="E705" s="186">
        <v>129688</v>
      </c>
      <c r="G705" t="s">
        <v>113</v>
      </c>
      <c r="H705" t="s">
        <v>9659</v>
      </c>
      <c r="I705" s="186">
        <v>10</v>
      </c>
      <c r="K705" s="185">
        <v>0</v>
      </c>
      <c r="L705" s="191">
        <v>45082.692708333336</v>
      </c>
    </row>
    <row r="706" spans="1:12" x14ac:dyDescent="0.3">
      <c r="A706" s="186">
        <v>21841</v>
      </c>
      <c r="B706" s="186">
        <v>0</v>
      </c>
      <c r="C706" s="186" t="s">
        <v>9660</v>
      </c>
      <c r="D706" t="s">
        <v>1387</v>
      </c>
      <c r="E706" s="186">
        <v>36567323</v>
      </c>
      <c r="F706" t="s">
        <v>1388</v>
      </c>
      <c r="G706" t="s">
        <v>87</v>
      </c>
      <c r="H706" t="s">
        <v>9660</v>
      </c>
      <c r="I706" s="186">
        <v>3</v>
      </c>
      <c r="J706" t="s">
        <v>100</v>
      </c>
      <c r="K706" s="185">
        <v>192000</v>
      </c>
      <c r="L706" s="191">
        <v>45092.630520833336</v>
      </c>
    </row>
    <row r="707" spans="1:12" x14ac:dyDescent="0.3">
      <c r="A707" s="186">
        <v>22689</v>
      </c>
      <c r="B707" s="186">
        <v>0</v>
      </c>
      <c r="C707" s="186" t="s">
        <v>9661</v>
      </c>
      <c r="D707" t="s">
        <v>1387</v>
      </c>
      <c r="E707" s="186">
        <v>54883194</v>
      </c>
      <c r="F707" t="s">
        <v>1388</v>
      </c>
      <c r="G707" t="s">
        <v>87</v>
      </c>
      <c r="H707" t="s">
        <v>9661</v>
      </c>
      <c r="I707" s="186">
        <v>10</v>
      </c>
      <c r="J707" t="s">
        <v>100</v>
      </c>
      <c r="K707" s="185">
        <v>315000</v>
      </c>
      <c r="L707" s="191">
        <v>45246.398009259261</v>
      </c>
    </row>
    <row r="708" spans="1:12" x14ac:dyDescent="0.3">
      <c r="A708" s="186">
        <v>22278</v>
      </c>
      <c r="B708" s="186">
        <v>0</v>
      </c>
      <c r="C708" s="186" t="s">
        <v>9662</v>
      </c>
      <c r="D708" t="s">
        <v>1387</v>
      </c>
      <c r="E708" s="186">
        <v>41883575</v>
      </c>
      <c r="F708" t="s">
        <v>1388</v>
      </c>
      <c r="G708" t="s">
        <v>87</v>
      </c>
      <c r="H708" t="s">
        <v>9662</v>
      </c>
      <c r="I708" s="186">
        <v>3</v>
      </c>
      <c r="J708" t="s">
        <v>100</v>
      </c>
      <c r="K708" s="185">
        <v>210000</v>
      </c>
      <c r="L708" s="191">
        <v>45166.362164351849</v>
      </c>
    </row>
    <row r="709" spans="1:12" x14ac:dyDescent="0.3">
      <c r="A709" s="186">
        <v>22168</v>
      </c>
      <c r="B709" s="186">
        <v>30</v>
      </c>
      <c r="C709" s="186" t="s">
        <v>9663</v>
      </c>
      <c r="D709" t="s">
        <v>1387</v>
      </c>
      <c r="E709" s="186">
        <v>5451496</v>
      </c>
      <c r="F709" t="s">
        <v>1388</v>
      </c>
      <c r="G709" t="s">
        <v>87</v>
      </c>
      <c r="H709" t="s">
        <v>9663</v>
      </c>
      <c r="I709" s="186">
        <v>2</v>
      </c>
      <c r="J709" t="s">
        <v>103</v>
      </c>
      <c r="K709" s="185">
        <v>12563.45</v>
      </c>
      <c r="L709" s="191">
        <v>45145.640231481484</v>
      </c>
    </row>
    <row r="710" spans="1:12" x14ac:dyDescent="0.3">
      <c r="A710" s="186">
        <v>22416</v>
      </c>
      <c r="B710" s="186">
        <v>0</v>
      </c>
      <c r="C710" s="186" t="s">
        <v>9664</v>
      </c>
      <c r="D710" t="s">
        <v>1387</v>
      </c>
      <c r="E710" s="186">
        <v>28811839</v>
      </c>
      <c r="F710" t="s">
        <v>1388</v>
      </c>
      <c r="G710" t="s">
        <v>87</v>
      </c>
      <c r="H710" t="s">
        <v>9664</v>
      </c>
      <c r="I710" s="186">
        <v>18</v>
      </c>
      <c r="J710" t="s">
        <v>100</v>
      </c>
      <c r="K710" s="185">
        <v>14800</v>
      </c>
      <c r="L710" s="191">
        <v>45194.638449074075</v>
      </c>
    </row>
    <row r="711" spans="1:12" x14ac:dyDescent="0.3">
      <c r="A711" s="186">
        <v>21894</v>
      </c>
      <c r="B711" s="186">
        <v>15</v>
      </c>
      <c r="C711" s="186" t="s">
        <v>9665</v>
      </c>
      <c r="D711" t="s">
        <v>1387</v>
      </c>
      <c r="E711" s="186">
        <v>18238980</v>
      </c>
      <c r="F711" t="s">
        <v>1388</v>
      </c>
      <c r="G711" t="s">
        <v>87</v>
      </c>
      <c r="H711" t="s">
        <v>9665</v>
      </c>
      <c r="I711" s="186">
        <v>24</v>
      </c>
      <c r="J711" t="s">
        <v>145</v>
      </c>
      <c r="K711" s="185">
        <v>57466.3</v>
      </c>
      <c r="L711" s="191">
        <v>45099.40253472222</v>
      </c>
    </row>
    <row r="712" spans="1:12" x14ac:dyDescent="0.3">
      <c r="A712" s="186">
        <v>22631</v>
      </c>
      <c r="B712" s="186">
        <v>30</v>
      </c>
      <c r="C712" s="186" t="s">
        <v>9666</v>
      </c>
      <c r="D712" t="s">
        <v>1387</v>
      </c>
      <c r="E712" s="186">
        <v>33592510</v>
      </c>
      <c r="F712" t="s">
        <v>1388</v>
      </c>
      <c r="G712" t="s">
        <v>87</v>
      </c>
      <c r="H712" t="s">
        <v>9666</v>
      </c>
      <c r="I712" s="186">
        <v>24</v>
      </c>
      <c r="J712" t="s">
        <v>103</v>
      </c>
      <c r="K712">
        <v>1571074.11</v>
      </c>
      <c r="L712" s="191">
        <v>45239.380729166667</v>
      </c>
    </row>
    <row r="713" spans="1:12" x14ac:dyDescent="0.3">
      <c r="A713" s="186">
        <v>22094</v>
      </c>
      <c r="B713" s="186">
        <v>-1</v>
      </c>
      <c r="C713" s="186" t="s">
        <v>9667</v>
      </c>
      <c r="D713" t="s">
        <v>1387</v>
      </c>
      <c r="E713" s="186">
        <v>10759717</v>
      </c>
      <c r="F713" t="s">
        <v>1388</v>
      </c>
      <c r="G713" t="s">
        <v>87</v>
      </c>
      <c r="H713" t="s">
        <v>9667</v>
      </c>
      <c r="I713" s="186">
        <v>3</v>
      </c>
      <c r="J713" t="s">
        <v>174</v>
      </c>
      <c r="K713" s="185">
        <v>53200</v>
      </c>
      <c r="L713" s="191">
        <v>45133.729039351849</v>
      </c>
    </row>
    <row r="714" spans="1:12" x14ac:dyDescent="0.3">
      <c r="A714" s="186">
        <v>21822</v>
      </c>
      <c r="B714" s="186">
        <v>40</v>
      </c>
      <c r="C714" s="186" t="s">
        <v>9668</v>
      </c>
      <c r="D714" t="s">
        <v>1387</v>
      </c>
      <c r="E714" s="186">
        <v>19942283</v>
      </c>
      <c r="F714" t="s">
        <v>1388</v>
      </c>
      <c r="G714" t="s">
        <v>87</v>
      </c>
      <c r="H714" t="s">
        <v>9668</v>
      </c>
      <c r="I714" s="186">
        <v>3</v>
      </c>
      <c r="J714" t="s">
        <v>239</v>
      </c>
      <c r="K714" s="185">
        <v>226618.35</v>
      </c>
      <c r="L714" s="191">
        <v>45089.575949074075</v>
      </c>
    </row>
    <row r="715" spans="1:12" x14ac:dyDescent="0.3">
      <c r="A715" s="186">
        <v>4768</v>
      </c>
      <c r="B715" s="186">
        <v>30</v>
      </c>
      <c r="C715" s="186" t="s">
        <v>9669</v>
      </c>
      <c r="D715" t="s">
        <v>1387</v>
      </c>
      <c r="E715" s="186">
        <v>52749283</v>
      </c>
      <c r="F715" t="s">
        <v>1388</v>
      </c>
      <c r="G715" t="s">
        <v>87</v>
      </c>
      <c r="H715" t="s">
        <v>9669</v>
      </c>
      <c r="I715" s="186">
        <v>10</v>
      </c>
      <c r="J715" t="s">
        <v>103</v>
      </c>
      <c r="K715" s="185">
        <v>23800</v>
      </c>
      <c r="L715" s="191">
        <v>45254.412511574075</v>
      </c>
    </row>
    <row r="716" spans="1:12" x14ac:dyDescent="0.3">
      <c r="A716" s="186">
        <v>22811</v>
      </c>
      <c r="B716" s="186">
        <v>0</v>
      </c>
      <c r="C716" s="186" t="s">
        <v>9670</v>
      </c>
      <c r="D716" t="s">
        <v>1387</v>
      </c>
      <c r="E716" s="186">
        <v>46573143</v>
      </c>
      <c r="F716" t="s">
        <v>1388</v>
      </c>
      <c r="G716" t="s">
        <v>87</v>
      </c>
      <c r="H716" t="s">
        <v>9670</v>
      </c>
      <c r="I716" s="186">
        <v>18</v>
      </c>
      <c r="J716" t="s">
        <v>100</v>
      </c>
      <c r="K716" s="185">
        <v>600</v>
      </c>
      <c r="L716" s="191">
        <v>45267.442488425928</v>
      </c>
    </row>
    <row r="717" spans="1:12" x14ac:dyDescent="0.3">
      <c r="A717" s="186">
        <v>22013</v>
      </c>
      <c r="B717" s="186" t="s">
        <v>1417</v>
      </c>
      <c r="C717" s="186" t="s">
        <v>9671</v>
      </c>
      <c r="D717" t="s">
        <v>1387</v>
      </c>
      <c r="E717" s="186">
        <v>45870688</v>
      </c>
      <c r="F717" t="s">
        <v>1388</v>
      </c>
      <c r="G717" t="s">
        <v>87</v>
      </c>
      <c r="H717" t="s">
        <v>9671</v>
      </c>
      <c r="I717" s="186">
        <v>10</v>
      </c>
      <c r="J717" t="s">
        <v>1418</v>
      </c>
      <c r="K717" s="185">
        <v>247952.3</v>
      </c>
      <c r="L717" s="191">
        <v>45118.839502314811</v>
      </c>
    </row>
    <row r="718" spans="1:12" x14ac:dyDescent="0.3">
      <c r="A718" s="186">
        <v>23201</v>
      </c>
      <c r="B718" s="186">
        <v>0</v>
      </c>
      <c r="C718" s="186" t="s">
        <v>9672</v>
      </c>
      <c r="D718" t="s">
        <v>1387</v>
      </c>
      <c r="E718" s="186">
        <v>29180099</v>
      </c>
      <c r="F718" t="s">
        <v>1388</v>
      </c>
      <c r="G718" t="s">
        <v>87</v>
      </c>
      <c r="H718" t="s">
        <v>9672</v>
      </c>
      <c r="I718" s="186">
        <v>9</v>
      </c>
      <c r="J718" t="s">
        <v>100</v>
      </c>
      <c r="K718">
        <v>730000</v>
      </c>
      <c r="L718" s="191">
        <v>45327.6481712963</v>
      </c>
    </row>
    <row r="719" spans="1:12" x14ac:dyDescent="0.3">
      <c r="A719" s="186">
        <v>22550</v>
      </c>
      <c r="B719" s="186">
        <v>10</v>
      </c>
      <c r="C719" s="186" t="s">
        <v>9673</v>
      </c>
      <c r="D719" t="s">
        <v>1387</v>
      </c>
      <c r="E719" s="186">
        <v>49314049</v>
      </c>
      <c r="F719" t="s">
        <v>1388</v>
      </c>
      <c r="G719" t="s">
        <v>87</v>
      </c>
      <c r="H719" t="s">
        <v>9673</v>
      </c>
      <c r="I719" s="186">
        <v>37</v>
      </c>
      <c r="J719" t="s">
        <v>133</v>
      </c>
      <c r="K719">
        <v>666.66</v>
      </c>
      <c r="L719" s="191">
        <v>45222.640486111108</v>
      </c>
    </row>
    <row r="720" spans="1:12" x14ac:dyDescent="0.3">
      <c r="A720" s="186">
        <v>22496</v>
      </c>
      <c r="B720" s="186">
        <v>30</v>
      </c>
      <c r="C720" s="186" t="s">
        <v>9674</v>
      </c>
      <c r="D720" t="s">
        <v>1387</v>
      </c>
      <c r="E720" s="186">
        <v>684808</v>
      </c>
      <c r="F720" t="s">
        <v>1388</v>
      </c>
      <c r="G720" t="s">
        <v>87</v>
      </c>
      <c r="H720" t="s">
        <v>9674</v>
      </c>
      <c r="I720" s="186">
        <v>38</v>
      </c>
      <c r="J720" t="s">
        <v>103</v>
      </c>
      <c r="K720" s="185">
        <v>13160</v>
      </c>
      <c r="L720" s="191">
        <v>45210.530624999999</v>
      </c>
    </row>
    <row r="721" spans="1:12" x14ac:dyDescent="0.3">
      <c r="A721" s="186">
        <v>22856</v>
      </c>
      <c r="B721" s="186">
        <v>30</v>
      </c>
      <c r="C721" s="186" t="s">
        <v>9675</v>
      </c>
      <c r="D721" t="s">
        <v>1387</v>
      </c>
      <c r="E721" s="186">
        <v>29316596</v>
      </c>
      <c r="F721" t="s">
        <v>1388</v>
      </c>
      <c r="G721" t="s">
        <v>87</v>
      </c>
      <c r="H721" t="s">
        <v>9675</v>
      </c>
      <c r="I721" s="186">
        <v>9</v>
      </c>
      <c r="J721" t="s">
        <v>103</v>
      </c>
      <c r="K721" s="185">
        <v>28000</v>
      </c>
      <c r="L721" s="191">
        <v>45279.505937499998</v>
      </c>
    </row>
    <row r="722" spans="1:12" x14ac:dyDescent="0.3">
      <c r="A722" s="186">
        <v>21915</v>
      </c>
      <c r="B722" s="186">
        <v>0</v>
      </c>
      <c r="C722" s="186" t="s">
        <v>9676</v>
      </c>
      <c r="D722" t="s">
        <v>1387</v>
      </c>
      <c r="E722" s="186">
        <v>3883534498</v>
      </c>
      <c r="F722" t="s">
        <v>1388</v>
      </c>
      <c r="G722" t="s">
        <v>87</v>
      </c>
      <c r="H722" t="s">
        <v>9676</v>
      </c>
      <c r="I722" s="186">
        <v>19</v>
      </c>
      <c r="J722" t="s">
        <v>100</v>
      </c>
      <c r="K722" s="185">
        <v>65000</v>
      </c>
      <c r="L722" s="191">
        <v>45103.610694444447</v>
      </c>
    </row>
    <row r="723" spans="1:12" x14ac:dyDescent="0.3">
      <c r="A723" s="186">
        <v>22077</v>
      </c>
      <c r="B723" s="186">
        <v>-1</v>
      </c>
      <c r="C723" s="186" t="s">
        <v>9677</v>
      </c>
      <c r="D723" t="s">
        <v>1387</v>
      </c>
      <c r="E723" s="186">
        <v>48368901</v>
      </c>
      <c r="F723" t="s">
        <v>1388</v>
      </c>
      <c r="G723" t="s">
        <v>87</v>
      </c>
      <c r="H723" t="s">
        <v>9677</v>
      </c>
      <c r="I723" s="186">
        <v>10</v>
      </c>
      <c r="J723" t="s">
        <v>174</v>
      </c>
      <c r="K723" s="185">
        <v>140000</v>
      </c>
      <c r="L723" s="191">
        <v>45131.69699074074</v>
      </c>
    </row>
    <row r="724" spans="1:12" x14ac:dyDescent="0.3">
      <c r="A724" s="186">
        <v>22995</v>
      </c>
      <c r="B724" s="186">
        <v>30</v>
      </c>
      <c r="C724" s="186" t="s">
        <v>9678</v>
      </c>
      <c r="D724" t="s">
        <v>1387</v>
      </c>
      <c r="E724" s="186">
        <v>61584223</v>
      </c>
      <c r="F724" t="s">
        <v>1388</v>
      </c>
      <c r="G724" t="s">
        <v>87</v>
      </c>
      <c r="H724" t="s">
        <v>9678</v>
      </c>
      <c r="I724" s="186">
        <v>3</v>
      </c>
      <c r="J724" t="s">
        <v>103</v>
      </c>
      <c r="K724" s="185">
        <v>9530.16</v>
      </c>
      <c r="L724" s="191">
        <v>45303.450520833336</v>
      </c>
    </row>
    <row r="725" spans="1:12" x14ac:dyDescent="0.3">
      <c r="A725" s="186">
        <v>23088</v>
      </c>
      <c r="B725" s="186" t="s">
        <v>227</v>
      </c>
      <c r="C725" s="186" t="s">
        <v>9679</v>
      </c>
      <c r="D725" t="s">
        <v>1387</v>
      </c>
      <c r="E725" s="186">
        <v>12507345</v>
      </c>
      <c r="F725" t="s">
        <v>1388</v>
      </c>
      <c r="G725" t="s">
        <v>87</v>
      </c>
      <c r="H725" t="s">
        <v>9679</v>
      </c>
      <c r="I725" s="186">
        <v>10</v>
      </c>
      <c r="J725" t="s">
        <v>228</v>
      </c>
      <c r="K725" s="185">
        <v>98288.74</v>
      </c>
      <c r="L725" s="191">
        <v>45314.717291666668</v>
      </c>
    </row>
    <row r="726" spans="1:12" x14ac:dyDescent="0.3">
      <c r="A726" s="186">
        <v>23243</v>
      </c>
      <c r="B726" s="186">
        <v>30</v>
      </c>
      <c r="C726" s="186" t="s">
        <v>9680</v>
      </c>
      <c r="D726" t="s">
        <v>1387</v>
      </c>
      <c r="E726" s="186">
        <v>47419874</v>
      </c>
      <c r="F726" t="s">
        <v>1388</v>
      </c>
      <c r="G726" t="s">
        <v>87</v>
      </c>
      <c r="H726" t="s">
        <v>9680</v>
      </c>
      <c r="I726" s="186">
        <v>38</v>
      </c>
      <c r="J726" t="s">
        <v>103</v>
      </c>
      <c r="K726" s="185">
        <v>110000</v>
      </c>
      <c r="L726" s="191">
        <v>45330.636273148149</v>
      </c>
    </row>
    <row r="727" spans="1:12" x14ac:dyDescent="0.3">
      <c r="A727" s="186">
        <v>22543</v>
      </c>
      <c r="B727" s="186">
        <v>10</v>
      </c>
      <c r="C727" s="186" t="s">
        <v>9681</v>
      </c>
      <c r="D727" t="s">
        <v>244</v>
      </c>
      <c r="E727" s="186">
        <v>49457168</v>
      </c>
      <c r="G727" t="s">
        <v>87</v>
      </c>
      <c r="H727" t="s">
        <v>9681</v>
      </c>
      <c r="I727" s="186">
        <v>3</v>
      </c>
      <c r="J727" t="s">
        <v>133</v>
      </c>
      <c r="K727" s="185">
        <v>143338.32999999999</v>
      </c>
      <c r="L727" s="191">
        <v>45219.507060185184</v>
      </c>
    </row>
    <row r="728" spans="1:12" x14ac:dyDescent="0.3">
      <c r="A728" s="186">
        <v>23157</v>
      </c>
      <c r="C728" s="186" t="s">
        <v>9682</v>
      </c>
      <c r="D728" t="s">
        <v>1394</v>
      </c>
      <c r="E728" s="186">
        <v>37241124</v>
      </c>
      <c r="G728" t="s">
        <v>113</v>
      </c>
      <c r="H728" t="s">
        <v>9682</v>
      </c>
      <c r="I728" s="186">
        <v>19</v>
      </c>
      <c r="K728" s="185">
        <v>0</v>
      </c>
      <c r="L728" s="191">
        <v>45321.403333333335</v>
      </c>
    </row>
    <row r="729" spans="1:12" x14ac:dyDescent="0.3">
      <c r="A729" s="186">
        <v>22115</v>
      </c>
      <c r="B729" s="186">
        <v>-1</v>
      </c>
      <c r="C729" s="186" t="s">
        <v>9683</v>
      </c>
      <c r="D729" t="s">
        <v>1387</v>
      </c>
      <c r="E729" s="186">
        <v>45870688</v>
      </c>
      <c r="F729" t="s">
        <v>1388</v>
      </c>
      <c r="G729" t="s">
        <v>87</v>
      </c>
      <c r="H729" t="s">
        <v>9683</v>
      </c>
      <c r="I729" s="186">
        <v>10</v>
      </c>
      <c r="J729" t="s">
        <v>174</v>
      </c>
      <c r="K729" s="185">
        <v>247952.3</v>
      </c>
      <c r="L729" s="191">
        <v>45135.552708333336</v>
      </c>
    </row>
    <row r="730" spans="1:12" x14ac:dyDescent="0.3">
      <c r="A730" s="186">
        <v>21804</v>
      </c>
      <c r="B730" s="186">
        <v>30</v>
      </c>
      <c r="C730" s="186" t="s">
        <v>9684</v>
      </c>
      <c r="D730" t="s">
        <v>1387</v>
      </c>
      <c r="E730" s="186">
        <v>89674782</v>
      </c>
      <c r="F730" t="s">
        <v>1388</v>
      </c>
      <c r="G730" t="s">
        <v>87</v>
      </c>
      <c r="H730" t="s">
        <v>9684</v>
      </c>
      <c r="I730" s="186">
        <v>37</v>
      </c>
      <c r="J730" t="s">
        <v>103</v>
      </c>
      <c r="K730" s="185">
        <v>123150</v>
      </c>
      <c r="L730" s="191">
        <v>45084.637615740743</v>
      </c>
    </row>
    <row r="731" spans="1:12" x14ac:dyDescent="0.3">
      <c r="A731" s="186">
        <v>21999</v>
      </c>
      <c r="B731" s="186">
        <v>40</v>
      </c>
      <c r="C731" s="186" t="s">
        <v>9685</v>
      </c>
      <c r="D731" t="s">
        <v>1387</v>
      </c>
      <c r="E731" s="186">
        <v>19942283</v>
      </c>
      <c r="F731" t="s">
        <v>1388</v>
      </c>
      <c r="G731" t="s">
        <v>87</v>
      </c>
      <c r="H731" t="s">
        <v>9685</v>
      </c>
      <c r="I731" s="186">
        <v>3</v>
      </c>
      <c r="J731" t="s">
        <v>239</v>
      </c>
      <c r="K731" s="185">
        <v>110220.36</v>
      </c>
      <c r="L731" s="191">
        <v>45117.683993055558</v>
      </c>
    </row>
    <row r="732" spans="1:12" x14ac:dyDescent="0.3">
      <c r="A732" s="186">
        <v>22748</v>
      </c>
      <c r="B732" s="186">
        <v>0</v>
      </c>
      <c r="C732" s="186" t="s">
        <v>9686</v>
      </c>
      <c r="D732" t="s">
        <v>1387</v>
      </c>
      <c r="E732" s="186">
        <v>93156740225</v>
      </c>
      <c r="F732" t="s">
        <v>1388</v>
      </c>
      <c r="G732" t="s">
        <v>87</v>
      </c>
      <c r="H732" t="s">
        <v>9686</v>
      </c>
      <c r="I732" s="186">
        <v>3</v>
      </c>
      <c r="J732" t="s">
        <v>100</v>
      </c>
      <c r="K732" s="185">
        <v>862750</v>
      </c>
      <c r="L732" s="191">
        <v>45257.48945601852</v>
      </c>
    </row>
    <row r="733" spans="1:12" x14ac:dyDescent="0.3">
      <c r="A733" s="186">
        <v>22790</v>
      </c>
      <c r="C733" s="186" t="s">
        <v>9687</v>
      </c>
      <c r="D733" t="s">
        <v>1394</v>
      </c>
      <c r="E733" s="186">
        <v>42163162</v>
      </c>
      <c r="G733" t="s">
        <v>113</v>
      </c>
      <c r="H733" t="s">
        <v>9687</v>
      </c>
      <c r="I733" s="186">
        <v>3</v>
      </c>
      <c r="K733" s="185">
        <v>0</v>
      </c>
      <c r="L733" s="191">
        <v>45264.691157407404</v>
      </c>
    </row>
    <row r="734" spans="1:12" x14ac:dyDescent="0.3">
      <c r="A734" s="186">
        <v>22812</v>
      </c>
      <c r="B734" s="186">
        <v>30</v>
      </c>
      <c r="C734" s="186" t="s">
        <v>9688</v>
      </c>
      <c r="D734" t="s">
        <v>1387</v>
      </c>
      <c r="E734" s="186">
        <v>49457168</v>
      </c>
      <c r="F734" t="s">
        <v>1388</v>
      </c>
      <c r="G734" t="s">
        <v>87</v>
      </c>
      <c r="H734" t="s">
        <v>9688</v>
      </c>
      <c r="I734" s="186">
        <v>3</v>
      </c>
      <c r="J734" t="s">
        <v>103</v>
      </c>
      <c r="K734">
        <v>12472.17</v>
      </c>
      <c r="L734" s="191">
        <v>45267.450439814813</v>
      </c>
    </row>
    <row r="735" spans="1:12" x14ac:dyDescent="0.3">
      <c r="A735" s="186">
        <v>21733</v>
      </c>
      <c r="B735" s="186" t="s">
        <v>1392</v>
      </c>
      <c r="C735" s="186" t="s">
        <v>9689</v>
      </c>
      <c r="D735" t="s">
        <v>1387</v>
      </c>
      <c r="E735" s="186">
        <v>4504700328</v>
      </c>
      <c r="F735" t="s">
        <v>1388</v>
      </c>
      <c r="G735" t="s">
        <v>87</v>
      </c>
      <c r="H735" t="s">
        <v>9689</v>
      </c>
      <c r="I735" s="186">
        <v>9</v>
      </c>
      <c r="J735" t="s">
        <v>1393</v>
      </c>
      <c r="K735" s="185">
        <v>300000</v>
      </c>
      <c r="L735" s="191">
        <v>45071.421701388892</v>
      </c>
    </row>
    <row r="736" spans="1:12" x14ac:dyDescent="0.3">
      <c r="A736" s="186">
        <v>22292</v>
      </c>
      <c r="B736" s="186">
        <v>0</v>
      </c>
      <c r="C736" s="186" t="s">
        <v>9690</v>
      </c>
      <c r="D736" t="s">
        <v>1387</v>
      </c>
      <c r="E736" s="186">
        <v>9116613</v>
      </c>
      <c r="F736" t="s">
        <v>1388</v>
      </c>
      <c r="G736" t="s">
        <v>87</v>
      </c>
      <c r="H736" t="s">
        <v>9690</v>
      </c>
      <c r="I736" s="186">
        <v>3</v>
      </c>
      <c r="J736" t="s">
        <v>100</v>
      </c>
      <c r="K736" s="185">
        <v>280000</v>
      </c>
      <c r="L736" s="191">
        <v>45167.473344907405</v>
      </c>
    </row>
    <row r="737" spans="1:12" x14ac:dyDescent="0.3">
      <c r="A737" s="186">
        <v>22975</v>
      </c>
      <c r="B737" s="186">
        <v>0</v>
      </c>
      <c r="C737" s="186" t="s">
        <v>9691</v>
      </c>
      <c r="D737" t="s">
        <v>1402</v>
      </c>
      <c r="E737" s="186">
        <v>13776437</v>
      </c>
      <c r="G737" t="s">
        <v>87</v>
      </c>
      <c r="H737" t="s">
        <v>9691</v>
      </c>
      <c r="I737" s="186">
        <v>24</v>
      </c>
      <c r="J737" t="s">
        <v>100</v>
      </c>
      <c r="K737" s="185">
        <v>43223.67</v>
      </c>
      <c r="L737" s="191">
        <v>45301.708333333336</v>
      </c>
    </row>
    <row r="738" spans="1:12" x14ac:dyDescent="0.3">
      <c r="A738" s="186">
        <v>22971</v>
      </c>
      <c r="B738" s="186" t="s">
        <v>1366</v>
      </c>
      <c r="C738" s="186" t="s">
        <v>9692</v>
      </c>
      <c r="D738" t="s">
        <v>1387</v>
      </c>
      <c r="E738" s="186">
        <v>35426127</v>
      </c>
      <c r="F738" t="s">
        <v>1388</v>
      </c>
      <c r="G738" t="s">
        <v>87</v>
      </c>
      <c r="H738" t="s">
        <v>9692</v>
      </c>
      <c r="I738" s="186">
        <v>18</v>
      </c>
      <c r="J738" t="s">
        <v>1367</v>
      </c>
      <c r="K738" s="185">
        <v>33981.94</v>
      </c>
      <c r="L738" s="191">
        <v>45301.633842592593</v>
      </c>
    </row>
    <row r="739" spans="1:12" x14ac:dyDescent="0.3">
      <c r="A739" s="186">
        <v>22086</v>
      </c>
      <c r="B739" s="186" t="s">
        <v>1389</v>
      </c>
      <c r="C739" s="186" t="s">
        <v>9693</v>
      </c>
      <c r="D739" t="s">
        <v>1387</v>
      </c>
      <c r="E739" s="186">
        <v>12929735</v>
      </c>
      <c r="F739" t="s">
        <v>1388</v>
      </c>
      <c r="G739" t="s">
        <v>87</v>
      </c>
      <c r="H739" t="s">
        <v>9693</v>
      </c>
      <c r="I739" s="186">
        <v>3</v>
      </c>
      <c r="J739" t="s">
        <v>1390</v>
      </c>
      <c r="K739" s="185">
        <v>34000</v>
      </c>
      <c r="L739" s="191">
        <v>45132.613449074073</v>
      </c>
    </row>
    <row r="740" spans="1:12" x14ac:dyDescent="0.3">
      <c r="A740" s="186">
        <v>22888</v>
      </c>
      <c r="B740" s="186">
        <v>30</v>
      </c>
      <c r="C740" s="186" t="s">
        <v>9694</v>
      </c>
      <c r="D740" t="s">
        <v>1387</v>
      </c>
      <c r="E740" s="186">
        <v>41713147</v>
      </c>
      <c r="F740" t="s">
        <v>1388</v>
      </c>
      <c r="G740" t="s">
        <v>87</v>
      </c>
      <c r="H740" t="s">
        <v>9694</v>
      </c>
      <c r="I740" s="186">
        <v>3</v>
      </c>
      <c r="J740" t="s">
        <v>103</v>
      </c>
      <c r="K740" s="185">
        <v>800</v>
      </c>
      <c r="L740" s="191">
        <v>45293.501342592594</v>
      </c>
    </row>
    <row r="741" spans="1:12" x14ac:dyDescent="0.3">
      <c r="A741" s="186">
        <v>22138</v>
      </c>
      <c r="B741" s="186">
        <v>0</v>
      </c>
      <c r="C741" s="186" t="s">
        <v>9695</v>
      </c>
      <c r="D741" t="s">
        <v>1387</v>
      </c>
      <c r="E741" s="186">
        <v>35833933</v>
      </c>
      <c r="F741" t="s">
        <v>1388</v>
      </c>
      <c r="G741" t="s">
        <v>87</v>
      </c>
      <c r="H741" t="s">
        <v>9695</v>
      </c>
      <c r="I741" s="186">
        <v>3</v>
      </c>
      <c r="J741" t="s">
        <v>100</v>
      </c>
      <c r="K741" s="185">
        <v>310000</v>
      </c>
      <c r="L741" s="191">
        <v>45141.35732638889</v>
      </c>
    </row>
    <row r="742" spans="1:12" x14ac:dyDescent="0.3">
      <c r="A742" s="186">
        <v>4770</v>
      </c>
      <c r="B742" s="186">
        <v>30</v>
      </c>
      <c r="C742" s="186" t="s">
        <v>9696</v>
      </c>
      <c r="D742" t="s">
        <v>1387</v>
      </c>
      <c r="E742" s="186">
        <v>52749283</v>
      </c>
      <c r="F742" t="s">
        <v>1388</v>
      </c>
      <c r="G742" t="s">
        <v>87</v>
      </c>
      <c r="H742" t="s">
        <v>9696</v>
      </c>
      <c r="I742" s="186">
        <v>10</v>
      </c>
      <c r="J742" t="s">
        <v>103</v>
      </c>
      <c r="K742" s="185">
        <v>11200</v>
      </c>
      <c r="L742" s="191">
        <v>45258.6559375</v>
      </c>
    </row>
    <row r="743" spans="1:12" x14ac:dyDescent="0.3">
      <c r="A743" s="186">
        <v>22853</v>
      </c>
      <c r="B743" s="186">
        <v>0</v>
      </c>
      <c r="C743" s="186" t="s">
        <v>9697</v>
      </c>
      <c r="D743" t="s">
        <v>1394</v>
      </c>
      <c r="E743" s="186">
        <v>29316596</v>
      </c>
      <c r="G743" t="s">
        <v>87</v>
      </c>
      <c r="H743" t="s">
        <v>9697</v>
      </c>
      <c r="I743" s="186">
        <v>9</v>
      </c>
      <c r="J743" t="s">
        <v>100</v>
      </c>
      <c r="K743" s="185">
        <v>0</v>
      </c>
      <c r="L743" s="191">
        <v>45278.713819444441</v>
      </c>
    </row>
    <row r="744" spans="1:12" x14ac:dyDescent="0.3">
      <c r="A744" s="186">
        <v>21726</v>
      </c>
      <c r="B744" s="186">
        <v>-1</v>
      </c>
      <c r="C744" s="186" t="s">
        <v>9698</v>
      </c>
      <c r="D744" t="s">
        <v>1387</v>
      </c>
      <c r="E744" s="186">
        <v>34117651</v>
      </c>
      <c r="F744" t="s">
        <v>1388</v>
      </c>
      <c r="G744" t="s">
        <v>87</v>
      </c>
      <c r="H744" t="s">
        <v>9698</v>
      </c>
      <c r="I744" s="186">
        <v>18</v>
      </c>
      <c r="J744" t="s">
        <v>174</v>
      </c>
      <c r="K744" s="185">
        <v>26600</v>
      </c>
      <c r="L744" s="191">
        <v>45070.617164351854</v>
      </c>
    </row>
    <row r="745" spans="1:12" x14ac:dyDescent="0.3">
      <c r="A745" s="186">
        <v>22165</v>
      </c>
      <c r="B745" s="186" t="s">
        <v>175</v>
      </c>
      <c r="C745" s="186" t="s">
        <v>9699</v>
      </c>
      <c r="D745" t="s">
        <v>1387</v>
      </c>
      <c r="E745" s="186">
        <v>18896145</v>
      </c>
      <c r="F745" t="s">
        <v>1388</v>
      </c>
      <c r="G745" t="s">
        <v>87</v>
      </c>
      <c r="H745" t="s">
        <v>9699</v>
      </c>
      <c r="I745" s="186">
        <v>3</v>
      </c>
      <c r="J745" t="s">
        <v>176</v>
      </c>
      <c r="K745" s="185">
        <v>80000</v>
      </c>
      <c r="L745" s="191">
        <v>45145.477766203701</v>
      </c>
    </row>
    <row r="746" spans="1:12" x14ac:dyDescent="0.3">
      <c r="A746" s="186">
        <v>21596</v>
      </c>
      <c r="B746" s="186">
        <v>-1</v>
      </c>
      <c r="C746" s="186" t="s">
        <v>9700</v>
      </c>
      <c r="D746" t="s">
        <v>1387</v>
      </c>
      <c r="E746" s="186">
        <v>28639056</v>
      </c>
      <c r="F746" t="s">
        <v>1388</v>
      </c>
      <c r="G746" t="s">
        <v>87</v>
      </c>
      <c r="H746" t="s">
        <v>9700</v>
      </c>
      <c r="I746" s="186">
        <v>9</v>
      </c>
      <c r="J746" t="s">
        <v>174</v>
      </c>
      <c r="K746" s="185">
        <v>15000.01</v>
      </c>
      <c r="L746" s="191">
        <v>45051.514155092591</v>
      </c>
    </row>
    <row r="747" spans="1:12" x14ac:dyDescent="0.3">
      <c r="A747" s="186">
        <v>23002</v>
      </c>
      <c r="B747" s="186">
        <v>0</v>
      </c>
      <c r="C747" s="186" t="s">
        <v>9701</v>
      </c>
      <c r="D747" t="s">
        <v>1394</v>
      </c>
      <c r="E747" s="186">
        <v>4141458</v>
      </c>
      <c r="G747" t="s">
        <v>87</v>
      </c>
      <c r="H747" t="s">
        <v>9701</v>
      </c>
      <c r="I747" s="186">
        <v>3</v>
      </c>
      <c r="J747" t="s">
        <v>100</v>
      </c>
      <c r="K747" s="185">
        <v>0</v>
      </c>
      <c r="L747" s="191">
        <v>45306.39770833333</v>
      </c>
    </row>
    <row r="748" spans="1:12" x14ac:dyDescent="0.3">
      <c r="A748" s="186">
        <v>21701</v>
      </c>
      <c r="B748" s="186">
        <v>0</v>
      </c>
      <c r="C748" s="186" t="s">
        <v>9702</v>
      </c>
      <c r="D748" t="s">
        <v>1394</v>
      </c>
      <c r="E748" s="186">
        <v>33841727</v>
      </c>
      <c r="G748" t="s">
        <v>87</v>
      </c>
      <c r="H748" t="s">
        <v>9702</v>
      </c>
      <c r="I748" s="186">
        <v>19</v>
      </c>
      <c r="J748" t="s">
        <v>100</v>
      </c>
      <c r="K748" s="185">
        <v>0</v>
      </c>
      <c r="L748" s="191">
        <v>45069.398773148147</v>
      </c>
    </row>
    <row r="749" spans="1:12" x14ac:dyDescent="0.3">
      <c r="A749" s="186">
        <v>21706</v>
      </c>
      <c r="B749" s="186">
        <v>0</v>
      </c>
      <c r="C749" s="186" t="s">
        <v>9703</v>
      </c>
      <c r="D749" t="s">
        <v>1387</v>
      </c>
      <c r="E749" s="186">
        <v>75911438</v>
      </c>
      <c r="F749" t="s">
        <v>1388</v>
      </c>
      <c r="G749" t="s">
        <v>87</v>
      </c>
      <c r="H749" t="s">
        <v>9703</v>
      </c>
      <c r="I749" s="186">
        <v>10</v>
      </c>
      <c r="J749" t="s">
        <v>100</v>
      </c>
      <c r="K749" s="185">
        <v>280000</v>
      </c>
      <c r="L749" s="191">
        <v>45069.443935185183</v>
      </c>
    </row>
    <row r="750" spans="1:12" x14ac:dyDescent="0.3">
      <c r="A750" s="186">
        <v>21748</v>
      </c>
      <c r="B750" s="186">
        <v>0</v>
      </c>
      <c r="C750" s="186" t="s">
        <v>9704</v>
      </c>
      <c r="D750" t="s">
        <v>1387</v>
      </c>
      <c r="E750" s="186">
        <v>20564970344</v>
      </c>
      <c r="F750" t="s">
        <v>1388</v>
      </c>
      <c r="G750" t="s">
        <v>87</v>
      </c>
      <c r="H750" t="s">
        <v>9704</v>
      </c>
      <c r="I750" s="186">
        <v>9</v>
      </c>
      <c r="J750" t="s">
        <v>100</v>
      </c>
      <c r="K750" s="185">
        <v>417000</v>
      </c>
      <c r="L750" s="191">
        <v>45072.678425925929</v>
      </c>
    </row>
    <row r="751" spans="1:12" x14ac:dyDescent="0.3">
      <c r="A751" s="186">
        <v>22754</v>
      </c>
      <c r="B751" s="186">
        <v>30</v>
      </c>
      <c r="C751" s="186" t="s">
        <v>9705</v>
      </c>
      <c r="D751" t="s">
        <v>1387</v>
      </c>
      <c r="E751" s="186">
        <v>684808</v>
      </c>
      <c r="F751" t="s">
        <v>1388</v>
      </c>
      <c r="G751" t="s">
        <v>87</v>
      </c>
      <c r="H751" t="s">
        <v>9705</v>
      </c>
      <c r="I751" s="186">
        <v>38</v>
      </c>
      <c r="J751" t="s">
        <v>103</v>
      </c>
      <c r="K751" s="185">
        <v>52611.1</v>
      </c>
      <c r="L751" s="191">
        <v>45258.57917824074</v>
      </c>
    </row>
    <row r="752" spans="1:12" x14ac:dyDescent="0.3">
      <c r="A752" s="186">
        <v>22809</v>
      </c>
      <c r="B752" s="186">
        <v>30</v>
      </c>
      <c r="C752" s="186" t="s">
        <v>9706</v>
      </c>
      <c r="D752" t="s">
        <v>1387</v>
      </c>
      <c r="E752" s="186">
        <v>29286001</v>
      </c>
      <c r="F752" t="s">
        <v>1388</v>
      </c>
      <c r="G752" t="s">
        <v>87</v>
      </c>
      <c r="H752" t="s">
        <v>9706</v>
      </c>
      <c r="I752" s="186">
        <v>18</v>
      </c>
      <c r="J752" t="s">
        <v>103</v>
      </c>
      <c r="K752" s="185">
        <v>22800</v>
      </c>
      <c r="L752" s="191">
        <v>45266.67527777778</v>
      </c>
    </row>
    <row r="753" spans="1:12" x14ac:dyDescent="0.3">
      <c r="A753" s="186">
        <v>22881</v>
      </c>
      <c r="B753" s="186">
        <v>0</v>
      </c>
      <c r="C753" s="186" t="s">
        <v>9707</v>
      </c>
      <c r="D753" t="s">
        <v>1387</v>
      </c>
      <c r="E753" s="186">
        <v>21048323</v>
      </c>
      <c r="F753" t="s">
        <v>1388</v>
      </c>
      <c r="G753" t="s">
        <v>87</v>
      </c>
      <c r="H753" t="s">
        <v>9707</v>
      </c>
      <c r="I753" s="186">
        <v>9</v>
      </c>
      <c r="J753" t="s">
        <v>100</v>
      </c>
      <c r="K753" s="185">
        <v>300000</v>
      </c>
      <c r="L753" s="191">
        <v>45288.551851851851</v>
      </c>
    </row>
    <row r="754" spans="1:12" x14ac:dyDescent="0.3">
      <c r="A754" s="186">
        <v>21766</v>
      </c>
      <c r="B754" s="186">
        <v>0</v>
      </c>
      <c r="C754" s="186" t="s">
        <v>9708</v>
      </c>
      <c r="D754" t="s">
        <v>1394</v>
      </c>
      <c r="E754" s="186">
        <v>10830653</v>
      </c>
      <c r="G754" t="s">
        <v>113</v>
      </c>
      <c r="H754" t="s">
        <v>9708</v>
      </c>
      <c r="I754" s="186">
        <v>19</v>
      </c>
      <c r="J754" t="s">
        <v>100</v>
      </c>
      <c r="K754" s="185">
        <v>0</v>
      </c>
      <c r="L754" s="191">
        <v>45076.571967592594</v>
      </c>
    </row>
    <row r="755" spans="1:12" x14ac:dyDescent="0.3">
      <c r="A755" s="186">
        <v>22303</v>
      </c>
      <c r="B755" s="186">
        <v>15</v>
      </c>
      <c r="C755" s="186" t="s">
        <v>9709</v>
      </c>
      <c r="D755" t="s">
        <v>1387</v>
      </c>
      <c r="E755" s="186">
        <v>7605563</v>
      </c>
      <c r="F755" t="s">
        <v>1388</v>
      </c>
      <c r="G755" t="s">
        <v>87</v>
      </c>
      <c r="H755" t="s">
        <v>9709</v>
      </c>
      <c r="I755" s="186">
        <v>3</v>
      </c>
      <c r="J755" t="s">
        <v>145</v>
      </c>
      <c r="K755" s="185">
        <v>43223.67</v>
      </c>
      <c r="L755" s="191">
        <v>45170.442187499997</v>
      </c>
    </row>
    <row r="756" spans="1:12" x14ac:dyDescent="0.3">
      <c r="A756" s="186">
        <v>22514</v>
      </c>
      <c r="B756" s="186">
        <v>30</v>
      </c>
      <c r="C756" s="186" t="s">
        <v>9710</v>
      </c>
      <c r="D756" t="s">
        <v>1387</v>
      </c>
      <c r="E756" s="186">
        <v>17162983</v>
      </c>
      <c r="F756" t="s">
        <v>1388</v>
      </c>
      <c r="G756" t="s">
        <v>87</v>
      </c>
      <c r="H756" t="s">
        <v>9710</v>
      </c>
      <c r="I756" s="186">
        <v>18</v>
      </c>
      <c r="J756" t="s">
        <v>103</v>
      </c>
      <c r="K756" s="185">
        <v>27949.65</v>
      </c>
      <c r="L756" s="191">
        <v>45215.751550925925</v>
      </c>
    </row>
    <row r="757" spans="1:12" x14ac:dyDescent="0.3">
      <c r="A757" s="186">
        <v>22515</v>
      </c>
      <c r="B757" s="186">
        <v>30</v>
      </c>
      <c r="C757" s="186" t="s">
        <v>9711</v>
      </c>
      <c r="D757" t="s">
        <v>1387</v>
      </c>
      <c r="E757" s="186">
        <v>17162983</v>
      </c>
      <c r="F757" t="s">
        <v>1388</v>
      </c>
      <c r="G757" t="s">
        <v>87</v>
      </c>
      <c r="H757" t="s">
        <v>9711</v>
      </c>
      <c r="I757" s="186">
        <v>26</v>
      </c>
      <c r="J757" t="s">
        <v>103</v>
      </c>
      <c r="K757" s="185">
        <v>18416.39</v>
      </c>
      <c r="L757" s="191">
        <v>45215.754247685189</v>
      </c>
    </row>
    <row r="758" spans="1:12" x14ac:dyDescent="0.3">
      <c r="A758" s="186">
        <v>22782</v>
      </c>
      <c r="B758" s="186">
        <v>0</v>
      </c>
      <c r="C758" s="186" t="s">
        <v>9712</v>
      </c>
      <c r="D758" t="s">
        <v>1394</v>
      </c>
      <c r="E758" s="186">
        <v>28176002</v>
      </c>
      <c r="G758" t="s">
        <v>113</v>
      </c>
      <c r="H758" t="s">
        <v>9712</v>
      </c>
      <c r="I758" s="186">
        <v>18</v>
      </c>
      <c r="J758" t="s">
        <v>100</v>
      </c>
      <c r="K758">
        <v>114000</v>
      </c>
      <c r="L758" s="191">
        <v>45264.381562499999</v>
      </c>
    </row>
    <row r="759" spans="1:12" x14ac:dyDescent="0.3">
      <c r="A759" s="186">
        <v>21961</v>
      </c>
      <c r="B759" s="186">
        <v>0</v>
      </c>
      <c r="C759" s="186" t="s">
        <v>9713</v>
      </c>
      <c r="D759" t="s">
        <v>1387</v>
      </c>
      <c r="E759" s="186">
        <v>9116613</v>
      </c>
      <c r="F759" t="s">
        <v>1388</v>
      </c>
      <c r="G759" t="s">
        <v>87</v>
      </c>
      <c r="H759" t="s">
        <v>9713</v>
      </c>
      <c r="I759" s="186">
        <v>3</v>
      </c>
      <c r="J759" t="s">
        <v>100</v>
      </c>
      <c r="K759" s="185">
        <v>350000</v>
      </c>
      <c r="L759" s="191">
        <v>45111.433391203704</v>
      </c>
    </row>
    <row r="760" spans="1:12" x14ac:dyDescent="0.3">
      <c r="A760" s="186">
        <v>22778</v>
      </c>
      <c r="B760" s="186" t="s">
        <v>1257</v>
      </c>
      <c r="C760" s="186" t="s">
        <v>9714</v>
      </c>
      <c r="D760" t="s">
        <v>1387</v>
      </c>
      <c r="E760" s="186">
        <v>6273155</v>
      </c>
      <c r="F760" t="s">
        <v>1388</v>
      </c>
      <c r="G760" t="s">
        <v>87</v>
      </c>
      <c r="H760" t="s">
        <v>9714</v>
      </c>
      <c r="I760" s="186">
        <v>9</v>
      </c>
      <c r="J760" t="s">
        <v>1258</v>
      </c>
      <c r="K760" s="185">
        <v>100000</v>
      </c>
      <c r="L760" s="191">
        <v>45261.6481712963</v>
      </c>
    </row>
    <row r="761" spans="1:12" x14ac:dyDescent="0.3">
      <c r="A761" s="186">
        <v>23091</v>
      </c>
      <c r="B761" s="186">
        <v>10</v>
      </c>
      <c r="C761" s="186" t="s">
        <v>9715</v>
      </c>
      <c r="D761" t="s">
        <v>1387</v>
      </c>
      <c r="E761" s="186">
        <v>34562112</v>
      </c>
      <c r="F761" t="s">
        <v>1388</v>
      </c>
      <c r="G761" t="s">
        <v>87</v>
      </c>
      <c r="H761" t="s">
        <v>9715</v>
      </c>
      <c r="I761" s="186">
        <v>24</v>
      </c>
      <c r="J761" t="s">
        <v>133</v>
      </c>
      <c r="K761" s="185">
        <v>371015</v>
      </c>
      <c r="L761" s="191">
        <v>45315.389386574076</v>
      </c>
    </row>
    <row r="762" spans="1:12" x14ac:dyDescent="0.3">
      <c r="A762" s="186">
        <v>22338</v>
      </c>
      <c r="C762" s="186" t="s">
        <v>9716</v>
      </c>
      <c r="D762" t="s">
        <v>1394</v>
      </c>
      <c r="E762" s="186">
        <v>39684795</v>
      </c>
      <c r="G762" t="s">
        <v>113</v>
      </c>
      <c r="H762" t="s">
        <v>9716</v>
      </c>
      <c r="I762" s="186">
        <v>3</v>
      </c>
      <c r="K762" s="185">
        <v>0</v>
      </c>
      <c r="L762" s="191">
        <v>45180.487222222226</v>
      </c>
    </row>
    <row r="763" spans="1:12" x14ac:dyDescent="0.3">
      <c r="A763" s="186">
        <v>22342</v>
      </c>
      <c r="B763" s="186">
        <v>-1</v>
      </c>
      <c r="C763" s="186" t="s">
        <v>9717</v>
      </c>
      <c r="D763" t="s">
        <v>1387</v>
      </c>
      <c r="E763" s="186">
        <v>48928934</v>
      </c>
      <c r="F763" t="s">
        <v>1388</v>
      </c>
      <c r="G763" t="s">
        <v>87</v>
      </c>
      <c r="H763" t="s">
        <v>9717</v>
      </c>
      <c r="I763" s="186">
        <v>19</v>
      </c>
      <c r="J763" t="s">
        <v>174</v>
      </c>
      <c r="K763">
        <v>65000</v>
      </c>
      <c r="L763" s="191">
        <v>45180.666377314818</v>
      </c>
    </row>
    <row r="764" spans="1:12" x14ac:dyDescent="0.3">
      <c r="A764" s="186">
        <v>22351</v>
      </c>
      <c r="B764" s="186">
        <v>30</v>
      </c>
      <c r="C764" s="186" t="s">
        <v>9718</v>
      </c>
      <c r="D764" t="s">
        <v>1387</v>
      </c>
      <c r="E764" s="186">
        <v>7522191</v>
      </c>
      <c r="F764" t="s">
        <v>1388</v>
      </c>
      <c r="G764" t="s">
        <v>87</v>
      </c>
      <c r="H764" t="s">
        <v>9718</v>
      </c>
      <c r="I764" s="186">
        <v>18</v>
      </c>
      <c r="J764" t="s">
        <v>103</v>
      </c>
      <c r="K764" s="185">
        <v>181500</v>
      </c>
      <c r="L764" s="191">
        <v>45181.865358796298</v>
      </c>
    </row>
    <row r="765" spans="1:12" x14ac:dyDescent="0.3">
      <c r="A765" s="186">
        <v>21690</v>
      </c>
      <c r="B765" s="186">
        <v>18</v>
      </c>
      <c r="C765" s="186" t="s">
        <v>9719</v>
      </c>
      <c r="D765" t="s">
        <v>1387</v>
      </c>
      <c r="E765" s="186">
        <v>5451496</v>
      </c>
      <c r="F765" t="s">
        <v>1388</v>
      </c>
      <c r="G765" t="s">
        <v>87</v>
      </c>
      <c r="H765" t="s">
        <v>9719</v>
      </c>
      <c r="I765" s="186">
        <v>3</v>
      </c>
      <c r="J765" t="s">
        <v>112</v>
      </c>
      <c r="K765">
        <v>12563.45</v>
      </c>
      <c r="L765" s="191">
        <v>45068.622002314813</v>
      </c>
    </row>
    <row r="766" spans="1:12" x14ac:dyDescent="0.3">
      <c r="A766" s="186">
        <v>21708</v>
      </c>
      <c r="B766" s="186">
        <v>0</v>
      </c>
      <c r="C766" s="186" t="s">
        <v>9720</v>
      </c>
      <c r="D766" t="s">
        <v>1394</v>
      </c>
      <c r="E766" s="186">
        <v>71313258</v>
      </c>
      <c r="G766" t="s">
        <v>87</v>
      </c>
      <c r="H766" t="s">
        <v>9720</v>
      </c>
      <c r="I766" s="186">
        <v>3</v>
      </c>
      <c r="J766" t="s">
        <v>100</v>
      </c>
      <c r="K766" s="185">
        <v>0</v>
      </c>
      <c r="L766" s="191">
        <v>45069.452592592592</v>
      </c>
    </row>
    <row r="767" spans="1:12" x14ac:dyDescent="0.3">
      <c r="A767" s="186">
        <v>21997</v>
      </c>
      <c r="B767" s="186">
        <v>40</v>
      </c>
      <c r="C767" s="186" t="s">
        <v>9721</v>
      </c>
      <c r="D767" t="s">
        <v>1387</v>
      </c>
      <c r="E767" s="186">
        <v>19942283</v>
      </c>
      <c r="F767" t="s">
        <v>1388</v>
      </c>
      <c r="G767" t="s">
        <v>87</v>
      </c>
      <c r="H767" t="s">
        <v>9721</v>
      </c>
      <c r="I767" s="186">
        <v>3</v>
      </c>
      <c r="J767" t="s">
        <v>239</v>
      </c>
      <c r="K767" s="185">
        <v>206903.97</v>
      </c>
      <c r="L767" s="191">
        <v>45117.493171296293</v>
      </c>
    </row>
    <row r="768" spans="1:12" x14ac:dyDescent="0.3">
      <c r="A768" s="186">
        <v>23145</v>
      </c>
      <c r="B768" s="186">
        <v>-1</v>
      </c>
      <c r="C768" s="186" t="s">
        <v>9722</v>
      </c>
      <c r="D768" t="s">
        <v>244</v>
      </c>
      <c r="E768" s="186">
        <v>96409509391</v>
      </c>
      <c r="G768" t="s">
        <v>87</v>
      </c>
      <c r="H768" t="s">
        <v>9722</v>
      </c>
      <c r="I768" s="186">
        <v>9</v>
      </c>
      <c r="J768" t="s">
        <v>174</v>
      </c>
      <c r="K768" s="185">
        <v>220000</v>
      </c>
      <c r="L768" s="191">
        <v>45320.606087962966</v>
      </c>
    </row>
    <row r="769" spans="1:12" x14ac:dyDescent="0.3">
      <c r="A769" s="186">
        <v>4802</v>
      </c>
      <c r="B769" s="186">
        <v>30</v>
      </c>
      <c r="C769" s="186" t="s">
        <v>9723</v>
      </c>
      <c r="D769" t="s">
        <v>1387</v>
      </c>
      <c r="E769" s="186">
        <v>17185786</v>
      </c>
      <c r="F769" t="s">
        <v>1388</v>
      </c>
      <c r="G769" t="s">
        <v>87</v>
      </c>
      <c r="H769" t="s">
        <v>9723</v>
      </c>
      <c r="I769" s="186">
        <v>3</v>
      </c>
      <c r="J769" t="s">
        <v>103</v>
      </c>
      <c r="K769" s="185">
        <v>638195.14</v>
      </c>
      <c r="L769" s="191">
        <v>45323.60633101852</v>
      </c>
    </row>
    <row r="770" spans="1:12" x14ac:dyDescent="0.3">
      <c r="A770" s="186">
        <v>23211</v>
      </c>
      <c r="B770" s="186" t="s">
        <v>222</v>
      </c>
      <c r="C770" s="186" t="s">
        <v>9724</v>
      </c>
      <c r="D770" t="s">
        <v>1387</v>
      </c>
      <c r="E770" s="186">
        <v>8220952</v>
      </c>
      <c r="F770" t="s">
        <v>1388</v>
      </c>
      <c r="G770" t="s">
        <v>87</v>
      </c>
      <c r="H770" t="s">
        <v>9724</v>
      </c>
      <c r="I770" s="186">
        <v>43</v>
      </c>
      <c r="J770" t="s">
        <v>223</v>
      </c>
      <c r="K770" s="185">
        <v>23099.13</v>
      </c>
      <c r="L770" s="191">
        <v>45328.46769675926</v>
      </c>
    </row>
    <row r="771" spans="1:12" x14ac:dyDescent="0.3">
      <c r="A771" s="186">
        <v>22339</v>
      </c>
      <c r="C771" s="186" t="s">
        <v>9725</v>
      </c>
      <c r="D771" t="s">
        <v>1394</v>
      </c>
      <c r="E771" s="186">
        <v>47387039</v>
      </c>
      <c r="G771" t="s">
        <v>113</v>
      </c>
      <c r="H771" t="s">
        <v>9725</v>
      </c>
      <c r="I771" s="186">
        <v>43</v>
      </c>
      <c r="K771" s="185">
        <v>0</v>
      </c>
      <c r="L771" s="191">
        <v>45180.502685185187</v>
      </c>
    </row>
    <row r="772" spans="1:12" x14ac:dyDescent="0.3">
      <c r="A772" s="186">
        <v>22838</v>
      </c>
      <c r="B772" s="186">
        <v>0</v>
      </c>
      <c r="C772" s="186" t="s">
        <v>9726</v>
      </c>
      <c r="D772" t="s">
        <v>1387</v>
      </c>
      <c r="E772" s="186">
        <v>45271171</v>
      </c>
      <c r="F772" t="s">
        <v>1388</v>
      </c>
      <c r="G772" t="s">
        <v>87</v>
      </c>
      <c r="H772" t="s">
        <v>9726</v>
      </c>
      <c r="I772" s="186">
        <v>3</v>
      </c>
      <c r="J772" t="s">
        <v>100</v>
      </c>
      <c r="K772" s="185">
        <v>350000</v>
      </c>
      <c r="L772" s="191">
        <v>45275.372615740744</v>
      </c>
    </row>
    <row r="773" spans="1:12" x14ac:dyDescent="0.3">
      <c r="A773" s="186">
        <v>23000</v>
      </c>
      <c r="B773" s="186">
        <v>30</v>
      </c>
      <c r="C773" s="186" t="s">
        <v>9727</v>
      </c>
      <c r="D773" t="s">
        <v>1387</v>
      </c>
      <c r="E773" s="186">
        <v>8056030</v>
      </c>
      <c r="F773" t="s">
        <v>1388</v>
      </c>
      <c r="G773" t="s">
        <v>87</v>
      </c>
      <c r="H773" t="s">
        <v>9727</v>
      </c>
      <c r="I773" s="186">
        <v>26</v>
      </c>
      <c r="J773" t="s">
        <v>103</v>
      </c>
      <c r="K773" s="185">
        <v>216730.2</v>
      </c>
      <c r="L773" s="191">
        <v>45303.595949074072</v>
      </c>
    </row>
    <row r="774" spans="1:12" x14ac:dyDescent="0.3">
      <c r="A774" s="186">
        <v>23236</v>
      </c>
      <c r="B774" s="186" t="s">
        <v>1405</v>
      </c>
      <c r="C774" s="186" t="s">
        <v>9728</v>
      </c>
      <c r="D774" t="s">
        <v>1387</v>
      </c>
      <c r="E774" s="186">
        <v>23131470</v>
      </c>
      <c r="F774" t="s">
        <v>1388</v>
      </c>
      <c r="G774" t="s">
        <v>87</v>
      </c>
      <c r="H774" t="s">
        <v>9728</v>
      </c>
      <c r="I774" s="186">
        <v>3</v>
      </c>
      <c r="J774" t="s">
        <v>1406</v>
      </c>
      <c r="K774" s="185">
        <v>27772.21</v>
      </c>
      <c r="L774" s="191">
        <v>45330.36824074074</v>
      </c>
    </row>
    <row r="775" spans="1:12" x14ac:dyDescent="0.3">
      <c r="A775" s="186">
        <v>22085</v>
      </c>
      <c r="B775" s="186">
        <v>45</v>
      </c>
      <c r="C775" s="186" t="s">
        <v>9729</v>
      </c>
      <c r="D775" t="s">
        <v>1387</v>
      </c>
      <c r="E775" s="186">
        <v>10279488</v>
      </c>
      <c r="F775" t="s">
        <v>1388</v>
      </c>
      <c r="G775" t="s">
        <v>87</v>
      </c>
      <c r="H775" t="s">
        <v>9729</v>
      </c>
      <c r="I775" s="186">
        <v>3</v>
      </c>
      <c r="J775" t="s">
        <v>106</v>
      </c>
      <c r="K775" s="185">
        <v>9355.68</v>
      </c>
      <c r="L775" s="191">
        <v>45132.598726851851</v>
      </c>
    </row>
    <row r="776" spans="1:12" x14ac:dyDescent="0.3">
      <c r="A776" s="186">
        <v>23544</v>
      </c>
      <c r="B776" s="186">
        <v>10</v>
      </c>
      <c r="C776" s="186" t="s">
        <v>9730</v>
      </c>
      <c r="D776" t="s">
        <v>1394</v>
      </c>
      <c r="E776" s="186">
        <v>34562112</v>
      </c>
      <c r="G776" t="s">
        <v>87</v>
      </c>
      <c r="H776" t="s">
        <v>9730</v>
      </c>
      <c r="I776" s="186">
        <v>24</v>
      </c>
      <c r="J776" t="s">
        <v>133</v>
      </c>
      <c r="K776" s="185">
        <v>5800</v>
      </c>
      <c r="L776" s="191">
        <v>45372.680173611108</v>
      </c>
    </row>
    <row r="777" spans="1:12" x14ac:dyDescent="0.3">
      <c r="A777" s="186">
        <v>23755</v>
      </c>
      <c r="B777" s="186">
        <v>0</v>
      </c>
      <c r="C777" s="186" t="s">
        <v>9731</v>
      </c>
      <c r="D777" t="s">
        <v>1394</v>
      </c>
      <c r="E777" s="186">
        <v>14863079</v>
      </c>
      <c r="G777" t="s">
        <v>87</v>
      </c>
      <c r="H777" t="s">
        <v>9731</v>
      </c>
      <c r="I777" s="186">
        <v>18</v>
      </c>
      <c r="J777" t="s">
        <v>100</v>
      </c>
      <c r="K777" s="185">
        <v>310317.09000000003</v>
      </c>
      <c r="L777" s="191">
        <v>45398.594502314816</v>
      </c>
    </row>
    <row r="778" spans="1:12" x14ac:dyDescent="0.3">
      <c r="A778" s="186">
        <v>23400</v>
      </c>
      <c r="B778" s="186" t="s">
        <v>1408</v>
      </c>
      <c r="C778" s="186" t="s">
        <v>9732</v>
      </c>
      <c r="D778" t="s">
        <v>1402</v>
      </c>
      <c r="E778" s="186">
        <v>43635526</v>
      </c>
      <c r="G778" t="s">
        <v>87</v>
      </c>
      <c r="H778" t="s">
        <v>9732</v>
      </c>
      <c r="I778" s="186">
        <v>9</v>
      </c>
      <c r="J778" t="s">
        <v>1409</v>
      </c>
      <c r="K778" s="185">
        <v>116703.91</v>
      </c>
      <c r="L778" s="191">
        <v>45351.372465277775</v>
      </c>
    </row>
    <row r="779" spans="1:12" x14ac:dyDescent="0.3">
      <c r="A779" s="186">
        <v>24075</v>
      </c>
      <c r="B779" s="186">
        <v>-1</v>
      </c>
      <c r="C779" s="186" t="s">
        <v>9733</v>
      </c>
      <c r="D779" t="s">
        <v>1394</v>
      </c>
      <c r="E779" s="186">
        <v>5401842</v>
      </c>
      <c r="G779" t="s">
        <v>87</v>
      </c>
      <c r="H779" t="s">
        <v>9733</v>
      </c>
      <c r="I779" s="186">
        <v>24</v>
      </c>
      <c r="J779" t="s">
        <v>174</v>
      </c>
      <c r="K779" s="185">
        <v>48000.09</v>
      </c>
      <c r="L779" s="191">
        <v>45440.59480324074</v>
      </c>
    </row>
    <row r="780" spans="1:12" x14ac:dyDescent="0.3">
      <c r="A780" s="186">
        <v>24107</v>
      </c>
      <c r="B780" s="186">
        <v>-1</v>
      </c>
      <c r="C780" s="186" t="s">
        <v>9734</v>
      </c>
      <c r="D780" t="s">
        <v>1394</v>
      </c>
      <c r="E780" s="186">
        <v>38124734</v>
      </c>
      <c r="G780" t="s">
        <v>113</v>
      </c>
      <c r="H780" t="s">
        <v>9734</v>
      </c>
      <c r="I780" s="186">
        <v>19</v>
      </c>
      <c r="J780" t="s">
        <v>174</v>
      </c>
      <c r="K780" s="185">
        <v>41494.720000000001</v>
      </c>
      <c r="L780" s="191">
        <v>45447.519618055558</v>
      </c>
    </row>
    <row r="781" spans="1:12" x14ac:dyDescent="0.3">
      <c r="A781" s="186">
        <v>24150</v>
      </c>
      <c r="B781" s="186">
        <v>0</v>
      </c>
      <c r="C781" s="186" t="s">
        <v>9735</v>
      </c>
      <c r="D781" t="s">
        <v>1394</v>
      </c>
      <c r="E781" s="186">
        <v>793483</v>
      </c>
      <c r="G781" t="s">
        <v>87</v>
      </c>
      <c r="H781" t="s">
        <v>9735</v>
      </c>
      <c r="I781" s="186">
        <v>10</v>
      </c>
      <c r="J781" t="s">
        <v>100</v>
      </c>
      <c r="K781">
        <v>23499.13</v>
      </c>
      <c r="L781" s="191">
        <v>45460.619108796294</v>
      </c>
    </row>
    <row r="782" spans="1:12" x14ac:dyDescent="0.3">
      <c r="A782" s="186">
        <v>24143</v>
      </c>
      <c r="B782" s="186">
        <v>0</v>
      </c>
      <c r="C782" s="186" t="s">
        <v>9736</v>
      </c>
      <c r="D782" t="s">
        <v>1387</v>
      </c>
      <c r="E782" s="186">
        <v>793483</v>
      </c>
      <c r="F782" t="s">
        <v>1388</v>
      </c>
      <c r="G782" t="s">
        <v>87</v>
      </c>
      <c r="H782" t="s">
        <v>9736</v>
      </c>
      <c r="I782" s="186">
        <v>10</v>
      </c>
      <c r="J782" t="s">
        <v>100</v>
      </c>
      <c r="K782" s="185">
        <v>17999.3</v>
      </c>
      <c r="L782" s="191">
        <v>45450.373657407406</v>
      </c>
    </row>
    <row r="783" spans="1:12" x14ac:dyDescent="0.3">
      <c r="A783" s="186">
        <v>23535</v>
      </c>
      <c r="B783" s="186">
        <v>-1</v>
      </c>
      <c r="C783" s="186" t="s">
        <v>9737</v>
      </c>
      <c r="D783" t="s">
        <v>1387</v>
      </c>
      <c r="E783" s="186">
        <v>10279488</v>
      </c>
      <c r="F783" t="s">
        <v>1388</v>
      </c>
      <c r="G783" t="s">
        <v>87</v>
      </c>
      <c r="H783" t="s">
        <v>9737</v>
      </c>
      <c r="I783" s="186">
        <v>43</v>
      </c>
      <c r="J783" t="s">
        <v>174</v>
      </c>
      <c r="K783" s="185">
        <v>6300</v>
      </c>
      <c r="L783" s="191">
        <v>45371.637303240743</v>
      </c>
    </row>
    <row r="784" spans="1:12" x14ac:dyDescent="0.3">
      <c r="A784" s="186">
        <v>1695</v>
      </c>
      <c r="B784" s="186" t="s">
        <v>1389</v>
      </c>
      <c r="C784" s="186" t="s">
        <v>9738</v>
      </c>
      <c r="D784" t="s">
        <v>1387</v>
      </c>
      <c r="E784" s="186">
        <v>32484925700</v>
      </c>
      <c r="F784" t="s">
        <v>1388</v>
      </c>
      <c r="G784" t="s">
        <v>87</v>
      </c>
      <c r="H784" t="s">
        <v>9738</v>
      </c>
      <c r="I784" s="186">
        <v>9</v>
      </c>
      <c r="J784" t="s">
        <v>1390</v>
      </c>
      <c r="K784" s="185">
        <v>24000</v>
      </c>
      <c r="L784" s="191">
        <v>45602.373796296299</v>
      </c>
    </row>
    <row r="785" spans="1:12" x14ac:dyDescent="0.3">
      <c r="A785" s="186">
        <v>24155</v>
      </c>
      <c r="B785" s="186">
        <v>0</v>
      </c>
      <c r="C785" s="186" t="s">
        <v>9739</v>
      </c>
      <c r="D785" t="s">
        <v>1387</v>
      </c>
      <c r="E785" s="186">
        <v>7994158</v>
      </c>
      <c r="F785" t="s">
        <v>1388</v>
      </c>
      <c r="G785" t="s">
        <v>87</v>
      </c>
      <c r="H785" t="s">
        <v>9739</v>
      </c>
      <c r="I785" s="186">
        <v>9</v>
      </c>
      <c r="J785" t="s">
        <v>100</v>
      </c>
      <c r="K785" s="185">
        <v>415000</v>
      </c>
      <c r="L785" s="191">
        <v>45469.640219907407</v>
      </c>
    </row>
    <row r="786" spans="1:12" x14ac:dyDescent="0.3">
      <c r="A786" s="186">
        <v>24169</v>
      </c>
      <c r="B786" s="186">
        <v>0</v>
      </c>
      <c r="C786" s="186" t="s">
        <v>9740</v>
      </c>
      <c r="D786" t="s">
        <v>1387</v>
      </c>
      <c r="E786" s="186">
        <v>88206890653</v>
      </c>
      <c r="F786" t="s">
        <v>1388</v>
      </c>
      <c r="G786" t="s">
        <v>87</v>
      </c>
      <c r="H786" t="s">
        <v>9740</v>
      </c>
      <c r="I786" s="186">
        <v>3</v>
      </c>
      <c r="J786" t="s">
        <v>100</v>
      </c>
      <c r="K786" s="185">
        <v>40500</v>
      </c>
      <c r="L786" s="191">
        <v>45481.62568287037</v>
      </c>
    </row>
    <row r="787" spans="1:12" x14ac:dyDescent="0.3">
      <c r="A787" s="186">
        <v>1251</v>
      </c>
      <c r="B787" s="186">
        <v>10</v>
      </c>
      <c r="C787" s="186" t="s">
        <v>9741</v>
      </c>
      <c r="D787" t="s">
        <v>1387</v>
      </c>
      <c r="E787" s="186">
        <v>52696871</v>
      </c>
      <c r="F787" t="s">
        <v>1388</v>
      </c>
      <c r="G787" t="s">
        <v>87</v>
      </c>
      <c r="H787" t="s">
        <v>9741</v>
      </c>
      <c r="I787" s="186">
        <v>3</v>
      </c>
      <c r="J787" t="s">
        <v>133</v>
      </c>
      <c r="K787" s="185">
        <v>0</v>
      </c>
      <c r="L787" s="191">
        <v>45482.511307870373</v>
      </c>
    </row>
    <row r="788" spans="1:12" x14ac:dyDescent="0.3">
      <c r="A788" s="186">
        <v>1308</v>
      </c>
      <c r="B788" s="186">
        <v>30</v>
      </c>
      <c r="C788" s="186" t="s">
        <v>9742</v>
      </c>
      <c r="D788" t="s">
        <v>1387</v>
      </c>
      <c r="E788" s="186">
        <v>51466860</v>
      </c>
      <c r="F788" t="s">
        <v>1388</v>
      </c>
      <c r="G788" t="s">
        <v>87</v>
      </c>
      <c r="H788" t="s">
        <v>9742</v>
      </c>
      <c r="I788" s="186">
        <v>37</v>
      </c>
      <c r="J788" t="s">
        <v>103</v>
      </c>
      <c r="K788" s="185">
        <v>51968.78</v>
      </c>
      <c r="L788" s="191">
        <v>45498.642106481479</v>
      </c>
    </row>
    <row r="789" spans="1:12" x14ac:dyDescent="0.3">
      <c r="A789" s="186">
        <v>23460</v>
      </c>
      <c r="B789" s="186">
        <v>10</v>
      </c>
      <c r="C789" s="186" t="s">
        <v>9743</v>
      </c>
      <c r="D789" t="s">
        <v>1394</v>
      </c>
      <c r="E789" s="186">
        <v>50180042</v>
      </c>
      <c r="G789" t="s">
        <v>87</v>
      </c>
      <c r="H789" t="s">
        <v>9743</v>
      </c>
      <c r="I789" s="186">
        <v>10</v>
      </c>
      <c r="J789" t="s">
        <v>133</v>
      </c>
      <c r="K789">
        <v>0</v>
      </c>
      <c r="L789" s="191">
        <v>45362.695509259262</v>
      </c>
    </row>
    <row r="790" spans="1:12" x14ac:dyDescent="0.3">
      <c r="A790" s="186">
        <v>23547</v>
      </c>
      <c r="B790" s="186">
        <v>0</v>
      </c>
      <c r="C790" s="186" t="s">
        <v>9744</v>
      </c>
      <c r="D790" t="s">
        <v>1387</v>
      </c>
      <c r="E790" s="186">
        <v>9452900</v>
      </c>
      <c r="F790" t="s">
        <v>1388</v>
      </c>
      <c r="G790" t="s">
        <v>87</v>
      </c>
      <c r="H790" t="s">
        <v>9744</v>
      </c>
      <c r="I790" s="186">
        <v>18</v>
      </c>
      <c r="J790" t="s">
        <v>100</v>
      </c>
      <c r="K790" s="185">
        <v>300126.48</v>
      </c>
      <c r="L790" s="191">
        <v>45372.737233796295</v>
      </c>
    </row>
    <row r="791" spans="1:12" x14ac:dyDescent="0.3">
      <c r="A791" s="186">
        <v>23579</v>
      </c>
      <c r="B791" s="186">
        <v>-1</v>
      </c>
      <c r="C791" s="186" t="s">
        <v>9745</v>
      </c>
      <c r="D791" t="s">
        <v>1387</v>
      </c>
      <c r="E791" s="186">
        <v>20302873</v>
      </c>
      <c r="F791" t="s">
        <v>1388</v>
      </c>
      <c r="G791" t="s">
        <v>87</v>
      </c>
      <c r="H791" t="s">
        <v>9745</v>
      </c>
      <c r="I791" s="186">
        <v>3</v>
      </c>
      <c r="J791" t="s">
        <v>174</v>
      </c>
      <c r="K791">
        <v>75000</v>
      </c>
      <c r="L791" s="191">
        <v>45376.613726851851</v>
      </c>
    </row>
    <row r="792" spans="1:12" x14ac:dyDescent="0.3">
      <c r="A792" s="186">
        <v>1519</v>
      </c>
      <c r="B792" s="186" t="s">
        <v>1366</v>
      </c>
      <c r="C792" s="186" t="s">
        <v>9746</v>
      </c>
      <c r="D792" t="s">
        <v>1387</v>
      </c>
      <c r="E792" s="186">
        <v>28426989</v>
      </c>
      <c r="F792" t="s">
        <v>1388</v>
      </c>
      <c r="G792" t="s">
        <v>87</v>
      </c>
      <c r="H792" t="s">
        <v>9746</v>
      </c>
      <c r="I792" s="186">
        <v>3</v>
      </c>
      <c r="J792" t="s">
        <v>1367</v>
      </c>
      <c r="K792" s="185">
        <v>40163.1</v>
      </c>
      <c r="L792" s="191">
        <v>45559.48541666667</v>
      </c>
    </row>
    <row r="793" spans="1:12" x14ac:dyDescent="0.3">
      <c r="A793" s="186">
        <v>23659</v>
      </c>
      <c r="B793" s="186">
        <v>30</v>
      </c>
      <c r="C793" s="186" t="s">
        <v>9747</v>
      </c>
      <c r="D793" t="s">
        <v>1387</v>
      </c>
      <c r="E793" s="186">
        <v>17069832</v>
      </c>
      <c r="F793" t="s">
        <v>1388</v>
      </c>
      <c r="G793" t="s">
        <v>87</v>
      </c>
      <c r="H793" t="s">
        <v>9747</v>
      </c>
      <c r="I793" s="186">
        <v>24</v>
      </c>
      <c r="J793" t="s">
        <v>103</v>
      </c>
      <c r="K793" s="185">
        <v>42234</v>
      </c>
      <c r="L793" s="191">
        <v>45386.716643518521</v>
      </c>
    </row>
    <row r="794" spans="1:12" x14ac:dyDescent="0.3">
      <c r="A794" s="186">
        <v>23758</v>
      </c>
      <c r="B794" s="186">
        <v>0</v>
      </c>
      <c r="C794" s="186" t="s">
        <v>9748</v>
      </c>
      <c r="D794" t="s">
        <v>1387</v>
      </c>
      <c r="E794" s="186">
        <v>35833933</v>
      </c>
      <c r="F794" t="s">
        <v>1388</v>
      </c>
      <c r="G794" t="s">
        <v>87</v>
      </c>
      <c r="H794" t="s">
        <v>9748</v>
      </c>
      <c r="I794" s="186">
        <v>10</v>
      </c>
      <c r="J794" t="s">
        <v>100</v>
      </c>
      <c r="K794">
        <v>250000</v>
      </c>
      <c r="L794" s="191">
        <v>45398.652465277781</v>
      </c>
    </row>
    <row r="795" spans="1:12" x14ac:dyDescent="0.3">
      <c r="A795" s="186">
        <v>23966</v>
      </c>
      <c r="B795" s="186">
        <v>18</v>
      </c>
      <c r="C795" s="186" t="s">
        <v>9749</v>
      </c>
      <c r="D795" t="s">
        <v>1394</v>
      </c>
      <c r="E795" s="186">
        <v>5500757</v>
      </c>
      <c r="G795" t="s">
        <v>113</v>
      </c>
      <c r="H795" t="s">
        <v>9749</v>
      </c>
      <c r="I795" s="186">
        <v>26</v>
      </c>
      <c r="J795" t="s">
        <v>112</v>
      </c>
      <c r="K795" s="185">
        <v>71963.62</v>
      </c>
      <c r="L795" s="191">
        <v>45427.687465277777</v>
      </c>
    </row>
    <row r="796" spans="1:12" x14ac:dyDescent="0.3">
      <c r="A796" s="186">
        <v>24171</v>
      </c>
      <c r="B796" s="186">
        <v>0</v>
      </c>
      <c r="C796" s="186" t="s">
        <v>9750</v>
      </c>
      <c r="D796" t="s">
        <v>1387</v>
      </c>
      <c r="E796" s="186">
        <v>11698050607</v>
      </c>
      <c r="F796" t="s">
        <v>1388</v>
      </c>
      <c r="G796" t="s">
        <v>87</v>
      </c>
      <c r="H796" t="s">
        <v>9750</v>
      </c>
      <c r="I796" s="186">
        <v>3</v>
      </c>
      <c r="J796" t="s">
        <v>100</v>
      </c>
      <c r="K796">
        <v>36500</v>
      </c>
      <c r="L796" s="191">
        <v>45482.630162037036</v>
      </c>
    </row>
    <row r="797" spans="1:12" x14ac:dyDescent="0.3">
      <c r="A797" s="186">
        <v>1353</v>
      </c>
      <c r="B797" s="186">
        <v>60</v>
      </c>
      <c r="C797" s="186" t="s">
        <v>9751</v>
      </c>
      <c r="D797" t="s">
        <v>1387</v>
      </c>
      <c r="E797" s="186">
        <v>33592510</v>
      </c>
      <c r="F797" t="s">
        <v>1388</v>
      </c>
      <c r="G797" t="s">
        <v>87</v>
      </c>
      <c r="H797" t="s">
        <v>9751</v>
      </c>
      <c r="I797" s="186">
        <v>3</v>
      </c>
      <c r="J797" t="s">
        <v>97</v>
      </c>
      <c r="K797" s="185">
        <v>341089.64</v>
      </c>
      <c r="L797" s="191">
        <v>45516.604062500002</v>
      </c>
    </row>
    <row r="798" spans="1:12" x14ac:dyDescent="0.3">
      <c r="A798" s="186">
        <v>1396</v>
      </c>
      <c r="B798" s="186">
        <v>10</v>
      </c>
      <c r="C798" s="186" t="s">
        <v>9752</v>
      </c>
      <c r="D798" t="s">
        <v>1387</v>
      </c>
      <c r="E798" s="186">
        <v>11447669</v>
      </c>
      <c r="F798" t="s">
        <v>1388</v>
      </c>
      <c r="G798" t="s">
        <v>87</v>
      </c>
      <c r="H798" t="s">
        <v>9752</v>
      </c>
      <c r="I798" s="186">
        <v>43</v>
      </c>
      <c r="J798" t="s">
        <v>133</v>
      </c>
      <c r="K798" s="185">
        <v>101199.44</v>
      </c>
      <c r="L798" s="191">
        <v>45527.640555555554</v>
      </c>
    </row>
    <row r="799" spans="1:12" x14ac:dyDescent="0.3">
      <c r="A799" s="186">
        <v>1450</v>
      </c>
      <c r="B799" s="186" t="s">
        <v>1396</v>
      </c>
      <c r="C799" s="186" t="s">
        <v>9753</v>
      </c>
      <c r="D799" t="s">
        <v>1387</v>
      </c>
      <c r="E799" s="186">
        <v>10630328</v>
      </c>
      <c r="F799" t="s">
        <v>1388</v>
      </c>
      <c r="G799" t="s">
        <v>87</v>
      </c>
      <c r="H799" t="s">
        <v>9753</v>
      </c>
      <c r="I799" s="186">
        <v>43</v>
      </c>
      <c r="J799" t="s">
        <v>1397</v>
      </c>
      <c r="K799" s="185">
        <v>46046.02</v>
      </c>
      <c r="L799" s="191">
        <v>45545.508483796293</v>
      </c>
    </row>
    <row r="800" spans="1:12" x14ac:dyDescent="0.3">
      <c r="A800" s="186">
        <v>23443</v>
      </c>
      <c r="B800" s="186">
        <v>0</v>
      </c>
      <c r="C800" s="186" t="s">
        <v>9754</v>
      </c>
      <c r="D800" t="s">
        <v>1387</v>
      </c>
      <c r="E800" s="186">
        <v>30219710163</v>
      </c>
      <c r="F800" t="s">
        <v>1388</v>
      </c>
      <c r="G800" t="s">
        <v>87</v>
      </c>
      <c r="H800" t="s">
        <v>9754</v>
      </c>
      <c r="I800" s="186">
        <v>9</v>
      </c>
      <c r="J800" t="s">
        <v>100</v>
      </c>
      <c r="K800" s="185">
        <v>430000</v>
      </c>
      <c r="L800" s="191">
        <v>45358.375879629632</v>
      </c>
    </row>
    <row r="801" spans="1:12" x14ac:dyDescent="0.3">
      <c r="A801" s="186">
        <v>24056</v>
      </c>
      <c r="B801" s="186">
        <v>-1</v>
      </c>
      <c r="C801" s="186" t="s">
        <v>9755</v>
      </c>
      <c r="D801" t="s">
        <v>1394</v>
      </c>
      <c r="E801" s="186">
        <v>60744463</v>
      </c>
      <c r="G801" t="s">
        <v>87</v>
      </c>
      <c r="H801" t="s">
        <v>9755</v>
      </c>
      <c r="I801" s="186">
        <v>24</v>
      </c>
      <c r="J801" t="s">
        <v>174</v>
      </c>
      <c r="K801" s="185">
        <v>427441.64</v>
      </c>
      <c r="L801" s="191">
        <v>45436.471226851849</v>
      </c>
    </row>
    <row r="802" spans="1:12" x14ac:dyDescent="0.3">
      <c r="A802" s="186">
        <v>23881</v>
      </c>
      <c r="B802" s="186">
        <v>0</v>
      </c>
      <c r="C802" s="186" t="s">
        <v>9756</v>
      </c>
      <c r="D802" t="s">
        <v>1387</v>
      </c>
      <c r="E802" s="186">
        <v>5416618</v>
      </c>
      <c r="F802" t="s">
        <v>1388</v>
      </c>
      <c r="G802" t="s">
        <v>87</v>
      </c>
      <c r="H802" t="s">
        <v>9756</v>
      </c>
      <c r="I802" s="186">
        <v>3</v>
      </c>
      <c r="J802" t="s">
        <v>100</v>
      </c>
      <c r="K802" s="185">
        <v>426</v>
      </c>
      <c r="L802" s="191">
        <v>45415.46193287037</v>
      </c>
    </row>
    <row r="803" spans="1:12" x14ac:dyDescent="0.3">
      <c r="A803" s="186">
        <v>24259</v>
      </c>
      <c r="B803" s="186">
        <v>45</v>
      </c>
      <c r="C803" s="186" t="s">
        <v>9757</v>
      </c>
      <c r="D803" t="s">
        <v>1387</v>
      </c>
      <c r="E803" s="186">
        <v>10279488</v>
      </c>
      <c r="F803" t="s">
        <v>1388</v>
      </c>
      <c r="G803" t="s">
        <v>87</v>
      </c>
      <c r="H803" t="s">
        <v>9757</v>
      </c>
      <c r="I803" s="186">
        <v>18</v>
      </c>
      <c r="J803" t="s">
        <v>106</v>
      </c>
      <c r="K803" s="185">
        <v>191591.1</v>
      </c>
      <c r="L803" s="191">
        <v>45574.372523148151</v>
      </c>
    </row>
    <row r="804" spans="1:12" x14ac:dyDescent="0.3">
      <c r="A804" s="186">
        <v>1611</v>
      </c>
      <c r="B804" s="186" t="s">
        <v>195</v>
      </c>
      <c r="C804" s="186" t="s">
        <v>9758</v>
      </c>
      <c r="D804" t="s">
        <v>1387</v>
      </c>
      <c r="E804" s="186">
        <v>21728083</v>
      </c>
      <c r="F804" t="s">
        <v>1388</v>
      </c>
      <c r="G804" t="s">
        <v>87</v>
      </c>
      <c r="H804" t="s">
        <v>9758</v>
      </c>
      <c r="I804" s="186">
        <v>43</v>
      </c>
      <c r="J804" t="s">
        <v>196</v>
      </c>
      <c r="K804" s="185">
        <v>44015.6</v>
      </c>
      <c r="L804" s="191">
        <v>45579.400729166664</v>
      </c>
    </row>
    <row r="805" spans="1:12" x14ac:dyDescent="0.3">
      <c r="A805" s="186">
        <v>23345</v>
      </c>
      <c r="B805" s="186">
        <v>30</v>
      </c>
      <c r="C805" s="186" t="s">
        <v>9759</v>
      </c>
      <c r="D805" t="s">
        <v>1387</v>
      </c>
      <c r="E805" s="186">
        <v>43939204</v>
      </c>
      <c r="F805" t="s">
        <v>1388</v>
      </c>
      <c r="G805" t="s">
        <v>87</v>
      </c>
      <c r="H805" t="s">
        <v>9759</v>
      </c>
      <c r="I805" s="186">
        <v>26</v>
      </c>
      <c r="J805" t="s">
        <v>103</v>
      </c>
      <c r="K805" s="185">
        <v>7865</v>
      </c>
      <c r="L805" s="191">
        <v>45344.600219907406</v>
      </c>
    </row>
    <row r="806" spans="1:12" x14ac:dyDescent="0.3">
      <c r="A806" s="186">
        <v>24003</v>
      </c>
      <c r="B806" s="186">
        <v>0</v>
      </c>
      <c r="C806" s="186" t="s">
        <v>9760</v>
      </c>
      <c r="D806" t="s">
        <v>1394</v>
      </c>
      <c r="E806" s="186">
        <v>3852459</v>
      </c>
      <c r="G806" t="s">
        <v>87</v>
      </c>
      <c r="H806" t="s">
        <v>9760</v>
      </c>
      <c r="I806" s="186">
        <v>18</v>
      </c>
      <c r="J806" t="s">
        <v>100</v>
      </c>
      <c r="K806" s="185">
        <v>4417646.2</v>
      </c>
      <c r="L806" s="191">
        <v>45433.44326388889</v>
      </c>
    </row>
    <row r="807" spans="1:12" x14ac:dyDescent="0.3">
      <c r="A807" s="186">
        <v>24204</v>
      </c>
      <c r="B807" s="186" t="s">
        <v>227</v>
      </c>
      <c r="C807" s="186" t="s">
        <v>9761</v>
      </c>
      <c r="D807" t="s">
        <v>1387</v>
      </c>
      <c r="E807" s="186">
        <v>56679871</v>
      </c>
      <c r="F807" t="s">
        <v>1388</v>
      </c>
      <c r="G807" t="s">
        <v>87</v>
      </c>
      <c r="H807" t="s">
        <v>9761</v>
      </c>
      <c r="I807" s="186">
        <v>24</v>
      </c>
      <c r="J807" t="s">
        <v>228</v>
      </c>
      <c r="K807" s="185">
        <v>63000</v>
      </c>
      <c r="L807" s="191">
        <v>45505.482928240737</v>
      </c>
    </row>
    <row r="808" spans="1:12" x14ac:dyDescent="0.3">
      <c r="A808" s="186">
        <v>1499</v>
      </c>
      <c r="B808" s="186">
        <v>10</v>
      </c>
      <c r="C808" s="186" t="s">
        <v>9762</v>
      </c>
      <c r="D808" t="s">
        <v>1387</v>
      </c>
      <c r="E808" s="186">
        <v>5793399</v>
      </c>
      <c r="F808" t="s">
        <v>1388</v>
      </c>
      <c r="G808" t="s">
        <v>87</v>
      </c>
      <c r="H808" t="s">
        <v>9762</v>
      </c>
      <c r="I808" s="186">
        <v>3</v>
      </c>
      <c r="J808" t="s">
        <v>133</v>
      </c>
      <c r="K808" s="185">
        <v>850</v>
      </c>
      <c r="L808" s="191">
        <v>45554.718611111108</v>
      </c>
    </row>
    <row r="809" spans="1:12" x14ac:dyDescent="0.3">
      <c r="A809" s="186">
        <v>1630</v>
      </c>
      <c r="B809" s="186" t="s">
        <v>195</v>
      </c>
      <c r="C809" s="186" t="s">
        <v>9763</v>
      </c>
      <c r="D809" t="s">
        <v>1387</v>
      </c>
      <c r="E809" s="186">
        <v>28426989</v>
      </c>
      <c r="F809" t="s">
        <v>1388</v>
      </c>
      <c r="G809" t="s">
        <v>87</v>
      </c>
      <c r="H809" t="s">
        <v>9763</v>
      </c>
      <c r="I809" s="186">
        <v>3</v>
      </c>
      <c r="J809" t="s">
        <v>196</v>
      </c>
      <c r="K809" s="185">
        <v>79493.58</v>
      </c>
      <c r="L809" s="191">
        <v>45581.675474537034</v>
      </c>
    </row>
    <row r="810" spans="1:12" x14ac:dyDescent="0.3">
      <c r="A810" s="186">
        <v>1642</v>
      </c>
      <c r="B810" s="186">
        <v>30</v>
      </c>
      <c r="C810" s="186" t="s">
        <v>9764</v>
      </c>
      <c r="D810" t="s">
        <v>1387</v>
      </c>
      <c r="E810" s="186">
        <v>91894774</v>
      </c>
      <c r="F810" t="s">
        <v>1388</v>
      </c>
      <c r="G810" t="s">
        <v>87</v>
      </c>
      <c r="H810" t="s">
        <v>9764</v>
      </c>
      <c r="I810" s="186">
        <v>3</v>
      </c>
      <c r="J810" t="s">
        <v>103</v>
      </c>
      <c r="K810" s="185">
        <v>246611.01</v>
      </c>
      <c r="L810" s="191">
        <v>45586.473460648151</v>
      </c>
    </row>
    <row r="811" spans="1:12" x14ac:dyDescent="0.3">
      <c r="A811" s="186">
        <v>1647</v>
      </c>
      <c r="B811" s="186">
        <v>0</v>
      </c>
      <c r="C811" s="186" t="s">
        <v>9765</v>
      </c>
      <c r="D811" t="s">
        <v>1387</v>
      </c>
      <c r="E811" s="186">
        <v>95337385615</v>
      </c>
      <c r="F811" t="s">
        <v>1388</v>
      </c>
      <c r="G811" t="s">
        <v>87</v>
      </c>
      <c r="H811" t="s">
        <v>9765</v>
      </c>
      <c r="I811" s="186">
        <v>3</v>
      </c>
      <c r="J811" t="s">
        <v>100</v>
      </c>
      <c r="K811" s="185">
        <v>40000</v>
      </c>
      <c r="L811" s="191">
        <v>45586.68109953704</v>
      </c>
    </row>
    <row r="812" spans="1:12" x14ac:dyDescent="0.3">
      <c r="A812" s="186">
        <v>1651</v>
      </c>
      <c r="B812" s="186">
        <v>30</v>
      </c>
      <c r="C812" s="186" t="s">
        <v>9766</v>
      </c>
      <c r="D812" t="s">
        <v>1387</v>
      </c>
      <c r="E812" s="186">
        <v>50180042</v>
      </c>
      <c r="F812" t="s">
        <v>1388</v>
      </c>
      <c r="G812" t="s">
        <v>87</v>
      </c>
      <c r="H812" t="s">
        <v>9766</v>
      </c>
      <c r="I812" s="186">
        <v>10</v>
      </c>
      <c r="J812" t="s">
        <v>103</v>
      </c>
      <c r="K812" s="185">
        <v>43223.67</v>
      </c>
      <c r="L812" s="191">
        <v>45587.56590277778</v>
      </c>
    </row>
    <row r="813" spans="1:12" x14ac:dyDescent="0.3">
      <c r="A813" s="186">
        <v>1654</v>
      </c>
      <c r="B813" s="186" t="s">
        <v>1472</v>
      </c>
      <c r="C813" s="186" t="s">
        <v>9767</v>
      </c>
      <c r="D813" t="s">
        <v>1387</v>
      </c>
      <c r="E813" s="186">
        <v>21728083</v>
      </c>
      <c r="F813" t="s">
        <v>1388</v>
      </c>
      <c r="G813" t="s">
        <v>87</v>
      </c>
      <c r="H813" t="s">
        <v>9767</v>
      </c>
      <c r="I813" s="186">
        <v>43</v>
      </c>
      <c r="J813" t="s">
        <v>1473</v>
      </c>
      <c r="K813" s="185">
        <v>44016.6</v>
      </c>
      <c r="L813" s="191">
        <v>45587.62767361111</v>
      </c>
    </row>
    <row r="814" spans="1:12" x14ac:dyDescent="0.3">
      <c r="A814" s="186">
        <v>23895</v>
      </c>
      <c r="B814" s="186">
        <v>-1</v>
      </c>
      <c r="C814" s="186" t="s">
        <v>9768</v>
      </c>
      <c r="D814" t="s">
        <v>1394</v>
      </c>
      <c r="E814" s="186">
        <v>36538339</v>
      </c>
      <c r="G814" t="s">
        <v>87</v>
      </c>
      <c r="H814" t="s">
        <v>9768</v>
      </c>
      <c r="I814" s="186">
        <v>24</v>
      </c>
      <c r="J814" t="s">
        <v>174</v>
      </c>
      <c r="K814" s="185">
        <v>73798.66</v>
      </c>
      <c r="L814" s="191">
        <v>45418.708923611113</v>
      </c>
    </row>
    <row r="815" spans="1:12" x14ac:dyDescent="0.3">
      <c r="A815" s="186">
        <v>24222</v>
      </c>
      <c r="B815" s="186">
        <v>30</v>
      </c>
      <c r="C815" s="186" t="s">
        <v>9769</v>
      </c>
      <c r="D815" t="s">
        <v>1387</v>
      </c>
      <c r="E815" s="186">
        <v>32243429</v>
      </c>
      <c r="F815" t="s">
        <v>1388</v>
      </c>
      <c r="G815" t="s">
        <v>87</v>
      </c>
      <c r="H815" t="s">
        <v>9769</v>
      </c>
      <c r="I815" s="186">
        <v>37</v>
      </c>
      <c r="J815" t="s">
        <v>103</v>
      </c>
      <c r="K815" s="185">
        <v>276880</v>
      </c>
      <c r="L815" s="191">
        <v>45512.671539351853</v>
      </c>
    </row>
    <row r="816" spans="1:12" x14ac:dyDescent="0.3">
      <c r="A816" s="186">
        <v>1372</v>
      </c>
      <c r="B816" s="186">
        <v>0</v>
      </c>
      <c r="C816" s="186" t="s">
        <v>9770</v>
      </c>
      <c r="D816" t="s">
        <v>1394</v>
      </c>
      <c r="E816" s="186">
        <v>2535568</v>
      </c>
      <c r="G816" t="s">
        <v>87</v>
      </c>
      <c r="H816" t="s">
        <v>9770</v>
      </c>
      <c r="I816" s="186">
        <v>43</v>
      </c>
      <c r="J816" t="s">
        <v>100</v>
      </c>
      <c r="K816" s="185">
        <v>0</v>
      </c>
      <c r="L816" s="191">
        <v>45523.642534722225</v>
      </c>
    </row>
    <row r="817" spans="1:12" x14ac:dyDescent="0.3">
      <c r="A817" s="186">
        <v>1534</v>
      </c>
      <c r="B817" s="186">
        <v>21</v>
      </c>
      <c r="C817" s="186" t="s">
        <v>9771</v>
      </c>
      <c r="D817" t="s">
        <v>1387</v>
      </c>
      <c r="E817" s="186">
        <v>56679871</v>
      </c>
      <c r="F817" t="s">
        <v>1388</v>
      </c>
      <c r="G817" t="s">
        <v>87</v>
      </c>
      <c r="H817" t="s">
        <v>9771</v>
      </c>
      <c r="I817" s="186">
        <v>24</v>
      </c>
      <c r="J817" t="s">
        <v>137</v>
      </c>
      <c r="K817" s="185">
        <v>6400</v>
      </c>
      <c r="L817" s="191">
        <v>45561.672314814816</v>
      </c>
    </row>
    <row r="818" spans="1:12" x14ac:dyDescent="0.3">
      <c r="A818" s="186">
        <v>1550</v>
      </c>
      <c r="B818" s="186">
        <v>0</v>
      </c>
      <c r="C818" s="186" t="s">
        <v>9772</v>
      </c>
      <c r="D818" t="s">
        <v>1387</v>
      </c>
      <c r="E818" s="186">
        <v>52696871</v>
      </c>
      <c r="F818" t="s">
        <v>1388</v>
      </c>
      <c r="G818" t="s">
        <v>87</v>
      </c>
      <c r="H818" t="s">
        <v>9772</v>
      </c>
      <c r="I818" s="186">
        <v>3</v>
      </c>
      <c r="J818" t="s">
        <v>100</v>
      </c>
      <c r="K818" s="185">
        <v>37500</v>
      </c>
      <c r="L818" s="191">
        <v>45566.357870370368</v>
      </c>
    </row>
    <row r="819" spans="1:12" x14ac:dyDescent="0.3">
      <c r="A819" s="186">
        <v>24257</v>
      </c>
      <c r="B819" s="186">
        <v>0</v>
      </c>
      <c r="C819" s="186" t="s">
        <v>9773</v>
      </c>
      <c r="D819" t="s">
        <v>1387</v>
      </c>
      <c r="E819" s="186">
        <v>24054705</v>
      </c>
      <c r="F819" t="s">
        <v>1388</v>
      </c>
      <c r="G819" t="s">
        <v>87</v>
      </c>
      <c r="H819" t="s">
        <v>9773</v>
      </c>
      <c r="I819" s="186">
        <v>3</v>
      </c>
      <c r="J819" t="s">
        <v>100</v>
      </c>
      <c r="K819" s="185">
        <v>30810.77</v>
      </c>
      <c r="L819" s="191">
        <v>45567.49759259259</v>
      </c>
    </row>
    <row r="820" spans="1:12" x14ac:dyDescent="0.3">
      <c r="A820" s="186">
        <v>1581</v>
      </c>
      <c r="B820" s="186">
        <v>30</v>
      </c>
      <c r="C820" s="186" t="s">
        <v>9774</v>
      </c>
      <c r="D820" t="s">
        <v>1387</v>
      </c>
      <c r="E820" s="186">
        <v>60625829</v>
      </c>
      <c r="F820" t="s">
        <v>1388</v>
      </c>
      <c r="G820" t="s">
        <v>87</v>
      </c>
      <c r="H820" t="s">
        <v>9774</v>
      </c>
      <c r="I820" s="186">
        <v>18</v>
      </c>
      <c r="J820" t="s">
        <v>103</v>
      </c>
      <c r="K820">
        <v>5330.1</v>
      </c>
      <c r="L820" s="191">
        <v>45573.506493055553</v>
      </c>
    </row>
    <row r="821" spans="1:12" x14ac:dyDescent="0.3">
      <c r="A821" s="186">
        <v>4871</v>
      </c>
      <c r="B821" s="186">
        <v>120</v>
      </c>
      <c r="C821" s="186" t="s">
        <v>9775</v>
      </c>
      <c r="D821" t="s">
        <v>1387</v>
      </c>
      <c r="E821" s="186">
        <v>8902291</v>
      </c>
      <c r="F821" t="s">
        <v>1388</v>
      </c>
      <c r="G821" t="s">
        <v>87</v>
      </c>
      <c r="H821" t="s">
        <v>9775</v>
      </c>
      <c r="I821" s="186">
        <v>3</v>
      </c>
      <c r="J821" t="s">
        <v>1415</v>
      </c>
      <c r="K821" s="185">
        <v>251450</v>
      </c>
      <c r="L821" s="191">
        <v>45421.49894675926</v>
      </c>
    </row>
    <row r="822" spans="1:12" x14ac:dyDescent="0.3">
      <c r="A822" s="186">
        <v>23950</v>
      </c>
      <c r="B822" s="186">
        <v>-1</v>
      </c>
      <c r="C822" s="186" t="s">
        <v>9776</v>
      </c>
      <c r="D822" t="s">
        <v>1394</v>
      </c>
      <c r="E822" s="186">
        <v>43006476</v>
      </c>
      <c r="G822" t="s">
        <v>113</v>
      </c>
      <c r="H822" t="s">
        <v>9776</v>
      </c>
      <c r="I822" s="186">
        <v>24</v>
      </c>
      <c r="J822" t="s">
        <v>174</v>
      </c>
      <c r="K822" s="185">
        <v>51634</v>
      </c>
      <c r="L822" s="191">
        <v>45426.325671296298</v>
      </c>
    </row>
    <row r="823" spans="1:12" x14ac:dyDescent="0.3">
      <c r="A823" s="186">
        <v>23975</v>
      </c>
      <c r="B823" s="186">
        <v>0</v>
      </c>
      <c r="C823" s="186" t="s">
        <v>9777</v>
      </c>
      <c r="D823" t="s">
        <v>1394</v>
      </c>
      <c r="E823" s="186">
        <v>52692760</v>
      </c>
      <c r="G823" t="s">
        <v>113</v>
      </c>
      <c r="H823" t="s">
        <v>9777</v>
      </c>
      <c r="I823" s="186">
        <v>18</v>
      </c>
      <c r="J823" t="s">
        <v>100</v>
      </c>
      <c r="K823" s="185">
        <v>59858</v>
      </c>
      <c r="L823" s="191">
        <v>45428.58394675926</v>
      </c>
    </row>
    <row r="824" spans="1:12" x14ac:dyDescent="0.3">
      <c r="A824" s="186">
        <v>24118</v>
      </c>
      <c r="B824" s="186">
        <v>0</v>
      </c>
      <c r="C824" s="186" t="s">
        <v>9778</v>
      </c>
      <c r="D824" t="s">
        <v>1394</v>
      </c>
      <c r="E824" s="186">
        <v>3852459</v>
      </c>
      <c r="G824" t="s">
        <v>87</v>
      </c>
      <c r="H824" t="s">
        <v>9778</v>
      </c>
      <c r="I824" s="186">
        <v>10</v>
      </c>
      <c r="J824" t="s">
        <v>100</v>
      </c>
      <c r="K824" s="185">
        <v>235818.05</v>
      </c>
      <c r="L824" s="191">
        <v>45448.445798611108</v>
      </c>
    </row>
    <row r="825" spans="1:12" x14ac:dyDescent="0.3">
      <c r="A825" s="186">
        <v>24236</v>
      </c>
      <c r="B825" s="186">
        <v>0</v>
      </c>
      <c r="C825" s="186" t="s">
        <v>9779</v>
      </c>
      <c r="D825" t="s">
        <v>1387</v>
      </c>
      <c r="E825" s="186">
        <v>5642273</v>
      </c>
      <c r="F825" t="s">
        <v>1388</v>
      </c>
      <c r="G825" t="s">
        <v>87</v>
      </c>
      <c r="H825" t="s">
        <v>9779</v>
      </c>
      <c r="I825" s="186">
        <v>10</v>
      </c>
      <c r="J825" t="s">
        <v>100</v>
      </c>
      <c r="K825" s="185">
        <v>277530.53999999998</v>
      </c>
      <c r="L825" s="191">
        <v>45526.633125</v>
      </c>
    </row>
    <row r="826" spans="1:12" x14ac:dyDescent="0.3">
      <c r="A826" s="186">
        <v>1664</v>
      </c>
      <c r="B826" s="186">
        <v>15</v>
      </c>
      <c r="C826" s="186" t="s">
        <v>9780</v>
      </c>
      <c r="D826" t="s">
        <v>1387</v>
      </c>
      <c r="E826" s="186">
        <v>5793399</v>
      </c>
      <c r="F826" t="s">
        <v>1388</v>
      </c>
      <c r="G826" t="s">
        <v>87</v>
      </c>
      <c r="H826" t="s">
        <v>9780</v>
      </c>
      <c r="I826" s="186">
        <v>3</v>
      </c>
      <c r="J826" t="s">
        <v>145</v>
      </c>
      <c r="K826" s="185">
        <v>7720</v>
      </c>
      <c r="L826" s="191">
        <v>45589.697291666664</v>
      </c>
    </row>
    <row r="827" spans="1:12" x14ac:dyDescent="0.3">
      <c r="A827" s="186">
        <v>1684</v>
      </c>
      <c r="B827" s="186">
        <v>0</v>
      </c>
      <c r="C827" s="186" t="s">
        <v>9781</v>
      </c>
      <c r="D827" t="s">
        <v>1387</v>
      </c>
      <c r="E827" s="186">
        <v>68515103249</v>
      </c>
      <c r="F827" t="s">
        <v>1388</v>
      </c>
      <c r="G827" t="s">
        <v>87</v>
      </c>
      <c r="H827" t="s">
        <v>9781</v>
      </c>
      <c r="I827" s="186">
        <v>10</v>
      </c>
      <c r="J827" t="s">
        <v>100</v>
      </c>
      <c r="K827" s="185">
        <v>1100.8800000000001</v>
      </c>
      <c r="L827" s="191">
        <v>45600.473240740743</v>
      </c>
    </row>
    <row r="828" spans="1:12" x14ac:dyDescent="0.3">
      <c r="A828" s="186">
        <v>1725</v>
      </c>
      <c r="B828" s="186">
        <v>0</v>
      </c>
      <c r="C828" s="186" t="s">
        <v>9782</v>
      </c>
      <c r="D828" t="s">
        <v>1387</v>
      </c>
      <c r="E828" s="186">
        <v>43200669</v>
      </c>
      <c r="F828" t="s">
        <v>1388</v>
      </c>
      <c r="G828" t="s">
        <v>87</v>
      </c>
      <c r="H828" t="s">
        <v>9782</v>
      </c>
      <c r="I828" s="186">
        <v>10</v>
      </c>
      <c r="J828" t="s">
        <v>100</v>
      </c>
      <c r="K828" s="185">
        <v>200015.84</v>
      </c>
      <c r="L828" s="191">
        <v>45610.449618055558</v>
      </c>
    </row>
    <row r="829" spans="1:12" x14ac:dyDescent="0.3">
      <c r="A829" s="186">
        <v>1726</v>
      </c>
      <c r="B829" s="186">
        <v>0</v>
      </c>
      <c r="C829" s="186" t="s">
        <v>9783</v>
      </c>
      <c r="D829" t="s">
        <v>1387</v>
      </c>
      <c r="E829" s="186">
        <v>70190429372</v>
      </c>
      <c r="F829" t="s">
        <v>1388</v>
      </c>
      <c r="G829" t="s">
        <v>87</v>
      </c>
      <c r="H829" t="s">
        <v>9783</v>
      </c>
      <c r="I829" s="186">
        <v>10</v>
      </c>
      <c r="J829" t="s">
        <v>100</v>
      </c>
      <c r="K829" s="185">
        <v>345000</v>
      </c>
      <c r="L829" s="191">
        <v>45610.474351851852</v>
      </c>
    </row>
    <row r="830" spans="1:12" x14ac:dyDescent="0.3">
      <c r="A830" s="186">
        <v>23728</v>
      </c>
      <c r="B830" s="186">
        <v>0</v>
      </c>
      <c r="C830" s="186" t="s">
        <v>9784</v>
      </c>
      <c r="D830" t="s">
        <v>1387</v>
      </c>
      <c r="E830" s="186">
        <v>97548959</v>
      </c>
      <c r="F830" t="s">
        <v>1388</v>
      </c>
      <c r="G830" t="s">
        <v>87</v>
      </c>
      <c r="H830" t="s">
        <v>9784</v>
      </c>
      <c r="I830" s="186">
        <v>18</v>
      </c>
      <c r="J830" t="s">
        <v>100</v>
      </c>
      <c r="K830" s="185">
        <v>510000</v>
      </c>
      <c r="L830" s="191">
        <v>45394.490636574075</v>
      </c>
    </row>
    <row r="831" spans="1:12" x14ac:dyDescent="0.3">
      <c r="A831" s="186">
        <v>24052</v>
      </c>
      <c r="B831" s="186">
        <v>0</v>
      </c>
      <c r="C831" s="186" t="s">
        <v>9785</v>
      </c>
      <c r="D831" t="s">
        <v>1394</v>
      </c>
      <c r="E831" s="186">
        <v>1606606</v>
      </c>
      <c r="G831" t="s">
        <v>87</v>
      </c>
      <c r="H831" t="s">
        <v>9785</v>
      </c>
      <c r="I831" s="186">
        <v>18</v>
      </c>
      <c r="J831" t="s">
        <v>100</v>
      </c>
      <c r="K831" s="185">
        <v>59360.84</v>
      </c>
      <c r="L831" s="191">
        <v>45435.68509259259</v>
      </c>
    </row>
    <row r="832" spans="1:12" x14ac:dyDescent="0.3">
      <c r="A832" s="186">
        <v>24193</v>
      </c>
      <c r="B832" s="186">
        <v>0</v>
      </c>
      <c r="C832" s="186" t="s">
        <v>9786</v>
      </c>
      <c r="D832" t="s">
        <v>1387</v>
      </c>
      <c r="E832" s="186">
        <v>46325254</v>
      </c>
      <c r="F832" t="s">
        <v>1388</v>
      </c>
      <c r="G832" t="s">
        <v>87</v>
      </c>
      <c r="H832" t="s">
        <v>9786</v>
      </c>
      <c r="I832" s="186">
        <v>3</v>
      </c>
      <c r="J832" t="s">
        <v>100</v>
      </c>
      <c r="K832" s="185">
        <v>327000</v>
      </c>
      <c r="L832" s="191">
        <v>45492.43240740741</v>
      </c>
    </row>
    <row r="833" spans="1:12" x14ac:dyDescent="0.3">
      <c r="A833" s="186">
        <v>24261</v>
      </c>
      <c r="B833" s="186">
        <v>0</v>
      </c>
      <c r="C833" s="186" t="s">
        <v>9787</v>
      </c>
      <c r="D833" t="s">
        <v>1387</v>
      </c>
      <c r="E833" s="186">
        <v>68515103249</v>
      </c>
      <c r="F833" t="s">
        <v>1388</v>
      </c>
      <c r="G833" t="s">
        <v>87</v>
      </c>
      <c r="H833" t="s">
        <v>9787</v>
      </c>
      <c r="I833" s="186">
        <v>10</v>
      </c>
      <c r="J833" t="s">
        <v>100</v>
      </c>
      <c r="K833" s="185">
        <v>3099.92</v>
      </c>
      <c r="L833" s="191">
        <v>45575.638796296298</v>
      </c>
    </row>
    <row r="834" spans="1:12" x14ac:dyDescent="0.3">
      <c r="A834" s="186">
        <v>24266</v>
      </c>
      <c r="B834" s="186">
        <v>30</v>
      </c>
      <c r="C834" s="186" t="s">
        <v>9788</v>
      </c>
      <c r="D834" t="s">
        <v>1387</v>
      </c>
      <c r="E834" s="186">
        <v>40001670</v>
      </c>
      <c r="F834" t="s">
        <v>1388</v>
      </c>
      <c r="G834" t="s">
        <v>87</v>
      </c>
      <c r="H834" t="s">
        <v>9788</v>
      </c>
      <c r="I834" s="186">
        <v>37</v>
      </c>
      <c r="J834" t="s">
        <v>103</v>
      </c>
      <c r="K834" s="185">
        <v>32000</v>
      </c>
      <c r="L834" s="191">
        <v>45586.724826388891</v>
      </c>
    </row>
    <row r="835" spans="1:12" x14ac:dyDescent="0.3">
      <c r="A835" s="186">
        <v>1762</v>
      </c>
      <c r="B835" s="186">
        <v>0</v>
      </c>
      <c r="C835" s="186" t="s">
        <v>9789</v>
      </c>
      <c r="D835" t="s">
        <v>1387</v>
      </c>
      <c r="E835" s="186">
        <v>3147331679</v>
      </c>
      <c r="F835" t="s">
        <v>1388</v>
      </c>
      <c r="G835" t="s">
        <v>87</v>
      </c>
      <c r="H835" t="s">
        <v>9789</v>
      </c>
      <c r="I835" s="186">
        <v>3</v>
      </c>
      <c r="J835" t="s">
        <v>100</v>
      </c>
      <c r="K835" s="185">
        <v>96000</v>
      </c>
      <c r="L835" s="191">
        <v>45622.400925925926</v>
      </c>
    </row>
    <row r="836" spans="1:12" x14ac:dyDescent="0.3">
      <c r="A836" s="186">
        <v>23542</v>
      </c>
      <c r="B836" s="186" t="s">
        <v>1400</v>
      </c>
      <c r="C836" s="186" t="s">
        <v>9790</v>
      </c>
      <c r="D836" t="s">
        <v>1387</v>
      </c>
      <c r="E836" s="186">
        <v>12929735</v>
      </c>
      <c r="F836" t="s">
        <v>1388</v>
      </c>
      <c r="G836" t="s">
        <v>87</v>
      </c>
      <c r="H836" t="s">
        <v>9790</v>
      </c>
      <c r="I836" s="186">
        <v>3</v>
      </c>
      <c r="J836" t="s">
        <v>1401</v>
      </c>
      <c r="K836" s="185">
        <v>22395.03</v>
      </c>
      <c r="L836" s="191">
        <v>45372.648935185185</v>
      </c>
    </row>
    <row r="837" spans="1:12" x14ac:dyDescent="0.3">
      <c r="A837" s="186">
        <v>23726</v>
      </c>
      <c r="B837" s="186">
        <v>0</v>
      </c>
      <c r="C837" s="186" t="s">
        <v>9791</v>
      </c>
      <c r="D837" t="s">
        <v>1394</v>
      </c>
      <c r="E837" s="186">
        <v>7522191</v>
      </c>
      <c r="G837" t="s">
        <v>87</v>
      </c>
      <c r="H837" t="s">
        <v>9791</v>
      </c>
      <c r="I837" s="186">
        <v>18</v>
      </c>
      <c r="J837" t="s">
        <v>100</v>
      </c>
      <c r="K837">
        <v>894649.57</v>
      </c>
      <c r="L837" s="191">
        <v>45394.467303240737</v>
      </c>
    </row>
    <row r="838" spans="1:12" x14ac:dyDescent="0.3">
      <c r="A838" s="186">
        <v>23737</v>
      </c>
      <c r="B838" s="186">
        <v>30</v>
      </c>
      <c r="C838" s="186" t="s">
        <v>9792</v>
      </c>
      <c r="D838" t="s">
        <v>1387</v>
      </c>
      <c r="E838" s="186">
        <v>10550896</v>
      </c>
      <c r="F838" t="s">
        <v>1388</v>
      </c>
      <c r="G838" t="s">
        <v>87</v>
      </c>
      <c r="H838" t="s">
        <v>9792</v>
      </c>
      <c r="I838" s="186">
        <v>37</v>
      </c>
      <c r="J838" t="s">
        <v>103</v>
      </c>
      <c r="K838" s="185">
        <v>29987.56</v>
      </c>
      <c r="L838" s="191">
        <v>45394.615011574075</v>
      </c>
    </row>
    <row r="839" spans="1:12" x14ac:dyDescent="0.3">
      <c r="A839" s="186">
        <v>1321</v>
      </c>
      <c r="B839" s="186">
        <v>30</v>
      </c>
      <c r="C839" s="186" t="s">
        <v>9793</v>
      </c>
      <c r="D839" t="s">
        <v>1387</v>
      </c>
      <c r="E839" s="186">
        <v>92779503</v>
      </c>
      <c r="F839" t="s">
        <v>1388</v>
      </c>
      <c r="G839" t="s">
        <v>87</v>
      </c>
      <c r="H839" t="s">
        <v>9793</v>
      </c>
      <c r="I839" s="186">
        <v>24</v>
      </c>
      <c r="J839" t="s">
        <v>103</v>
      </c>
      <c r="K839" s="185">
        <v>23400</v>
      </c>
      <c r="L839" s="191">
        <v>45503.599733796298</v>
      </c>
    </row>
    <row r="840" spans="1:12" x14ac:dyDescent="0.3">
      <c r="A840" s="186">
        <v>1660</v>
      </c>
      <c r="B840" s="186" t="s">
        <v>195</v>
      </c>
      <c r="C840" s="186" t="s">
        <v>9794</v>
      </c>
      <c r="D840" t="s">
        <v>1387</v>
      </c>
      <c r="E840" s="186">
        <v>28426989</v>
      </c>
      <c r="F840" t="s">
        <v>1388</v>
      </c>
      <c r="G840" t="s">
        <v>87</v>
      </c>
      <c r="H840" t="s">
        <v>9794</v>
      </c>
      <c r="I840" s="186">
        <v>3</v>
      </c>
      <c r="J840" t="s">
        <v>196</v>
      </c>
      <c r="K840" s="185">
        <v>43332.68</v>
      </c>
      <c r="L840" s="191">
        <v>45588.649201388886</v>
      </c>
    </row>
    <row r="841" spans="1:12" x14ac:dyDescent="0.3">
      <c r="A841" s="186">
        <v>1693</v>
      </c>
      <c r="B841" s="186">
        <v>30</v>
      </c>
      <c r="C841" s="186" t="s">
        <v>9795</v>
      </c>
      <c r="D841" t="s">
        <v>1387</v>
      </c>
      <c r="E841" s="186">
        <v>42548035</v>
      </c>
      <c r="F841" t="s">
        <v>1388</v>
      </c>
      <c r="G841" t="s">
        <v>87</v>
      </c>
      <c r="H841" t="s">
        <v>9795</v>
      </c>
      <c r="I841" s="186">
        <v>38</v>
      </c>
      <c r="J841" t="s">
        <v>103</v>
      </c>
      <c r="K841" s="185">
        <v>34449.480000000003</v>
      </c>
      <c r="L841" s="191">
        <v>45601.653182870374</v>
      </c>
    </row>
    <row r="842" spans="1:12" x14ac:dyDescent="0.3">
      <c r="A842" s="186">
        <v>1694</v>
      </c>
      <c r="B842" s="186" t="s">
        <v>229</v>
      </c>
      <c r="C842" s="186" t="s">
        <v>9796</v>
      </c>
      <c r="D842" t="s">
        <v>1387</v>
      </c>
      <c r="E842" s="186">
        <v>20302873</v>
      </c>
      <c r="F842" t="s">
        <v>1388</v>
      </c>
      <c r="G842" t="s">
        <v>87</v>
      </c>
      <c r="H842" t="s">
        <v>9796</v>
      </c>
      <c r="I842" s="186">
        <v>3</v>
      </c>
      <c r="J842" t="s">
        <v>230</v>
      </c>
      <c r="K842" s="185">
        <v>100280.46</v>
      </c>
      <c r="L842" s="191">
        <v>45601.710185185184</v>
      </c>
    </row>
    <row r="843" spans="1:12" x14ac:dyDescent="0.3">
      <c r="A843" s="186">
        <v>1713</v>
      </c>
      <c r="B843" s="186">
        <v>0</v>
      </c>
      <c r="C843" s="186" t="s">
        <v>9797</v>
      </c>
      <c r="D843" t="s">
        <v>1387</v>
      </c>
      <c r="E843" s="186">
        <v>615034608</v>
      </c>
      <c r="F843" t="s">
        <v>1388</v>
      </c>
      <c r="G843" t="s">
        <v>87</v>
      </c>
      <c r="H843" t="s">
        <v>9797</v>
      </c>
      <c r="I843" s="186">
        <v>3</v>
      </c>
      <c r="J843" t="s">
        <v>100</v>
      </c>
      <c r="K843" s="185">
        <v>27000</v>
      </c>
      <c r="L843" s="191">
        <v>45607.381863425922</v>
      </c>
    </row>
    <row r="844" spans="1:12" x14ac:dyDescent="0.3">
      <c r="A844" s="186">
        <v>23397</v>
      </c>
      <c r="B844" s="186" t="s">
        <v>1366</v>
      </c>
      <c r="C844" s="186" t="s">
        <v>9798</v>
      </c>
      <c r="D844" t="s">
        <v>1387</v>
      </c>
      <c r="E844" s="186">
        <v>53418171</v>
      </c>
      <c r="F844" t="s">
        <v>1388</v>
      </c>
      <c r="G844" t="s">
        <v>87</v>
      </c>
      <c r="H844" t="s">
        <v>9798</v>
      </c>
      <c r="I844" s="186">
        <v>3</v>
      </c>
      <c r="J844" t="s">
        <v>1367</v>
      </c>
      <c r="K844" s="185">
        <v>54169.82</v>
      </c>
      <c r="L844" s="191">
        <v>45350.736180555556</v>
      </c>
    </row>
    <row r="845" spans="1:12" x14ac:dyDescent="0.3">
      <c r="A845" s="186">
        <v>23997</v>
      </c>
      <c r="B845" s="186">
        <v>-1</v>
      </c>
      <c r="C845" s="186" t="s">
        <v>9799</v>
      </c>
      <c r="D845" t="s">
        <v>1394</v>
      </c>
      <c r="E845" s="186">
        <v>63827026</v>
      </c>
      <c r="G845" t="s">
        <v>87</v>
      </c>
      <c r="H845" t="s">
        <v>9799</v>
      </c>
      <c r="I845" s="186">
        <v>9</v>
      </c>
      <c r="J845" t="s">
        <v>174</v>
      </c>
      <c r="K845" s="185">
        <v>0</v>
      </c>
      <c r="L845" s="191">
        <v>45432.627650462964</v>
      </c>
    </row>
    <row r="846" spans="1:12" x14ac:dyDescent="0.3">
      <c r="A846" s="186">
        <v>23740</v>
      </c>
      <c r="B846" s="186">
        <v>0</v>
      </c>
      <c r="C846" s="186" t="s">
        <v>9800</v>
      </c>
      <c r="D846" t="s">
        <v>1387</v>
      </c>
      <c r="E846" s="186">
        <v>20302873</v>
      </c>
      <c r="F846" t="s">
        <v>1388</v>
      </c>
      <c r="G846" t="s">
        <v>87</v>
      </c>
      <c r="H846" t="s">
        <v>9800</v>
      </c>
      <c r="I846" s="186">
        <v>3</v>
      </c>
      <c r="J846" t="s">
        <v>100</v>
      </c>
      <c r="K846" s="185">
        <v>48132.09</v>
      </c>
      <c r="L846" s="191">
        <v>45394.681180555555</v>
      </c>
    </row>
    <row r="847" spans="1:12" x14ac:dyDescent="0.3">
      <c r="A847" s="186">
        <v>23871</v>
      </c>
      <c r="C847" s="186" t="s">
        <v>9801</v>
      </c>
      <c r="D847" t="s">
        <v>1394</v>
      </c>
      <c r="E847" s="186">
        <v>88777545915</v>
      </c>
      <c r="G847" t="s">
        <v>113</v>
      </c>
      <c r="H847" t="s">
        <v>9801</v>
      </c>
      <c r="I847" s="186">
        <v>19</v>
      </c>
      <c r="K847" s="185">
        <v>0</v>
      </c>
      <c r="L847" s="191">
        <v>45414.546226851853</v>
      </c>
    </row>
    <row r="848" spans="1:12" x14ac:dyDescent="0.3">
      <c r="A848" s="186">
        <v>1382</v>
      </c>
      <c r="B848" s="186">
        <v>10</v>
      </c>
      <c r="C848" s="186" t="s">
        <v>9802</v>
      </c>
      <c r="D848" t="s">
        <v>1387</v>
      </c>
      <c r="E848" s="186">
        <v>46128913</v>
      </c>
      <c r="F848" t="s">
        <v>1388</v>
      </c>
      <c r="G848" t="s">
        <v>87</v>
      </c>
      <c r="H848" t="s">
        <v>9802</v>
      </c>
      <c r="I848" s="186">
        <v>43</v>
      </c>
      <c r="J848" t="s">
        <v>133</v>
      </c>
      <c r="K848" s="185">
        <v>25299.86</v>
      </c>
      <c r="L848" s="191">
        <v>45524.70208333333</v>
      </c>
    </row>
    <row r="849" spans="1:12" x14ac:dyDescent="0.3">
      <c r="A849" s="186">
        <v>1733</v>
      </c>
      <c r="B849" s="186">
        <v>0</v>
      </c>
      <c r="C849" s="186" t="s">
        <v>9803</v>
      </c>
      <c r="D849" t="s">
        <v>1387</v>
      </c>
      <c r="E849" s="186">
        <v>41636284</v>
      </c>
      <c r="F849" t="s">
        <v>1388</v>
      </c>
      <c r="G849" t="s">
        <v>87</v>
      </c>
      <c r="H849" t="s">
        <v>9803</v>
      </c>
      <c r="I849" s="186">
        <v>43</v>
      </c>
      <c r="J849" t="s">
        <v>100</v>
      </c>
      <c r="K849" s="185">
        <v>37501.81</v>
      </c>
      <c r="L849" s="191">
        <v>45614.511446759258</v>
      </c>
    </row>
    <row r="850" spans="1:12" x14ac:dyDescent="0.3">
      <c r="A850" s="186">
        <v>1752</v>
      </c>
      <c r="B850" s="186">
        <v>0</v>
      </c>
      <c r="C850" s="186" t="s">
        <v>9804</v>
      </c>
      <c r="D850" t="s">
        <v>1387</v>
      </c>
      <c r="E850" s="186">
        <v>8145684757</v>
      </c>
      <c r="F850" t="s">
        <v>1388</v>
      </c>
      <c r="G850" t="s">
        <v>87</v>
      </c>
      <c r="H850" t="s">
        <v>9804</v>
      </c>
      <c r="I850" s="186">
        <v>18</v>
      </c>
      <c r="J850" t="s">
        <v>100</v>
      </c>
      <c r="K850" s="185">
        <v>107699.63</v>
      </c>
      <c r="L850" s="191">
        <v>45618.404282407406</v>
      </c>
    </row>
    <row r="851" spans="1:12" x14ac:dyDescent="0.3">
      <c r="A851" s="186">
        <v>1783</v>
      </c>
      <c r="B851" s="186">
        <v>30</v>
      </c>
      <c r="C851" s="186" t="s">
        <v>9805</v>
      </c>
      <c r="D851" t="s">
        <v>1387</v>
      </c>
      <c r="E851" s="186">
        <v>18238980</v>
      </c>
      <c r="F851" t="s">
        <v>1388</v>
      </c>
      <c r="G851" t="s">
        <v>87</v>
      </c>
      <c r="H851" t="s">
        <v>9805</v>
      </c>
      <c r="I851" s="186">
        <v>24</v>
      </c>
      <c r="J851" t="s">
        <v>103</v>
      </c>
      <c r="K851" s="185">
        <v>123248</v>
      </c>
      <c r="L851" s="191">
        <v>45628.577719907407</v>
      </c>
    </row>
    <row r="852" spans="1:12" x14ac:dyDescent="0.3">
      <c r="A852" s="186">
        <v>23742</v>
      </c>
      <c r="B852" s="186">
        <v>0</v>
      </c>
      <c r="C852" s="186" t="s">
        <v>9806</v>
      </c>
      <c r="D852" t="s">
        <v>1394</v>
      </c>
      <c r="E852" s="186">
        <v>9625762</v>
      </c>
      <c r="G852" t="s">
        <v>87</v>
      </c>
      <c r="H852" t="s">
        <v>9806</v>
      </c>
      <c r="I852" s="186">
        <v>18</v>
      </c>
      <c r="J852" t="s">
        <v>100</v>
      </c>
      <c r="K852" s="185">
        <v>370902.41</v>
      </c>
      <c r="L852" s="191">
        <v>45394.715624999997</v>
      </c>
    </row>
    <row r="853" spans="1:12" x14ac:dyDescent="0.3">
      <c r="A853" s="186">
        <v>23985</v>
      </c>
      <c r="B853" s="186">
        <v>0</v>
      </c>
      <c r="C853" s="186" t="s">
        <v>9807</v>
      </c>
      <c r="D853" t="s">
        <v>1387</v>
      </c>
      <c r="E853" s="186">
        <v>20302873</v>
      </c>
      <c r="F853" t="s">
        <v>1388</v>
      </c>
      <c r="G853" t="s">
        <v>87</v>
      </c>
      <c r="H853" t="s">
        <v>9807</v>
      </c>
      <c r="I853" s="186">
        <v>3</v>
      </c>
      <c r="J853" t="s">
        <v>100</v>
      </c>
      <c r="K853" s="185">
        <v>18624.09</v>
      </c>
      <c r="L853" s="191">
        <v>45429.49287037037</v>
      </c>
    </row>
    <row r="854" spans="1:12" x14ac:dyDescent="0.3">
      <c r="A854" s="186">
        <v>24084</v>
      </c>
      <c r="B854" s="186">
        <v>0</v>
      </c>
      <c r="C854" s="186" t="s">
        <v>9808</v>
      </c>
      <c r="D854" t="s">
        <v>1394</v>
      </c>
      <c r="E854" s="186">
        <v>16552703</v>
      </c>
      <c r="G854" t="s">
        <v>87</v>
      </c>
      <c r="H854" t="s">
        <v>9808</v>
      </c>
      <c r="I854" s="186">
        <v>9</v>
      </c>
      <c r="J854" t="s">
        <v>100</v>
      </c>
      <c r="K854" s="185">
        <v>72324.34</v>
      </c>
      <c r="L854" s="191">
        <v>45441.603981481479</v>
      </c>
    </row>
    <row r="855" spans="1:12" x14ac:dyDescent="0.3">
      <c r="A855" s="186">
        <v>1340</v>
      </c>
      <c r="B855" s="186">
        <v>-1</v>
      </c>
      <c r="C855" s="186" t="s">
        <v>9809</v>
      </c>
      <c r="D855" t="s">
        <v>1387</v>
      </c>
      <c r="E855" s="186">
        <v>17136654</v>
      </c>
      <c r="F855" t="s">
        <v>1388</v>
      </c>
      <c r="G855" t="s">
        <v>87</v>
      </c>
      <c r="H855" t="s">
        <v>9809</v>
      </c>
      <c r="I855" s="186">
        <v>3</v>
      </c>
      <c r="J855" t="s">
        <v>174</v>
      </c>
      <c r="K855" s="185">
        <v>61512.480000000003</v>
      </c>
      <c r="L855" s="191">
        <v>45506.70716435185</v>
      </c>
    </row>
    <row r="856" spans="1:12" x14ac:dyDescent="0.3">
      <c r="A856" s="186">
        <v>24074</v>
      </c>
      <c r="B856" s="186">
        <v>30</v>
      </c>
      <c r="C856" s="186" t="s">
        <v>9810</v>
      </c>
      <c r="D856" t="s">
        <v>1394</v>
      </c>
      <c r="E856" s="186">
        <v>8056030</v>
      </c>
      <c r="G856" t="s">
        <v>87</v>
      </c>
      <c r="H856" t="s">
        <v>9810</v>
      </c>
      <c r="I856" s="186">
        <v>26</v>
      </c>
      <c r="J856" t="s">
        <v>103</v>
      </c>
      <c r="K856" s="185">
        <v>384858.8</v>
      </c>
      <c r="L856" s="191">
        <v>45440.536747685182</v>
      </c>
    </row>
    <row r="857" spans="1:12" x14ac:dyDescent="0.3">
      <c r="A857" s="186">
        <v>1822</v>
      </c>
      <c r="B857" s="186">
        <v>0</v>
      </c>
      <c r="C857" s="186" t="s">
        <v>9811</v>
      </c>
      <c r="D857" t="s">
        <v>1387</v>
      </c>
      <c r="E857" s="186">
        <v>2643271602</v>
      </c>
      <c r="F857" t="s">
        <v>1388</v>
      </c>
      <c r="G857" t="s">
        <v>87</v>
      </c>
      <c r="H857" t="s">
        <v>9811</v>
      </c>
      <c r="I857" s="186">
        <v>3</v>
      </c>
      <c r="J857" t="s">
        <v>100</v>
      </c>
      <c r="K857" s="185">
        <v>48000</v>
      </c>
      <c r="L857" s="191">
        <v>45635.688923611109</v>
      </c>
    </row>
    <row r="858" spans="1:12" x14ac:dyDescent="0.3">
      <c r="A858" s="186">
        <v>24037</v>
      </c>
      <c r="B858" s="186">
        <v>30</v>
      </c>
      <c r="C858" s="186" t="s">
        <v>9812</v>
      </c>
      <c r="D858" t="s">
        <v>1387</v>
      </c>
      <c r="E858" s="186">
        <v>2502844</v>
      </c>
      <c r="F858" t="s">
        <v>1388</v>
      </c>
      <c r="G858" t="s">
        <v>87</v>
      </c>
      <c r="H858" t="s">
        <v>9812</v>
      </c>
      <c r="I858" s="186">
        <v>24</v>
      </c>
      <c r="J858" t="s">
        <v>103</v>
      </c>
      <c r="K858" s="185">
        <v>165362.81</v>
      </c>
      <c r="L858" s="191">
        <v>45435.463148148148</v>
      </c>
    </row>
    <row r="859" spans="1:12" x14ac:dyDescent="0.3">
      <c r="A859" s="186">
        <v>24045</v>
      </c>
      <c r="B859" s="186">
        <v>0</v>
      </c>
      <c r="C859" s="186" t="s">
        <v>9813</v>
      </c>
      <c r="D859" t="s">
        <v>1387</v>
      </c>
      <c r="E859" s="186">
        <v>12669656</v>
      </c>
      <c r="F859" t="s">
        <v>1388</v>
      </c>
      <c r="G859" t="s">
        <v>87</v>
      </c>
      <c r="H859" t="s">
        <v>9813</v>
      </c>
      <c r="I859" s="186">
        <v>3</v>
      </c>
      <c r="J859" t="s">
        <v>100</v>
      </c>
      <c r="K859" s="185">
        <v>445000</v>
      </c>
      <c r="L859" s="191">
        <v>45435.639224537037</v>
      </c>
    </row>
    <row r="860" spans="1:12" x14ac:dyDescent="0.3">
      <c r="A860" s="186">
        <v>24177</v>
      </c>
      <c r="B860" s="186">
        <v>0</v>
      </c>
      <c r="C860" s="186" t="s">
        <v>9814</v>
      </c>
      <c r="D860" t="s">
        <v>1387</v>
      </c>
      <c r="E860" s="186">
        <v>19877375</v>
      </c>
      <c r="F860" t="s">
        <v>1388</v>
      </c>
      <c r="G860" t="s">
        <v>87</v>
      </c>
      <c r="H860" t="s">
        <v>9814</v>
      </c>
      <c r="I860" s="186">
        <v>10</v>
      </c>
      <c r="J860" t="s">
        <v>100</v>
      </c>
      <c r="K860" s="185">
        <v>17261.09</v>
      </c>
      <c r="L860" s="191">
        <v>45483.664861111109</v>
      </c>
    </row>
    <row r="861" spans="1:12" x14ac:dyDescent="0.3">
      <c r="A861" s="186">
        <v>23789</v>
      </c>
      <c r="B861" s="186">
        <v>0</v>
      </c>
      <c r="C861" s="186" t="s">
        <v>9815</v>
      </c>
      <c r="D861" t="s">
        <v>1394</v>
      </c>
      <c r="E861" s="186">
        <v>32243429</v>
      </c>
      <c r="G861" t="s">
        <v>87</v>
      </c>
      <c r="H861" t="s">
        <v>9815</v>
      </c>
      <c r="I861" s="186">
        <v>43</v>
      </c>
      <c r="J861" t="s">
        <v>100</v>
      </c>
      <c r="K861" s="185">
        <v>0</v>
      </c>
      <c r="L861" s="191">
        <v>45401.390625</v>
      </c>
    </row>
    <row r="862" spans="1:12" x14ac:dyDescent="0.3">
      <c r="A862" s="186">
        <v>23790</v>
      </c>
      <c r="B862" s="186">
        <v>0</v>
      </c>
      <c r="C862" s="186" t="s">
        <v>9816</v>
      </c>
      <c r="D862" t="s">
        <v>1394</v>
      </c>
      <c r="E862" s="186">
        <v>32243429</v>
      </c>
      <c r="G862" t="s">
        <v>87</v>
      </c>
      <c r="H862" t="s">
        <v>9816</v>
      </c>
      <c r="I862" s="186">
        <v>43</v>
      </c>
      <c r="J862" t="s">
        <v>100</v>
      </c>
      <c r="K862" s="185">
        <v>0</v>
      </c>
      <c r="L862" s="191">
        <v>45401.392476851855</v>
      </c>
    </row>
    <row r="863" spans="1:12" x14ac:dyDescent="0.3">
      <c r="A863" s="186">
        <v>23965</v>
      </c>
      <c r="B863" s="186">
        <v>0</v>
      </c>
      <c r="C863" s="186" t="s">
        <v>9817</v>
      </c>
      <c r="D863" t="s">
        <v>1394</v>
      </c>
      <c r="E863" s="186">
        <v>8929748</v>
      </c>
      <c r="G863" t="s">
        <v>87</v>
      </c>
      <c r="H863" t="s">
        <v>9817</v>
      </c>
      <c r="I863" s="186">
        <v>19</v>
      </c>
      <c r="J863" t="s">
        <v>100</v>
      </c>
      <c r="K863">
        <v>90881.84</v>
      </c>
      <c r="L863" s="191">
        <v>45427.655451388891</v>
      </c>
    </row>
    <row r="864" spans="1:12" x14ac:dyDescent="0.3">
      <c r="A864" s="186">
        <v>1253</v>
      </c>
      <c r="B864" s="186">
        <v>30</v>
      </c>
      <c r="C864" s="186" t="s">
        <v>9818</v>
      </c>
      <c r="D864" t="s">
        <v>1387</v>
      </c>
      <c r="E864" s="186">
        <v>56679871</v>
      </c>
      <c r="F864" t="s">
        <v>1388</v>
      </c>
      <c r="G864" t="s">
        <v>87</v>
      </c>
      <c r="H864" t="s">
        <v>9818</v>
      </c>
      <c r="I864" s="186">
        <v>24</v>
      </c>
      <c r="J864" t="s">
        <v>103</v>
      </c>
      <c r="K864" s="185">
        <v>0</v>
      </c>
      <c r="L864" s="191">
        <v>45482.676157407404</v>
      </c>
    </row>
    <row r="865" spans="1:12" x14ac:dyDescent="0.3">
      <c r="A865" s="186">
        <v>24196</v>
      </c>
      <c r="B865" s="186" t="s">
        <v>1396</v>
      </c>
      <c r="C865" s="186" t="s">
        <v>9819</v>
      </c>
      <c r="D865" t="s">
        <v>244</v>
      </c>
      <c r="E865" s="186">
        <v>7994158</v>
      </c>
      <c r="G865" t="s">
        <v>87</v>
      </c>
      <c r="H865" t="s">
        <v>9819</v>
      </c>
      <c r="I865" s="186">
        <v>9</v>
      </c>
      <c r="J865" t="s">
        <v>1397</v>
      </c>
      <c r="K865" s="185">
        <v>800000</v>
      </c>
      <c r="L865" s="191">
        <v>45497.471203703702</v>
      </c>
    </row>
    <row r="866" spans="1:12" x14ac:dyDescent="0.3">
      <c r="A866" s="186">
        <v>23348</v>
      </c>
      <c r="B866" s="186">
        <v>-1</v>
      </c>
      <c r="C866" s="186" t="s">
        <v>9820</v>
      </c>
      <c r="D866" t="s">
        <v>1387</v>
      </c>
      <c r="E866" s="186">
        <v>37324312</v>
      </c>
      <c r="F866" t="s">
        <v>1388</v>
      </c>
      <c r="G866" t="s">
        <v>87</v>
      </c>
      <c r="H866" t="s">
        <v>9820</v>
      </c>
      <c r="I866" s="186">
        <v>43</v>
      </c>
      <c r="J866" t="s">
        <v>174</v>
      </c>
      <c r="K866" s="185">
        <v>53259.11</v>
      </c>
      <c r="L866" s="191">
        <v>45344.68644675926</v>
      </c>
    </row>
    <row r="867" spans="1:12" x14ac:dyDescent="0.3">
      <c r="A867" s="186">
        <v>23636</v>
      </c>
      <c r="B867" s="186" t="s">
        <v>1398</v>
      </c>
      <c r="C867" s="186" t="s">
        <v>9821</v>
      </c>
      <c r="D867" t="s">
        <v>1387</v>
      </c>
      <c r="E867" s="186">
        <v>15800170</v>
      </c>
      <c r="F867" t="s">
        <v>1388</v>
      </c>
      <c r="G867" t="s">
        <v>87</v>
      </c>
      <c r="H867" t="s">
        <v>9821</v>
      </c>
      <c r="I867" s="186">
        <v>38</v>
      </c>
      <c r="J867" t="s">
        <v>1399</v>
      </c>
      <c r="K867" s="185">
        <v>243912.3</v>
      </c>
      <c r="L867" s="191">
        <v>45384.459513888891</v>
      </c>
    </row>
    <row r="868" spans="1:12" x14ac:dyDescent="0.3">
      <c r="A868" s="186">
        <v>4817</v>
      </c>
      <c r="B868" s="186" t="s">
        <v>249</v>
      </c>
      <c r="C868" s="186" t="s">
        <v>9822</v>
      </c>
      <c r="D868" t="s">
        <v>1387</v>
      </c>
      <c r="E868" s="186">
        <v>91894774</v>
      </c>
      <c r="F868" t="s">
        <v>1388</v>
      </c>
      <c r="G868" t="s">
        <v>87</v>
      </c>
      <c r="H868" t="s">
        <v>9822</v>
      </c>
      <c r="I868" s="186">
        <v>3</v>
      </c>
      <c r="J868" t="s">
        <v>250</v>
      </c>
      <c r="K868">
        <v>315843.12</v>
      </c>
      <c r="L868" s="191">
        <v>45355.339745370373</v>
      </c>
    </row>
    <row r="869" spans="1:12" x14ac:dyDescent="0.3">
      <c r="A869" s="186">
        <v>23795</v>
      </c>
      <c r="B869" s="186">
        <v>10</v>
      </c>
      <c r="C869" s="186" t="s">
        <v>9823</v>
      </c>
      <c r="D869" t="s">
        <v>1394</v>
      </c>
      <c r="E869" s="186">
        <v>1606606</v>
      </c>
      <c r="G869" t="s">
        <v>87</v>
      </c>
      <c r="H869" t="s">
        <v>9823</v>
      </c>
      <c r="I869" s="186">
        <v>18</v>
      </c>
      <c r="J869" t="s">
        <v>133</v>
      </c>
      <c r="K869" s="185">
        <v>77233.23</v>
      </c>
      <c r="L869" s="191">
        <v>45401.61241898148</v>
      </c>
    </row>
    <row r="870" spans="1:12" x14ac:dyDescent="0.3">
      <c r="A870" s="186">
        <v>23978</v>
      </c>
      <c r="B870" s="186">
        <v>-1</v>
      </c>
      <c r="C870" s="186" t="s">
        <v>9824</v>
      </c>
      <c r="D870" t="s">
        <v>1394</v>
      </c>
      <c r="E870" s="186">
        <v>10691061</v>
      </c>
      <c r="G870" t="s">
        <v>87</v>
      </c>
      <c r="H870" t="s">
        <v>9824</v>
      </c>
      <c r="I870" s="186">
        <v>19</v>
      </c>
      <c r="J870" t="s">
        <v>174</v>
      </c>
      <c r="K870" s="185">
        <v>22200.89</v>
      </c>
      <c r="L870" s="191">
        <v>45428.65519675926</v>
      </c>
    </row>
    <row r="871" spans="1:12" x14ac:dyDescent="0.3">
      <c r="A871" s="186">
        <v>24043</v>
      </c>
      <c r="B871" s="186" t="s">
        <v>227</v>
      </c>
      <c r="C871" s="186" t="s">
        <v>9825</v>
      </c>
      <c r="D871" t="s">
        <v>1394</v>
      </c>
      <c r="E871" s="186">
        <v>50765288</v>
      </c>
      <c r="G871" t="s">
        <v>113</v>
      </c>
      <c r="H871" t="s">
        <v>9825</v>
      </c>
      <c r="I871" s="186">
        <v>24</v>
      </c>
      <c r="J871" t="s">
        <v>228</v>
      </c>
      <c r="K871" s="185">
        <v>770470.58</v>
      </c>
      <c r="L871" s="191">
        <v>45435.608344907407</v>
      </c>
    </row>
    <row r="872" spans="1:12" x14ac:dyDescent="0.3">
      <c r="A872" s="186">
        <v>23464</v>
      </c>
      <c r="B872" s="186">
        <v>-1</v>
      </c>
      <c r="C872" s="186" t="s">
        <v>9826</v>
      </c>
      <c r="D872" t="s">
        <v>1387</v>
      </c>
      <c r="E872" s="186">
        <v>85407615134</v>
      </c>
      <c r="F872" t="s">
        <v>1388</v>
      </c>
      <c r="G872" t="s">
        <v>87</v>
      </c>
      <c r="H872" t="s">
        <v>9826</v>
      </c>
      <c r="I872" s="186">
        <v>10</v>
      </c>
      <c r="J872" t="s">
        <v>174</v>
      </c>
      <c r="K872" s="185">
        <v>150000</v>
      </c>
      <c r="L872" s="191">
        <v>45363.397453703707</v>
      </c>
    </row>
    <row r="873" spans="1:12" x14ac:dyDescent="0.3">
      <c r="A873" s="186">
        <v>23459</v>
      </c>
      <c r="B873" s="186">
        <v>10</v>
      </c>
      <c r="C873" s="186" t="s">
        <v>9827</v>
      </c>
      <c r="D873" t="s">
        <v>1387</v>
      </c>
      <c r="E873" s="186">
        <v>50180042</v>
      </c>
      <c r="F873" t="s">
        <v>1388</v>
      </c>
      <c r="G873" t="s">
        <v>87</v>
      </c>
      <c r="H873" t="s">
        <v>9827</v>
      </c>
      <c r="I873" s="186">
        <v>10</v>
      </c>
      <c r="J873" t="s">
        <v>133</v>
      </c>
      <c r="K873">
        <v>17954.849999999999</v>
      </c>
      <c r="L873" s="191">
        <v>45362.690763888888</v>
      </c>
    </row>
    <row r="874" spans="1:12" x14ac:dyDescent="0.3">
      <c r="A874" s="186">
        <v>4837</v>
      </c>
      <c r="B874" s="186">
        <v>0</v>
      </c>
      <c r="C874" s="186" t="s">
        <v>9828</v>
      </c>
      <c r="D874" t="s">
        <v>1394</v>
      </c>
      <c r="E874" s="186">
        <v>10279488</v>
      </c>
      <c r="G874" t="s">
        <v>87</v>
      </c>
      <c r="H874" t="s">
        <v>9828</v>
      </c>
      <c r="I874" s="186">
        <v>9</v>
      </c>
      <c r="J874" t="s">
        <v>100</v>
      </c>
      <c r="K874">
        <v>25957.72</v>
      </c>
      <c r="L874" s="191">
        <v>45378.619432870371</v>
      </c>
    </row>
    <row r="875" spans="1:12" x14ac:dyDescent="0.3">
      <c r="A875" s="186">
        <v>23676</v>
      </c>
      <c r="B875" s="186">
        <v>60</v>
      </c>
      <c r="C875" s="186" t="s">
        <v>9829</v>
      </c>
      <c r="D875" t="s">
        <v>1387</v>
      </c>
      <c r="E875" s="186">
        <v>49748023</v>
      </c>
      <c r="F875" t="s">
        <v>1388</v>
      </c>
      <c r="G875" t="s">
        <v>87</v>
      </c>
      <c r="H875" t="s">
        <v>9829</v>
      </c>
      <c r="I875" s="186">
        <v>24</v>
      </c>
      <c r="J875" t="s">
        <v>97</v>
      </c>
      <c r="K875" s="185">
        <v>5800</v>
      </c>
      <c r="L875" s="191">
        <v>45390.429305555554</v>
      </c>
    </row>
    <row r="876" spans="1:12" x14ac:dyDescent="0.3">
      <c r="A876" s="186">
        <v>24240</v>
      </c>
      <c r="B876" s="186">
        <v>0</v>
      </c>
      <c r="C876" s="186" t="s">
        <v>9830</v>
      </c>
      <c r="D876" t="s">
        <v>1387</v>
      </c>
      <c r="E876" s="186">
        <v>33471200</v>
      </c>
      <c r="F876" t="s">
        <v>1388</v>
      </c>
      <c r="G876" t="s">
        <v>87</v>
      </c>
      <c r="H876" t="s">
        <v>9830</v>
      </c>
      <c r="I876" s="186">
        <v>10</v>
      </c>
      <c r="J876" t="s">
        <v>100</v>
      </c>
      <c r="K876" s="185">
        <v>25984.39</v>
      </c>
      <c r="L876" s="191">
        <v>45527.471805555557</v>
      </c>
    </row>
    <row r="877" spans="1:12" x14ac:dyDescent="0.3">
      <c r="A877" s="186">
        <v>1420</v>
      </c>
      <c r="B877" s="186" t="s">
        <v>1389</v>
      </c>
      <c r="C877" s="186" t="s">
        <v>9831</v>
      </c>
      <c r="D877" t="s">
        <v>1387</v>
      </c>
      <c r="E877" s="186">
        <v>32088888</v>
      </c>
      <c r="F877" t="s">
        <v>1388</v>
      </c>
      <c r="G877" t="s">
        <v>87</v>
      </c>
      <c r="H877" t="s">
        <v>9831</v>
      </c>
      <c r="I877" s="186">
        <v>38</v>
      </c>
      <c r="J877" t="s">
        <v>1390</v>
      </c>
      <c r="K877" s="185">
        <v>30000.400000000001</v>
      </c>
      <c r="L877" s="191">
        <v>45538.450671296298</v>
      </c>
    </row>
    <row r="878" spans="1:12" x14ac:dyDescent="0.3">
      <c r="A878" s="186">
        <v>23810</v>
      </c>
      <c r="B878" s="186" t="s">
        <v>1413</v>
      </c>
      <c r="C878" s="186" t="s">
        <v>9832</v>
      </c>
      <c r="D878" t="s">
        <v>1387</v>
      </c>
      <c r="E878" s="186">
        <v>12929735</v>
      </c>
      <c r="F878" t="s">
        <v>1388</v>
      </c>
      <c r="G878" t="s">
        <v>87</v>
      </c>
      <c r="H878" t="s">
        <v>9832</v>
      </c>
      <c r="I878" s="186">
        <v>3</v>
      </c>
      <c r="J878" t="s">
        <v>1414</v>
      </c>
      <c r="K878" s="185">
        <v>20081.55</v>
      </c>
      <c r="L878" s="191">
        <v>45404.681689814817</v>
      </c>
    </row>
    <row r="879" spans="1:12" x14ac:dyDescent="0.3">
      <c r="A879" s="186">
        <v>4891</v>
      </c>
      <c r="B879" s="186">
        <v>0</v>
      </c>
      <c r="C879" s="186" t="s">
        <v>9833</v>
      </c>
      <c r="D879" t="s">
        <v>1387</v>
      </c>
      <c r="E879" s="186">
        <v>4869369</v>
      </c>
      <c r="F879" t="s">
        <v>1388</v>
      </c>
      <c r="G879" t="s">
        <v>87</v>
      </c>
      <c r="H879" t="s">
        <v>9833</v>
      </c>
      <c r="I879" s="186">
        <v>24</v>
      </c>
      <c r="J879" t="s">
        <v>100</v>
      </c>
      <c r="K879" s="185">
        <v>3500</v>
      </c>
      <c r="L879" s="191">
        <v>45527.452430555553</v>
      </c>
    </row>
    <row r="880" spans="1:12" x14ac:dyDescent="0.3">
      <c r="A880" s="186">
        <v>1812</v>
      </c>
      <c r="B880" s="186" t="s">
        <v>175</v>
      </c>
      <c r="C880" s="186" t="s">
        <v>9834</v>
      </c>
      <c r="D880" t="s">
        <v>1387</v>
      </c>
      <c r="E880" s="186">
        <v>9001545</v>
      </c>
      <c r="F880" t="s">
        <v>1388</v>
      </c>
      <c r="G880" t="s">
        <v>87</v>
      </c>
      <c r="H880" t="s">
        <v>9834</v>
      </c>
      <c r="I880" s="186">
        <v>10</v>
      </c>
      <c r="J880" t="s">
        <v>176</v>
      </c>
      <c r="K880" s="185">
        <v>80070</v>
      </c>
      <c r="L880" s="191">
        <v>45632.571689814817</v>
      </c>
    </row>
    <row r="881" spans="1:12" x14ac:dyDescent="0.3">
      <c r="A881" s="186">
        <v>23649</v>
      </c>
      <c r="B881" s="186">
        <v>0</v>
      </c>
      <c r="C881" s="186" t="s">
        <v>9835</v>
      </c>
      <c r="D881" t="s">
        <v>1387</v>
      </c>
      <c r="E881" s="186">
        <v>43526787</v>
      </c>
      <c r="F881" t="s">
        <v>1388</v>
      </c>
      <c r="G881" t="s">
        <v>87</v>
      </c>
      <c r="H881" t="s">
        <v>9835</v>
      </c>
      <c r="I881" s="186">
        <v>3</v>
      </c>
      <c r="J881" t="s">
        <v>100</v>
      </c>
      <c r="K881" s="185">
        <v>350000</v>
      </c>
      <c r="L881" s="191">
        <v>45385.701840277776</v>
      </c>
    </row>
    <row r="882" spans="1:12" x14ac:dyDescent="0.3">
      <c r="A882" s="186">
        <v>23703</v>
      </c>
      <c r="B882" s="186" t="s">
        <v>1411</v>
      </c>
      <c r="C882" s="186" t="s">
        <v>9836</v>
      </c>
      <c r="D882" t="s">
        <v>1387</v>
      </c>
      <c r="E882" s="186">
        <v>43635526</v>
      </c>
      <c r="F882" t="s">
        <v>1388</v>
      </c>
      <c r="G882" t="s">
        <v>87</v>
      </c>
      <c r="H882" t="s">
        <v>9836</v>
      </c>
      <c r="I882" s="186">
        <v>9</v>
      </c>
      <c r="J882" t="s">
        <v>1412</v>
      </c>
      <c r="K882" s="185">
        <v>116703.91</v>
      </c>
      <c r="L882" s="191">
        <v>45391.738888888889</v>
      </c>
    </row>
    <row r="883" spans="1:12" x14ac:dyDescent="0.3">
      <c r="A883" s="186">
        <v>24049</v>
      </c>
      <c r="B883" s="186">
        <v>0</v>
      </c>
      <c r="C883" s="186" t="s">
        <v>9837</v>
      </c>
      <c r="D883" t="s">
        <v>1387</v>
      </c>
      <c r="E883" s="186">
        <v>27391591</v>
      </c>
      <c r="F883" t="s">
        <v>1388</v>
      </c>
      <c r="G883" t="s">
        <v>87</v>
      </c>
      <c r="H883" t="s">
        <v>9837</v>
      </c>
      <c r="I883" s="186">
        <v>18</v>
      </c>
      <c r="J883" t="s">
        <v>100</v>
      </c>
      <c r="K883" s="185">
        <v>52230.09</v>
      </c>
      <c r="L883" s="191">
        <v>45435.657638888886</v>
      </c>
    </row>
    <row r="884" spans="1:12" x14ac:dyDescent="0.3">
      <c r="A884" s="186">
        <v>24063</v>
      </c>
      <c r="B884" s="186">
        <v>0</v>
      </c>
      <c r="C884" s="186" t="s">
        <v>9838</v>
      </c>
      <c r="D884" t="s">
        <v>1394</v>
      </c>
      <c r="E884" s="186">
        <v>4954351</v>
      </c>
      <c r="G884" t="s">
        <v>87</v>
      </c>
      <c r="H884" t="s">
        <v>9838</v>
      </c>
      <c r="I884" s="186">
        <v>18</v>
      </c>
      <c r="J884" t="s">
        <v>100</v>
      </c>
      <c r="K884" s="185">
        <v>28419.78</v>
      </c>
      <c r="L884" s="191">
        <v>45439.611527777779</v>
      </c>
    </row>
    <row r="885" spans="1:12" x14ac:dyDescent="0.3">
      <c r="A885" s="186">
        <v>24089</v>
      </c>
      <c r="B885" s="186" t="s">
        <v>1407</v>
      </c>
      <c r="C885" s="186" t="s">
        <v>9839</v>
      </c>
      <c r="D885" t="s">
        <v>1387</v>
      </c>
      <c r="E885" s="186">
        <v>532740</v>
      </c>
      <c r="F885" t="s">
        <v>1388</v>
      </c>
      <c r="G885" t="s">
        <v>87</v>
      </c>
      <c r="H885" t="s">
        <v>9839</v>
      </c>
      <c r="I885" s="186">
        <v>10</v>
      </c>
      <c r="J885" t="s">
        <v>1407</v>
      </c>
      <c r="K885" s="185">
        <v>1400000.65</v>
      </c>
      <c r="L885" s="191">
        <v>45441.670949074076</v>
      </c>
    </row>
    <row r="886" spans="1:12" x14ac:dyDescent="0.3">
      <c r="A886" s="186">
        <v>24095</v>
      </c>
      <c r="B886" s="186">
        <v>-1</v>
      </c>
      <c r="C886" s="186" t="s">
        <v>9840</v>
      </c>
      <c r="D886" t="s">
        <v>1394</v>
      </c>
      <c r="E886" s="186">
        <v>33841727</v>
      </c>
      <c r="G886" t="s">
        <v>87</v>
      </c>
      <c r="H886" t="s">
        <v>9840</v>
      </c>
      <c r="I886" s="186">
        <v>19</v>
      </c>
      <c r="J886" t="s">
        <v>174</v>
      </c>
      <c r="K886" s="185">
        <v>96520.55</v>
      </c>
      <c r="L886" s="191">
        <v>45441.725254629629</v>
      </c>
    </row>
    <row r="887" spans="1:12" x14ac:dyDescent="0.3">
      <c r="A887" s="186">
        <v>23533</v>
      </c>
      <c r="B887" s="186">
        <v>-1</v>
      </c>
      <c r="C887" s="186" t="s">
        <v>9841</v>
      </c>
      <c r="D887" t="s">
        <v>1395</v>
      </c>
      <c r="E887" s="186">
        <v>52289486191</v>
      </c>
      <c r="G887" t="s">
        <v>113</v>
      </c>
      <c r="H887" t="s">
        <v>9841</v>
      </c>
      <c r="I887" s="186">
        <v>10</v>
      </c>
      <c r="J887" t="s">
        <v>174</v>
      </c>
      <c r="K887" s="185">
        <v>380000</v>
      </c>
      <c r="L887" s="191">
        <v>45371.446574074071</v>
      </c>
    </row>
    <row r="888" spans="1:12" x14ac:dyDescent="0.3">
      <c r="A888" s="186">
        <v>23930</v>
      </c>
      <c r="B888" s="186">
        <v>0</v>
      </c>
      <c r="C888" s="186" t="s">
        <v>9842</v>
      </c>
      <c r="D888" t="s">
        <v>1394</v>
      </c>
      <c r="E888" s="186">
        <v>3174004</v>
      </c>
      <c r="G888" t="s">
        <v>87</v>
      </c>
      <c r="H888" t="s">
        <v>9842</v>
      </c>
      <c r="I888" s="186">
        <v>43</v>
      </c>
      <c r="J888" t="s">
        <v>100</v>
      </c>
      <c r="K888" s="185">
        <v>0</v>
      </c>
      <c r="L888" s="191">
        <v>45421.421446759261</v>
      </c>
    </row>
    <row r="889" spans="1:12" x14ac:dyDescent="0.3">
      <c r="A889" s="186">
        <v>23991</v>
      </c>
      <c r="C889" s="186" t="s">
        <v>9843</v>
      </c>
      <c r="D889" t="s">
        <v>1394</v>
      </c>
      <c r="E889" s="186">
        <v>4758568</v>
      </c>
      <c r="G889" t="s">
        <v>113</v>
      </c>
      <c r="H889" t="s">
        <v>9843</v>
      </c>
      <c r="I889" s="186">
        <v>24</v>
      </c>
      <c r="K889" s="185">
        <v>0</v>
      </c>
      <c r="L889" s="191">
        <v>45429.667847222219</v>
      </c>
    </row>
    <row r="890" spans="1:12" x14ac:dyDescent="0.3">
      <c r="A890" s="186">
        <v>1820</v>
      </c>
      <c r="B890" s="186">
        <v>0</v>
      </c>
      <c r="C890" s="186" t="s">
        <v>9844</v>
      </c>
      <c r="D890" t="s">
        <v>1387</v>
      </c>
      <c r="E890" s="186">
        <v>20495149</v>
      </c>
      <c r="F890" t="s">
        <v>1388</v>
      </c>
      <c r="G890" t="s">
        <v>87</v>
      </c>
      <c r="H890" t="s">
        <v>9844</v>
      </c>
      <c r="I890" s="186">
        <v>3</v>
      </c>
      <c r="J890" t="s">
        <v>100</v>
      </c>
      <c r="K890" s="185">
        <v>133074.23999999999</v>
      </c>
      <c r="L890" s="191">
        <v>45635.472326388888</v>
      </c>
    </row>
    <row r="891" spans="1:12" x14ac:dyDescent="0.3">
      <c r="A891" s="186">
        <v>23741</v>
      </c>
      <c r="B891" s="186">
        <v>0</v>
      </c>
      <c r="C891" s="186" t="s">
        <v>9845</v>
      </c>
      <c r="D891" t="s">
        <v>1394</v>
      </c>
      <c r="E891" s="186">
        <v>9625762</v>
      </c>
      <c r="G891" t="s">
        <v>87</v>
      </c>
      <c r="H891" t="s">
        <v>9845</v>
      </c>
      <c r="I891" s="186">
        <v>18</v>
      </c>
      <c r="J891" t="s">
        <v>100</v>
      </c>
      <c r="K891" s="185">
        <v>611396.56000000006</v>
      </c>
      <c r="L891" s="191">
        <v>45394.707557870373</v>
      </c>
    </row>
    <row r="892" spans="1:12" x14ac:dyDescent="0.3">
      <c r="A892" s="186">
        <v>24163</v>
      </c>
      <c r="B892" s="186">
        <v>0</v>
      </c>
      <c r="C892" s="186" t="s">
        <v>9846</v>
      </c>
      <c r="D892" t="s">
        <v>1387</v>
      </c>
      <c r="E892" s="186">
        <v>8218207457</v>
      </c>
      <c r="F892" t="s">
        <v>1388</v>
      </c>
      <c r="G892" t="s">
        <v>87</v>
      </c>
      <c r="H892" t="s">
        <v>9846</v>
      </c>
      <c r="I892" s="186">
        <v>3</v>
      </c>
      <c r="J892" t="s">
        <v>100</v>
      </c>
      <c r="K892" s="185">
        <v>355000</v>
      </c>
      <c r="L892" s="191">
        <v>45475.382326388892</v>
      </c>
    </row>
    <row r="893" spans="1:12" x14ac:dyDescent="0.3">
      <c r="A893" s="186">
        <v>23953</v>
      </c>
      <c r="B893" s="186" t="s">
        <v>1400</v>
      </c>
      <c r="C893" s="186" t="s">
        <v>9847</v>
      </c>
      <c r="D893" t="s">
        <v>1387</v>
      </c>
      <c r="E893" s="186">
        <v>12929735</v>
      </c>
      <c r="F893" t="s">
        <v>1388</v>
      </c>
      <c r="G893" t="s">
        <v>87</v>
      </c>
      <c r="H893" t="s">
        <v>9847</v>
      </c>
      <c r="I893" s="186">
        <v>3</v>
      </c>
      <c r="J893" t="s">
        <v>1401</v>
      </c>
      <c r="K893" s="185">
        <v>23017.360000000001</v>
      </c>
      <c r="L893" s="191">
        <v>45426.37605324074</v>
      </c>
    </row>
    <row r="894" spans="1:12" x14ac:dyDescent="0.3">
      <c r="A894" s="186">
        <v>4889</v>
      </c>
      <c r="B894" s="186">
        <v>30</v>
      </c>
      <c r="C894" s="186" t="s">
        <v>9848</v>
      </c>
      <c r="D894" t="s">
        <v>1394</v>
      </c>
      <c r="E894" s="186">
        <v>34209835</v>
      </c>
      <c r="G894" t="s">
        <v>87</v>
      </c>
      <c r="H894" t="s">
        <v>9848</v>
      </c>
      <c r="I894" s="186">
        <v>3</v>
      </c>
      <c r="J894" t="s">
        <v>103</v>
      </c>
      <c r="K894" s="185">
        <v>130652.72</v>
      </c>
      <c r="L894" s="191">
        <v>45448.635567129626</v>
      </c>
    </row>
    <row r="895" spans="1:12" x14ac:dyDescent="0.3">
      <c r="A895" s="186">
        <v>1218</v>
      </c>
      <c r="B895" s="186">
        <v>10</v>
      </c>
      <c r="C895" s="186" t="s">
        <v>9849</v>
      </c>
      <c r="D895" t="s">
        <v>1387</v>
      </c>
      <c r="E895" s="186">
        <v>52749283</v>
      </c>
      <c r="F895" t="s">
        <v>1388</v>
      </c>
      <c r="G895" t="s">
        <v>87</v>
      </c>
      <c r="H895" t="s">
        <v>9849</v>
      </c>
      <c r="I895" s="186">
        <v>10</v>
      </c>
      <c r="J895" t="s">
        <v>133</v>
      </c>
      <c r="K895" s="185">
        <v>0</v>
      </c>
      <c r="L895" s="191">
        <v>45463.675486111111</v>
      </c>
    </row>
    <row r="896" spans="1:12" x14ac:dyDescent="0.3">
      <c r="A896" s="186">
        <v>1269</v>
      </c>
      <c r="B896" s="186">
        <v>0</v>
      </c>
      <c r="C896" s="186" t="s">
        <v>9850</v>
      </c>
      <c r="D896" t="s">
        <v>1387</v>
      </c>
      <c r="E896" s="186">
        <v>36698994</v>
      </c>
      <c r="F896" t="s">
        <v>1388</v>
      </c>
      <c r="G896" t="s">
        <v>87</v>
      </c>
      <c r="H896" t="s">
        <v>9850</v>
      </c>
      <c r="I896" s="186">
        <v>38</v>
      </c>
      <c r="J896" t="s">
        <v>100</v>
      </c>
      <c r="K896" s="185">
        <v>17000</v>
      </c>
      <c r="L896" s="191">
        <v>45488.453611111108</v>
      </c>
    </row>
    <row r="897" spans="1:12" x14ac:dyDescent="0.3">
      <c r="A897" s="186">
        <v>24168</v>
      </c>
      <c r="B897" s="186" t="s">
        <v>222</v>
      </c>
      <c r="C897" s="186" t="s">
        <v>9851</v>
      </c>
      <c r="D897" t="s">
        <v>1387</v>
      </c>
      <c r="E897" s="186">
        <v>5625170</v>
      </c>
      <c r="F897" t="s">
        <v>1388</v>
      </c>
      <c r="G897" t="s">
        <v>87</v>
      </c>
      <c r="H897" t="s">
        <v>9851</v>
      </c>
      <c r="I897" s="186">
        <v>38</v>
      </c>
      <c r="J897" t="s">
        <v>223</v>
      </c>
      <c r="K897" s="185">
        <v>21699.06</v>
      </c>
      <c r="L897" s="191">
        <v>45478.495648148149</v>
      </c>
    </row>
    <row r="898" spans="1:12" x14ac:dyDescent="0.3">
      <c r="A898" s="186">
        <v>1330</v>
      </c>
      <c r="B898" s="186">
        <v>0</v>
      </c>
      <c r="C898" s="186" t="s">
        <v>9852</v>
      </c>
      <c r="D898" t="s">
        <v>1387</v>
      </c>
      <c r="E898" s="186">
        <v>52031718</v>
      </c>
      <c r="F898" t="s">
        <v>1388</v>
      </c>
      <c r="G898" t="s">
        <v>87</v>
      </c>
      <c r="H898" t="s">
        <v>9852</v>
      </c>
      <c r="I898" s="186">
        <v>3</v>
      </c>
      <c r="J898" t="s">
        <v>100</v>
      </c>
      <c r="K898" s="185">
        <v>44998.77</v>
      </c>
      <c r="L898" s="191">
        <v>45504.689386574071</v>
      </c>
    </row>
    <row r="899" spans="1:12" x14ac:dyDescent="0.3">
      <c r="A899" s="186">
        <v>1332</v>
      </c>
      <c r="B899" s="186">
        <v>30</v>
      </c>
      <c r="C899" s="186" t="s">
        <v>9853</v>
      </c>
      <c r="D899" t="s">
        <v>1387</v>
      </c>
      <c r="E899" s="186">
        <v>34209835</v>
      </c>
      <c r="F899" t="s">
        <v>1388</v>
      </c>
      <c r="G899" t="s">
        <v>87</v>
      </c>
      <c r="H899" t="s">
        <v>9853</v>
      </c>
      <c r="I899" s="186">
        <v>3</v>
      </c>
      <c r="J899" t="s">
        <v>103</v>
      </c>
      <c r="K899">
        <v>130760.69</v>
      </c>
      <c r="L899" s="191">
        <v>45504.719571759262</v>
      </c>
    </row>
    <row r="900" spans="1:12" x14ac:dyDescent="0.3">
      <c r="A900" s="186">
        <v>24122</v>
      </c>
      <c r="B900" s="186">
        <v>-1</v>
      </c>
      <c r="C900" s="186" t="s">
        <v>9854</v>
      </c>
      <c r="D900" t="s">
        <v>1394</v>
      </c>
      <c r="E900" s="186">
        <v>46325254</v>
      </c>
      <c r="G900" t="s">
        <v>87</v>
      </c>
      <c r="H900" t="s">
        <v>9854</v>
      </c>
      <c r="I900" s="186">
        <v>24</v>
      </c>
      <c r="J900" t="s">
        <v>174</v>
      </c>
      <c r="K900" s="185">
        <v>327000</v>
      </c>
      <c r="L900" s="191">
        <v>45448.603854166664</v>
      </c>
    </row>
    <row r="901" spans="1:12" x14ac:dyDescent="0.3">
      <c r="A901" s="186">
        <v>24245</v>
      </c>
      <c r="B901" s="186">
        <v>0</v>
      </c>
      <c r="C901" s="186" t="s">
        <v>9855</v>
      </c>
      <c r="D901" t="s">
        <v>1387</v>
      </c>
      <c r="E901" s="186">
        <v>11106289</v>
      </c>
      <c r="F901" t="s">
        <v>1388</v>
      </c>
      <c r="G901" t="s">
        <v>87</v>
      </c>
      <c r="H901" t="s">
        <v>9855</v>
      </c>
      <c r="I901" s="186">
        <v>3</v>
      </c>
      <c r="J901" t="s">
        <v>100</v>
      </c>
      <c r="K901">
        <v>36500</v>
      </c>
      <c r="L901" s="191">
        <v>45534.485949074071</v>
      </c>
    </row>
    <row r="902" spans="1:12" x14ac:dyDescent="0.3">
      <c r="A902" s="186">
        <v>24160</v>
      </c>
      <c r="B902" s="186">
        <v>0</v>
      </c>
      <c r="C902" s="186" t="s">
        <v>9856</v>
      </c>
      <c r="D902" t="s">
        <v>1387</v>
      </c>
      <c r="E902" s="186">
        <v>30353677</v>
      </c>
      <c r="F902" t="s">
        <v>1388</v>
      </c>
      <c r="G902" t="s">
        <v>87</v>
      </c>
      <c r="H902" t="s">
        <v>9856</v>
      </c>
      <c r="I902" s="186">
        <v>3</v>
      </c>
      <c r="J902" t="s">
        <v>100</v>
      </c>
      <c r="K902" s="185">
        <v>270000</v>
      </c>
      <c r="L902" s="191">
        <v>45471.500081018516</v>
      </c>
    </row>
    <row r="903" spans="1:12" x14ac:dyDescent="0.3">
      <c r="A903" s="186">
        <v>24170</v>
      </c>
      <c r="B903" s="186">
        <v>0</v>
      </c>
      <c r="C903" s="186" t="s">
        <v>9857</v>
      </c>
      <c r="D903" t="s">
        <v>1387</v>
      </c>
      <c r="E903" s="186">
        <v>52696871</v>
      </c>
      <c r="F903" t="s">
        <v>1388</v>
      </c>
      <c r="G903" t="s">
        <v>87</v>
      </c>
      <c r="H903" t="s">
        <v>9857</v>
      </c>
      <c r="I903" s="186">
        <v>3</v>
      </c>
      <c r="J903" t="s">
        <v>100</v>
      </c>
      <c r="K903" s="185">
        <v>30000</v>
      </c>
      <c r="L903" s="191">
        <v>45482.607743055552</v>
      </c>
    </row>
    <row r="904" spans="1:12" x14ac:dyDescent="0.3">
      <c r="A904" s="186">
        <v>24180</v>
      </c>
      <c r="B904" s="186">
        <v>0</v>
      </c>
      <c r="C904" s="186" t="s">
        <v>9858</v>
      </c>
      <c r="D904" t="s">
        <v>1387</v>
      </c>
      <c r="E904" s="186">
        <v>13785844654</v>
      </c>
      <c r="F904" t="s">
        <v>1388</v>
      </c>
      <c r="G904" t="s">
        <v>87</v>
      </c>
      <c r="H904" t="s">
        <v>9858</v>
      </c>
      <c r="I904" s="186">
        <v>3</v>
      </c>
      <c r="J904" t="s">
        <v>100</v>
      </c>
      <c r="K904" s="185">
        <v>39500</v>
      </c>
      <c r="L904" s="191">
        <v>45484.614421296297</v>
      </c>
    </row>
    <row r="905" spans="1:12" x14ac:dyDescent="0.3">
      <c r="A905" s="186">
        <v>1270</v>
      </c>
      <c r="B905" s="186">
        <v>30</v>
      </c>
      <c r="C905" s="186" t="s">
        <v>9859</v>
      </c>
      <c r="D905" t="s">
        <v>1387</v>
      </c>
      <c r="E905" s="186">
        <v>54896363</v>
      </c>
      <c r="F905" t="s">
        <v>1388</v>
      </c>
      <c r="G905" t="s">
        <v>87</v>
      </c>
      <c r="H905" t="s">
        <v>9859</v>
      </c>
      <c r="I905" s="186">
        <v>38</v>
      </c>
      <c r="J905" t="s">
        <v>103</v>
      </c>
      <c r="K905" s="185">
        <v>73600</v>
      </c>
      <c r="L905" s="191">
        <v>45488.46665509259</v>
      </c>
    </row>
    <row r="906" spans="1:12" x14ac:dyDescent="0.3">
      <c r="A906" s="186">
        <v>1380</v>
      </c>
      <c r="B906" s="186">
        <v>10</v>
      </c>
      <c r="C906" s="186" t="s">
        <v>9860</v>
      </c>
      <c r="D906" t="s">
        <v>1387</v>
      </c>
      <c r="E906" s="186">
        <v>2535568</v>
      </c>
      <c r="F906" t="s">
        <v>1388</v>
      </c>
      <c r="G906" t="s">
        <v>87</v>
      </c>
      <c r="H906" t="s">
        <v>9860</v>
      </c>
      <c r="I906" s="186">
        <v>43</v>
      </c>
      <c r="J906" t="s">
        <v>133</v>
      </c>
      <c r="K906" s="185">
        <v>77494.19</v>
      </c>
      <c r="L906" s="191">
        <v>45524.66578703704</v>
      </c>
    </row>
    <row r="907" spans="1:12" x14ac:dyDescent="0.3">
      <c r="A907" s="186">
        <v>23482</v>
      </c>
      <c r="B907" s="186">
        <v>0</v>
      </c>
      <c r="C907" s="186" t="s">
        <v>9861</v>
      </c>
      <c r="D907" t="s">
        <v>1394</v>
      </c>
      <c r="E907" s="186">
        <v>7073042</v>
      </c>
      <c r="G907" t="s">
        <v>87</v>
      </c>
      <c r="H907" t="s">
        <v>9861</v>
      </c>
      <c r="I907" s="186">
        <v>9</v>
      </c>
      <c r="J907" t="s">
        <v>100</v>
      </c>
      <c r="K907" s="185">
        <v>0</v>
      </c>
      <c r="L907" s="191">
        <v>45364.508275462962</v>
      </c>
    </row>
    <row r="908" spans="1:12" x14ac:dyDescent="0.3">
      <c r="A908" s="186">
        <v>23875</v>
      </c>
      <c r="B908" s="186">
        <v>-1</v>
      </c>
      <c r="C908" s="186" t="s">
        <v>9862</v>
      </c>
      <c r="D908" t="s">
        <v>1394</v>
      </c>
      <c r="E908" s="186">
        <v>42440045</v>
      </c>
      <c r="G908" t="s">
        <v>113</v>
      </c>
      <c r="H908" t="s">
        <v>9862</v>
      </c>
      <c r="I908" s="186">
        <v>9</v>
      </c>
      <c r="J908" t="s">
        <v>174</v>
      </c>
      <c r="K908" s="185">
        <v>89214.48</v>
      </c>
      <c r="L908" s="191">
        <v>45414.69730324074</v>
      </c>
    </row>
    <row r="909" spans="1:12" x14ac:dyDescent="0.3">
      <c r="A909" s="186">
        <v>24032</v>
      </c>
      <c r="B909" s="186">
        <v>10</v>
      </c>
      <c r="C909" s="186" t="s">
        <v>9863</v>
      </c>
      <c r="D909" t="s">
        <v>1394</v>
      </c>
      <c r="E909" s="186">
        <v>2502844</v>
      </c>
      <c r="G909" t="s">
        <v>87</v>
      </c>
      <c r="H909" t="s">
        <v>9863</v>
      </c>
      <c r="I909" s="186">
        <v>24</v>
      </c>
      <c r="J909" t="s">
        <v>133</v>
      </c>
      <c r="K909" s="185">
        <v>160372.81</v>
      </c>
      <c r="L909" s="191">
        <v>45434.69290509259</v>
      </c>
    </row>
    <row r="910" spans="1:12" x14ac:dyDescent="0.3">
      <c r="A910" s="186">
        <v>24198</v>
      </c>
      <c r="B910" s="186">
        <v>0</v>
      </c>
      <c r="C910" s="186" t="s">
        <v>9864</v>
      </c>
      <c r="D910" t="s">
        <v>1387</v>
      </c>
      <c r="E910" s="186">
        <v>11698050607</v>
      </c>
      <c r="F910" t="s">
        <v>1388</v>
      </c>
      <c r="G910" t="s">
        <v>87</v>
      </c>
      <c r="H910" t="s">
        <v>9864</v>
      </c>
      <c r="I910" s="186">
        <v>3</v>
      </c>
      <c r="J910" t="s">
        <v>100</v>
      </c>
      <c r="K910" s="185">
        <v>37500</v>
      </c>
      <c r="L910" s="191">
        <v>45503.351041666669</v>
      </c>
    </row>
    <row r="911" spans="1:12" x14ac:dyDescent="0.3">
      <c r="A911" s="186">
        <v>1317</v>
      </c>
      <c r="B911" s="186">
        <v>0</v>
      </c>
      <c r="C911" s="186" t="s">
        <v>9865</v>
      </c>
      <c r="D911" t="s">
        <v>1387</v>
      </c>
      <c r="E911" s="186">
        <v>11698050607</v>
      </c>
      <c r="F911" t="s">
        <v>1388</v>
      </c>
      <c r="G911" t="s">
        <v>87</v>
      </c>
      <c r="H911" t="s">
        <v>9865</v>
      </c>
      <c r="I911" s="186">
        <v>3</v>
      </c>
      <c r="J911" t="s">
        <v>100</v>
      </c>
      <c r="K911" s="185">
        <v>0</v>
      </c>
      <c r="L911" s="191">
        <v>45502.712256944447</v>
      </c>
    </row>
    <row r="912" spans="1:12" x14ac:dyDescent="0.3">
      <c r="A912" s="186">
        <v>23465</v>
      </c>
      <c r="B912" s="186">
        <v>30</v>
      </c>
      <c r="C912" s="186" t="s">
        <v>9866</v>
      </c>
      <c r="D912" t="s">
        <v>1387</v>
      </c>
      <c r="E912" s="186">
        <v>8056030</v>
      </c>
      <c r="F912" t="s">
        <v>1388</v>
      </c>
      <c r="G912" t="s">
        <v>87</v>
      </c>
      <c r="H912" t="s">
        <v>9866</v>
      </c>
      <c r="I912" s="186">
        <v>26</v>
      </c>
      <c r="J912" t="s">
        <v>103</v>
      </c>
      <c r="K912" s="185">
        <v>19042.14</v>
      </c>
      <c r="L912" s="191">
        <v>45363.454050925924</v>
      </c>
    </row>
    <row r="913" spans="1:12" x14ac:dyDescent="0.3">
      <c r="A913" s="186">
        <v>23622</v>
      </c>
      <c r="B913" s="186" t="s">
        <v>1400</v>
      </c>
      <c r="C913" s="186" t="s">
        <v>9867</v>
      </c>
      <c r="D913" t="s">
        <v>1387</v>
      </c>
      <c r="E913" s="186">
        <v>12929735</v>
      </c>
      <c r="F913" t="s">
        <v>1388</v>
      </c>
      <c r="G913" t="s">
        <v>87</v>
      </c>
      <c r="H913" t="s">
        <v>9867</v>
      </c>
      <c r="I913" s="186">
        <v>3</v>
      </c>
      <c r="J913" t="s">
        <v>1401</v>
      </c>
      <c r="K913" s="185">
        <v>23017.360000000001</v>
      </c>
      <c r="L913" s="191">
        <v>45379.705659722225</v>
      </c>
    </row>
    <row r="914" spans="1:12" x14ac:dyDescent="0.3">
      <c r="A914" s="186">
        <v>23797</v>
      </c>
      <c r="B914" s="186" t="s">
        <v>227</v>
      </c>
      <c r="C914" s="186" t="s">
        <v>9868</v>
      </c>
      <c r="D914" t="s">
        <v>1387</v>
      </c>
      <c r="E914" s="186">
        <v>12507345</v>
      </c>
      <c r="F914" t="s">
        <v>1388</v>
      </c>
      <c r="G914" t="s">
        <v>87</v>
      </c>
      <c r="H914" t="s">
        <v>9868</v>
      </c>
      <c r="I914" s="186">
        <v>10</v>
      </c>
      <c r="J914" t="s">
        <v>228</v>
      </c>
      <c r="K914" s="185">
        <v>98288.74</v>
      </c>
      <c r="L914" s="191">
        <v>45401.657673611109</v>
      </c>
    </row>
    <row r="915" spans="1:12" x14ac:dyDescent="0.3">
      <c r="A915" s="186">
        <v>23946</v>
      </c>
      <c r="B915" s="186">
        <v>0</v>
      </c>
      <c r="C915" s="186" t="s">
        <v>9869</v>
      </c>
      <c r="D915" t="s">
        <v>1394</v>
      </c>
      <c r="E915" s="186">
        <v>3174004</v>
      </c>
      <c r="G915" t="s">
        <v>87</v>
      </c>
      <c r="H915" t="s">
        <v>9869</v>
      </c>
      <c r="I915" s="186">
        <v>43</v>
      </c>
      <c r="J915" t="s">
        <v>100</v>
      </c>
      <c r="K915">
        <v>265657.8</v>
      </c>
      <c r="L915" s="191">
        <v>45423.868935185186</v>
      </c>
    </row>
    <row r="916" spans="1:12" x14ac:dyDescent="0.3">
      <c r="A916" s="186">
        <v>24244</v>
      </c>
      <c r="B916" s="186">
        <v>0</v>
      </c>
      <c r="C916" s="186" t="s">
        <v>9870</v>
      </c>
      <c r="D916" t="s">
        <v>1387</v>
      </c>
      <c r="E916" s="186">
        <v>69422702100</v>
      </c>
      <c r="F916" t="s">
        <v>1388</v>
      </c>
      <c r="G916" t="s">
        <v>87</v>
      </c>
      <c r="H916" t="s">
        <v>9870</v>
      </c>
      <c r="I916" s="186">
        <v>10</v>
      </c>
      <c r="J916" t="s">
        <v>100</v>
      </c>
      <c r="K916" s="185">
        <v>455000.04</v>
      </c>
      <c r="L916" s="191">
        <v>45532.909155092595</v>
      </c>
    </row>
    <row r="917" spans="1:12" x14ac:dyDescent="0.3">
      <c r="A917" s="186">
        <v>1409</v>
      </c>
      <c r="B917" s="186">
        <v>0</v>
      </c>
      <c r="C917" s="186" t="s">
        <v>9871</v>
      </c>
      <c r="D917" t="s">
        <v>1387</v>
      </c>
      <c r="E917" s="186">
        <v>55979637672</v>
      </c>
      <c r="F917" t="s">
        <v>1388</v>
      </c>
      <c r="G917" t="s">
        <v>87</v>
      </c>
      <c r="H917" t="s">
        <v>9871</v>
      </c>
      <c r="I917" s="186">
        <v>3</v>
      </c>
      <c r="J917" t="s">
        <v>100</v>
      </c>
      <c r="K917" s="185">
        <v>36500</v>
      </c>
      <c r="L917" s="191">
        <v>45534.414594907408</v>
      </c>
    </row>
    <row r="918" spans="1:12" x14ac:dyDescent="0.3">
      <c r="A918" s="186">
        <v>1414</v>
      </c>
      <c r="B918" s="186">
        <v>-1</v>
      </c>
      <c r="C918" s="186" t="s">
        <v>9872</v>
      </c>
      <c r="D918" t="s">
        <v>1387</v>
      </c>
      <c r="E918" s="186">
        <v>17136654</v>
      </c>
      <c r="F918" t="s">
        <v>1388</v>
      </c>
      <c r="G918" t="s">
        <v>87</v>
      </c>
      <c r="H918" t="s">
        <v>9872</v>
      </c>
      <c r="I918" s="186">
        <v>3</v>
      </c>
      <c r="J918" t="s">
        <v>174</v>
      </c>
      <c r="K918" s="185">
        <v>61512.480000000003</v>
      </c>
      <c r="L918" s="191">
        <v>45537.351261574076</v>
      </c>
    </row>
    <row r="919" spans="1:12" x14ac:dyDescent="0.3">
      <c r="A919" s="186">
        <v>1377</v>
      </c>
      <c r="B919" s="186">
        <v>30</v>
      </c>
      <c r="C919" s="186" t="s">
        <v>9873</v>
      </c>
      <c r="D919" t="s">
        <v>1387</v>
      </c>
      <c r="E919" s="186">
        <v>9646672</v>
      </c>
      <c r="F919" t="s">
        <v>1388</v>
      </c>
      <c r="G919" t="s">
        <v>87</v>
      </c>
      <c r="H919" t="s">
        <v>9873</v>
      </c>
      <c r="I919" s="186">
        <v>3</v>
      </c>
      <c r="J919" t="s">
        <v>103</v>
      </c>
      <c r="K919" s="185">
        <v>9796.15</v>
      </c>
      <c r="L919" s="191">
        <v>45524.518182870372</v>
      </c>
    </row>
    <row r="920" spans="1:12" x14ac:dyDescent="0.3">
      <c r="A920" s="186">
        <v>24235</v>
      </c>
      <c r="B920" s="186" t="s">
        <v>246</v>
      </c>
      <c r="C920" s="186" t="s">
        <v>9874</v>
      </c>
      <c r="D920" t="s">
        <v>1387</v>
      </c>
      <c r="E920" s="186">
        <v>22690912</v>
      </c>
      <c r="F920" t="s">
        <v>1388</v>
      </c>
      <c r="G920" t="s">
        <v>87</v>
      </c>
      <c r="H920" t="s">
        <v>9874</v>
      </c>
      <c r="I920" s="186">
        <v>3</v>
      </c>
      <c r="J920" t="s">
        <v>246</v>
      </c>
      <c r="K920" s="185">
        <v>114000</v>
      </c>
      <c r="L920" s="191">
        <v>45526.498055555552</v>
      </c>
    </row>
    <row r="921" spans="1:12" x14ac:dyDescent="0.3">
      <c r="A921" s="186">
        <v>24242</v>
      </c>
      <c r="B921" s="186">
        <v>0</v>
      </c>
      <c r="C921" s="186" t="s">
        <v>9875</v>
      </c>
      <c r="D921" t="s">
        <v>1387</v>
      </c>
      <c r="E921" s="186">
        <v>6556623679</v>
      </c>
      <c r="F921" t="s">
        <v>1388</v>
      </c>
      <c r="G921" t="s">
        <v>87</v>
      </c>
      <c r="H921" t="s">
        <v>9875</v>
      </c>
      <c r="I921" s="186">
        <v>3</v>
      </c>
      <c r="J921" t="s">
        <v>100</v>
      </c>
      <c r="K921" s="185">
        <v>282000</v>
      </c>
      <c r="L921" s="191">
        <v>45531.4841087963</v>
      </c>
    </row>
    <row r="922" spans="1:12" x14ac:dyDescent="0.3">
      <c r="A922" s="186">
        <v>24243</v>
      </c>
      <c r="B922" s="186">
        <v>45</v>
      </c>
      <c r="C922" s="186" t="s">
        <v>9876</v>
      </c>
      <c r="D922" t="s">
        <v>1387</v>
      </c>
      <c r="E922" s="186">
        <v>10279488</v>
      </c>
      <c r="F922" t="s">
        <v>1388</v>
      </c>
      <c r="G922" t="s">
        <v>87</v>
      </c>
      <c r="H922" t="s">
        <v>9876</v>
      </c>
      <c r="I922" s="186">
        <v>55</v>
      </c>
      <c r="J922" t="s">
        <v>106</v>
      </c>
      <c r="K922" s="185">
        <v>44337.01</v>
      </c>
      <c r="L922" s="191">
        <v>45532.435763888891</v>
      </c>
    </row>
    <row r="923" spans="1:12" x14ac:dyDescent="0.3">
      <c r="A923" s="186">
        <v>24246</v>
      </c>
      <c r="B923" s="186">
        <v>0</v>
      </c>
      <c r="C923" s="186" t="s">
        <v>9877</v>
      </c>
      <c r="D923" t="s">
        <v>1387</v>
      </c>
      <c r="E923" s="186">
        <v>75911438</v>
      </c>
      <c r="F923" t="s">
        <v>1388</v>
      </c>
      <c r="G923" t="s">
        <v>87</v>
      </c>
      <c r="H923" t="s">
        <v>9877</v>
      </c>
      <c r="I923" s="186">
        <v>3</v>
      </c>
      <c r="J923" t="s">
        <v>100</v>
      </c>
      <c r="K923" s="185">
        <v>295000</v>
      </c>
      <c r="L923" s="191">
        <v>45539.424039351848</v>
      </c>
    </row>
    <row r="924" spans="1:12" x14ac:dyDescent="0.3">
      <c r="A924" s="186">
        <v>1449</v>
      </c>
      <c r="B924" s="186" t="s">
        <v>1396</v>
      </c>
      <c r="C924" s="186" t="s">
        <v>9878</v>
      </c>
      <c r="D924" t="s">
        <v>1387</v>
      </c>
      <c r="E924" s="186">
        <v>10630328</v>
      </c>
      <c r="F924" t="s">
        <v>1388</v>
      </c>
      <c r="G924" t="s">
        <v>87</v>
      </c>
      <c r="H924" t="s">
        <v>9878</v>
      </c>
      <c r="I924" s="186">
        <v>3</v>
      </c>
      <c r="J924" t="s">
        <v>1397</v>
      </c>
      <c r="K924" s="185">
        <v>32499.51</v>
      </c>
      <c r="L924" s="191">
        <v>45545.476238425923</v>
      </c>
    </row>
    <row r="925" spans="1:12" x14ac:dyDescent="0.3">
      <c r="A925" s="186">
        <v>1466</v>
      </c>
      <c r="B925" s="186">
        <v>30</v>
      </c>
      <c r="C925" s="186" t="s">
        <v>9879</v>
      </c>
      <c r="D925" t="s">
        <v>1387</v>
      </c>
      <c r="E925" s="186">
        <v>10279488</v>
      </c>
      <c r="F925" t="s">
        <v>1388</v>
      </c>
      <c r="G925" t="s">
        <v>87</v>
      </c>
      <c r="H925" t="s">
        <v>9879</v>
      </c>
      <c r="I925" s="186">
        <v>10</v>
      </c>
      <c r="J925" t="s">
        <v>103</v>
      </c>
      <c r="K925" s="185">
        <v>2725.83</v>
      </c>
      <c r="L925" s="191">
        <v>45548.608912037038</v>
      </c>
    </row>
    <row r="926" spans="1:12" x14ac:dyDescent="0.3">
      <c r="A926" s="186">
        <v>23733</v>
      </c>
      <c r="B926" s="186" t="s">
        <v>1405</v>
      </c>
      <c r="C926" s="186" t="s">
        <v>9880</v>
      </c>
      <c r="D926" t="s">
        <v>1387</v>
      </c>
      <c r="E926" s="186">
        <v>10858291</v>
      </c>
      <c r="F926" t="s">
        <v>1388</v>
      </c>
      <c r="G926" t="s">
        <v>87</v>
      </c>
      <c r="H926" t="s">
        <v>9880</v>
      </c>
      <c r="I926" s="186">
        <v>19</v>
      </c>
      <c r="J926" t="s">
        <v>1406</v>
      </c>
      <c r="K926" s="185">
        <v>57620</v>
      </c>
      <c r="L926" s="191">
        <v>45394.595011574071</v>
      </c>
    </row>
    <row r="927" spans="1:12" x14ac:dyDescent="0.3">
      <c r="A927" s="186">
        <v>24159</v>
      </c>
      <c r="B927" s="186">
        <v>0</v>
      </c>
      <c r="C927" s="186" t="s">
        <v>9881</v>
      </c>
      <c r="D927" t="s">
        <v>1387</v>
      </c>
      <c r="E927" s="186">
        <v>52696871</v>
      </c>
      <c r="F927" t="s">
        <v>1388</v>
      </c>
      <c r="G927" t="s">
        <v>87</v>
      </c>
      <c r="H927" t="s">
        <v>9881</v>
      </c>
      <c r="I927" s="186">
        <v>3</v>
      </c>
      <c r="J927" t="s">
        <v>100</v>
      </c>
      <c r="K927" s="185">
        <v>74000</v>
      </c>
      <c r="L927" s="191">
        <v>45471.441296296296</v>
      </c>
    </row>
    <row r="928" spans="1:12" x14ac:dyDescent="0.3">
      <c r="A928" s="186">
        <v>24249</v>
      </c>
      <c r="B928" s="186" t="s">
        <v>222</v>
      </c>
      <c r="C928" s="186" t="s">
        <v>9882</v>
      </c>
      <c r="D928" t="s">
        <v>1387</v>
      </c>
      <c r="E928" s="186">
        <v>28426989</v>
      </c>
      <c r="F928" t="s">
        <v>1388</v>
      </c>
      <c r="G928" t="s">
        <v>87</v>
      </c>
      <c r="H928" t="s">
        <v>9882</v>
      </c>
      <c r="I928" s="186">
        <v>3</v>
      </c>
      <c r="J928" t="s">
        <v>223</v>
      </c>
      <c r="K928" s="185">
        <v>300007.5</v>
      </c>
      <c r="L928" s="191">
        <v>45554.497847222221</v>
      </c>
    </row>
    <row r="929" spans="1:12" x14ac:dyDescent="0.3">
      <c r="A929" s="186">
        <v>24252</v>
      </c>
      <c r="B929" s="186" t="s">
        <v>1408</v>
      </c>
      <c r="C929" s="186" t="s">
        <v>9883</v>
      </c>
      <c r="D929" t="s">
        <v>1387</v>
      </c>
      <c r="E929" s="186">
        <v>5642273</v>
      </c>
      <c r="F929" t="s">
        <v>1388</v>
      </c>
      <c r="G929" t="s">
        <v>87</v>
      </c>
      <c r="H929" t="s">
        <v>9883</v>
      </c>
      <c r="I929" s="186">
        <v>10</v>
      </c>
      <c r="J929" t="s">
        <v>1409</v>
      </c>
      <c r="K929" s="185">
        <v>524227.63</v>
      </c>
      <c r="L929" s="191">
        <v>45558.651550925926</v>
      </c>
    </row>
    <row r="930" spans="1:12" x14ac:dyDescent="0.3">
      <c r="A930" s="186">
        <v>1563</v>
      </c>
      <c r="B930" s="186">
        <v>10</v>
      </c>
      <c r="C930" s="186" t="s">
        <v>9884</v>
      </c>
      <c r="D930" t="s">
        <v>1394</v>
      </c>
      <c r="E930" s="186">
        <v>55998546</v>
      </c>
      <c r="G930" t="s">
        <v>87</v>
      </c>
      <c r="H930" t="s">
        <v>9884</v>
      </c>
      <c r="I930" s="186">
        <v>14</v>
      </c>
      <c r="J930" t="s">
        <v>133</v>
      </c>
      <c r="K930" s="185">
        <v>0</v>
      </c>
      <c r="L930" s="191">
        <v>45568.386296296296</v>
      </c>
    </row>
    <row r="931" spans="1:12" x14ac:dyDescent="0.3">
      <c r="A931" s="186">
        <v>23796</v>
      </c>
      <c r="B931" s="186">
        <v>10</v>
      </c>
      <c r="C931" s="186" t="s">
        <v>9885</v>
      </c>
      <c r="D931" t="s">
        <v>1394</v>
      </c>
      <c r="E931" s="186">
        <v>1606606</v>
      </c>
      <c r="G931" t="s">
        <v>87</v>
      </c>
      <c r="H931" t="s">
        <v>9885</v>
      </c>
      <c r="I931" s="186">
        <v>18</v>
      </c>
      <c r="J931" t="s">
        <v>133</v>
      </c>
      <c r="K931" s="185">
        <v>61345.18</v>
      </c>
      <c r="L931" s="191">
        <v>45401.630590277775</v>
      </c>
    </row>
    <row r="932" spans="1:12" x14ac:dyDescent="0.3">
      <c r="A932" s="186">
        <v>1549</v>
      </c>
      <c r="B932" s="186">
        <v>0</v>
      </c>
      <c r="C932" s="186" t="s">
        <v>9886</v>
      </c>
      <c r="D932" t="s">
        <v>1387</v>
      </c>
      <c r="E932" s="186">
        <v>6133354658</v>
      </c>
      <c r="F932" t="s">
        <v>1388</v>
      </c>
      <c r="G932" t="s">
        <v>87</v>
      </c>
      <c r="H932" t="s">
        <v>9886</v>
      </c>
      <c r="I932" s="186">
        <v>3</v>
      </c>
      <c r="J932" t="s">
        <v>100</v>
      </c>
      <c r="K932" s="185">
        <v>38000</v>
      </c>
      <c r="L932" s="191">
        <v>45565.749016203707</v>
      </c>
    </row>
    <row r="933" spans="1:12" x14ac:dyDescent="0.3">
      <c r="A933" s="186">
        <v>24255</v>
      </c>
      <c r="B933" s="186" t="s">
        <v>195</v>
      </c>
      <c r="C933" s="186" t="s">
        <v>9887</v>
      </c>
      <c r="D933" t="s">
        <v>1387</v>
      </c>
      <c r="E933" s="186">
        <v>28426989</v>
      </c>
      <c r="F933" t="s">
        <v>1388</v>
      </c>
      <c r="G933" t="s">
        <v>87</v>
      </c>
      <c r="H933" t="s">
        <v>9887</v>
      </c>
      <c r="I933" s="186">
        <v>3</v>
      </c>
      <c r="J933" t="s">
        <v>196</v>
      </c>
      <c r="K933" s="185">
        <v>340170.26</v>
      </c>
      <c r="L933" s="191">
        <v>45566.5934375</v>
      </c>
    </row>
    <row r="934" spans="1:12" x14ac:dyDescent="0.3">
      <c r="A934" s="186">
        <v>1572</v>
      </c>
      <c r="B934" s="186">
        <v>0</v>
      </c>
      <c r="C934" s="186" t="s">
        <v>9888</v>
      </c>
      <c r="D934" t="s">
        <v>1387</v>
      </c>
      <c r="E934" s="186">
        <v>6310144626</v>
      </c>
      <c r="F934" t="s">
        <v>1388</v>
      </c>
      <c r="G934" t="s">
        <v>87</v>
      </c>
      <c r="H934" t="s">
        <v>9888</v>
      </c>
      <c r="I934" s="186">
        <v>3</v>
      </c>
      <c r="J934" t="s">
        <v>100</v>
      </c>
      <c r="K934" s="185">
        <v>38000</v>
      </c>
      <c r="L934" s="191">
        <v>45569.632974537039</v>
      </c>
    </row>
    <row r="935" spans="1:12" x14ac:dyDescent="0.3">
      <c r="A935" s="186">
        <v>1582</v>
      </c>
      <c r="B935" s="186" t="s">
        <v>227</v>
      </c>
      <c r="C935" s="186" t="s">
        <v>9889</v>
      </c>
      <c r="D935" t="s">
        <v>1387</v>
      </c>
      <c r="E935" s="186">
        <v>12507345</v>
      </c>
      <c r="F935" t="s">
        <v>1388</v>
      </c>
      <c r="G935" t="s">
        <v>87</v>
      </c>
      <c r="H935" t="s">
        <v>9889</v>
      </c>
      <c r="I935" s="186">
        <v>10</v>
      </c>
      <c r="J935" t="s">
        <v>228</v>
      </c>
      <c r="K935" s="185">
        <v>102384.12</v>
      </c>
      <c r="L935" s="191">
        <v>45573.595972222225</v>
      </c>
    </row>
    <row r="936" spans="1:12" x14ac:dyDescent="0.3">
      <c r="A936" s="186">
        <v>1595</v>
      </c>
      <c r="B936" s="186">
        <v>0</v>
      </c>
      <c r="C936" s="186" t="s">
        <v>9890</v>
      </c>
      <c r="D936" t="s">
        <v>1387</v>
      </c>
      <c r="E936" s="186">
        <v>85917273634</v>
      </c>
      <c r="F936" t="s">
        <v>1388</v>
      </c>
      <c r="G936" t="s">
        <v>87</v>
      </c>
      <c r="H936" t="s">
        <v>9890</v>
      </c>
      <c r="I936" s="186">
        <v>3</v>
      </c>
      <c r="J936" t="s">
        <v>100</v>
      </c>
      <c r="K936" s="185">
        <v>72000</v>
      </c>
      <c r="L936" s="191">
        <v>45574.755497685182</v>
      </c>
    </row>
    <row r="937" spans="1:12" x14ac:dyDescent="0.3">
      <c r="A937" s="186">
        <v>23337</v>
      </c>
      <c r="B937" s="186">
        <v>10</v>
      </c>
      <c r="C937" s="186" t="s">
        <v>9891</v>
      </c>
      <c r="D937" t="s">
        <v>1387</v>
      </c>
      <c r="E937" s="186">
        <v>67844183</v>
      </c>
      <c r="F937" t="s">
        <v>1388</v>
      </c>
      <c r="G937" t="s">
        <v>87</v>
      </c>
      <c r="H937" t="s">
        <v>9891</v>
      </c>
      <c r="I937" s="186">
        <v>24</v>
      </c>
      <c r="J937" t="s">
        <v>133</v>
      </c>
      <c r="K937" s="185">
        <v>8000</v>
      </c>
      <c r="L937" s="191">
        <v>45343.664525462962</v>
      </c>
    </row>
    <row r="938" spans="1:12" x14ac:dyDescent="0.3">
      <c r="A938" s="186">
        <v>23598</v>
      </c>
      <c r="B938" s="186">
        <v>-1</v>
      </c>
      <c r="C938" s="186" t="s">
        <v>9892</v>
      </c>
      <c r="D938" t="s">
        <v>1387</v>
      </c>
      <c r="E938" s="186">
        <v>2725914</v>
      </c>
      <c r="F938" t="s">
        <v>1388</v>
      </c>
      <c r="G938" t="s">
        <v>87</v>
      </c>
      <c r="H938" t="s">
        <v>9892</v>
      </c>
      <c r="I938" s="186">
        <v>10</v>
      </c>
      <c r="J938" t="s">
        <v>174</v>
      </c>
      <c r="K938">
        <v>480000</v>
      </c>
      <c r="L938" s="191">
        <v>45377.87667824074</v>
      </c>
    </row>
    <row r="939" spans="1:12" x14ac:dyDescent="0.3">
      <c r="A939" s="186">
        <v>24005</v>
      </c>
      <c r="B939" s="186">
        <v>0</v>
      </c>
      <c r="C939" s="186" t="s">
        <v>9893</v>
      </c>
      <c r="D939" t="s">
        <v>1387</v>
      </c>
      <c r="E939" s="186">
        <v>70653887353</v>
      </c>
      <c r="F939" t="s">
        <v>1388</v>
      </c>
      <c r="G939" t="s">
        <v>87</v>
      </c>
      <c r="H939" t="s">
        <v>9893</v>
      </c>
      <c r="I939" s="186">
        <v>9</v>
      </c>
      <c r="J939" t="s">
        <v>100</v>
      </c>
      <c r="K939" s="185">
        <v>245000</v>
      </c>
      <c r="L939" s="191">
        <v>45433.461435185185</v>
      </c>
    </row>
    <row r="940" spans="1:12" x14ac:dyDescent="0.3">
      <c r="A940" s="186">
        <v>1376</v>
      </c>
      <c r="B940" s="186" t="s">
        <v>222</v>
      </c>
      <c r="C940" s="186" t="s">
        <v>9894</v>
      </c>
      <c r="D940" t="s">
        <v>1387</v>
      </c>
      <c r="E940" s="186">
        <v>59225698</v>
      </c>
      <c r="F940" t="s">
        <v>1388</v>
      </c>
      <c r="G940" t="s">
        <v>87</v>
      </c>
      <c r="H940" t="s">
        <v>9894</v>
      </c>
      <c r="I940" s="186">
        <v>37</v>
      </c>
      <c r="J940" t="s">
        <v>223</v>
      </c>
      <c r="K940">
        <v>12500</v>
      </c>
      <c r="L940" s="191">
        <v>45524.464456018519</v>
      </c>
    </row>
    <row r="941" spans="1:12" x14ac:dyDescent="0.3">
      <c r="A941" s="186">
        <v>1593</v>
      </c>
      <c r="B941" s="186">
        <v>20</v>
      </c>
      <c r="C941" s="186" t="s">
        <v>9895</v>
      </c>
      <c r="D941" t="s">
        <v>1387</v>
      </c>
      <c r="E941" s="186">
        <v>20468310</v>
      </c>
      <c r="F941" t="s">
        <v>1388</v>
      </c>
      <c r="G941" t="s">
        <v>87</v>
      </c>
      <c r="H941" t="s">
        <v>9895</v>
      </c>
      <c r="I941" s="186">
        <v>42</v>
      </c>
      <c r="J941" t="s">
        <v>148</v>
      </c>
      <c r="K941" s="185">
        <v>8800</v>
      </c>
      <c r="L941" s="191">
        <v>45574.7422337963</v>
      </c>
    </row>
    <row r="942" spans="1:12" x14ac:dyDescent="0.3">
      <c r="A942" s="186">
        <v>24262</v>
      </c>
      <c r="B942" s="186" t="s">
        <v>1366</v>
      </c>
      <c r="C942" s="186" t="s">
        <v>9896</v>
      </c>
      <c r="D942" t="s">
        <v>1387</v>
      </c>
      <c r="E942" s="186">
        <v>21728083</v>
      </c>
      <c r="F942" t="s">
        <v>1388</v>
      </c>
      <c r="G942" t="s">
        <v>87</v>
      </c>
      <c r="H942" t="s">
        <v>9896</v>
      </c>
      <c r="I942" s="186">
        <v>43</v>
      </c>
      <c r="J942" t="s">
        <v>1367</v>
      </c>
      <c r="K942" s="185">
        <v>44015.6</v>
      </c>
      <c r="L942" s="191">
        <v>45580.587557870371</v>
      </c>
    </row>
    <row r="943" spans="1:12" x14ac:dyDescent="0.3">
      <c r="A943" s="186">
        <v>1631</v>
      </c>
      <c r="B943" s="186" t="s">
        <v>195</v>
      </c>
      <c r="C943" s="186" t="s">
        <v>9897</v>
      </c>
      <c r="D943" t="s">
        <v>1387</v>
      </c>
      <c r="E943" s="186">
        <v>21728083</v>
      </c>
      <c r="F943" t="s">
        <v>1388</v>
      </c>
      <c r="G943" t="s">
        <v>87</v>
      </c>
      <c r="H943" t="s">
        <v>9897</v>
      </c>
      <c r="I943" s="186">
        <v>43</v>
      </c>
      <c r="J943" t="s">
        <v>196</v>
      </c>
      <c r="K943" s="185">
        <v>39613.980000000003</v>
      </c>
      <c r="L943" s="191">
        <v>45581.73101851852</v>
      </c>
    </row>
    <row r="944" spans="1:12" x14ac:dyDescent="0.3">
      <c r="A944" s="186">
        <v>1636</v>
      </c>
      <c r="B944" s="186">
        <v>20</v>
      </c>
      <c r="C944" s="186" t="s">
        <v>9898</v>
      </c>
      <c r="D944" t="s">
        <v>1387</v>
      </c>
      <c r="E944" s="186">
        <v>66806555</v>
      </c>
      <c r="F944" t="s">
        <v>1388</v>
      </c>
      <c r="G944" t="s">
        <v>87</v>
      </c>
      <c r="H944" t="s">
        <v>9898</v>
      </c>
      <c r="I944" s="186">
        <v>42</v>
      </c>
      <c r="J944" t="s">
        <v>148</v>
      </c>
      <c r="K944" s="185">
        <v>23065</v>
      </c>
      <c r="L944" s="191">
        <v>45583.435659722221</v>
      </c>
    </row>
    <row r="945" spans="1:12" x14ac:dyDescent="0.3">
      <c r="A945" s="186">
        <v>1712</v>
      </c>
      <c r="B945" s="186" t="s">
        <v>1504</v>
      </c>
      <c r="C945" s="186" t="s">
        <v>9899</v>
      </c>
      <c r="D945" t="s">
        <v>1387</v>
      </c>
      <c r="E945" s="186">
        <v>12929735</v>
      </c>
      <c r="F945" t="s">
        <v>1388</v>
      </c>
      <c r="G945" t="s">
        <v>87</v>
      </c>
      <c r="H945" t="s">
        <v>9899</v>
      </c>
      <c r="I945" s="186">
        <v>3</v>
      </c>
      <c r="J945" t="s">
        <v>1505</v>
      </c>
      <c r="K945">
        <v>36832.78</v>
      </c>
      <c r="L945" s="191">
        <v>45604.693703703706</v>
      </c>
    </row>
    <row r="946" spans="1:12" x14ac:dyDescent="0.3">
      <c r="A946" s="186">
        <v>23643</v>
      </c>
      <c r="B946" s="186">
        <v>15</v>
      </c>
      <c r="C946" s="186" t="s">
        <v>9900</v>
      </c>
      <c r="D946" t="s">
        <v>1387</v>
      </c>
      <c r="E946" s="186">
        <v>10630328</v>
      </c>
      <c r="F946" t="s">
        <v>1388</v>
      </c>
      <c r="G946" t="s">
        <v>87</v>
      </c>
      <c r="H946" t="s">
        <v>9900</v>
      </c>
      <c r="I946" s="186">
        <v>3</v>
      </c>
      <c r="J946" t="s">
        <v>145</v>
      </c>
      <c r="K946">
        <v>2600</v>
      </c>
      <c r="L946" s="191">
        <v>45385.47314814815</v>
      </c>
    </row>
    <row r="947" spans="1:12" x14ac:dyDescent="0.3">
      <c r="A947" s="186">
        <v>24029</v>
      </c>
      <c r="B947" s="186">
        <v>-1</v>
      </c>
      <c r="C947" s="186" t="s">
        <v>9901</v>
      </c>
      <c r="D947" t="s">
        <v>1394</v>
      </c>
      <c r="E947" s="186">
        <v>4758568</v>
      </c>
      <c r="G947" t="s">
        <v>113</v>
      </c>
      <c r="H947" t="s">
        <v>9901</v>
      </c>
      <c r="I947" s="186">
        <v>24</v>
      </c>
      <c r="J947" t="s">
        <v>174</v>
      </c>
      <c r="K947" s="185">
        <v>135169</v>
      </c>
      <c r="L947" s="191">
        <v>45434.661539351851</v>
      </c>
    </row>
    <row r="948" spans="1:12" x14ac:dyDescent="0.3">
      <c r="A948" s="186">
        <v>24199</v>
      </c>
      <c r="B948" s="186">
        <v>0</v>
      </c>
      <c r="C948" s="186" t="s">
        <v>9902</v>
      </c>
      <c r="D948" t="s">
        <v>1387</v>
      </c>
      <c r="E948" s="186">
        <v>52696871</v>
      </c>
      <c r="F948" t="s">
        <v>1388</v>
      </c>
      <c r="G948" t="s">
        <v>87</v>
      </c>
      <c r="H948" t="s">
        <v>9902</v>
      </c>
      <c r="I948" s="186">
        <v>3</v>
      </c>
      <c r="J948" t="s">
        <v>100</v>
      </c>
      <c r="K948" s="185">
        <v>37500</v>
      </c>
      <c r="L948" s="191">
        <v>45503.357986111114</v>
      </c>
    </row>
    <row r="949" spans="1:12" x14ac:dyDescent="0.3">
      <c r="A949" s="186">
        <v>1508</v>
      </c>
      <c r="B949" s="186">
        <v>30</v>
      </c>
      <c r="C949" s="186" t="s">
        <v>9903</v>
      </c>
      <c r="D949" t="s">
        <v>1387</v>
      </c>
      <c r="E949" s="186">
        <v>38164906</v>
      </c>
      <c r="F949" t="s">
        <v>1388</v>
      </c>
      <c r="G949" t="s">
        <v>87</v>
      </c>
      <c r="H949" t="s">
        <v>9903</v>
      </c>
      <c r="I949" s="186">
        <v>37</v>
      </c>
      <c r="J949" t="s">
        <v>103</v>
      </c>
      <c r="K949" s="185">
        <v>0</v>
      </c>
      <c r="L949" s="191">
        <v>45555.692256944443</v>
      </c>
    </row>
    <row r="950" spans="1:12" x14ac:dyDescent="0.3">
      <c r="A950" s="186">
        <v>1643</v>
      </c>
      <c r="B950" s="186" t="s">
        <v>1472</v>
      </c>
      <c r="C950" s="186" t="s">
        <v>9904</v>
      </c>
      <c r="D950" t="s">
        <v>1387</v>
      </c>
      <c r="E950" s="186">
        <v>21728083</v>
      </c>
      <c r="F950" t="s">
        <v>1388</v>
      </c>
      <c r="G950" t="s">
        <v>87</v>
      </c>
      <c r="H950" t="s">
        <v>9904</v>
      </c>
      <c r="I950" s="186">
        <v>43</v>
      </c>
      <c r="J950" t="s">
        <v>1473</v>
      </c>
      <c r="K950" s="185">
        <v>44016.6</v>
      </c>
      <c r="L950" s="191">
        <v>45586.492210648146</v>
      </c>
    </row>
    <row r="951" spans="1:12" x14ac:dyDescent="0.3">
      <c r="A951" s="186">
        <v>1646</v>
      </c>
      <c r="B951" s="186" t="s">
        <v>1472</v>
      </c>
      <c r="C951" s="186" t="s">
        <v>9905</v>
      </c>
      <c r="D951" t="s">
        <v>1387</v>
      </c>
      <c r="E951" s="186">
        <v>21728083</v>
      </c>
      <c r="F951" t="s">
        <v>1388</v>
      </c>
      <c r="G951" t="s">
        <v>87</v>
      </c>
      <c r="H951" t="s">
        <v>9905</v>
      </c>
      <c r="I951" s="186">
        <v>43</v>
      </c>
      <c r="J951" t="s">
        <v>1473</v>
      </c>
      <c r="K951" s="185">
        <v>44016.6</v>
      </c>
      <c r="L951" s="191">
        <v>45586.57440972222</v>
      </c>
    </row>
    <row r="952" spans="1:12" x14ac:dyDescent="0.3">
      <c r="A952" s="186">
        <v>23349</v>
      </c>
      <c r="B952" s="186">
        <v>30</v>
      </c>
      <c r="C952" s="186" t="s">
        <v>9906</v>
      </c>
      <c r="D952" t="s">
        <v>1387</v>
      </c>
      <c r="E952" s="186">
        <v>49457168</v>
      </c>
      <c r="F952" t="s">
        <v>1388</v>
      </c>
      <c r="G952" t="s">
        <v>87</v>
      </c>
      <c r="H952" t="s">
        <v>9906</v>
      </c>
      <c r="I952" s="186">
        <v>3</v>
      </c>
      <c r="J952" t="s">
        <v>103</v>
      </c>
      <c r="K952" s="185">
        <v>7000</v>
      </c>
      <c r="L952" s="191">
        <v>45344.739189814813</v>
      </c>
    </row>
    <row r="953" spans="1:12" x14ac:dyDescent="0.3">
      <c r="A953" s="186">
        <v>23727</v>
      </c>
      <c r="B953" s="186">
        <v>0</v>
      </c>
      <c r="C953" s="186" t="s">
        <v>9907</v>
      </c>
      <c r="D953" t="s">
        <v>1394</v>
      </c>
      <c r="E953" s="186">
        <v>7522191</v>
      </c>
      <c r="G953" t="s">
        <v>87</v>
      </c>
      <c r="H953" t="s">
        <v>9907</v>
      </c>
      <c r="I953" s="186">
        <v>18</v>
      </c>
      <c r="J953" t="s">
        <v>100</v>
      </c>
      <c r="K953" s="185">
        <v>755225.06</v>
      </c>
      <c r="L953" s="191">
        <v>45394.4765625</v>
      </c>
    </row>
    <row r="954" spans="1:12" x14ac:dyDescent="0.3">
      <c r="A954" s="186">
        <v>24055</v>
      </c>
      <c r="B954" s="186">
        <v>-1</v>
      </c>
      <c r="C954" s="186" t="s">
        <v>9908</v>
      </c>
      <c r="D954" t="s">
        <v>1387</v>
      </c>
      <c r="E954" s="186">
        <v>20302873</v>
      </c>
      <c r="F954" t="s">
        <v>1388</v>
      </c>
      <c r="G954" t="s">
        <v>87</v>
      </c>
      <c r="H954" t="s">
        <v>9908</v>
      </c>
      <c r="I954" s="186">
        <v>3</v>
      </c>
      <c r="J954" t="s">
        <v>174</v>
      </c>
      <c r="K954" s="185">
        <v>0</v>
      </c>
      <c r="L954" s="191">
        <v>45436.471018518518</v>
      </c>
    </row>
    <row r="955" spans="1:12" x14ac:dyDescent="0.3">
      <c r="A955" s="186">
        <v>24062</v>
      </c>
      <c r="B955" s="186">
        <v>-1</v>
      </c>
      <c r="C955" s="186" t="s">
        <v>9909</v>
      </c>
      <c r="D955" t="s">
        <v>1394</v>
      </c>
      <c r="E955" s="186">
        <v>14049467</v>
      </c>
      <c r="G955" t="s">
        <v>113</v>
      </c>
      <c r="H955" t="s">
        <v>9909</v>
      </c>
      <c r="I955" s="186">
        <v>19</v>
      </c>
      <c r="J955" t="s">
        <v>174</v>
      </c>
      <c r="K955" s="185">
        <v>269285.84999999998</v>
      </c>
      <c r="L955" s="191">
        <v>45439.518750000003</v>
      </c>
    </row>
    <row r="956" spans="1:12" x14ac:dyDescent="0.3">
      <c r="A956" s="186">
        <v>1536</v>
      </c>
      <c r="B956" s="186" t="s">
        <v>1366</v>
      </c>
      <c r="C956" s="186" t="s">
        <v>9910</v>
      </c>
      <c r="D956" t="s">
        <v>1387</v>
      </c>
      <c r="E956" s="186">
        <v>28426989</v>
      </c>
      <c r="F956" t="s">
        <v>1388</v>
      </c>
      <c r="G956" t="s">
        <v>87</v>
      </c>
      <c r="H956" t="s">
        <v>9910</v>
      </c>
      <c r="I956" s="186">
        <v>3</v>
      </c>
      <c r="J956" t="s">
        <v>1367</v>
      </c>
      <c r="K956" s="185">
        <v>340170.6</v>
      </c>
      <c r="L956" s="191">
        <v>45561.729861111111</v>
      </c>
    </row>
    <row r="957" spans="1:12" x14ac:dyDescent="0.3">
      <c r="A957" s="186">
        <v>1765</v>
      </c>
      <c r="B957" s="186">
        <v>0</v>
      </c>
      <c r="C957" s="186" t="s">
        <v>9911</v>
      </c>
      <c r="D957" t="s">
        <v>1387</v>
      </c>
      <c r="E957" s="186">
        <v>8145684757</v>
      </c>
      <c r="F957" t="s">
        <v>1388</v>
      </c>
      <c r="G957" t="s">
        <v>87</v>
      </c>
      <c r="H957" t="s">
        <v>9911</v>
      </c>
      <c r="I957" s="186">
        <v>18</v>
      </c>
      <c r="J957" t="s">
        <v>100</v>
      </c>
      <c r="K957">
        <v>12431.25</v>
      </c>
      <c r="L957" s="191">
        <v>45622.453900462962</v>
      </c>
    </row>
    <row r="958" spans="1:12" x14ac:dyDescent="0.3">
      <c r="A958" s="186">
        <v>1768</v>
      </c>
      <c r="B958" s="186">
        <v>0</v>
      </c>
      <c r="C958" s="186" t="s">
        <v>9912</v>
      </c>
      <c r="D958" t="s">
        <v>1387</v>
      </c>
      <c r="E958" s="186">
        <v>8145684757</v>
      </c>
      <c r="F958" t="s">
        <v>1388</v>
      </c>
      <c r="G958" t="s">
        <v>87</v>
      </c>
      <c r="H958" t="s">
        <v>9912</v>
      </c>
      <c r="I958" s="186">
        <v>18</v>
      </c>
      <c r="J958" t="s">
        <v>100</v>
      </c>
      <c r="K958" s="185">
        <v>93078.13</v>
      </c>
      <c r="L958" s="191">
        <v>45622.720821759256</v>
      </c>
    </row>
    <row r="959" spans="1:12" x14ac:dyDescent="0.3">
      <c r="A959" s="186">
        <v>23777</v>
      </c>
      <c r="B959" s="186">
        <v>0</v>
      </c>
      <c r="C959" s="186" t="s">
        <v>9913</v>
      </c>
      <c r="D959" t="s">
        <v>1387</v>
      </c>
      <c r="E959" s="186">
        <v>7994158</v>
      </c>
      <c r="F959" t="s">
        <v>1388</v>
      </c>
      <c r="G959" t="s">
        <v>87</v>
      </c>
      <c r="H959" t="s">
        <v>9913</v>
      </c>
      <c r="I959" s="186">
        <v>9</v>
      </c>
      <c r="J959" t="s">
        <v>100</v>
      </c>
      <c r="K959" s="185">
        <v>130000</v>
      </c>
      <c r="L959" s="191">
        <v>45400.440995370373</v>
      </c>
    </row>
    <row r="960" spans="1:12" x14ac:dyDescent="0.3">
      <c r="A960" s="186">
        <v>23802</v>
      </c>
      <c r="B960" s="186">
        <v>-1</v>
      </c>
      <c r="C960" s="186" t="s">
        <v>9914</v>
      </c>
      <c r="D960" t="s">
        <v>1394</v>
      </c>
      <c r="E960" s="186">
        <v>46612339</v>
      </c>
      <c r="G960" t="s">
        <v>87</v>
      </c>
      <c r="H960" t="s">
        <v>9914</v>
      </c>
      <c r="I960" s="186">
        <v>24</v>
      </c>
      <c r="J960" t="s">
        <v>174</v>
      </c>
      <c r="K960" s="185">
        <v>43223.67</v>
      </c>
      <c r="L960" s="191">
        <v>45404.480023148149</v>
      </c>
    </row>
    <row r="961" spans="1:12" x14ac:dyDescent="0.3">
      <c r="A961" s="186">
        <v>23849</v>
      </c>
      <c r="B961" s="186">
        <v>-1</v>
      </c>
      <c r="C961" s="186" t="s">
        <v>9915</v>
      </c>
      <c r="D961" t="s">
        <v>1394</v>
      </c>
      <c r="E961" s="186">
        <v>49748023</v>
      </c>
      <c r="G961" t="s">
        <v>87</v>
      </c>
      <c r="H961" t="s">
        <v>9915</v>
      </c>
      <c r="I961" s="186">
        <v>24</v>
      </c>
      <c r="J961" t="s">
        <v>174</v>
      </c>
      <c r="K961" s="185">
        <v>5800</v>
      </c>
      <c r="L961" s="191">
        <v>45410.759363425925</v>
      </c>
    </row>
    <row r="962" spans="1:12" x14ac:dyDescent="0.3">
      <c r="A962" s="186">
        <v>1731</v>
      </c>
      <c r="B962" s="186">
        <v>30</v>
      </c>
      <c r="C962" s="186" t="s">
        <v>9916</v>
      </c>
      <c r="D962" t="s">
        <v>1387</v>
      </c>
      <c r="E962" s="186">
        <v>46574475</v>
      </c>
      <c r="F962" t="s">
        <v>1388</v>
      </c>
      <c r="G962" t="s">
        <v>87</v>
      </c>
      <c r="H962" t="s">
        <v>9916</v>
      </c>
      <c r="I962" s="186">
        <v>3</v>
      </c>
      <c r="J962" t="s">
        <v>103</v>
      </c>
      <c r="K962" s="185">
        <v>279966.42</v>
      </c>
      <c r="L962" s="191">
        <v>45610.72619212963</v>
      </c>
    </row>
    <row r="963" spans="1:12" x14ac:dyDescent="0.3">
      <c r="A963" s="186">
        <v>1739</v>
      </c>
      <c r="B963" s="186">
        <v>0</v>
      </c>
      <c r="C963" s="186" t="s">
        <v>9917</v>
      </c>
      <c r="D963" t="s">
        <v>1387</v>
      </c>
      <c r="E963" s="186">
        <v>6273155</v>
      </c>
      <c r="F963" t="s">
        <v>1388</v>
      </c>
      <c r="G963" t="s">
        <v>87</v>
      </c>
      <c r="H963" t="s">
        <v>9917</v>
      </c>
      <c r="I963" s="186">
        <v>9</v>
      </c>
      <c r="J963" t="s">
        <v>100</v>
      </c>
      <c r="K963" s="185">
        <v>27000</v>
      </c>
      <c r="L963" s="191">
        <v>45615.347881944443</v>
      </c>
    </row>
    <row r="964" spans="1:12" x14ac:dyDescent="0.3">
      <c r="A964" s="186">
        <v>1754</v>
      </c>
      <c r="B964" s="186">
        <v>30</v>
      </c>
      <c r="C964" s="186" t="s">
        <v>9918</v>
      </c>
      <c r="D964" t="s">
        <v>1387</v>
      </c>
      <c r="E964" s="186">
        <v>38615333</v>
      </c>
      <c r="F964" t="s">
        <v>1388</v>
      </c>
      <c r="G964" t="s">
        <v>87</v>
      </c>
      <c r="H964" t="s">
        <v>9918</v>
      </c>
      <c r="I964" s="186">
        <v>42</v>
      </c>
      <c r="J964" t="s">
        <v>103</v>
      </c>
      <c r="K964" s="185">
        <v>13800</v>
      </c>
      <c r="L964" s="191">
        <v>45618.651712962965</v>
      </c>
    </row>
    <row r="965" spans="1:12" x14ac:dyDescent="0.3">
      <c r="A965" s="186">
        <v>23468</v>
      </c>
      <c r="B965" s="186">
        <v>0</v>
      </c>
      <c r="C965" s="186" t="s">
        <v>9919</v>
      </c>
      <c r="D965" t="s">
        <v>1387</v>
      </c>
      <c r="E965" s="186">
        <v>7038169696</v>
      </c>
      <c r="F965" t="s">
        <v>1388</v>
      </c>
      <c r="G965" t="s">
        <v>87</v>
      </c>
      <c r="H965" t="s">
        <v>9919</v>
      </c>
      <c r="I965" s="186">
        <v>3</v>
      </c>
      <c r="J965" t="s">
        <v>100</v>
      </c>
      <c r="K965" s="185">
        <v>19000</v>
      </c>
      <c r="L965" s="191">
        <v>45363.588449074072</v>
      </c>
    </row>
    <row r="966" spans="1:12" x14ac:dyDescent="0.3">
      <c r="A966" s="186">
        <v>23785</v>
      </c>
      <c r="B966" s="186">
        <v>0</v>
      </c>
      <c r="C966" s="186" t="s">
        <v>9920</v>
      </c>
      <c r="D966" t="s">
        <v>1387</v>
      </c>
      <c r="E966" s="186">
        <v>5642273</v>
      </c>
      <c r="F966" t="s">
        <v>1388</v>
      </c>
      <c r="G966" t="s">
        <v>87</v>
      </c>
      <c r="H966" t="s">
        <v>9920</v>
      </c>
      <c r="I966" s="186">
        <v>10</v>
      </c>
      <c r="J966" t="s">
        <v>100</v>
      </c>
      <c r="K966">
        <v>590109.09</v>
      </c>
      <c r="L966">
        <v>45400.657442129632</v>
      </c>
    </row>
    <row r="967" spans="1:12" x14ac:dyDescent="0.3">
      <c r="A967" s="186">
        <v>23324</v>
      </c>
      <c r="B967" s="186">
        <v>30</v>
      </c>
      <c r="C967" s="186" t="s">
        <v>9921</v>
      </c>
      <c r="D967" t="s">
        <v>1387</v>
      </c>
      <c r="E967" s="186">
        <v>49457168</v>
      </c>
      <c r="F967" t="s">
        <v>1388</v>
      </c>
      <c r="G967" t="s">
        <v>87</v>
      </c>
      <c r="H967" t="s">
        <v>9921</v>
      </c>
      <c r="I967" s="186">
        <v>3</v>
      </c>
      <c r="J967" t="s">
        <v>103</v>
      </c>
      <c r="K967">
        <v>11221.14</v>
      </c>
      <c r="L967">
        <v>45343.332812499997</v>
      </c>
    </row>
    <row r="968" spans="1:12" x14ac:dyDescent="0.3">
      <c r="A968" s="186">
        <v>4826</v>
      </c>
      <c r="B968" s="186">
        <v>30</v>
      </c>
      <c r="C968" s="186" t="s">
        <v>9922</v>
      </c>
      <c r="D968" t="s">
        <v>1387</v>
      </c>
      <c r="E968" s="186">
        <v>23637697</v>
      </c>
      <c r="F968" t="s">
        <v>1388</v>
      </c>
      <c r="G968" t="s">
        <v>87</v>
      </c>
      <c r="H968" t="s">
        <v>9922</v>
      </c>
      <c r="I968" s="186">
        <v>24</v>
      </c>
      <c r="J968" t="s">
        <v>103</v>
      </c>
      <c r="K968">
        <v>451219.82</v>
      </c>
      <c r="L968">
        <v>45365.378460648149</v>
      </c>
    </row>
    <row r="969" spans="1:12" x14ac:dyDescent="0.3">
      <c r="A969" s="186">
        <v>23539</v>
      </c>
      <c r="B969" s="186">
        <v>-1</v>
      </c>
      <c r="C969" s="186" t="s">
        <v>9923</v>
      </c>
      <c r="D969" t="s">
        <v>1387</v>
      </c>
      <c r="E969" s="186">
        <v>4867415243</v>
      </c>
      <c r="F969" t="s">
        <v>1388</v>
      </c>
      <c r="G969" t="s">
        <v>87</v>
      </c>
      <c r="H969" t="s">
        <v>9923</v>
      </c>
      <c r="I969" s="186">
        <v>10</v>
      </c>
      <c r="J969" t="s">
        <v>174</v>
      </c>
      <c r="K969">
        <v>150000</v>
      </c>
      <c r="L969">
        <v>45371.800671296296</v>
      </c>
    </row>
    <row r="970" spans="1:12" x14ac:dyDescent="0.3">
      <c r="A970" s="186">
        <v>23767</v>
      </c>
      <c r="B970" s="186">
        <v>0</v>
      </c>
      <c r="C970" s="186" t="s">
        <v>9924</v>
      </c>
      <c r="D970" t="s">
        <v>1394</v>
      </c>
      <c r="E970" s="186">
        <v>30822139</v>
      </c>
      <c r="G970" t="s">
        <v>87</v>
      </c>
      <c r="H970" t="s">
        <v>9924</v>
      </c>
      <c r="I970" s="186">
        <v>3</v>
      </c>
      <c r="J970" t="s">
        <v>100</v>
      </c>
      <c r="K970">
        <v>0</v>
      </c>
      <c r="L970">
        <v>45399.37703703704</v>
      </c>
    </row>
    <row r="971" spans="1:12" x14ac:dyDescent="0.3">
      <c r="A971" s="186">
        <v>23811</v>
      </c>
      <c r="B971" s="186">
        <v>0</v>
      </c>
      <c r="C971" s="186" t="s">
        <v>9925</v>
      </c>
      <c r="D971" t="s">
        <v>1387</v>
      </c>
      <c r="E971" s="186">
        <v>54883194</v>
      </c>
      <c r="F971" t="s">
        <v>1388</v>
      </c>
      <c r="G971" t="s">
        <v>87</v>
      </c>
      <c r="H971" t="s">
        <v>9925</v>
      </c>
      <c r="I971" s="186">
        <v>10</v>
      </c>
      <c r="J971" t="s">
        <v>100</v>
      </c>
      <c r="K971">
        <v>315000</v>
      </c>
      <c r="L971">
        <v>45405.463599537034</v>
      </c>
    </row>
    <row r="972" spans="1:12" x14ac:dyDescent="0.3">
      <c r="A972" s="186">
        <v>23940</v>
      </c>
      <c r="B972" s="186">
        <v>10</v>
      </c>
      <c r="C972" s="186" t="s">
        <v>9926</v>
      </c>
      <c r="D972" t="s">
        <v>1394</v>
      </c>
      <c r="E972" s="186">
        <v>67844183</v>
      </c>
      <c r="G972" t="s">
        <v>87</v>
      </c>
      <c r="H972" t="s">
        <v>9926</v>
      </c>
      <c r="I972" s="186">
        <v>18</v>
      </c>
      <c r="J972" t="s">
        <v>133</v>
      </c>
      <c r="K972">
        <v>602427.01</v>
      </c>
      <c r="L972">
        <v>45422.483043981483</v>
      </c>
    </row>
    <row r="973" spans="1:12" x14ac:dyDescent="0.3">
      <c r="A973" s="186">
        <v>24263</v>
      </c>
      <c r="B973" s="186">
        <v>39</v>
      </c>
      <c r="C973" s="186" t="s">
        <v>9927</v>
      </c>
      <c r="D973" t="s">
        <v>1387</v>
      </c>
      <c r="E973" s="186">
        <v>9324949</v>
      </c>
      <c r="F973" t="s">
        <v>1388</v>
      </c>
      <c r="G973" t="s">
        <v>87</v>
      </c>
      <c r="H973" t="s">
        <v>9927</v>
      </c>
      <c r="I973" s="186">
        <v>18</v>
      </c>
      <c r="J973" t="s">
        <v>103</v>
      </c>
      <c r="K973">
        <v>49999.29</v>
      </c>
      <c r="L973">
        <v>45580.704965277779</v>
      </c>
    </row>
    <row r="974" spans="1:12" x14ac:dyDescent="0.3">
      <c r="A974" s="186">
        <v>23396</v>
      </c>
      <c r="B974" s="186" t="s">
        <v>222</v>
      </c>
      <c r="C974" s="186" t="s">
        <v>9928</v>
      </c>
      <c r="D974" t="s">
        <v>1387</v>
      </c>
      <c r="E974" s="186">
        <v>53418171</v>
      </c>
      <c r="F974" t="s">
        <v>1388</v>
      </c>
      <c r="G974" t="s">
        <v>87</v>
      </c>
      <c r="H974" t="s">
        <v>9928</v>
      </c>
      <c r="I974" s="186">
        <v>43</v>
      </c>
      <c r="J974" t="s">
        <v>223</v>
      </c>
      <c r="K974">
        <v>53259.11</v>
      </c>
      <c r="L974">
        <v>45350.731458333335</v>
      </c>
    </row>
    <row r="975" spans="1:12" x14ac:dyDescent="0.3">
      <c r="A975" s="186">
        <v>24099</v>
      </c>
      <c r="B975" s="186">
        <v>30</v>
      </c>
      <c r="C975" s="186" t="s">
        <v>9929</v>
      </c>
      <c r="D975" t="s">
        <v>1394</v>
      </c>
      <c r="E975" s="186">
        <v>34562112</v>
      </c>
      <c r="G975" t="s">
        <v>87</v>
      </c>
      <c r="H975" t="s">
        <v>9929</v>
      </c>
      <c r="I975" s="186">
        <v>24</v>
      </c>
      <c r="J975" t="s">
        <v>103</v>
      </c>
      <c r="K975">
        <v>3060</v>
      </c>
      <c r="L975">
        <v>45446.671018518522</v>
      </c>
    </row>
    <row r="976" spans="1:12" x14ac:dyDescent="0.3">
      <c r="A976" s="186">
        <v>23346</v>
      </c>
      <c r="B976" s="186">
        <v>-1</v>
      </c>
      <c r="C976" s="186" t="s">
        <v>9930</v>
      </c>
      <c r="D976" t="s">
        <v>1394</v>
      </c>
      <c r="E976" s="186">
        <v>47361005</v>
      </c>
      <c r="G976" t="s">
        <v>113</v>
      </c>
      <c r="H976" t="s">
        <v>9930</v>
      </c>
      <c r="I976" s="186">
        <v>3</v>
      </c>
      <c r="J976" t="s">
        <v>174</v>
      </c>
      <c r="K976">
        <v>23299.13</v>
      </c>
      <c r="L976">
        <v>45344.603171296294</v>
      </c>
    </row>
    <row r="977" spans="1:12" x14ac:dyDescent="0.3">
      <c r="A977" s="186">
        <v>23449</v>
      </c>
      <c r="B977" s="186">
        <v>0</v>
      </c>
      <c r="C977" s="186" t="s">
        <v>9931</v>
      </c>
      <c r="D977" t="s">
        <v>1387</v>
      </c>
      <c r="E977" s="186">
        <v>93156740225</v>
      </c>
      <c r="F977" t="s">
        <v>1388</v>
      </c>
      <c r="G977" t="s">
        <v>87</v>
      </c>
      <c r="H977" t="s">
        <v>9931</v>
      </c>
      <c r="I977" s="186">
        <v>3</v>
      </c>
      <c r="J977" t="s">
        <v>100</v>
      </c>
      <c r="K977">
        <v>775000</v>
      </c>
      <c r="L977">
        <v>45359.584618055553</v>
      </c>
    </row>
    <row r="978" spans="1:12" x14ac:dyDescent="0.3">
      <c r="A978" s="186">
        <v>4840</v>
      </c>
      <c r="B978" s="186">
        <v>60</v>
      </c>
      <c r="C978" s="186" t="s">
        <v>9932</v>
      </c>
      <c r="D978" t="s">
        <v>1387</v>
      </c>
      <c r="E978" s="186">
        <v>17185786</v>
      </c>
      <c r="F978" t="s">
        <v>1388</v>
      </c>
      <c r="G978" t="s">
        <v>87</v>
      </c>
      <c r="H978" t="s">
        <v>9932</v>
      </c>
      <c r="I978" s="186">
        <v>3</v>
      </c>
      <c r="J978" t="s">
        <v>97</v>
      </c>
      <c r="K978">
        <v>0</v>
      </c>
      <c r="L978">
        <v>45383.569513888891</v>
      </c>
    </row>
    <row r="979" spans="1:12" x14ac:dyDescent="0.3">
      <c r="A979" s="186">
        <v>4875</v>
      </c>
      <c r="B979" s="186">
        <v>0</v>
      </c>
      <c r="C979" s="186" t="s">
        <v>9933</v>
      </c>
      <c r="D979" t="s">
        <v>1394</v>
      </c>
      <c r="E979" s="186">
        <v>92660604</v>
      </c>
      <c r="G979" t="s">
        <v>87</v>
      </c>
      <c r="H979" t="s">
        <v>9933</v>
      </c>
      <c r="I979" s="186">
        <v>24</v>
      </c>
      <c r="J979" t="s">
        <v>100</v>
      </c>
      <c r="K979">
        <v>0</v>
      </c>
      <c r="L979">
        <v>45428.612708333334</v>
      </c>
    </row>
    <row r="980" spans="1:12" x14ac:dyDescent="0.3">
      <c r="A980" s="186">
        <v>1362</v>
      </c>
      <c r="B980" s="186" t="s">
        <v>1361</v>
      </c>
      <c r="C980" s="186" t="s">
        <v>9934</v>
      </c>
      <c r="D980" t="s">
        <v>1387</v>
      </c>
      <c r="E980" s="186">
        <v>1606606</v>
      </c>
      <c r="F980" t="s">
        <v>1388</v>
      </c>
      <c r="G980" t="s">
        <v>87</v>
      </c>
      <c r="H980" t="s">
        <v>9934</v>
      </c>
      <c r="I980" s="186">
        <v>18</v>
      </c>
      <c r="J980" t="s">
        <v>1362</v>
      </c>
      <c r="K980">
        <v>77233.23</v>
      </c>
      <c r="L980">
        <v>45520.637418981481</v>
      </c>
    </row>
    <row r="981" spans="1:12" x14ac:dyDescent="0.3">
      <c r="A981" s="186">
        <v>24057</v>
      </c>
      <c r="B981" s="186">
        <v>0</v>
      </c>
      <c r="C981" s="186" t="s">
        <v>9935</v>
      </c>
      <c r="D981" t="s">
        <v>1387</v>
      </c>
      <c r="E981" s="186">
        <v>12669656</v>
      </c>
      <c r="F981" t="s">
        <v>1388</v>
      </c>
      <c r="G981" t="s">
        <v>87</v>
      </c>
      <c r="H981" t="s">
        <v>9935</v>
      </c>
      <c r="I981" s="186">
        <v>3</v>
      </c>
      <c r="J981" t="s">
        <v>100</v>
      </c>
      <c r="K981">
        <v>455000</v>
      </c>
      <c r="L981">
        <v>45436.580578703702</v>
      </c>
    </row>
    <row r="982" spans="1:12" x14ac:dyDescent="0.3">
      <c r="A982" s="186">
        <v>24158</v>
      </c>
      <c r="B982" s="186" t="s">
        <v>1416</v>
      </c>
      <c r="C982" s="186" t="s">
        <v>9936</v>
      </c>
      <c r="D982" t="s">
        <v>1387</v>
      </c>
      <c r="E982" s="186">
        <v>10630328</v>
      </c>
      <c r="F982" t="s">
        <v>1388</v>
      </c>
      <c r="G982" t="s">
        <v>87</v>
      </c>
      <c r="H982" t="s">
        <v>9936</v>
      </c>
      <c r="I982" s="186">
        <v>3</v>
      </c>
      <c r="J982" t="s">
        <v>1416</v>
      </c>
      <c r="K982">
        <v>19347.96</v>
      </c>
      <c r="L982">
        <v>45470.612812500003</v>
      </c>
    </row>
    <row r="983" spans="1:12" x14ac:dyDescent="0.3">
      <c r="A983" s="186">
        <v>23597</v>
      </c>
      <c r="B983" s="186">
        <v>30</v>
      </c>
      <c r="C983" s="186" t="s">
        <v>9937</v>
      </c>
      <c r="D983" t="s">
        <v>1387</v>
      </c>
      <c r="E983" s="186">
        <v>61082988</v>
      </c>
      <c r="F983" t="s">
        <v>1388</v>
      </c>
      <c r="G983" t="s">
        <v>87</v>
      </c>
      <c r="H983" t="s">
        <v>9937</v>
      </c>
      <c r="I983" s="186">
        <v>24</v>
      </c>
      <c r="J983" t="s">
        <v>103</v>
      </c>
      <c r="K983">
        <v>96250</v>
      </c>
      <c r="L983">
        <v>45377.761990740742</v>
      </c>
    </row>
    <row r="984" spans="1:12" x14ac:dyDescent="0.3">
      <c r="A984" s="186">
        <v>23837</v>
      </c>
      <c r="C984" s="186" t="s">
        <v>9938</v>
      </c>
      <c r="D984" t="s">
        <v>1394</v>
      </c>
      <c r="E984" s="186">
        <v>24650960</v>
      </c>
      <c r="G984" t="s">
        <v>113</v>
      </c>
      <c r="H984" t="s">
        <v>9938</v>
      </c>
      <c r="I984" s="186">
        <v>24</v>
      </c>
      <c r="K984">
        <v>0</v>
      </c>
      <c r="L984">
        <v>45407.490914351853</v>
      </c>
    </row>
    <row r="985" spans="1:12" x14ac:dyDescent="0.3">
      <c r="A985" s="186">
        <v>23951</v>
      </c>
      <c r="B985" s="186">
        <v>-1</v>
      </c>
      <c r="C985" s="186" t="s">
        <v>9939</v>
      </c>
      <c r="D985" t="s">
        <v>1394</v>
      </c>
      <c r="E985" s="186">
        <v>40116144831</v>
      </c>
      <c r="G985" t="s">
        <v>113</v>
      </c>
      <c r="H985" t="s">
        <v>9939</v>
      </c>
      <c r="I985" s="186">
        <v>24</v>
      </c>
      <c r="J985" t="s">
        <v>174</v>
      </c>
      <c r="K985">
        <v>36960</v>
      </c>
      <c r="L985">
        <v>45426.337557870371</v>
      </c>
    </row>
    <row r="986" spans="1:12" x14ac:dyDescent="0.3">
      <c r="A986" s="186">
        <v>1701</v>
      </c>
      <c r="B986" s="186">
        <v>30</v>
      </c>
      <c r="C986" s="186" t="s">
        <v>9940</v>
      </c>
      <c r="D986" t="s">
        <v>1387</v>
      </c>
      <c r="E986" s="186">
        <v>42509257</v>
      </c>
      <c r="F986" t="s">
        <v>1388</v>
      </c>
      <c r="G986" t="s">
        <v>87</v>
      </c>
      <c r="H986" t="s">
        <v>9940</v>
      </c>
      <c r="I986" s="186">
        <v>19</v>
      </c>
      <c r="J986" t="s">
        <v>103</v>
      </c>
      <c r="K986">
        <v>98900</v>
      </c>
      <c r="L986">
        <v>45603.498101851852</v>
      </c>
    </row>
    <row r="987" spans="1:12" x14ac:dyDescent="0.3">
      <c r="A987" s="186">
        <v>23639</v>
      </c>
      <c r="B987" s="186" t="s">
        <v>227</v>
      </c>
      <c r="C987" s="186" t="s">
        <v>9941</v>
      </c>
      <c r="D987" t="s">
        <v>1387</v>
      </c>
      <c r="E987" s="186">
        <v>48059363</v>
      </c>
      <c r="F987" t="s">
        <v>1388</v>
      </c>
      <c r="G987" t="s">
        <v>87</v>
      </c>
      <c r="H987" t="s">
        <v>9941</v>
      </c>
      <c r="I987" s="186">
        <v>18</v>
      </c>
      <c r="J987" t="s">
        <v>228</v>
      </c>
      <c r="K987">
        <v>309142.92</v>
      </c>
      <c r="L987">
        <v>45385.351226851853</v>
      </c>
    </row>
    <row r="988" spans="1:12" x14ac:dyDescent="0.3">
      <c r="A988" s="186">
        <v>23974</v>
      </c>
      <c r="B988" s="186">
        <v>30</v>
      </c>
      <c r="C988" s="186" t="s">
        <v>9942</v>
      </c>
      <c r="D988" t="s">
        <v>1387</v>
      </c>
      <c r="E988" s="186">
        <v>10279488</v>
      </c>
      <c r="F988" t="s">
        <v>1388</v>
      </c>
      <c r="G988" t="s">
        <v>87</v>
      </c>
      <c r="H988" t="s">
        <v>9942</v>
      </c>
      <c r="I988" s="186">
        <v>9</v>
      </c>
      <c r="J988" t="s">
        <v>103</v>
      </c>
      <c r="K988">
        <v>7380.82</v>
      </c>
      <c r="L988">
        <v>45428.446712962963</v>
      </c>
    </row>
    <row r="989" spans="1:12" x14ac:dyDescent="0.3">
      <c r="A989" s="186">
        <v>24129</v>
      </c>
      <c r="B989" s="186">
        <v>0</v>
      </c>
      <c r="C989" s="186" t="s">
        <v>9943</v>
      </c>
      <c r="D989" t="s">
        <v>1394</v>
      </c>
      <c r="E989" s="186">
        <v>41109336</v>
      </c>
      <c r="G989" t="s">
        <v>87</v>
      </c>
      <c r="H989" t="s">
        <v>9943</v>
      </c>
      <c r="I989" s="186">
        <v>19</v>
      </c>
      <c r="J989" t="s">
        <v>100</v>
      </c>
      <c r="K989">
        <v>43223.67</v>
      </c>
      <c r="L989">
        <v>45449.477048611108</v>
      </c>
    </row>
    <row r="990" spans="1:12" x14ac:dyDescent="0.3">
      <c r="A990" s="186">
        <v>24147</v>
      </c>
      <c r="B990" s="186">
        <v>0</v>
      </c>
      <c r="C990" s="186" t="s">
        <v>9944</v>
      </c>
      <c r="D990" t="s">
        <v>1394</v>
      </c>
      <c r="E990" s="186">
        <v>8056030</v>
      </c>
      <c r="G990" t="s">
        <v>87</v>
      </c>
      <c r="H990" t="s">
        <v>9944</v>
      </c>
      <c r="I990" s="186">
        <v>26</v>
      </c>
      <c r="J990" t="s">
        <v>100</v>
      </c>
      <c r="K990">
        <v>67176</v>
      </c>
      <c r="L990">
        <v>45450.666145833333</v>
      </c>
    </row>
    <row r="991" spans="1:12" x14ac:dyDescent="0.3">
      <c r="A991" s="186">
        <v>1422</v>
      </c>
      <c r="B991" s="186">
        <v>60</v>
      </c>
      <c r="C991" s="186" t="s">
        <v>9945</v>
      </c>
      <c r="D991" t="s">
        <v>1387</v>
      </c>
      <c r="E991" s="186">
        <v>33592510</v>
      </c>
      <c r="F991" t="s">
        <v>1388</v>
      </c>
      <c r="G991" t="s">
        <v>87</v>
      </c>
      <c r="H991" t="s">
        <v>9945</v>
      </c>
      <c r="I991" s="186">
        <v>3</v>
      </c>
      <c r="J991" t="s">
        <v>97</v>
      </c>
      <c r="K991">
        <v>341089.64</v>
      </c>
      <c r="L991">
        <v>45538.668009259258</v>
      </c>
    </row>
    <row r="992" spans="1:12" x14ac:dyDescent="0.3">
      <c r="A992" s="186">
        <v>23664</v>
      </c>
      <c r="B992" s="186">
        <v>-1</v>
      </c>
      <c r="C992" s="186" t="s">
        <v>9946</v>
      </c>
      <c r="D992" t="s">
        <v>1394</v>
      </c>
      <c r="E992" s="186">
        <v>8910541</v>
      </c>
      <c r="G992" t="s">
        <v>113</v>
      </c>
      <c r="H992" t="s">
        <v>9946</v>
      </c>
      <c r="I992" s="186">
        <v>19</v>
      </c>
      <c r="J992" t="s">
        <v>174</v>
      </c>
      <c r="K992">
        <v>88447.34</v>
      </c>
      <c r="L992">
        <v>45387.545844907407</v>
      </c>
    </row>
    <row r="993" spans="1:12" x14ac:dyDescent="0.3">
      <c r="A993" s="186">
        <v>23836</v>
      </c>
      <c r="B993" s="186">
        <v>30</v>
      </c>
      <c r="C993" s="186" t="s">
        <v>9947</v>
      </c>
      <c r="D993" t="s">
        <v>1387</v>
      </c>
      <c r="E993" s="186">
        <v>9452900</v>
      </c>
      <c r="F993" t="s">
        <v>1388</v>
      </c>
      <c r="G993" t="s">
        <v>87</v>
      </c>
      <c r="H993" t="s">
        <v>9947</v>
      </c>
      <c r="I993" s="186">
        <v>18</v>
      </c>
      <c r="J993" t="s">
        <v>103</v>
      </c>
      <c r="K993">
        <v>197340.86</v>
      </c>
      <c r="L993">
        <v>45407.480208333334</v>
      </c>
    </row>
    <row r="994" spans="1:12" x14ac:dyDescent="0.3">
      <c r="A994" s="186">
        <v>23840</v>
      </c>
      <c r="B994" s="186">
        <v>0</v>
      </c>
      <c r="C994" s="186" t="s">
        <v>9948</v>
      </c>
      <c r="D994" t="s">
        <v>1394</v>
      </c>
      <c r="E994" s="186">
        <v>1606606</v>
      </c>
      <c r="G994" t="s">
        <v>87</v>
      </c>
      <c r="H994" t="s">
        <v>9948</v>
      </c>
      <c r="I994" s="186">
        <v>18</v>
      </c>
      <c r="J994" t="s">
        <v>100</v>
      </c>
      <c r="K994">
        <v>105862.62</v>
      </c>
      <c r="L994">
        <v>45407.619351851848</v>
      </c>
    </row>
    <row r="995" spans="1:12" x14ac:dyDescent="0.3">
      <c r="A995" s="186">
        <v>23924</v>
      </c>
      <c r="C995" s="186" t="s">
        <v>9949</v>
      </c>
      <c r="D995" t="s">
        <v>1394</v>
      </c>
      <c r="E995" s="186">
        <v>14781303</v>
      </c>
      <c r="G995" t="s">
        <v>113</v>
      </c>
      <c r="H995" t="s">
        <v>9949</v>
      </c>
      <c r="I995" s="186">
        <v>19</v>
      </c>
      <c r="K995">
        <v>0</v>
      </c>
      <c r="L995">
        <v>45420.714837962965</v>
      </c>
    </row>
    <row r="996" spans="1:12" x14ac:dyDescent="0.3">
      <c r="A996" s="186">
        <v>4874</v>
      </c>
      <c r="B996" s="186">
        <v>120</v>
      </c>
      <c r="C996" s="186" t="s">
        <v>9950</v>
      </c>
      <c r="D996" t="s">
        <v>1387</v>
      </c>
      <c r="E996" s="186">
        <v>8902291</v>
      </c>
      <c r="F996" t="s">
        <v>1388</v>
      </c>
      <c r="G996" t="s">
        <v>87</v>
      </c>
      <c r="H996" t="s">
        <v>9950</v>
      </c>
      <c r="I996" s="186">
        <v>3</v>
      </c>
      <c r="J996" t="s">
        <v>1415</v>
      </c>
      <c r="K996">
        <v>26590</v>
      </c>
      <c r="L996">
        <v>45422.69059027778</v>
      </c>
    </row>
    <row r="997" spans="1:12" x14ac:dyDescent="0.3">
      <c r="A997" s="186">
        <v>24148</v>
      </c>
      <c r="B997" s="186">
        <v>18</v>
      </c>
      <c r="C997" s="186" t="s">
        <v>9951</v>
      </c>
      <c r="D997" t="s">
        <v>1394</v>
      </c>
      <c r="E997" s="186">
        <v>2359572</v>
      </c>
      <c r="G997" t="s">
        <v>87</v>
      </c>
      <c r="H997" t="s">
        <v>9951</v>
      </c>
      <c r="I997" s="186">
        <v>26</v>
      </c>
      <c r="J997" t="s">
        <v>112</v>
      </c>
      <c r="K997">
        <v>214681.1</v>
      </c>
      <c r="L997">
        <v>45451.349756944444</v>
      </c>
    </row>
    <row r="998" spans="1:12" x14ac:dyDescent="0.3">
      <c r="A998" s="186">
        <v>4830</v>
      </c>
      <c r="B998" s="186">
        <v>10</v>
      </c>
      <c r="C998" s="186" t="s">
        <v>9952</v>
      </c>
      <c r="D998" t="s">
        <v>1387</v>
      </c>
      <c r="E998" s="186">
        <v>15126437</v>
      </c>
      <c r="F998" t="s">
        <v>1410</v>
      </c>
      <c r="G998" t="s">
        <v>87</v>
      </c>
      <c r="H998" t="s">
        <v>9952</v>
      </c>
      <c r="I998" s="186">
        <v>24</v>
      </c>
      <c r="J998" t="s">
        <v>133</v>
      </c>
      <c r="K998">
        <v>480000</v>
      </c>
      <c r="L998">
        <v>45369.687083333331</v>
      </c>
    </row>
    <row r="999" spans="1:12" x14ac:dyDescent="0.3">
      <c r="A999" s="186">
        <v>1514</v>
      </c>
      <c r="B999" s="186">
        <v>10</v>
      </c>
      <c r="C999" s="186" t="s">
        <v>9953</v>
      </c>
      <c r="D999" t="s">
        <v>1387</v>
      </c>
      <c r="E999" s="186">
        <v>2535568</v>
      </c>
      <c r="F999" t="s">
        <v>1388</v>
      </c>
      <c r="G999" t="s">
        <v>87</v>
      </c>
      <c r="H999" t="s">
        <v>9953</v>
      </c>
      <c r="I999" s="186">
        <v>43</v>
      </c>
      <c r="J999" t="s">
        <v>133</v>
      </c>
      <c r="K999">
        <v>50599.72</v>
      </c>
      <c r="L999">
        <v>45558.676585648151</v>
      </c>
    </row>
    <row r="1000" spans="1:12" x14ac:dyDescent="0.3">
      <c r="A1000" s="186">
        <v>1703</v>
      </c>
      <c r="B1000" s="186" t="s">
        <v>1504</v>
      </c>
      <c r="C1000" s="186" t="s">
        <v>9954</v>
      </c>
      <c r="D1000" t="s">
        <v>1402</v>
      </c>
      <c r="E1000" s="186">
        <v>71053847</v>
      </c>
      <c r="G1000" t="s">
        <v>87</v>
      </c>
      <c r="H1000" t="s">
        <v>9954</v>
      </c>
      <c r="I1000" s="186">
        <v>3</v>
      </c>
      <c r="J1000" t="s">
        <v>1505</v>
      </c>
      <c r="K1000">
        <v>36832.78</v>
      </c>
      <c r="L1000">
        <v>45603.626180555555</v>
      </c>
    </row>
    <row r="1001" spans="1:12" x14ac:dyDescent="0.3">
      <c r="A1001" s="186">
        <v>23481</v>
      </c>
      <c r="B1001" s="186">
        <v>-1</v>
      </c>
      <c r="C1001" s="186" t="s">
        <v>9955</v>
      </c>
      <c r="D1001" t="s">
        <v>1387</v>
      </c>
      <c r="E1001" s="186">
        <v>14880015</v>
      </c>
      <c r="F1001" t="s">
        <v>1388</v>
      </c>
      <c r="G1001" t="s">
        <v>87</v>
      </c>
      <c r="H1001" t="s">
        <v>9955</v>
      </c>
      <c r="I1001" s="186">
        <v>10</v>
      </c>
      <c r="J1001" t="s">
        <v>174</v>
      </c>
      <c r="K1001">
        <v>300000</v>
      </c>
      <c r="L1001">
        <v>45364.433807870373</v>
      </c>
    </row>
    <row r="1002" spans="1:12" x14ac:dyDescent="0.3">
      <c r="A1002" s="186">
        <v>24149</v>
      </c>
      <c r="B1002" s="186">
        <v>0</v>
      </c>
      <c r="C1002" s="186" t="s">
        <v>9956</v>
      </c>
      <c r="D1002" t="s">
        <v>1387</v>
      </c>
      <c r="E1002" s="186">
        <v>5726886</v>
      </c>
      <c r="F1002" t="s">
        <v>1388</v>
      </c>
      <c r="G1002" t="s">
        <v>87</v>
      </c>
      <c r="H1002" t="s">
        <v>9956</v>
      </c>
      <c r="I1002" s="186">
        <v>10</v>
      </c>
      <c r="J1002" t="s">
        <v>100</v>
      </c>
      <c r="K1002">
        <v>620024</v>
      </c>
      <c r="L1002">
        <v>45456.935659722221</v>
      </c>
    </row>
    <row r="1003" spans="1:12" x14ac:dyDescent="0.3">
      <c r="A1003" s="186">
        <v>1239</v>
      </c>
      <c r="B1003" s="186">
        <v>30</v>
      </c>
      <c r="C1003" s="186" t="s">
        <v>9957</v>
      </c>
      <c r="D1003" t="s">
        <v>1387</v>
      </c>
      <c r="E1003" s="186">
        <v>52749283</v>
      </c>
      <c r="F1003" t="s">
        <v>1388</v>
      </c>
      <c r="G1003" t="s">
        <v>87</v>
      </c>
      <c r="H1003" t="s">
        <v>9957</v>
      </c>
      <c r="I1003" s="186">
        <v>10</v>
      </c>
      <c r="J1003" t="s">
        <v>103</v>
      </c>
      <c r="K1003">
        <v>2800</v>
      </c>
      <c r="L1003">
        <v>45474.731458333335</v>
      </c>
    </row>
    <row r="1004" spans="1:12" x14ac:dyDescent="0.3">
      <c r="A1004" s="186">
        <v>1462</v>
      </c>
      <c r="B1004" s="186">
        <v>0</v>
      </c>
      <c r="C1004" s="186" t="s">
        <v>9958</v>
      </c>
      <c r="D1004" t="s">
        <v>1387</v>
      </c>
      <c r="E1004" s="186">
        <v>33841727</v>
      </c>
      <c r="F1004" t="s">
        <v>1388</v>
      </c>
      <c r="G1004" t="s">
        <v>87</v>
      </c>
      <c r="H1004" t="s">
        <v>9958</v>
      </c>
      <c r="I1004" s="186">
        <v>19</v>
      </c>
      <c r="J1004" t="s">
        <v>100</v>
      </c>
      <c r="K1004">
        <v>79766.67</v>
      </c>
      <c r="L1004">
        <v>45548.417870370373</v>
      </c>
    </row>
    <row r="1005" spans="1:12" x14ac:dyDescent="0.3">
      <c r="A1005" s="186">
        <v>23545</v>
      </c>
      <c r="B1005" s="186">
        <v>30</v>
      </c>
      <c r="C1005" s="186" t="s">
        <v>9959</v>
      </c>
      <c r="D1005" t="s">
        <v>1387</v>
      </c>
      <c r="E1005" s="186">
        <v>33592510</v>
      </c>
      <c r="F1005" t="s">
        <v>1388</v>
      </c>
      <c r="G1005" t="s">
        <v>87</v>
      </c>
      <c r="H1005" t="s">
        <v>9959</v>
      </c>
      <c r="I1005" s="186">
        <v>24</v>
      </c>
      <c r="J1005" t="s">
        <v>103</v>
      </c>
      <c r="K1005">
        <v>1571074.27</v>
      </c>
      <c r="L1005">
        <v>45372.727280092593</v>
      </c>
    </row>
    <row r="1006" spans="1:12" x14ac:dyDescent="0.3">
      <c r="A1006" s="186">
        <v>1434</v>
      </c>
      <c r="B1006" s="186" t="s">
        <v>227</v>
      </c>
      <c r="C1006" s="186" t="s">
        <v>9960</v>
      </c>
      <c r="D1006" t="s">
        <v>1387</v>
      </c>
      <c r="E1006" s="186">
        <v>56679871</v>
      </c>
      <c r="F1006" t="s">
        <v>1388</v>
      </c>
      <c r="G1006" t="s">
        <v>87</v>
      </c>
      <c r="H1006" t="s">
        <v>9960</v>
      </c>
      <c r="I1006" s="186">
        <v>24</v>
      </c>
      <c r="J1006" t="s">
        <v>228</v>
      </c>
      <c r="K1006">
        <v>63000</v>
      </c>
      <c r="L1006">
        <v>45544.376585648148</v>
      </c>
    </row>
    <row r="1007" spans="1:12" x14ac:dyDescent="0.3">
      <c r="A1007" s="186">
        <v>23488</v>
      </c>
      <c r="B1007" s="186" t="s">
        <v>222</v>
      </c>
      <c r="C1007" s="186" t="s">
        <v>9961</v>
      </c>
      <c r="D1007" t="s">
        <v>1395</v>
      </c>
      <c r="E1007" s="186">
        <v>53418171</v>
      </c>
      <c r="G1007" t="s">
        <v>87</v>
      </c>
      <c r="H1007" t="s">
        <v>9961</v>
      </c>
      <c r="I1007" s="186">
        <v>43</v>
      </c>
      <c r="J1007" t="s">
        <v>223</v>
      </c>
      <c r="K1007">
        <v>54169.7</v>
      </c>
      <c r="L1007">
        <v>45365.378518518519</v>
      </c>
    </row>
    <row r="1008" spans="1:12" x14ac:dyDescent="0.3">
      <c r="A1008" s="186">
        <v>23504</v>
      </c>
      <c r="B1008" s="186">
        <v>-1</v>
      </c>
      <c r="C1008" s="186" t="s">
        <v>9962</v>
      </c>
      <c r="D1008" t="s">
        <v>1387</v>
      </c>
      <c r="E1008" s="186">
        <v>83693366</v>
      </c>
      <c r="F1008" t="s">
        <v>1388</v>
      </c>
      <c r="G1008" t="s">
        <v>87</v>
      </c>
      <c r="H1008" t="s">
        <v>9962</v>
      </c>
      <c r="I1008" s="186">
        <v>24</v>
      </c>
      <c r="J1008" t="s">
        <v>174</v>
      </c>
      <c r="K1008">
        <v>56700</v>
      </c>
      <c r="L1008">
        <v>45366.647916666669</v>
      </c>
    </row>
    <row r="1009" spans="1:12" x14ac:dyDescent="0.3">
      <c r="A1009" s="186">
        <v>24256</v>
      </c>
      <c r="B1009" s="186">
        <v>30</v>
      </c>
      <c r="C1009" s="186" t="s">
        <v>9963</v>
      </c>
      <c r="D1009" t="s">
        <v>1387</v>
      </c>
      <c r="E1009" s="186">
        <v>8056030</v>
      </c>
      <c r="F1009" t="s">
        <v>1388</v>
      </c>
      <c r="G1009" t="s">
        <v>87</v>
      </c>
      <c r="H1009" t="s">
        <v>9963</v>
      </c>
      <c r="I1009" s="186">
        <v>26</v>
      </c>
      <c r="J1009" t="s">
        <v>103</v>
      </c>
      <c r="K1009">
        <v>170718.88</v>
      </c>
      <c r="L1009">
        <v>45567.442361111112</v>
      </c>
    </row>
    <row r="1010" spans="1:12" x14ac:dyDescent="0.3">
      <c r="A1010" s="186">
        <v>1641</v>
      </c>
      <c r="B1010" s="186">
        <v>30</v>
      </c>
      <c r="C1010" s="186" t="s">
        <v>9964</v>
      </c>
      <c r="D1010" t="s">
        <v>1387</v>
      </c>
      <c r="E1010" s="186">
        <v>28465996</v>
      </c>
      <c r="F1010" t="s">
        <v>1388</v>
      </c>
      <c r="G1010" t="s">
        <v>87</v>
      </c>
      <c r="H1010" t="s">
        <v>9964</v>
      </c>
      <c r="I1010" s="186">
        <v>42</v>
      </c>
      <c r="J1010" t="s">
        <v>103</v>
      </c>
      <c r="K1010">
        <v>4060</v>
      </c>
      <c r="L1010">
        <v>45586.390787037039</v>
      </c>
    </row>
    <row r="1011" spans="1:12" x14ac:dyDescent="0.3">
      <c r="A1011" s="186">
        <v>23612</v>
      </c>
      <c r="B1011" s="186">
        <v>0</v>
      </c>
      <c r="C1011" s="186" t="s">
        <v>9965</v>
      </c>
      <c r="D1011" t="s">
        <v>1387</v>
      </c>
      <c r="E1011" s="186">
        <v>9452900</v>
      </c>
      <c r="F1011" t="s">
        <v>1388</v>
      </c>
      <c r="G1011" t="s">
        <v>87</v>
      </c>
      <c r="H1011" t="s">
        <v>9965</v>
      </c>
      <c r="I1011" s="186">
        <v>18</v>
      </c>
      <c r="J1011" t="s">
        <v>100</v>
      </c>
      <c r="K1011">
        <v>33714.46</v>
      </c>
      <c r="L1011">
        <v>45379.437465277777</v>
      </c>
    </row>
    <row r="1012" spans="1:12" x14ac:dyDescent="0.3">
      <c r="A1012" s="186">
        <v>23848</v>
      </c>
      <c r="B1012" s="186">
        <v>60</v>
      </c>
      <c r="C1012" s="186" t="s">
        <v>9966</v>
      </c>
      <c r="D1012" t="s">
        <v>1387</v>
      </c>
      <c r="E1012" s="186">
        <v>33968740</v>
      </c>
      <c r="F1012" t="s">
        <v>1388</v>
      </c>
      <c r="G1012" t="s">
        <v>87</v>
      </c>
      <c r="H1012" t="s">
        <v>9966</v>
      </c>
      <c r="I1012" s="186">
        <v>3</v>
      </c>
      <c r="J1012" t="s">
        <v>97</v>
      </c>
      <c r="K1012">
        <v>11400</v>
      </c>
      <c r="L1012">
        <v>45408.662534722222</v>
      </c>
    </row>
    <row r="1013" spans="1:12" x14ac:dyDescent="0.3">
      <c r="A1013" s="186">
        <v>24174</v>
      </c>
      <c r="B1013" s="186" t="s">
        <v>1370</v>
      </c>
      <c r="C1013" s="186" t="s">
        <v>9967</v>
      </c>
      <c r="D1013" t="s">
        <v>1387</v>
      </c>
      <c r="E1013" s="186">
        <v>56679871</v>
      </c>
      <c r="F1013" t="s">
        <v>1388</v>
      </c>
      <c r="G1013" t="s">
        <v>87</v>
      </c>
      <c r="H1013" t="s">
        <v>9967</v>
      </c>
      <c r="I1013" s="186">
        <v>24</v>
      </c>
      <c r="J1013" t="s">
        <v>1371</v>
      </c>
      <c r="K1013">
        <v>550000.01</v>
      </c>
      <c r="L1013">
        <v>45482.693287037036</v>
      </c>
    </row>
    <row r="1014" spans="1:12" x14ac:dyDescent="0.3">
      <c r="A1014" s="186">
        <v>24237</v>
      </c>
      <c r="B1014" s="186" t="s">
        <v>246</v>
      </c>
      <c r="C1014" s="186" t="s">
        <v>9968</v>
      </c>
      <c r="D1014" t="s">
        <v>1387</v>
      </c>
      <c r="E1014" s="186">
        <v>22690912</v>
      </c>
      <c r="F1014" t="s">
        <v>1388</v>
      </c>
      <c r="G1014" t="s">
        <v>87</v>
      </c>
      <c r="H1014" t="s">
        <v>9968</v>
      </c>
      <c r="I1014" s="186">
        <v>3</v>
      </c>
      <c r="J1014" t="s">
        <v>246</v>
      </c>
      <c r="K1014">
        <v>114000</v>
      </c>
      <c r="L1014">
        <v>45526.716574074075</v>
      </c>
    </row>
    <row r="1015" spans="1:12" x14ac:dyDescent="0.3">
      <c r="A1015" s="186">
        <v>1681</v>
      </c>
      <c r="B1015" s="186">
        <v>0</v>
      </c>
      <c r="C1015" s="186" t="s">
        <v>9969</v>
      </c>
      <c r="D1015" t="s">
        <v>1387</v>
      </c>
      <c r="E1015" s="186">
        <v>51543546</v>
      </c>
      <c r="F1015" t="s">
        <v>1388</v>
      </c>
      <c r="G1015" t="s">
        <v>87</v>
      </c>
      <c r="H1015" t="s">
        <v>9969</v>
      </c>
      <c r="I1015" s="186">
        <v>3</v>
      </c>
      <c r="J1015" t="s">
        <v>100</v>
      </c>
      <c r="K1015">
        <v>540000</v>
      </c>
      <c r="L1015">
        <v>45597.648506944446</v>
      </c>
    </row>
    <row r="1016" spans="1:12" x14ac:dyDescent="0.3">
      <c r="A1016" s="186">
        <v>23483</v>
      </c>
      <c r="B1016" s="186">
        <v>0</v>
      </c>
      <c r="C1016" s="186" t="s">
        <v>9970</v>
      </c>
      <c r="D1016" t="s">
        <v>1394</v>
      </c>
      <c r="E1016" s="186">
        <v>7073042</v>
      </c>
      <c r="G1016" t="s">
        <v>87</v>
      </c>
      <c r="H1016" t="s">
        <v>9970</v>
      </c>
      <c r="I1016" s="186">
        <v>9</v>
      </c>
      <c r="J1016" t="s">
        <v>100</v>
      </c>
      <c r="K1016">
        <v>0</v>
      </c>
      <c r="L1016">
        <v>45364.590798611112</v>
      </c>
    </row>
    <row r="1017" spans="1:12" x14ac:dyDescent="0.3">
      <c r="A1017" s="186">
        <v>24164</v>
      </c>
      <c r="B1017" s="186">
        <v>0</v>
      </c>
      <c r="C1017" s="186" t="s">
        <v>9971</v>
      </c>
      <c r="D1017" t="s">
        <v>1387</v>
      </c>
      <c r="E1017" s="186">
        <v>10525283</v>
      </c>
      <c r="F1017" t="s">
        <v>1388</v>
      </c>
      <c r="G1017" t="s">
        <v>87</v>
      </c>
      <c r="H1017" t="s">
        <v>9971</v>
      </c>
      <c r="I1017" s="186">
        <v>9</v>
      </c>
      <c r="J1017" t="s">
        <v>100</v>
      </c>
      <c r="K1017">
        <v>350000</v>
      </c>
      <c r="L1017">
        <v>45475.398182870369</v>
      </c>
    </row>
    <row r="1018" spans="1:12" x14ac:dyDescent="0.3">
      <c r="A1018" s="186">
        <v>23717</v>
      </c>
      <c r="B1018" s="186">
        <v>0</v>
      </c>
      <c r="C1018" s="186" t="s">
        <v>9972</v>
      </c>
      <c r="D1018" t="s">
        <v>1394</v>
      </c>
      <c r="E1018" s="186">
        <v>13623957</v>
      </c>
      <c r="G1018" t="s">
        <v>87</v>
      </c>
      <c r="H1018" t="s">
        <v>9972</v>
      </c>
      <c r="I1018" s="186">
        <v>3</v>
      </c>
      <c r="J1018" t="s">
        <v>100</v>
      </c>
      <c r="K1018">
        <v>217820.5</v>
      </c>
      <c r="L1018">
        <v>45393.6093287037</v>
      </c>
    </row>
    <row r="1019" spans="1:12" x14ac:dyDescent="0.3">
      <c r="A1019" s="186">
        <v>23453</v>
      </c>
      <c r="B1019" s="186">
        <v>-1</v>
      </c>
      <c r="C1019" s="186" t="s">
        <v>9973</v>
      </c>
      <c r="D1019" t="s">
        <v>1387</v>
      </c>
      <c r="E1019" s="186">
        <v>52031718</v>
      </c>
      <c r="F1019" t="s">
        <v>1388</v>
      </c>
      <c r="G1019" t="s">
        <v>87</v>
      </c>
      <c r="H1019" t="s">
        <v>9973</v>
      </c>
      <c r="I1019" s="186">
        <v>3</v>
      </c>
      <c r="J1019" t="s">
        <v>174</v>
      </c>
      <c r="K1019">
        <v>88000</v>
      </c>
      <c r="L1019">
        <v>45362.505127314813</v>
      </c>
    </row>
    <row r="1020" spans="1:12" x14ac:dyDescent="0.3">
      <c r="A1020" s="186">
        <v>24101</v>
      </c>
      <c r="B1020" s="186">
        <v>30</v>
      </c>
      <c r="C1020" s="186" t="s">
        <v>9974</v>
      </c>
      <c r="D1020" t="s">
        <v>1394</v>
      </c>
      <c r="E1020" s="186">
        <v>34562112</v>
      </c>
      <c r="G1020" t="s">
        <v>87</v>
      </c>
      <c r="H1020" t="s">
        <v>9974</v>
      </c>
      <c r="I1020" s="186">
        <v>24</v>
      </c>
      <c r="J1020" t="s">
        <v>103</v>
      </c>
      <c r="K1020">
        <v>88000</v>
      </c>
      <c r="L1020">
        <v>45446.715208333335</v>
      </c>
    </row>
    <row r="1021" spans="1:12" x14ac:dyDescent="0.3">
      <c r="A1021" s="186">
        <v>24102</v>
      </c>
      <c r="B1021" s="186">
        <v>0</v>
      </c>
      <c r="C1021" s="186" t="s">
        <v>9975</v>
      </c>
      <c r="D1021" t="s">
        <v>1394</v>
      </c>
      <c r="E1021" s="186">
        <v>32681371</v>
      </c>
      <c r="G1021" t="s">
        <v>87</v>
      </c>
      <c r="H1021" t="s">
        <v>9975</v>
      </c>
      <c r="I1021" s="186">
        <v>43</v>
      </c>
      <c r="J1021" t="s">
        <v>100</v>
      </c>
      <c r="K1021">
        <v>0</v>
      </c>
      <c r="L1021">
        <v>45446.730821759258</v>
      </c>
    </row>
    <row r="1022" spans="1:12" x14ac:dyDescent="0.3">
      <c r="A1022" s="186">
        <v>24019</v>
      </c>
      <c r="B1022" s="186">
        <v>0</v>
      </c>
      <c r="C1022" s="186" t="s">
        <v>9976</v>
      </c>
      <c r="D1022" t="s">
        <v>1394</v>
      </c>
      <c r="E1022" s="186">
        <v>3672857</v>
      </c>
      <c r="G1022" t="s">
        <v>87</v>
      </c>
      <c r="H1022" t="s">
        <v>9976</v>
      </c>
      <c r="I1022" s="186">
        <v>9</v>
      </c>
      <c r="J1022" t="s">
        <v>100</v>
      </c>
      <c r="K1022">
        <v>0</v>
      </c>
      <c r="L1022">
        <v>45433.659479166665</v>
      </c>
    </row>
    <row r="1023" spans="1:12" x14ac:dyDescent="0.3">
      <c r="A1023" s="186">
        <v>1598</v>
      </c>
      <c r="B1023" s="186">
        <v>20</v>
      </c>
      <c r="C1023" s="186" t="s">
        <v>9977</v>
      </c>
      <c r="D1023" t="s">
        <v>1387</v>
      </c>
      <c r="E1023" s="186">
        <v>53009825</v>
      </c>
      <c r="F1023" t="s">
        <v>1388</v>
      </c>
      <c r="G1023" t="s">
        <v>87</v>
      </c>
      <c r="H1023" t="s">
        <v>9977</v>
      </c>
      <c r="I1023" s="186">
        <v>42</v>
      </c>
      <c r="J1023" t="s">
        <v>148</v>
      </c>
      <c r="K1023">
        <v>34910</v>
      </c>
      <c r="L1023">
        <v>45575.447245370371</v>
      </c>
    </row>
    <row r="1024" spans="1:12" x14ac:dyDescent="0.3">
      <c r="A1024" s="186">
        <v>23689</v>
      </c>
      <c r="B1024" s="186">
        <v>10</v>
      </c>
      <c r="C1024" s="186" t="s">
        <v>9978</v>
      </c>
      <c r="D1024" t="s">
        <v>1394</v>
      </c>
      <c r="E1024" s="186">
        <v>32690778</v>
      </c>
      <c r="G1024" t="s">
        <v>87</v>
      </c>
      <c r="H1024" t="s">
        <v>9978</v>
      </c>
      <c r="I1024" s="186">
        <v>43</v>
      </c>
      <c r="J1024" t="s">
        <v>133</v>
      </c>
      <c r="K1024">
        <v>0</v>
      </c>
      <c r="L1024">
        <v>45390.894918981481</v>
      </c>
    </row>
    <row r="1025" spans="1:12" x14ac:dyDescent="0.3">
      <c r="A1025" s="186">
        <v>23878</v>
      </c>
      <c r="B1025" s="186" t="s">
        <v>1400</v>
      </c>
      <c r="C1025" s="186" t="s">
        <v>9979</v>
      </c>
      <c r="D1025" t="s">
        <v>1387</v>
      </c>
      <c r="E1025" s="186">
        <v>12929735</v>
      </c>
      <c r="F1025" t="s">
        <v>1388</v>
      </c>
      <c r="G1025" t="s">
        <v>87</v>
      </c>
      <c r="H1025" t="s">
        <v>9979</v>
      </c>
      <c r="I1025" s="186">
        <v>3</v>
      </c>
      <c r="J1025" t="s">
        <v>1401</v>
      </c>
      <c r="K1025">
        <v>24555.84</v>
      </c>
      <c r="L1025">
        <v>45415.36173611111</v>
      </c>
    </row>
  </sheetData>
  <autoFilter ref="A1:L1020" xr:uid="{38737181-D0AB-44B0-8F46-3FD1446F3326}"/>
  <phoneticPr fontId="18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9FC58-579B-4D59-9F84-0060F2974932}">
  <sheetPr codeName="Planilha24"/>
  <dimension ref="A1:L31"/>
  <sheetViews>
    <sheetView zoomScaleNormal="100" workbookViewId="0">
      <selection activeCell="G28" sqref="G28"/>
    </sheetView>
  </sheetViews>
  <sheetFormatPr defaultColWidth="9.109375" defaultRowHeight="14.4" x14ac:dyDescent="0.3"/>
  <cols>
    <col min="1" max="1" width="9.109375" style="126"/>
    <col min="2" max="2" width="13" style="126" customWidth="1"/>
    <col min="3" max="3" width="43.33203125" style="126" customWidth="1"/>
    <col min="4" max="4" width="10.6640625" style="126" hidden="1" customWidth="1"/>
    <col min="5" max="5" width="13.109375" style="126" hidden="1" customWidth="1"/>
    <col min="6" max="6" width="16" style="127" customWidth="1"/>
    <col min="7" max="7" width="18" style="127" customWidth="1"/>
    <col min="8" max="8" width="29.33203125" style="126" customWidth="1"/>
    <col min="9" max="9" width="18.33203125" style="135" customWidth="1"/>
    <col min="10" max="12" width="9.109375" style="129"/>
    <col min="13" max="13" width="13.33203125" style="129" bestFit="1" customWidth="1"/>
    <col min="14" max="16384" width="9.109375" style="129"/>
  </cols>
  <sheetData>
    <row r="1" spans="1:12" x14ac:dyDescent="0.3">
      <c r="A1" s="134" t="s">
        <v>935</v>
      </c>
      <c r="B1" s="134" t="s">
        <v>30</v>
      </c>
      <c r="C1" s="134" t="s">
        <v>258</v>
      </c>
      <c r="D1" s="134" t="s">
        <v>8</v>
      </c>
      <c r="E1" s="134" t="s">
        <v>1278</v>
      </c>
      <c r="F1" s="197" t="s">
        <v>1279</v>
      </c>
      <c r="G1" s="197" t="s">
        <v>1280</v>
      </c>
      <c r="H1" s="134" t="s">
        <v>1281</v>
      </c>
      <c r="I1" s="198" t="s">
        <v>1282</v>
      </c>
      <c r="K1" s="128"/>
      <c r="L1" s="128"/>
    </row>
    <row r="2" spans="1:12" x14ac:dyDescent="0.3">
      <c r="A2" s="126">
        <v>12549</v>
      </c>
      <c r="B2" s="126">
        <v>26890</v>
      </c>
      <c r="C2" s="126" t="s">
        <v>9980</v>
      </c>
      <c r="D2" s="126" t="s">
        <v>1509</v>
      </c>
      <c r="F2" s="127">
        <v>3120</v>
      </c>
      <c r="G2" s="127">
        <v>2843.88</v>
      </c>
      <c r="H2" s="126" t="s">
        <v>42</v>
      </c>
      <c r="I2" s="135">
        <v>45334</v>
      </c>
      <c r="K2" s="128"/>
      <c r="L2" s="128"/>
    </row>
    <row r="3" spans="1:12" x14ac:dyDescent="0.3">
      <c r="A3" s="126">
        <v>253964</v>
      </c>
      <c r="B3" s="126">
        <v>9525</v>
      </c>
      <c r="C3" s="126" t="s">
        <v>9981</v>
      </c>
      <c r="F3" s="127">
        <v>600</v>
      </c>
      <c r="G3" s="127">
        <v>546.9</v>
      </c>
      <c r="H3" s="126" t="s">
        <v>42</v>
      </c>
      <c r="I3" s="135">
        <v>45334</v>
      </c>
      <c r="K3" s="242" t="s">
        <v>1283</v>
      </c>
      <c r="L3" s="242"/>
    </row>
    <row r="4" spans="1:12" x14ac:dyDescent="0.3">
      <c r="A4" s="126">
        <v>243209</v>
      </c>
      <c r="B4" s="126">
        <v>23659</v>
      </c>
      <c r="C4" s="126" t="s">
        <v>9982</v>
      </c>
      <c r="F4" s="127">
        <v>39247.17</v>
      </c>
      <c r="G4" s="127">
        <v>35773.795454999999</v>
      </c>
      <c r="H4" s="126" t="s">
        <v>50</v>
      </c>
      <c r="I4" s="135">
        <v>45334</v>
      </c>
      <c r="K4" s="242"/>
      <c r="L4" s="242"/>
    </row>
    <row r="5" spans="1:12" x14ac:dyDescent="0.3">
      <c r="A5" s="126">
        <v>255052</v>
      </c>
      <c r="B5" s="126">
        <v>21738</v>
      </c>
      <c r="C5" s="126" t="s">
        <v>9983</v>
      </c>
      <c r="F5" s="127">
        <v>2634</v>
      </c>
      <c r="G5" s="127">
        <v>2212.56</v>
      </c>
      <c r="H5" s="126" t="s">
        <v>51</v>
      </c>
      <c r="I5" s="135">
        <v>45363</v>
      </c>
    </row>
    <row r="6" spans="1:12" x14ac:dyDescent="0.3">
      <c r="A6" s="126">
        <v>12701</v>
      </c>
      <c r="B6" s="126">
        <v>26929</v>
      </c>
      <c r="C6" s="126" t="s">
        <v>9984</v>
      </c>
      <c r="F6" s="127">
        <v>800</v>
      </c>
      <c r="G6" s="127">
        <v>769.2</v>
      </c>
      <c r="H6" s="126" t="s">
        <v>51</v>
      </c>
      <c r="I6" s="135">
        <v>45363</v>
      </c>
    </row>
    <row r="7" spans="1:12" x14ac:dyDescent="0.3">
      <c r="A7" s="126">
        <v>254020</v>
      </c>
      <c r="B7" s="126">
        <v>21976</v>
      </c>
      <c r="C7" s="126" t="s">
        <v>9985</v>
      </c>
      <c r="D7" s="126" t="s">
        <v>1519</v>
      </c>
      <c r="F7" s="127">
        <v>3898</v>
      </c>
      <c r="G7" s="127">
        <v>3747.9270000000001</v>
      </c>
      <c r="H7" s="126" t="s">
        <v>51</v>
      </c>
      <c r="I7" s="135">
        <v>45363</v>
      </c>
    </row>
    <row r="8" spans="1:12" x14ac:dyDescent="0.3">
      <c r="A8" s="126">
        <v>254415</v>
      </c>
      <c r="B8" s="126">
        <v>23839</v>
      </c>
      <c r="C8" s="126" t="s">
        <v>9986</v>
      </c>
      <c r="D8" s="126" t="s">
        <v>1521</v>
      </c>
      <c r="F8" s="127">
        <v>1045</v>
      </c>
      <c r="G8" s="127">
        <v>1004.7675</v>
      </c>
      <c r="H8" s="126" t="s">
        <v>51</v>
      </c>
      <c r="I8" s="135">
        <v>45363</v>
      </c>
    </row>
    <row r="9" spans="1:12" x14ac:dyDescent="0.3">
      <c r="A9" s="126">
        <v>12974</v>
      </c>
      <c r="B9" s="126">
        <v>26962</v>
      </c>
      <c r="C9" s="126" t="s">
        <v>9987</v>
      </c>
      <c r="D9" s="126" t="s">
        <v>1524</v>
      </c>
      <c r="F9" s="127">
        <v>16900</v>
      </c>
      <c r="G9" s="127">
        <v>15404.35</v>
      </c>
      <c r="H9" s="126" t="s">
        <v>42</v>
      </c>
      <c r="I9" s="135">
        <v>45363</v>
      </c>
    </row>
    <row r="10" spans="1:12" x14ac:dyDescent="0.3">
      <c r="A10" s="126">
        <v>12846</v>
      </c>
      <c r="B10" s="126">
        <v>26950</v>
      </c>
      <c r="C10" s="126" t="s">
        <v>9988</v>
      </c>
      <c r="F10" s="127">
        <v>1300</v>
      </c>
      <c r="G10" s="127">
        <v>1184.95</v>
      </c>
      <c r="H10" s="126" t="s">
        <v>42</v>
      </c>
      <c r="I10" s="135">
        <v>45363</v>
      </c>
    </row>
    <row r="11" spans="1:12" x14ac:dyDescent="0.3">
      <c r="A11" s="126">
        <v>254760</v>
      </c>
      <c r="B11" s="126">
        <v>22039</v>
      </c>
      <c r="C11" s="126" t="s">
        <v>9989</v>
      </c>
      <c r="F11" s="127">
        <v>1050</v>
      </c>
      <c r="G11" s="127">
        <v>1009.575</v>
      </c>
      <c r="H11" s="126" t="s">
        <v>52</v>
      </c>
      <c r="I11" s="135">
        <v>45363</v>
      </c>
    </row>
    <row r="12" spans="1:12" x14ac:dyDescent="0.3">
      <c r="A12" s="126">
        <v>253462</v>
      </c>
      <c r="B12" s="126">
        <v>26857</v>
      </c>
      <c r="C12" s="126" t="s">
        <v>9990</v>
      </c>
      <c r="F12" s="127">
        <v>600</v>
      </c>
      <c r="G12" s="127">
        <v>546.9</v>
      </c>
      <c r="H12" s="126" t="s">
        <v>42</v>
      </c>
      <c r="I12" s="135">
        <v>45363</v>
      </c>
    </row>
    <row r="13" spans="1:12" x14ac:dyDescent="0.3">
      <c r="A13" s="126">
        <v>12855</v>
      </c>
      <c r="B13" s="126">
        <v>1739</v>
      </c>
      <c r="C13" s="126" t="s">
        <v>9991</v>
      </c>
      <c r="F13" s="127">
        <v>1000</v>
      </c>
      <c r="G13" s="127">
        <v>961.5</v>
      </c>
      <c r="H13" s="126" t="s">
        <v>44</v>
      </c>
      <c r="I13" s="135">
        <v>45394</v>
      </c>
    </row>
    <row r="14" spans="1:12" x14ac:dyDescent="0.3">
      <c r="A14" s="126">
        <v>253710</v>
      </c>
      <c r="B14" s="126">
        <v>26874</v>
      </c>
      <c r="C14" s="126" t="s">
        <v>9992</v>
      </c>
      <c r="F14" s="127">
        <v>4934</v>
      </c>
      <c r="G14" s="127">
        <v>4497.3410000000003</v>
      </c>
      <c r="H14" s="126" t="s">
        <v>42</v>
      </c>
      <c r="I14" s="135">
        <v>45424</v>
      </c>
    </row>
    <row r="15" spans="1:12" x14ac:dyDescent="0.3">
      <c r="A15" s="126">
        <v>347719</v>
      </c>
      <c r="B15" s="126">
        <v>11425</v>
      </c>
      <c r="C15" s="126" t="s">
        <v>9993</v>
      </c>
      <c r="D15" s="126" t="s">
        <v>1527</v>
      </c>
      <c r="F15" s="127">
        <v>9710</v>
      </c>
      <c r="G15" s="127">
        <v>9044.8649999999998</v>
      </c>
      <c r="H15" s="126" t="s">
        <v>47</v>
      </c>
      <c r="I15" s="135">
        <v>45424</v>
      </c>
    </row>
    <row r="16" spans="1:12" x14ac:dyDescent="0.3">
      <c r="A16" s="126">
        <v>225166</v>
      </c>
      <c r="B16" s="126">
        <v>17796</v>
      </c>
      <c r="C16" s="126" t="s">
        <v>9994</v>
      </c>
      <c r="F16" s="127">
        <v>800</v>
      </c>
      <c r="G16" s="127">
        <v>729.2</v>
      </c>
      <c r="H16" s="126" t="s">
        <v>48</v>
      </c>
      <c r="I16" s="135">
        <v>45424</v>
      </c>
    </row>
    <row r="17" spans="1:9" x14ac:dyDescent="0.3">
      <c r="A17" s="126">
        <v>254777</v>
      </c>
      <c r="B17" s="126">
        <v>13424</v>
      </c>
      <c r="C17" s="126" t="s">
        <v>9995</v>
      </c>
      <c r="D17" s="126" t="s">
        <v>1529</v>
      </c>
      <c r="F17" s="127">
        <v>4000</v>
      </c>
      <c r="G17" s="127">
        <v>3766</v>
      </c>
      <c r="H17" s="126" t="s">
        <v>53</v>
      </c>
      <c r="I17" s="135">
        <v>45455</v>
      </c>
    </row>
    <row r="18" spans="1:9" x14ac:dyDescent="0.3">
      <c r="A18" s="126">
        <v>253079</v>
      </c>
      <c r="B18" s="126">
        <v>26657</v>
      </c>
      <c r="C18" s="126" t="s">
        <v>9996</v>
      </c>
      <c r="F18" s="127">
        <v>1200</v>
      </c>
      <c r="G18" s="127">
        <v>1153.8</v>
      </c>
      <c r="H18" s="126" t="s">
        <v>47</v>
      </c>
      <c r="I18" s="135">
        <v>45455</v>
      </c>
    </row>
    <row r="19" spans="1:9" x14ac:dyDescent="0.3">
      <c r="A19" s="126">
        <v>11942</v>
      </c>
      <c r="B19" s="126">
        <v>26502</v>
      </c>
      <c r="C19" s="126" t="s">
        <v>9997</v>
      </c>
      <c r="F19" s="127">
        <v>5062</v>
      </c>
      <c r="G19" s="127">
        <v>4614.0129999999999</v>
      </c>
      <c r="H19" s="126" t="s">
        <v>42</v>
      </c>
      <c r="I19" s="135">
        <v>45547</v>
      </c>
    </row>
    <row r="20" spans="1:9" x14ac:dyDescent="0.3">
      <c r="A20" s="126">
        <v>13202</v>
      </c>
      <c r="B20" s="126">
        <v>26998</v>
      </c>
      <c r="C20" s="126" t="s">
        <v>9998</v>
      </c>
      <c r="F20" s="127">
        <v>14068</v>
      </c>
      <c r="G20" s="127">
        <v>13526.382</v>
      </c>
      <c r="H20" s="126" t="s">
        <v>51</v>
      </c>
      <c r="I20" s="135">
        <v>45547</v>
      </c>
    </row>
    <row r="21" spans="1:9" x14ac:dyDescent="0.3">
      <c r="A21" s="126">
        <v>248704</v>
      </c>
      <c r="B21" s="126">
        <v>24037</v>
      </c>
      <c r="C21" s="126" t="s">
        <v>9999</v>
      </c>
      <c r="D21" s="126" t="s">
        <v>1533</v>
      </c>
      <c r="F21" s="127">
        <v>165362.81</v>
      </c>
      <c r="G21" s="127">
        <v>150728.20131500001</v>
      </c>
      <c r="H21" s="126" t="s">
        <v>50</v>
      </c>
      <c r="I21" s="135">
        <v>45577</v>
      </c>
    </row>
    <row r="22" spans="1:9" x14ac:dyDescent="0.3">
      <c r="A22" s="126">
        <v>243423</v>
      </c>
      <c r="B22" s="126">
        <v>23836</v>
      </c>
      <c r="C22" s="126" t="s">
        <v>10000</v>
      </c>
      <c r="F22" s="127">
        <v>3944</v>
      </c>
      <c r="G22" s="127">
        <v>3673.8360000000002</v>
      </c>
      <c r="H22" s="126" t="s">
        <v>47</v>
      </c>
      <c r="I22" s="135">
        <v>45577</v>
      </c>
    </row>
    <row r="23" spans="1:9" x14ac:dyDescent="0.3">
      <c r="A23" s="126">
        <v>244742</v>
      </c>
      <c r="B23" s="126">
        <v>24049</v>
      </c>
      <c r="C23" s="126" t="s">
        <v>10001</v>
      </c>
      <c r="F23" s="127">
        <v>600</v>
      </c>
      <c r="G23" s="127">
        <v>576.9</v>
      </c>
      <c r="H23" s="126" t="s">
        <v>47</v>
      </c>
      <c r="I23" s="135">
        <v>45577</v>
      </c>
    </row>
    <row r="24" spans="1:9" x14ac:dyDescent="0.3">
      <c r="A24" s="126">
        <v>247420</v>
      </c>
      <c r="B24" s="126">
        <v>24168</v>
      </c>
      <c r="C24" s="126" t="s">
        <v>10002</v>
      </c>
      <c r="F24" s="127">
        <v>900</v>
      </c>
      <c r="G24" s="127">
        <v>865.35</v>
      </c>
      <c r="H24" s="126" t="s">
        <v>52</v>
      </c>
      <c r="I24" s="135">
        <v>45577</v>
      </c>
    </row>
    <row r="25" spans="1:9" x14ac:dyDescent="0.3">
      <c r="A25" s="126">
        <v>252247</v>
      </c>
      <c r="B25" s="126">
        <v>24257</v>
      </c>
      <c r="C25" s="126" t="s">
        <v>10003</v>
      </c>
      <c r="F25" s="127">
        <v>1200</v>
      </c>
      <c r="G25" s="127">
        <v>1093.8</v>
      </c>
      <c r="H25" s="126" t="s">
        <v>42</v>
      </c>
      <c r="I25" s="135">
        <v>45577</v>
      </c>
    </row>
    <row r="26" spans="1:9" x14ac:dyDescent="0.3">
      <c r="A26" s="126">
        <v>12269</v>
      </c>
      <c r="B26" s="126">
        <v>1598</v>
      </c>
      <c r="C26" s="126" t="s">
        <v>10004</v>
      </c>
      <c r="D26" s="126" t="s">
        <v>1534</v>
      </c>
      <c r="F26" s="127">
        <v>34910</v>
      </c>
      <c r="G26" s="127">
        <v>33565.964999999997</v>
      </c>
      <c r="H26" s="126" t="s">
        <v>1535</v>
      </c>
      <c r="I26" s="135">
        <v>45577</v>
      </c>
    </row>
    <row r="27" spans="1:9" x14ac:dyDescent="0.3">
      <c r="A27" s="126">
        <v>12405</v>
      </c>
      <c r="B27" s="126">
        <v>1636</v>
      </c>
      <c r="C27" s="126" t="s">
        <v>10005</v>
      </c>
      <c r="D27" s="126" t="s">
        <v>1536</v>
      </c>
      <c r="F27" s="127">
        <v>23065</v>
      </c>
      <c r="G27" s="127">
        <v>21715.697499999998</v>
      </c>
      <c r="H27" s="126" t="s">
        <v>1535</v>
      </c>
      <c r="I27" s="135">
        <v>45577</v>
      </c>
    </row>
    <row r="28" spans="1:9" x14ac:dyDescent="0.3">
      <c r="A28" s="126">
        <v>12575</v>
      </c>
      <c r="B28" s="126">
        <v>26670</v>
      </c>
      <c r="C28" s="126" t="s">
        <v>10006</v>
      </c>
      <c r="D28" s="126" t="s">
        <v>1537</v>
      </c>
      <c r="F28" s="127">
        <v>2900</v>
      </c>
      <c r="G28" s="127">
        <v>2643.35</v>
      </c>
      <c r="H28" s="126" t="s">
        <v>48</v>
      </c>
      <c r="I28" s="135">
        <v>45608</v>
      </c>
    </row>
    <row r="29" spans="1:9" x14ac:dyDescent="0.3">
      <c r="A29" s="126">
        <v>11745</v>
      </c>
      <c r="B29" s="126">
        <v>1377</v>
      </c>
      <c r="C29" s="126" t="s">
        <v>10007</v>
      </c>
      <c r="F29" s="127">
        <v>2508.2199999999998</v>
      </c>
      <c r="G29" s="127">
        <v>2286.24253</v>
      </c>
      <c r="H29" s="126" t="s">
        <v>42</v>
      </c>
      <c r="I29" s="135">
        <v>45608</v>
      </c>
    </row>
    <row r="30" spans="1:9" x14ac:dyDescent="0.3">
      <c r="A30" s="126">
        <v>253052</v>
      </c>
      <c r="B30" s="126">
        <v>24263</v>
      </c>
      <c r="C30" s="126" t="s">
        <v>10008</v>
      </c>
      <c r="D30" s="126" t="s">
        <v>1573</v>
      </c>
      <c r="F30" s="127">
        <v>6126</v>
      </c>
      <c r="G30" s="127">
        <v>5583.8490000000002</v>
      </c>
      <c r="H30" s="126" t="s">
        <v>47</v>
      </c>
      <c r="I30" s="135">
        <v>45638</v>
      </c>
    </row>
    <row r="31" spans="1:9" x14ac:dyDescent="0.3">
      <c r="A31" s="126">
        <v>253438</v>
      </c>
      <c r="B31" s="126">
        <v>26860</v>
      </c>
      <c r="C31" s="126" t="s">
        <v>10009</v>
      </c>
      <c r="F31" s="127">
        <v>5800</v>
      </c>
      <c r="G31" s="127">
        <v>5460.7</v>
      </c>
      <c r="H31" s="126" t="s">
        <v>42</v>
      </c>
      <c r="I31" s="135">
        <v>45638</v>
      </c>
    </row>
  </sheetData>
  <mergeCells count="1">
    <mergeCell ref="K3:L4"/>
  </mergeCells>
  <phoneticPr fontId="18" type="noConversion"/>
  <conditionalFormatting sqref="A1:A1048576">
    <cfRule type="duplicateValues" dxfId="10" priority="1096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C41A-043A-43D1-9F90-927598159684}">
  <sheetPr codeName="Planilha23"/>
  <dimension ref="GIT79683:WSA911735"/>
  <sheetViews>
    <sheetView workbookViewId="0"/>
  </sheetViews>
  <sheetFormatPr defaultRowHeight="14.4" x14ac:dyDescent="0.3"/>
  <sheetData>
    <row r="79683" spans="12060:12060" x14ac:dyDescent="0.3">
      <c r="QUV79683" t="s">
        <v>1239</v>
      </c>
    </row>
    <row r="314747" spans="4986:4986" x14ac:dyDescent="0.3">
      <c r="GIT314747" t="s">
        <v>1238</v>
      </c>
    </row>
    <row r="420753" spans="8515:8515" x14ac:dyDescent="0.3">
      <c r="LOM420753" t="s">
        <v>1235</v>
      </c>
    </row>
    <row r="694684" spans="16043:16043" x14ac:dyDescent="0.3">
      <c r="WSA694684" t="s">
        <v>1236</v>
      </c>
    </row>
    <row r="911735" spans="8337:8337" x14ac:dyDescent="0.3">
      <c r="LHQ911735" t="s">
        <v>1237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95C6E5-EEBB-4085-9F7B-8F505E8544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Tributação fora do Municipio</vt:lpstr>
      <vt:lpstr>ORDEM DE VENDA</vt:lpstr>
      <vt:lpstr>ESTRUTURA</vt:lpstr>
      <vt:lpstr>RETENÇÃO I.R</vt:lpstr>
      <vt:lpstr>CLIENTES</vt:lpstr>
      <vt:lpstr>ISS</vt:lpstr>
      <vt:lpstr>SERVIÇOS</vt:lpstr>
      <vt:lpstr>SITES</vt:lpstr>
      <vt:lpstr>E-MAIL</vt:lpstr>
      <vt:lpstr>COTAÇÕES</vt:lpstr>
      <vt:lpstr>RESUMO</vt:lpstr>
      <vt:lpstr>'Tributação fora do Municipio'!Area_de_impressao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GONCALVES</dc:creator>
  <cp:lastModifiedBy>William D</cp:lastModifiedBy>
  <dcterms:created xsi:type="dcterms:W3CDTF">2016-09-28T20:34:33Z</dcterms:created>
  <dcterms:modified xsi:type="dcterms:W3CDTF">2026-08-26T02:26:55Z</dcterms:modified>
</cp:coreProperties>
</file>